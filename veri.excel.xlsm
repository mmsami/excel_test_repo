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934" documentId="8_{DE98C794-8499-4F3A-A97D-CFEADD4B44AD}" xr6:coauthVersionLast="47" xr6:coauthVersionMax="47" xr10:uidLastSave="{CDC0573C-D756-413D-8BAB-76F2ED0D0011}"/>
  <bookViews>
    <workbookView xWindow="-110" yWindow="-110" windowWidth="38620" windowHeight="21220" tabRatio="898" activeTab="3"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T59" i="2" l="1"/>
  <c r="AT60" i="2"/>
  <c r="AT62" i="2"/>
  <c r="AT63" i="2"/>
  <c r="AT65" i="2"/>
  <c r="AT66" i="2"/>
  <c r="AT68" i="2"/>
  <c r="AT69" i="2"/>
  <c r="AT71" i="2"/>
  <c r="AT72" i="2"/>
  <c r="AT74" i="2"/>
  <c r="K81"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AQ81"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75" i="2"/>
  <c r="AT77" i="2"/>
  <c r="AT78"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F392" i="22"/>
  <c r="G392" i="22"/>
  <c r="D392" i="22" s="1"/>
  <c r="K392" i="22"/>
  <c r="P392" i="22"/>
  <c r="S392" i="22"/>
  <c r="AL392" i="22" s="1"/>
  <c r="Z392" i="22"/>
  <c r="Y392" i="22" s="1"/>
  <c r="X392" i="22" s="1"/>
  <c r="W392" i="22" s="1"/>
  <c r="V392" i="22" s="1"/>
  <c r="U392" i="22" s="1"/>
  <c r="AW392" i="22"/>
  <c r="AU392" i="22" s="1"/>
  <c r="BA392" i="22"/>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F359" i="22"/>
  <c r="G359" i="22"/>
  <c r="Z359" i="22" s="1"/>
  <c r="Y359" i="22" s="1"/>
  <c r="X359" i="22" s="1"/>
  <c r="W359" i="22" s="1"/>
  <c r="V359" i="22" s="1"/>
  <c r="U359" i="22" s="1"/>
  <c r="K359" i="22"/>
  <c r="P359" i="22"/>
  <c r="S359" i="22"/>
  <c r="AJ359" i="22" s="1"/>
  <c r="BC359" i="22"/>
  <c r="N359" i="22" s="1"/>
  <c r="F360" i="22"/>
  <c r="G360" i="22"/>
  <c r="Z360" i="22" s="1"/>
  <c r="Y360" i="22" s="1"/>
  <c r="X360" i="22" s="1"/>
  <c r="W360" i="22" s="1"/>
  <c r="V360" i="22" s="1"/>
  <c r="U360" i="22" s="1"/>
  <c r="K360" i="22"/>
  <c r="P360" i="22"/>
  <c r="S360" i="22"/>
  <c r="AJ360" i="22" s="1"/>
  <c r="BC360" i="22"/>
  <c r="N360" i="22" s="1"/>
  <c r="F361" i="22"/>
  <c r="G361" i="22"/>
  <c r="Z361" i="22" s="1"/>
  <c r="Y361" i="22" s="1"/>
  <c r="X361" i="22" s="1"/>
  <c r="W361" i="22" s="1"/>
  <c r="V361" i="22" s="1"/>
  <c r="U361" i="22" s="1"/>
  <c r="K361" i="22"/>
  <c r="P361" i="22"/>
  <c r="S361" i="22"/>
  <c r="AI361" i="22" s="1"/>
  <c r="BC361" i="22"/>
  <c r="N361" i="22" s="1"/>
  <c r="F362" i="22"/>
  <c r="G362" i="22"/>
  <c r="Z362" i="22" s="1"/>
  <c r="Y362" i="22" s="1"/>
  <c r="X362" i="22" s="1"/>
  <c r="W362" i="22" s="1"/>
  <c r="V362" i="22" s="1"/>
  <c r="U362" i="22" s="1"/>
  <c r="K362" i="22"/>
  <c r="P362" i="22"/>
  <c r="S362" i="22"/>
  <c r="AI362" i="22" s="1"/>
  <c r="BC362" i="22"/>
  <c r="N362" i="22" s="1"/>
  <c r="Q3" i="4"/>
  <c r="O3" i="4" s="1"/>
  <c r="Q4" i="4"/>
  <c r="O4" i="4" s="1"/>
  <c r="Q5" i="4"/>
  <c r="O5" i="4" s="1"/>
  <c r="G2" i="4"/>
  <c r="I2" i="4"/>
  <c r="K2" i="4"/>
  <c r="M2" i="4"/>
  <c r="O2" i="4"/>
  <c r="Q2" i="4"/>
  <c r="T2" i="4"/>
  <c r="T3" i="4"/>
  <c r="T5" i="4"/>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8" i="2"/>
  <c r="AQ59" i="2"/>
  <c r="AQ61" i="2"/>
  <c r="AQ62" i="2"/>
  <c r="AQ64" i="2"/>
  <c r="AQ65" i="2"/>
  <c r="AQ67" i="2"/>
  <c r="AQ68" i="2"/>
  <c r="AQ70" i="2"/>
  <c r="AQ71" i="2"/>
  <c r="AQ73" i="2"/>
  <c r="AQ74" i="2"/>
  <c r="AQ76" i="2"/>
  <c r="AQ77" i="2"/>
  <c r="AQ79" i="2"/>
  <c r="AQ80"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P56" i="6"/>
  <c r="O62" i="6"/>
  <c r="K60" i="6"/>
  <c r="Q61" i="6"/>
  <c r="Q59" i="6"/>
  <c r="O57" i="6"/>
  <c r="P59" i="6"/>
  <c r="O61" i="6"/>
  <c r="K61" i="6"/>
  <c r="Q58" i="6"/>
  <c r="O58" i="6"/>
  <c r="O56" i="6"/>
  <c r="K57" i="6"/>
  <c r="Q60" i="6"/>
  <c r="J60" i="6"/>
  <c r="J56" i="6"/>
  <c r="J57" i="6"/>
  <c r="J62" i="6"/>
  <c r="P61" i="6"/>
  <c r="K62" i="6"/>
  <c r="M57" i="6"/>
  <c r="Q57" i="6"/>
  <c r="M61" i="6"/>
  <c r="J58" i="6"/>
  <c r="K56" i="6"/>
  <c r="J59" i="6"/>
  <c r="J61" i="6"/>
  <c r="P60" i="6"/>
  <c r="P58" i="6"/>
  <c r="P62" i="6"/>
  <c r="K58" i="6"/>
  <c r="M58" i="6" s="1"/>
  <c r="K59" i="6"/>
  <c r="P57" i="6"/>
  <c r="O60" i="6"/>
  <c r="Q56" i="6"/>
  <c r="Q62" i="6"/>
  <c r="O59" i="6"/>
  <c r="AM392" i="22" l="1"/>
  <c r="AK392" i="22"/>
  <c r="AJ392" i="22"/>
  <c r="AA392" i="22" s="1"/>
  <c r="AI392" i="22"/>
  <c r="AT392" i="22"/>
  <c r="AS392" i="22"/>
  <c r="AV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A313" i="22"/>
  <c r="BC313" i="22"/>
  <c r="N313" i="22" s="1"/>
  <c r="F353" i="22"/>
  <c r="G353" i="22"/>
  <c r="D353" i="22" s="1"/>
  <c r="K353" i="22"/>
  <c r="P353" i="22"/>
  <c r="BA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M59" i="6"/>
  <c r="M56" i="6"/>
  <c r="M62" i="6"/>
  <c r="M60" i="6"/>
  <c r="J3" i="1" a="1"/>
  <c r="AD392" i="22" l="1"/>
  <c r="AF392" i="22"/>
  <c r="AG392" i="22"/>
  <c r="AB392" i="22"/>
  <c r="AC392" i="22"/>
  <c r="AE392" i="22"/>
  <c r="AH360" i="22"/>
  <c r="AQ360" i="22" s="1"/>
  <c r="AP360" i="22" s="1"/>
  <c r="BA360" i="22" s="1"/>
  <c r="AH359" i="22"/>
  <c r="AQ359" i="22" s="1"/>
  <c r="AP359" i="22" s="1"/>
  <c r="BA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Z313" i="22"/>
  <c r="Y313" i="22" s="1"/>
  <c r="X313" i="22" s="1"/>
  <c r="W313" i="22" s="1"/>
  <c r="V313" i="22" s="1"/>
  <c r="U313" i="22" s="1"/>
  <c r="Z353" i="22"/>
  <c r="Y353" i="22" s="1"/>
  <c r="X353" i="22" s="1"/>
  <c r="W353" i="22" s="1"/>
  <c r="V353" i="22" s="1"/>
  <c r="U353" i="22" s="1"/>
  <c r="Q392" i="22"/>
  <c r="H3" i="1" l="1"/>
  <c r="AR360" i="22"/>
  <c r="AH392" i="22"/>
  <c r="AR359" i="22"/>
  <c r="AH361" i="22"/>
  <c r="AQ361" i="22" s="1"/>
  <c r="AP361" i="22" s="1"/>
  <c r="BA361" i="22" s="1"/>
  <c r="AH362" i="22"/>
  <c r="AR362" i="22" s="1"/>
  <c r="I5" i="4"/>
  <c r="J5" i="4"/>
  <c r="J4" i="4"/>
  <c r="I4" i="4"/>
  <c r="I3" i="4"/>
  <c r="J3" i="4"/>
  <c r="AT353" i="22"/>
  <c r="AT313" i="22"/>
  <c r="Q362" i="22"/>
  <c r="Q359" i="22"/>
  <c r="Q361" i="22"/>
  <c r="Q360" i="22"/>
  <c r="AR392" i="22" l="1"/>
  <c r="AQ392" i="22"/>
  <c r="AP392" i="22" s="1"/>
  <c r="AR361" i="22"/>
  <c r="AQ362" i="22"/>
  <c r="AP362" i="22" s="1"/>
  <c r="BA362" i="22" s="1"/>
  <c r="G3" i="4"/>
  <c r="F3" i="4" s="1"/>
  <c r="H3" i="4"/>
  <c r="G4" i="4"/>
  <c r="F4" i="4" s="1"/>
  <c r="H4" i="4"/>
  <c r="G5" i="4"/>
  <c r="F5" i="4" s="1"/>
  <c r="H5" i="4"/>
  <c r="AD2" i="2"/>
  <c r="AD26" i="2"/>
  <c r="AD56" i="2"/>
  <c r="AD58" i="2"/>
  <c r="AD80" i="2"/>
  <c r="AD83" i="2"/>
  <c r="M4" i="22"/>
  <c r="M5" i="22"/>
  <c r="M6" i="22"/>
  <c r="M7" i="22"/>
  <c r="M8" i="22"/>
  <c r="M9" i="22"/>
  <c r="M10" i="22"/>
  <c r="M11" i="22"/>
  <c r="M3" i="22"/>
  <c r="BA2"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4" i="22"/>
  <c r="BA155" i="22"/>
  <c r="BA156" i="22"/>
  <c r="BA157" i="22"/>
  <c r="BA158" i="22"/>
  <c r="BA159" i="22"/>
  <c r="BA160" i="22"/>
  <c r="BA161" i="22"/>
  <c r="BA162" i="22"/>
  <c r="BA163" i="22"/>
  <c r="BA164" i="22"/>
  <c r="BA165" i="22"/>
  <c r="BA166" i="22"/>
  <c r="BA167" i="22"/>
  <c r="BA168" i="22"/>
  <c r="BA169" i="22"/>
  <c r="BA170" i="22"/>
  <c r="BA171" i="22"/>
  <c r="BA172" i="22"/>
  <c r="BA173"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4" i="22"/>
  <c r="BA355" i="22"/>
  <c r="BA356" i="22"/>
  <c r="BA357" i="22"/>
  <c r="BA358"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BA106" i="22"/>
  <c r="BA153" i="22"/>
  <c r="BA174" i="22"/>
  <c r="BA175" i="22"/>
  <c r="BA176" i="22"/>
  <c r="BA177" i="22"/>
  <c r="BA178" i="22"/>
  <c r="BA179" i="22"/>
  <c r="BA180" i="22"/>
  <c r="BA181" i="22"/>
  <c r="BA182" i="22"/>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K6" i="6"/>
  <c r="K48" i="6"/>
  <c r="Q8" i="6"/>
  <c r="P22" i="6"/>
  <c r="K32" i="6"/>
  <c r="O47" i="6"/>
  <c r="J8" i="6"/>
  <c r="O29" i="6"/>
  <c r="Q26" i="6"/>
  <c r="Q33" i="6"/>
  <c r="P43" i="6"/>
  <c r="K28" i="6"/>
  <c r="K39" i="6"/>
  <c r="O16" i="6"/>
  <c r="Q23" i="6"/>
  <c r="O51" i="6"/>
  <c r="P42" i="6"/>
  <c r="P23" i="6"/>
  <c r="O48" i="6"/>
  <c r="O36" i="6"/>
  <c r="K10" i="6"/>
  <c r="J23" i="6"/>
  <c r="P52" i="6"/>
  <c r="P31" i="6"/>
  <c r="P12" i="6"/>
  <c r="K24" i="6"/>
  <c r="P17" i="6"/>
  <c r="J6" i="6"/>
  <c r="K14" i="6"/>
  <c r="P9" i="6"/>
  <c r="O31" i="6"/>
  <c r="Q16" i="6"/>
  <c r="K9" i="6"/>
  <c r="O22" i="6"/>
  <c r="K7" i="6"/>
  <c r="P5" i="6"/>
  <c r="J43" i="6"/>
  <c r="O18" i="6"/>
  <c r="P13" i="6"/>
  <c r="O14" i="6"/>
  <c r="O49" i="6"/>
  <c r="P30" i="6"/>
  <c r="J15" i="6"/>
  <c r="Q47" i="6"/>
  <c r="K34" i="6"/>
  <c r="Q54" i="6"/>
  <c r="O38" i="6"/>
  <c r="O35" i="6"/>
  <c r="O8" i="6"/>
  <c r="K55" i="6"/>
  <c r="O52" i="6"/>
  <c r="J27" i="6"/>
  <c r="Q44" i="6"/>
  <c r="P8" i="6"/>
  <c r="O12" i="6"/>
  <c r="O54" i="6"/>
  <c r="J37" i="6"/>
  <c r="Q38" i="6"/>
  <c r="O44" i="6"/>
  <c r="O50" i="6"/>
  <c r="P11" i="6"/>
  <c r="P19" i="6"/>
  <c r="Q18" i="6"/>
  <c r="J20" i="6"/>
  <c r="K50" i="6"/>
  <c r="K47" i="6"/>
  <c r="K18" i="6"/>
  <c r="J11" i="6"/>
  <c r="K43" i="6"/>
  <c r="K22" i="6"/>
  <c r="J9" i="6"/>
  <c r="K54" i="6"/>
  <c r="J44" i="6"/>
  <c r="J45" i="6"/>
  <c r="K26" i="6"/>
  <c r="K25" i="6"/>
  <c r="Q6" i="6"/>
  <c r="J29" i="6"/>
  <c r="J7" i="6"/>
  <c r="J19" i="6"/>
  <c r="J31" i="6"/>
  <c r="K29" i="6"/>
  <c r="K38" i="6"/>
  <c r="K44" i="6"/>
  <c r="P33" i="6"/>
  <c r="K20" i="6"/>
  <c r="O9" i="6"/>
  <c r="J36" i="6"/>
  <c r="K27" i="6"/>
  <c r="J53" i="6"/>
  <c r="O46" i="6"/>
  <c r="P36" i="6"/>
  <c r="O41" i="6"/>
  <c r="K40" i="6"/>
  <c r="P41" i="6"/>
  <c r="Q49" i="6"/>
  <c r="J51" i="6"/>
  <c r="O17" i="6"/>
  <c r="O10" i="6"/>
  <c r="Q43" i="6"/>
  <c r="O55" i="6"/>
  <c r="K42" i="6"/>
  <c r="P37" i="6"/>
  <c r="O45" i="6"/>
  <c r="J46" i="6"/>
  <c r="Q36" i="6"/>
  <c r="Q17" i="6"/>
  <c r="P28" i="6"/>
  <c r="P45" i="6"/>
  <c r="K49" i="6"/>
  <c r="J16" i="6"/>
  <c r="P44" i="6"/>
  <c r="O21" i="6"/>
  <c r="J50" i="6"/>
  <c r="K15" i="6"/>
  <c r="P15" i="6"/>
  <c r="K19" i="6"/>
  <c r="P20" i="6"/>
  <c r="O34" i="6"/>
  <c r="O24" i="6"/>
  <c r="P48" i="6"/>
  <c r="Q31" i="6"/>
  <c r="P47" i="6"/>
  <c r="P32" i="6"/>
  <c r="J10" i="6"/>
  <c r="J38" i="6"/>
  <c r="Q12" i="6"/>
  <c r="O7" i="6"/>
  <c r="J55" i="6"/>
  <c r="O53" i="6"/>
  <c r="O25" i="6"/>
  <c r="J54" i="6"/>
  <c r="Q13" i="6"/>
  <c r="Q14" i="6"/>
  <c r="O27" i="6"/>
  <c r="P27" i="6"/>
  <c r="O15" i="6"/>
  <c r="O23" i="6"/>
  <c r="O32" i="6"/>
  <c r="K33" i="6"/>
  <c r="P6" i="6"/>
  <c r="K8" i="6"/>
  <c r="Q5" i="6"/>
  <c r="P51" i="6"/>
  <c r="P34" i="6"/>
  <c r="Q24" i="6"/>
  <c r="O28" i="6"/>
  <c r="Q40" i="6"/>
  <c r="O13" i="6"/>
  <c r="Q22" i="6"/>
  <c r="K52" i="6"/>
  <c r="J34" i="6"/>
  <c r="P54" i="6"/>
  <c r="K16" i="6"/>
  <c r="O19" i="6"/>
  <c r="J33" i="6"/>
  <c r="K5" i="6"/>
  <c r="J40" i="6"/>
  <c r="P16" i="6"/>
  <c r="Q55" i="6"/>
  <c r="J48" i="6"/>
  <c r="K21" i="6"/>
  <c r="J18" i="6"/>
  <c r="J41" i="6"/>
  <c r="J12" i="6"/>
  <c r="J24" i="6"/>
  <c r="P7" i="6"/>
  <c r="Q10" i="6"/>
  <c r="Q46" i="6"/>
  <c r="K41" i="6"/>
  <c r="J32" i="6"/>
  <c r="Q7" i="6"/>
  <c r="O5" i="6"/>
  <c r="K37" i="6"/>
  <c r="J25" i="6"/>
  <c r="J28" i="6"/>
  <c r="O42" i="6"/>
  <c r="P10" i="6"/>
  <c r="P38" i="6"/>
  <c r="K46" i="6"/>
  <c r="Q21" i="6"/>
  <c r="Q27" i="6"/>
  <c r="O26" i="6"/>
  <c r="J17" i="6"/>
  <c r="J35" i="6"/>
  <c r="Q48" i="6"/>
  <c r="Q28" i="6"/>
  <c r="K30" i="6"/>
  <c r="O39" i="6"/>
  <c r="J14" i="6"/>
  <c r="K23" i="6"/>
  <c r="P39" i="6"/>
  <c r="O37" i="6"/>
  <c r="K36" i="6"/>
  <c r="P25" i="6"/>
  <c r="O40" i="6"/>
  <c r="Q53" i="6"/>
  <c r="O6" i="6"/>
  <c r="J49" i="6"/>
  <c r="Q37" i="6"/>
  <c r="J22" i="6"/>
  <c r="Q19" i="6"/>
  <c r="Q34" i="6"/>
  <c r="Q50" i="6"/>
  <c r="J39" i="6"/>
  <c r="Q15" i="6"/>
  <c r="P35" i="6"/>
  <c r="K53" i="6"/>
  <c r="Q29" i="6"/>
  <c r="O20" i="6"/>
  <c r="P24" i="6"/>
  <c r="Q25" i="6"/>
  <c r="O11" i="6"/>
  <c r="Q45" i="6"/>
  <c r="J5" i="6"/>
  <c r="Q51" i="6"/>
  <c r="Q30" i="6"/>
  <c r="K17" i="6"/>
  <c r="J52" i="6"/>
  <c r="P18" i="6"/>
  <c r="P21" i="6"/>
  <c r="P40" i="6"/>
  <c r="K11" i="6"/>
  <c r="Q32" i="6"/>
  <c r="Q41" i="6"/>
  <c r="Q11" i="6"/>
  <c r="P26" i="6"/>
  <c r="K51" i="6"/>
  <c r="P29" i="6"/>
  <c r="P14" i="6"/>
  <c r="Q52" i="6"/>
  <c r="J26" i="6"/>
  <c r="J42" i="6"/>
  <c r="J30" i="6"/>
  <c r="K45" i="6"/>
  <c r="Q20" i="6"/>
  <c r="Q9" i="6"/>
  <c r="Q42" i="6"/>
  <c r="O43" i="6"/>
  <c r="P46" i="6"/>
  <c r="K35" i="6"/>
  <c r="K13" i="6"/>
  <c r="J47" i="6"/>
  <c r="P49" i="6"/>
  <c r="P55" i="6"/>
  <c r="O30" i="6"/>
  <c r="Q39" i="6"/>
  <c r="P53" i="6"/>
  <c r="P50" i="6"/>
  <c r="J21" i="6"/>
  <c r="K31" i="6"/>
  <c r="Q35" i="6"/>
  <c r="O33" i="6"/>
  <c r="J13" i="6"/>
  <c r="K12"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P4" i="4" s="1"/>
  <c r="G5" i="1"/>
  <c r="I5" i="1" s="1"/>
  <c r="G6" i="1"/>
  <c r="G7" i="1"/>
  <c r="C5" i="42" s="1"/>
  <c r="G8" i="1"/>
  <c r="G9" i="1"/>
  <c r="I9" i="1" s="1"/>
  <c r="G10" i="1"/>
  <c r="I10" i="1" s="1"/>
  <c r="G11" i="1"/>
  <c r="I11" i="1" s="1"/>
  <c r="G12" i="1"/>
  <c r="G13" i="1"/>
  <c r="J12" i="2" s="1"/>
  <c r="G14" i="1"/>
  <c r="G15" i="1"/>
  <c r="G16" i="1"/>
  <c r="G17" i="1"/>
  <c r="I17" i="1" s="1"/>
  <c r="G18" i="1"/>
  <c r="G19" i="1"/>
  <c r="G20" i="1"/>
  <c r="G21" i="1"/>
  <c r="G22" i="1"/>
  <c r="G23" i="1"/>
  <c r="G24" i="1"/>
  <c r="G25" i="1"/>
  <c r="G26" i="1"/>
  <c r="I26" i="1" s="1"/>
  <c r="G27" i="1"/>
  <c r="I27" i="1" s="1"/>
  <c r="G28" i="1"/>
  <c r="G29" i="1"/>
  <c r="I29" i="1" s="1"/>
  <c r="G30" i="1"/>
  <c r="G31" i="1"/>
  <c r="G32" i="1"/>
  <c r="J32" i="2" s="1"/>
  <c r="G33" i="1"/>
  <c r="G34" i="1"/>
  <c r="G35" i="1"/>
  <c r="G36" i="1"/>
  <c r="G37" i="1"/>
  <c r="G38" i="1"/>
  <c r="G39" i="1"/>
  <c r="G40" i="1"/>
  <c r="I40" i="1" s="1"/>
  <c r="G41" i="1"/>
  <c r="I41" i="1" s="1"/>
  <c r="G42" i="1"/>
  <c r="G43" i="1"/>
  <c r="I43" i="1" s="1"/>
  <c r="G44" i="1"/>
  <c r="G45" i="1"/>
  <c r="G46" i="1"/>
  <c r="I46" i="1" s="1"/>
  <c r="G47" i="1"/>
  <c r="I47" i="1" s="1"/>
  <c r="G48" i="1"/>
  <c r="G49" i="1"/>
  <c r="G50" i="1"/>
  <c r="I50" i="1" s="1"/>
  <c r="G51" i="1"/>
  <c r="G52" i="1"/>
  <c r="I52" i="1" s="1"/>
  <c r="G53" i="1"/>
  <c r="I53" i="1" s="1"/>
  <c r="G54" i="1"/>
  <c r="I54" i="1" s="1"/>
  <c r="G55" i="1"/>
  <c r="G56" i="1"/>
  <c r="G57" i="1"/>
  <c r="G58" i="1"/>
  <c r="G59" i="1"/>
  <c r="G2" i="7"/>
  <c r="G3" i="7"/>
  <c r="G4" i="7"/>
  <c r="G5" i="7"/>
  <c r="G6" i="7"/>
  <c r="G7" i="7"/>
  <c r="G8" i="7"/>
  <c r="S29" i="2" a="1"/>
  <c r="M20" i="6"/>
  <c r="M18" i="6"/>
  <c r="M28" i="6"/>
  <c r="M55" i="6"/>
  <c r="S62" i="2" a="1"/>
  <c r="M49" i="6"/>
  <c r="M24" i="6"/>
  <c r="M38" i="6"/>
  <c r="S65" i="2" a="1"/>
  <c r="S99" i="2" a="1"/>
  <c r="M53" i="6"/>
  <c r="M14" i="6"/>
  <c r="M17" i="6"/>
  <c r="M44" i="6"/>
  <c r="M45" i="6"/>
  <c r="M54" i="6"/>
  <c r="M34" i="6"/>
  <c r="M51" i="6"/>
  <c r="S93" i="2" a="1"/>
  <c r="M31" i="6"/>
  <c r="M8" i="6"/>
  <c r="S98" i="2" a="1"/>
  <c r="S87" i="2" a="1"/>
  <c r="S97" i="2" a="1"/>
  <c r="M50" i="6"/>
  <c r="M23" i="6"/>
  <c r="M27" i="6"/>
  <c r="S96" i="2" a="1"/>
  <c r="M32" i="6"/>
  <c r="S73" i="2" a="1"/>
  <c r="M48" i="6"/>
  <c r="M13" i="6"/>
  <c r="H2" i="49" a="1"/>
  <c r="M42" i="6"/>
  <c r="S100" i="2" a="1"/>
  <c r="S91" i="2" a="1"/>
  <c r="S76" i="2" a="1"/>
  <c r="M43" i="6"/>
  <c r="S64" i="2" a="1"/>
  <c r="M46" i="6"/>
  <c r="M30" i="6"/>
  <c r="M11" i="6"/>
  <c r="M10" i="6"/>
  <c r="M35" i="6"/>
  <c r="M22" i="6"/>
  <c r="M37" i="6"/>
  <c r="S61" i="2" a="1"/>
  <c r="M6" i="6"/>
  <c r="S77" i="2" a="1"/>
  <c r="S86" i="2" a="1"/>
  <c r="M41" i="6"/>
  <c r="M12" i="6"/>
  <c r="M21" i="6"/>
  <c r="S59" i="2" a="1"/>
  <c r="M36" i="6"/>
  <c r="S79" i="2" a="1"/>
  <c r="M40" i="6"/>
  <c r="S89" i="2" a="1"/>
  <c r="S74" i="2" a="1"/>
  <c r="M29" i="6"/>
  <c r="M15" i="6"/>
  <c r="S67" i="2" a="1"/>
  <c r="M19" i="6"/>
  <c r="M9" i="6"/>
  <c r="M25" i="6"/>
  <c r="M39" i="6"/>
  <c r="M26" i="6"/>
  <c r="M16" i="6"/>
  <c r="M33" i="6"/>
  <c r="M52" i="6"/>
  <c r="M47" i="6"/>
  <c r="M7" i="6"/>
  <c r="C31" i="5" l="1"/>
  <c r="C29" i="5"/>
  <c r="C25" i="5"/>
  <c r="C26" i="5"/>
  <c r="C27" i="5"/>
  <c r="C28" i="5"/>
  <c r="C30" i="5"/>
  <c r="C23" i="5"/>
  <c r="C24" i="5"/>
  <c r="C22" i="5"/>
  <c r="I51" i="1"/>
  <c r="C4" i="25"/>
  <c r="C3" i="25"/>
  <c r="I359" i="22"/>
  <c r="AY359" i="22" s="1"/>
  <c r="I360" i="22"/>
  <c r="AY360" i="22" s="1"/>
  <c r="I361" i="22"/>
  <c r="AY361" i="22" s="1"/>
  <c r="I362" i="22"/>
  <c r="AY362" i="22" s="1"/>
  <c r="I392" i="22"/>
  <c r="AY392" i="22" s="1"/>
  <c r="I42" i="1"/>
  <c r="C3" i="4"/>
  <c r="C2" i="4"/>
  <c r="C15" i="5"/>
  <c r="C13" i="5"/>
  <c r="C16" i="5"/>
  <c r="C17" i="5"/>
  <c r="C3" i="5"/>
  <c r="C12" i="5"/>
  <c r="C14" i="5"/>
  <c r="I49" i="1"/>
  <c r="C5" i="4"/>
  <c r="C7" i="5"/>
  <c r="C8" i="5"/>
  <c r="C2" i="5"/>
  <c r="C9" i="5"/>
  <c r="C10" i="5"/>
  <c r="C5" i="5"/>
  <c r="C11" i="5"/>
  <c r="C4" i="5"/>
  <c r="C6" i="5"/>
  <c r="I31" i="1"/>
  <c r="C359" i="22"/>
  <c r="C360" i="22"/>
  <c r="C361" i="22"/>
  <c r="C362" i="22"/>
  <c r="C392" i="22"/>
  <c r="I39" i="1"/>
  <c r="C4" i="4"/>
  <c r="AJ4" i="4" s="1"/>
  <c r="AK4" i="4" s="1"/>
  <c r="AH22" i="2"/>
  <c r="AD22" i="2" s="1"/>
  <c r="C21" i="5"/>
  <c r="C18" i="5"/>
  <c r="C19" i="5"/>
  <c r="C20" i="5"/>
  <c r="AE27" i="22"/>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AD21" i="2" s="1"/>
  <c r="J16" i="2"/>
  <c r="J13" i="2"/>
  <c r="AH35" i="2"/>
  <c r="AD35" i="2" s="1"/>
  <c r="J14" i="2"/>
  <c r="J18" i="2"/>
  <c r="AH4" i="2"/>
  <c r="J15" i="2"/>
  <c r="AH85" i="2"/>
  <c r="AD85" i="2" s="1"/>
  <c r="AH14" i="2"/>
  <c r="AD14" i="2" s="1"/>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AD19" i="2" s="1"/>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D15" i="2" s="1"/>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D5" i="2" s="1"/>
  <c r="AH61" i="2"/>
  <c r="AD61" i="2" s="1"/>
  <c r="AH3" i="2"/>
  <c r="AH11" i="2"/>
  <c r="AH51" i="2"/>
  <c r="AD51" i="2" s="1"/>
  <c r="AH59" i="2"/>
  <c r="AD59" i="2" s="1"/>
  <c r="AH67" i="2"/>
  <c r="AD67" i="2" s="1"/>
  <c r="AH91" i="2"/>
  <c r="AD91" i="2" s="1"/>
  <c r="AH29" i="2"/>
  <c r="AD29" i="2" s="1"/>
  <c r="AH12" i="2"/>
  <c r="AD12" i="2" s="1"/>
  <c r="AH28" i="2"/>
  <c r="AD28" i="2" s="1"/>
  <c r="AH36" i="2"/>
  <c r="AD36" i="2" s="1"/>
  <c r="AH68" i="2"/>
  <c r="AD68" i="2" s="1"/>
  <c r="AH76" i="2"/>
  <c r="AD76" i="2" s="1"/>
  <c r="AH84" i="2"/>
  <c r="AD84" i="2" s="1"/>
  <c r="AH100" i="2"/>
  <c r="AD100" i="2" s="1"/>
  <c r="AH37" i="2"/>
  <c r="AD37" i="2" s="1"/>
  <c r="AH6" i="2"/>
  <c r="AD6" i="2" s="1"/>
  <c r="AH38" i="2"/>
  <c r="AD38" i="2" s="1"/>
  <c r="AH62" i="2"/>
  <c r="AD62" i="2" s="1"/>
  <c r="AH70" i="2"/>
  <c r="AD70" i="2" s="1"/>
  <c r="AH86" i="2"/>
  <c r="AD86" i="2" s="1"/>
  <c r="AH7" i="2"/>
  <c r="AH71" i="2"/>
  <c r="AD71" i="2" s="1"/>
  <c r="AH8" i="2"/>
  <c r="AD8" i="2" s="1"/>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T12" i="2" s="1"/>
  <c r="S52" i="2"/>
  <c r="T52" i="2" s="1"/>
  <c r="S51" i="2"/>
  <c r="T51" i="2" s="1"/>
  <c r="S29" i="2"/>
  <c r="T29" i="2" s="1"/>
  <c r="S5" i="2"/>
  <c r="S4" i="2"/>
  <c r="T4" i="2" s="1"/>
  <c r="S27" i="2"/>
  <c r="T27" i="2" s="1"/>
  <c r="S3" i="2"/>
  <c r="S47" i="2"/>
  <c r="T47" i="2" s="1"/>
  <c r="S45" i="2"/>
  <c r="T45" i="2" s="1"/>
  <c r="S25" i="2"/>
  <c r="T25" i="2" s="1"/>
  <c r="S33" i="2"/>
  <c r="T33" i="2" s="1"/>
  <c r="S41" i="2"/>
  <c r="S17" i="2"/>
  <c r="S39" i="2"/>
  <c r="T39" i="2" s="1"/>
  <c r="S38" i="2"/>
  <c r="S15" i="2"/>
  <c r="T15" i="2" s="1"/>
  <c r="S28" i="2"/>
  <c r="T28" i="2" s="1"/>
  <c r="S37" i="2"/>
  <c r="T37" i="2" s="1"/>
  <c r="S14" i="2"/>
  <c r="T14" i="2" s="1"/>
  <c r="S11" i="2"/>
  <c r="T11" i="2" s="1"/>
  <c r="S50" i="2"/>
  <c r="T50" i="2" s="1"/>
  <c r="S36" i="2"/>
  <c r="T36" i="2" s="1"/>
  <c r="S13" i="2"/>
  <c r="S96" i="2"/>
  <c r="T96" i="2" s="1"/>
  <c r="S67" i="2"/>
  <c r="S93" i="2"/>
  <c r="T93" i="2" s="1"/>
  <c r="S65" i="2"/>
  <c r="BE65" i="2" s="1"/>
  <c r="S91" i="2"/>
  <c r="T91" i="2" s="1"/>
  <c r="S64" i="2"/>
  <c r="T64" i="2" s="1"/>
  <c r="S89" i="2"/>
  <c r="T89" i="2" s="1"/>
  <c r="S62" i="2"/>
  <c r="T62" i="2" s="1"/>
  <c r="S87" i="2"/>
  <c r="T87" i="2" s="1"/>
  <c r="S61" i="2"/>
  <c r="S86" i="2"/>
  <c r="T86" i="2" s="1"/>
  <c r="S59" i="2"/>
  <c r="T59" i="2" s="1"/>
  <c r="S79" i="2"/>
  <c r="S100" i="2"/>
  <c r="T100" i="2" s="1"/>
  <c r="S77" i="2"/>
  <c r="S99" i="2"/>
  <c r="S76" i="2"/>
  <c r="T76" i="2" s="1"/>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I12" i="1"/>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7" i="2"/>
  <c r="AD9" i="2"/>
  <c r="N25" i="1"/>
  <c r="AD25" i="2"/>
  <c r="BC19" i="2"/>
  <c r="BE19" i="2" s="1"/>
  <c r="BC21" i="2"/>
  <c r="BE21" i="2" s="1"/>
  <c r="BC15" i="2"/>
  <c r="BE15" i="2" s="1"/>
  <c r="BC23" i="2"/>
  <c r="BE23" i="2" s="1"/>
  <c r="AD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AX59" i="2"/>
  <c r="T41" i="2"/>
  <c r="AX13" i="2"/>
  <c r="T13" i="2"/>
  <c r="AX91" i="2"/>
  <c r="AX74" i="2"/>
  <c r="AX12" i="2"/>
  <c r="AX73" i="2"/>
  <c r="T73" i="2"/>
  <c r="AX38" i="2"/>
  <c r="T38" i="2"/>
  <c r="AX26" i="2"/>
  <c r="AX67" i="2"/>
  <c r="T67" i="2"/>
  <c r="AX37" i="2"/>
  <c r="T5" i="2"/>
  <c r="T99" i="2"/>
  <c r="AX86" i="2"/>
  <c r="AX50" i="2"/>
  <c r="T17" i="2"/>
  <c r="AX98" i="2"/>
  <c r="T35" i="2"/>
  <c r="T3" i="2"/>
  <c r="AX97" i="2"/>
  <c r="T79" i="2"/>
  <c r="AX62" i="2"/>
  <c r="AX77" i="2"/>
  <c r="AX61" i="2"/>
  <c r="T61"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S88" i="2" s="1" a="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S95" i="2" s="1" a="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X96" i="2"/>
  <c r="AX48" i="2"/>
  <c r="AX36" i="2"/>
  <c r="BE97" i="2"/>
  <c r="H97" i="2"/>
  <c r="AX35" i="2"/>
  <c r="BE47" i="2"/>
  <c r="H47" i="2"/>
  <c r="BE91" i="2"/>
  <c r="BE55" i="2"/>
  <c r="H55" i="2"/>
  <c r="BE43" i="2"/>
  <c r="H43" i="2"/>
  <c r="BE31" i="2"/>
  <c r="H31" i="2"/>
  <c r="AJ2" i="4"/>
  <c r="AK2" i="4" s="1"/>
  <c r="U94" i="2"/>
  <c r="S94" i="2" s="1" a="1"/>
  <c r="U82" i="2"/>
  <c r="U70" i="2"/>
  <c r="U58" i="2"/>
  <c r="U46" i="2"/>
  <c r="S46" i="2" s="1" a="1"/>
  <c r="U34" i="2"/>
  <c r="S34" i="2" s="1" a="1"/>
  <c r="U10" i="2"/>
  <c r="S10" i="2" s="1" a="1"/>
  <c r="BE95" i="2"/>
  <c r="H95" i="2"/>
  <c r="H71" i="2"/>
  <c r="BE90" i="2"/>
  <c r="H90" i="2"/>
  <c r="BE54" i="2"/>
  <c r="H54" i="2"/>
  <c r="BE42" i="2"/>
  <c r="H42" i="2"/>
  <c r="BE30" i="2"/>
  <c r="H30" i="2"/>
  <c r="CN5" i="4"/>
  <c r="AX33" i="2"/>
  <c r="H45" i="2"/>
  <c r="BE45" i="2"/>
  <c r="H23" i="2"/>
  <c r="BE89" i="2"/>
  <c r="H89" i="2"/>
  <c r="H77"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H21" i="2"/>
  <c r="BE99" i="2"/>
  <c r="H99" i="2"/>
  <c r="BE87" i="2"/>
  <c r="H87" i="2"/>
  <c r="BE51" i="2"/>
  <c r="H51" i="2"/>
  <c r="BE39" i="2"/>
  <c r="H39" i="2"/>
  <c r="BE27" i="2"/>
  <c r="H27"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Q160" i="22"/>
  <c r="Q155" i="22"/>
  <c r="Q275" i="22"/>
  <c r="Q120" i="22"/>
  <c r="S68" i="2" a="1"/>
  <c r="Q290" i="22"/>
  <c r="Q329" i="22"/>
  <c r="Q391" i="22"/>
  <c r="Q156" i="22"/>
  <c r="Q231" i="22"/>
  <c r="Q211" i="22"/>
  <c r="Q256" i="22"/>
  <c r="Q387" i="22"/>
  <c r="Q366" i="22"/>
  <c r="M5" i="6"/>
  <c r="Q63" i="22"/>
  <c r="Q201" i="22"/>
  <c r="Q82" i="22"/>
  <c r="Q122" i="22"/>
  <c r="Q135" i="22"/>
  <c r="Q374" i="22"/>
  <c r="Q354" i="22"/>
  <c r="Q344" i="22"/>
  <c r="Q19" i="22"/>
  <c r="Q137" i="22"/>
  <c r="Q140" i="22"/>
  <c r="Q177" i="22"/>
  <c r="Q252" i="22"/>
  <c r="Q144" i="22"/>
  <c r="Q379" i="22"/>
  <c r="Q146" i="22"/>
  <c r="Q396" i="22"/>
  <c r="Q323" i="22"/>
  <c r="Q108" i="22"/>
  <c r="Q229" i="22"/>
  <c r="Q197" i="22"/>
  <c r="Q109" i="22"/>
  <c r="Q346" i="22"/>
  <c r="Q273" i="22"/>
  <c r="Q159" i="22"/>
  <c r="Q251" i="22"/>
  <c r="Q375" i="22"/>
  <c r="Q259" i="22"/>
  <c r="Q276" i="22"/>
  <c r="Q171" i="22"/>
  <c r="Q207" i="22"/>
  <c r="Q245" i="22"/>
  <c r="Q390" i="22"/>
  <c r="Q265" i="22"/>
  <c r="Q181" i="22"/>
  <c r="Q132" i="22"/>
  <c r="Q151" i="22"/>
  <c r="S2" i="2" a="1"/>
  <c r="Q235" i="22"/>
  <c r="Q269" i="22"/>
  <c r="Q212" i="22"/>
  <c r="Q410" i="22"/>
  <c r="Q282" i="22"/>
  <c r="Q21" i="22"/>
  <c r="Q380" i="22"/>
  <c r="Q372" i="22"/>
  <c r="Q221" i="22"/>
  <c r="Q378" i="22"/>
  <c r="Q364" i="22"/>
  <c r="Q152" i="22"/>
  <c r="Q384" i="22"/>
  <c r="S80" i="2" a="1"/>
  <c r="Q175" i="22"/>
  <c r="Q18" i="22"/>
  <c r="Q301" i="22"/>
  <c r="Q358" i="22"/>
  <c r="Q394" i="22"/>
  <c r="Q145" i="22"/>
  <c r="Q150" i="22"/>
  <c r="Q213" i="22"/>
  <c r="Q386" i="22"/>
  <c r="Q397" i="22"/>
  <c r="Q373" i="22"/>
  <c r="Q14" i="22"/>
  <c r="Q26" i="22"/>
  <c r="Q357" i="22"/>
  <c r="Q268" i="22"/>
  <c r="Q330" i="22"/>
  <c r="Q272" i="22"/>
  <c r="Q163" i="22"/>
  <c r="Q206" i="22"/>
  <c r="Q141" i="22"/>
  <c r="Q173" i="22"/>
  <c r="Q124" i="22"/>
  <c r="Q294" i="22"/>
  <c r="S71" i="2" a="1"/>
  <c r="Q270" i="22"/>
  <c r="Q363" i="22"/>
  <c r="Q325" i="22"/>
  <c r="Q25" i="22"/>
  <c r="Q210" i="22"/>
  <c r="Q118" i="22"/>
  <c r="Q209" i="22"/>
  <c r="Q240" i="22"/>
  <c r="Q421" i="22"/>
  <c r="Q94" i="22"/>
  <c r="Q91" i="22"/>
  <c r="Q12" i="22"/>
  <c r="Q332" i="22"/>
  <c r="Q228" i="22"/>
  <c r="Q149" i="22"/>
  <c r="Q342" i="22"/>
  <c r="Q400" i="22"/>
  <c r="Q97" i="22"/>
  <c r="Q20" i="22"/>
  <c r="Q399" i="22"/>
  <c r="Q121" i="22"/>
  <c r="Q321" i="22"/>
  <c r="Q398" i="22"/>
  <c r="Q287" i="22"/>
  <c r="Q115" i="22"/>
  <c r="Q257" i="22"/>
  <c r="Q139" i="22"/>
  <c r="Q326" i="22"/>
  <c r="Q254" i="22"/>
  <c r="Q36" i="22"/>
  <c r="Q285" i="22"/>
  <c r="Q293" i="22"/>
  <c r="Q404" i="22"/>
  <c r="S82" i="2" a="1"/>
  <c r="Q112" i="22"/>
  <c r="S84" i="2" a="1"/>
  <c r="Q84" i="22"/>
  <c r="Q34" i="22"/>
  <c r="Q16" i="22"/>
  <c r="Q297" i="22"/>
  <c r="Q395" i="22"/>
  <c r="S70" i="2" a="1"/>
  <c r="Q131" i="22"/>
  <c r="Q202" i="22"/>
  <c r="Q205" i="22"/>
  <c r="Q157" i="22"/>
  <c r="Q261" i="22"/>
  <c r="Q296" i="22"/>
  <c r="Q370" i="22"/>
  <c r="Q241" i="22"/>
  <c r="Q277" i="22"/>
  <c r="S85" i="2" a="1"/>
  <c r="Q319" i="22"/>
  <c r="Q418" i="22"/>
  <c r="Q116" i="22"/>
  <c r="Q2" i="22"/>
  <c r="Q37" i="22"/>
  <c r="Q203" i="22"/>
  <c r="Q368" i="22"/>
  <c r="Q274" i="22"/>
  <c r="Q83" i="22"/>
  <c r="Q15" i="22"/>
  <c r="Q291" i="22"/>
  <c r="Q180" i="22"/>
  <c r="Q204" i="22"/>
  <c r="Q178" i="22"/>
  <c r="Q243" i="22"/>
  <c r="Q258" i="22"/>
  <c r="Q292" i="22"/>
  <c r="Q406" i="22"/>
  <c r="Q405" i="22"/>
  <c r="Q419" i="22"/>
  <c r="Q422" i="22"/>
  <c r="Q27" i="22"/>
  <c r="Q128" i="22"/>
  <c r="Q208" i="22"/>
  <c r="Q215" i="22"/>
  <c r="Q113" i="22"/>
  <c r="Q376" i="22"/>
  <c r="Q142" i="22"/>
  <c r="Q143" i="22"/>
  <c r="Q264" i="22"/>
  <c r="Q88" i="22"/>
  <c r="Q289" i="22"/>
  <c r="Q176" i="22"/>
  <c r="Q407" i="22"/>
  <c r="Q402" i="22"/>
  <c r="Q126" i="22"/>
  <c r="Q260" i="22"/>
  <c r="Q250" i="22"/>
  <c r="Q356" i="22"/>
  <c r="Q129" i="22"/>
  <c r="Q304" i="22"/>
  <c r="Q242" i="22"/>
  <c r="Q253" i="22"/>
  <c r="Q416" i="22"/>
  <c r="Q388" i="22"/>
  <c r="S58" i="2" a="1"/>
  <c r="Q320" i="22"/>
  <c r="Q110" i="22"/>
  <c r="Q327" i="22"/>
  <c r="Q218" i="22"/>
  <c r="Q190" i="22"/>
  <c r="Q174" i="22"/>
  <c r="Q147" i="22"/>
  <c r="Q158" i="22"/>
  <c r="Q352" i="22"/>
  <c r="Q409" i="22"/>
  <c r="Q188" i="22"/>
  <c r="Q138" i="22"/>
  <c r="Q223" i="22"/>
  <c r="Q217" i="22"/>
  <c r="Q317" i="22"/>
  <c r="Q196" i="22"/>
  <c r="Q267" i="22"/>
  <c r="Q280" i="22"/>
  <c r="Q279" i="22"/>
  <c r="Q389" i="22"/>
  <c r="Q119" i="22"/>
  <c r="Q283" i="22"/>
  <c r="Q198" i="22"/>
  <c r="Q90" i="22"/>
  <c r="Q383" i="22"/>
  <c r="Q367" i="22"/>
  <c r="Q303" i="22"/>
  <c r="Q338" i="22"/>
  <c r="Q234" i="22"/>
  <c r="Q239" i="22"/>
  <c r="Q230" i="22"/>
  <c r="Q324" i="22"/>
  <c r="Q401" i="22"/>
  <c r="Q249" i="22"/>
  <c r="Q302" i="22"/>
  <c r="Q182" i="22"/>
  <c r="Q123" i="22"/>
  <c r="Q189" i="22"/>
  <c r="Q11" i="22"/>
  <c r="Q271" i="22"/>
  <c r="Q236" i="22"/>
  <c r="Q107" i="22"/>
  <c r="Q99" i="22"/>
  <c r="Q87" i="22"/>
  <c r="Q170" i="22"/>
  <c r="Q284" i="22"/>
  <c r="Q86" i="22"/>
  <c r="Q93" i="22"/>
  <c r="Q134" i="22"/>
  <c r="Q255" i="22"/>
  <c r="Q106" i="22"/>
  <c r="Q23" i="22"/>
  <c r="Q133" i="22"/>
  <c r="Q22" i="22"/>
  <c r="Q300" i="22"/>
  <c r="Q248" i="22"/>
  <c r="Q111" i="22"/>
  <c r="Q89" i="22"/>
  <c r="Q347" i="22"/>
  <c r="Q148" i="22"/>
  <c r="Q24" i="22"/>
  <c r="Q226" i="22"/>
  <c r="Q237" i="22"/>
  <c r="Q35" i="22"/>
  <c r="Q85" i="22"/>
  <c r="Q355" i="22"/>
  <c r="S83" i="2" a="1"/>
  <c r="Q17" i="22"/>
  <c r="S90" i="2" a="1"/>
  <c r="Q127" i="22"/>
  <c r="Q153" i="22"/>
  <c r="Q13" i="22"/>
  <c r="Q403" i="22"/>
  <c r="Q295" i="22"/>
  <c r="Q96" i="22"/>
  <c r="Q331" i="22"/>
  <c r="Q224" i="22"/>
  <c r="Q227" i="22"/>
  <c r="Q371" i="22"/>
  <c r="Q417" i="22"/>
  <c r="Q216" i="22"/>
  <c r="Q95" i="22"/>
  <c r="Q161" i="22"/>
  <c r="Q288" i="22"/>
  <c r="Q222" i="22"/>
  <c r="Q377" i="22"/>
  <c r="Q382" i="22"/>
  <c r="Q117" i="22"/>
  <c r="Q199" i="22"/>
  <c r="Q219" i="22"/>
  <c r="Q162" i="22"/>
  <c r="Q381" i="22"/>
  <c r="Q225" i="22"/>
  <c r="Q100" i="22"/>
  <c r="Q318" i="22"/>
  <c r="Q278" i="22"/>
  <c r="Q169" i="22"/>
  <c r="Q232" i="22"/>
  <c r="Q136" i="22"/>
  <c r="Q125" i="22"/>
  <c r="Q200" i="22"/>
  <c r="Q92" i="22"/>
  <c r="Q266" i="22"/>
  <c r="Q281" i="22"/>
  <c r="Q385" i="22"/>
  <c r="Q114" i="22"/>
  <c r="Q263" i="22"/>
  <c r="Q233" i="22"/>
  <c r="Q247" i="22"/>
  <c r="Q328" i="22"/>
  <c r="Q214" i="22"/>
  <c r="Q408" i="22"/>
  <c r="Q244" i="22"/>
  <c r="Q179" i="22"/>
  <c r="Q220" i="22"/>
  <c r="Q286" i="22"/>
  <c r="Q130" i="22"/>
  <c r="Q345" i="22"/>
  <c r="Q246" i="22"/>
  <c r="Q98" i="22"/>
  <c r="Q238" i="22"/>
  <c r="Q262" i="22"/>
  <c r="Q322" i="22"/>
  <c r="Q298" i="22"/>
  <c r="Q172" i="22"/>
  <c r="Q33" i="22"/>
  <c r="BE77" i="2" l="1"/>
  <c r="T65" i="2"/>
  <c r="AB18" i="2"/>
  <c r="AA18" i="2" s="1"/>
  <c r="Z18" i="2" s="1"/>
  <c r="Y18" i="2" s="1"/>
  <c r="X18" i="2" s="1"/>
  <c r="W18" i="2" s="1"/>
  <c r="AW18" i="2"/>
  <c r="AB40" i="2"/>
  <c r="AA40" i="2" s="1"/>
  <c r="Z40" i="2" s="1"/>
  <c r="Y40" i="2" s="1"/>
  <c r="X40" i="2" s="1"/>
  <c r="W40" i="2" s="1"/>
  <c r="AW40" i="2"/>
  <c r="BA40" i="2" s="1"/>
  <c r="AB43" i="2"/>
  <c r="AA43" i="2" s="1"/>
  <c r="Z43" i="2" s="1"/>
  <c r="Y43" i="2" s="1"/>
  <c r="X43" i="2" s="1"/>
  <c r="W43" i="2" s="1"/>
  <c r="AW43" i="2"/>
  <c r="AZ43" i="2" s="1"/>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AB26" i="2"/>
  <c r="AA26" i="2" s="1"/>
  <c r="Z26" i="2" s="1"/>
  <c r="Y26" i="2" s="1"/>
  <c r="X26" i="2" s="1"/>
  <c r="W26" i="2" s="1"/>
  <c r="AB19" i="2"/>
  <c r="AA19" i="2" s="1"/>
  <c r="Z19" i="2" s="1"/>
  <c r="Y19" i="2" s="1"/>
  <c r="X19" i="2" s="1"/>
  <c r="W19" i="2" s="1"/>
  <c r="AB48" i="2"/>
  <c r="AA48" i="2" s="1"/>
  <c r="Z48" i="2" s="1"/>
  <c r="Y48" i="2" s="1"/>
  <c r="X48" i="2" s="1"/>
  <c r="W48" i="2" s="1"/>
  <c r="AB17" i="2"/>
  <c r="AA17" i="2" s="1"/>
  <c r="Z17" i="2" s="1"/>
  <c r="Y17" i="2" s="1"/>
  <c r="X17" i="2" s="1"/>
  <c r="W17" i="2" s="1"/>
  <c r="AW17" i="2"/>
  <c r="AZ17" i="2" s="1"/>
  <c r="AB15" i="2"/>
  <c r="AA15" i="2" s="1"/>
  <c r="Z15" i="2" s="1"/>
  <c r="Y15" i="2" s="1"/>
  <c r="X15" i="2" s="1"/>
  <c r="W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BA49" i="2" s="1"/>
  <c r="AB27" i="2"/>
  <c r="AA27" i="2" s="1"/>
  <c r="Z27" i="2" s="1"/>
  <c r="Y27" i="2" s="1"/>
  <c r="X27" i="2" s="1"/>
  <c r="W27" i="2" s="1"/>
  <c r="AB23" i="2"/>
  <c r="AA23" i="2" s="1"/>
  <c r="Z23" i="2" s="1"/>
  <c r="Y23" i="2" s="1"/>
  <c r="X23" i="2" s="1"/>
  <c r="W23" i="2" s="1"/>
  <c r="AW23" i="2"/>
  <c r="AZ23" i="2" s="1"/>
  <c r="AB55" i="2"/>
  <c r="AA55" i="2" s="1"/>
  <c r="Z55" i="2" s="1"/>
  <c r="Y55" i="2" s="1"/>
  <c r="X55" i="2" s="1"/>
  <c r="W55" i="2" s="1"/>
  <c r="AW55" i="2"/>
  <c r="AZ55" i="2" s="1"/>
  <c r="AB44" i="2"/>
  <c r="AA44" i="2" s="1"/>
  <c r="Z44" i="2" s="1"/>
  <c r="Y44" i="2" s="1"/>
  <c r="X44" i="2" s="1"/>
  <c r="W44" i="2" s="1"/>
  <c r="AW44" i="2"/>
  <c r="BA44" i="2" s="1"/>
  <c r="AB45" i="2"/>
  <c r="AA45" i="2" s="1"/>
  <c r="Z45" i="2" s="1"/>
  <c r="Y45" i="2" s="1"/>
  <c r="X45" i="2" s="1"/>
  <c r="W45" i="2" s="1"/>
  <c r="AB31" i="2"/>
  <c r="AA31" i="2" s="1"/>
  <c r="Z31" i="2" s="1"/>
  <c r="Y31" i="2" s="1"/>
  <c r="X31" i="2" s="1"/>
  <c r="W31" i="2" s="1"/>
  <c r="I65" i="1"/>
  <c r="J100" i="2"/>
  <c r="AH95" i="2"/>
  <c r="AD95" i="2" s="1"/>
  <c r="J99" i="2"/>
  <c r="J98" i="2"/>
  <c r="J94" i="2"/>
  <c r="J95" i="2"/>
  <c r="J96" i="2"/>
  <c r="AH92" i="2"/>
  <c r="AD92" i="2" s="1"/>
  <c r="J97" i="2"/>
  <c r="T77" i="2"/>
  <c r="AZ20" i="2"/>
  <c r="H19" i="2"/>
  <c r="BE62" i="2"/>
  <c r="BE74" i="2"/>
  <c r="S19" i="2" a="1"/>
  <c r="S19" i="2" s="1"/>
  <c r="T19" i="2" s="1"/>
  <c r="S85" i="2"/>
  <c r="T85" i="2" s="1"/>
  <c r="AZ18" i="2"/>
  <c r="H5" i="2"/>
  <c r="R5" i="2" s="1"/>
  <c r="K5" i="2" s="1"/>
  <c r="BC5" i="2"/>
  <c r="BE5" i="2" s="1"/>
  <c r="BC10" i="2"/>
  <c r="BE10" i="2" s="1"/>
  <c r="H17" i="2"/>
  <c r="R17" i="2" s="1"/>
  <c r="K17" i="2" s="1"/>
  <c r="BC17" i="2"/>
  <c r="BE17" i="2" s="1"/>
  <c r="BA14" i="2"/>
  <c r="AB35" i="2"/>
  <c r="AA35" i="2" s="1"/>
  <c r="Z35" i="2" s="1"/>
  <c r="Y35" i="2" s="1"/>
  <c r="X35" i="2" s="1"/>
  <c r="W35" i="2" s="1"/>
  <c r="BC12" i="2"/>
  <c r="BE12" i="2" s="1"/>
  <c r="BC14" i="2"/>
  <c r="BE14" i="2" s="1"/>
  <c r="BA23" i="2"/>
  <c r="AB85" i="2"/>
  <c r="AA85" i="2" s="1"/>
  <c r="Z85" i="2" s="1"/>
  <c r="Y85" i="2" s="1"/>
  <c r="X85" i="2" s="1"/>
  <c r="W85" i="2" s="1"/>
  <c r="H11" i="2"/>
  <c r="R11" i="2" s="1"/>
  <c r="K11" i="2" s="1"/>
  <c r="BC11" i="2"/>
  <c r="BE11" i="2" s="1"/>
  <c r="H16" i="2"/>
  <c r="R16" i="2" s="1"/>
  <c r="K16" i="2" s="1"/>
  <c r="BC16" i="2"/>
  <c r="BE16" i="2" s="1"/>
  <c r="BA25" i="2"/>
  <c r="S20" i="2" a="1"/>
  <c r="S20" i="2" s="1"/>
  <c r="T20" i="2" s="1"/>
  <c r="AZ54" i="2"/>
  <c r="BA54" i="2"/>
  <c r="AZ49" i="2"/>
  <c r="H3" i="2"/>
  <c r="R3" i="2" s="1"/>
  <c r="BC3" i="2"/>
  <c r="BE3" i="2" s="1"/>
  <c r="H4" i="2"/>
  <c r="R4" i="2" s="1"/>
  <c r="K4" i="2" s="1"/>
  <c r="BC4" i="2"/>
  <c r="BE4" i="2" s="1"/>
  <c r="BA21" i="2"/>
  <c r="BA47" i="2"/>
  <c r="AY16" i="2"/>
  <c r="AB4" i="2"/>
  <c r="AA4" i="2" s="1"/>
  <c r="Z4" i="2" s="1"/>
  <c r="Y4" i="2" s="1"/>
  <c r="X4" i="2" s="1"/>
  <c r="W4" i="2" s="1"/>
  <c r="H7" i="2"/>
  <c r="BC7" i="2"/>
  <c r="BE7" i="2" s="1"/>
  <c r="H9" i="2"/>
  <c r="BC9" i="2"/>
  <c r="BE9" i="2" s="1"/>
  <c r="BC25" i="2"/>
  <c r="BE25" i="2" s="1"/>
  <c r="BA20" i="2"/>
  <c r="BA18" i="2"/>
  <c r="S23" i="2" a="1"/>
  <c r="S23" i="2" s="1"/>
  <c r="T23" i="2" s="1"/>
  <c r="R23" i="2" s="1"/>
  <c r="K23" i="2" s="1"/>
  <c r="AY47" i="2"/>
  <c r="AZ92" i="2"/>
  <c r="BC8" i="2"/>
  <c r="BE8" i="2" s="1"/>
  <c r="BC24" i="2"/>
  <c r="BE24" i="2" s="1"/>
  <c r="BC20" i="2"/>
  <c r="BE20" i="2" s="1"/>
  <c r="BA39" i="2"/>
  <c r="H6" i="2"/>
  <c r="BC6" i="2"/>
  <c r="BE6" i="2" s="1"/>
  <c r="BC22" i="2"/>
  <c r="BE22" i="2" s="1"/>
  <c r="H18" i="2"/>
  <c r="BC18" i="2"/>
  <c r="BE18" i="2" s="1"/>
  <c r="AZ21" i="2"/>
  <c r="AY14" i="2"/>
  <c r="AZ40" i="2"/>
  <c r="BC13" i="2"/>
  <c r="BE13" i="2" s="1"/>
  <c r="BC2" i="2"/>
  <c r="BE2" i="2" s="1"/>
  <c r="BA16" i="2"/>
  <c r="H2" i="2"/>
  <c r="S18" i="2"/>
  <c r="T18" i="2" s="1"/>
  <c r="S92" i="2"/>
  <c r="T92" i="2" s="1"/>
  <c r="S31" i="2"/>
  <c r="T31" i="2" s="1"/>
  <c r="R31" i="2" s="1"/>
  <c r="K31" i="2" s="1"/>
  <c r="S9" i="2"/>
  <c r="T9" i="2" s="1"/>
  <c r="S42" i="2"/>
  <c r="T42" i="2" s="1"/>
  <c r="R42" i="2" s="1"/>
  <c r="K42" i="2" s="1"/>
  <c r="S10" i="2"/>
  <c r="T10" i="2" s="1"/>
  <c r="S24" i="2"/>
  <c r="T24" i="2" s="1"/>
  <c r="R24" i="2" s="1"/>
  <c r="K24" i="2" s="1"/>
  <c r="S54" i="2"/>
  <c r="T54" i="2" s="1"/>
  <c r="R54" i="2" s="1"/>
  <c r="K54" i="2" s="1"/>
  <c r="S34" i="2"/>
  <c r="T34" i="2" s="1"/>
  <c r="R34" i="2" s="1"/>
  <c r="K34" i="2" s="1"/>
  <c r="S22" i="2"/>
  <c r="T22" i="2" s="1"/>
  <c r="R22" i="2" s="1"/>
  <c r="K22" i="2" s="1"/>
  <c r="S43" i="2"/>
  <c r="T43" i="2" s="1"/>
  <c r="R43" i="2" s="1"/>
  <c r="K43" i="2" s="1"/>
  <c r="S46" i="2"/>
  <c r="T46" i="2" s="1"/>
  <c r="R46" i="2" s="1"/>
  <c r="K46" i="2" s="1"/>
  <c r="S6" i="2"/>
  <c r="T6" i="2" s="1"/>
  <c r="S55" i="2"/>
  <c r="T55" i="2" s="1"/>
  <c r="R55" i="2" s="1"/>
  <c r="K55" i="2" s="1"/>
  <c r="S49" i="2"/>
  <c r="T49" i="2" s="1"/>
  <c r="R49" i="2" s="1"/>
  <c r="K49" i="2" s="1"/>
  <c r="S8" i="2"/>
  <c r="T8" i="2" s="1"/>
  <c r="R8" i="2" s="1"/>
  <c r="S40" i="2"/>
  <c r="T40" i="2" s="1"/>
  <c r="R40" i="2" s="1"/>
  <c r="K40" i="2" s="1"/>
  <c r="S30" i="2"/>
  <c r="T30" i="2" s="1"/>
  <c r="R30" i="2" s="1"/>
  <c r="K30" i="2" s="1"/>
  <c r="S32" i="2"/>
  <c r="T32" i="2" s="1"/>
  <c r="R32" i="2" s="1"/>
  <c r="K32" i="2" s="1"/>
  <c r="S44" i="2"/>
  <c r="T44" i="2" s="1"/>
  <c r="R44" i="2" s="1"/>
  <c r="K44" i="2" s="1"/>
  <c r="S21" i="2"/>
  <c r="T21" i="2" s="1"/>
  <c r="R21" i="2" s="1"/>
  <c r="K21" i="2" s="1"/>
  <c r="S7" i="2"/>
  <c r="T7" i="2" s="1"/>
  <c r="S56" i="2"/>
  <c r="T56" i="2" s="1"/>
  <c r="R56" i="2" s="1"/>
  <c r="K56" i="2" s="1"/>
  <c r="H25" i="2"/>
  <c r="R25" i="2" s="1"/>
  <c r="H10" i="2"/>
  <c r="S82" i="2"/>
  <c r="T82" i="2" s="1"/>
  <c r="K82" i="2" s="1"/>
  <c r="S68" i="2"/>
  <c r="BE68" i="2" s="1"/>
  <c r="S88" i="2"/>
  <c r="T88" i="2" s="1"/>
  <c r="R88" i="2" s="1"/>
  <c r="K88" i="2" s="1"/>
  <c r="S80" i="2"/>
  <c r="T80" i="2" s="1"/>
  <c r="R80" i="2" s="1"/>
  <c r="K80" i="2" s="1"/>
  <c r="S95" i="2"/>
  <c r="T95" i="2" s="1"/>
  <c r="R95" i="2" s="1"/>
  <c r="K95" i="2" s="1"/>
  <c r="S2" i="2"/>
  <c r="S83" i="2"/>
  <c r="T83" i="2" s="1"/>
  <c r="R83" i="2" s="1"/>
  <c r="S90" i="2"/>
  <c r="T90" i="2" s="1"/>
  <c r="R90" i="2" s="1"/>
  <c r="K90" i="2" s="1"/>
  <c r="S58" i="2"/>
  <c r="T58" i="2" s="1"/>
  <c r="S71" i="2"/>
  <c r="S70" i="2"/>
  <c r="T70" i="2" s="1"/>
  <c r="S84" i="2"/>
  <c r="T84" i="2" s="1"/>
  <c r="R84" i="2" s="1"/>
  <c r="K84" i="2" s="1"/>
  <c r="S94" i="2"/>
  <c r="T94" i="2" s="1"/>
  <c r="R94" i="2" s="1"/>
  <c r="T2" i="2"/>
  <c r="K16" i="3"/>
  <c r="I60" i="1"/>
  <c r="K19" i="3"/>
  <c r="I63" i="1"/>
  <c r="K20" i="3"/>
  <c r="I64" i="1"/>
  <c r="H12" i="2"/>
  <c r="R12" i="2" s="1"/>
  <c r="H20" i="2"/>
  <c r="H13" i="2"/>
  <c r="R13" i="2" s="1"/>
  <c r="K13" i="2" s="1"/>
  <c r="K21" i="3"/>
  <c r="K22" i="3"/>
  <c r="AX49" i="2"/>
  <c r="AY49" i="2" s="1"/>
  <c r="AX88" i="2"/>
  <c r="R26" i="2"/>
  <c r="K26" i="2" s="1"/>
  <c r="R14" i="2"/>
  <c r="K14" i="2" s="1"/>
  <c r="CJ2" i="4"/>
  <c r="CH2" i="4" s="1"/>
  <c r="R50" i="2"/>
  <c r="K50" i="2" s="1"/>
  <c r="CM2" i="4"/>
  <c r="H100" i="2"/>
  <c r="R100" i="2" s="1"/>
  <c r="K100" i="2" s="1"/>
  <c r="H92" i="2"/>
  <c r="C2" i="47"/>
  <c r="C2" i="46"/>
  <c r="R38" i="2"/>
  <c r="K38" i="2" s="1"/>
  <c r="G62" i="1"/>
  <c r="G61" i="1"/>
  <c r="T4" i="4" s="1"/>
  <c r="AG4" i="4" s="1"/>
  <c r="R36" i="2"/>
  <c r="K36" i="2" s="1"/>
  <c r="R74" i="2"/>
  <c r="R86" i="2"/>
  <c r="K86" i="2" s="1"/>
  <c r="R59" i="2"/>
  <c r="K59" i="2" s="1"/>
  <c r="R48" i="2"/>
  <c r="K48" i="2" s="1"/>
  <c r="R99" i="2"/>
  <c r="K99" i="2" s="1"/>
  <c r="R51" i="2"/>
  <c r="K51" i="2" s="1"/>
  <c r="R62" i="2"/>
  <c r="K62" i="2" s="1"/>
  <c r="K63" i="2" s="1"/>
  <c r="R65" i="2"/>
  <c r="K65" i="2" s="1"/>
  <c r="R27" i="2"/>
  <c r="K27" i="2" s="1"/>
  <c r="R39" i="2"/>
  <c r="K39" i="2" s="1"/>
  <c r="AX95" i="2"/>
  <c r="AX40" i="2"/>
  <c r="R15" i="2"/>
  <c r="K15" i="2" s="1"/>
  <c r="BT5" i="4"/>
  <c r="BS5" i="4"/>
  <c r="BT4" i="4"/>
  <c r="BS4" i="4"/>
  <c r="R87" i="2"/>
  <c r="K87" i="2" s="1"/>
  <c r="R35" i="2"/>
  <c r="K35" i="2" s="1"/>
  <c r="R85" i="2"/>
  <c r="R33" i="2"/>
  <c r="K33" i="2" s="1"/>
  <c r="AX2" i="2"/>
  <c r="BT2" i="4"/>
  <c r="BS2" i="4"/>
  <c r="AX19" i="2"/>
  <c r="AX6" i="2"/>
  <c r="AX56" i="2"/>
  <c r="R77" i="2"/>
  <c r="AX58" i="2"/>
  <c r="R47" i="2"/>
  <c r="K47" i="2" s="1"/>
  <c r="R93" i="2"/>
  <c r="K93" i="2" s="1"/>
  <c r="AX21" i="2"/>
  <c r="AY21" i="2" s="1"/>
  <c r="AX31" i="2"/>
  <c r="R28" i="2"/>
  <c r="K28" i="2" s="1"/>
  <c r="AX68" i="2"/>
  <c r="R89" i="2"/>
  <c r="K89" i="2" s="1"/>
  <c r="AX70" i="2"/>
  <c r="AX7" i="2"/>
  <c r="AX18" i="2"/>
  <c r="AY18" i="2" s="1"/>
  <c r="AX8" i="2"/>
  <c r="AX43" i="2"/>
  <c r="R29" i="2"/>
  <c r="K29" i="2" s="1"/>
  <c r="AX82" i="2"/>
  <c r="R97" i="2"/>
  <c r="K97" i="2" s="1"/>
  <c r="AX84" i="2"/>
  <c r="AX90" i="2"/>
  <c r="AX30" i="2"/>
  <c r="L2" i="4"/>
  <c r="AX71" i="2"/>
  <c r="AX55" i="2"/>
  <c r="R52" i="2"/>
  <c r="K52" i="2" s="1"/>
  <c r="AX92" i="2"/>
  <c r="AY92" i="2" s="1"/>
  <c r="R41" i="2"/>
  <c r="K41" i="2" s="1"/>
  <c r="AX94" i="2"/>
  <c r="AX10" i="2"/>
  <c r="AX22" i="2"/>
  <c r="AX83" i="2"/>
  <c r="AX9" i="2"/>
  <c r="AX42" i="2"/>
  <c r="R96" i="2"/>
  <c r="K96" i="2" s="1"/>
  <c r="AX24" i="2"/>
  <c r="R37" i="2"/>
  <c r="K37" i="2" s="1"/>
  <c r="AX32" i="2"/>
  <c r="R53" i="2"/>
  <c r="K53" i="2" s="1"/>
  <c r="CL5" i="4"/>
  <c r="CM5" i="4"/>
  <c r="AX34" i="2"/>
  <c r="AX80" i="2"/>
  <c r="AX23" i="2"/>
  <c r="AY23" i="2" s="1"/>
  <c r="AX20" i="2"/>
  <c r="AY20" i="2" s="1"/>
  <c r="AX54" i="2"/>
  <c r="AY54" i="2" s="1"/>
  <c r="CL4" i="4"/>
  <c r="CM4" i="4"/>
  <c r="R45" i="2"/>
  <c r="K45" i="2" s="1"/>
  <c r="AX46" i="2"/>
  <c r="R91" i="2"/>
  <c r="K91" i="2" s="1"/>
  <c r="R98" i="2"/>
  <c r="K98" i="2" s="1"/>
  <c r="AX44" i="2"/>
  <c r="G29" i="5"/>
  <c r="F29" i="5" s="1"/>
  <c r="G27" i="5"/>
  <c r="F27" i="5" s="1"/>
  <c r="K64" i="2" l="1"/>
  <c r="AT64" i="2"/>
  <c r="AY44" i="2"/>
  <c r="AY17" i="2"/>
  <c r="K60" i="2"/>
  <c r="AT61" i="2" s="1"/>
  <c r="AQ60" i="2"/>
  <c r="BA43" i="2"/>
  <c r="AY43" i="2"/>
  <c r="BA17" i="2"/>
  <c r="AZ44" i="2"/>
  <c r="K57" i="2"/>
  <c r="AQ57" i="2"/>
  <c r="AY55" i="2"/>
  <c r="AY25" i="2"/>
  <c r="K66" i="2"/>
  <c r="AT67" i="2" s="1"/>
  <c r="AQ66" i="2"/>
  <c r="BA55" i="2"/>
  <c r="AY39" i="2"/>
  <c r="AY40" i="2"/>
  <c r="K74" i="2"/>
  <c r="K75" i="2" s="1"/>
  <c r="K83" i="2"/>
  <c r="S8" i="22" s="1"/>
  <c r="K25" i="2"/>
  <c r="AL25" i="2" s="1"/>
  <c r="K8" i="2"/>
  <c r="Q4" i="1" s="1"/>
  <c r="K3" i="2"/>
  <c r="M3" i="2" s="1"/>
  <c r="K12" i="2"/>
  <c r="S68" i="22" s="1"/>
  <c r="Q68" i="22" s="1"/>
  <c r="K94" i="2"/>
  <c r="AL92" i="2" s="1"/>
  <c r="K77" i="2"/>
  <c r="K78" i="2" s="1"/>
  <c r="K85" i="2"/>
  <c r="Q61" i="1" s="1"/>
  <c r="BA41" i="2"/>
  <c r="AY41" i="2"/>
  <c r="R19" i="2"/>
  <c r="AQ63" i="2"/>
  <c r="R18" i="2"/>
  <c r="AW48" i="2"/>
  <c r="T68" i="2"/>
  <c r="R68" i="2" s="1"/>
  <c r="AW45" i="2"/>
  <c r="AW27" i="2"/>
  <c r="AY27" i="2" s="1"/>
  <c r="AW19" i="2"/>
  <c r="AY19" i="2" s="1"/>
  <c r="AW15" i="2"/>
  <c r="AW26" i="2"/>
  <c r="AW46" i="2"/>
  <c r="AY46" i="2" s="1"/>
  <c r="AW31" i="2"/>
  <c r="AH94" i="2"/>
  <c r="AD94" i="2" s="1"/>
  <c r="J91" i="2"/>
  <c r="J92" i="2"/>
  <c r="BA92" i="2" s="1"/>
  <c r="J93" i="2"/>
  <c r="N26" i="2"/>
  <c r="O26" i="2"/>
  <c r="R9" i="2"/>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R6" i="2"/>
  <c r="R7" i="2"/>
  <c r="T71" i="2"/>
  <c r="R71" i="2" s="1"/>
  <c r="K71" i="2" s="1"/>
  <c r="K72" i="2" s="1"/>
  <c r="AT73" i="2" s="1"/>
  <c r="BE71" i="2"/>
  <c r="AY4" i="2"/>
  <c r="AZ4" i="2"/>
  <c r="BA4" i="2"/>
  <c r="S69" i="22"/>
  <c r="Q69" i="22" s="1"/>
  <c r="S76" i="22"/>
  <c r="Q76" i="22" s="1"/>
  <c r="S71" i="22"/>
  <c r="Q71" i="22" s="1"/>
  <c r="S70" i="22"/>
  <c r="Q70" i="22" s="1"/>
  <c r="AY85" i="2"/>
  <c r="AZ85" i="2"/>
  <c r="BA85" i="2"/>
  <c r="AY35" i="2"/>
  <c r="BA35" i="2"/>
  <c r="AZ35" i="2"/>
  <c r="R2" i="2"/>
  <c r="R20" i="2"/>
  <c r="K17" i="3"/>
  <c r="P9" i="22" s="1"/>
  <c r="I61" i="1"/>
  <c r="K18" i="3"/>
  <c r="I62" i="1"/>
  <c r="CI2" i="4"/>
  <c r="M5" i="2"/>
  <c r="S186" i="22"/>
  <c r="Q186" i="22" s="1"/>
  <c r="S308" i="22"/>
  <c r="Q308" i="22" s="1"/>
  <c r="S57" i="22"/>
  <c r="Q57" i="22" s="1"/>
  <c r="O22" i="2"/>
  <c r="M22" i="2"/>
  <c r="O13" i="2"/>
  <c r="M13" i="2"/>
  <c r="O32" i="2"/>
  <c r="M32" i="2"/>
  <c r="O90" i="2"/>
  <c r="M90" i="2"/>
  <c r="O28" i="2"/>
  <c r="M28" i="2"/>
  <c r="O87" i="2"/>
  <c r="M87" i="2"/>
  <c r="O62" i="2"/>
  <c r="M62" i="2"/>
  <c r="O50" i="2"/>
  <c r="M50" i="2"/>
  <c r="O29" i="2"/>
  <c r="M29" i="2"/>
  <c r="O99" i="2"/>
  <c r="M99" i="2"/>
  <c r="O56" i="2"/>
  <c r="M56" i="2"/>
  <c r="O30" i="2"/>
  <c r="M30" i="2"/>
  <c r="O24" i="2"/>
  <c r="M24" i="2"/>
  <c r="O98" i="2"/>
  <c r="M98" i="2"/>
  <c r="O96" i="2"/>
  <c r="M96" i="2"/>
  <c r="O84" i="2"/>
  <c r="M84" i="2"/>
  <c r="O38" i="2"/>
  <c r="M38" i="2"/>
  <c r="O34" i="2"/>
  <c r="M34" i="2"/>
  <c r="O80" i="2"/>
  <c r="M80" i="2"/>
  <c r="O91" i="2"/>
  <c r="M91" i="2"/>
  <c r="O52" i="2"/>
  <c r="M52" i="2"/>
  <c r="O33" i="2"/>
  <c r="M33" i="2"/>
  <c r="O37" i="2"/>
  <c r="M37" i="2"/>
  <c r="O42" i="2"/>
  <c r="M42" i="2"/>
  <c r="O97" i="2"/>
  <c r="M97" i="2"/>
  <c r="O93" i="2"/>
  <c r="M93" i="2"/>
  <c r="O59" i="2"/>
  <c r="M59" i="2"/>
  <c r="O89" i="2"/>
  <c r="M89" i="2"/>
  <c r="O11" i="2"/>
  <c r="M11" i="2"/>
  <c r="O51" i="2"/>
  <c r="M51" i="2"/>
  <c r="O86" i="2"/>
  <c r="M86" i="2"/>
  <c r="O100" i="2"/>
  <c r="M100" i="2"/>
  <c r="O95" i="2"/>
  <c r="M95" i="2"/>
  <c r="O53" i="2"/>
  <c r="M53" i="2"/>
  <c r="O65" i="2"/>
  <c r="M65" i="2"/>
  <c r="O36" i="2"/>
  <c r="M36" i="2"/>
  <c r="O88" i="2"/>
  <c r="M88" i="2"/>
  <c r="O49" i="2"/>
  <c r="N49" i="2"/>
  <c r="O31" i="2"/>
  <c r="N31" i="2"/>
  <c r="O54" i="2"/>
  <c r="N54" i="2"/>
  <c r="O46" i="2"/>
  <c r="N46" i="2"/>
  <c r="O45" i="2"/>
  <c r="N45" i="2"/>
  <c r="O48" i="2"/>
  <c r="N48" i="2"/>
  <c r="O14" i="2"/>
  <c r="N14" i="2"/>
  <c r="O40" i="2"/>
  <c r="N40" i="2"/>
  <c r="O44" i="2"/>
  <c r="N44" i="2"/>
  <c r="O23" i="2"/>
  <c r="N23" i="2"/>
  <c r="O21" i="2"/>
  <c r="N21" i="2"/>
  <c r="O39" i="2"/>
  <c r="N39" i="2"/>
  <c r="O17" i="2"/>
  <c r="N17" i="2"/>
  <c r="O16" i="2"/>
  <c r="N16" i="2"/>
  <c r="O41" i="2"/>
  <c r="N41" i="2"/>
  <c r="O55" i="2"/>
  <c r="N55" i="2"/>
  <c r="O47" i="2"/>
  <c r="N47" i="2"/>
  <c r="O35" i="2"/>
  <c r="N35" i="2"/>
  <c r="O27" i="2"/>
  <c r="N27" i="2"/>
  <c r="O43" i="2"/>
  <c r="N43" i="2"/>
  <c r="O15" i="2"/>
  <c r="N15" i="2"/>
  <c r="S154" i="22"/>
  <c r="Q154" i="22" s="1"/>
  <c r="S77" i="22"/>
  <c r="Q77"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103" i="22"/>
  <c r="Q103" i="22" s="1"/>
  <c r="S54" i="22"/>
  <c r="Q54" i="22" s="1"/>
  <c r="S183" i="22"/>
  <c r="Q183" i="22" s="1"/>
  <c r="S305" i="22"/>
  <c r="Q305" i="22" s="1"/>
  <c r="S333" i="22"/>
  <c r="Q333" i="22" s="1"/>
  <c r="S104" i="22"/>
  <c r="Q104" i="22" s="1"/>
  <c r="R92" i="2"/>
  <c r="R4" i="4"/>
  <c r="C2" i="45"/>
  <c r="BR4" i="4"/>
  <c r="BQ4" i="4"/>
  <c r="BR5" i="4"/>
  <c r="BQ5" i="4"/>
  <c r="CF2" i="4"/>
  <c r="CG2" i="4"/>
  <c r="CJ4" i="4"/>
  <c r="CK4" i="4"/>
  <c r="CK5" i="4"/>
  <c r="CJ5" i="4"/>
  <c r="J2" i="4"/>
  <c r="BR2" i="4"/>
  <c r="BQ2" i="4"/>
  <c r="K79" i="2" l="1"/>
  <c r="AT79" i="2"/>
  <c r="K76" i="2"/>
  <c r="AT76" i="2"/>
  <c r="N25" i="2"/>
  <c r="O74" i="2"/>
  <c r="M74" i="2"/>
  <c r="O25" i="2"/>
  <c r="O85" i="2"/>
  <c r="K73" i="2"/>
  <c r="O83" i="2"/>
  <c r="K67" i="2"/>
  <c r="S44" i="22"/>
  <c r="Q44" i="22" s="1"/>
  <c r="S420" i="22"/>
  <c r="Q420" i="22" s="1"/>
  <c r="S191" i="22"/>
  <c r="Q191" i="22" s="1"/>
  <c r="S38" i="22"/>
  <c r="Q38" i="22" s="1"/>
  <c r="S299" i="22"/>
  <c r="Q299" i="22" s="1"/>
  <c r="S350" i="22"/>
  <c r="Q350" i="22" s="1"/>
  <c r="S28" i="22"/>
  <c r="Q28" i="22" s="1"/>
  <c r="O3" i="2"/>
  <c r="S312" i="22"/>
  <c r="Q312" i="22" s="1"/>
  <c r="S348" i="22"/>
  <c r="Q348" i="22" s="1"/>
  <c r="S411" i="22"/>
  <c r="Q411" i="22" s="1"/>
  <c r="K61" i="2"/>
  <c r="K58" i="2"/>
  <c r="AT58" i="2"/>
  <c r="M8" i="2"/>
  <c r="S66" i="22"/>
  <c r="Q66" i="22" s="1"/>
  <c r="O8" i="2"/>
  <c r="S339" i="22"/>
  <c r="Q339" i="22" s="1"/>
  <c r="O77" i="2"/>
  <c r="S60" i="22"/>
  <c r="Q60" i="22" s="1"/>
  <c r="S164" i="22"/>
  <c r="Q164" i="22" s="1"/>
  <c r="O12" i="2"/>
  <c r="S101" i="22"/>
  <c r="Q101" i="22" s="1"/>
  <c r="S3" i="22"/>
  <c r="Q3" i="22" s="1"/>
  <c r="M94" i="2"/>
  <c r="O94" i="2"/>
  <c r="Q8" i="22"/>
  <c r="AK8" i="22"/>
  <c r="AI8" i="22"/>
  <c r="N85" i="2"/>
  <c r="M83" i="2"/>
  <c r="M12" i="2"/>
  <c r="M77" i="2"/>
  <c r="AJ8" i="22"/>
  <c r="AE8" i="22" s="1"/>
  <c r="AQ78" i="2"/>
  <c r="K92" i="2"/>
  <c r="AL94" i="2" s="1"/>
  <c r="K20" i="2"/>
  <c r="O20" i="2" s="1"/>
  <c r="K2" i="2"/>
  <c r="M2" i="2" s="1"/>
  <c r="K7" i="2"/>
  <c r="S340" i="22" s="1"/>
  <c r="Q340" i="22" s="1"/>
  <c r="K18" i="2"/>
  <c r="N18" i="2" s="1"/>
  <c r="K6" i="2"/>
  <c r="S7" i="22" s="1"/>
  <c r="Q7" i="22" s="1"/>
  <c r="K9" i="2"/>
  <c r="S72" i="22" s="1"/>
  <c r="K10" i="2"/>
  <c r="O10" i="2" s="1"/>
  <c r="K19" i="2"/>
  <c r="N19" i="2" s="1"/>
  <c r="K68" i="2"/>
  <c r="K69" i="2" s="1"/>
  <c r="AT70" i="2" s="1"/>
  <c r="AQ75" i="2"/>
  <c r="M71" i="2"/>
  <c r="AQ72" i="2"/>
  <c r="AZ27" i="2"/>
  <c r="BA27" i="2"/>
  <c r="AZ45" i="2"/>
  <c r="AY45" i="2"/>
  <c r="BA45" i="2"/>
  <c r="AZ48" i="2"/>
  <c r="AY48" i="2"/>
  <c r="BA48" i="2"/>
  <c r="AZ19" i="2"/>
  <c r="BA19" i="2"/>
  <c r="AZ26" i="2"/>
  <c r="AY26" i="2"/>
  <c r="BA26" i="2"/>
  <c r="AZ15" i="2"/>
  <c r="AY15" i="2"/>
  <c r="BA15" i="2"/>
  <c r="AZ31" i="2"/>
  <c r="BA31" i="2"/>
  <c r="AY31" i="2"/>
  <c r="BA46" i="2"/>
  <c r="AZ46" i="2"/>
  <c r="O71" i="2"/>
  <c r="AI64" i="22"/>
  <c r="AJ64" i="22"/>
  <c r="AI315" i="22"/>
  <c r="AJ315" i="22"/>
  <c r="AK315" i="22"/>
  <c r="AJ167" i="22"/>
  <c r="AK167" i="22"/>
  <c r="AI167" i="22"/>
  <c r="AK64" i="22"/>
  <c r="AJ31" i="22"/>
  <c r="AI31" i="22"/>
  <c r="AK31" i="22"/>
  <c r="AI351" i="22"/>
  <c r="AJ351" i="22"/>
  <c r="AK351" i="22"/>
  <c r="AK194" i="22"/>
  <c r="AJ194" i="22"/>
  <c r="AI194" i="22"/>
  <c r="AJ6" i="22"/>
  <c r="AI6" i="22"/>
  <c r="AK6" i="22"/>
  <c r="AJ80" i="22"/>
  <c r="AI80" i="22"/>
  <c r="AK80" i="22"/>
  <c r="AI339" i="22"/>
  <c r="AI414" i="22"/>
  <c r="AJ414" i="22"/>
  <c r="AK414" i="22"/>
  <c r="AJ70" i="22"/>
  <c r="AI70" i="22"/>
  <c r="AK70" i="22"/>
  <c r="AJ71" i="22"/>
  <c r="AI71" i="22"/>
  <c r="AK71" i="22"/>
  <c r="AJ76" i="22"/>
  <c r="AI76" i="22"/>
  <c r="AK76" i="22"/>
  <c r="AJ56" i="22"/>
  <c r="AI56" i="22"/>
  <c r="AK56" i="22"/>
  <c r="AJ313" i="22"/>
  <c r="AI313" i="22"/>
  <c r="AK313" i="22"/>
  <c r="AK57" i="22"/>
  <c r="AJ57" i="22"/>
  <c r="AI57" i="22"/>
  <c r="AI305" i="22"/>
  <c r="AJ305" i="22"/>
  <c r="AK305" i="22"/>
  <c r="AJ307" i="22"/>
  <c r="AI307" i="22"/>
  <c r="AK307" i="22"/>
  <c r="AI39" i="22"/>
  <c r="AJ39" i="22"/>
  <c r="AK39" i="22"/>
  <c r="AJ191" i="22"/>
  <c r="AJ308" i="22"/>
  <c r="AK308" i="22"/>
  <c r="AI308" i="22"/>
  <c r="AJ193" i="22"/>
  <c r="AI193" i="22"/>
  <c r="AK193" i="22"/>
  <c r="AJ30" i="22"/>
  <c r="AI30" i="22"/>
  <c r="AK30" i="22"/>
  <c r="AJ47" i="22"/>
  <c r="AI47" i="22"/>
  <c r="AK47" i="22"/>
  <c r="AJ186" i="22"/>
  <c r="AI186" i="22"/>
  <c r="AK186" i="22"/>
  <c r="AI44" i="22"/>
  <c r="AK44" i="22"/>
  <c r="AJ184" i="22"/>
  <c r="AI184" i="22"/>
  <c r="AK184" i="22"/>
  <c r="AI334" i="22"/>
  <c r="AK334" i="22"/>
  <c r="AJ334" i="22"/>
  <c r="AJ41" i="22"/>
  <c r="AI41" i="22"/>
  <c r="AK41" i="22"/>
  <c r="AI336" i="22"/>
  <c r="AK336" i="22"/>
  <c r="AJ336" i="22"/>
  <c r="AJ101" i="22"/>
  <c r="AI101" i="22"/>
  <c r="AK101" i="22"/>
  <c r="AK79" i="22"/>
  <c r="AJ79" i="22"/>
  <c r="AI79" i="22"/>
  <c r="AJ165" i="22"/>
  <c r="AI165" i="22"/>
  <c r="AK165" i="22"/>
  <c r="AJ183" i="22"/>
  <c r="AI183" i="22"/>
  <c r="AK183" i="22"/>
  <c r="AK413" i="22"/>
  <c r="AI413" i="22"/>
  <c r="AJ413" i="22"/>
  <c r="AI40" i="22"/>
  <c r="AJ40" i="22"/>
  <c r="AK40" i="22"/>
  <c r="AJ102" i="22"/>
  <c r="AI102" i="22"/>
  <c r="AK102" i="22"/>
  <c r="AJ54" i="22"/>
  <c r="AI54" i="22"/>
  <c r="AK54" i="22"/>
  <c r="AI349" i="22"/>
  <c r="AJ349" i="22"/>
  <c r="AK349" i="22"/>
  <c r="AI335" i="22"/>
  <c r="AJ335" i="22"/>
  <c r="AK335" i="22"/>
  <c r="AJ55" i="22"/>
  <c r="AI55" i="22"/>
  <c r="AK55" i="22"/>
  <c r="AI312" i="22"/>
  <c r="AJ312" i="22"/>
  <c r="AK312" i="22"/>
  <c r="AJ185" i="22"/>
  <c r="AI185" i="22"/>
  <c r="AK185" i="22"/>
  <c r="AJ306" i="22"/>
  <c r="AI306" i="22"/>
  <c r="AK306" i="22"/>
  <c r="AJ29" i="22"/>
  <c r="AI29" i="22"/>
  <c r="AK29" i="22"/>
  <c r="AK411" i="22"/>
  <c r="AJ104" i="22"/>
  <c r="AI104" i="22"/>
  <c r="AK104" i="22"/>
  <c r="AI340" i="22"/>
  <c r="AJ340" i="22"/>
  <c r="AI61" i="22"/>
  <c r="AJ61" i="22"/>
  <c r="AK61" i="22"/>
  <c r="AI192" i="22"/>
  <c r="AK192" i="22"/>
  <c r="AJ192" i="22"/>
  <c r="AJ314" i="22"/>
  <c r="AI314" i="22"/>
  <c r="AK314" i="22"/>
  <c r="AK45" i="22"/>
  <c r="AJ45" i="22"/>
  <c r="AI45" i="22"/>
  <c r="AI62" i="22"/>
  <c r="AK62" i="22"/>
  <c r="AJ62" i="22"/>
  <c r="AI38" i="22"/>
  <c r="AK38" i="22"/>
  <c r="AJ38" i="22"/>
  <c r="AJ103" i="22"/>
  <c r="AI103" i="22"/>
  <c r="AK103" i="22"/>
  <c r="AJ5" i="22"/>
  <c r="AI5" i="22"/>
  <c r="AK5" i="22"/>
  <c r="AJ166" i="22"/>
  <c r="AK166" i="22"/>
  <c r="AI166" i="22"/>
  <c r="AJ46" i="22"/>
  <c r="AI46" i="22"/>
  <c r="AK46" i="22"/>
  <c r="AJ77" i="22"/>
  <c r="AI77" i="22"/>
  <c r="AK77" i="22"/>
  <c r="AI333" i="22"/>
  <c r="AJ333" i="22"/>
  <c r="AK333" i="22"/>
  <c r="AI412" i="22"/>
  <c r="AK412" i="22"/>
  <c r="AJ412" i="22"/>
  <c r="AJ78" i="22"/>
  <c r="AI78" i="22"/>
  <c r="AK78" i="22"/>
  <c r="AI4" i="22"/>
  <c r="AJ4" i="22"/>
  <c r="AK4" i="22"/>
  <c r="AJ154" i="22"/>
  <c r="AI154" i="22"/>
  <c r="AK154" i="22"/>
  <c r="S51" i="22"/>
  <c r="Q51" i="22" s="1"/>
  <c r="S50" i="22"/>
  <c r="Q50" i="22" s="1"/>
  <c r="S49" i="22"/>
  <c r="Q49" i="22" s="1"/>
  <c r="S48" i="22"/>
  <c r="Q48" i="22" s="1"/>
  <c r="AL313" i="22"/>
  <c r="AM31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275" i="22"/>
  <c r="AL123" i="22"/>
  <c r="AM399" i="22"/>
  <c r="AL153" i="22"/>
  <c r="AM381" i="22"/>
  <c r="AM312" i="22"/>
  <c r="AL228" i="22"/>
  <c r="AM161"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M390" i="22"/>
  <c r="AL300" i="22"/>
  <c r="AM240" i="22"/>
  <c r="AL87" i="22"/>
  <c r="AM380" i="22"/>
  <c r="AM287" i="22"/>
  <c r="AM203" i="22"/>
  <c r="AL135" i="22"/>
  <c r="AM40" i="22"/>
  <c r="AM411" i="22"/>
  <c r="AM413" i="22"/>
  <c r="AM324" i="22"/>
  <c r="AM264" i="22"/>
  <c r="AM173" i="22"/>
  <c r="AL112" i="22"/>
  <c r="AM5" i="22"/>
  <c r="AL323" i="22"/>
  <c r="AL227" i="22"/>
  <c r="AM160" i="22"/>
  <c r="AL4" i="22"/>
  <c r="AL173" i="22"/>
  <c r="AL287" i="22"/>
  <c r="AM250" i="22"/>
  <c r="AM190" i="22"/>
  <c r="AL97" i="22"/>
  <c r="AL39" i="22"/>
  <c r="AM15" i="22"/>
  <c r="AM388" i="22"/>
  <c r="AL321" i="22"/>
  <c r="AL225" i="22"/>
  <c r="AM158"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191"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L78" i="22"/>
  <c r="AM176" i="22"/>
  <c r="AL346" i="22"/>
  <c r="AM290" i="22"/>
  <c r="AL206" i="22"/>
  <c r="AM138" i="22"/>
  <c r="AL19" i="22"/>
  <c r="AL382" i="22"/>
  <c r="AL289" i="22"/>
  <c r="AM229" i="22"/>
  <c r="AL125" i="22"/>
  <c r="AM66" i="22"/>
  <c r="AL324" i="22"/>
  <c r="AL17" i="22"/>
  <c r="AL411"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385" i="22"/>
  <c r="AL257" i="22"/>
  <c r="AM221" i="22"/>
  <c r="AL92" i="22"/>
  <c r="AM46" i="22"/>
  <c r="AL328" i="22"/>
  <c r="AM292" i="22"/>
  <c r="AL208" i="22"/>
  <c r="AM185" i="22"/>
  <c r="AM140" i="22"/>
  <c r="AL33" i="22"/>
  <c r="AL177" i="22"/>
  <c r="AM373" i="22"/>
  <c r="AM347" i="22"/>
  <c r="AL291" i="22"/>
  <c r="AL255" i="22"/>
  <c r="AM102" i="22"/>
  <c r="AL176" i="22"/>
  <c r="AM372" i="22"/>
  <c r="AL290" i="22"/>
  <c r="AM230" i="22"/>
  <c r="AL138" i="22"/>
  <c r="AM55" i="22"/>
  <c r="AM382" i="22"/>
  <c r="AL229" i="22"/>
  <c r="AM149" i="22"/>
  <c r="AL66" i="22"/>
  <c r="AL368" i="22"/>
  <c r="AM224" i="22"/>
  <c r="AL166" i="22"/>
  <c r="AM148" i="22"/>
  <c r="AL5" i="22"/>
  <c r="AM334" i="22"/>
  <c r="AL298" i="22"/>
  <c r="AM214" i="22"/>
  <c r="AL146" i="22"/>
  <c r="AM122" i="22"/>
  <c r="AM6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L102" i="22"/>
  <c r="AM20" i="22"/>
  <c r="AL372" i="22"/>
  <c r="AM314" i="22"/>
  <c r="AL230" i="22"/>
  <c r="AM163" i="22"/>
  <c r="AL55" i="22"/>
  <c r="AM402" i="22"/>
  <c r="AM253" i="22"/>
  <c r="AL149" i="22"/>
  <c r="AM88" i="22"/>
  <c r="AL130" i="22"/>
  <c r="AL136" i="22"/>
  <c r="AM251" i="22"/>
  <c r="AL64" i="22"/>
  <c r="AL399" i="22"/>
  <c r="AL238" i="22"/>
  <c r="AM146" i="22"/>
  <c r="AL85" i="22"/>
  <c r="AL379" i="22"/>
  <c r="AL273" i="22"/>
  <c r="AL213" i="22"/>
  <c r="AL121" i="22"/>
  <c r="AM62" i="22"/>
  <c r="AL409" i="22"/>
  <c r="AL351" i="22"/>
  <c r="AM272" i="22"/>
  <c r="AL212" i="22"/>
  <c r="AL120" i="22"/>
  <c r="AM61" i="22"/>
  <c r="AL408" i="22"/>
  <c r="AM319" i="22"/>
  <c r="AL143" i="22"/>
  <c r="AM12" i="22"/>
  <c r="AL342" i="22"/>
  <c r="AM306" i="22"/>
  <c r="AL198" i="22"/>
  <c r="AM142" i="22"/>
  <c r="AL11" i="22"/>
  <c r="AM406" i="22"/>
  <c r="AM385" i="22"/>
  <c r="AL281" i="22"/>
  <c r="AM245" i="22"/>
  <c r="AM80" i="22"/>
  <c r="AL46" i="22"/>
  <c r="AL405" i="22"/>
  <c r="AL374" i="22"/>
  <c r="AL232" i="22"/>
  <c r="AM165" i="22"/>
  <c r="AL57" i="22"/>
  <c r="AM416" i="22"/>
  <c r="AL315" i="22"/>
  <c r="AM279"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L421" i="22"/>
  <c r="AM24" i="22"/>
  <c r="AL293" i="22"/>
  <c r="AM252"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96" i="22"/>
  <c r="AM318" i="22"/>
  <c r="AM87" i="22"/>
  <c r="AL286" i="22"/>
  <c r="AM226" i="22"/>
  <c r="AM134" i="22"/>
  <c r="AL422" i="22"/>
  <c r="AL367" i="22"/>
  <c r="AL261" i="22"/>
  <c r="AM237" i="22"/>
  <c r="AL201" i="22"/>
  <c r="AL109" i="22"/>
  <c r="AL397" i="22"/>
  <c r="AL344" i="22"/>
  <c r="AL260" i="22"/>
  <c r="AL200" i="22"/>
  <c r="AL108" i="22"/>
  <c r="AL396" i="22"/>
  <c r="AM307" i="22"/>
  <c r="AM283" i="22"/>
  <c r="AL223" i="22"/>
  <c r="AL199" i="22"/>
  <c r="AM156" i="22"/>
  <c r="AL131" i="22"/>
  <c r="AL107"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50" i="22"/>
  <c r="AL350" i="22"/>
  <c r="AM340" i="22"/>
  <c r="AL340" i="22"/>
  <c r="AM305" i="22"/>
  <c r="AL305" i="22"/>
  <c r="AM348" i="22"/>
  <c r="AL348" i="22"/>
  <c r="AM103" i="22"/>
  <c r="AL103" i="22"/>
  <c r="AM44" i="22"/>
  <c r="AL44" i="22"/>
  <c r="AM7" i="22"/>
  <c r="AM101" i="22"/>
  <c r="AL101"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U69" i="2"/>
  <c r="U81" i="2"/>
  <c r="U57" i="2"/>
  <c r="U63" i="2"/>
  <c r="U78" i="2"/>
  <c r="U66" i="2"/>
  <c r="S57" i="2" a="1"/>
  <c r="S78" i="2" a="1"/>
  <c r="S66" i="2" a="1"/>
  <c r="S69" i="2" a="1"/>
  <c r="S60" i="2" a="1"/>
  <c r="S81" i="2" a="1"/>
  <c r="S72" i="2" a="1"/>
  <c r="S75" i="2" a="1"/>
  <c r="S63" i="2" a="1"/>
  <c r="AI3" i="22" l="1"/>
  <c r="AL3" i="22"/>
  <c r="AM3" i="22"/>
  <c r="AK3" i="22"/>
  <c r="AJ3" i="22"/>
  <c r="AM420" i="22"/>
  <c r="AI348" i="22"/>
  <c r="AK420" i="22"/>
  <c r="AJ420" i="22"/>
  <c r="AI420" i="22"/>
  <c r="AK28" i="22"/>
  <c r="AJ299" i="22"/>
  <c r="AK7" i="22"/>
  <c r="AJ348" i="22"/>
  <c r="AK299" i="22"/>
  <c r="AL60" i="22"/>
  <c r="AI299" i="22"/>
  <c r="AM60" i="22"/>
  <c r="AL299" i="22"/>
  <c r="S310" i="22"/>
  <c r="Q310" i="22" s="1"/>
  <c r="O7" i="2"/>
  <c r="AD8" i="22"/>
  <c r="AK66" i="22"/>
  <c r="AK60" i="22"/>
  <c r="AI60" i="22"/>
  <c r="AJ60" i="22"/>
  <c r="K70" i="2"/>
  <c r="AK350" i="22"/>
  <c r="AJ350" i="22"/>
  <c r="AE350" i="22" s="1"/>
  <c r="AI350" i="22"/>
  <c r="AI411" i="22"/>
  <c r="AM164" i="22"/>
  <c r="AJ411" i="22"/>
  <c r="AK164" i="22"/>
  <c r="N92" i="2"/>
  <c r="AL191" i="22"/>
  <c r="O92" i="2"/>
  <c r="AK191" i="22"/>
  <c r="AK340" i="22"/>
  <c r="AJ44" i="22"/>
  <c r="AK348" i="22"/>
  <c r="AI191" i="22"/>
  <c r="AJ28" i="22"/>
  <c r="AI28" i="22"/>
  <c r="AJ339" i="22"/>
  <c r="AG339" i="22" s="1"/>
  <c r="S415" i="22"/>
  <c r="Q415" i="22" s="1"/>
  <c r="AM28" i="22"/>
  <c r="AL28" i="22"/>
  <c r="N20" i="2"/>
  <c r="AL7" i="22"/>
  <c r="AK339" i="22"/>
  <c r="AI7" i="22"/>
  <c r="S316" i="22"/>
  <c r="Q316" i="22" s="1"/>
  <c r="S168" i="22"/>
  <c r="S337" i="22"/>
  <c r="AL337" i="22" s="1"/>
  <c r="AJ66" i="22"/>
  <c r="AG66" i="22" s="1"/>
  <c r="AL164" i="22"/>
  <c r="AI164" i="22"/>
  <c r="AJ164" i="22"/>
  <c r="AF164" i="22" s="1"/>
  <c r="AI66" i="22"/>
  <c r="S81" i="22"/>
  <c r="Q81" i="22" s="1"/>
  <c r="S32" i="22"/>
  <c r="Q32" i="22" s="1"/>
  <c r="AG8" i="22"/>
  <c r="M9" i="2"/>
  <c r="O2" i="2"/>
  <c r="S73" i="22"/>
  <c r="AJ73" i="22" s="1"/>
  <c r="AC73" i="22" s="1"/>
  <c r="AF8" i="22"/>
  <c r="O18" i="2"/>
  <c r="AJ7" i="22"/>
  <c r="AG7" i="22" s="1"/>
  <c r="S195" i="22"/>
  <c r="Q195" i="22" s="1"/>
  <c r="M7" i="2"/>
  <c r="S74" i="22"/>
  <c r="O9" i="2"/>
  <c r="AQ69" i="2"/>
  <c r="M6" i="2"/>
  <c r="M10" i="2"/>
  <c r="S365" i="22"/>
  <c r="S75" i="22"/>
  <c r="S67" i="22"/>
  <c r="O19" i="2"/>
  <c r="S42" i="22"/>
  <c r="Q72" i="22"/>
  <c r="AL72" i="22"/>
  <c r="AJ72" i="22"/>
  <c r="AG72" i="22" s="1"/>
  <c r="AM72" i="22"/>
  <c r="AK72" i="22"/>
  <c r="AI72" i="22"/>
  <c r="S353" i="22"/>
  <c r="Q353" i="22" s="1"/>
  <c r="S309" i="22"/>
  <c r="Q309" i="22" s="1"/>
  <c r="S65" i="22"/>
  <c r="S105" i="22"/>
  <c r="AI105" i="22" s="1"/>
  <c r="O68" i="2"/>
  <c r="O6" i="2"/>
  <c r="S187" i="22"/>
  <c r="AI187" i="22" s="1"/>
  <c r="M68" i="2"/>
  <c r="AL310" i="22"/>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D348" i="22"/>
  <c r="AE348" i="22"/>
  <c r="AF348" i="22"/>
  <c r="AG348" i="22"/>
  <c r="AE76" i="22"/>
  <c r="AF76" i="22"/>
  <c r="AG76" i="22"/>
  <c r="AD76" i="22"/>
  <c r="AD80" i="22"/>
  <c r="AE80" i="22"/>
  <c r="AF80" i="22"/>
  <c r="AG80" i="22"/>
  <c r="AD351" i="22"/>
  <c r="AE351" i="22"/>
  <c r="AF351" i="22"/>
  <c r="AG351" i="22"/>
  <c r="AD167" i="22"/>
  <c r="AE167" i="22"/>
  <c r="AF167" i="22"/>
  <c r="AG167" i="22"/>
  <c r="AD72" i="22"/>
  <c r="AD166" i="22"/>
  <c r="AE166" i="22"/>
  <c r="AF166" i="22"/>
  <c r="AG166" i="22"/>
  <c r="AD62" i="22"/>
  <c r="AF62" i="22"/>
  <c r="AG62" i="22"/>
  <c r="AE62" i="22"/>
  <c r="AD61" i="22"/>
  <c r="AE61" i="22"/>
  <c r="AF61" i="22"/>
  <c r="AG61" i="22"/>
  <c r="AD306" i="22"/>
  <c r="AE306" i="22"/>
  <c r="AG306" i="22"/>
  <c r="AF306" i="22"/>
  <c r="AD312" i="22"/>
  <c r="AE312" i="22"/>
  <c r="AF312" i="22"/>
  <c r="AG312" i="22"/>
  <c r="AD40" i="22"/>
  <c r="AE40" i="22"/>
  <c r="AF40" i="22"/>
  <c r="AG40" i="22"/>
  <c r="AD334" i="22"/>
  <c r="AE334" i="22"/>
  <c r="AF334" i="22"/>
  <c r="AG334" i="22"/>
  <c r="AD299" i="22"/>
  <c r="AE299" i="22"/>
  <c r="AG299" i="22"/>
  <c r="AF299" i="22"/>
  <c r="AD39" i="22"/>
  <c r="AF39" i="22"/>
  <c r="AE39" i="22"/>
  <c r="AG39" i="22"/>
  <c r="AD70" i="22"/>
  <c r="AE70" i="22"/>
  <c r="AF70" i="22"/>
  <c r="AG70" i="22"/>
  <c r="AE414" i="22"/>
  <c r="AD414" i="22"/>
  <c r="AF414" i="22"/>
  <c r="AG414" i="22"/>
  <c r="AE349" i="22"/>
  <c r="AD349" i="22"/>
  <c r="AF349" i="22"/>
  <c r="AG349" i="22"/>
  <c r="AD101" i="22"/>
  <c r="AE101" i="22"/>
  <c r="AF101" i="22"/>
  <c r="AG101" i="22"/>
  <c r="AD305" i="22"/>
  <c r="AE305" i="22"/>
  <c r="AF305" i="22"/>
  <c r="AG305"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D339" i="22"/>
  <c r="AD31" i="22"/>
  <c r="AE31" i="22"/>
  <c r="AF31" i="22"/>
  <c r="AG31" i="22"/>
  <c r="AD64" i="22"/>
  <c r="AF64" i="22"/>
  <c r="AE64" i="22"/>
  <c r="AG64" i="22"/>
  <c r="AD412" i="22"/>
  <c r="AE412" i="22"/>
  <c r="AF412" i="22"/>
  <c r="AG412"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G60" i="22"/>
  <c r="AF60" i="22"/>
  <c r="AD194" i="22"/>
  <c r="AE194" i="22"/>
  <c r="AF194" i="22"/>
  <c r="AG194" i="22"/>
  <c r="AD154" i="22"/>
  <c r="AE154" i="22"/>
  <c r="AF154" i="22"/>
  <c r="AG154" i="22"/>
  <c r="AD46" i="22"/>
  <c r="AF46" i="22"/>
  <c r="AE46" i="22"/>
  <c r="AG46" i="22"/>
  <c r="AD29" i="22"/>
  <c r="AE29" i="22"/>
  <c r="AF29" i="22"/>
  <c r="AG29" i="22"/>
  <c r="AD54" i="22"/>
  <c r="AE54" i="22"/>
  <c r="AF54" i="22"/>
  <c r="AG54" i="22"/>
  <c r="AD79" i="22"/>
  <c r="AE79" i="22"/>
  <c r="AF79" i="22"/>
  <c r="AG79" i="22"/>
  <c r="AD184" i="22"/>
  <c r="AF184" i="22"/>
  <c r="AE184" i="22"/>
  <c r="AG184" i="22"/>
  <c r="AD191" i="22"/>
  <c r="AF191" i="22"/>
  <c r="AE191" i="22"/>
  <c r="AG191"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B353" i="22" s="1"/>
  <c r="AL51" i="22"/>
  <c r="AM51" i="22"/>
  <c r="AI353" i="22"/>
  <c r="AK337" i="22"/>
  <c r="AI337" i="22"/>
  <c r="AM316" i="22"/>
  <c r="AL168" i="22"/>
  <c r="AL48" i="22"/>
  <c r="AJ337" i="22"/>
  <c r="AB337" i="22" s="1"/>
  <c r="AL32" i="22"/>
  <c r="AM49" i="22"/>
  <c r="AM50" i="22"/>
  <c r="AL49" i="22"/>
  <c r="AL316" i="22"/>
  <c r="AM48" i="22"/>
  <c r="AI415" i="22"/>
  <c r="AK415" i="22"/>
  <c r="AJ415" i="22"/>
  <c r="AB415" i="22" s="1"/>
  <c r="AI168" i="22"/>
  <c r="AJ168" i="22"/>
  <c r="AA168" i="22" s="1"/>
  <c r="AK168" i="22"/>
  <c r="AJ32" i="22"/>
  <c r="AB32" i="22" s="1"/>
  <c r="AI32" i="22"/>
  <c r="AK32" i="22"/>
  <c r="AK81" i="22"/>
  <c r="AL50" i="22"/>
  <c r="AI311" i="22"/>
  <c r="AJ311" i="22"/>
  <c r="AK311" i="22"/>
  <c r="AI50" i="22"/>
  <c r="AK50" i="22"/>
  <c r="AJ50" i="22"/>
  <c r="AI52" i="22"/>
  <c r="AK52" i="22"/>
  <c r="AJ52" i="22"/>
  <c r="AI51" i="22"/>
  <c r="AJ51" i="22"/>
  <c r="AK51" i="22"/>
  <c r="AJ343" i="22"/>
  <c r="AI343" i="22"/>
  <c r="AK343" i="22"/>
  <c r="AI310" i="22"/>
  <c r="AJ310" i="22"/>
  <c r="AA310" i="22" s="1"/>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T66" i="2" s="1"/>
  <c r="S69" i="2"/>
  <c r="T69" i="2" s="1"/>
  <c r="S78" i="2"/>
  <c r="T78" i="2" s="1"/>
  <c r="S63" i="2"/>
  <c r="T63" i="2" s="1"/>
  <c r="S60" i="2"/>
  <c r="S72" i="2"/>
  <c r="T72" i="2" s="1"/>
  <c r="S57" i="2"/>
  <c r="T57" i="2" s="1"/>
  <c r="S75" i="2"/>
  <c r="T75" i="2" s="1"/>
  <c r="T81" i="2"/>
  <c r="T60" i="2"/>
  <c r="AB313" i="22"/>
  <c r="AC313" i="22"/>
  <c r="AA313" i="22"/>
  <c r="AC196" i="22"/>
  <c r="AB196" i="22"/>
  <c r="AB296" i="22"/>
  <c r="AC296" i="22"/>
  <c r="AB403" i="22"/>
  <c r="AC403" i="22"/>
  <c r="AC115" i="22"/>
  <c r="AB115" i="22"/>
  <c r="AC23" i="22"/>
  <c r="AB23" i="22"/>
  <c r="AC87" i="22"/>
  <c r="AB87" i="22"/>
  <c r="AC54" i="22"/>
  <c r="AB54" i="22"/>
  <c r="AB7" i="22"/>
  <c r="AC60"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B348" i="22"/>
  <c r="AC348" i="22"/>
  <c r="AC110" i="22"/>
  <c r="AB110" i="22"/>
  <c r="AC84" i="22"/>
  <c r="AB84" i="22"/>
  <c r="AB338" i="22"/>
  <c r="AC338" i="22"/>
  <c r="AB304" i="22"/>
  <c r="AC304" i="22"/>
  <c r="AB307" i="22"/>
  <c r="AC307" i="22"/>
  <c r="AB226" i="22"/>
  <c r="AC226" i="22"/>
  <c r="AB412" i="22"/>
  <c r="AC412" i="22"/>
  <c r="AB103" i="22"/>
  <c r="AC103"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5" i="22"/>
  <c r="AB5"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C47" i="22"/>
  <c r="AB47" i="22"/>
  <c r="AC200" i="22"/>
  <c r="AB200" i="22"/>
  <c r="AB299" i="22"/>
  <c r="AC299"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280" i="22"/>
  <c r="AC280" i="22"/>
  <c r="AC202" i="22"/>
  <c r="AB202" i="22"/>
  <c r="AC141" i="22"/>
  <c r="AB141" i="22"/>
  <c r="AB398" i="22"/>
  <c r="AC398" i="22"/>
  <c r="AB144" i="22"/>
  <c r="AC144" i="22"/>
  <c r="AC108" i="22"/>
  <c r="AB108" i="22"/>
  <c r="AB88" i="22"/>
  <c r="AC88" i="22"/>
  <c r="AC194" i="22"/>
  <c r="AB194" i="22"/>
  <c r="AC186" i="22"/>
  <c r="AB186" i="22"/>
  <c r="AB238" i="22"/>
  <c r="AC238"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C310"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383" i="22"/>
  <c r="AC383" i="22"/>
  <c r="AB404" i="22"/>
  <c r="AC404" i="22"/>
  <c r="AB243" i="22"/>
  <c r="AC243" i="22"/>
  <c r="AC45" i="22"/>
  <c r="AB45" i="22"/>
  <c r="AC179" i="22"/>
  <c r="AB179" i="22"/>
  <c r="AB270" i="22"/>
  <c r="AC270" i="22"/>
  <c r="AC72" i="22"/>
  <c r="AB72"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24" i="22"/>
  <c r="AA307" i="22"/>
  <c r="AA300" i="22"/>
  <c r="AA172" i="22"/>
  <c r="AA192" i="22"/>
  <c r="AA64"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308" i="22"/>
  <c r="AA294" i="22"/>
  <c r="AA114" i="22"/>
  <c r="AA374" i="22"/>
  <c r="AA363" i="22"/>
  <c r="AA242" i="22"/>
  <c r="AA92" i="22"/>
  <c r="AA47" i="22"/>
  <c r="AA159" i="22"/>
  <c r="AA239" i="22"/>
  <c r="AM343" i="22"/>
  <c r="AL343"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299" i="22"/>
  <c r="AA147" i="22"/>
  <c r="AA161" i="22"/>
  <c r="AM59" i="22"/>
  <c r="AL59" i="22"/>
  <c r="AA31" i="22"/>
  <c r="AA404" i="22"/>
  <c r="AA415" i="22"/>
  <c r="AA293" i="22"/>
  <c r="AA270" i="22"/>
  <c r="AA90" i="22"/>
  <c r="AA178" i="22"/>
  <c r="AA236" i="22"/>
  <c r="AA193" i="22"/>
  <c r="AA21" i="22"/>
  <c r="AA283" i="22"/>
  <c r="AA402" i="22"/>
  <c r="AA379" i="22"/>
  <c r="AA408" i="22"/>
  <c r="AA223" i="22"/>
  <c r="AA314" i="22"/>
  <c r="AA255" i="22"/>
  <c r="AA142" i="22"/>
  <c r="AA37" i="22"/>
  <c r="AA102" i="22"/>
  <c r="AA33" i="22"/>
  <c r="AA295" i="22"/>
  <c r="AA248" i="22"/>
  <c r="AA231" i="22"/>
  <c r="AA13" i="22"/>
  <c r="AA22" i="22"/>
  <c r="AA158" i="22"/>
  <c r="AA97" i="22"/>
  <c r="AA257" i="22"/>
  <c r="AA325" i="22"/>
  <c r="AA302" i="22"/>
  <c r="AA166" i="22"/>
  <c r="AA285" i="22"/>
  <c r="AA226" i="22"/>
  <c r="AA40" i="22"/>
  <c r="AA336" i="22"/>
  <c r="AA400" i="22"/>
  <c r="AA135" i="22"/>
  <c r="AA148" i="22"/>
  <c r="AM341" i="22"/>
  <c r="AL341" i="22"/>
  <c r="AA348" i="22"/>
  <c r="AA54" i="22"/>
  <c r="AA103" i="22"/>
  <c r="AA30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340" i="22"/>
  <c r="AA104" i="22"/>
  <c r="AA347" i="22"/>
  <c r="AA375" i="22"/>
  <c r="AA111" i="22"/>
  <c r="AA377" i="22"/>
  <c r="AA151" i="22"/>
  <c r="AA88" i="22"/>
  <c r="AA62" i="22"/>
  <c r="AA372" i="22"/>
  <c r="AA222" i="22"/>
  <c r="AA109" i="22"/>
  <c r="AA230" i="22"/>
  <c r="AA386" i="22"/>
  <c r="AA397" i="22"/>
  <c r="AA382" i="22"/>
  <c r="AA198" i="22"/>
  <c r="AA119" i="22"/>
  <c r="AA265" i="22"/>
  <c r="AA116" i="22"/>
  <c r="AA225" i="22"/>
  <c r="AA77" i="22"/>
  <c r="AA373" i="22"/>
  <c r="AA328" i="22"/>
  <c r="AA329" i="22"/>
  <c r="AA6" i="22"/>
  <c r="AA391" i="22"/>
  <c r="AA367" i="22"/>
  <c r="AA153" i="22"/>
  <c r="AA203" i="22"/>
  <c r="AM10" i="22"/>
  <c r="AL10" i="22"/>
  <c r="AA383" i="22"/>
  <c r="AA60"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20" i="22"/>
  <c r="AA20" i="22"/>
  <c r="AA235" i="22"/>
  <c r="AA188" i="22"/>
  <c r="AA208" i="22"/>
  <c r="AA82" i="22"/>
  <c r="AA387" i="22"/>
  <c r="AA211" i="22"/>
  <c r="AA157" i="22"/>
  <c r="AA326" i="22"/>
  <c r="AA197" i="22"/>
  <c r="AA250" i="22"/>
  <c r="AA376" i="22"/>
  <c r="AA287" i="22"/>
  <c r="AA100" i="22"/>
  <c r="AA216" i="22"/>
  <c r="AA413" i="22"/>
  <c r="AL369" i="22"/>
  <c r="AM369" i="22"/>
  <c r="AM9" i="22"/>
  <c r="AL9" i="22"/>
  <c r="AA101" i="22"/>
  <c r="AA218" i="22"/>
  <c r="AA422" i="22"/>
  <c r="AA184" i="22"/>
  <c r="AA396" i="22"/>
  <c r="AA320" i="22"/>
  <c r="AA371" i="22"/>
  <c r="AA209" i="22"/>
  <c r="AA262" i="22"/>
  <c r="AA167" i="22"/>
  <c r="AA108" i="22"/>
  <c r="AA194" i="22"/>
  <c r="AA70" i="22"/>
  <c r="AA357"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350"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A164" i="22" l="1"/>
  <c r="AB164" i="22"/>
  <c r="AC164" i="22"/>
  <c r="AG164" i="22"/>
  <c r="AE164" i="22"/>
  <c r="AD164" i="22"/>
  <c r="AM310" i="22"/>
  <c r="AE7" i="22"/>
  <c r="AF339" i="22"/>
  <c r="AF7" i="22"/>
  <c r="AE72" i="22"/>
  <c r="AE339" i="22"/>
  <c r="AD7" i="22"/>
  <c r="AH7" i="22" s="1"/>
  <c r="AQ7" i="22" s="1"/>
  <c r="AP7" i="22" s="1"/>
  <c r="AM81" i="22"/>
  <c r="AC7" i="22"/>
  <c r="AI81" i="22"/>
  <c r="AK316" i="22"/>
  <c r="AJ81" i="22"/>
  <c r="AA81" i="22" s="1"/>
  <c r="AI316" i="22"/>
  <c r="AJ316" i="22"/>
  <c r="AA316" i="22" s="1"/>
  <c r="AF72" i="22"/>
  <c r="AK73" i="22"/>
  <c r="AD66" i="22"/>
  <c r="AH66" i="22" s="1"/>
  <c r="AR66" i="22" s="1"/>
  <c r="AF66" i="22"/>
  <c r="AE66" i="22"/>
  <c r="Q337" i="22"/>
  <c r="AM337" i="22"/>
  <c r="Q168" i="22"/>
  <c r="AM168" i="22"/>
  <c r="AL81" i="22"/>
  <c r="AM32" i="22"/>
  <c r="AC415" i="22"/>
  <c r="AK195" i="22"/>
  <c r="AK105" i="22"/>
  <c r="AI195" i="22"/>
  <c r="AL309" i="22"/>
  <c r="AJ195" i="22"/>
  <c r="AA195" i="22" s="1"/>
  <c r="AI73" i="22"/>
  <c r="AK309" i="22"/>
  <c r="AL73" i="22"/>
  <c r="AL195" i="22"/>
  <c r="AI309" i="22"/>
  <c r="AM309" i="22"/>
  <c r="Q73" i="22"/>
  <c r="AM73" i="22"/>
  <c r="AJ309" i="22"/>
  <c r="AM195" i="22"/>
  <c r="Q74" i="22"/>
  <c r="AK74" i="22"/>
  <c r="AM74" i="22"/>
  <c r="AI74" i="22"/>
  <c r="AJ74" i="22"/>
  <c r="AL74" i="22"/>
  <c r="Q365" i="22"/>
  <c r="AM365" i="22"/>
  <c r="AL365" i="22"/>
  <c r="AI365" i="22"/>
  <c r="AJ365" i="22"/>
  <c r="AK365" i="22"/>
  <c r="AK353" i="22"/>
  <c r="AJ187" i="22"/>
  <c r="AF187" i="22" s="1"/>
  <c r="AK187" i="22"/>
  <c r="Q42" i="22"/>
  <c r="AJ42" i="22"/>
  <c r="AI42" i="22"/>
  <c r="AK42" i="22"/>
  <c r="AM42" i="22"/>
  <c r="AL42" i="22"/>
  <c r="Q67" i="22"/>
  <c r="AJ67" i="22"/>
  <c r="AI67" i="22"/>
  <c r="AK67" i="22"/>
  <c r="AM67" i="22"/>
  <c r="AL67" i="22"/>
  <c r="Q75" i="22"/>
  <c r="AJ75" i="22"/>
  <c r="AI75" i="22"/>
  <c r="AL75" i="22"/>
  <c r="AK75" i="22"/>
  <c r="AM75" i="22"/>
  <c r="AJ105" i="22"/>
  <c r="AM353" i="22"/>
  <c r="Q187" i="22"/>
  <c r="AM187" i="22"/>
  <c r="AL187" i="22"/>
  <c r="Q105" i="22"/>
  <c r="AM105" i="22"/>
  <c r="AL105" i="22"/>
  <c r="AL353" i="22"/>
  <c r="Q65" i="22"/>
  <c r="AL65" i="22"/>
  <c r="AJ65" i="22"/>
  <c r="AI65" i="22"/>
  <c r="AK65" i="22"/>
  <c r="AM65" i="22"/>
  <c r="AB310" i="22"/>
  <c r="AC316" i="22"/>
  <c r="AB316" i="22"/>
  <c r="AA73" i="22"/>
  <c r="AB73" i="22"/>
  <c r="AG73" i="22"/>
  <c r="AF73" i="22"/>
  <c r="AD73" i="22"/>
  <c r="AE73" i="22"/>
  <c r="AC353" i="22"/>
  <c r="AA353" i="22"/>
  <c r="AA337" i="22"/>
  <c r="AC337" i="22"/>
  <c r="AD369" i="22"/>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81" i="22"/>
  <c r="AH304" i="22"/>
  <c r="AQ304" i="22" s="1"/>
  <c r="AP304" i="22" s="1"/>
  <c r="AH350" i="22"/>
  <c r="AR350" i="22" s="1"/>
  <c r="AA48" i="22"/>
  <c r="AB48" i="22"/>
  <c r="AB49" i="22"/>
  <c r="AA49" i="22"/>
  <c r="AA51" i="22"/>
  <c r="AC168" i="22"/>
  <c r="AC51" i="22"/>
  <c r="AC49" i="22"/>
  <c r="AC32" i="22"/>
  <c r="AA32" i="22"/>
  <c r="AH416" i="22"/>
  <c r="AR416" i="22" s="1"/>
  <c r="AH156" i="22"/>
  <c r="AR156" i="22" s="1"/>
  <c r="AH278" i="22"/>
  <c r="AR278" i="22" s="1"/>
  <c r="AH101" i="22"/>
  <c r="AR101" i="22" s="1"/>
  <c r="AH97" i="22"/>
  <c r="AR97" i="22" s="1"/>
  <c r="AH378" i="22"/>
  <c r="AQ378" i="22" s="1"/>
  <c r="AP378" i="22" s="1"/>
  <c r="AH183" i="22"/>
  <c r="AR183" i="22" s="1"/>
  <c r="AH281" i="22"/>
  <c r="AR281" i="22" s="1"/>
  <c r="AH279" i="22"/>
  <c r="AR279" i="22" s="1"/>
  <c r="AH325" i="22"/>
  <c r="AQ325" i="22" s="1"/>
  <c r="AP325" i="22" s="1"/>
  <c r="AH34" i="22"/>
  <c r="AR34" i="22" s="1"/>
  <c r="AH100" i="22"/>
  <c r="AR100" i="22" s="1"/>
  <c r="AH177" i="22"/>
  <c r="AR177" i="22" s="1"/>
  <c r="AH199" i="22"/>
  <c r="AR199" i="22" s="1"/>
  <c r="AH179" i="22"/>
  <c r="AR179" i="22" s="1"/>
  <c r="AH385" i="22"/>
  <c r="AR385" i="22" s="1"/>
  <c r="AH171" i="22"/>
  <c r="AR171" i="22" s="1"/>
  <c r="AH223" i="22"/>
  <c r="AQ223" i="22" s="1"/>
  <c r="AP223" i="22" s="1"/>
  <c r="AH60" i="22"/>
  <c r="AR60" i="22" s="1"/>
  <c r="AH210" i="22"/>
  <c r="AR210" i="22" s="1"/>
  <c r="AH158" i="22"/>
  <c r="AQ158" i="22" s="1"/>
  <c r="AP158" i="22" s="1"/>
  <c r="AH125" i="22"/>
  <c r="AR125" i="22" s="1"/>
  <c r="AH203" i="22"/>
  <c r="AR203" i="22" s="1"/>
  <c r="AH388" i="22"/>
  <c r="AR388" i="22" s="1"/>
  <c r="AH274" i="22"/>
  <c r="AR274" i="22" s="1"/>
  <c r="AH375" i="22"/>
  <c r="AR375" i="22" s="1"/>
  <c r="AH197" i="22"/>
  <c r="AR197" i="22" s="1"/>
  <c r="AH137" i="22"/>
  <c r="AQ137" i="22" s="1"/>
  <c r="AP137" i="22" s="1"/>
  <c r="AH96" i="22"/>
  <c r="AQ96" i="22" s="1"/>
  <c r="AP96" i="22" s="1"/>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R327" i="22" s="1"/>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24" i="22"/>
  <c r="AR24" i="22" s="1"/>
  <c r="AH300" i="22"/>
  <c r="AR300" i="22" s="1"/>
  <c r="AH94" i="22"/>
  <c r="AR94" i="22" s="1"/>
  <c r="AH160" i="22"/>
  <c r="AR160" i="22" s="1"/>
  <c r="AH196" i="22"/>
  <c r="AR196" i="22" s="1"/>
  <c r="AH224" i="22"/>
  <c r="AQ224" i="22" s="1"/>
  <c r="AP224" i="22" s="1"/>
  <c r="AH189" i="22"/>
  <c r="AR189" i="22" s="1"/>
  <c r="AH255" i="22"/>
  <c r="AQ255" i="22" s="1"/>
  <c r="AP255" i="22" s="1"/>
  <c r="AH305" i="22"/>
  <c r="AR305" i="22" s="1"/>
  <c r="AH104" i="22"/>
  <c r="AR104" i="22" s="1"/>
  <c r="AH421" i="22"/>
  <c r="AQ421" i="22" s="1"/>
  <c r="AP421" i="22" s="1"/>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R322" i="22" s="1"/>
  <c r="AH269" i="22"/>
  <c r="AR269" i="22" s="1"/>
  <c r="AH54" i="22"/>
  <c r="AQ54" i="22" s="1"/>
  <c r="AP54" i="22" s="1"/>
  <c r="AH23" i="22"/>
  <c r="AQ23" i="22" s="1"/>
  <c r="AP23" i="22" s="1"/>
  <c r="AH143" i="22"/>
  <c r="AR143" i="22" s="1"/>
  <c r="AH202" i="22"/>
  <c r="AQ202" i="22" s="1"/>
  <c r="AP202" i="22" s="1"/>
  <c r="AH222" i="22"/>
  <c r="AR222" i="22" s="1"/>
  <c r="AH103" i="22"/>
  <c r="AQ103" i="22" s="1"/>
  <c r="AP103" i="22" s="1"/>
  <c r="AH146" i="22"/>
  <c r="AQ146" i="22" s="1"/>
  <c r="AP146" i="22" s="1"/>
  <c r="AH37" i="22"/>
  <c r="AR37" i="22" s="1"/>
  <c r="AH127" i="22"/>
  <c r="AR127" i="22" s="1"/>
  <c r="AH178" i="22"/>
  <c r="AQ178" i="22" s="1"/>
  <c r="AP178" i="22" s="1"/>
  <c r="AH31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Q291" i="22" s="1"/>
  <c r="AP291" i="22" s="1"/>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R283" i="22" s="1"/>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R117" i="22" s="1"/>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44" i="22"/>
  <c r="AQ44" i="22" s="1"/>
  <c r="AP44" i="22" s="1"/>
  <c r="AH413" i="22"/>
  <c r="AQ413" i="22" s="1"/>
  <c r="AP413" i="22" s="1"/>
  <c r="AH401" i="22"/>
  <c r="AR401" i="22" s="1"/>
  <c r="AH16" i="22"/>
  <c r="AR16" i="22" s="1"/>
  <c r="AH155" i="22"/>
  <c r="AR155"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299" i="22"/>
  <c r="AR299" i="22" s="1"/>
  <c r="AH191" i="22"/>
  <c r="AR191" i="22" s="1"/>
  <c r="AH154" i="22"/>
  <c r="AR154" i="22" s="1"/>
  <c r="AH77" i="22"/>
  <c r="AR77"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164" i="22"/>
  <c r="AQ164" i="22" s="1"/>
  <c r="AP164"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R96" i="22"/>
  <c r="AA52" i="22"/>
  <c r="AA58" i="22"/>
  <c r="AQ37" i="22"/>
  <c r="AP37" i="22" s="1"/>
  <c r="AA343" i="22"/>
  <c r="AA311" i="22"/>
  <c r="AA341" i="22"/>
  <c r="AR253" i="22"/>
  <c r="AQ253" i="22"/>
  <c r="AP253" i="22" s="1"/>
  <c r="AA9" i="22"/>
  <c r="AA69" i="22"/>
  <c r="AA59" i="22"/>
  <c r="AQ127" i="22"/>
  <c r="AP127" i="22" s="1"/>
  <c r="AA10" i="22"/>
  <c r="AR241" i="22"/>
  <c r="AA369" i="22"/>
  <c r="AA43" i="22"/>
  <c r="AA53" i="22"/>
  <c r="AA393" i="22"/>
  <c r="R75" i="2"/>
  <c r="L75" i="2" s="1"/>
  <c r="R72" i="2"/>
  <c r="L72" i="2" s="1"/>
  <c r="BL5" i="4"/>
  <c r="BK5" i="4"/>
  <c r="BJ5" i="4" s="1"/>
  <c r="BL4" i="4"/>
  <c r="BK4" i="4"/>
  <c r="BJ4" i="4" s="1"/>
  <c r="R57" i="2"/>
  <c r="R69" i="2"/>
  <c r="L69" i="2" s="1"/>
  <c r="BA3" i="4"/>
  <c r="AZ3" i="4"/>
  <c r="AZ5" i="4"/>
  <c r="BA5" i="4"/>
  <c r="R78" i="2"/>
  <c r="L78" i="2" s="1"/>
  <c r="U3" i="4"/>
  <c r="AJ3" i="4"/>
  <c r="AK3" i="4" s="1"/>
  <c r="AG3" i="4"/>
  <c r="AZ4" i="4"/>
  <c r="BA4" i="4"/>
  <c r="CE4" i="4"/>
  <c r="CD4" i="4"/>
  <c r="CC4" i="4" s="1"/>
  <c r="BT3" i="4"/>
  <c r="BS3" i="4"/>
  <c r="CE5" i="4"/>
  <c r="CD5" i="4"/>
  <c r="CC5" i="4" s="1"/>
  <c r="BK2" i="4"/>
  <c r="BJ2" i="4" s="1"/>
  <c r="BL2" i="4"/>
  <c r="BA2" i="4"/>
  <c r="AZ2" i="4"/>
  <c r="R60" i="2"/>
  <c r="L60" i="2" s="1"/>
  <c r="R63" i="2"/>
  <c r="L63" i="2" s="1"/>
  <c r="CL3" i="4"/>
  <c r="CM3" i="4"/>
  <c r="R66" i="2"/>
  <c r="L66" i="2" s="1"/>
  <c r="R81" i="2"/>
  <c r="L81" i="2" s="1"/>
  <c r="AH72" i="22" l="1"/>
  <c r="AQ72" i="22" s="1"/>
  <c r="AP72" i="22" s="1"/>
  <c r="AQ416" i="22"/>
  <c r="AP416" i="22" s="1"/>
  <c r="AB195" i="22"/>
  <c r="AQ336" i="22"/>
  <c r="AP336" i="22" s="1"/>
  <c r="AR88" i="22"/>
  <c r="AR158" i="22"/>
  <c r="AR378" i="22"/>
  <c r="AQ279" i="22"/>
  <c r="AP279" i="22" s="1"/>
  <c r="AF195" i="22"/>
  <c r="AG195" i="22"/>
  <c r="AD195" i="22"/>
  <c r="AE195" i="22"/>
  <c r="AC195" i="22"/>
  <c r="AR394" i="22"/>
  <c r="AQ179" i="22"/>
  <c r="AP179" i="22" s="1"/>
  <c r="AR328" i="22"/>
  <c r="AF74" i="22"/>
  <c r="AB74" i="22"/>
  <c r="AG74" i="22"/>
  <c r="AC74" i="22"/>
  <c r="AA74" i="22"/>
  <c r="AD74" i="22"/>
  <c r="AE74" i="22"/>
  <c r="AD365" i="22"/>
  <c r="AE365" i="22"/>
  <c r="AF365" i="22"/>
  <c r="AA365" i="22"/>
  <c r="AG365" i="22"/>
  <c r="AB365" i="22"/>
  <c r="AC365" i="22"/>
  <c r="AF309" i="22"/>
  <c r="AB309" i="22"/>
  <c r="AG309" i="22"/>
  <c r="AC309" i="22"/>
  <c r="AA309" i="22"/>
  <c r="AE309" i="22"/>
  <c r="AD309" i="22"/>
  <c r="AE187" i="22"/>
  <c r="AC42" i="22"/>
  <c r="AD42" i="22"/>
  <c r="AE42" i="22"/>
  <c r="AF42" i="22"/>
  <c r="AG42" i="22"/>
  <c r="AA42" i="22"/>
  <c r="AB42" i="22"/>
  <c r="AG67" i="22"/>
  <c r="AC67" i="22"/>
  <c r="AE67" i="22"/>
  <c r="AA67" i="22"/>
  <c r="AD67" i="22"/>
  <c r="AF67" i="22"/>
  <c r="AB67" i="22"/>
  <c r="AD187" i="22"/>
  <c r="AG187" i="22"/>
  <c r="AC187" i="22"/>
  <c r="AB187" i="22"/>
  <c r="AA187" i="22"/>
  <c r="AE75" i="22"/>
  <c r="AD75" i="22"/>
  <c r="AA75" i="22"/>
  <c r="AF75" i="22"/>
  <c r="AC75" i="22"/>
  <c r="AG75" i="22"/>
  <c r="AB75" i="22"/>
  <c r="AE65" i="22"/>
  <c r="AD65" i="22"/>
  <c r="AF65" i="22"/>
  <c r="AG65" i="22"/>
  <c r="AA65" i="22"/>
  <c r="AC65" i="22"/>
  <c r="AB65" i="22"/>
  <c r="AE105" i="22"/>
  <c r="AD105" i="22"/>
  <c r="AB105" i="22"/>
  <c r="AF105" i="22"/>
  <c r="AC105" i="22"/>
  <c r="AG105" i="22"/>
  <c r="AA105" i="22"/>
  <c r="AQ94" i="22"/>
  <c r="AP94" i="22" s="1"/>
  <c r="AH310" i="22"/>
  <c r="AQ310" i="22" s="1"/>
  <c r="AP310" i="22" s="1"/>
  <c r="AR421" i="22"/>
  <c r="AQ21" i="22"/>
  <c r="AP21" i="22" s="1"/>
  <c r="AH73" i="22"/>
  <c r="AR73" i="22" s="1"/>
  <c r="AQ117" i="22"/>
  <c r="AP117" i="22" s="1"/>
  <c r="AR150" i="22"/>
  <c r="AQ283" i="22"/>
  <c r="AP283" i="22" s="1"/>
  <c r="AR290" i="22"/>
  <c r="AH337" i="22"/>
  <c r="AR337" i="22" s="1"/>
  <c r="AR304" i="22"/>
  <c r="AH353" i="22"/>
  <c r="AQ353" i="22" s="1"/>
  <c r="AP353" i="22" s="1"/>
  <c r="AH316" i="22"/>
  <c r="AR316" i="22" s="1"/>
  <c r="AR291" i="22"/>
  <c r="L57" i="2"/>
  <c r="AH81" i="22"/>
  <c r="AQ81" i="22" s="1"/>
  <c r="AP81" i="22" s="1"/>
  <c r="AQ100" i="22"/>
  <c r="AP100" i="22" s="1"/>
  <c r="AQ350" i="22"/>
  <c r="AP350" i="22" s="1"/>
  <c r="AQ60" i="22"/>
  <c r="AP60" i="22" s="1"/>
  <c r="AQ327" i="22"/>
  <c r="AP327" i="22" s="1"/>
  <c r="AQ222" i="22"/>
  <c r="AP222" i="22" s="1"/>
  <c r="AH50" i="22"/>
  <c r="AQ50" i="22" s="1"/>
  <c r="AP50" i="22" s="1"/>
  <c r="AH415" i="22"/>
  <c r="AR415" i="22" s="1"/>
  <c r="AQ322" i="22"/>
  <c r="AP322" i="22" s="1"/>
  <c r="AQ201" i="22"/>
  <c r="AP201" i="22" s="1"/>
  <c r="AR140" i="22"/>
  <c r="AQ419" i="22"/>
  <c r="AP419" i="22" s="1"/>
  <c r="AR39" i="22"/>
  <c r="AQ27" i="22"/>
  <c r="AP27" i="22" s="1"/>
  <c r="AQ398" i="22"/>
  <c r="AP398" i="22" s="1"/>
  <c r="AQ251" i="22"/>
  <c r="AP251"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72" i="22"/>
  <c r="AP372" i="22" s="1"/>
  <c r="AQ293" i="22"/>
  <c r="AP293" i="22" s="1"/>
  <c r="AR292" i="22"/>
  <c r="AQ249" i="22"/>
  <c r="AP249" i="22" s="1"/>
  <c r="AR296" i="22"/>
  <c r="AR227" i="22"/>
  <c r="AR252" i="22"/>
  <c r="AQ78" i="22"/>
  <c r="AP78" i="22" s="1"/>
  <c r="AR346" i="22"/>
  <c r="AR20" i="22"/>
  <c r="AQ167" i="22"/>
  <c r="AP167" i="22" s="1"/>
  <c r="AR128" i="22"/>
  <c r="AQ47" i="22"/>
  <c r="AP47" i="22" s="1"/>
  <c r="AQ145" i="22"/>
  <c r="AP145"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2" i="22"/>
  <c r="AR76" i="22"/>
  <c r="AQ66" i="22"/>
  <c r="AP66" i="22" s="1"/>
  <c r="AQ340" i="22"/>
  <c r="AP340" i="22" s="1"/>
  <c r="AR178" i="22"/>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298" i="22"/>
  <c r="AP298" i="22" s="1"/>
  <c r="AQ382" i="22"/>
  <c r="AP382" i="22" s="1"/>
  <c r="AQ367" i="22"/>
  <c r="AP367" i="22" s="1"/>
  <c r="AQ86" i="22"/>
  <c r="AP86" i="22" s="1"/>
  <c r="AQ33" i="22"/>
  <c r="AP33" i="22" s="1"/>
  <c r="AQ163" i="22"/>
  <c r="AP163" i="22" s="1"/>
  <c r="AQ130" i="22"/>
  <c r="AP130" i="22" s="1"/>
  <c r="AQ301" i="22"/>
  <c r="AP301" i="22" s="1"/>
  <c r="AQ313" i="22"/>
  <c r="AP313" i="22" s="1"/>
  <c r="AR313" i="22"/>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Q73" i="22" l="1"/>
  <c r="AP73" i="22" s="1"/>
  <c r="AR310" i="22"/>
  <c r="AH195" i="22"/>
  <c r="AQ195" i="22" s="1"/>
  <c r="AP195" i="22" s="1"/>
  <c r="AH365" i="22"/>
  <c r="AH75" i="22"/>
  <c r="AH74" i="22"/>
  <c r="AH309" i="22"/>
  <c r="AH42" i="22"/>
  <c r="AH187" i="22"/>
  <c r="AH67" i="22"/>
  <c r="AH105" i="22"/>
  <c r="AH65" i="22"/>
  <c r="AQ48" i="22"/>
  <c r="AP48" i="22" s="1"/>
  <c r="AR353" i="22"/>
  <c r="AQ316" i="22"/>
  <c r="AP316" i="22" s="1"/>
  <c r="AQ337" i="22"/>
  <c r="AP337" i="22" s="1"/>
  <c r="AR81" i="22"/>
  <c r="AQ415" i="22"/>
  <c r="AP415" i="22" s="1"/>
  <c r="AQ32" i="22"/>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R195" i="22" l="1"/>
  <c r="AR365" i="22"/>
  <c r="AQ365" i="22"/>
  <c r="AP365" i="22" s="1"/>
  <c r="AR75" i="22"/>
  <c r="AQ75" i="22"/>
  <c r="AP75" i="22" s="1"/>
  <c r="AR309" i="22"/>
  <c r="AQ309" i="22"/>
  <c r="AP309" i="22" s="1"/>
  <c r="AQ74" i="22"/>
  <c r="AP74" i="22" s="1"/>
  <c r="AR74" i="22"/>
  <c r="AR187" i="22"/>
  <c r="AQ187" i="22"/>
  <c r="AP187" i="22" s="1"/>
  <c r="AR67" i="22"/>
  <c r="AQ67" i="22"/>
  <c r="AP67" i="22" s="1"/>
  <c r="AR42" i="22"/>
  <c r="AQ42" i="22"/>
  <c r="AP42" i="22" s="1"/>
  <c r="AR105" i="22"/>
  <c r="AQ105" i="22"/>
  <c r="AP105" i="22" s="1"/>
  <c r="AR65" i="22"/>
  <c r="AQ65" i="22"/>
  <c r="AP65" i="22" s="1"/>
  <c r="AU2" i="4"/>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<sst xmlns="http://schemas.openxmlformats.org/spreadsheetml/2006/main" count="6630" uniqueCount="2036">
  <si>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</si>
  <si>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</si>
  <si>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</si>
  <si>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</si>
  <si>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</si>
  <si>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</si>
  <si>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</si>
  <si>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</si>
  <si>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</si>
  <si>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</si>
  <si>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</si>
  <si>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</si>
  <si>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</si>
  <si>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</si>
  <si>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</si>
  <si>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</si>
  <si>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</si>
  <si>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</si>
  <si>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</si>
  <si>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</si>
  <si>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</si>
  <si>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</si>
  <si>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</si>
  <si>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</si>
  <si>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</si>
  <si>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</si>
  <si>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</si>
  <si>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</si>
  <si>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</si>
  <si>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</si>
  <si>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</si>
  <si>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</si>
  <si>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</si>
  <si>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</si>
  <si>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</si>
  <si>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</si>
  <si>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</si>
  <si>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</si>
  <si>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</si>
  <si>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</si>
  <si>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</si>
  <si>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</si>
  <si>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</si>
  <si>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</si>
  <si>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</si>
  <si>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</si>
  <si>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</si>
  <si>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</si>
  <si>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</si>
  <si>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</si>
  <si>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</si>
  <si>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</si>
  <si>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</si>
  <si>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</si>
  <si>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</si>
  <si>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</si>
  <si>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</si>
  <si>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</si>
  <si>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</si>
  <si>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</si>
  <si>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</si>
  <si>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</si>
  <si>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</si>
  <si>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</si>
  <si>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</si>
  <si>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</si>
  <si>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</si>
  <si>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</si>
  <si>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</si>
  <si>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</si>
  <si>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</si>
  <si>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</si>
  <si>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</si>
  <si>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</si>
  <si>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</si>
  <si>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</si>
  <si>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</si>
  <si>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</si>
  <si>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</si>
  <si>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</si>
  <si>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</si>
  <si>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</si>
  <si>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</si>
  <si>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</si>
  <si>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</si>
  <si>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</si>
  <si>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</si>
  <si>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</si>
  <si>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</si>
  <si>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</si>
  <si>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</si>
  <si>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</si>
  <si>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</si>
  <si>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</si>
  <si>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</si>
  <si>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</si>
  <si>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</si>
  <si>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</si>
  <si>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</si>
  <si>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</si>
  <si>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</si>
  <si>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</si>
  <si>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</si>
  <si>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</si>
  <si>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</si>
  <si>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</si>
  <si>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</si>
  <si>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</si>
  <si>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</si>
  <si>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</si>
  <si>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</si>
  <si>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</si>
  <si>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</si>
  <si>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</si>
  <si>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</si>
  <si>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</si>
  <si>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</si>
  <si>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</si>
  <si>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</si>
  <si>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</si>
  <si>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</si>
  <si>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</si>
  <si>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</si>
  <si>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</si>
  <si>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</si>
  <si>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</si>
  <si>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</si>
  <si>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</si>
  <si>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</si>
  <si>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</si>
  <si>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</si>
  <si>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</si>
  <si>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</si>
  <si>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</si>
  <si>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</si>
  <si>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</si>
  <si>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</si>
  <si>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</si>
  <si>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</si>
  <si>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</si>
  <si>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</si>
  <si>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</si>
  <si>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</si>
  <si>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</si>
  <si>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</si>
  <si>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</si>
  <si>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</si>
  <si>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</si>
  <si>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</si>
  <si>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</si>
  <si>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</si>
  <si>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</si>
  <si>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</si>
  <si>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</si>
  <si>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</si>
  <si>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</si>
  <si>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</si>
  <si>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</si>
  <si>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</si>
  <si>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</si>
  <si>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</si>
  <si>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</si>
  <si>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</si>
  <si>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</si>
  <si>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</si>
  <si>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</si>
  <si>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</si>
  <si>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</si>
  <si>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</si>
  <si>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</si>
  <si>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</si>
  <si>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</si>
  <si>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</si>
  <si>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</si>
  <si>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</si>
  <si>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</si>
  <si>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</si>
  <si>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</si>
  <si>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</si>
  <si>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</si>
  <si>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</si>
  <si>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</si>
  <si>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</si>
  <si>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</si>
  <si>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</si>
  <si>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</si>
  <si>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</si>
  <si>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</si>
  <si>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</si>
  <si>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</si>
  <si>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</si>
  <si>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</si>
  <si>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</si>
  <si>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</si>
  <si>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</si>
  <si>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</si>
  <si>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</si>
  <si>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</si>
  <si>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</si>
  <si>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</si>
  <si>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</si>
  <si>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</si>
  <si>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</si>
  <si>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</si>
  <si>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</si>
  <si>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</si>
  <si>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</si>
  <si>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</si>
  <si>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</si>
  <si>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</si>
  <si>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</si>
  <si>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</si>
  <si>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</si>
  <si>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</si>
  <si>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</si>
  <si>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</si>
  <si>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</si>
  <si>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</si>
  <si>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</si>
  <si>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</si>
  <si>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</si>
  <si>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</si>
  <si>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</si>
  <si>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</si>
  <si>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</si>
  <si>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</si>
  <si>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</si>
  <si>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</si>
  <si>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</si>
  <si>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</si>
  <si>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</si>
  <si>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</si>
  <si>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</si>
  <si>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</si>
  <si>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</si>
  <si>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</si>
  <si>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</si>
  <si>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</si>
  <si>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</si>
  <si>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</si>
  <si>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</si>
  <si>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</si>
  <si>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</si>
  <si>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</si>
  <si>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</si>
  <si>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</si>
  <si>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</si>
  <si>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</si>
  <si>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</si>
  <si>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</si>
  <si>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</si>
  <si>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</si>
  <si>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</si>
  <si>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</si>
  <si>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</si>
  <si>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</si>
  <si>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</si>
  <si>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</si>
  <si>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</si>
  <si>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</si>
  <si>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</si>
  <si>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</si>
  <si>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</si>
  <si>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</si>
  <si>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</si>
  <si>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</si>
  <si>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</si>
  <si>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</si>
  <si>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</si>
  <si>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</si>
  <si>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</si>
  <si>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</si>
  <si>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</si>
  <si>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</si>
  <si>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</si>
  <si>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</si>
  <si>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</si>
  <si>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</si>
  <si>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</si>
  <si>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</si>
  <si>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</si>
  <si>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</si>
  <si>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</si>
  <si>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</si>
  <si>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</si>
  <si>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</si>
  <si>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</si>
  <si>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</si>
  <si>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</si>
  <si>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</si>
  <si>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</si>
  <si>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</si>
  <si>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</si>
  <si>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</si>
  <si>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</si>
  <si>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</si>
  <si>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</si>
  <si>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</si>
  <si>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</si>
  <si>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</si>
  <si>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</si>
  <si>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</si>
  <si>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</si>
  <si>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</si>
  <si>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</si>
  <si>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</si>
  <si>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</si>
  <si>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</si>
  <si>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</si>
  <si>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</si>
  <si>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</si>
  <si>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</si>
  <si>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</si>
  <si>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</si>
  <si>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</si>
  <si>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</si>
  <si>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</si>
  <si>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</si>
  <si>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</si>
  <si>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</si>
  <si>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</si>
  <si>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</si>
  <si>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</si>
  <si>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</si>
  <si>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</si>
  <si>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</si>
  <si>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</si>
  <si>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</si>
  <si>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</si>
  <si>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</si>
  <si>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</si>
  <si>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</si>
  <si>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</si>
  <si>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</si>
  <si>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</si>
  <si>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</si>
  <si>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</si>
  <si>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</si>
  <si>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</si>
  <si>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</si>
  <si>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</si>
  <si>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</si>
  <si>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</si>
  <si>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</si>
  <si>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</si>
  <si>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</si>
  <si>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</si>
  <si>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</si>
  <si>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</si>
  <si>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</si>
  <si>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</si>
  <si>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</si>
  <si>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</si>
  <si>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</si>
  <si>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</si>
  <si>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</si>
  <si>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</si>
  <si>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</si>
  <si>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</si>
  <si>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</si>
  <si>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</si>
  <si>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</si>
  <si>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</si>
  <si>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</si>
  <si>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</si>
  <si>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</si>
  <si>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</si>
  <si>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</si>
  <si>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</si>
  <si>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</si>
  <si>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</si>
  <si>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</si>
  <si>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</si>
  <si>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</si>
  <si>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</si>
  <si>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</si>
  <si>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</si>
  <si>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</si>
  <si>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</si>
  <si>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</si>
  <si>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</si>
  <si>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</si>
  <si>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</si>
  <si>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</si>
  <si>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</si>
  <si>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</si>
  <si>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</si>
  <si>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</si>
  <si>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</si>
  <si>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</si>
  <si>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</si>
  <si>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</si>
  <si>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</si>
  <si>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</si>
  <si>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</si>
  <si>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</si>
  <si>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</si>
  <si>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</si>
  <si>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</si>
  <si>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</si>
  <si>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</si>
  <si>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</si>
  <si>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</si>
  <si>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</si>
  <si>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</si>
  <si>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</si>
  <si>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</si>
  <si>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</si>
  <si>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</si>
  <si>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</si>
  <si>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</si>
  <si>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</si>
  <si>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</si>
  <si>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</si>
  <si>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</si>
  <si>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</si>
  <si>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</si>
  <si>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</si>
  <si>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</si>
  <si>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</si>
  <si>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</si>
  <si>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</si>
  <si>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</si>
  <si>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</si>
  <si>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</si>
  <si>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</si>
  <si>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</si>
  <si>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</si>
  <si>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</si>
  <si>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</si>
  <si>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</si>
  <si>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</si>
  <si>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</si>
  <si>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</si>
  <si>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</si>
  <si>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</si>
  <si>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</si>
  <si>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</si>
  <si>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</si>
  <si>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</si>
  <si>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</si>
  <si>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</si>
  <si>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</si>
  <si>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</si>
  <si>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</si>
  <si>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</si>
  <si>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</si>
  <si>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</si>
  <si>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</si>
  <si>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</si>
  <si>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</si>
  <si>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</si>
  <si>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</si>
  <si>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</si>
  <si>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</si>
  <si>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</si>
  <si>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</si>
  <si>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</si>
  <si>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</si>
  <si>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</si>
  <si>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</si>
  <si>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</si>
  <si>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</si>
  <si>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</si>
  <si>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</si>
  <si>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</si>
  <si>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</si>
  <si>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</si>
  <si>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</si>
  <si>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</si>
  <si>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</si>
  <si>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</si>
  <si>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</si>
  <si>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</si>
  <si>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</si>
  <si>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</si>
  <si>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</si>
  <si>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</si>
  <si>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</si>
  <si>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</si>
  <si>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</si>
  <si>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</si>
  <si>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</si>
  <si>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</si>
  <si>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</si>
  <si>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</si>
  <si>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</si>
  <si>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</si>
  <si>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</si>
  <si>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</si>
  <si>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</si>
  <si>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</si>
  <si>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</si>
  <si>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</si>
  <si>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</si>
  <si>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</si>
  <si>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</si>
  <si>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</si>
  <si>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</si>
  <si>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</si>
  <si>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</si>
  <si>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</si>
  <si>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</si>
  <si>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</si>
  <si>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</si>
  <si>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</si>
  <si>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</si>
  <si>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</si>
  <si>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</si>
  <si>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</si>
  <si>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</si>
  <si>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</si>
  <si>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</si>
  <si>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</si>
  <si>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</si>
  <si>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</si>
  <si>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</si>
  <si>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</si>
  <si>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</si>
  <si>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</si>
  <si>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</si>
  <si>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</si>
  <si>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</si>
  <si>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</si>
  <si>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</si>
  <si>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</si>
  <si>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</si>
  <si>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</si>
  <si>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</si>
  <si>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</si>
  <si>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</si>
  <si>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</si>
  <si>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</si>
  <si>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</si>
  <si>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</si>
  <si>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</si>
  <si>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</si>
  <si>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</si>
  <si>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</si>
  <si>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</si>
  <si>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</si>
  <si>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</si>
  <si>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</si>
  <si>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</si>
  <si>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</si>
  <si>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</si>
  <si>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</si>
  <si>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</si>
  <si>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</si>
  <si>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</si>
  <si>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</si>
  <si>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</si>
  <si>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</si>
  <si>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</si>
  <si>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</si>
  <si>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</si>
  <si>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</si>
  <si>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</si>
  <si>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</si>
  <si>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</si>
  <si>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</si>
  <si>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</si>
  <si>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</si>
  <si>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</si>
  <si>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</si>
  <si>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</si>
  <si>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</si>
  <si>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</si>
  <si>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</si>
  <si>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</si>
  <si>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</si>
  <si>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</si>
  <si>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</si>
  <si>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</si>
  <si>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</si>
  <si>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</si>
  <si>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</si>
  <si>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</si>
  <si>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</si>
  <si>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</si>
  <si>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</si>
  <si>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</si>
  <si>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</si>
  <si>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</si>
  <si>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</si>
  <si>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</si>
  <si>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</si>
  <si>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</si>
  <si>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</si>
  <si>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</si>
  <si>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</si>
  <si>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</si>
  <si>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</si>
  <si>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</si>
  <si>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</si>
  <si>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</si>
  <si>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</si>
  <si>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</si>
  <si>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</si>
  <si>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</si>
  <si>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</si>
  <si>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</si>
  <si>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</si>
  <si>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</si>
  <si>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</si>
  <si>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</si>
  <si>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</si>
  <si>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</si>
  <si>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</si>
  <si>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</si>
  <si>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</si>
  <si>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</si>
  <si>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</si>
  <si>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</si>
  <si>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</si>
  <si>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</si>
  <si>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</si>
  <si>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</si>
  <si>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</si>
  <si>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</si>
  <si>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</si>
  <si>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</si>
  <si>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</si>
  <si>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</si>
  <si>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</si>
  <si>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</si>
  <si>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</si>
  <si>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</si>
  <si>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</si>
  <si>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</si>
  <si>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</si>
  <si>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</si>
  <si>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</si>
  <si>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</si>
  <si>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</si>
  <si>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</si>
  <si>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</si>
  <si>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</si>
  <si>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</si>
  <si>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</si>
  <si>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</si>
  <si>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</si>
  <si>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</si>
  <si>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</si>
  <si>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</si>
  <si>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</si>
  <si>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</si>
  <si>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</si>
  <si>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</si>
  <si>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</si>
  <si>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</si>
  <si>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</si>
  <si>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</si>
  <si>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</si>
  <si>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</si>
  <si>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</si>
  <si>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</si>
  <si>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</si>
  <si>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</si>
  <si>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</si>
  <si>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</si>
  <si>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</si>
  <si>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</si>
  <si>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</si>
  <si>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</si>
  <si>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</si>
  <si>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</si>
  <si>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</si>
  <si>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</si>
  <si>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</si>
  <si>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</si>
  <si>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</si>
  <si>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</si>
  <si>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</si>
  <si>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</si>
  <si>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</si>
  <si>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</si>
  <si>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</si>
  <si>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</si>
  <si>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</si>
  <si>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</si>
  <si>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</si>
  <si>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</si>
  <si>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</si>
  <si>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</si>
  <si>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</si>
  <si>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</si>
  <si>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</si>
  <si>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</si>
  <si>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</si>
  <si>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</si>
  <si>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</si>
  <si>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</si>
  <si>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</si>
  <si>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</si>
  <si>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</si>
  <si>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</si>
  <si>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</si>
  <si>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</si>
  <si>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</si>
  <si>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</si>
  <si>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</si>
  <si>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</si>
  <si>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</si>
  <si>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</si>
  <si>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</si>
  <si>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</si>
  <si>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</si>
  <si>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</si>
  <si>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</si>
  <si>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</si>
  <si>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</si>
  <si>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</si>
  <si>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</si>
  <si>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</si>
  <si>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</si>
  <si>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</si>
  <si>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</si>
  <si>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</si>
  <si>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</si>
  <si>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</si>
  <si>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</si>
  <si>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</si>
  <si>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</si>
  <si>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</si>
  <si>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</si>
  <si>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</si>
  <si>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</si>
  <si>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</si>
  <si>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</si>
  <si>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</si>
  <si>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</si>
  <si>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</si>
  <si>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</si>
  <si>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</si>
  <si>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</si>
  <si>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</si>
  <si>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</si>
  <si>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</si>
  <si>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</si>
  <si>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</si>
  <si>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</si>
  <si>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</si>
  <si>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</si>
  <si>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</si>
  <si>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</si>
  <si>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</si>
  <si>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</si>
  <si>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</si>
  <si>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</si>
  <si>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</si>
  <si>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</si>
  <si>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</si>
  <si>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</si>
  <si>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</si>
  <si>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</si>
  <si>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</si>
  <si>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</si>
  <si>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</si>
  <si>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</si>
  <si>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</si>
  <si>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</si>
  <si>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</si>
  <si>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</si>
  <si>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</si>
  <si>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</si>
  <si>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</si>
  <si>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</si>
  <si>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</si>
  <si>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</si>
  <si>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</si>
  <si>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</si>
  <si>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</si>
  <si>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</si>
  <si>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</si>
  <si>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</si>
  <si>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</si>
  <si>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</si>
  <si>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</si>
  <si>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</si>
  <si>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</si>
  <si>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</si>
  <si>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</si>
  <si>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</si>
  <si>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</si>
  <si>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</si>
  <si>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</si>
  <si>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</si>
  <si>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</si>
  <si>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</si>
  <si>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</si>
  <si>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</si>
  <si>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</si>
  <si>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</si>
  <si>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</si>
  <si>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</si>
  <si>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</si>
  <si>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</si>
  <si>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</si>
  <si>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</si>
  <si>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</si>
  <si>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</si>
  <si>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</si>
  <si>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</si>
  <si>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</si>
  <si>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</si>
  <si>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</si>
  <si>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</si>
  <si>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</si>
  <si>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</si>
  <si>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</si>
  <si>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</si>
  <si>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</si>
  <si>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</si>
  <si>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</si>
  <si>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</si>
  <si>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</si>
  <si>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</si>
  <si>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</si>
  <si>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</si>
  <si>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</si>
  <si>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</si>
  <si>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</si>
  <si>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</si>
  <si>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</si>
  <si>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</si>
  <si>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</si>
  <si>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</si>
  <si>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</si>
  <si>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</si>
  <si>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</si>
  <si>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</si>
  <si>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</si>
  <si>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</si>
  <si>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</si>
  <si>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</si>
  <si>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</si>
  <si>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</si>
  <si>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</si>
  <si>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</si>
  <si>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</si>
  <si>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</si>
  <si>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</si>
  <si>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</si>
  <si>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</si>
  <si>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</si>
  <si>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</si>
  <si>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</si>
  <si>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</si>
  <si>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</si>
  <si>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meta_TablePatterns</t>
  </si>
  <si>
    <t>meta_CodeTemplates</t>
  </si>
  <si>
    <t>Class1</t>
  </si>
  <si>
    <t>Class2</t>
  </si>
  <si>
    <t>::CreateForms</t>
  </si>
  <si>
    <t>::Test</t>
  </si>
  <si>
    <t>FastLookup</t>
  </si>
  <si>
    <t>UserForm_TransferMode</t>
  </si>
  <si>
    <t>UserForm_SourceTable</t>
  </si>
  <si>
    <t>UserForm_TargetTable</t>
  </si>
  <si>
    <t>UserForm_SourceInvalid</t>
  </si>
  <si>
    <t>UserForm_TargetInvalid</t>
  </si>
  <si>
    <t>::Layer1</t>
  </si>
  <si>
    <t>::Layer0</t>
  </si>
  <si>
    <t>::CamelCaseAll</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</si>
  <si>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</si>
  <si>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</si>
  <si>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</si>
  <si>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</si>
  <si>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</si>
  <si>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</si>
  <si>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</si>
  <si>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</si>
  <si>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</si>
  <si>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</si>
  <si>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</si>
  <si>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</si>
  <si>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</si>
  <si>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</si>
  <si>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</si>
  <si>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</si>
  <si>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</si>
  <si>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</si>
  <si>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</si>
  <si>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</si>
  <si>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</si>
  <si>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</si>
  <si>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</si>
  <si>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</si>
  <si>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</si>
  <si>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</si>
  <si>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</si>
  <si>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</si>
  <si>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</si>
  <si>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</si>
  <si>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</si>
  <si>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</si>
  <si>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</si>
  <si>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</si>
  <si>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</si>
  <si>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</si>
  <si>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</si>
  <si>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</si>
  <si>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</si>
  <si>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</si>
  <si>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</si>
  <si>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</si>
  <si>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</si>
  <si>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</si>
  <si>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</si>
  <si>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</si>
  <si>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</si>
  <si>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</si>
  <si>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</si>
  <si>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</si>
  <si>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</si>
  <si>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</si>
  <si>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</si>
  <si>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::Transfer</t>
  </si>
  <si>
    <t>UserForm_BackupTable</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</si>
  <si>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</si>
  <si>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</si>
  <si>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</si>
  <si>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</si>
  <si>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</si>
  <si>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</si>
  <si>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</si>
  <si>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</si>
  <si>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</si>
  <si>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</si>
  <si>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</si>
  <si>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</si>
  <si>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</si>
  <si>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</si>
  <si>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</si>
  <si>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</si>
  <si>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</si>
  <si>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</si>
  <si>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</si>
  <si>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</si>
  <si>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</si>
  <si>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</si>
  <si>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</si>
  <si>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</si>
  <si>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</si>
  <si>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</si>
  <si>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</si>
  <si>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</si>
  <si>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</si>
  <si>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</si>
  <si>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</si>
  <si>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</si>
  <si>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</si>
  <si>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</si>
  <si>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</si>
  <si>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</si>
  <si>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</si>
  <si>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</si>
  <si>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</si>
  <si>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</si>
  <si>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</si>
  <si>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</si>
  <si>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</si>
  <si>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</si>
  <si>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</si>
  <si>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</si>
  <si>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</si>
  <si>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</si>
  <si>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</si>
  <si>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</si>
  <si>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</si>
  <si>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</si>
  <si>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</si>
  <si>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</si>
  <si>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</si>
  <si>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</si>
  <si>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</si>
  <si>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</si>
  <si>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</si>
  <si>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</si>
  <si>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</si>
  <si>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</si>
  <si>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</si>
  <si>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</si>
  <si>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</si>
  <si>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</si>
  <si>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</si>
  <si>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</si>
  <si>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</si>
  <si>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</si>
  <si>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</si>
  <si>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</si>
  <si>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</si>
  <si>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</si>
  <si>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</si>
  <si>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</si>
  <si>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</si>
  <si>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</si>
  <si>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</si>
  <si>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</si>
  <si>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</si>
  <si>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</si>
  <si>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</si>
  <si>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</si>
  <si>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</si>
  <si>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</si>
  <si>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</si>
  <si>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</si>
  <si>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</si>
  <si>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</si>
  <si>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</si>
  <si>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</si>
  <si>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</si>
  <si>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</si>
  <si>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</si>
  <si>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</si>
  <si>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</si>
  <si>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</si>
  <si>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</si>
  <si>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</si>
  <si>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</si>
  <si>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</si>
  <si>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</si>
  <si>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</si>
  <si>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</si>
  <si>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</si>
  <si>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</si>
  <si>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</si>
  <si>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</si>
  <si>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</si>
  <si>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</si>
  <si>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</si>
  <si>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</si>
  <si>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</si>
  <si>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</si>
  <si>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</si>
  <si>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</si>
  <si>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</si>
  <si>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</si>
  <si>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</si>
  <si>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</si>
  <si>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</si>
  <si>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</si>
  <si>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</si>
  <si>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</si>
  <si>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</si>
  <si>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</si>
  <si>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</si>
  <si>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</si>
  <si>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</si>
  <si>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</si>
  <si>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</si>
  <si>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</si>
  <si>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</si>
  <si>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</si>
  <si>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</si>
  <si>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</si>
  <si>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</si>
  <si>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</si>
  <si>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</si>
  <si>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</si>
  <si>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</si>
  <si>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</si>
  <si>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</si>
  <si>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</si>
  <si>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</si>
  <si>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</si>
  <si>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</si>
  <si>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</si>
  <si>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</si>
  <si>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</si>
  <si>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</si>
  <si>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</si>
  <si>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</si>
  <si>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</si>
  <si>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</si>
  <si>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</si>
  <si>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</si>
  <si>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</si>
  <si>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</si>
  <si>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</si>
  <si>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</si>
  <si>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</si>
  <si>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</si>
  <si>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</si>
  <si>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</si>
  <si>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</si>
  <si>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</si>
  <si>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</si>
  <si>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</si>
  <si>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</si>
  <si>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</si>
  <si>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</si>
  <si>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</si>
  <si>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</si>
  <si>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</si>
  <si>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</si>
  <si>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</si>
  <si>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</si>
  <si>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</si>
  <si>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</si>
  <si>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</si>
  <si>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</si>
  <si>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</si>
  <si>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</si>
  <si>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</si>
  <si>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</si>
  <si>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</si>
  <si>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</si>
  <si>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</si>
  <si>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</si>
  <si>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</si>
  <si>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</si>
  <si>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</si>
  <si>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</si>
  <si>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</si>
  <si>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</si>
  <si>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</si>
  <si>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</si>
  <si>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</si>
  <si>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</si>
  <si>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</si>
  <si>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</si>
  <si>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</si>
  <si>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</si>
  <si>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</si>
  <si>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</si>
  <si>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</si>
  <si>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</si>
  <si>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</si>
  <si>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</si>
  <si>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</si>
  <si>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</si>
  <si>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</si>
  <si>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</si>
  <si>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</si>
  <si>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</si>
  <si>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</si>
  <si>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</si>
  <si>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</si>
  <si>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</si>
  <si>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</si>
  <si>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</si>
  <si>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</si>
  <si>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</si>
  <si>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</si>
  <si>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</si>
  <si>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</si>
  <si>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</si>
  <si>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</si>
  <si>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</si>
  <si>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</si>
  <si>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</si>
  <si>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</si>
  <si>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</si>
  <si>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</si>
  <si>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</si>
  <si>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</si>
  <si>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</si>
  <si>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</si>
  <si>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</si>
  <si>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</si>
  <si>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</si>
  <si>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</si>
  <si>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</si>
  <si>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</si>
  <si>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</si>
  <si>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</si>
  <si>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</si>
  <si>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</si>
  <si>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</si>
  <si>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</si>
  <si>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</si>
  <si>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</si>
  <si>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</si>
  <si>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</si>
  <si>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</si>
  <si>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</si>
  <si>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</si>
  <si>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</si>
  <si>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</si>
  <si>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</si>
  <si>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</si>
  <si>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</si>
  <si>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</si>
  <si>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</si>
  <si>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</si>
  <si>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</si>
  <si>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</si>
  <si>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</si>
  <si>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</si>
  <si>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</si>
  <si>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</si>
  <si>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</si>
  <si>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</si>
  <si>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</si>
  <si>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</si>
  <si>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</si>
  <si>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</si>
  <si>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</si>
  <si>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</si>
  <si>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</si>
  <si>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</si>
  <si>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</si>
  <si>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</si>
  <si>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</si>
  <si>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</si>
  <si>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</si>
  <si>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</si>
  <si>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</si>
  <si>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</si>
  <si>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</si>
  <si>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</si>
  <si>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</si>
  <si>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</si>
  <si>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</si>
  <si>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</si>
  <si>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</si>
  <si>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</si>
  <si>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</si>
  <si>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</si>
  <si>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</si>
  <si>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</si>
  <si>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</si>
  <si>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</si>
  <si>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</si>
  <si>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</si>
  <si>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</si>
  <si>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</si>
  <si>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</si>
  <si>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</si>
  <si>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</si>
  <si>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</si>
  <si>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</si>
  <si>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</si>
  <si>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</si>
  <si>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</si>
  <si>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</si>
  <si>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</si>
  <si>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</si>
  <si>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</si>
  <si>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</si>
  <si>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</si>
  <si>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</si>
  <si>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</si>
  <si>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</si>
  <si>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</si>
  <si>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</si>
  <si>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</si>
  <si>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</si>
  <si>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</si>
  <si>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</si>
  <si>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</si>
  <si>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</si>
  <si>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</si>
  <si>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</si>
  <si>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</si>
  <si>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</si>
  <si>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</si>
  <si>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</si>
  <si>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</si>
  <si>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</si>
  <si>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</si>
  <si>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</si>
  <si>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</si>
  <si>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</si>
  <si>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</si>
  <si>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</si>
  <si>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</si>
  <si>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</si>
  <si>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</si>
  <si>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</si>
  <si>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</si>
  <si>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</si>
  <si>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</si>
  <si>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</si>
  <si>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</si>
  <si>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</si>
  <si>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</si>
  <si>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</si>
  <si>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</si>
  <si>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</si>
  <si>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</si>
  <si>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</si>
  <si>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</si>
  <si>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</si>
  <si>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</si>
  <si>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</si>
  <si>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</si>
  <si>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</si>
  <si>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</si>
  <si>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</si>
  <si>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</si>
  <si>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</si>
  <si>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</si>
  <si>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</si>
  <si>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</si>
  <si>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</si>
  <si>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</si>
  <si>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</si>
  <si>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</si>
  <si>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</si>
  <si>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</si>
  <si>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</si>
  <si>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</si>
  <si>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</si>
  <si>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</si>
  <si>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</si>
  <si>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</si>
  <si>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</si>
  <si>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</si>
  <si>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</si>
  <si>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</si>
  <si>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</si>
  <si>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</si>
  <si>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</si>
  <si>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</si>
  <si>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</si>
  <si>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</si>
  <si>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</si>
  <si>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</si>
  <si>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</si>
  <si>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</si>
  <si>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</si>
  <si>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</si>
  <si>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</si>
  <si>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</si>
  <si>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</si>
  <si>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</si>
  <si>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</si>
  <si>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</si>
  <si>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</si>
  <si>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</si>
  <si>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</si>
  <si>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</si>
  <si>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</si>
  <si>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</si>
  <si>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</si>
  <si>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</si>
  <si>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</si>
  <si>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</si>
  <si>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</si>
  <si>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</si>
  <si>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</si>
  <si>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</si>
  <si>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</si>
  <si>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</si>
  <si>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</si>
  <si>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</si>
  <si>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</si>
  <si>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</si>
  <si>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</si>
  <si>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</si>
  <si>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</si>
  <si>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</si>
  <si>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</si>
  <si>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</si>
  <si>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</si>
  <si>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</si>
  <si>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</si>
  <si>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</si>
  <si>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</si>
  <si>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</si>
  <si>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</si>
  <si>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</si>
  <si>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</si>
  <si>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</si>
  <si>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</si>
  <si>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</si>
  <si>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</si>
  <si>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</si>
  <si>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</si>
  <si>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</si>
  <si>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</si>
  <si>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</si>
  <si>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</si>
  <si>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</si>
  <si>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</si>
  <si>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</si>
  <si>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</si>
  <si>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</si>
  <si>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</si>
  <si>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</si>
  <si>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</si>
  <si>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</si>
  <si>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</si>
  <si>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</si>
  <si>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</si>
  <si>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</si>
  <si>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</si>
  <si>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</si>
  <si>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</si>
  <si>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</si>
  <si>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</si>
  <si>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</si>
  <si>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</si>
  <si>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</si>
  <si>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</si>
  <si>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</si>
  <si>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</si>
  <si>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</si>
  <si>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</si>
  <si>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</si>
  <si>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</si>
  <si>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</si>
  <si>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</si>
  <si>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</si>
  <si>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</si>
  <si>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</si>
  <si>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</si>
  <si>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</si>
  <si>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</si>
  <si>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</si>
  <si>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</si>
  <si>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</si>
  <si>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</si>
  <si>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</si>
  <si>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</si>
  <si>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</si>
  <si>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</si>
  <si>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</si>
  <si>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</si>
  <si>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</si>
  <si>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</si>
  <si>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</si>
  <si>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</si>
  <si>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</si>
  <si>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</si>
  <si>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</si>
  <si>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</si>
  <si>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</si>
  <si>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</si>
  <si>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</si>
  <si>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</si>
  <si>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</si>
  <si>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</si>
  <si>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</si>
  <si>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</si>
  <si>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</si>
  <si>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</si>
  <si>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</si>
  <si>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</si>
  <si>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</si>
  <si>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</si>
  <si>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</si>
  <si>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</si>
  <si>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</si>
  <si>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</si>
  <si>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</si>
  <si>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</si>
  <si>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</si>
  <si>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</si>
  <si>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</si>
  <si>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</si>
  <si>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</si>
  <si>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</si>
  <si>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</si>
  <si>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</si>
  <si>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</si>
  <si>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</si>
  <si>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</si>
  <si>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</si>
  <si>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</si>
  <si>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</si>
  <si>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</si>
  <si>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</si>
  <si>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</si>
  <si>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</si>
  <si>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</si>
  <si>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</si>
  <si>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</si>
  <si>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</si>
  <si>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</si>
  <si>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</si>
  <si>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</si>
  <si>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</si>
  <si>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</si>
  <si>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</si>
  <si>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</si>
  <si>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</si>
  <si>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</si>
  <si>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</si>
  <si>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</si>
  <si>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</si>
  <si>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</si>
  <si>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</si>
  <si>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</si>
  <si>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</si>
  <si>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</si>
  <si>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</si>
  <si>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</si>
  <si>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</si>
  <si>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</si>
  <si>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</si>
  <si>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</si>
  <si>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</si>
  <si>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</si>
  <si>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</si>
  <si>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</si>
  <si>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</si>
  <si>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</si>
  <si>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</si>
  <si>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</si>
  <si>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</si>
  <si>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</si>
  <si>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</si>
  <si>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</si>
  <si>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</si>
  <si>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</si>
  <si>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</si>
  <si>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</si>
  <si>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</si>
  <si>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</si>
  <si>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</si>
  <si>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</si>
  <si>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</si>
  <si>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</si>
  <si>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</si>
  <si>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</si>
  <si>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</si>
  <si>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</si>
  <si>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</si>
  <si>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</si>
  <si>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</si>
  <si>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</si>
  <si>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</si>
  <si>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</si>
  <si>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</si>
  <si>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</si>
  <si>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</si>
  <si>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</si>
  <si>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</si>
  <si>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</si>
  <si>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</si>
  <si>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</si>
  <si>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</si>
  <si>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</si>
  <si>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</si>
  <si>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</si>
  <si>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</si>
  <si>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</si>
  <si>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</si>
  <si>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</si>
  <si>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</si>
  <si>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</si>
  <si>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</si>
  <si>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</si>
  <si>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</si>
  <si>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</si>
  <si>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</si>
  <si>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</si>
  <si>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</si>
  <si>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</si>
  <si>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</si>
  <si>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</si>
  <si>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</si>
  <si>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</si>
  <si>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</si>
  <si>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</si>
  <si>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</si>
  <si>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</si>
  <si>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</si>
  <si>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</si>
  <si>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</si>
  <si>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</si>
  <si>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</si>
  <si>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</si>
  <si>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</si>
  <si>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</si>
  <si>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</si>
  <si>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</si>
  <si>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</si>
  <si>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</si>
  <si>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</si>
  <si>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</si>
  <si>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</si>
  <si>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</si>
  <si>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</si>
  <si>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</si>
  <si>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</si>
  <si>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</si>
  <si>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</si>
  <si>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</si>
  <si>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</si>
  <si>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</si>
  <si>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</si>
  <si>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</si>
  <si>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</si>
  <si>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</si>
  <si>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</si>
  <si>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</si>
  <si>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</si>
  <si>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</si>
  <si>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</si>
  <si>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</si>
  <si>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</si>
  <si>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</si>
  <si>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</si>
  <si>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</si>
  <si>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</si>
  <si>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</si>
  <si>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</si>
  <si>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</si>
  <si>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</si>
  <si>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</si>
  <si>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</si>
  <si>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</si>
  <si>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</si>
  <si>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</si>
  <si>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</si>
  <si>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</si>
  <si>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</si>
  <si>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</si>
  <si>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</si>
  <si>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</si>
  <si>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</si>
  <si>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</si>
  <si>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</si>
  <si>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</si>
  <si>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</si>
  <si>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</si>
  <si>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</si>
  <si>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</si>
  <si>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</si>
  <si>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</si>
  <si>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</si>
  <si>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</si>
  <si>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</si>
  <si>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</si>
  <si>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</si>
  <si>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</si>
  <si>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</si>
  <si>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</si>
  <si>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</si>
  <si>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</si>
  <si>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</si>
  <si>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</si>
  <si>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</si>
  <si>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</si>
  <si>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</si>
  <si>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</si>
  <si>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</si>
  <si>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</si>
  <si>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</si>
  <si>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</si>
  <si>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</si>
  <si>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</si>
  <si>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</si>
  <si>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</si>
  <si>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</si>
  <si>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</si>
  <si>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</si>
  <si>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</si>
  <si>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</si>
  <si>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</si>
  <si>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</si>
  <si>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</si>
  <si>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</si>
  <si>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</si>
  <si>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</si>
  <si>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</si>
  <si>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</si>
  <si>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</si>
  <si>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</si>
  <si>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</si>
  <si>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</si>
  <si>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</si>
  <si>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</si>
  <si>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</si>
  <si>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</si>
  <si>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</si>
  <si>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</si>
  <si>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</si>
  <si>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</si>
  <si>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</si>
  <si>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</si>
  <si>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</si>
  <si>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</si>
  <si>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</si>
  <si>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</si>
  <si>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</si>
  <si>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</si>
  <si>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</si>
  <si>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</si>
  <si>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</si>
  <si>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</si>
  <si>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</si>
  <si>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</si>
  <si>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</si>
  <si>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</si>
  <si>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</si>
  <si>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</si>
  <si>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</si>
  <si>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</si>
  <si>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</si>
  <si>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</si>
  <si>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</si>
  <si>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</si>
  <si>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</si>
  <si>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</si>
  <si>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</si>
  <si>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</si>
  <si>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</si>
  <si>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</si>
  <si>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</si>
  <si>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</si>
  <si>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</si>
  <si>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</si>
  <si>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</si>
  <si>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</si>
  <si>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</si>
  <si>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</si>
  <si>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</si>
  <si>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</si>
  <si>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</si>
  <si>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</si>
  <si>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</si>
  <si>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</si>
  <si>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</si>
  <si>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</si>
  <si>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</si>
  <si>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</si>
  <si>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</si>
  <si>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</si>
  <si>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</si>
  <si>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</si>
  <si>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</si>
  <si>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</si>
  <si>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</si>
  <si>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</si>
  <si>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</si>
  <si>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</si>
  <si>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</si>
  <si>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</si>
  <si>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</si>
  <si>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</si>
  <si>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</si>
  <si>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</si>
  <si>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</si>
  <si>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</si>
  <si>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</si>
  <si>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</si>
  <si>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</si>
  <si>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</si>
  <si>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</si>
  <si>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</si>
  <si>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</si>
  <si>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</si>
  <si>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</si>
  <si>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</si>
  <si>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</si>
  <si>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</si>
  <si>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</si>
  <si>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</si>
  <si>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</si>
  <si>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</si>
  <si>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</si>
  <si>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</si>
  <si>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</si>
  <si>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</si>
  <si>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</si>
  <si>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</si>
  <si>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</si>
  <si>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</si>
  <si>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</si>
  <si>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</si>
  <si>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</si>
  <si>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</si>
  <si>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</si>
  <si>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</si>
  <si>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</si>
  <si>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</si>
  <si>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</si>
  <si>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</si>
  <si>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</si>
  <si>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</si>
  <si>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</si>
  <si>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</si>
  <si>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</si>
  <si>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</si>
  <si>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</si>
  <si>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</si>
  <si>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</si>
  <si>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</si>
  <si>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</si>
  <si>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</si>
  <si>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</si>
  <si>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</si>
  <si>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</si>
  <si>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</si>
  <si>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</si>
  <si>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</si>
  <si>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</si>
  <si>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</si>
  <si>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</si>
  <si>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</si>
  <si>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</si>
  <si>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</si>
  <si>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</si>
  <si>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</si>
  <si>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</si>
  <si>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</si>
  <si>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</si>
  <si>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</si>
  <si>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</si>
  <si>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</si>
  <si>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</si>
  <si>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</si>
  <si>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</si>
  <si>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</si>
  <si>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</si>
  <si>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</si>
  <si>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</si>
  <si>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</si>
  <si>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</si>
  <si>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</si>
  <si>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</si>
  <si>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</si>
  <si>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</si>
  <si>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</si>
  <si>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</si>
  <si>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</si>
  <si>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</si>
  <si>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</si>
  <si>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</si>
  <si>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</si>
  <si>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</si>
  <si>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</si>
  <si>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</si>
  <si>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</si>
  <si>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</si>
  <si>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</si>
  <si>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</si>
  <si>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</si>
  <si>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</si>
  <si>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</si>
  <si>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</si>
  <si>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</si>
  <si>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</si>
  <si>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</si>
  <si>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</si>
  <si>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</si>
  <si>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</si>
  <si>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</si>
  <si>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</si>
  <si>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</si>
  <si>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</si>
  <si>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</si>
  <si>
    <t>ThisWorkbook</t>
  </si>
  <si>
    <t xml:space="preserve">' In ThisWorkbook_x000D_
Option Explicit_x000D_
_x000D_
Private </t>
  </si>
  <si>
    <t xml:space="preserve">Sub Workbook_Open()_x000D_
    ' Initialize the table cache once when the workbook opens_x000D_
    util_Cache.InitializeTableCache_x000D_
End Sub_x000D_
_x000D_
Private </t>
  </si>
  <si>
    <t xml:space="preserve">Sub Workbook_SheetActivate(ByVal Sh As Object)_x000D_
    ' Refresh cache if table structure changed_x000D_
    If util_Cache.NeedsCacheRefresh Then_x000D_
        util_Cache.RefreshTableCache_x000D_
    End If_x000D_
    _x000D_
End Sub_x000D_
_x000D_
Private </t>
  </si>
  <si>
    <t xml:space="preserve">Sub Workbook_SheetDeactivate(ByVal Sh As Object)_x000D_
    ' Refresh cache if table structure changed_x000D_
    If util_Cache.NeedsCacheRefresh Then_x000D_
        util_Cache.RefreshTableCache_x000D_
    End If_x000D_
    _x000D_
End Sub_x000D_
_x000D_
Private </t>
  </si>
  <si>
    <t>Sub Workbook_SheetChange(ByVal Sh As Object, ByVal Target As Range)_x000D_
    ' Check if the change might affect table structure_x000D_
    Dim tbl As ListObject_x000D_
    Dim needsRefresh As Boolean_x000D_
    _x000D_
    needsRefresh = False_x000D_
    For Each tbl In Sh.ListObjects_x000D_
        If Not Intersect(Target, tbl.Range) Is Nothing Then_x000D_
            needsRefresh = True ' Change within a table_x000D_
            Exit For_x000D_
        End If_x000D_
    Next tbl_x000D_
    _x000D_
    ' Also check if table count changed (e.g., new table added)_x000D_
    If util_Cache.NeedsCacheRefresh Then_x000D_
        needsRefresh = True_x000D_
    End If_x000D_
    _x000D_
    If needsRefresh Then_x000D_
        util_Cache.RefreshTableCache_x000D_
        Debug.Print "Table cache refreshed due to sheet change on " &amp; Sh.name_x000D_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</si>
  <si>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"meta_Classifiers" Then_x000D_
            If referingColumnName = "Kind" Then_x000D_
                referedColumnName = "Display Qualified"_x000D_
                Call updateIdOnNameChange(cellRef, referingTableName, referingColumnName, referedTableName, referedColumnName)_x000D_
            End If_x000D_
            If referingColumnName = "Class - Generalization" Then_x000D_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</si>
  <si>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"meta_Tables"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"Instances Class" Then_x000D_
                referedTableName = "meta_Classifiers"_x000D_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</si>
  <si>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"meta_Columns"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"Owning Table" Then_x000D_
                referedTableName = "meta_Tables"_x000D_
                referedColumnName = "Display Qualified"_x000D_
                Call updateIdOnNameChange(cellRef, referingTableName, referingColumnName, referedTableName, referedColumnName)_x000D_
            End If_x000D_
            If referingColumnName = "Referenced Table" Then_x000D_
                referedTableName = "meta_Tables"_x000D_
                referedColumnName = "Display Qualified"_x000D_
                Call updateIdOnNameChange(cellRef, referingTableName, referingColumnName, referedTableName, referedColumnName)_x000D_
            End If_x000D_
            If referingColumnName = "Referenced Table Display and Select Column" Then_x000D_
                referedTableName = "meta_Columns"_x000D_
                referedColumnName = "Display Qualified"_x000D_
                Call updateIdOnNameChange(cellRef, referingTableName, referingColumnName, referedTableName, referedColumnName)_x000D_
            End If_x000D_
            If referingColumnName = "Property" Then_x000D_
                referedTableName = "meta_TypedModelElements"_x000D_
                referedColumnName = "Property Display Qualified"_x000D_
                Call updateIdOnNameChange(cellRef, referingTableName, referingColumnName, referedTableName, referedColumnName)_x000D_
            End If_x000D_
        End If_x000D_
        'ENDO OF PARAMETRIZATION'_x000D_
    End If_x000D_
End Sub</t>
  </si>
  <si>
    <t xml:space="preserve">Sub Worksheet_Activate()_x000D_
    Debug.Print "Worksheet_Activate triggered"_x000D_
    ProcessReferenceColumns "Activate"_x000D_
End Sub_x000D_
_x000D_
Private </t>
  </si>
  <si>
    <t xml:space="preserve">Sub Worksheet_Deactivate()_x000D_
    Debug.Print "Worksheet_Deactivate triggered"_x000D_
    ProcessReferenceColumns "Deactivate"_x000D_
End Sub_x000D_
_x000D_
Private </t>
  </si>
  <si>
    <t xml:space="preserve">Sub ProcessReferenceColumns(ByVal eventType As String)_x000D_
    On Error Resume Next_x000D_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NEW IMPLEMENTATION:_x000D_
    ' We're eliminating the proxy columns and directly computing values_x000D_
    ' Each reference column will only have a single ":srcLastSaved" companion column_x000D_
    ' All calculations are done in code rather than relying on formula columns_x000D_
    _x000D_
    Dim tbl As ListObject_x000D_
    _x000D_
    ' Auto-detect the table_x000D_
    If Me.ListObjects.count &gt; 0 Then_x000D_
        Set tbl = Me.ListObjects(1)_x000D_
        Debug.Print "Automatically detected table: " &amp; tbl.name_x000D_
    Else_x000D_
        Debug.Print "No tables found on this sheet"_x000D_
        Exit Sub_x000D_
    End If_x000D_
    _x000D_
    If tbl Is Nothing Then_x000D_
        Debug.Print "Table not found"_x000D_
        Exit Sub_x000D_
    End If_x000D_
    _x000D_
    Debug.Print "Processing sheet: " &amp; Me.name &amp; ", table: " &amp; tbl.name &amp; " for event: " &amp; eventType_x000D_
    _x000D_
    ' Step 1: Find all columns with INDIRECT data validation as reference columns_x000D_
    ' Collection to store reference columns with INDIRECT validation_x000D_
    Dim possibleRefColumns As Collection_x000D_
    Set possibleRefColumns = New Collection_x000D_
    _x000D_
    ' Collection to store parsed INDIRECT references_x000D_
    Dim refColumnReferences As Collection_x000D_
    Set refColumnReferences = New Collection_x000D_
    _x000D_
    Dim i As Long_x000D_
    For i = 1 To tbl.ListColumns.count_x000D_
        Dim colName As String_x000D_
        colName = tbl.ListColumns(i).name_x000D_
        _x000D_
        ' Check if column has no suffix and has INDIRECT data validation_x000D_
        If InStr(colName, ":") = 0 Then_x000D_
            Dim hasIndirectDV As Boolean_x000D_
            hasIndirectDV = False_x000D_
            Dim tableName As String_x000D_
            Dim refColumnName As String_x000D_
            _x000D_
            ' Check data validation for INDIRECT_x000D_
            If Not tbl.ListColumns(i).DataBodyRange Is Nothing Then_x000D_
                Dim cell As Range_x000D_
                Set cell = tbl.ListColumns(i).DataBodyRange.Cells(1, 1)_x000D_
                If Not cell.Validation Is Nothing Then_x000D_
                    Dim formula As String_x000D_
                    _x000D_
                    On Error Resume Next_x000D_
                    formula = cell.Validation.Formula1_x000D_
                    _x000D_
                    If Err.Number &lt;&gt; 0 Then_x000D_
                        Debug.Print "Error getting validation formula: " &amp; Err.Description_x000D_
                        Err.Clear_x000D_
                        formula = ""_x000D_
                    End If_x000D_
                    _x000D_
                    On Error GoTo 0_x000D_
                    _x000D_
                    If InStr(1, formula, "INDIRECT", vbTextCompare) &gt; 0 Then_x000D_
                        hasIndirectDV = True_x000D_
                        ' Parse the INDIRECT formula_x000D_
                        Dim startPos As Long_x000D_
                        Dim endPos As Long_x000D_
                        startPos = InStr(formula, """") + 1_x000D_
                        endPos = InStrRev(formula, """") - 1_x000D_
                        If startPos &gt; 0 And endPos &gt; startPos Then_x000D_
                            Dim refString As String_x000D_
                            refString = Mid(formula, startPos, endPos - startPos + 1)_x000D_
                            ' Split into table name and column name_x000D_
                            Dim bracketStart As Long_x000D_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 Store the parsed references as a delimited string_x000D_
                refColumnReferences.Add tableName &amp; "|" &amp; refColumnName, colName_x000D_
            End If_x000D_
        End If_x000D_
    Next i_x000D_
    _x000D_
    ' Step 2: Process each reference column_x000D_
Dim refCol As ListColumn_x000D_
For Each refCol In possibleRefColumns_x000D_
    Dim refColName As String_x000D_
    refColName = refCol.name_x000D_
    Debug.Print "Processing base name: " &amp; refColName_x000D_
    _x000D_
    ' Look for matching "srcLastSaved" column anywhere in the table_x000D_
    Dim srcLastSavedCol As ListColumn_x000D_
    Set srcLastSavedCol = Nothing_x000D_
    _x000D_
    For i = 1 To tbl.ListColumns.count_x000D_
        If tbl.ListColumns(i).name = refColName &amp; ":srcLastSaved" Then_x000D_
            Set srcLastSavedCol = tbl.ListColumns(i)_x000D_
            Debug.Print "Found matching srcLastSaved column: " &amp; srcLastSavedCol.name_x000D_
            Exit For_x000D_
        End If_x000D_
    Next i_x000D_
    _x000D_
    ' Process the pair if found_x000D_
    If Not srcLastSavedCol Is Nothing Then_x000D_
        ' Get the target table and column from stored references_x000D_
        Dim refInfo As String_x000D_
        refInfo = refColumnReferences(refColName)_x000D_
        tableName = Split(refInfo, "|")(0)_x000D_
        refColumnName = Split(refInfo, "|")(1)_x000D_
        _x000D_
        Debug.Print "Valid reference pair found: srcLastSavedCol.Name=" &amp; srcLastSavedCol.name &amp; ", refCol.Name=" &amp; refCol.name_x000D_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On Error GoTo 0_x000D_
End Sub_x000D_
_x000D_
' NEW: This function directly handles activation without proxy columns_x000D_
' It replaces the functionality of the ":selectFromSrcLastSaved" column_x000D_
Private </t>
  </si>
  <si>
    <t xml:space="preserve">Sub ProcessActivationDirect(srcLastSavedCol As ListColumn, refCol As ListColumn, tableName As String, columnName As String)_x000D_
    On Error Resume Next_x000D_
    Debug.Print "Activation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Update reference column values from saved IDs_x000D_
        If Not srcLastSavedCol.DataBodyRange Is Nothing Then_x000D_
            Dim i As Long_x000D_
            Dim rowCount As Long_x000D_
            rowCount = srcLastSavedCol.DataBodyRange.Rows.count_x000D_
            Dim valuesCopied As Long_x000D_
            valuesCopied = 0_x000D_
            _x000D_
            For i = 1 To rowCount_x000D_
                Dim idValue As Variant_x000D_
                idValue = srcLastSavedCol.DataBodyRange.Cells(i, 1).Value_x000D_
                _x000D_
                ' Only process non-empty IDs_x000D_
                If Not IsEmpty(idValue) And Not IsError(idValue) Then_x000D_
                    ' Use INDEX/MATCH to find the display value_x000D_
                    ' This replaces the formula:_x000D_
                    ' =INDEX(tablename[columnname],MATCH([@[Ref to Sheet 2:srcLastSaved]],tablename[ID],0))_x000D_
                    Dim foundValue As Variant_x000D_
                    foundValue = Application.WorksheetFunction.Index(srcTbl.ListColumns(columnName).DataBodyRange, __x000D_
                        Application.WorksheetFunction.Match(idValue, srcTbl.ListColumns("ID").DataBodyRange, 0))_x000D_
                    If Not IsError(foundValue) Then_x000D_
                        refCol.DataBodyRange.Cells(i, 1).Value = foundValue_x000D_
                        valuesCopied = valuesCopied + 1_x000D_
                    Else_x000D_
                        refCol.DataBodyRange.Cells(i, 1).Value = ""_x000D_
                    End If_x000D_
                End If_x000D_
            Next i_x000D_
            _x000D_
            ' Clear srcLastSaved after activation_x000D_
            srcLastSavedCol.DataBodyRange.ClearContents_x000D_
            Debug.Print "Copied " &amp; valuesCopied &amp; " values to target column and cleared srcLastSaved"_x000D_
        End If_x000D_
    Else_x000D_
        Debug.Print "Source table " &amp; tableName &amp; " not found"_x000D_
    End If_x000D_
End Sub_x000D_
_x000D_
' NEW: This function directly handles deactivation without proxy columns_x000D_
' It replaces the functionality of the ":srcFromActual" column_x000D_
Private </t>
  </si>
  <si>
    <t xml:space="preserve">Sub ProcessDeactivationDirect(srcLastSavedCol As ListColumn, refCol As ListColumn, tableName As String, columnName As String)_x000D_
    On Error Resume Next_x000D_
    Debug.Print "Deactivation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Save IDs corresponding to reference values_x000D_
        If Not refCol.DataBodyRange Is Nothing Then_x000D_
            Dim i As Long_x000D_
            Dim rowCount As Long_x000D_
            rowCount = refCol.DataBodyRange.Rows.count_x000D_
            Dim idsSaved As Long_x000D_
            idsSaved = 0_x000D_
            _x000D_
            For i = 1 To rowCount_x000D_
                Dim refValue As Variant_x000D_
                refValue = refCol.DataBodyRange.Cells(i, 1).Value_x000D_
                _x000D_
                ' Only process non-empty reference values_x000D_
                If Not IsEmpty(refValue) And Not IsError(refValue) Then_x000D_
                    ' Use INDEX/MATCH to find the corresponding ID_x000D_
                    ' This replaces the formula:_x000D_
                    ' =IFERROR(INDEX(tablename[ID], MATCH([@[refcol]], tablename[colname], 0)), "")_x000D_
                    Dim foundID As Variant_x000D_
                    foundID = Application.WorksheetFunction.Index(srcTbl.ListColumns("ID").DataBodyRange, __x000D_
                        Application.WorksheetFunction.Match(refValue, srcTbl.ListColumns(columnName).DataBodyRange, 0))_x000D_
                    If Not IsError(foundID) Then_x000D_
                        srcLastSavedCol.DataBodyRange.Cells(i, 1).Value = foundID_x000D_
                        idsSaved = idsSaved + 1_x000D_
                    Else_x000D_
                        srcLastSavedCol.DataBodyRange.Cells(i, 1).Value = ""_x000D_
                    End If_x000D_
                End If_x000D_
            Next i_x000D_
            _x000D_
            Debug.Print "Saved " &amp; idsSaved &amp; " IDs to srcLastSaved column"_x000D_
        End If_x000D_
    Else_x000D_
        Debug.Print "Source table " &amp; tableName &amp; " not found"_x000D_
    End If_x000D_
End Sub_x000D_
_x000D_
_x000D_
</t>
  </si>
  <si>
    <t xml:space="preserve">Option Explicit_x000D_
_x000D_
' Module-level variables for table caching_x000D_
Private srcTableCache As Collection_x000D_
Private srcTableNames As Collection_x000D_
_x000D_
Private </t>
  </si>
  <si>
    <t xml:space="preserve">Sub Worksheet_Activate()_x000D_
    Debug.Print "Worksheet_Activate triggered"_x000D_
    InitializeTableCache_x000D_
    ProcessReferenceColumns "Activate"_x000D_
End Sub_x000D_
_x000D_
Private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</si>
  <si>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End Sub_x000D_
_x000D_
Private </t>
  </si>
  <si>
    <t xml:space="preserve">Sub ProcessReferenceColumns(ByVal eventType As String)_x000D_
    Dim origScreenUpdating As Boolean_x000D_
    Dim origCalculation As Long_x000D_
    Dim origEnableEvents As Boolean_x000D_
    Dim tbl As ListObject_x000D_
    Dim possibleRefColumns As Collection_x000D_
    Dim refColumnReferences As Collection_x000D_
    Dim colMap As Collection_x000D_
    Dim i As Long_x000D_
    Dim refCol As ListColumn_x000D_
    Dim srcLastSavedCol As ListColumn_x000D_
    Dim colName As String_x000D_
    Dim hasIndirectDV As Boolean_x000D_
    Dim tableName As String_x000D_
    Dim refColumnName As String_x000D_
    Dim cell As Range_x000D_
    Dim formula As String_x000D_
    Dim startPos As Long_x000D_
    Dim endPos As Long_x000D_
    Dim refString As String_x000D_
    Dim bracketStart As Long_x000D_
    Dim refColName As String_x000D_
    Dim refInfo As String_x000D_
    _x000D_
    ' Save original application states_x000D_
    origScreenUpdating = Application.ScreenUpdating_x000D_
    origCalculation = Application.Calculation_x000D_
    origEnableEvents = Application.EnableEvents_x000D_
    _x000D_
    On Error GoTo ErrorHandler_x000D_
    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Set application states_x000D_
    Application.ScreenUpdating = False_x000D_
    Application.Calculation = xlCalculationManual_x000D_
    Application.EnableEvents = False_x000D_
    Application.Cursor = xlWait_x000D_
    _x000D_
    ' Auto-detect the table_x000D_
    If Me.ListObjects.count &gt; 0 Then_x000D_
        Set tbl = Me.ListObjects(1)_x000D_
        Debug.Print "Automatically detected table: " &amp; tbl.name_x000D_
    Else_x000D_
        Debug.Print "No tables found on this sheet"_x000D_
        GoTo Cleanup_x000D_
    End If_x000D_
    _x000D_
    If tbl Is Nothing Then_x000D_
        Debug.Print "Table not found"_x000D_
        GoTo Cleanup_x000D_
    End If_x000D_
    _x000D_
    Debug.Print "Processing sheet: " &amp; Me.name &amp; ", table: " &amp; tbl.name &amp; " for event: " &amp; eventType_x000D_
    _x000D_
    ' Initialize collections_x000D_
    Set possibleRefColumns = New Collection_x000D_
    Set refColumnReferences = New Collection_x000D_
    Set colMap = New Collection_x000D_
    _x000D_
    ' Build column map for faster lookups_x000D_
    For i = 1 To tbl.ListColumns.count_x000D_
        On Error Resume Next_x000D_
        colMap.Add tbl.ListColumns(i), tbl.ListColumns(i).name_x000D_
        On Error GoTo 0_x000D_
    Next i_x000D_
    _x000D_
    ' Find reference columns with INDIRECT validation_x000D_
    For i = 1 To tbl.ListColumns.count_x000D_
        colName = tbl.ListColumns(i).name_x000D_
        _x000D_
        If InStr(colName, ":") = 0 Then_x000D_
            hasIndirectDV = False_x000D_
            tableName = ""_x000D_
            refColumnName = ""_x000D_
            _x000D_
            If Not tbl.ListColumns(i).DataBodyRange Is Nothing Then_x000D_
                Set cell = tbl.ListColumns(i).DataBodyRange.Cells(1, 1)_x000D_
                If Not cell.Validation Is Nothing Then_x000D_
                    On Error Resume Next_x000D_
                    formula = cell.Validation.Formula1_x000D_
                    If Err.Number &lt;&gt; 0 Then_x000D_
                        Debug.Print "Error getting validation formula: " &amp; Err.Description_x000D_
                        Err.Clear_x000D_
                        formula = ""_x000D_
                    End If_x000D_
                    On Error GoTo ErrorHandler_x000D_
                    _x000D_
                    If InStr(1, formula, "INDIRECT", vbTextCompare) &gt; 0 Then_x000D_
                        hasIndirectDV = True_x000D_
                        startPos = InStr(formula, """") + 1_x000D_
                        endPos = InStrRev(formula, """") - 1_x000D_
                        If startPos &gt; 0 And endPos &gt; startPos Then_x000D_
                            refString = Mid(formula, startPos, endPos - startPos + 1)_x000D_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refColumnReferences.Add tableName &amp; "|" &amp; refColumnName, colName_x000D_
            End If_x000D_
        End If_x000D_
    Next i_x000D_
    _x000D_
    ' Process each reference column_x000D_
    For Each refCol In possibleRefColumns_x000D_
        refColName = refCol.name_x000D_
        Debug.Print "Processing base name: " &amp; refColName_x000D_
        _x000D_
        Set srcLastSavedCol = Nothing_x000D_
        On Error Resume Next_x000D_
        Set srcLastSavedCol = colMap(refColName &amp; ":srcLastSaved")_x000D_
        On Error GoTo ErrorHandler_x000D_
        _x000D_
        If Not srcLastSavedCol Is Nothing Then_x000D_
            refInfo = refColumnReferences(refColName)_x000D_
            tableName = Split(refInfo, "|")(0)_x000D_
            refColumnName = Split(refInfo, "|")(1)_x000D_
            _x000D_
            Debug.Print "Valid reference pair found: srcLastSavedCol.Name=" &amp; srcLastSavedCol.name &amp; ", refCol.Name=" &amp; refCol.name_x000D_
            Application.StatusBar = "Processing " &amp; refColName &amp;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Cleanup:_x000D_
    Application.ScreenUpdating = origScreenUpdating_x000D_
    Application.Calculation = origCalculation_x000D_
    Application.EnableEvents = origEnableEvents_x000D_
    Application.Cursor = xlDefault_x000D_
    Application.StatusBar = False_x000D_
    Exit Sub_x000D_
    _x000D_
ErrorHandler:_x000D_
    Debug.Print "Error " &amp; Err.Number &amp; ": " &amp; Err.Description &amp; " in ProcessReferenceColumns"_x000D_
    Resume Cleanup_x000D_
End Sub_x000D_
_x000D_
Private </t>
  </si>
  <si>
    <t xml:space="preserve">Sub ProcessActivationDirect(srcLastSavedCol As ListColumn, refCol As ListColumn, tableName As String, columnName As String)_x000D_
    Dim rowCount As Long_x000D_
    Dim srcTbl As ListObject_x000D_
    Dim testCol As ListColumn_x000D_
    Dim idArray As Variant_x000D_
    Dim refArray As Variant_x000D_
    Dim srcIDs As Variant_x000D_
    Dim srcValues As Variant_x000D_
    Dim resultArray As Variant_x000D_
    Dim lookup As Collection_x000D_
    Dim keyArray As Collection_x000D_
    Dim i As Long_x000D_
    Dim j As Long_x000D_
    Dim valuesCopied As Long_x000D_
    Dim srcKey As Variant_x000D_
    Dim keyStr As String_x000D_
    Dim keyExists As Boolean_x000D_
    Dim testVal As Variant_x000D_
    _x000D_
    On Error GoTo ErrorHandler_x000D_
    _x000D_
    If srcLastSavedCol.DataBodyRange Is Nothing Then_x000D_
        Debug.Print "Source column has no data"_x000D_
        Exit Sub_x000D_
    End If_x000D_
    _x000D_
    rowCount = srcLastSavedCol.DataBodyRange.Rows.count_x000D_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"Processing pair - refCol: " &amp; refCol.name &amp; ", srcLastSavedCol: " &amp; srcLastSavedCol.name_x000D_
    Debug.Print "Activation for refCol: " &amp; refCol.name &amp; ", using " &amp; tableName &amp; "[" &amp; columnName &amp; "]"_x000D_
    Debug.Print "Found source table " &amp; tableName &amp; " in cache"_x000D_
    _x000D_
    idArray = srcLastSavedCol.DataBodyRange.Value_x000D_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LBound(srcIDs, 1) To UBound(srcIDs, 1)_x000D_
        srcKey = srcIDs(j,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srcValues(j, 1), keyStr_x000D_
                keyArray.Add keyStr_x000D_
                On Error GoTo ErrorHandler_x000D_
            End If_x000D_
        End If_x000D_
    Next j_x000D_
    _x000D_
    valuesCopied = 0_x000D_
    For i = 1 To rowCount_x000D_
        If Not IsEmpty(idArray(i, 1)) And Not IsError(idArray(i, 1)) Then_x000D_
            On Error Resume Next_x000D_
            resultArray(i, 1) = lookup(CStr(idArray(i, 1)))_x000D_
            If Err.Number &lt;&gt; 0 Then resultArray(i, 1) = refArray(i, 1)_x000D_
            If Err.Number = 0 Then valuesCopied = valuesCopied + 1_x000D_
            On Error GoTo ErrorHandler_x000D_
        Else_x000D_
            resultArray(i, 1) = refArray(i, 1)_x000D_
        End If_x000D_
    Next i_x000D_
    _x000D_
    refCol.DataBodyRange.Value = resultArray_x000D_
    If valuesCopied &gt; 0 Then_x000D_
        srcLastSavedCol.DataBodyRange.ClearContents_x000D_
        Debug.Print "Copied " &amp; valuesCopied &amp; " values to target column and cleared srcLastSaved"_x000D_
    Else_x000D_
        Debug.Print "Copied " &amp; valuesCopied &amp; " values to target column, srcLastSaved preserved"_x000D_
    End If_x000D_
    _x000D_
    Exit Sub_x000D_
    _x000D_
ErrorHandler:_x000D_
    Debug.Print "Error " &amp; Err.Number &amp; ": " &amp; Err.Description &amp; " in ProcessActivationDirect"_x000D_
    Exit Sub_x000D_
End Sub_x000D_
_x000D_
Private </t>
  </si>
  <si>
    <t>Sub ProcessDeactivationDirect(srcLastSavedCol As ListColumn, refCol As ListColumn, tableName As String, columnName As String)_x000D_
    Dim rowCount As Long_x000D_
    Dim srcTbl As ListObject_x000D_
    Dim testCol As ListColumn_x000D_
    Dim refArray As Variant_x000D_
    Dim srcIDs As Variant_x000D_
    Dim srcValues As Variant_x000D_
    Dim resultArray As Variant_x000D_
    Dim lookup As Collection_x000D_
    Dim keyArray As Collection_x000D_
    Dim i As Long_x000D_
    Dim j As Long_x000D_
    Dim idsSaved As Long_x000D_
    Dim srcKey As Variant_x000D_
    Dim keyStr As String_x000D_
    Dim keyExists As Boolean_x000D_
    Dim testVal As Variant_x000D_
    _x000D_
    On Error GoTo ErrorHandler_x000D_
    _x000D_
    If refCol.DataBodyRange Is Nothing Then_x000D_
        Debug.Print "Reference column has no data"_x000D_
        Exit Sub_x000D_
    End If_x000D_
    _x000D_
    rowCount = refCol.DataBodyRange.Rows.count_x000D_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"Deactivation for refCol: " &amp; refCol.name &amp; ", using " &amp; tableName &amp; "[" &amp; columnName &amp; "]"_x000D_
    Debug.Print "Found source table " &amp; tableName &amp; " in cache"_x000D_
    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LBound(srcValues, 1) To UBound(srcValues, 1)_x000D_
        srcKey = srcValues(j,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srcIDs(j, 1), keyStr_x000D_
                keyArray.Add keyStr_x000D_
                On Error GoTo ErrorHandler_x000D_
            End If_x000D_
        End If_x000D_
    Next j_x000D_
    _x000D_
    idsSaved = 0_x000D_
    For i = 1 To rowCount_x000D_
        If Not IsEmpty(refArray(i, 1)) And Not IsError(refArray(i, 1)) Then_x000D_
            On Error Resume Next_x000D_
            resultArray(i, 1) = lookup(CStr(refArray(i, 1)))_x000D_
            If Err.Number = 0 Then idsSaved = idsSaved + 1 Else resultArray(i, 1) = ""_x000D_
            On Error GoTo ErrorHandler_x000D_
        Else_x000D_
            resultArray(i, 1) = ""_x000D_
        End If_x000D_
    Next i_x000D_
    _x000D_
    srcLastSavedCol.DataBodyRange.Value = resultArray_x000D_
    Debug.Print "Saved " &amp; idsSaved &amp; " IDs to srcLastSaved column"_x000D_
    _x000D_
    Exit Sub_x000D_
    _x000D_
ErrorHandler:_x000D_
    Debug.Print "Error " &amp; Err.Number &amp; ": " &amp; Err.Description &amp; " in ProcessDeactivationDirect"_x000D_
    Exit Sub_x000D_
End Sub</t>
  </si>
  <si>
    <t xml:space="preserve">' Class1_x000D_
Option Explicit_x000D_
_x000D_
_x000D_
' </t>
  </si>
  <si>
    <t xml:space="preserve">Function implementations_x000D_
Public </t>
  </si>
  <si>
    <t xml:space="preserve">Function resultAttribute_Derive(selfId As String, src As Variant) As String_x000D_
    _x000D_
    resultAttribute_Derive = "Derived String"_x000D_
End Function_x000D_
_x000D_
Public </t>
  </si>
  <si>
    <t xml:space="preserve">Function resultAttribute_Display(selfId As String, src As Variant) As String_x000D_
_x000D_
    resultAttribute_Display = "Displayed String"_x000D_
End Function_x000D_
_x000D_
Public </t>
  </si>
  <si>
    <t xml:space="preserve">Function resultAttribute_Group(selfId As String, src As Variant) As String_x000D_
_x000D_
    resultAttribute_Group = "Grouped String"_x000D_
End Function_x000D_
_x000D_
Public </t>
  </si>
  <si>
    <t xml:space="preserve">Function resultAttribute_Choices(selfId As String, src As Variant) As Variant_x000D_
_x000D_
    resultAttribute_Choices = Array("Choice1", "Choice2", "Choice3")_x000D_
End Function_x000D_
_x000D_
Public </t>
  </si>
  <si>
    <t xml:space="preserve">Function resultAttribute_Constraint(selfId As String, src As Variant, trg As String) As Boolean_x000D_
_x000D_
    resultAttribute_Constraint = True_x000D_
End Function_x000D_
</t>
  </si>
  <si>
    <t xml:space="preserve">' Class2_x000D_
Option Explicit_x000D_
_x000D_
_x000D_
' </t>
  </si>
  <si>
    <t xml:space="preserve">Function resultAttribute_Derive(selfId As String, src As Variant) As String_x000D_
_x000D_
    resultAttribute_Derive = "Derived String from Class2"_x000D_
End Function_x000D_
_x000D_
Public </t>
  </si>
  <si>
    <t xml:space="preserve">Function resultAttribute_Display(selfId As String, src As Variant) As String_x000D_
_x000D_
    resultAttribute_Display = "Displayed String from Class2"_x000D_
End Function_x000D_
_x000D_
Public </t>
  </si>
  <si>
    <t xml:space="preserve">Function resultAttribute_Group(selfId As String, src As Variant) As String_x000D_
_x000D_
    resultAttribute_Group = "Grouped String from Class2"_x000D_
End Function_x000D_
_x000D_
Public </t>
  </si>
  <si>
    <t xml:space="preserve">Function resultAttribute_Choices(selfId As String, src As Variant) As Variant_x000D_
_x000D_
    resultAttribute_Choices = Array("ChoiceA", "ChoiceB", "ChoiceC")_x000D_
End Function_x000D_
_x000D_
Public </t>
  </si>
  <si>
    <t xml:space="preserve">Function resultAttribute_Constraint(selfId As String, src As Variant, trg As String) As Boolean_x000D_
_x000D_
    resultAttribute_Constraint = False_x000D_
End Function_x000D_
</t>
  </si>
  <si>
    <t xml:space="preserve">Sub createForms()_x000D_
_x000D_
    ' Create all forms_x000D_
    Call createTransferModeForm_x000D_
    Call createSourceTableForm_x000D_
    Call createTargetTableForm_x000D_
    Call createSourceInvalidForm_x000D_
    Call createTargetInvalidForm_x000D_
    Call createBackupTableForm_x000D_
_x000D_
    MsgBox "Forms created successfully."_x000D_
_x000D_
End Sub_x000D_
_x000D_
' Subroutine to create UserForm_TransferMode_x000D_
</t>
  </si>
  <si>
    <t xml:space="preserve">Function createTransferModeForm()_x000D_
    Dim MyUserForm As VBComponent_x000D_
    Dim CommandButton1 As MSForms.CommandButton_x000D_
    Dim CommandButton2 As MSForms.CommandButton_x000D_
    Dim N As Integer_x000D_
_x000D_
    ' Check if UserForm_TransferMode already exists_x000D_
    For N = 1 To ThisWorkbook.VBProject.VBComponents.count_x000D_
        If ThisWorkbook.VBProject.VBComponents(N).name = "UserForm_TransferMode" Then_x000D_
            Exit Function_x000D_
        End If_x000D_
    Next N_x000D_
_x000D_
    ' Create UserForm_TransferMode_x000D_
    Set MyUserForm = ThisWorkbook.VBProject.VBComponents.Add(vbext_ct_MSForm)_x000D_
    _x000D_
    MyUserForm.name = "UserForm_TransferMode"_x000D_
    _x000D_
    With MyUserForm_x000D_
        .Properties("Caption") = "Select Transfer Mode"_x000D_
        .Properties("Width") = 300_x000D_
        .Properties("Height") = 200_x000D_
        .Properties("BorderStyle") = 1 ' Makes the form resizable_x000D_
    End With_x000D_
    _x000D_
    _x000D_
_x000D_
    ' Add "Normal Transfer" button_x000D_
    Set CommandButton1 = MyUserForm.Designer.Controls.Add("forms.CommandButton.1")_x000D_
    With CommandButton1_x000D_
        .Caption = "Normal Transfer"_x000D_
        .Height = 30_x000D_
        .Width = 100_x000D_
        .Left = 30_x000D_
        .Top = 50_x000D_
    End With_x000D_
_x000D_
_x000D_
    ' Add event handlers for CommandButtons_x000D_
    With MyUserForm.CodeModule_x000D_
        .InsertLines .CountOfLines + 1, "Private </t>
  </si>
  <si>
    <t xml:space="preserve">Sub CommandButton1_Click()"_x000D_
        .InsertLines .CountOfLines + 1, "    transferMode = ""normal"""_x000D_
        .InsertLines .CountOfLines + 1, "    Unload Me"_x000D_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</si>
  <si>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UserForm_SourceTable_x000D_
</t>
  </si>
  <si>
    <t xml:space="preserve">Function createSourceTableForm()_x000D_
    Dim MyUserForm As VBComponent_x000D_
    Dim CommandButton1 As MSForms.CommandButton_x000D_
    Dim ListBox1 As MSForms.ListBox_x000D_
    Dim N As Integer_x000D_
_x000D_
    ' Check if UserForm_SourceTable already exists_x000D_
    For N = 1 To ThisWorkbook.VBProject.VBComponents.count_x000D_
        If ThisWorkbook.VBProject.VBComponents(N).name = "UserForm_SourceTable" Then_x000D_
            Exit Function_x000D_
        End If_x000D_
    Next N_x000D_
_x000D_
    ' Create UserForm_SourceTable_x000D_
    Set MyUserForm = ThisWorkbook.VBProject.VBComponents.Add(vbext_ct_MSForm)_x000D_
    With MyUserForm_x000D_
        .Properties("Caption") = "Select Source Table"_x000D_
        .Properties("Width") = 300_x000D_
        .Properties("Height") = 300_x000D_
        .Properties("BorderStyle") = 1 ' Makes the form resizable_x000D_
    End With_x000D_
_x000D_
    MyUserForm.name = "UserForm_SourceTable"_x000D_
    _x000D_
    ' Add ListBox_x000D_
    Set ListBox1 = MyUserForm.Designer.Controls.Add("Forms.ListBox.1")_x000D_
    With ListBox1_x000D_
        .name = "ListBox1"_x000D_
        .Left = 30_x000D_
        .Top = 30_x000D_
        .Width = 240_x000D_
        .Height = 150_x000D_
    End With_x000D_
_x000D_
    ' Add "Full Transfer (all tables)" button_x000D_
    Set CommandButton1 = MyUserForm.Designer.Controls.Add("forms.CommandButton.1")_x000D_
    With CommandButton1_x000D_
        .Caption = "Full Transfer (all tables)"_x000D_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</si>
  <si>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fulltransfer = True"_x000D_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</si>
  <si>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sourceTable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</si>
  <si>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For Each sh In ThisWorkbook.Worksheets"_x000D_
        .InsertLines .CountOfLines + 1, "        For Each tbl In sh.ListObjects"_x000D_
        .InsertLines .CountOfLines + 1, "            Me.ListBox1.AddItem tbl.Name"_x000D_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</si>
  <si>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UserForm_TargetTable_x000D_
</t>
  </si>
  <si>
    <t xml:space="preserve">Function createTargetTableForm()_x000D_
    Dim MyUserForm As VBComponent_x000D_
    Dim CommandButton1 As MSForms.CommandButton_x000D_
    Dim ListBox1 As MSForms.ListBox_x000D_
    Dim N As Integer_x000D_
_x000D_
    ' Check if UserForm_TargetTable already exists_x000D_
    For N = 1 To ThisWorkbook.VBProject.VBComponents.count_x000D_
        If ThisWorkbook.VBProject.VBComponents(N).name = "UserForm_TargetTable" Then_x000D_
            Exit Function_x000D_
        End If_x000D_
    Next N_x000D_
_x000D_
    ' Create UserForm_TargetTable_x000D_
    Set MyUserForm = ThisWorkbook.VBProject.VBComponents.Add(vbext_ct_MSForm)_x000D_
    With MyUserForm_x000D_
        .Properties("Caption") = "Select Target Table"_x000D_
        .Properties("Width") = 300_x000D_
        .Properties("Height") = 300_x000D_
        .Properties("BorderStyle") = 1 ' Makes the form resizable_x000D_
    End With_x000D_
    _x000D_
    MyUserForm.name = "UserForm_TargetTable"_x000D_
_x000D_
    ' Add ListBox_x000D_
    Set ListBox1 = MyUserForm.Designer.Controls.Add("Forms.ListBox.1")_x000D_
    With ListBox1_x000D_
        .name = "ListBox1"_x000D_
        .Left = 30_x000D_
        .Top = 30_x000D_
        .Width = 240_x000D_
        .Height = 150_x000D_
    End With_x000D_
_x000D_
    ' Add "Continue without Target" button_x000D_
    Set CommandButton1 = MyUserForm.Designer.Controls.Add("forms.CommandButton.1")_x000D_
    With CommandButton1_x000D_
        .Caption = "Continue without Target"_x000D_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</si>
  <si>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targetTable = ""no selection"""_x000D_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</si>
  <si>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targetTable = Me.ListBox1.Text"_x000D_
        .InsertLines .CountOfLines + 1, "    Unload Me"_x000D_
        .InsertLines .CountOfLines + 1, "End Sub"_x000D_
        _x000D_
        ' UserForm Initialize event_x000D_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</si>
  <si>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UserForm_SourceInvalid_x000D_
</t>
  </si>
  <si>
    <t xml:space="preserve">Function createSourceInvalidForm()_x000D_
    Dim MyUserForm As VBComponent_x000D_
    Dim CommandButton1 As MSForms.CommandButton_x000D_
    Dim CommandButton2 As MSForms.CommandButton_x000D_
    Dim Label As MSForms.Label_x000D_
    Dim N As Integer_x000D_
_x000D_
    ' Check if UserForm_SourceInvalid already exists_x000D_
    For N = 1 To ThisWorkbook.VBProject.VBComponents.count_x000D_
        If ThisWorkbook.VBProject.VBComponents(N).name = "UserForm_SourceInvalid" Then_x000D_
            Exit Function_x000D_
        End If_x000D_
    Next N_x000D_
_x000D_
    ' Create UserForm_SourceInvalid_x000D_
    Set MyUserForm = ThisWorkbook.VBProject.VBComponents.Add(vbext_ct_MSForm)_x000D_
    With MyUserForm_x000D_
        .Properties("Caption") = "Invalid Source Table"_x000D_
        .Properties("Width") = 350_x000D_
        .Properties("Height") = 150_x000D_
        .Properties("BorderStyle") = 1 ' Makes the form resizable_x000D_
    End With_x000D_
_x000D_
    MyUserForm.name = "UserForm_SourceInvalid"_x000D_
    _x000D_
    ' Add Label_x000D_
    Set Label = MyUserForm.Designer.Controls.Add("Forms.Label.1")_x000D_
    With Label_x000D_
        .Caption = "The selected source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</si>
  <si>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source_fix = True"_x000D_
        .InsertLines .CountOfLines + 1, "    Unload Me"_x000D_
        .InsertLines .CountOfLines + 1, "End Sub"_x000D_
_x000D_
        .InsertLines .CountOfLines + 1, "Private </t>
  </si>
  <si>
    <t xml:space="preserve">Sub CommandButton2_Click()"_x000D_
        .InsertLines .CountOfLines + 1, "    Unload Me"_x000D_
        .InsertLines .CountOfLines + 1, "    MsgBox ""Program terminates"""_x000D_
        .InsertLines .CountOfLines + 1, "    End"_x000D_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</si>
  <si>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UserForm_TargetInvalid_x000D_
</t>
  </si>
  <si>
    <t xml:space="preserve">Function createTargetInvalidForm()_x000D_
    Dim MyUserForm As VBComponent_x000D_
    Dim CommandButton1 As MSForms.CommandButton_x000D_
    Dim CommandButton2 As MSForms.CommandButton_x000D_
    Dim Label As MSForms.Label_x000D_
    Dim N As Integer_x000D_
_x000D_
    ' Check if UserForm_TargetInvalid already exists_x000D_
    For N = 1 To ThisWorkbook.VBProject.VBComponents.count_x000D_
        If ThisWorkbook.VBProject.VBComponents(N).name = "UserForm_TargetInvalid" Then_x000D_
            Exit Function_x000D_
        End If_x000D_
    Next N_x000D_
_x000D_
    ' Create UserForm_TargetInvalid_x000D_
    Set MyUserForm = ThisWorkbook.VBProject.VBComponents.Add(vbext_ct_MSForm)_x000D_
    With MyUserForm_x000D_
        .Properties("Caption") = "Invalid Target Table"_x000D_
        .Properties("Width") = 350_x000D_
        .Properties("Height") = 150_x000D_
        .Properties("BorderStyle") = 1 ' Makes the form resizable_x000D_
    End With_x000D_
_x000D_
    MyUserForm.name = "UserForm_TargetInvalid"_x000D_
    _x000D_
    ' Add Label_x000D_
    Set Label = MyUserForm.Designer.Controls.Add("Forms.Label.1")_x000D_
    With Label_x000D_
        .Caption = "The selected target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</si>
  <si>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target_fix = True"_x000D_
        .InsertLines .CountOfLines + 1, "    Unload Me"_x000D_
        .InsertLines .CountOfLines + 1, "End Sub"_x000D_
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</si>
  <si>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UserForm_SourceTable_x000D_
</t>
  </si>
  <si>
    <t xml:space="preserve">Function createBackupTableForm()_x000D_
    Dim MyUserForm As VBComponent_x000D_
    Dim ListBox1 As MSForms.ListBox_x000D_
    Dim N As Integer_x000D_
_x000D_
    ' Check if UserForm_SourceTable already exists_x000D_
    For N = 1 To ThisWorkbook.VBProject.VBComponents.count_x000D_
        If ThisWorkbook.VBProject.VBComponents(N).name = "UserForm_BackupTableForm" Then_x000D_
            Exit Function_x000D_
        End If_x000D_
    Next N_x000D_
_x000D_
    ' Create UserForm_SourceTable_x000D_
    Set MyUserForm = ThisWorkbook.VBProject.VBComponents.Add(vbext_ct_MSForm)_x000D_
    With MyUserForm_x000D_
        .Properties("Caption") = "Select Table for backup via doubleclick.."_x000D_
        .Properties("Width") = 400_x000D_
        .Properties("Height") = 400_x000D_
        .Properties("BorderStyle") = 1 ' Makes the form resizable_x000D_
    End With_x000D_
_x000D_
    MyUserForm.name = "UserForm_BackupTable"_x000D_
    _x000D_
    ' Add ListBox_x000D_
    Set ListBox1 = MyUserForm.Designer.Controls.Add("Forms.ListBox.1")_x000D_
    With ListBox1_x000D_
        .name = "ListBox1"_x000D_
        .Left = 50_x000D_
        .Top = 50_x000D_
        .Width = 300_x000D_
        .Height = 300_x000D_
    End With_x000D_
_x000D_
_x000D_
    ' Add event handlers_x000D_
    With MyUserForm.CodeModule_x000D_
        _x000D_
        ' ListBox1 Double Click event_x000D_
        .InsertLines .CountOfLines + 1, "Private </t>
  </si>
  <si>
    <t xml:space="preserve">Sub ListBox1_DblClick(ByVal Cancel As MSForms.ReturnBoolean)"_x000D_
        .InsertLines .CountOfLines + 1, "    backupTable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</si>
  <si>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Dim str As String"_x000D_
        .InsertLines .CountOfLines + 1, "    For Each sh In ThisWorkbook.Worksheets"_x000D_
        .InsertLines .CountOfLines + 1, "        For Each tbl In sh.ListObjects"_x000D_
        .InsertLines .CountOfLines + 1, "            str = sh.Name &amp; "" ("" &amp; tbl.Name &amp; "")"""_x000D_
        .InsertLines .CountOfLines + 1, "            Me.ListBox1.AddItem str"_x000D_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</si>
  <si>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_x000D_
</t>
  </si>
  <si>
    <t xml:space="preserve">_x000D_
</t>
  </si>
  <si>
    <t xml:space="preserve">Function TestString2Camel()_x000D_
    Dim inp As String_x000D_
    inp = "= helloooo"_x000D_
    Debug.Print "String-Input: (" &amp; inp &amp; ")"_x000D_
    Debug.Print " "_x000D_
    Debug.Print "StringToBusiness: (" &amp; stringToBusiness(inp) &amp; ")"_x000D_
    Debug.Print " "_x000D_
    Debug.Print "camelCaseUpper: (" &amp; camelCaseUpper(inp) &amp; ")"_x000D_
    Debug.Print " "_x000D_
End Function_x000D_
_x000D_
</t>
  </si>
  <si>
    <t xml:space="preserve">Function TestCamel2Business()_x000D_
    Dim inp As String_x000D_
    inp = "HelloAgoAgoAgoHello"_x000D_
    Debug.Print "Camel-Input: (" &amp; inp &amp; ")"_x000D_
    Debug.Print " "_x000D_
    Debug.Print "camelCaseToBusiness: (" &amp; camelCaseToBusiness(inp) &amp; ")"_x000D_
    Debug.Print " "_x000D_
End Function_x000D_
_x000D_
</t>
  </si>
  <si>
    <t xml:space="preserve">Function TestSimplePattern()_x000D_
    Dim patternMatchFilterColumnNames() As String_x000D_
    Dim patternMatchFilterColumnValues() As String_x000D_
    Dim output As String_x000D_
    _x000D_
    ' Define the arrays_x000D_
    patternMatchFilterColumnNames = Split("Filter1,Filter2", ",")_x000D_
    patternMatchFilterColumnValues = Split("Value1,Value2", ",")_x000D_
_x000D_
    output = instantiatedSimpleCodePattern("meta_SimpleTestPattern", patternMatchFilterColumnNames, patternMatchFilterColumnValues, "Order", "Template")_x000D_
    Debug.Print "(" &amp; output &amp; ")"_x000D_
End Function_x000D_
_x000D_
_x000D_
_x000D_
_x000D_
_x000D_
_x000D_
_x000D_
_x000D_
_x000D_
</t>
  </si>
  <si>
    <t xml:space="preserve">Option Explicit_x000D_
_x000D_
Private Type KeyValue_x000D_
    key As String_x000D_
    Value As Long_x000D_
End Type_x000D_
_x000D_
Private Keys() As KeyValue_x000D_
Private keyCount As Long_x000D_
_x000D_
Private </t>
  </si>
  <si>
    <t xml:space="preserve">Sub Class_Initialize()_x000D_
    ReDim Keys(1 To 10) ' Start with an initial size of 10_x000D_
    keyCount = 0_x000D_
End Sub_x000D_
_x000D_
Public </t>
  </si>
  <si>
    <t xml:space="preserve">Sub Add(key As String, Value As Long)_x000D_
    ' Check if key already exists_x000D_
    Dim i As Long_x000D_
    For i = 1 To keyCount_x000D_
        If Keys(i).key = key Then Exit Sub_x000D_
    Next i_x000D_
    _x000D_
    ' Add new key-value pair_x000D_
    keyCount = keyCount + 1_x000D_
    ' Resize array if needed_x000D_
    If keyCount &gt; UBound(Keys) Then_x000D_
        ReDim Preserve Keys(1 To keyCount + 10) ' Increase size by 10_x000D_
    End If_x000D_
    Keys(keyCount).key = key_x000D_
    Keys(keyCount).Value = Value_x000D_
End Sub_x000D_
_x000D_
Public </t>
  </si>
  <si>
    <t>Function Exists(key As String) As Boolean_x000D_
    Dim i As Long_x000D_
    For i = 1 To keyCount_x000D_
        If Keys(i).key = key Then_x000D_
            Exists = True_x000D_
            Exit Function_x000D_
        End If_x000D_
    Next i_x000D_
    Exists = False_x000D_
End Function_x000D_
_x000D_
Public Property Get item(key As String) As Long_x000D_
    Dim i As Long_x000D_
    For i = 1 To keyCount_x000D_
        If Keys(i).key = key Then_x000D_
            item = Keys(i).Value_x000D_
            Exit Property_x000D_
        End If_x000D_
    Next i_x000D_
    item = 0 ' Return 0 if key not found_x000D_
End Property_x000D_
_x000D_
Public Property Get AllKeys() As Variant_x000D_
    Dim result() As String_x000D_
    If keyCount &gt; 0 Then_x000D_
        ReDim result(1 To keyCount)_x000D_
        Dim i As Long_x000D_
        For i = 1 To keyCount_x000D_
            result(i) = Keys(i).key_x000D_
        Next i_x000D_
    Else_x000D_
        ReDim result(0 To 0) ' Return empty array if no keys exist_x000D_
    End If_x000D_
    AllKeys = result_x000D_
End Property_x000D_
_x000D_
Public Property Get count() As Long_x000D_
    count = keyCount_x000D_
End Property</t>
  </si>
  <si>
    <t xml:space="preserve">Sub CommandButton1_Click()_x000D_
    transferMode = "normal"_x000D_
    Unload Me_x000D_
End Sub_x000D_
Private </t>
  </si>
  <si>
    <t>Sub UserForm_QueryClose(Cancel As Integer, CloseMode As Integer)_x000D_
    If CloseMode = vbFormControlMenu Then_x000D_
        MsgBox "Operation canceled. Program terminates.", vbCritical_x000D_
        End_x000D_
    End If_x000D_
End Sub</t>
  </si>
  <si>
    <t xml:space="preserve">Sub CommandButton1_Click()_x000D_
    fulltransfer = True_x000D_
    Unload Me_x000D_
End Sub_x000D_
Private </t>
  </si>
  <si>
    <t xml:space="preserve">Sub ListBox1_DblClick(ByVal Cancel As MSForms.ReturnBoolean)_x000D_
    sourceTable = Me.ListBox1.Text_x000D_
    Unload Me_x000D_
End Sub_x000D_
Private </t>
  </si>
  <si>
    <t xml:space="preserve">Sub UserForm_Initialize()_x000D_
    Dim Sh As Worksheet_x000D_
    Dim tbl As ListObject_x000D_
    For Each Sh In ThisWorkbook.Worksheets_x000D_
        For Each tbl In Sh.ListObjects_x000D_
            Me.ListBox1.AddItem tbl.name_x000D_
        Next tbl_x000D_
    Next Sh_x000D_
End Sub_x000D_
Private </t>
  </si>
  <si>
    <t xml:space="preserve">Sub CommandButton1_Click()_x000D_
    targetTable = "no selection"_x000D_
    Unload Me_x000D_
End Sub_x000D_
Private </t>
  </si>
  <si>
    <t xml:space="preserve">Sub ListBox1_DblClick(ByVal Cancel As MSForms.ReturnBoolean)_x000D_
    targetTable = Me.ListBox1.Text_x000D_
    Unload Me_x000D_
End Sub_x000D_
Private </t>
  </si>
  <si>
    <t xml:space="preserve">Sub CommandButton1_Click()_x000D_
    source_fix = True_x000D_
    Unload Me_x000D_
End Sub_x000D_
Private </t>
  </si>
  <si>
    <t xml:space="preserve">Sub CommandButton2_Click()_x000D_
    Unload Me_x000D_
    MsgBox "Program terminates"_x000D_
    End_x000D_
End Sub_x000D_
Private </t>
  </si>
  <si>
    <t xml:space="preserve">Sub CommandButton1_Click()_x000D_
    target_fix = True_x000D_
    Unload Me_x000D_
End Sub_x000D_
Private </t>
  </si>
  <si>
    <t xml:space="preserve">Public sourceTable As String_x000D_
Public targetTable As String_x000D_
Public transferTime As Date_x000D_
Public sourcevalid As Boolean_x000D_
Public targetvalid As Boolean_x000D_
Public fulltransfer As Boolean_x000D_
Public transferMode As String_x000D_
_x000D_
'ObjectTransfer_x000D_
Private stbl As ListObject_x000D_
Private ttbl As ListObject_x000D_
Private sourceHeaders As Variant_x000D_
Private targetHeaders As Variant_x000D_
_x000D_
'SourceValidation_x000D_
Public source_fix As Boolean_x000D_
_x000D_
'TargertValidation_x000D_
Public target_fix As Boolean_x000D_
_x000D_
_x000D_
</t>
  </si>
  <si>
    <t xml:space="preserve">Sub tableSelection()_x000D_
    'On Error GoTo ErrorHandler_x000D_
_x000D_
    transferTime = Now_x000D_
    fulltransfer = False_x000D_
_x000D_
    ' Mode selection_x000D_
    Dim modeSelection As UserForm_TransferMode_x000D_
    Set modeSelection = New UserForm_TransferMode_x000D_
    modeSelection.Show_x000D_
_x000D_
    If transferMode = "" Then_x000D_
        MsgBox "No transfer mode selected. Program terminates."_x000D_
        Exit Sub_x000D_
    End If_x000D_
_x000D_
    ' Source and target selection_x000D_
    Dim sourceSelection As UserForm_SourceTable_x000D_
    Set sourceSelection = New UserForm_SourceTable_x000D_
    sourceSelection.Show_x000D_
_x000D_
    If fulltransfer = False Then_x000D_
_x000D_
        Dim targetSelection As UserForm_TargetTable_x000D_
        Set targetSelection = New UserForm_TargetTable_x000D_
        targetSelection.Show_x000D_
_x000D_
        If sourceTable = "" Or targetTable = "" Then_x000D_
            ' End program if source or target were not selected_x000D_
            MsgBox "Source or target table was not selected. Program terminates."_x000D_
            Exit Sub_x000D_
        End If_x000D_
_x000D_
        ' Validation_x000D_
        Call validateSource_x000D_
_x000D_
        If targetTable &lt;&gt; "no selection" Then_x000D_
            ' If target table was selected, validate it_x000D_
            Call validateTarget_x000D_
        ElseIf sourcevalid = True Then_x000D_
            ' If not, create new table and begin transfer_x000D_
            MsgBox "No target table selected. New target table will be created."_x000D_
            Call createTargetTable_x000D_
        End If_x000D_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Else_x000D_
        MsgBox "Full transfer was selected. All tables will be validated and transferred."_x000D_
        targetTable = "no selection"_x000D_
_x000D_
        For Each Sh In ThisWorkbook.Worksheets_x000D_
            For Each tbl In Sh.ListObjects_x000D_
                sourceTable = tbl.name_x000D_
                Call validateSource_x000D_
                MsgBox "New target table for " &amp; sourceTable &amp; " will be created."_x000D_
                Call createTargetTable_x000D_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Next tbl_x000D_
        Next Sh_x000D_
_x000D_
        MsgBox "Full transfer completed."_x000D_
    End If_x000D_
_x000D_
    endTime = Now_x000D_
_x000D_
    MsgBox "Transfer successful."_x000D_
    Exit Sub_x000D_
_x000D_
'ErrorHandler:_x000D_
'    MsgBox "An error occurred: " &amp; Err.Description, vbCritical_x000D_
End Sub_x000D_
_x000D_
_x000D_
_x000D_
'############# ObjectTransfer code #############_x000D_
_x000D_
_x000D_
_x000D_
</t>
  </si>
  <si>
    <t xml:space="preserve">Sub transferObject()_x000D_
    ' Turn off Excel's automatic processes for speed_x000D_
    Application.ScreenUpdating = False_x000D_
    Application.EnableEvents = False_x000D_
    Application.Calculation = xlCalculationManual_x000D_
    _x000D_
    ' Create our custom fast lookup object_x000D_
    Dim targetLookup As New FastLookup_x000D_
    _x000D_
    ' Set references to source and target tables using the public variables_x000D_
    Set stbl = Worksheets(Range(sourceTable).Parent.name).ListObjects(sourceTable)_x000D_
    Set ttbl = Worksheets(Range(targetTable).Parent.name).ListObjects(targetTable)_x000D_
    _x000D_
    ' Load all data at once_x000D_
    Dim sourceData As Variant, targetData As Variant_x000D_
    _x000D_
    sourceHeaders = stbl.HeaderRowRange.Value2_x000D_
    targetHeaders = ttbl.HeaderRowRange.Value2_x000D_
    _x000D_
    ' Load source data_x000D_
    With stbl.DataBodyRange_x000D_
        sourceData = .Value2_x000D_
        If Not IsArray(sourceData) Then_x000D_
            Dim tempArray(1 To 1, 1 To 1) As Variant_x000D_
            tempArray(1, 1) = sourceData_x000D_
            sourceData = tempArray_x000D_
        End If_x000D_
    End With_x000D_
    _x000D_
    ' Load target data_x000D_
    With ttbl.DataBodyRange_x000D_
        targetData = .Value2_x000D_
        If Not IsArray(targetData) Then_x000D_
            Dim tempTargetArray(1 To 1, 1 To 1) As Variant_x000D_
            tempTargetArray(1, 1) = targetData_x000D_
            targetData = tempTargetArray_x000D_
        End If_x000D_
    End With_x000D_
    _x000D_
    ' Find ID columns_x000D_
    Dim sourceIdCol As Long, targetIdCol As Long_x000D_
    sourceIdCol = GetIdColumnIndex(sourceHeaders)_x000D_
    targetIdCol = GetIdColumnIndex(targetHeaders)_x000D_
    _x000D_
    ' Build column mapping once_x000D_
    Dim columnMapping As Collection_x000D_
    Set columnMapping = BuildColumnMapping(sourceHeaders, targetHeaders, stbl, ttbl)_x000D_
    _x000D_
    ' Preserve formulas_x000D_
    Dim targetValues As Variant, targetFormulas As Variant_x000D_
    targetValues = ttbl.DataBodyRange.Value2_x000D_
    targetFormulas = ttbl.DataBodyRange.formula_x000D_
    _x000D_
    ' Build lookup of target IDs_x000D_
    Dim i As Long_x000D_
    For i = 1 To UBound(targetData, 1)_x000D_
        targetLookup.Add CStr(targetData(i, targetIdCol)), i_x000D_
    Next i_x000D_
    _x000D_
    ' Prepare arrays for new and updated data_x000D_
    Dim newRows As Collection, updatedRows As Collection_x000D_
    Set newRows = New Collection_x000D_
    Set updatedRows = New Collection_x000D_
    _x000D_
    ' Categorize rows_x000D_
    For i = 1 To UBound(sourceData, 1)_x000D_
        If targetLookup.Exists(CStr(sourceData(i, sourceIdCol))) Then_x000D_
            updatedRows.Add Array(i, targetLookup.item(CStr(sourceData(i, sourceIdCol))))_x000D_
        Else_x000D_
            newRows.Add i_x000D_
        End If_x000D_
    Next i_x000D_
    _x000D_
    ' Process updates while preserving formulas_x000D_
    Dim rowIdx As Long, colIdx As Long_x000D_
    If updatedRows.count &gt; 0 Then_x000D_
        For i = 1 To updatedRows.count_x000D_
            Dim updateInfo As Variant_x000D_
            updateInfo = updatedRows(i)_x000D_
            Dim sourceRowIdx As Long: sourceRowIdx = CLng(updateInfo(0))_x000D_
            Dim targetRowIdx As Long: targetRowIdx = CLng(updateInfo(1))_x000D_
            _x000D_
            Dim j As Long_x000D_
            For j = 1 To columnMapping.count_x000D_
                Dim mapping As Variant_x000D_
                mapping = columnMapping(j)_x000D_
                colIdx = mapping(1)_x000D_
                If Not HasFormula(ttbl, CStr(targetHeaders(1, colIdx))) Then_x000D_
                    targetValues(targetRowIdx, colIdx) = sourceData(sourceRowIdx, mapping(0))_x000D_
                End If_x000D_
            Next j_x000D_
        Next i_x000D_
        _x000D_
        ttbl.DataBodyRange.Value2 = targetValues_x000D_
        ttbl.DataBodyRange.formula = targetFormulas_x000D_
    End If_x000D_
    _x000D_
    ' Handle new rows_x000D_
    If newRows.count &gt; 0 Then_x000D_
        Dim newRowsArray() As Variant_x000D_
        ReDim newRowsArray(1 To newRows.count, 1 To UBound(targetData, 2))_x000D_
        _x000D_
        For i = 1 To newRows.count_x000D_
            CopyRowToArray sourceData, newRowsArray, newRows(i), i, columnMapping_x000D_
        Next i_x000D_
        _x000D_
        Dim newRange As Range_x000D_
        Set newRange = ttbl.ListRows.Add(AlwaysInsert:=True).Range_x000D_
        If newRows.count &gt; 1 Then_x000D_
            Set newRange = newRange.Resize(newRows.count, UBound(targetData, 2))_x000D_
        End If_x000D_
        newRange.Value2 = newRowsArray_x000D_
    End If_x000D_
    _x000D_
ExitSub:_x000D_
    Application.Calculation = xlCalculationAutomatic_x000D_
    Application.EnableEvents = True_x000D_
    Application.ScreenUpdating = True_x000D_
    Exit Sub_x000D_
End Sub_x000D_
_x000D_
Private </t>
  </si>
  <si>
    <t xml:space="preserve">Function BuildColumnMapping(sourceHeaders As Variant, targetHeaders As Variant, __x000D_
                                 stbl As ListObject, ttbl As ListObject) As Collection_x000D_
    Dim mapping As Collection_x000D_
    Set mapping = New Collection_x000D_
    _x000D_
    Dim i As Long, j As Long_x000D_
    Dim sourceCol As String, targetCol As String_x000D_
    _x000D_
    For i = 1 To UBound(sourceHeaders, 2)_x000D_
        sourceCol = CStr(sourceHeaders(1, i))_x000D_
        _x000D_
        If Not (HasFormula(stbl, sourceCol)) Or __x000D_
                InStr(sourceCol, "transfer ") &gt; 0 Or __x000D_
                InStr(sourceCol, "fix kind") &gt; 0 Then_x000D_
                'InStr(sourceCol, "Column") &gt; 0)_x000D_
                _x000D_
            _x000D_
            For j = 1 To UBound(targetHeaders, 2)_x000D_
                targetCol = CStr(targetHeaders(1, j))_x000D_
                If targetCol = sourceCol Then_x000D_
                    mapping.Add Array(i, j, HasFormula(ttbl, targetCol))_x000D_
                    Exit For_x000D_
                End If_x000D_
            Next j_x000D_
        End If_x000D_
    Next i_x000D_
    _x000D_
    Set BuildColumnMapping = mapping_x000D_
End Function_x000D_
_x000D_
Private </t>
  </si>
  <si>
    <t xml:space="preserve">Sub CopyRowToArray(sourceData As Variant, destArray As Variant, __x000D_
                         sourceRowIndex As Long, destRowIndex As Long, __x000D_
                         columnMapping As Collection)_x000D_
    Dim mapping As Variant_x000D_
    Dim i As Long_x000D_
    _x000D_
    For i = 1 To columnMapping.count_x000D_
        mapping = columnMapping(i)_x000D_
        If mapping(2) Then ' Has formula_x000D_
            ' Handle formula columns with stored values_x000D_
            HandleStoredValue stbl, ttbl, sourceRowIndex, destRowIndex, __x000D_
                            CStr(sourceHeaders(1, mapping(0))), CStr(targetHeaders(1, mapping(1)))_x000D_
        Else_x000D_
            ' Direct copy for non-formula columns_x000D_
            destArray(destRowIndex, mapping(1)) = sourceData(sourceRowIndex, mapping(0))_x000D_
        End If_x000D_
    Next i_x000D_
End Sub_x000D_
_x000D_
Private </t>
  </si>
  <si>
    <t xml:space="preserve">Function HasFormula(tbl As ListObject, columnName As String) As Boolean_x000D_
    Dim col As ListColumn_x000D_
    On Error Resume Next_x000D_
    Set col = tbl.ListColumns(columnName)_x000D_
    On Error GoTo 0_x000D_
    _x000D_
    If Not col Is Nothing Then_x000D_
        If col.DataBodyRange.Rows.count &gt; 0 Then_x000D_
            HasFormula = col.DataBodyRange(1).HasFormula_x000D_
        End If_x000D_
    End If_x000D_
End Function_x000D_
_x000D_
Private </t>
  </si>
  <si>
    <t xml:space="preserve">Sub HandleStoredValue(ByVal sourceTbl As ListObject, ByVal targetTbl As ListObject, __x000D_
                            ByVal sourceRow As Long, ByVal targetRow As Long, __x000D_
                            ByVal sourceCol As String, ByVal targetCol As String)_x000D_
    ' Create name for stored value column_x000D_
    Dim storedColName As String_x000D_
    storedColName = targetCol &amp; " STORED"_x000D_
    _x000D_
    ' Check if stored column exists, if not create it_x000D_
    On Error Resume Next_x000D_
    Dim storedCol As ListColumn_x000D_
    Set storedCol = targetTbl.ListColumns(storedColName)_x000D_
    On Error GoTo 0_x000D_
    _x000D_
    If storedCol Is Nothing Then_x000D_
        Set storedCol = targetTbl.ListColumns.Add_x000D_
        storedCol.name = storedColName_x000D_
    End If_x000D_
    _x000D_
    ' Store the value_x000D_
    storedCol.DataBodyRange(targetRow).Value2 = sourceTbl.ListColumns(sourceCol).DataBodyRange(sourceRow).Value2_x000D_
End Sub_x000D_
_x000D_
Private </t>
  </si>
  <si>
    <t xml:space="preserve">Sub UpdateTransferStatus(sourcePartyCol As ListColumn, sourceKindCol As ListColumn, __x000D_
                               targetPartyCol As ListColumn, targetKindCol As ListColumn, __x000D_
                               updatedRows As Collection, newRows As Collection, __x000D_
                               sourceCount As Long, targetCount As Long)_x000D_
    ' Create arrays for bulk status updates_x000D_
    Dim sourceStatus() As Variant_x000D_
    ReDim sourceStatus(1 To sourceCount, 1 To 2)_x000D_
    _x000D_
    Dim targetStatus() As Variant_x000D_
    ReDim targetStatus(1 To targetCount + newRows.count, 1 To 2)_x000D_
    _x000D_
    ' Fill source status array_x000D_
    Dim i As Long_x000D_
    For i = 1 To sourceCount_x000D_
        sourceStatus(i, 1) = "source"_x000D_
        sourceStatus(i, 2) = "update target"_x000D_
    Next i_x000D_
    _x000D_
    ' Update status for new rows_x000D_
    For i = 1 To newRows.count_x000D_
        sourceStatus(newRows(i), 2) = "create target"_x000D_
    Next i_x000D_
    _x000D_
    ' Fill target status array_x000D_
    For i = 1 To targetCount + newRows.count_x000D_
        targetStatus(i, 1) = "target"_x000D_
        targetStatus(i, 2) = "update target"_x000D_
    Next i_x000D_
    _x000D_
    ' Write status arrays in bulk_x000D_
    sourcePartyCol.DataBodyRange.Value2 = Application.Transpose(Application.Transpose(GetColumn(sourceStatus, 1)))_x000D_
    sourceKindCol.DataBodyRange.Value2 = Application.Transpose(Application.Transpose(GetColumn(sourceStatus, 2)))_x000D_
    targetPartyCol.DataBodyRange.Value2 = Application.Transpose(Application.Transpose(GetColumn(targetStatus, 1)))_x000D_
    targetKindCol.DataBodyRange.Value2 = Application.Transpose(Application.Transpose(GetColumn(targetStatus, 2)))_x000D_
End Sub_x000D_
_x000D_
Private </t>
  </si>
  <si>
    <t xml:space="preserve">Function GetColumn(arr As Variant, colIndex As Long) As Variant_x000D_
    Dim result() As Variant_x000D_
    Dim i As Long_x000D_
    _x000D_
    ReDim result(1 To UBound(arr, 1))_x000D_
    For i = 1 To UBound(arr, 1)_x000D_
        result(i) = arr(i, colIndex)_x000D_
    Next i_x000D_
    _x000D_
    GetColumn = result_x000D_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</si>
  <si>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_x000D_
_x000D_
_x000D_
_x000D_
'############# SourceValidation code #############_x000D_
_x000D_
</t>
  </si>
  <si>
    <t xml:space="preserve">Sub validateSource()_x000D_
    MsgBox (sourceTable &amp; " was selected as source table.")_x000D_
    _x000D_
    Dim source_id_count As Integer_x000D_
    Dim source_id_col As String_x000D_
    Dim source_id_duplicate As Boolean_x000D_
    Dim source_table_invalid_value As Boolean_x000D_
    Dim source_table_invalid_formula As Boolean_x000D_
    _x000D_
    Application.ScreenUpdating = False_x000D_
    Application.Calculation = xlCalculationManual_x000D_
    _x000D_
    Set stbl = Worksheets(Range(sourceTable).Parent.name).ListObjects(sourceTable)_x000D_
    _x000D_
    'check for ID column_x000D_
    source_id_count = 0_x000D_
    _x000D_
    ' Get headers as array for faster processing_x000D_
    Dim headers As Variant_x000D_
    headers = stbl.HeaderRowRange.Value2_x000D_
    _x000D_
    Dim i As Long_x000D_
    For i = 1 To UBound(headers, 2)_x000D_
        If UCase$(CStr(headers(1, i))) = "ID" Then_x000D_
            source_id_col = headers(1, i)_x000D_
            source_id_count = 1_x000D_
            Exit For_x000D_
        End If_x000D_
    Next i_x000D_
    _x000D_
    'check for uniqueness of IDs and existence of ID in every row_x000D_
    Dim id_range As Range_x000D_
    Dim id_range_add As String_x000D_
    Dim cel As Range_x000D_
    _x000D_
    If source_id_count = 1 Then_x000D_
        Set id_range = stbl.ListColumns(source_id_col).DataBodyRange_x000D_
        id_range_add = stbl.ListColumns(source_id_col).DataBodyRange.Address_x000D_
        _x000D_
        If Not IsArray(id_range) Then id_range = Array(id_range)_x000D_
        _x000D_
        For Each cel In id_range_x000D_
            If (Application.WorksheetFunction.CountIf(Worksheets(Range(sourceTable).Parent.name).Range(id_range_add), cel) &gt; 1) Then_x000D_
                source_id_duplicate = True_x000D_
                Exit For_x000D_
            ElseIf IsEmpty(cel) Then_x000D_
                source_id_duplicate = True_x000D_
                Exit For_x000D_
            End If_x000D_
        Next_x000D_
    End If_x000D_
    _x000D_
    'check if columns are consistent (either only values or only same formula)_x000D_
    Dim colHeader As Range_x000D_
    Dim strFormula As String_x000D_
    _x000D_
    For Each colHeader In stbl.HeaderRowRange_x000D_
        If stbl.ListColumns(colHeader.Value).DataBodyRange(1).HasFormula Then_x000D_
            'first row is a formula -&gt; check if all rows in the column have same formula_x000D_
            strFormula = stbl.ListColumns(colHeader.Value).DataBodyRange(1).formula_x000D_
            _x000D_
            For Each cel In stbl.ListColumns(colHeader.Value).DataBodyRange_x000D_
                If Not cel.HasFormula Then_x000D_
                    source_table_invalid_formula = True_x000D_
                    Exit For_x000D_
                ElseIf cel.formula &lt;&gt; strFormula Then_x000D_
                    source_table_invalid_formula = True_x000D_
                    Exit For_x000D_
                End If_x000D_
            Next_x000D_
            _x000D_
            If source_table_invalid_formula Then Exit For_x000D_
        Else_x000D_
            'first row is a value -&gt; check if all rows have a value_x000D_
            For Each cel In stbl.ListColumns(colHeader.Value).DataBodyRange_x000D_
                If cel.HasFormula Then_x000D_
                    'if one cell has a formula -&gt; invalid_x000D_
                    source_table_invalid_value = True_x000D_
                    Exit For_x000D_
                End If_x000D_
            Next_x000D_
            _x000D_
            If source_table_invalid_value Then Exit For_x000D_
        End If_x000D_
    Next_x000D_
    _x000D_
    Application.Calculation = xlCalculationAutomatic_x000D_
    Application.ScreenUpdating = True_x000D_
    _x000D_
    If source_id_count = 1 And source_id_duplicate = False And source_table_invalid_formula = False And source_table_invalid_value = False Then_x000D_
        'valid_x000D_
        sourcevalid = True_x000D_
        'MsgBox ("The selected source table is valid.")_x000D_
    Else_x000D_
        'invalid_x000D_
        Dim sourceInvalid As UserForm_SourceInvalid_x000D_
        Set sourceInvalid = New UserForm_SourceInvalid_x000D_
        sourceInvalid.Show_x000D_
        _x000D_
        If source_fix = True Then_x000D_
            'call fix function_x000D_
            Call fixingtable(stbl, sourceTable, source_id_count, source_id_col, source_id_duplicate, source_table_invalid_value, source_table_invalid_formula, False)_x000D_
        End If_x000D_
    End If_x000D_
End Sub_x000D_
_x000D_
_x000D_
'############# TargetValidation code #############_x000D_
_x000D_
</t>
  </si>
  <si>
    <t xml:space="preserve">Sub validateTarget()_x000D_
    MsgBox (targetTable &amp; " was selected as target table.")_x000D_
    _x000D_
    Dim target_id_count As Integer_x000D_
    Dim target_id_col As String_x000D_
    Dim target_id_duplicate As Boolean_x000D_
    Dim target_table_invalid_value As Boolean_x000D_
    Dim target_table_invalid_formula As Boolean_x000D_
    _x000D_
    Application.ScreenUpdating = False_x000D_
    Application.Calculation = xlCalculationManual_x000D_
    _x000D_
    Set ttbl = Worksheets(Range(targetTable).Parent.name).ListObjects(targetTable)_x000D_
    _x000D_
    'check for ID column_x000D_
    target_id_count = 0_x000D_
    _x000D_
    ' Get headers as array for faster processing_x000D_
    Dim headers As Variant_x000D_
    headers = ttbl.HeaderRowRange.Value2_x000D_
    _x000D_
    Dim i As Long_x000D_
    For i = 1 To UBound(headers, 2)_x000D_
        If UCase$(CStr(headers(1, i))) = "ID" Then_x000D_
            target_id_col = headers(1, i)_x000D_
            target_id_count = 1_x000D_
            Exit For_x000D_
        End If_x000D_
    Next i_x000D_
    _x000D_
    'check for uniqueness of IDs and existence of ID in every row_x000D_
    Dim id_range As Range_x000D_
    Dim id_range_add As String_x000D_
    Dim cel As Range_x000D_
    _x000D_
    If target_id_count = 1 Then_x000D_
        Set id_range = ttbl.ListColumns(target_id_col).DataBodyRange_x000D_
        id_range_add = ttbl.ListColumns(target_id_col).DataBodyRange.Address_x000D_
        _x000D_
        If Not IsArray(id_range) Then id_range = Array(id_range)_x000D_
        _x000D_
        For Each cel In id_range_x000D_
            If (Application.WorksheetFunction.CountIf(Worksheets(Range(targetTable).Parent.name).Range(id_range_add), cel) &gt; 1) Then_x000D_
                target_id_duplicate = True_x000D_
                Exit For_x000D_
            ElseIf IsEmpty(cel) Then_x000D_
                target_id_duplicate = True_x000D_
                Exit For_x000D_
            End If_x000D_
        Next_x000D_
    End If_x000D_
    _x000D_
    'check if columns are consistent (either only values or only same formula)_x000D_
    Dim colHeader As Range_x000D_
    Dim strFormula As String_x000D_
    _x000D_
    For Each colHeader In ttbl.HeaderRowRange_x000D_
        If ttbl.ListColumns(colHeader.Value).DataBodyRange(1).HasFormula Then_x000D_
            'first row is a formula -&gt; check if all rows in the column have same formula_x000D_
            strFormula = ttbl.ListColumns(colHeader.Value).DataBodyRange(1).formula_x000D_
            _x000D_
            For Each cel In ttbl.ListColumns(colHeader.Value).DataBodyRange_x000D_
                If Not cel.HasFormula Then_x000D_
                    target_table_invalid_formula = True_x000D_
                    Exit For_x000D_
                ElseIf cel.formula &lt;&gt; strFormula Then_x000D_
                    target_table_invalid_formula = True_x000D_
                    Exit For_x000D_
                End If_x000D_
            Next_x000D_
            _x000D_
            If target_table_invalid_formula Then Exit For_x000D_
        Else_x000D_
            'first row is a value -&gt; check if all rows have a value_x000D_
            For Each cel In ttbl.ListColumns(colHeader.Value).DataBodyRange_x000D_
                If cel.HasFormula Then_x000D_
                    target_table_invalid_value = True_x000D_
                    Exit For_x000D_
                End If_x000D_
            Next_x000D_
            _x000D_
            If target_table_invalid_value Then Exit For_x000D_
        End If_x000D_
    Next_x000D_
    _x000D_
    Application.Calculation = xlCalculationAutomatic_x000D_
    Application.ScreenUpdating = True_x000D_
    _x000D_
    If target_id_count = 1 And target_id_duplicate = False And target_table_invalid_value = False And target_table_invalid_formula = False Then_x000D_
        targetvalid = True_x000D_
        'MsgBox ("The selected target table is valid.")_x000D_
    Else_x000D_
        Dim targetInvalid As UserForm_TargetInvalid_x000D_
        Set targetInvalid = New UserForm_TargetInvalid_x000D_
        targetInvalid.Show_x000D_
        _x000D_
        If target_fix = True Then_x000D_
            'call fix function_x000D_
            Call fixingtable(ttbl, targetTable, target_id_count, target_id_col, target_id_duplicate, target_table_invalid_value, target_table_invalid_formula, True)_x000D_
        End If_x000D_
    End If_x000D_
End Sub_x000D_
_x000D_
_x000D_
_x000D_
'############# TableFix code #############_x000D_
_x000D_
</t>
  </si>
  <si>
    <t xml:space="preserve">Sub fixingtable(tbl, strTable As String, id_count As Integer, id_col As String, id_duplicate As Boolean, table_invalid_value As Boolean, table_invalid_formula As Boolean, party As Boolean)_x000D_
    'tbl - is the listobject (source or target table)_x000D_
    'strTable - name of the table as string (source or target)_x000D_
    'id_count - number of ID columns found in validation_x000D_
    'id_col - which column is the ID column in case there is one (name of column as string)_x000D_
    'id_duplicate - were duplicate IDs found while validating (as boolean)_x000D_
    'table_invalid_value - are there violations of the value rule (as boolean)_x000D_
    'table_invalid_formula - are there violations of the formula rule (as boolean)_x000D_
    'party - 0 -&gt; source, 1 -&gt; target_x000D_
_x000D_
    MsgBox ("Fix process is starting.")_x000D_
    _x000D_
    'add new tracking columns_x000D_
    _x000D_
'    tbl.ListColumns.Add.Name = "fix transfer ts " &amp; Format(transferTime, "YYYYMMDDHHMM")_x000D_
'    tbl.ListColumns("fix transfer ts " &amp; Format(transferTime, "YYYYMMDDHHMM")).DataBodyRange = Format(transferTime, "YYYYMMDDHHMMSS")_x000D_
    _x000D_
    tbl.ListColumns.Add.name = "fix transfer party " &amp; Format(transferTime, "YYYYMMDDHHMMSS")_x000D_
    If party = False Then_x000D_
        tbl.ListColumns("fix transfer party " &amp; Format(transferTime, "YYYYMMDDHHMMSS")).DataBodyRange = "source"_x000D_
    Else_x000D_
        tbl.ListColumns("fix transfer party " &amp; Format(transferTime, "YYYYMMDDHHMMSS")).DataBodyRange = "target"_x000D_
    End If_x000D_
    _x000D_
    tbl.ListColumns.Add.name = "fix kind " &amp; Format(transferTime, "YYYYMMDDHHMMSS")_x000D_
    tbl.ListColumns("fix kind " &amp; Format(transferTime, "YYYYMMDDHHMMSS")).DataBodyRange = ""_x000D_
    _x000D_
    _x000D_
    'ID fixing_x000D_
    _x000D_
    If id_count &gt; 1 Then_x000D_
        _x000D_
        MsgBox ("There are multiple ID columns in the table. Automatic fix is not possible. Program terminates")_x000D_
        _x000D_
        End_x000D_
    _x000D_
    ElseIf id_count = 0 Then_x000D_
    'no ID column -&gt; create ID column and generate GUIDs for each row_x000D_
    _x000D_
        'QUESTION: could this be problematic for any formulas in the table? Should we add ID column to the end?_x000D_
        tbl.ListColumns.Add(1).name = "ID"_x000D_
        _x000D_
        id_range = tbl.ListColumns("ID").DataBodyRange_x000D_
        If Not IsArray(id_range) Then id_range = Array(id_range)_x000D_
_x000D_
_x000D_
        'Error: Range of object _Global failed_x000D_
        _x000D_
        'id_range_add = tbl.ListColumns("ID").DataBodyRange.Address_x000D_
        _x000D_
        'Worksheets(Range(strTable).Parent.Name).Range(id_range_add).Validation.Delete_x000D_
        'Worksheets(tbl.Parent.Name).Range(id_range_add).Validation.Delete_x000D_
    _x000D_
_x000D_
       ThisWorkbook.Worksheets(tbl.Parent.name).Columns(tbl.ListColumns("ID").Range.column).Validation.Delete_x000D_
_x000D_
_x000D_
        i = 1_x000D_
        For Each cel In id_range_x000D_
            tbl.ListColumns("ID").DataBodyRange(i) = GUID(1)_x000D_
            tbl.ListColumns("fix kind " &amp; Format(transferTime, "YYYYMMDDHHMMSS")).DataBodyRange(i) = tbl.ListColumns("fix kind " &amp; Format(transferTime, "YYYYMMDDHHMMSS")).DataBodyRange(i) &amp; "[ID created]"_x000D_
            i = i + 1_x000D_
        Next_x000D_
    _x000D_
    End If_x000D_
    _x000D_
    'handle duplicate IDs_x000D_
    _x000D_
    If id_duplicate = True Then_x000D_
    _x000D_
        id_range = tbl.ListColumns(id_col).DataBodyRange_x000D_
        id_range_add = tbl.ListColumns(id_col).DataBodyRange.Address_x000D_
        _x000D_
        If Not IsArray(id_range) Then id_range = Array(id_range)_x000D_
        _x000D_
        j = 1_x000D_
        For Each cel In id_range_x000D_
            If (Application.WorksheetFunction.CountIf(Worksheets(Range(strTable).Parent.name).Range(id_range_add), cel) &gt; 1) Then_x000D_
            'cel has duplicates_x000D_
            _x000D_
                counter = -1_x000D_
                i = 1_x000D_
                _x000D_
                For Each cel1 In id_range_x000D_
                'find the duplicates of cel_x000D_
                _x000D_
                    If cel1 = cel Then_x000D_
                        counter = counter + 1_x000D_
                        If counter &gt; 0 Then_x000D_
                            tbl.ListColumns(id_col).DataBodyRange(i) = __x000D_
                            tbl.ListColumns(id_col).DataBodyRange(i) &amp; "_DUPLICATE_" &amp; Format(counter, "00000")_x000D_
                            tbl.ListColumns("fix kind " &amp; Format(transferTime, "YYYYMMDDHHMMSS")).DataBodyRange(i) = tbl.ListColumns("fix kind " &amp; Format(transferTime, "YYYYMMDDHHMMSS")).DataBodyRange(i) &amp; "[ID duplicate]"_x000D_
                        End If_x000D_
                    End If_x000D_
                    i = i + 1_x000D_
                Next_x000D_
                _x000D_
            ElseIf IsEmpty(cel) Then_x000D_
            'row has no ID -&gt; create ID_x000D_
            _x000D_
                tbl.ListColumns(id_col).DataBodyRange(j) = GUID(1)_x000D_
                tbl.ListColumns("fix kind " &amp; Format(transferTime, "YYYYMMDDHHMMSS")).DataBodyRange(j) = tbl.ListColumns("fix kind " &amp; Format(transferTime, "YYYYMMDDHHMMSS")).DataBodyRange(j) &amp; "[ID created]"_x000D_
                _x000D_
            End If_x000D_
            j = j + 1_x000D_
        Next_x000D_
    End If_x000D_
    _x000D_
    _x000D_
    'fix formulas within value column_x000D_
    'fix values within formula column -&gt; repeat formula_x000D_
    _x000D_
    If table_invalid_value = True Or table_invalid_formula = True Then_x000D_
    _x000D_
        For Each colHeader In tbl.HeaderRowRange_x000D_
        _x000D_
        If tbl.ListColumns(colHeader.Value).DataBodyRange(1).HasFormula And table_invalid_formula = True Then_x000D_
            'first row is a formula -&gt; check if all rows in the column have same formula_x000D_
            _x000D_
            strFormula = tbl.ListColumns(colHeader.Value).DataBodyRange(1).formula_x000D_
            _x000D_
            i = 1_x000D_
            For Each cel In tbl.ListColumns(colHeader.Value).DataBodyRange_x000D_
                If cel.HasFormula = False Or cel.formula &lt;&gt; strFormula Then_x000D_
                    _x000D_
                    tbl.ListColumns(colHeader.Value).DataBodyRange(i) = strFormula_x000D_
                    tbl.ListColumns("fix kind " &amp; Format(transferTime, "YYYYMMDDHHMMSS")).DataBodyRange(i) = tbl.ListColumns("fix kind " &amp; Format(transferTime, "YYYYMMDDHHMMSS")).DataBodyRange(i) &amp; "[formula overwritten in column " &amp; colHeader.Value &amp; "]"_x000D_
        _x000D_
                End If_x000D_
                i = i + 1_x000D_
            Next_x000D_
            _x000D_
        Else_x000D_
            'first row is a value -&gt; check if all rows have a value_x000D_
            _x000D_
            If table_invalid_value = True Then_x000D_
                i = 1_x000D_
                For Each cel In tbl.ListColumns(colHeader.Value).DataBodyRange_x000D_
                    If cel.HasFormula Then_x000D_
                    _x000D_
                        strFormula = tbl.ListColumns(colHeader.Value).DataBodyRange(i).formula_x000D_
                    _x000D_
                        tbl.ListColumns(colHeader.Value).DataBodyRange(i) = "REMOVED_" &amp; strFormula_x000D_
                        tbl.ListColumns("fix kind " &amp; Format(transferTime, "YYYYMMDDHHMMSS")).DataBodyRange(i) = tbl.ListColumns("fix kind " &amp; Format(transferTime, "YYYYMMDDHHMMSS")).DataBodyRange(i) &amp; "[formula removed in column " &amp; colHeader.Value &amp; "]"_x000D_
                                _x000D_
                    End If_x000D_
                    _x000D_
                    i = i + 1_x000D_
                Next_x000D_
            End If_x000D_
        End If_x000D_
        Next_x000D_
    End If_x000D_
        _x000D_
    'if formula is relative -&gt; exclude from fix_x000D_
    'not done so far_x000D_
    _x000D_
    _x000D_
    _x000D_
    'set fixed flags to true_x000D_
    If party = False Then_x000D_
        sourcevalid = True_x000D_
    Else_x000D_
        targetvalid = True_x000D_
    End If_x000D_
    _x000D_
    _x000D_
    _x000D_
    _x000D_
    _x000D_
_x000D_
End Sub_x000D_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</si>
  <si>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TargetCreation code #############_x000D_
_x000D_
_x000D_
</t>
  </si>
  <si>
    <t xml:space="preserve">Sub createTargetTable()_x000D_
    'create the new sheet_x000D_
    _x000D_
    Dim sheetName As String_x000D_
    Dim i As Integer_x000D_
    i = 2_x000D_
    _x000D_
    ' Store formatted time strings to avoid repeated calculations_x000D_
    Dim timeFormat As String_x000D_
    Dim timeFormatLong As String_x000D_
    timeFormat = Format(transferTime, "DDHHMM")_x000D_
    timeFormatLong = Format(transferTime, "YYYYMMDDHHMMSS")_x000D_
    _x000D_
    'ADDED: trim sheetName due to MS tab name restriction_x000D_
    sheetName = Right(sourceTable &amp; timeFormat, 31)_x000D_
    _x000D_
    Application.ScreenUpdating = False_x000D_
    Application.Calculation = xlCalculationManual_x000D_
    Application.EnableEvents = False_x000D_
    _x000D_
    ' Create new sheet_x000D_
    With ThisWorkbook_x000D_
        _x000D_
        .Sheets.Add(After:=.Sheets(.Sheets.count)).name = sheetName_x000D_
    End With_x000D_
    _x000D_
    ' Create ListObject_x000D_
    Dim ws As Worksheet_x000D_
    Set ws = ThisWorkbook.Sheets(sheetName)_x000D_
    _x000D_
    ws.ListObjects.Add(xlSrcRange, Range("$B$4:$B$4"), , xlYes).name = sheetName    'B4 is the fixed start point for tables_x000D_
    _x000D_
    Set stbl = Worksheets(Range(sourceTable).Parent.name).ListObjects(sourceTable)_x000D_
    Set ttbl = ws.ListObjects(sheetName)_x000D_
    _x000D_
    Dim colHeader As Range_x000D_
    For Each colHeader In stbl.HeaderRowRange_x000D_
        If Not (stbl.ListColumns(colHeader.Value).DataBodyRange(1).HasFormula Or __x000D_
                InStr(colHeader.Value, "transfer ") &gt; 0 Or __x000D_
                InStr(colHeader.Value, "fix kind") &gt; 0) Then_x000D_
            _x000D_
            If i &gt; 2 Then_x000D_
                ttbl.ListColumns.Add_x000D_
            End If_x000D_
            _x000D_
            ' Copy entire range including header_x000D_
            stbl.ListColumns(colHeader.Value).Range.Copy __x000D_
                Destination:=Worksheets(Range(sheetName).Parent.name).Range(Worksheets(Range(sheetName).Parent.name).Cells(4, i), Worksheets(Range(sheetName).Parent.name).Cells(4, i))_x000D_
            i = i + 1_x000D_
            _x000D_
        End If_x000D_
    Next colHeader_x000D_
    _x000D_
    targetTable = sheetName_x000D_
    _x000D_
    ' Add tracking columns for source using bulk operations_x000D_
    Dim sourcePartyCol As ListColumn_x000D_
    Dim sourceKindCol As ListColumn_x000D_
    _x000D_
    ' Add columns_x000D_
    Set sourcePartyCol = stbl.ListColumns.Add_x000D_
    sourcePartyCol.name = "transfer party " &amp; timeFormatLong_x000D_
    _x000D_
    Set sourceKindCol = stbl.ListColumns.Add_x000D_
    sourceKindCol.name = "transfer kind " &amp; timeFormatLong_x000D_
    _x000D_
    ' Prepare arrays for bulk update_x000D_
    Dim rowCount As Long_x000D_
    rowCount = stbl.ListRows.count_x000D_
    _x000D_
    Dim partyValues() As Variant_x000D_
    Dim kindValues() As Variant_x000D_
    ReDim partyValues(1 To rowCount, 1 To 1)_x000D_
    ReDim kindValues(1 To rowCount, 1 To 1)_x000D_
    _x000D_
    ' Fill arrays_x000D_
    Dim j As Long_x000D_
    For j = 1 To rowCount_x000D_
        partyValues(j, 1) = "source"_x000D_
        kindValues(j, 1) = "create target"_x000D_
    Next j_x000D_
    _x000D_
    ' Bulk update source columns_x000D_
    sourcePartyCol.DataBodyRange.Value = partyValues_x000D_
    sourceKindCol.DataBodyRange.Value = kindValues_x000D_
    _x000D_
    ' Add traceability information for target table using bulk operations_x000D_
    Dim targetPartyCol As ListColumn_x000D_
    Dim targetKindCol As ListColumn_x000D_
    _x000D_
    ' Add columns_x000D_
    Set targetPartyCol = ttbl.ListColumns.Add_x000D_
    targetPartyCol.name = "transfer party c " &amp; timeFormatLong_x000D_
    _x000D_
    Set targetKindCol = ttbl.ListColumns.Add_x000D_
    targetKindCol.name = "transfer kind c " &amp; timeFormatLong_x000D_
    _x000D_
    ' Prepare arrays for target table_x000D_
    rowCount = ttbl.ListRows.count_x000D_
    ReDim partyValues(1 To rowCount, 1 To 1)_x000D_
    ReDim kindValues(1 To rowCount, 1 To 1)_x000D_
    _x000D_
    ' Fill arrays_x000D_
    For j = 1 To rowCount_x000D_
        partyValues(j, 1) = "target"_x000D_
        kindValues(j, 1) = "create target"_x000D_
    Next j_x000D_
    _x000D_
    ' Bulk update target columns_x000D_
    targetPartyCol.DataBodyRange.Value = partyValues_x000D_
    targetKindCol.DataBodyRange.Value = kindValues_x000D_
    _x000D_
    Application.EnableEvents = True_x000D_
    Application.Calculation = xlCalculationAutomatic_x000D_
    Application.ScreenUpdating = True_x000D_
End Sub_x000D_
_x000D_
_x000D_
'currently not used_x000D_
</t>
  </si>
  <si>
    <t xml:space="preserve">Sub createBackupTransfer(mode As Boolean)_x000D_
_x000D_
    Application.ScreenUpdating = False_x000D_
    _x000D_
    If mode = False Then_x000D_
_x000D_
        Sheets(sourceTable).Copy After:=Sheets(Sheets.count)_x000D_
        ThisWorkbook.Sheets(Sheets.count).name = "source_backup_bT_" &amp; Format(transferTime, "YYYYMMDDHHMM")_x000D_
    _x000D_
        If targetTable &lt;&gt; "no selection" Then_x000D_
            Sheets(targetTable).Copy After:=Sheets(Sheets.count)_x000D_
            ThisWorkbook.Sheets(Sheets.count).name = "target_backup_bT_" &amp; Format(transferTime, "YYYYMMDDHHMM")_x000D_
        End If_x000D_
        _x000D_
    ElseIf mode = True Then_x000D_
    _x000D_
        Sheets(sourceTable).Copy After:=Sheets(Sheets.count)_x000D_
        ThisWorkbook.Sheets(Sheets.count).name = "source_backup_aT_" &amp; Format(transferTime, "YYYYMMDDHHMM")_x000D_
    _x000D_
        If targetTable &lt;&gt; "no selection" Then_x000D_
            Sheets(targetTable).Copy After:=Sheets(Sheets.count)_x000D_
            ThisWorkbook.Sheets(Sheets.count).name = "target_backup_aT_" &amp; Format(transferTime, "YYYYMMDDHHMM")_x000D_
        End If_x000D_
        _x000D_
    End If_x000D_
_x000D_
    Sheets(1).Select_x000D_
_x000D_
    Application.ScreenUpdating = True_x000D_
_x000D_
End Sub_x000D_
_x000D_
_x000D_
_x000D_
_x000D_
_x000D_
_x000D_
_x000D_
_x000D_
_x000D_
_x000D_
_x000D_
_x000D_
</t>
  </si>
  <si>
    <t xml:space="preserve">Sub ListBox1_DblClick(ByVal Cancel As MSForms.ReturnBoolean)_x000D_
    backupTable = Me.ListBox1.Text_x000D_
    Unload Me_x000D_
End Sub_x000D_
Private </t>
  </si>
  <si>
    <t xml:space="preserve">Sub UserForm_Initialize()_x000D_
    Dim Sh As Worksheet_x000D_
    Dim tbl As ListObject_x000D_
    Dim str As String_x000D_
    For Each Sh In ThisWorkbook.Worksheets_x000D_
        For Each tbl In Sh.ListObjects_x000D_
            str = Sh.name &amp; " (" &amp; tbl.name &amp; ")"_x000D_
            Me.ListBox1.AddItem str_x000D_
        Next tbl_x000D_
    Next Sh_x000D_
End Sub_x000D_
Private </t>
  </si>
  <si>
    <t>::ReferencesByListener</t>
  </si>
  <si>
    <t xml:space="preserve">Sub updateIdOnNameChange(cellRef, referingTableName, referingColumnName, referedTableName, referedColumnName)_x000D_
Dim refTbl As ListObject_x000D_
    Application.EnableEvents = False_x000D_
    Application.Undo_x000D_
    OldFormula = cellRef.formula_x000D_
    Application.Undo_x000D_
    Application.EnableEvents = True_x000D_
    _x000D_
    Set referingTable = ActiveSheet.ListObjects(referingTableName)_x000D_
    'NON GENERIC: Set referingTableRefIdColumn = referingTable.ListColumns("Generalization:src")_x000D_
    Set referingTableRefIdColumn = referingTable.ListColumns(referingColumnName &amp; ":src")_x000D_
    referingRowIndex = getReferingRowIndex(cellRef, referingTable) 'to find out which row of the table changed_x000D_
_x000D_
    'THIS REPLACES LATER refNameValue = referingTable.DataBodyRange.Cells(referingRowIndex, referingTableRefNameColumn.Index)'_x000D_
    _x000D_
    refNameValue = cellRef.Value_x000D_
    'TODO here eventually UPDATE: for now only supporting entering the display column values directly!!_x000D_
    'to have it in synch with inter table ref mechanism... apply CamelCaseUpper instead of just replacing the spaces._x000D_
    refNameValue = Replace(refNameValue, " ", "")_x000D_
    If refNameValue = "" Then_x000D_
        'POSSIBLE IMPROVEMENT: do enable events FALS at very begining, and reset only at very end!!!!_x000D_
        Application.EnableEvents = False_x000D_
        cellRef.formula = OldFormula_x000D_
        referingTableRefIdColumn.DataBodyRange(referingRowIndex) = ""_x000D_
        Application.EnableEvents = True_x000D_
    Else_x000D_
         'NON GENERIC: Set referingTableRefNameColumn = referingTable.ListColumns("Generalization")_x000D_
         'Q stuff removed:_x000D_
         'Set referingTablePackageColumn = referingTable.ListColumns("Package")_x000D_
         Set referingTableRefNameColumn = referingTable.ListColumns(referingColumnName)_x000D_
         '_x000D_
         For Each sht In ActiveWorkbook.Worksheets_x000D_
             For Each tbl In sht.ListObjects_x000D_
                 If tbl.name = referedTableName Then_x000D_
                      Set refTbl = tbl_x000D_
                 End If_x000D_
              Next tbl_x000D_
         Next sht_x000D_
         Set referedTable = refTbl_x000D_
         Set referedTableIdColumn = referedTable.ListColumns("ID")_x000D_
         Set referedTableNameColumn = referedTable.ListColumns(referedColumnName)_x000D_
         referedRowIndex = getMatchingRowIndex(refNameValue, referedTableNameColumn)_x000D_
         'Q stuff removed:_x000D_
         'Set referedTableNameQColumn = referedTable.ListColumns(referedColumnName &amp; ":q")_x000D_
         _x000D_
         'Q stuff removed:_x000D_
         'referingRowPackageValue = referingTable.DataBodyRange.Cells(referingRowIndex, referingTablePackageColumn.Index)_x000D_
         'Q stuff removed:_x000D_
         'TODO: here make the packkage all lower case, accepting only letters and ::_x000D_
         'Q stuff removed:_x000D_
         'referingRowPackageValue = Replace(referingRowPackageValue, " ", "")_x000D_
         'refNameQValue = refNameValue_x000D_
         'Q stuff removed:_x000D_
         'If InStr(refNameValue, "::") = 0 Then_x000D_
         '   If referingRowPackageValue &lt;&gt; "" Then_x000D_
         '         refNameQValue = referingRowPackageValue &amp; "::" &amp; refNameValue_x000D_
         '   End If'_x000D_
         'End If_x000D_
         'referedRowIndex = getMatchingRowIndex(refNameQValue, referedTableNameColumn)_x000D_
         _x000D_
         If referedRowIndex &lt;&gt; -1 Then_x000D_
             'if yes: leave the cell in it's current status, update the ID value, replace cell value by formular_x000D_
             'for that we need the changedSheet so we know which sheet the change was happening_x000D_
             referingTableRefIdColumn.DataBodyRange(referingRowIndex) = referedTable.DataBodyRange.Cells(referedRowIndex, referedTableIdColumn.Index)_x000D_
             Else_x000D_
                'try whether _ ID object exists:_x000D_
                'TODO here apply CamelCaseUpper instead of just replacing the spaces._x000D_
                refNameValue = Replace(refNameValue, " ", "")_x000D_
                refIDValue = "_" &amp; refNameValue_x000D_
                Set referedTableIdColumn = referedTable.ListColumns("ID")_x000D_
                referedRowIndex = getMatchingRowIndex(refIDValue, referedTableIdColumn)_x000D_
                If referedRowIndex &lt;&gt; -1 Then_x000D_
                    referingTableRefIdColumn.DataBodyRange(referingRowIndex) = refIDValue_x000D_
                End If_x000D_
         End If_x000D_
         Application.EnableEvents = False_x000D_
        cellRef.formula = OldFormula_x000D_
        Application.EnableEvents = True_x000D_
   End If_x000D_
End Sub_x000D_
_x000D_
_x000D_
Public </t>
  </si>
  <si>
    <t xml:space="preserve">Function getReferingRowIndex(cellRef, referingTable)_x000D_
    getReferingRowIndex = cellRef.row - referingTable.HeaderRowRange.row_x000D_
End Function_x000D_
_x000D_
_x000D_
_x000D_
Public </t>
  </si>
  <si>
    <t xml:space="preserve">Function getMatchingRowIndex(queryValue, listCol)_x000D_
    Set colValues = listCol.DataBodyRange_x000D_
    cellRowIndex = 0_x000D_
    For Each colValue In colValues    ' go through all possible values_x000D_
        cellRowIndex = cellRowIndex + 1_x000D_
        If colValue = queryValue Then_x000D_
            ' return the matching row_x000D_
            getMatchingRowIndex = cellRowIndex_x000D_
            Exit Function_x000D_
        End If_x000D_
    Next colValue_x000D_
    ' return -1 if not found_x000D_
    getMatchingRowIndex = -1_x000D_
End Function_x000D_
</t>
  </si>
  <si>
    <t>::Cache</t>
  </si>
  <si>
    <t xml:space="preserve">' Module-level variables for table caching_x000D_
Public srcTableCache As Collection_x000D_
Public srcTableNames As Collection_x000D_
Private lastTableCount As Long ' Track table count to detect changes_x000D_
_x000D_
Public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</si>
  <si>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_x000D_
    ' Update table count_x000D_
    lastTableCount = srcTableCache.count_x000D_
    Debug.Print "Table cache initialized with " &amp; lastTableCount &amp; " tables"_x000D_
End Sub_x000D_
_x000D_
' Manual refresh option_x000D_
Public </t>
  </si>
  <si>
    <t xml:space="preserve">Sub RefreshTableCache()_x000D_
    InitializeTableCache_x000D_
End Sub_x000D_
_x000D_
' Check if cache needs refreshing based on table count_x000D_
Public </t>
  </si>
  <si>
    <t>Function NeedsCacheRefresh() As Boolean_x000D_
    Dim ws As Worksheet_x000D_
    Dim tblCount As Long_x000D_
    _x000D_
    tblCount = 0_x000D_
    For Each ws In ThisWorkbook.Worksheets_x000D_
        tblCount = tblCount + ws.ListObjects.count_x000D_
    Next ws_x000D_
    _x000D_
    NeedsCacheRefresh = (tblCount &lt;&gt; lastTableCount)_x000D_
    If NeedsCacheRefresh Then Debug.Print "Table count changed: " &amp; lastTableCount &amp; " -&gt; " &amp; tblCount_x000D_
End Function</t>
  </si>
  <si>
    <t xml:space="preserve"> _x000D_
_x000D_
Public </t>
  </si>
  <si>
    <t xml:space="preserve">Function evaluateExcelFormula(formula As String)_x000D_
Application.Volatile_x000D_
evaluateExcelFormula = Application.Caller.Parent.Evaluate(formula)_x000D_
End Function_x000D_
_x000D_
Public </t>
  </si>
  <si>
    <t xml:space="preserve">Sub clearRefreshNamesTable()_x000D_
    Call clearNamesTable_x000D_
    Call complementNamesTable_x000D_
End Sub_x000D_
_x000D_
Private </t>
  </si>
  <si>
    <t xml:space="preserve">Sub ensureNamesTableExists()_x000D_
_x000D_
    Dim wsNames    As Worksheet_x000D_
    Dim wsCols     As Worksheet_x000D_
    Dim loNames    As ListObject_x000D_
    Dim loCols     As ListObject_x000D_
    Dim hdrs       As Variant_x000D_
_x000D_
    ' 1) Ensure the ÒNamesÓ sheet exists_x000D_
    On Error Resume Next_x000D_
    Set wsNames = ThisWorkbook.Worksheets("Names")_x000D_
    On Error GoTo 0_x000D_
    _x000D_
    If wsNames Is Nothing Then_x000D_
        ' add it at the end of the workbook_x000D_
        Set wsNames = ThisWorkbook.Worksheets.Add( __x000D_
            After:=ThisWorkbook.Worksheets(ThisWorkbook.Worksheets.count))_x000D_
        wsNames.name = "Names"_x000D_
    End If_x000D_
    _x000D_
    ' 2) Ensure meta_Names table exists_x000D_
    On Error Resume Next_x000D_
    Set loNames = wsNames.ListObjects("meta_Names")_x000D_
    On Error GoTo 0_x000D_
    _x000D_
    If loNames Is Nothing Then_x000D_
        hdrs = Array( __x000D_
          "ID", __x000D_
          "String", __x000D_
          "Business", __x000D_
          "Camel Upper", __x000D_
          "Camel Lower", __x000D_
          "Business from Camel", __x000D_
          "Camel Upper from Business", __x000D_
          "Camel Lower from Business" __x000D_
        )_x000D_
        _x000D_
        With wsNames_x000D_
            ' write headers into row 1, cols A:H_x000D_
            .Rows(1).Resize(1, UBound(hdrs) + 1).Value = hdrs_x000D_
            Set loNames = .ListObjects.Add( __x000D_
                SourceType:=xlSrcRange, __x000D_
                Source:=.Range(.Cells(1, 1), .Cells(1, UBound(hdrs) + 1)), __x000D_
                XlListObjectHasHeaders:=xlYes __x000D_
            )_x000D_
            loNames.name = "meta_Names"_x000D_
        End With_x000D_
        loNames.ListRows.Add_x000D_
        loNames.ListRows(1).Range.Cells(1, 1).Value = "___meta_NamesRowTemplate"_x000D_
    End If_x000D_
    _x000D_
End Sub_x000D_
_x000D_
_x000D_
Public </t>
  </si>
  <si>
    <t xml:space="preserve">Sub clearNamesTable()_x000D_
    ' Speed optimizations_x000D_
    With Application_x000D_
        .ScreenUpdating = False_x000D_
        .EnableEvents = False_x000D_
        .Calculation = xlCalculationManual_x000D_
    End With_x000D_
    _x000D_
    Dim wsNames As Worksheet_x000D_
    Dim loNames As ListObject_x000D_
    Dim rngTbl  As Range_x000D_
    _x000D_
    Call ensureNamesTableExists_x000D_
_x000D_
    ' 1 If the "Names" sheet exists_x000D_
    On Error Resume Next_x000D_
    Set wsNames = ThisWorkbook.Worksheets("Names")_x000D_
    On Error GoTo Cleanup_x000D_
_x000D_
    If Not wsNames Is Nothing Then_x000D_
        ' 2 and the meta_Names table existsÉ_x000D_
        On Error Resume Next_x000D_
        Set loNames = wsNames.ListObjects("meta_Names")_x000D_
        On Error GoTo Cleanup_x000D_
_x000D_
        If Not loNames Is Nothing Then_x000D_
            If Not loNames.DataBodyRange Is Nothing Then_x000D_
                loNames.DataBodyRange.Delete_x000D_
                loNames.ListRows.Add.Range.Cells(1, 1).Value = "___meta_NamesRowTemplate"_x000D_
            End If_x000D_
        End If_x000D_
    End If_x000D_
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_x000D_
End Sub_x000D_
_x000D_
Public </t>
  </si>
  <si>
    <t xml:space="preserve">Sub complementNamesTable()_x000D_
    On Error GoTo 0_x000D_
    _x000D_
    Dim wsNames    As Worksheet_x000D_
    Dim wsCols     As Worksheet_x000D_
    Dim loNames    As ListObject_x000D_
    Dim loCols     As ListObject_x000D_
    Dim hdrs       As Variant_x000D_
    Dim i          As Long_x000D_
    _x000D_
    ' Speed optimizations_x000D_
    With Application_x000D_
        .ScreenUpdating = False_x000D_
        .EnableEvents = False_x000D_
        .Calculation = xlCalculationManual_x000D_
    End With_x000D_
    _x000D_
    ' 1) Ensure the ÒNamesÓ sheet exists_x000D_
    Call ensureNamesTableExists_x000D_
    _x000D_
    ' 2) Walk through meta_Columns_x000D_
    Set wsCols = ThisWorkbook.Worksheets("Columns")_x000D_
    Set loCols = wsCols.ListObjects("meta_Columns")_x000D_
    _x000D_
    Dim idxType   As Long_x000D_
    Dim idxTable  As Long_x000D_
    Dim idxLabel  As Long_x000D_
    _x000D_
    With loCols_x000D_
        idxType = .ListColumns("Excel Column - String Type").Index_x000D_
        idxTable = .ListColumns("_Tables").Index_x000D_
        idxLabel = .ListColumns("Excel Column - Label").Index_x000D_
        _x000D_
        For i = 1 To .ListRows.count_x000D_
            With .ListRows(i).Range_x000D_
                If LCase(.Cells(1, idxType).Value) = "x" Then_x000D_
                    Dim tblName As String_x000D_
                    Dim colName As String_x000D_
                    Dim srcTbl  As ListObject_x000D_
                    Dim dataRng As Range_x000D_
                    _x000D_
                    tblName = CStr(.Cells(1, idxTable).Value)_x000D_
                    colName = CStr(.Cells(1, idxLabel).Value)_x000D_
                    _x000D_
                    ' grab the table object from your cache_x000D_
                    Set srcTbl = srcTableCache(tblName)_x000D_
                    _x000D_
                    ' get that column's data_x000D_
                    On Error Resume Next_x000D_
                    Set dataRng = srcTbl.ListColumns(colName).DataBodyRange_x000D_
                    _x000D_
                    _x000D_
                    ' iterate its cells_x000D_
                    If Not dataRng Is Nothing Then_x000D_
                        Dim cell As Range_x000D_
                        For Each cell In dataRng.Cells_x000D_
                            If Len(Trim(cell.Value)) &gt; 0 Then_x000D_
                                addToNames CStr(cell.Value)_x000D_
                            End If_x000D_
                        Next cell_x000D_
                    End If_x000D_
                End If_x000D_
            End With_x000D_
        Next i_x000D_
    End With_x000D_
    _x000D_
    On Error GoTo 0_x000D_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End Sub_x000D_
_x000D_
Private </t>
  </si>
  <si>
    <t xml:space="preserve">Sub addToNames(ByVal x As String)_x000D_
    Dim lo      As ListObject_x000D_
    Dim found   As Range_x000D_
    Dim newRow  As ListRow_x000D_
    Dim arr     As Variant_x000D_
    Dim iCols   As Long_x000D_
    _x000D_
    Call ensureNamesTableExists_x000D_
    _x000D_
    ' point at the meta_Names table_x000D_
    Set lo = ThisWorkbook.Worksheets("Names") __x000D_
                .ListObjects("meta_Names")_x000D_
    _x000D_
    ' if it has any data, try to find x literally in the String column_x000D_
_x000D_
_x000D_
    stringColIndex = lo.ListColumns("String").Index_x000D_
_x000D_
        ' try to find an existing row_x000D_
        If Not lo.DataBodyRange Is Nothing Then_x000D_
            Set found = lo.ListColumns(stringColIndex).DataBodyRange.Find( __x000D_
                What:=Replace(Replace(Replace(x, "~", "~~"), "*", "~*"), "?", "~?"), __x000D_
                LookIn:=xlValues, LookAt:=xlWhole)_x000D_
   _x000D_
        If Not found Is Nothing Then Exit </t>
  </si>
  <si>
    <t xml:space="preserve">Sub   ' already there_x000D_
    End If_x000D_
    _x000D_
    ' compute all transformations_x000D_
    inputString = checkAndReplaceFaultyCharacters(x)_x000D_
    ' business_x000D_
    Set segments = stringToBusinessSegments(inputString)_x000D_
    ReDim segmentsArray(1 To segments.count)_x000D_
    For i = 1 To segments.count_x000D_
        segmentsArray(i) = segments(i)_x000D_
    Next i_x000D_
    _x000D_
    busVal = Join(segmentsArray, "")_x000D_
    _x000D_
    ' camel case upper_x000D_
    Set segments = businessToCamelSegments(busVal)_x000D_
    resultString = ""_x000D_
    For Each segment In segments_x000D_
        resultString = resultString &amp; segment_x000D_
    Next segment_x000D_
    resultString = Replace(resultString, "____", "__")_x000D_
    _x000D_
    upVal = resultString_x000D_
    _x000D_
    ' camel case lower_x000D_
    _x000D_
    loVal = LCase(Left(upVal, 1)) &amp; Mid(upVal, 2)_x000D_
    _x000D_
    ' business from Camel_x000D_
    Set segments = camelToBusinessSegments(upVal)_x000D_
    ReDim segmentsArray(1 To segments.count)_x000D_
    For i = 1 To segments.count_x000D_
        segmentsArray(i) = segments(i)_x000D_
    Next i_x000D_
    Dim busValC As String_x000D_
    busValC = Join(segmentsArray, "")_x000D_
    busValC = standardizeWhiteSpaceAndCapatilization(busValC)_x000D_
    _x000D_
    busValC = handleLists(busValC)_x000D_
_x000D_
    _x000D_
    _x000D_
_x000D_
    '  add a new row at the bottom_x000D_
    Set newRow = lo.ListRows.Add_x000D_
    _x000D_
    ' build array for ALL columns in header order:_x000D_
    '    [ID], [String], [Business], [Camel Upper], [Camel Lower],_x000D_
_x000D_
    colCount = lo.ListColumns.count_x000D_
    ReDim arr(1 To 1, 1 To colCount)_x000D_
    For j = 1 To colCount_x000D_
        arr(1, j) = ""       ' explicitly blank every column_x000D_
    Next j_x000D_
    _x000D_
    Dim idxID   As Long: idxID = lo.ListColumns("ID").Index_x000D_
    Dim idxStr  As Long: idxStr = lo.ListColumns("String").Index_x000D_
    Dim idxBus  As Long: idxBus = lo.ListColumns("Business").Index_x000D_
    Dim idxUp   As Long: idxUp = lo.ListColumns("Camel Upper").Index_x000D_
    Dim idxLo   As Long: idxLo = lo.ListColumns("Camel Lower").Index_x000D_
    Dim idxBusC As Long: idxBusC = lo.ListColumns("Business from Camel").Index_x000D_
    Dim idxUpB  As Long: idxUpB = lo.ListColumns("Camel Upper from Business").Index_x000D_
    Dim idxLoB  As Long: idxLoB = lo.ListColumns("Camel Lower from Business").Index_x000D_
    _x000D_
    ' leave arr(1,1) blank (ID) or fill if you have logic_x000D_
    arr(1, idxStr) = "'" &amp; x ' avoid inconsistencies due to implicit-intersection operator_x000D_
    arr(1, idxBus) = "'" &amp; busVal ' avoid inconsistencies due to implicit-intersection operator_x000D_
    arr(1, idxUp) = upVal_x000D_
    arr(1, idxLo) = loVal_x000D_
    arr(1, idxBusC) = "'" &amp; busValC ' avoid inconsistencies due to implicit-intersection operator_x000D_
    arr(1, idxUpB) = upVal ' same calculation as upVal_x000D_
    arr(1, idxLoB) = loVal ' same calculation as loVal_x000D_
_x000D_
    _x000D_
    ' PUSH all 8 values in one go_x000D_
    newRow.Range.Value = arr_x000D_
    _x000D_
End Sub_x000D_
' MAIN </t>
  </si>
  <si>
    <t xml:space="preserve">Function 1: Converts string to CamelUpper_x000D_
Public </t>
  </si>
  <si>
    <t xml:space="preserve">Function camelCaseUpper(ByVal inputString As String) As String_x000D_
    'On Error GoTo ErrorHandler ' Enable error handling_x000D_
_x000D_
      camelCaseUpper = getName(inputString, "String", "Camel Upper")_x000D_
    _x000D_
    Exit Function_x000D_
ErrorHandler:_x000D_
    ' Error handling logic_x000D_
    camelCaseUpper = "" ' Return an empty string in case of an error_x000D_
End Function_x000D_
_x000D_
' MAIN </t>
  </si>
  <si>
    <t xml:space="preserve">Function 2: Converts string to CamelLower_x000D_
Public </t>
  </si>
  <si>
    <t xml:space="preserve">Function camelCaseLower(ByVal inputString As String) As String_x000D_
    'On Error GoTo ErrorHandler ' Enable error handling_x000D_
    _x000D_
      camelCaseLower = getName(inputString, "String", "Camel Lower")_x000D_
_x000D_
    Exit Function_x000D_
ErrorHandler:_x000D_
    ' Error handling logic_x000D_
    camelCaseLower = "" ' Return an empty string in case of an error_x000D_
End Function_x000D_
_x000D_
' MAIN </t>
  </si>
  <si>
    <t xml:space="preserve">Function 3: Converts Camel case string to Business_x000D_
Public </t>
  </si>
  <si>
    <t xml:space="preserve">Function camelCaseToBusiness(ByVal inputString As String) As String_x000D_
    'On Error GoTo ErrorHandler ' Enable error handling_x000D_
    _x000D_
      camelCaseToBusiness = getName(inputString, "Camel Upper", "Business from Camel")_x000D_
    _x000D_
    Exit Function_x000D_
_x000D_
ErrorHandler:_x000D_
    ' Error handling logic_x000D_
    camelCaseToBusiness = "" ' Return an empty string in case of an error_x000D_
End Function_x000D_
_x000D_
_x000D_
_x000D_
' MAIN </t>
  </si>
  <si>
    <t xml:space="preserve">Function 4: Converts a regular string to Business_x000D_
Public </t>
  </si>
  <si>
    <t xml:space="preserve">Function stringToBusiness(ByVal inputString As String) As String_x000D_
    'On Error GoTo ErrHandler ' Enable error handling_x000D_
    _x000D_
    stringToBusiness = getName(inputString, "String", "Business")_x000D_
    _x000D_
    Exit Function_x000D_
_x000D_
ErrHandler:_x000D_
    'MsgBox "Error #" &amp; Err.Number &amp; ": " &amp; Err.Description, vbExclamation, "error"_x000D_
_x000D_
End Function_x000D_
_x000D_
' MAIN </t>
  </si>
  <si>
    <t xml:space="preserve">Function 5: Converts Business string to CamelUpper_x000D_
Public </t>
  </si>
  <si>
    <t xml:space="preserve">Function businessToCamelCaseUpper(ByVal inputString As String) As String_x000D_
    'On Error GoTo ErrorHandler ' Enable error handling_x000D_
    _x000D_
    businessToCamelCaseUpper = getName(inputString, "Business", "Camel Upper from Business")_x000D_
    _x000D_
    Exit Function_x000D_
_x000D_
ErrorHandler:_x000D_
    ' Error handling logic_x000D_
    businessToCamelCaseUpper = "" ' Return an empty string in case of an error_x000D_
_x000D_
End Function_x000D_
_x000D_
' MAIN </t>
  </si>
  <si>
    <t xml:space="preserve">Function 6: Converts Business string to CamelLower, uses businessToCamelCaseUpper_x000D_
Public </t>
  </si>
  <si>
    <t xml:space="preserve">Function businessToCamelCaseLower(ByVal inputString As String) As String_x000D_
    'On Error GoTo ErrorHandler ' Enable error handling_x000D_
    _x000D_
    businessToCamelCaseLower = getName(inputString, "Business", "Camel Lower from Business")_x000D_
    _x000D_
    Exit Function_x000D_
_x000D_
ErrorHandler:_x000D_
    ' Error handling logic_x000D_
    businessToCamelCaseLower = "" ' Return an empty string in case of an error_x000D_
End Function_x000D_
_x000D_
' helper: find or create a row in meta_Names and fill missing fields_x000D_
Private </t>
  </si>
  <si>
    <t xml:space="preserve">Function getName(ByVal inputString As String, ByVal inputType As String, ByVal targetType As String) As String_x000D_
    On Error GoTo 0_x000D_
    Dim lo            As ListObject_x000D_
    Dim lr            As ListRow_x000D_
    Dim f             As Range_x000D_
    _x000D_
    Call ensureNamesTableExists_x000D_
_x000D_
    Set lo = ThisWorkbook.Sheets("Names").ListObjects("meta_Names")_x000D_
    _x000D_
    With lo_x000D_
    _x000D_
      inputColIndex = .ListColumns(inputType).Index_x000D_
_x000D_
        ' try to find an existing row_x000D_
        If Not .DataBodyRange Is Nothing Then_x000D_
            Set f = .ListColumns(inputColIndex).DataBodyRange.Find( __x000D_
                What:=Replace(Replace(Replace(inputString, "~", "~~"), "*", "~*"), "?", "~?"), __x000D_
                LookIn:=xlValues, LookAt:=xlWhole)_x000D_
        _x000D_
            If Not f Is Nothing Then_x000D_
                ' row found_x000D_
                Set lr = .ListRows(f.row - .HeaderRowRange.row)_x000D_
                targetString = lr.Range.Cells(1, lr.Parent.ListColumns(targetType).Index).Value_x000D_
                If Len(targetString) &gt;= 0 Then_x000D_
                    ' target string found, return it_x000D_
                    getName = targetString_x000D_
                    Exit Function_x000D_
                End If_x000D_
            End If_x000D_
        End If_x000D_
    End With_x000D_
      _x000D_
    Select Case targetType_x000D_
    _x000D_
        Case "Business"_x000D_
            ' business from string_x000D_
            inputString = checkAndReplaceFaultyCharacters(inputString)_x000D_
            Set segments = stringToBusinessSegments(inputString)_x000D_
            ReDim segmentsArray(1 To segments.count)_x000D_
            For i = 1 To segments.count_x000D_
                segmentsArray(i) = segments(i)_x000D_
            Next i_x000D_
            busVal = Join(segmentsArray, "")_x000D_
            getName = busVal_x000D_
            Exit Function_x000D_
    _x000D_
        Case "Business from Camel"_x000D_
            ' business from cc_x000D_
             _x000D_
             Set segments = camelToBusinessSegments(inputString)_x000D_
             ReDim segmentsArray(1 To segments.count)_x000D_
             For i = 1 To segments.count_x000D_
                 segmentsArray(i) = segments(i)_x000D_
             Next i_x000D_
             Dim busValC As String_x000D_
             busValC = Join(segmentsArray, "")_x000D_
             busValC = standardizeWhiteSpaceAndCapatilization(busValC)_x000D_
             busValC = handleLists(busValC)_x000D_
             _x000D_
             getName = busValC_x000D_
             Exit Function_x000D_
        _x000D_
        Case "Camel Upper", "Camel Lower"_x000D_
            ' camel upper_x000D_
_x000D_
            inputString = checkAndReplaceFaultyCharacters(inputString)_x000D_
          _x000D_
            ' business_x000D_
            Set segments = stringToBusinessSegments(inputString)_x000D_
            ReDim segmentsArray(1 To segments.count)_x000D_
            For i = 1 To segments.count_x000D_
                segmentsArray(i) = segments(i)_x000D_
            Next i_x000D_
            busVal = Join(segmentsArray, "")_x000D_
            _x000D_
            _x000D_
            ' camel case upper_x000D_
            Set segments = businessToCamelSegments(busVal)_x000D_
            resultString = ""_x000D_
            For Each segment In segments_x000D_
                'Debug.Print segment_x000D_
                resultString = resultString &amp; segment_x000D_
            Next segment_x000D_
            'handle additional underscores for visibility_x000D_
            resultString = Replace(resultString, "____", "__")_x000D_
            upVal = resultString_x000D_
            _x000D_
            If targetType = "Camel Upper" Then_x000D_
                'cc upper_x000D_
                getName = upVal_x000D_
                Exit Function_x000D_
            Else_x000D_
                ' cc lower_x000D_
                loVal = LCase(Left(upVal, 1)) &amp; Mid(upVal, 2)_x000D_
                getName = loVal_x000D_
                Exit Function_x000D_
            End If_x000D_
            _x000D_
        Case "Camel Upper from Business", "Camel Lower from Business"_x000D_
            _x000D_
            inputString = checkAndReplaceFaultyCharacters(inputString)_x000D_
_x000D_
            Set segments = businessToCamelSegments(inputString)_x000D_
            _x000D_
            resultString = ""_x000D_
            For Each segment In segments_x000D_
                'Debug.Print segment_x000D_
                resultString = resultString &amp; segment_x000D_
            Next segment_x000D_
            _x000D_
            'handle additional underscores for visibility_x000D_
            resultString = Replace(resultString, "____", "__")_x000D_
            _x000D_
            upValB = resultString_x000D_
            _x000D_
            If targetType = "Camel Upper from Business" Then_x000D_
                'cc upper from business_x000D_
                getName = upValB_x000D_
                Exit Function_x000D_
            Else_x000D_
                ' cc lower_x000D_
                loValB = LCase(Left(upValB, 1)) &amp; Mid(upValB, 2)_x000D_
                getName = loValB_x000D_
                Exit Function_x000D_
            End If_x000D_
            _x000D_
            _x000D_
        End Select_x000D_
ErrHandler:_x000D_
    'MsgBox "Error #" &amp; Err.Number &amp; ": " &amp; Err.Description, vbExclamation, "GetOrUpdateNameRow"_x000D_
    _x000D_
End Function_x000D_
_x000D_
'TODO without seperator versions/with fixed length versions_x000D_
_x000D_
' HELPER_x000D_
_x000D_
' Entry from Utils_x000D_
Public </t>
  </si>
  <si>
    <t xml:space="preserve">Function stringToBusinessSegments(ByVal inputString As String) As Collection_x000D_
    Dim segments As New Collection_x000D_
    Dim temp As String_x000D_
    Dim i As Integer_x000D_
    Dim segmentArray() As String_x000D_
    Dim currentSegment As String_x000D_
    _x000D_
    ' Process the string as per the original function_x000D_
    temp = separateCamelCaseWords(inputString)_x000D_
    'Debug.Print temp_x000D_
    temp = standardizeWhiteSpaceAndCapatilization(temp)_x000D_
    'Debug.Print temp_x000D_
    _x000D_
    temp = handleLists(temp)_x000D_
    'Debug.Print temp_x000D_
    'temp = checkAndReplaceFaultyCharacters(temp)_x000D_
    'Debug.Print temp_x000D_
    _x000D_
    ' Initialize currentSegment as an empty string_x000D_
    currentSegment = ""_x000D_
    _x000D_
    ' Iterate through the characters in the string_x000D_
    For i = 1 To Len(temp)_x000D_
        If Mid(temp, i, 1) = " " Then_x000D_
            ' If a space is encountered_x000D_
            If Len(currentSegment) &gt; 0 Then_x000D_
                ' Add the current segment (before space) to the collection_x000D_
                segments.Add currentSegment_x000D_
                'Debug.Print "Segment " &amp; segments.Count &amp; ": (" &amp; currentSegment &amp; ")"_x000D_
                currentSegment = "" ' Reset currentSegment_x000D_
            End If_x000D_
            ' Add the space itself as a segment_x000D_
            segments.Add " "_x000D_
            'Debug.Print "Segment " &amp; segments.Count &amp; ": ( )"_x000D_
        Else_x000D_
            ' If it's not a space, continue building the current segment_x000D_
            currentSegment = currentSegment &amp; Mid(temp, i, 1)_x000D_
        End If_x000D_
    Next i_x000D_
    _x000D_
    ' Add the last segment if it exists_x000D_
    If Len(currentSegment) &gt; 0 Then_x000D_
        segments.Add currentSegment_x000D_
        'Debug.Print "Segment " &amp; segments.Count &amp; ": (" &amp; currentSegment &amp; ")"_x000D_
    End If_x000D_
    _x000D_
    ' Return the Collection_x000D_
    Set stringToBusinessSegments = segments_x000D_
End Function_x000D_
_x000D_
_x000D_
' Entry from Utils_x000D_
Public </t>
  </si>
  <si>
    <t xml:space="preserve">Function businessToCamelSegments(ByVal inputString As String) As Collection_x000D_
    Dim segments As New Collection_x000D_
    Dim i As Integer_x000D_
    Dim isFirstLine As Boolean_x000D_
    Dim lineArray() As String_x000D_
    Dim currentLine As String_x000D_
    Dim encodedLine As String_x000D_
    Dim leadingSpaces As Integer_x000D_
    Dim linePrefix As String_x000D_
_x000D_
    ' Step 1: Split the input string by lines first_x000D_
    lineArray = Split(inputString, Chr(10))_x000D_
    _x000D_
    ' Initialize a flag for the first line_x000D_
    isFirstLine = True_x000D_
    _x000D_
    ' Step 2: Process each line separately_x000D_
    For i = LBound(lineArray) To UBound(lineArray)_x000D_
        ' Preserve leading spaces in each line_x000D_
        leadingSpaces = getLeadingSpaces(lineArray(i))_x000D_
        linePrefix = ""_x000D_
        _x000D_
        _x000D_
        ' Apply "N_" prefix only for the first line if it starts with a number_x000D_
        If isFirstLine And Len(Trim(lineArray(i))) &gt; 0 And IsNumeric(Left(Trim(lineArray(i)), 1)) Then_x000D_
            lineArray(i) = "N" &amp; Trim(lineArray(i))_x000D_
        ElseIf Not isFirstLine And leadingSpaces &gt; 0 Then_x000D_
            linePrefix = "_" &amp; leadingSpaces &amp; "s__"_x000D_
            lineArray(i) = Trim(lineArray(i))_x000D_
        End If_x000D_
        _x000D_
_x000D_
        currentLine = lineArray(i)_x000D_
        _x000D_
        camelSegment = businessSegmentToCamelSegment(currentLine)_x000D_
    _x000D_
        camelSegment = Replace(camelSegment, " ", "")_x000D_
        _x000D_
        camelSegment = linePrefix &amp; camelSegment_x000D_
        _x000D_
            _x000D_
        _x000D_
        ' Add the processed line to the collection_x000D_
        segments.Add camelSegment_x000D_
        _x000D_
        ' Add a new-line-encoding after each line except the last one_x000D_
        If i &lt; UBound(lineArray) Then_x000D_
            segments.Add "_n__"_x000D_
        End If_x000D_
        isFirstLine = False ' Set flag to False after processing the first line_x000D_
    Next i_x000D_
_x000D_
    ' Return the collection of camel-case segments_x000D_
    Set businessToCamelSegments = segments_x000D_
    _x000D_
End Function_x000D_
_x000D_
_x000D_
' </t>
  </si>
  <si>
    <t xml:space="preserve">Function to retrieve the number of leading spaces from a string_x000D_
Public </t>
  </si>
  <si>
    <t xml:space="preserve">Function getLeadingSpaces(ByVal inputLine As String) As Integer_x000D_
    Dim i As Integer_x000D_
    For i = 1 To Len(inputLine)_x000D_
        If Mid(inputLine, i, 1) &lt;&gt; " " Then Exit For_x000D_
    Next i_x000D_
    getLeadingSpaces = i - 1_x000D_
End Function_x000D_
_x000D_
'NEXT 2_x000D_
Public </t>
  </si>
  <si>
    <t xml:space="preserve">Function businessSegmentToCamelSegment(ByVal inputString As String) As String_x000D_
    Dim wordArray() As String_x000D_
    Dim encodedStr As String_x000D_
    Dim result As String_x000D_
    Dim word As String_x000D_
    Dim i As Integer_x000D_
_x000D_
    wordArray = Split(inputString, " ")_x000D_
    _x000D_
    ' Handle Capitalization_x000D_
    For i = LBound(wordArray) + 1 To UBound(wordArray)_x000D_
        word = wordArray(i)_x000D_
        If Len(word) &gt; 0 And Not IsNumeric(Left(word, 1)) Then_x000D_
            encodedStr = UCase(Left(word, 1)) &amp; Mid(word, 2)_x000D_
            wordArray(i) = encodedStr_x000D_
        End If_x000D_
    Next i_x000D_
    _x000D_
    inputString = ""_x000D_
    For i = LBound(wordArray) To UBound(wordArray)_x000D_
        inputString = inputString + wordArray(i)_x000D_
        If i &lt; UBound(wordArray) Then_x000D_
            inputString = inputString + " "_x000D_
        End If_x000D_
    Next i_x000D_
    _x000D_
    'Debug.Print inputString_x000D_
    _x000D_
    'encodedStr = replaceUnderscores(encodedStr)_x000D_
    _x000D_
    encodedStr = Replace(inputString, "_", "_u__")_x000D_
    _x000D_
    encodedStr = addUnderscore(encodedStr)_x000D_
_x000D_
    _x000D_
    _x000D_
    ' Encode special characters in the segment_x000D_
    encodedStr = camelEncodeSpecialCharacters(encodedStr)_x000D_
    _x000D_
    ' Return the result_x000D_
    businessSegmentToCamelSegment = encodedStr_x000D_
End Function_x000D_
_x000D_
_x000D_
_x000D_
Public </t>
  </si>
  <si>
    <t xml:space="preserve">Function stringToCamelSegments(ByVal inputString As String) As Collection_x000D_
'TODO_x000D_
End Function_x000D_
_x000D_
_x000D_
Public </t>
  </si>
  <si>
    <t xml:space="preserve">Function camelToBusinessSegments(ByVal inputString As String) As Collection_x000D_
    Dim segments As New Collection_x000D_
    Dim lineArray() As String_x000D_
    Dim i As Integer_x000D_
    Dim reconstructedLine As String_x000D_
    Dim line As String_x000D_
_x000D_
_x000D_
    If Left(inputString, 2) Like "N[0-9]" Then_x000D_
        inputString = Mid(inputString, 2)_x000D_
    End If_x000D_
    _x000D_
    'inputString = Replace(inputString, "__", "____")_x000D_
    'Debug.Print inputString_x000D_
_x000D_
    ' Step 1: Split the input string by lines first_x000D_
    lineArray = Split(inputString, "_n__")_x000D_
    _x000D_
    ' Step 2: Process each line separately_x000D_
    For i = LBound(lineArray) To UBound(lineArray)_x000D_
        line = lineArray(i)_x000D_
        'Debug.Print line_x000D_
_x000D_
        _x000D_
        ' Check if the string starts with "_" and contains "s__",_x000D_
        ' and the part between them is numeric_x000D_
        If Left(line, 1) = "_" And InStr(line, "s__") &gt; 2 Then_x000D_
            ' Extract the part between "_" and "s__"_x000D_
            numStr = Mid(line, 2, InStr(line, "s__") - 2)_x000D_
            _x000D_
            ' Ensure the extracted part is a number_x000D_
            If IsNumeric(numStr) Then_x000D_
                numSpaces = CInt(numStr)_x000D_
                ' Replace the prefix with the appropriate number of spaces_x000D_
                line = String(numSpaces, " ") &amp; Mid(line, InStr(line, "s__") + 3)_x000D_
            End If_x000D_
        End If_x000D_
        _x000D_
        _x000D_
        _x000D_
        ' Decode special characters in each line_x000D_
        reconstructedLine = camelDecodeSpecialCharacters(line)_x000D_
_x000D_
        _x000D_
        ' Convert each segment in the line_x000D_
        segments.Add camelSegmentToBusinessSegment(reconstructedLine)_x000D_
        'Debug.Print camelSegmentToBusinessSegment(reconstructedLine)_x000D_
        _x000D_
        _x000D_
        _x000D_
        ' Add a vbCrLf after each line except the last one_x000D_
        If i &lt; UBound(lineArray) Then_x000D_
            segments.Add Chr(10)_x000D_
        End If_x000D_
    Next i_x000D_
_x000D_
    ReDim lineArray(1 To segments.count)_x000D_
    _x000D_
    For i = 1 To segments.count_x000D_
        lineArray(i) = segments(i)_x000D_
    Next i_x000D_
    _x000D_
    inputString = Join(lineArray, "")_x000D_
    Set segments = New Collection_x000D_
    inputString = handleLists(inputString)_x000D_
    lineArray = Split(inputString, Chr(10))_x000D_
    For i = LBound(lineArray) To UBound(lineArray)_x000D_
        segments.Add lineArray(i)_x000D_
        If i &lt; UBound(lineArray) Then_x000D_
            segments.Add Chr(10)_x000D_
        End If_x000D_
        Next i_x000D_
_x000D_
    ' Return the collection of business-case segments_x000D_
    Set camelToBusinessSegments = segments_x000D_
End Function_x000D_
_x000D_
_x000D_
_x000D_
Public </t>
  </si>
  <si>
    <t xml:space="preserve">Function camelSegmentToBusinessSegment(ByVal inputString As String) As String_x000D_
    Dim result As String_x000D_
    Dim i As Integer_x000D_
    Dim currentChar As String_x000D_
    Dim previousChar As String_x000D_
    _x000D_
    ' Initialize result with the first character_x000D_
    result = Left(inputString, 1)_x000D_
    previousChar = Left(inputString, 1)_x000D_
    _x000D_
    ' Step 1: Split based on capitalization and specific characters_x000D_
    For i = 2 To Len(inputString)_x000D_
        currentChar = Mid(inputString, i, 1)_x000D_
        _x000D_
        ' Check if the current character indicates a new segment_x000D_
        If (currentChar Like "[A-Z]" And (previousChar Like "[a-z]" Or previousChar Like "[0-9]")) Or __x000D_
           (currentChar Like "[a-z]" And previousChar Like "[0-9]") Or __x000D_
           (currentChar Like "[0-9]" And previousChar Like "[A-Za-z]") Then_x000D_
           'Or _ (Len(result) &gt; 0 And Len(Mid(result, InStrRev(result, " ") + 1)) = 1 And previousChar Like "[A-Z]" And currentChar Like "[A-Z]" And (i = Len(inputString) Or Mid(inputString, i + 1, 1) Like "[a-z]")) Then_x000D_
        _x000D_
            result = result &amp; " "_x000D_
        End If_x000D_
        _x000D_
        ' Append the current character to the result_x000D_
        result = result &amp; currentChar_x000D_
        previousChar = currentChar_x000D_
    Next i_x000D_
    _x000D_
    _x000D_
    'after splitting, handle small words_x000D_
    result = handleCapitalization(result)_x000D_
    result = separateCamelCaseWords(result)_x000D_
    _x000D_
    ' Step 2: Return the reconstructed segment_x000D_
    camelSegmentToBusinessSegment = result_x000D_
End Function_x000D_
_x000D_
_x000D_
Public </t>
  </si>
  <si>
    <t xml:space="preserve">Function camelToCamelSegments(ByVal inputString As String) As Collection_x000D_
'just split Camel segments_x000D_
End Function_x000D_
_x000D_
' HELPER FUNCTIONS'_x000D_
_x000D_
_x000D_
_x000D_
' Helper function: Remove double white spaces and clean up lines_x000D_
Public </t>
  </si>
  <si>
    <t xml:space="preserve">Function standardizeWhiteSpaceAndCapatilization(ByVal str As String) As String_x000D_
    Dim lines() As String_x000D_
    Dim i As Integer_x000D_
    Dim result As String_x000D_
    Dim lineContent As String_x000D_
    Dim firstNonWhitespaceFound As Boolean_x000D_
    Dim temp As String_x000D_
    _x000D_
    ' Step 1: Remove leading whitespaces_x000D_
    firstNonWhitespaceFound = False_x000D_
    For i = 1 To Len(str)_x000D_
        ' Check if the current character is not a space, tab, newline, or carriage return_x000D_
        If Mid(str, i, 1) &lt;&gt; " " And Asc(Mid(str, i, 1)) &lt;&gt; 9 And Asc(Mid(str, i, 1)) &lt;&gt; 10 And Asc(Mid(str, i, 1)) &lt;&gt; 13 Then_x000D_
            firstNonWhitespaceFound = True_x000D_
        End If_x000D_
        _x000D_
        ' If non-whitespace found, exit the loop_x000D_
        If firstNonWhitespaceFound Then_x000D_
            Exit For_x000D_
        End If_x000D_
    Next i_x000D_
    _x000D_
    ' Return the string starting from the first non-whitespace character_x000D_
    str = Mid(str, i)_x000D_
    _x000D_
    _x000D_
    ' Step 2: replace Tabs with three spaces_x000D_
    str = Replace(str, Chr(9), "   ")_x000D_
    _x000D_
    _x000D_
    _x000D_
    ' Split the string into lines based on Chr(10)_x000D_
    lines = Split(str, Chr(10))_x000D_
    _x000D_
    result = ""_x000D_
    _x000D_
    _x000D_
    ' per line..._x000D_
    ' Step 3: remove trailing whitespaces and_x000D_
    ' Step 4: replace multiple spaces with one_x000D_
    ' Step 5: add spaces between numbers and words_x000D_
    ' Step 6: handle capitalization with small words list_x000D_
_x000D_
    For i = LBound(lines) To UBound(lines)_x000D_
        _x000D_
        ' Preserve leading spaces by capturing the leading part of the string_x000D_
        Dim leadingSpaces As String_x000D_
        leadingSpaces = ""_x000D_
        temp = ""_x000D_
        _x000D_
        ' Identify and preserve the leading spaces_x000D_
        Dim j As Integer_x000D_
        For j = 1 To Len(lines(i))_x000D_
            If Mid(lines(i), j, 1) = " " Then_x000D_
                leadingSpaces = leadingSpaces &amp; " "_x000D_
            Else_x000D_
                Exit For_x000D_
            End If_x000D_
        Next j_x000D_
        _x000D_
        ' Trim trailing spaces but preserve internal spaces carefully_x000D_
        lineContent = Trim(lines(i))_x000D_
        _x000D_
        ' Replace multiple spaces within the content (after leading spaces) with a single space_x000D_
        Do While InStr(lineContent, "  ") &gt; 0_x000D_
            lineContent = Replace(lineContent, "  ", " ")_x000D_
        Loop_x000D_
        _x000D_
                _x000D_
        ' Iterate through each character in the string_x000D_
        Dim k As Integer_x000D_
        For k = 1 To Len(lineContent)_x000D_
            currentChar = Mid(lineContent, k, 1)_x000D_
            _x000D_
            ' Check if there is a next character to compare_x000D_
            If k &lt; Len(lineContent) Then_x000D_
                nextChar = Mid(lineContent, k + 1, 1)_x000D_
                _x000D_
                ' Add current character to result_x000D_
                temp = temp &amp; currentChar_x000D_
                _x000D_
                ' Check if current character is a number and the next character is a letter_x000D_
                If IsNumeric(currentChar) And nextChar Like "[A-Za-z]" Then_x000D_
                    temp = temp &amp; " "_x000D_
                ' Check if current character is a letter and the next character is a number_x000D_
                ElseIf currentChar Like "[A-Za-z]" And IsNumeric(nextChar) Then_x000D_
                    temp = temp &amp; " "_x000D_
                End If_x000D_
            Else_x000D_
                ' For the last character, just add it to the result_x000D_
                temp = temp &amp; currentChar_x000D_
            End If_x000D_
        Next k_x000D_
        _x000D_
        lineContent = temp_x000D_
        _x000D_
        'Debug.Print lineContent_x000D_
        lineContent = handleCapitalization(lineContent)_x000D_
        'Debug.Print lineContent_x000D_
        _x000D_
        ' Rebuild the line with the preserved leading spaces_x000D_
        result = result &amp; leadingSpaces &amp; lineContent_x000D_
        _x000D_
        ' Add a newline except after the last line_x000D_
        If i &lt; UBound(lines) Then_x000D_
            result = result &amp; Chr(10)_x000D_
        End If_x000D_
    _x000D_
    Next i_x000D_
    _x000D_
    _x000D_
    standardizeWhiteSpaceAndCapatilization = result_x000D_
    _x000D_
End Function_x000D_
_x000D_
_x000D_
_x000D_
_x000D_
' Helper function: Separate words in CamelCase_x000D_
</t>
  </si>
  <si>
    <t xml:space="preserve">Function separateCamelCaseWords(ByVal str As String) As String_x000D_
    Dim i As Integer_x000D_
    Dim result As String_x000D_
    Dim special As Boolean_x000D_
_x000D_
    ' Check if the string is empty or only one character long_x000D_
    If Len(str) &lt;= 1 Then_x000D_
        separateCamelCaseWords = str_x000D_
        Exit Function_x000D_
    End If_x000D_
_x000D_
    result = ""_x000D_
    special = False ' Initialize special to false_x000D_
_x000D_
    ' Add the first character (no space needed before the first character)_x000D_
    result = Mid(str, 1, 1)_x000D_
_x000D_
    ' Iterate from the second character to the end of the string_x000D_
    For i = 2 To Len(str)_x000D_
        ' Get the current character_x000D_
        Dim currentChar As String_x000D_
        currentChar = Mid(str, i, 1)_x000D_
_x000D_
        ' Check if the current character is a special character_x000D_
        If Not currentChar Like "[A-Za-z0-9 ]" Then_x000D_
            special = False_x000D_
        ElseIf currentChar Like " " Then_x000D_
            special = False_x000D_
        End If_x000D_
_x000D_
        ' Check if the current character is uppercase_x000D_
        If currentChar Like "[A-Z]" Then_x000D_
            ' Add a space based on conditions_x000D_
            If Mid(str, i - 1, 1) Like "[A-Z]" And (i &lt; Len(str) And Mid(str, i + 1, 1) Like "[a-z]") And Not special Then_x000D_
                result = result &amp; " " &amp; currentChar_x000D_
            ElseIf Mid(str, i - 1, 1) Like "[a-z]" And Not special Then_x000D_
                result = result &amp; " " &amp; currentChar_x000D_
            Else_x000D_
                result = result &amp; currentChar_x000D_
            End If_x000D_
        Else_x000D_
            result = result &amp; currentChar_x000D_
        End If_x000D_
    Next i_x000D_
_x000D_
    separateCamelCaseWords = result_x000D_
End Function_x000D_
_x000D_
_x000D_
' Helper function: add Underscore_x000D_
</t>
  </si>
  <si>
    <t xml:space="preserve">Function addUnderscore(ByVal inputString As String) As String_x000D_
    Dim words() As String_x000D_
    Dim result As String_x000D_
    Dim i As Integer_x000D_
    _x000D_
    ' Split the string into words using space as a delimiter_x000D_
    words = Split(inputString, " ")_x000D_
    _x000D_
    ' Initialize the result_x000D_
    result = ""_x000D_
    _x000D_
    ' Process each word_x000D_
    For i = LBound(words) To UBound(words)_x000D_
        ' Debug.Print words(i)_x000D_
_x000D_
        ' After capital words or after strings ending in a digit_x000D_
        If (i &lt; UBound(words) And words(i) = UCase(words(i)) And words(i) Like "[A-Z]*" And Not words(i) Like "*[!A-Z]*" And __x000D_
            i + 1 &lt;= UBound(words)) Then_x000D_
            _x000D_
            If (Left(words(i + 1), 1) Like "[A-Za-z0-9]") Then_x000D_
                result = result &amp; words(i) &amp; "_"_x000D_
            Else_x000D_
                result = result &amp; words(i)_x000D_
            End If_x000D_
_x000D_
        ' New logic: Add underscore after words that end with a capital letter_x000D_
        ElseIf (i &lt; UBound(words) And Right(words(i), 1) Like "[A-Z]") Then_x000D_
            result = result &amp; words(i) &amp; "_"_x000D_
_x000D_
        ' Default behavior: Add the word as is_x000D_
        Else_x000D_
            result = result &amp; words(i)_x000D_
        End If_x000D_
        _x000D_
        ' Add a space if it's not the last word and no underscore was added_x000D_
        If i &lt; UBound(words) And Right(result, 1) &lt;&gt; "_" Then_x000D_
            result = result &amp; " "_x000D_
        End If_x000D_
    Next i_x000D_
    _x000D_
    ' Return the processed string_x000D_
    addUnderscore = result_x000D_
End Function_x000D_
_x000D_
_x000D_
_x000D_
_x000D_
_x000D_
' Helper function: Highlight special signs_x000D_
</t>
  </si>
  <si>
    <t xml:space="preserve">Function checkAndReplaceFaultyCharacters(ByVal inputString As String) As String_x000D_
    Dim allowedChars As String_x000D_
    Dim faultyChars As String_x000D_
    Dim i As Integer_x000D_
    Dim currentChar As String_x000D_
    Dim resultString As String_x000D_
    _x000D_
    ' Define the allowed characters: letters, numbers, and the hardcoded special characters_x000D_
    allowedChars = "ABCDEFGHIJKLMNOPQRSTUVWXYZabcdefghijklmnopqrstuvwxyz0123456789!@#$Ü%^&amp;*()_-+=[]{}|;:'"",.&lt;&gt;?/\`~ " &amp; Chr(10)_x000D_
    _x000D_
    faultyChars = ""_x000D_
    resultString = inputString_x000D_
    _x000D_
    ' Iterate through each character in the input string_x000D_
    For i = 1 To Len(inputString)_x000D_
        currentChar = Mid(inputString, i, 1)_x000D_
        If i &lt; Len(inputString) Then_x000D_
            nextChar = Mid(inputString, i + 1, 1)_x000D_
        Else_x000D_
            nextChar = ""_x000D_
        End If_x000D_
        _x000D_
        ' Check if the current character is not in the allowed characters_x000D_
        If InStr(allowedChars, currentChar) = 0 Then_x000D_
            ' If it's a faulty character, add it to the faultyChars string_x000D_
            If InStr(faultyChars, currentChar) = 0 Then_x000D_
                faultyChars = faultyChars &amp; currentChar_x000D_
            End If_x000D_
            ' Replace the faulty character with '#'_x000D_
            resultString = Replace(resultString, currentChar, "#")_x000D_
_x000D_
_x000D_
        End If_x000D_
    Next i_x000D_
    _x000D_
    ' If there are any faulty characters, show a message box_x000D_
    If Len(faultyChars) &gt; 0 Then_x000D_
        'MsgBox "The following characters are not valid: " &amp; Chr(10) &amp; faultyChars &amp; Chr(10) &amp; "They are replaced with '#'", vbExclamation, "Invalid Characters Found and Replaced"_x000D_
        _x000D_
    End If_x000D_
    _x000D_
    ' Return the modified string_x000D_
    checkAndReplaceFaultyCharacters = resultString_x000D_
End Function_x000D_
_x000D_
_x000D_
_x000D_
_x000D_
_x000D_
'Helper Function: split business string while preserving new lines and spaces after new lines._x000D_
Public </t>
  </si>
  <si>
    <t xml:space="preserve">Function splitPreservingNewLines(ByVal str As String) As Variant_x000D_
    Dim lines() As String_x000D_
    Dim result() As String_x000D_
    Dim i As Integer, j As Integer_x000D_
    Dim currentLine As String_x000D_
_x000D_
    ' Split the string into lines_x000D_
    lines = Split(str, Chr(10))_x000D_
    ReDim result(0)_x000D_
_x000D_
    ' Process each line separately_x000D_
    For i = LBound(lines) To UBound(lines)_x000D_
        currentLine = lines(i)_x000D_
_x000D_
        ' Handle leading spaces at the beginning of the line_x000D_
        If Left(currentLine, 1) = " " Then_x000D_
            j = 1_x000D_
            Do While Mid(currentLine, j, 1) = " "_x000D_
                j = j + 1_x000D_
            Loop_x000D_
            ReDim Preserve result(UBound(result) + 1)_x000D_
            result(UBound(result)) = Left(currentLine, j - 1)_x000D_
            currentLine = Mid(currentLine, j)_x000D_
        End If_x000D_
_x000D_
        ' Split the rest of the line by spaces_x000D_
        If Len(currentLine) &gt; 0 Then_x000D_
            Dim words() As String_x000D_
            words = Split(currentLine, " ")_x000D_
            For j = LBound(words) To UBound(words)_x000D_
                If Len(words(j)) &gt; 0 Then_x000D_
                    ReDim Preserve result(UBound(result) + 1)_x000D_
                    result(UBound(result)) = words(j)_x000D_
                End If_x000D_
            Next j_x000D_
        End If_x000D_
_x000D_
        ' Add a marker for the end of a line if it's not the last one_x000D_
        If i &lt; UBound(lines) Then_x000D_
            ReDim Preserve result(UBound(result) + 1)_x000D_
            result(UBound(result)) = Chr(10)_x000D_
        End If_x000D_
    Next i_x000D_
_x000D_
    splitPreservingNewLines = result_x000D_
End Function_x000D_
_x000D_
_x000D_
_x000D_
' Helper function:  Encode specials_x000D_
Public </t>
  </si>
  <si>
    <t xml:space="preserve">Function camelEncodeSpecialCharacters(ByVal str As String) As String_x000D_
    Dim specialCharEncodings As Collection_x000D_
    Dim key As Variant_x000D_
    Dim quo As String_x000D_
    Dim i As Long_x000D_
    _x000D_
    ' Initialize the collection with special character and encoding pairs_x000D_
    quo = Chr$(34)_x000D_
    Set specialCharEncodings = New Collection_x000D_
    With specialCharEncodings_x000D_
        ' Dot replacements_x000D_
        .Add Array("_P3__", " . ")_x000D_
        .Add Array("_P2__", " .")_x000D_
        .Add Array("_P__", ". ")_x000D_
        .Add Array("_p__", ".")_x000D_
        ' Comma replacements_x000D_
        .Add Array("_C3__", " , ")_x000D_
        .Add Array("_C2__", " ,")_x000D_
        .Add Array("_C__", ", ")_x000D_
        .Add Array("_c__", ",")_x000D_
        ' Question mark replacements_x000D_
        .Add Array("_Q3__", " ? ")_x000D_
        .Add Array("_Q2__", " ?")_x000D_
        .Add Array("_Q__", "? ")_x000D_
        .Add Array("_q__", "?")_x000D_
        ' Exclamation mark replacements_x000D_
        .Add Array("_E3__", " ! ")_x000D_
        .Add Array("_E2__", " !")_x000D_
        .Add Array("_E__", "! ")_x000D_
        .Add Array("_e__", "!")_x000D_
        ' Semicolon replacements_x000D_
        .Add Array("_SC3__", " ; ")_x000D_
        .Add Array("_SC2__", " ;")_x000D_
        .Add Array("_SC__", "; ")_x000D_
        .Add Array("_sc__", ";")_x000D_
        ' Colon replacements_x000D_
        .Add Array("_D3__", " : ")_x000D_
        .Add Array("_D2__", " :")_x000D_
        .Add Array("_D__", ": ")_x000D_
        .Add Array("_d__", ":")_x000D_
        ' Percent sign replacements_x000D_
        .Add Array("_PT3__", " % ")_x000D_
        .Add Array("_PT2__", " %")_x000D_
        .Add Array("_PT__", "% ")_x000D_
        .Add Array("_pt__", "%")_x000D_
        ' Open parenthesis replacements_x000D_
        .Add Array("_OP3__", " ( ")_x000D_
        .Add Array("_OP2__", " (")_x000D_
        .Add Array("_OP__", "( ")_x000D_
        .Add Array("_op__", "(")_x000D_
        ' Close parenthesis replacements_x000D_
        .Add Array("_CP3__", " ) ")_x000D_
        .Add Array("_CP2__", " )")_x000D_
        .Add Array("_CP__", ") ")_x000D_
        .Add Array("_cp__", ")")_x000D_
        ' Open curly brace replacements_x000D_
        .Add Array("_OCP3__", " { ")_x000D_
        .Add Array("_OCP2__", " {")_x000D_
        .Add Array("_OCP__", "{ ")_x000D_
        .Add Array("_ocp__", "{")_x000D_
        ' Close curly brace replacements_x000D_
        .Add Array("_CCP3__", " } ")_x000D_
        .Add Array("_CCP2__", " }")_x000D_
        .Add Array("_CCP__", "} ")_x000D_
        .Add Array("_ccp__", "}")_x000D_
        ' Open square bracket replacements_x000D_
        .Add Array("_OSP3__", " [ ")_x000D_
        .Add Array("_OSP2__", " [")_x000D_
        .Add Array("_OSP__", "[ ")_x000D_
        .Add Array("_osp__", "[")_x000D_
        ' Close square bracket replacements_x000D_
        .Add Array("_CSP3__", " ] ")_x000D_
        .Add Array("_CSP2__", " ]")_x000D_
        .Add Array("_CSP__", "] ")_x000D_
        .Add Array("_csp__", "]")_x000D_
        ' Tilde replacements_x000D_
        .Add Array("_T3__", " ~ ")_x000D_
        .Add Array("_T2__", " ~")_x000D_
        .Add Array("_T__", "~ ")_x000D_
        .Add Array("_t__", "~")_x000D_
        ' Ampersand replacements_x000D_
        .Add Array("_AMP3__", " &amp; ")_x000D_
        .Add Array("_AMP2__", " &amp;")_x000D_
        .Add Array("_AMP__", "&amp; ")_x000D_
        .Add Array("_amp__", "&amp;")_x000D_
        ' Plus sign replacements_x000D_
        .Add Array("_ADD3__", " + ")_x000D_
        .Add Array("_ADD2__", " +")_x000D_
        .Add Array("_ADD__", "+ ")_x000D_
        .Add Array("_add__", "+")_x000D_
        ' Minus sign replacements_x000D_
        .Add Array("_MIN3__", " - ")_x000D_
        .Add Array("_MIN2__", " -")_x000D_
        .Add Array("_MIN__", "- ")_x000D_
        .Add Array("_min__", "-")_x000D_
        ' Division sign replacements_x000D_
        .Add Array("_DIV3__", " / ")_x000D_
        .Add Array("_DIV2__", " /")_x000D_
        .Add Array("_DIV__", "/ ")_x000D_
        .Add Array("_div__", "/")_x000D_
        ' Multiplicator sign replacements_x000D_
        .Add Array("_MUL3__", " * ")_x000D_
        .Add Array("_MUL2__", " *")_x000D_
        .Add Array("_MUL__", "* ")_x000D_
        .Add Array("_mul__", "*")_x000D_
        ' Equal sign replacements_x000D_
        .Add Array("_EQU3__", " = ")_x000D_
        .Add Array("_EQU2__", " =")_x000D_
        .Add Array("_EQU__", "= ")_x000D_
        .Add Array("_equ__", "=")_x000D_
        ' Less than sign replacements_x000D_
        .Add Array("_ST3__", " &lt; ")_x000D_
        .Add Array("_ST2__", " &lt;")_x000D_
        .Add Array("_ST__", "&lt; ")_x000D_
        .Add Array("_st__", "&lt;")_x000D_
        ' Greater than sign replacements_x000D_
        .Add Array("_GT3__", " &gt; ")_x000D_
        .Add Array("_GT2__", " &gt;")_x000D_
        .Add Array("_GT__", "&gt; ")_x000D_
        .Add Array("_gt__", "&gt;")_x000D_
        ' Hash/pound sign replacements_x000D_
        .Add Array("_NR3__", " # ")_x000D_
        .Add Array("_NR2__", " #")_x000D_
        .Add Array("_NR__", "# ")_x000D_
        .Add Array("_nr__", "#")_x000D_
        ' Quotation mark replacements_x000D_
        .Add Array("_QUO3__", " " &amp; quo &amp; " ")_x000D_
        .Add Array("_QUO2__", " " &amp; quo)_x000D_
        .Add Array("_QUO__", quo &amp; " ")_x000D_
        .Add Array("_quo__", quo)_x000D_
        ' @ replacements_x000D_
        .Add Array("_AT3__", " @ ")_x000D_
        .Add Array("_AT2__", " @")_x000D_
        .Add Array("_AT__", "@ ")_x000D_
        .Add Array("_at__", "@")_x000D_
        ' Ü replacements_x000D_
        .Add Array("_EUR3__", " Ü ")_x000D_
        .Add Array("_EUR2__", " Ü")_x000D_
        .Add Array("_EUR__", "Ü ")_x000D_
        .Add Array("_eur__", "Ü")_x000D_
        ' Ü replacements_x000D_
        .Add Array("_USD3__", " $ ")_x000D_
        .Add Array("_USD2__", " $")_x000D_
        .Add Array("_USD__", "$ ")_x000D_
        .Add Array("_usd__", "$")_x000D_
        ' Apostrophe (')_x000D_
        .Add Array("_A3__", " ' ")_x000D_
        .Add Array("_A2__", " '")_x000D_
        .Add Array("_A__", "' ")_x000D_
        .Add Array("_a__", "'")_x000D_
        ' Backslash (\)_x000D_
        .Add Array("_BSL3__", " \ ")_x000D_
        .Add Array("_BSL2__", " \")_x000D_
        .Add Array("_BSL__", "\ ")_x000D_
        .Add Array("_bsl__", "\")_x000D_
    End With_x000D_
    _x000D_
    ' Replace each special character with its corresponding encoding_x000D_
    For i = 1 To specialCharEncodings.count_x000D_
        key = specialCharEncodings(i)_x000D_
        str = Replace(str, key(1), key(0))_x000D_
    Next i_x000D_
    _x000D_
    ' Handle multiple consecutive special characters with only two underscores separating them_x000D_
    'str = Replace(str, "____", "__")_x000D_
    _x000D_
    camelEncodeSpecialCharacters = str_x000D_
End Function_x000D_
_x000D_
_x000D_
Public </t>
  </si>
  <si>
    <t xml:space="preserve">Function camelDecodeSpecialCharacters(ByVal str As String) As String_x000D_
    Dim specialCharEncodings As Collection_x000D_
    Dim key As Variant_x000D_
    Dim quo As String_x000D_
    _x000D_
    'str = Replace(str, "__", "____")_x000D_
    _x000D_
    ' Initialize the collection with special character and encoding pairs_x000D_
    quo = Chr$(34)_x000D_
    _x000D_
    Set specialCharDecodings = New Collection_x000D_
    With specialCharDecodings_x000D_
        ' Dot replacements_x000D_
        .Add Array(" . ", "_P3__")_x000D_
        .Add Array(" .", "_P2__")_x000D_
        .Add Array(". ", "_P__")_x000D_
        .Add Array(".", "_p__")_x000D_
    _x000D_
        ' Comma replacements_x000D_
        .Add Array(" , ", "_C3__")_x000D_
        .Add Array(" ,", "_C2__")_x000D_
        .Add Array(", ", "_C__")_x000D_
        .Add Array(",", "_c__")_x000D_
    _x000D_
        ' Question mark replacements_x000D_
        .Add Array(" ? ", "_Q3__")_x000D_
        .Add Array(" ?", "_Q2__")_x000D_
        .Add Array("? ", "_Q__")_x000D_
        .Add Array("?", "_q__")_x000D_
_x000D_
        ' Exclamation mark replacements_x000D_
        .Add Array(" ! ", "_E3__")_x000D_
        .Add Array(" !", "_E2__")_x000D_
        .Add Array("! ", "_E__")_x000D_
        .Add Array("!", "_e__")_x000D_
    _x000D_
        ' Semicolon replacements_x000D_
        .Add Array(" ; ", "_SC3__")_x000D_
        .Add Array(" ;", "_SC2__")_x000D_
        .Add Array("; ", "_SC__")_x000D_
        .Add Array(";", "_sc__")_x000D_
    _x000D_
        ' Colon replacements_x000D_
        .Add Array(" : ", "_D3__")_x000D_
        .Add Array(" :", "_D2__")_x000D_
        .Add Array(": ", "_D__")_x000D_
        .Add Array(":", "_d__")_x000D_
    _x000D_
        ' Percent sign replacements_x000D_
        .Add Array(" % ", "_PT3__")_x000D_
        .Add Array(" %", "_PT2__")_x000D_
        .Add Array("% ", "_PT__")_x000D_
        .Add Array("%", "_pt__")_x000D_
    _x000D_
        ' Open parenthesis replacements_x000D_
        .Add Array(" ( ", "_OP3__")_x000D_
        .Add Array(" (", "_OP2__")_x000D_
        .Add Array("( ", "_OP__")_x000D_
        .Add Array("(", "_op__")_x000D_
    _x000D_
        ' Close parenthesis replacements_x000D_
        .Add Array(" ) ", "_CP3__")_x000D_
        .Add Array(" )", "_CP2__")_x000D_
        .Add Array(") ", "_CP__")_x000D_
        .Add Array(")", "_cp__")_x000D_
    _x000D_
        ' Open curly brace replacements_x000D_
        .Add Array(" { ", "_OCP3__")_x000D_
        .Add Array(" {", "_OCP2__")_x000D_
        .Add Array("{ ", "_OCP__")_x000D_
        .Add Array("{", "_ocp__")_x000D_
    _x000D_
        ' Close curly brace replacements_x000D_
        .Add Array(" } ", "_CCP3__")_x000D_
        .Add Array(" }", "_CCP2__")_x000D_
        .Add Array("} ", "_CCP__")_x000D_
        .Add Array("}", "_ccp__")_x000D_
    _x000D_
        ' Open square bracket replacements_x000D_
        .Add Array(" [ ", "_OSP3__")_x000D_
        .Add Array(" [", "_OSP2__")_x000D_
        .Add Array("[ ", "_OSP__")_x000D_
        .Add Array("[", "_osp__")_x000D_
    _x000D_
        ' Close square bracket replacements_x000D_
        .Add Array(" ] ", "_CSP3__")_x000D_
        .Add Array(" ]", "_CSP2__")_x000D_
        .Add Array("] ", "_CSP__")_x000D_
        .Add Array("]", "_csp__")_x000D_
    _x000D_
        ' Tilde replacements_x000D_
        .Add Array(" ~ ", "_T3__")_x000D_
        .Add Array(" ~", "_T2__")_x000D_
        .Add Array("~ ", "_T__")_x000D_
        .Add Array("~", "_t__")_x000D_
    _x000D_
        ' Ampersand replacements_x000D_
        .Add Array(" &amp; ", "_AMP3__")_x000D_
        .Add Array(" &amp;", "_AMP2__")_x000D_
        .Add Array("&amp; ", "_AMP__")_x000D_
        .Add Array("&amp;", "_amp__")_x000D_
    _x000D_
        ' Plus sign replacements_x000D_
        .Add Array(" + ", "_ADD3__")_x000D_
        .Add Array(" +", "_ADD2__")_x000D_
        .Add Array("+ ", "_ADD__")_x000D_
        .Add Array("+", "_add__")_x000D_
    _x000D_
        ' Minus sign replacements_x000D_
        .Add Array(" - ", "_MIN3__")_x000D_
        .Add Array(" -", "_MIN2__")_x000D_
        .Add Array("- ", "_MIN__")_x000D_
        .Add Array("-", "_min__")_x000D_
    _x000D_
        ' Division sign replacements_x000D_
        .Add Array(" / ", "_DIV3__")_x000D_
        .Add Array(" /", "_DIV2__")_x000D_
        .Add Array("/ ", "_DIV__")_x000D_
        .Add Array("/", "_div__")_x000D_
        _x000D_
        ' Multiplicator sign replacements_x000D_
        .Add Array(" * ", "_MUL3__")_x000D_
        .Add Array(" *", "_MUL2__")_x000D_
        .Add Array("* ", "_MUL__")_x000D_
        .Add Array("*", "_mul__")_x000D_
    _x000D_
        ' Equal sign replacements_x000D_
        .Add Array(" = ", "_EQU3__")_x000D_
        .Add Array(" =", "_EQU2__")_x000D_
        .Add Array("= ", "_EQU__")_x000D_
        .Add Array("=", "_equ__")_x000D_
    _x000D_
        ' Less than sign replacements_x000D_
        .Add Array(" &lt; ", "_ST3__")_x000D_
        .Add Array(" &lt;", "_ST2__")_x000D_
        .Add Array("&lt; ", "_ST__")_x000D_
        .Add Array("&lt;", "_st__")_x000D_
    _x000D_
        ' Greater than sign replacements_x000D_
        .Add Array(" &gt; ", "_GT3__")_x000D_
        .Add Array(" &gt;", "_GT2__")_x000D_
        .Add Array("&gt; ", "_GT__")_x000D_
        .Add Array("&gt;", "_gt__")_x000D_
    _x000D_
        ' Hash/pound sign replacements_x000D_
        .Add Array(" # ", "_NR3__")_x000D_
        .Add Array(" #", "_NR2__")_x000D_
        .Add Array("# ", "_NR__")_x000D_
        .Add Array("#", "_nr__")_x000D_
    _x000D_
        ' Quotation mark replacements_x000D_
        .Add Array(" " &amp; quo &amp; " ", "_QUO3__")_x000D_
        .Add Array(" " &amp; quo, "_QUO2__")_x000D_
        .Add Array(quo &amp; " ", "_QUO__")_x000D_
        .Add Array(quo, "_quo__")_x000D_
    _x000D_
        ' @ replacements_x000D_
        .Add Array(" @ ", "_AT3__")_x000D_
        .Add Array(" @", "_AT2__")_x000D_
        .Add Array("@ ", "_AT__")_x000D_
        .Add Array("@", "_at__")_x000D_
    _x000D_
        ' Ü replacements_x000D_
        .Add Array(" Ü ", "_EUR3__")_x000D_
        .Add Array(" Ü", "_EUR2__")_x000D_
        .Add Array("Ü ", "_EUR__")_x000D_
        .Add Array("Ü", "_eur__")_x000D_
    _x000D_
        ' $ replacements_x000D_
        .Add Array(" $ ", "_USD3__")_x000D_
        .Add Array(" $", "_USD2__")_x000D_
        .Add Array("$ ", "_USD__")_x000D_
        .Add Array("$", "_usd__")_x000D_
    _x000D_
        ' Apostrophe (')_x000D_
        .Add Array(" ' ", "_A3__")_x000D_
        .Add Array(" '", "_A2__")_x000D_
        .Add Array("' ", "_A__")_x000D_
        .Add Array("'", "_a__")_x000D_
    _x000D_
        ' Backslash (\)_x000D_
        .Add Array(" \ ", "_BSL3__")_x000D_
        .Add Array(" \", "_BSL2__")_x000D_
        .Add Array("\ ", "_BSL__")_x000D_
        .Add Array("\", "_bsl__")_x000D_
        _x000D_
        .Add Array("¤", "_u__") 'workaround to preserve underscores from input, any ¤ from input is replaced so its a safe placeholder_x000D_
        _x000D_
        '.add Array("", "__") ' remove remaining double underscores_x000D_
        .Add Array(" ", "_") 'replaces single underscores used to for abbreviations back to spaces_x000D_
        _x000D_
        .Add Array("_", "¤")_x000D_
    _x000D_
    End With_x000D_
_x000D_
_x000D_
        _x000D_
_x000D_
    _x000D_
    ' Replace each encoded string with its corresponding special character_x000D_
    For i = 1 To specialCharDecodings.count_x000D_
        key = specialCharDecodings(i)_x000D_
        str = Replace(str, key(1), key(0))_x000D_
        'Debug.Print (str)_x000D_
    Next i_x000D_
_x000D_
    _x000D_
    camelDecodeSpecialCharacters = str_x000D_
End Function_x000D_
_x000D_
</t>
  </si>
  <si>
    <t xml:space="preserve">Function handleCapitalization(inputString As String) As String_x000D_
    ' Define multiple arrays for the non-capitalized words_x000D_
    nonCapitalizedWords1 = Array("a", "aboard", "about", "above", "abreast", "abroad", "absent", "across", "adrift", "aft", "after", "afterwards", "against", "ago", "ahead", "aloft", "along", "alongside", "although", "amid", "amidst", "among", "amongst", "an", "and", "anti", "apart", "apropos", "around", "as", "ashore", "aside", "aslant", "astride", "at", "atop", "away", "back", "backward", "backwards", "bar", "barring", "because", "before", "beforehand", "behind", "below", "beneath", "beside", "besides", "between", "beyond", "but", "by")_x000D_
_x000D_
    nonCapitalizedWords2 = Array("c", "ca.", "cc", "ccc", "cci", "ccii", "cciii", "cciv", "ccix", "ccl", "ccli", "cclii", "ccliii", "ccliv", "cclix", "cclv", "cclvi", "cclvii", "cclviii", "cclx", "cclxi", "cclxii", "cclxiii", "cclxiv", "cclxix", "cclxv", "cclxvi", "cclxvii", "cclxviii", "cclxx", "cclxxi", "cclxxii", "cclxxiii", "cclxxiv", "cclxxix", "cclxxv", "cclxxvi", "cclxxvii", "cclxxviii", "cclxxx", "cclxxxi", "cclxxxii", "cclxxxiii", "cclxxxiv", "cclxxxix", "cclxxxv", "cclxxxvi", "cclxxxvii", "cclxxxviii", "ccv", "ccvi")_x000D_
    _x000D_
    nonCapitalizedWords3 = Array("ccvii", "ccviii", "ccx", "ccxc", "ccxci", "ccxcii", "ccxciii", "ccxciv", "ccxcix", "ccxcv", "ccxcvi", "ccxcvii", "ccxcviii", "ccxi", "ccxii", "ccxiii", "ccxiv", "ccxix", "ccxl", "ccxli", "ccxlii", "ccxliii", "ccxliv", "ccxlix", "ccxlv", "ccxlvi", "ccxlvii", "ccxlviii", "ccxv", "ccxvi", "ccxvii", "ccxviii", "ccxx", "ccxxi", "ccxxii", "ccxxiii", "ccxxiv", "ccxxix", "ccxxv", "ccxxvi", "ccxxvii", "ccxxviii", "ccxxx", "ccxxxi", "ccxxxii")_x000D_
    _x000D_
    nonCapitalizedWords4 = Array("ccxxxiii", "ccxxxiv", "ccxxxix", "ccxxxv", "ccxxxvi", "ccxxxvii", "ccxxxviii", "cd", "chez", "ci", "cii", "ciii", "circa", "civ", "cix", "cl", "cli", "clii", "cliii", "cliv", "clix", "clv", "clvi", "clvii", "clviii", "clx", "clxi", "clxii", "clxiii", "clxiv", "clxix", "clxv", "clxvi", "clxvii", "clxviii", "clxx", "clxxi", "clxxii", "clxxiii", "clxxiv", "clxxix", "clxxv", "clxxvi")_x000D_
    _x000D_
    nonCapitalizedWords5 = Array("clxxvii", "clxxviii", "clxxx", "clxxxi", "clxxxii", "clxxxiii", "clxxxiv", "clxxxix", "clxxxv", "clxxxvi", "clxxxvii", "clxxxviii", "cm", "come", "concerning", "considering", "contra", "counting", "cum", "cv", "cvi", "cvii", "cviii", "cx", "cxc", "cxci", "cxcii", "cxciii", "cxciv", "cxcix", "cxcv", "cxcvi", "cxcvii", "cxcviii", "cxi", "cxii", "cxiii", "cxiv", "cxix", "cxl", "cxli", "cxlii")_x000D_
    _x000D_
    nonCapitalizedWords6 = Array("cxliii", "cxliv", "cxlix", "cxlv", "cxlvi", "cxlvii", "cxlviii", "cxv", "cxvi", "cxvii", "cxviii", "cxx", "cxxi", "cxxii", "cxxiii", "cxxiv", "cxxix", "cxxv", "cxxvi", "cxxvii", "cxxviii", "cxxx", "cxxxi", "cxxxii", "cxxxiii", "cxxxiv", "cxxxix", "cxxxv", "cxxxvi", "cxxxvii", "cxxxviii", "d", "dc", "dcc", "dccc", "despite", "down", "downhill", "downstage", "downstairs", "downstream", "downward", "downwards", "downwind", "during", "east", "eastwards")_x000D_
    _x000D_
    nonCapitalizedWords7 = Array("easward", "effective", "ere", "except", "excepting", "excluding", "failing", "following", "for", "forth", "forward", "forwards", "from", "given", "granted", "heavenward", "heavenwards", "hence", "henceforth", "here", "hereby", "herein", "hereof", "hereto", "herewith", "home", "homeward", "homewards", "i", "if", "ii", "iii", "in", "including", "indoors", "inside", "into", "inward", "inwards", "iv", "ix", "l", "leftward", "leftwards")_x000D_
    _x000D_
    nonCapitalizedWords8 = Array("less", "lest", "li", "lii", "liii", "like", "liv", "lix", "lv", "lvi", "lvii", "lviii", "lx", "lxi", "lxii", "lxiii", "lxiv", "lxix", "lxv", "lxvi", "lxvii", "lxviii", "lxx", "lxxi", "lxxii", "lxxiii", "lxxiv", "lxxix", "lxxv", "lxxvi", "lxxvii", "lxxviii", "lxxx", "lxxxi", "lxxxii", "lxxxiii", "lxxxiv", "lxxxix", "lxxxv", "lxxxvi", "lxxxvii", "lxxxviii", "m", "mc", "mcc", "mccc", "mcd", "mcm", "md")_x000D_
    _x000D_
    nonCapitalizedWords9 = Array("mdc", "mdcc", "mdccc", "mid", "midst", "minus", "mm", "mmd", "mmm", "mmmd", "modulo", "near", "neath", "next", "nor", "north", "northeast", "northward", "northwards", "northwest", "notwithstanding", "now", "o", "of", "off", "offshore", "on", "once", "onto", "ontop", "onward", "onwards", "opposite", "or", "out", "outdoors", "outside", "outward", "outwards", "over", "overboard", "overhead", "overland", "overseas", "pace", "past", "pending")_x000D_
    _x000D_
    nonCapitalizedWords10 = Array("per", "plus", "post", "pre", "pro", "provided", "providing", "qua", "re", "regarding", "respecting", "rightward", "rightwards", "round", "sans", "save", "saving", "seaward", "seawards", "seeing", "short", "since", "skyward", "skywards", "so", "south", "southeast", "southward", "southwards", "southwest", "sub", "supposing", "than", "that", "the", "then", "thence", "thenceforth", "there", "thereby", "therein", "thereof", "thereto", "therewith", "though", "through", "throughout")_x000D_
    _x000D_
    nonCapitalizedWords11 = Array("till", "times", "to", "together", "touching", "toward", "towards", "under", "underfoot", "underground", "underneath", "unless", "unlike", "until", "unto", "up", "uphill", "upon", "upstage", "upstairs", "upstream", "upward", "upwards", "upwind")_x000D_
_x000D_
    nonCapitalizedWords12 = Array("v", "versus", "vi", "via", "vice", "vii", "viii", "vis-ˆ-vis", "vs.", "w/i", "w/o", "wanting", "west", "westward", "westwards", "when", "whence", "whenever", "where", "whereas", "whereby", "wherein", "whereto", "wherever", "wherewith", "while", "whilst", "with", "within", "without", "worth")_x000D_
    _x000D_
    nonCapitalizedWords13 = Array("x", "xc", "xci", "xcii", "xciii", "xciv", "xcix", "xcv", "xcvi", "xcvii", "xcviii", "xi", "xii", "xiii", "xiv", "xix", "xl", "xli", "xlii", "xliii", "xliv", "xlix", "xlv", "xlvi", "xlvii", "xlviii", "xv", "xvi", "xvii", "xviii")_x000D_
    _x000D_
    nonCapitalizedWords14 = Array("xx", "xxi", "xxii", "xxiii", "xxiv", "xxix", "xxv", "xxvi", "xxvii", "xxviii", "xxx", "xxxi", "xxxii", "xxxiii", "xxxiv", "xxxix", "xxxv", "xxxvi", "xxxvii", "xxxviii", "yet")_x000D_
    _x000D_
_x000D_
    ' Initialize variables_x000D_
    Dim currentWord As String_x000D_
    Dim separators As String_x000D_
    Dim result As String_x000D_
    Dim char As String_x000D_
    Dim isWord As Boolean_x000D_
    Dim i As Long_x000D_
_x000D_
    currentWord = ""_x000D_
    separators = ""_x000D_
    result = ""_x000D_
    isWord = True_x000D_
_x000D_
    ' Loop through each character in the input string_x000D_
    For i = 1 To Len(inputString)_x000D_
        char = Mid(inputString, i, 1)_x000D_
_x000D_
        If char Like "[A-Za-z]" Then_x000D_
            If Not isWord Then_x000D_
                result = result &amp; separators_x000D_
                separators = ""_x000D_
                isWord = True_x000D_
            End If_x000D_
            currentWord = currentWord &amp; char_x000D_
        Else_x000D_
            If isWord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currentWord = ""_x000D_
                isWord = False_x000D_
            End If_x000D_
            separators = separators &amp; char_x000D_
        End If_x000D_
    Next i_x000D_
_x000D_
    ' Handle remaining word after the loop_x000D_
    If currentWord &lt;&gt; ""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End If_x000D_
_x000D_
    ' Append any remaining separators_x000D_
    If separators &lt;&gt; "" Then_x000D_
        result = result &amp; separators_x000D_
    End If_x000D_
_x000D_
    ' Return the result_x000D_
    handleCapitalization = result_x000D_
End Function_x000D_
_x000D_
' Helper function to check if an element exists in the array_x000D_
</t>
  </si>
  <si>
    <t xml:space="preserve">Function IsInArray(val As String, arr As Variant) As Boolean_x000D_
    Dim element As Variant_x000D_
    On Error Resume Next_x000D_
    IsInArray = False_x000D_
    For Each element In arr_x000D_
        If element = val Then_x000D_
            IsInArray = True_x000D_
            Exit Function_x000D_
        End If_x000D_
    Next_x000D_
    On Error GoTo 0_x000D_
End Function_x000D_
_x000D_
</t>
  </si>
  <si>
    <t xml:space="preserve">Function replaceUnderscores(ByVal inputStr As String) As String_x000D_
    Dim resultStr As String_x000D_
    Dim i As Long_x000D_
    Dim strLength As Long_x000D_
    Dim currentChar As String_x000D_
    Dim previousChar As String_x000D_
    Dim nextChar As String_x000D_
    _x000D_
    resultStr = ""_x000D_
    strLength = Len(inputStr)_x000D_
    _x000D_
    For i = 1 To strLength_x000D_
        currentChar = Mid(inputStr, i, 1)_x000D_
        _x000D_
        ' Get the previous character (if exists)_x000D_
        If i &gt; 1 Then_x000D_
            previousChar = Mid(inputStr, i - 1, 1)_x000D_
        Else_x000D_
            previousChar = ""_x000D_
        End If_x000D_
        _x000D_
        ' Get the next character (if exists)_x000D_
        If i &lt; strLength Then_x000D_
            nextChar = Mid(inputStr, i + 1, 1)_x000D_
        Else_x000D_
            nextChar = ""_x000D_
        End If_x000D_
        _x000D_
        ' Check if the current character is an underscore_x000D_
        If currentChar = "_" Then_x000D_
            ' Replace underscore only if the previous character is not a capitalized letter or digit and the next is a character_x000D_
            ' Replace only the underscores we did not create in "AddUnderscore"_x000D_
            If Not ((previousChar Like "[A-Z]") Or (previousChar Like "[0-9]") And nextChar &lt;&gt; "") Then_x000D_
                resultStr = resultStr &amp; "_u__"_x000D_
            Else_x000D_
                resultStr = resultStr &amp; "_"_x000D_
            End If_x000D_
        Else_x000D_
            ' Append the current character if it's not an underscore_x000D_
            resultStr = resultStr &amp; currentChar_x000D_
        End If_x000D_
    Next i_x000D_
    _x000D_
    replaceUnderscores = resultStr_x000D_
    'Debug.Print ReplaceUnderscores_x000D_
End Function_x000D_
_x000D_
</t>
  </si>
  <si>
    <t xml:space="preserve">Function handleLists(inputString As String) As String_x000D_
    Dim lines() As String_x000D_
    Dim i As Long_x000D_
    Dim currentLine As String_x000D_
    Dim firstWord As String_x000D_
    Dim romanNumerals As Variant_x000D_
    Dim needsLowercase As Boolean_x000D_
    _x000D_
    ' Define Roman numeral patterns_x000D_
    romanNumerals = Array("i", "ii", "iii", "iv", "v", "vi", "vii", "viii", "ix", "x")_x000D_
    _x000D_
    ' Split the input string into lines (using Chr(10) for line breaks)_x000D_
    lines = Split(inputString, Chr(10))_x000D_
    _x000D_
    ' Loop through each line_x000D_
    For i = LBound(lines) To UBound(lines)_x000D_
        currentLine = lines(i)_x000D_
        needsLowercase = False_x000D_
        _x000D_
        ' Extract the first word of the current line_x000D_
        If InStr(1, LTrim(currentLine), " ") &gt; 0 Then_x000D_
            firstWord = Left(LTrim(currentLine), InStr(1, LTrim(currentLine), " ") - 1)_x000D_
        Else_x000D_
            firstWord = LTrim(currentLine)_x000D_
        End If_x000D_
        _x000D_
        ' Check if the first word is a single letter or a Roman numeral_x000D_
        If (Len(firstWord) = 1 And firstWord Like "[A-Za-z]") Or __x000D_
           Not IsError(Application.Match(LCase(firstWord), romanNumerals, 0)) Then_x000D_
            ' Check the previous line (ignoring leading spaces)_x000D_
            If i &gt; LBound(lines) Then_x000D_
                Dim prevFirstWord As String_x000D_
                If InStr(1, LTrim(lines(i - 1)), " ") &gt; 0 Then_x000D_
                    prevFirstWord = Left(LTrim(lines(i - 1)), InStr(1, LTrim(lines(i - 1)), " ") - 1)_x000D_
                Else_x000D_
                    prevFirstWord = LTrim(lines(i - 1))_x000D_
                End If_x000D_
                If (Len(prevFirstWord) = 1 And prevFirstWord Like "[A-Za-z]") Or __x000D_
                   Not IsError(Application.Match(LCase(prevFirstWord), romanNumerals, 0)) Then_x000D_
                    needsLowercase = True_x000D_
                End If_x000D_
            End If_x000D_
            _x000D_
            ' Check the next line (ignoring leading spaces)_x000D_
            If i &lt; UBound(lines) Then_x000D_
                Dim nextFirstWord As String_x000D_
                If InStr(1, LTrim(lines(i + 1)), " ") &gt; 0 Then_x000D_
                    nextFirstWord = Left(LTrim(lines(i + 1)), InStr(1, LTrim(lines(i + 1)), " ") - 1)_x000D_
                Else_x000D_
                    nextFirstWord = LTrim(lines(i + 1))_x000D_
                End If_x000D_
                If (Len(nextFirstWord) = 1 And nextFirstWord Like "[A-Za-z]") Or __x000D_
                   Not IsError(Application.Match(LCase(nextFirstWord), romanNumerals, 0)) Then_x000D_
                    needsLowercase = True_x000D_
                End If_x000D_
            End If_x000D_
        End If_x000D_
        _x000D_
        ' Check if the first word starts with a single lowercase letter followed by any special character_x000D_
        'Debug.Print firstWord_x000D_
        'Debug.Print Mid(firstWord, 1, 1)_x000D_
        'Debug.Print Mid(firstWord, 2, 1)_x000D_
        If Len(firstWord) &gt;= 2 And Mid(firstWord, 1, 1) Like "[A-Za-z]" And Not Mid(firstWord, 2, 1) Like "[A-Za-z0-9]" Then_x000D_
            needsLowercase = True_x000D_
        End If_x000D_
        _x000D_
        ' Apply lowercase to the entire first word if conditions are met_x000D_
        If needsLowercase Then_x000D_
            lines(i) = Replace(currentLine, firstWord, LCase(firstWord), 1, 1)_x000D_
        End If_x000D_
    Next i_x000D_
    _x000D_
    ' Rejoin the lines into a single string_x000D_
    handleLists = Join(lines, Chr(10))_x000D_
End Function_x000D_
_x000D_
_x000D_
</t>
  </si>
  <si>
    <t xml:space="preserve">Sub dataFromCodeDefault()_x000D_
    Call dataFromCode("Function", 256)_x000D_
End Sub_x000D_
_x000D_
Sub dataFromCodeByModule()_x000D_
    Call dataFromCode("Module", 32767)_x000D_
End Sub_x000D_
_x000D_
Sub dataFromCodeByFunctionOrSub()_x000D_
    Call dataFromCode("Function", 32767)_x000D_
End Sub_x000D_
_x000D_
' Helper - Exports all existing VBA Modules and Class Modules from this excel workbook into a table "Snippets" in a excel tab "Snippets"_x000D_
' If a table "Snippets" already exists, it is deleted and replaced with a new one_x000D_
Function dataFromCode(splitType As String, snippetSize As Double)_x000D_
    Dim ws As Worksheet_x000D_
    Dim tbl As ListObject_x000D_
    Dim columnNames As Variant_x000D_
    Dim vbaModule As Object_x000D_
    Dim vbaContent As String_x000D_
    Dim chunks() As String_x000D_
    Dim i As Long, j As Long_x000D_
    Dim packageName As String, subPackageName As String, kind As String_x000D_
    Dim snippetID As Long, vbaComponentCounter As Long_x000D_
    Dim vbaComponentHandledCounter As Long, vbaComponentNonEmptyCounter As Long_x000D_
    Dim currentLine As Long, chunk As String_x000D_
    Dim startTime As Double, elapsedTime As Double_x000D_
    Dim splitTypeBackup As String, snippetSizeBackup As Double_x000D_
    _x000D_
    ' Speed Optimization: Disable events, screen updates, and calculations_x000D_
    Application.ScreenUpdating = False_x000D_
    Application.Calculation = xlCalculationManual_x000D_
    Application.EnableEvents = False_x000D_
    _x000D_
    splitTypeBackup = splitType_x000D_
    snippetSizeBackup = snippetSize_x000D_
    startTime = Timer_x000D_
    _x000D_
    ' Check if "Snippets" sheet exists and create if necessary_x000D_
    On Error Resume Next_x000D_
    Set ws = ThisWorkbook.Sheets("Snippets")_x000D_
    If ws Is Nothing Then_x000D_
        Set ws = ThisWorkbook.Sheets.Add_x000D_
        ws.name = "Snippets"_x000D_
    End If_x000D_
    On Error GoTo 0_x000D_
    _x000D_
    ' Delete existing table if it exists_x000D_
    On Error Resume Next_x000D_
    Set tbl = ws.ListObjects("meta_Snippets")_x000D_
    If Not tbl Is Nothing Then tbl.Delete_x000D_
    On Error GoTo 0_x000D_
    _x000D_
    ' Create table_x000D_
    columnNames = Array("ID", "Kind:src", "Kind", "Package", "Sub Package", "Line", "Snippet")_x000D_
    Set tbl = ws.ListObjects.Add(xlSrcRange, ws.Range("A1:G1"), , xlYes)_x000D_
    tbl.name = "meta_Snippets"_x000D_
    ws.Range("A1:G1").Value = columnNames_x000D_
    _x000D_
    Call setTechnicalName(ws, tbl.name)_x000D_
    _x000D_
    snippetID = 1_x000D_
    vbaComponentCounter = 0_x000D_
    vbaComponentHandledCounter = 0_x000D_
    vbaComponentNonEmptyCounter = 0_x000D_
    _x000D_
    ' Loop through all VBA components_x000D_
    For Each vbaModule In ThisWorkbook.VBProject.VBComponents_x000D_
        vbaComponentCounter = vbaComponentCounter + 1_x000D_
        vbaComponentHandledCounter = vbaComponentHandledCounter + 1_x000D_
        _x000D_
        ' Get module content if it has lines of code_x000D_
        If vbaModule.CodeModule.CountOfLines &gt; 0 Then_x000D_
            vbaContent = vbaModule.CodeModule.lines(1, vbaModule.CodeModule.CountOfLines)_x000D_
        Else_x000D_
            vbaContent = ""_x000D_
        End If_x000D_
        _x000D_
        ' Process only non-empty modules_x000D_
        If vbaContent &lt;&gt; "" Then_x000D_
            vbaComponentNonEmptyCounter = vbaComponentNonEmptyCounter + 1_x000D_
            _x000D_
            ' Determine package, subpackage, and kind_x000D_
            Dim moduleName As String_x000D_
            moduleName = vbaModule.CodeModule.name_x000D_
            Select Case vbaModule.Type_x000D_
                Case 1: ' vbext_ct_StdModule_x000D_
                    kind = "_ModuleSnippet"_x000D_
                    If moduleName = "main" Then_x000D_
                        packageName = ""_x000D_
                        subPackageName = ""_x000D_
                    ElseIf moduleName = "util" Then_x000D_
                        packageName = "util"_x000D_
                        subPackageName = ""_x000D_
                    ElseIf InStr(moduleName, "_") &gt; 0 Then_x000D_
                        packageName = Split(moduleName, "_")(0)_x000D_
                        subPackageName = "::" &amp; Replace(Mid(moduleName, Len(packageName) + 2), "_", "::")_x000D_
                    Else_x000D_
                        packageName = "util"_x000D_
                        subPackageName = moduleName_x000D_
                    End If_x000D_
                Case 2: ' vbext_ct_ClassModule_x000D_
                    kind = "_ClassSnippet"_x000D_
                    Dim classParts() As String_x000D_
                    classParts = Split(moduleName, "_", 2)_x000D_
                    packageName = classParts(0)_x000D_
                    If UBound(classParts) &gt;= 1 Then_x000D_
                        subPackageName = "::" &amp; Replace(classParts(1), "_", "::")_x000D_
                    Else_x000D_
                        subPackageName = ""_x000D_
                    End If_x000D_
                Case 100: ' vbext_ct_Document_x000D_
                    kind = "_ExcelTabSnippet"_x000D_
                    packageName = moduleName_x000D_
                    subPackageName = ""_x000D_
                Case 3: ' vbext_ct_MSForm_x000D_
                    kind = "_FormSnippet"_x000D_
                    packageName = moduleName_x000D_
                    subPackageName = ""_x000D_
                Case Else_x000D_
                    GoTo NextModule_x000D_
            End Select_x000D_
            _x000D_
            ' Force large chunk extraction for "Layer0"_x000D_
            If InStr(moduleName, "Layer0") &gt; 0 Then_x000D_
                splitType = "Module"_x000D_
                snippetSize = 32767_x000D_
            End If_x000D_
            _x000D_
            ' Split module into chunks_x000D_
            chunks = splitModuleIntoChunks(vbaContent, splitType, snippetSize)_x000D_
            splitType = splitTypeBackup_x000D_
            snippetSize = snippetSizeBackup_x000D_
            _x000D_
            ' Add chunks to the table_x000D_
            currentLine = 1_x000D_
            For j = LBound(chunks) To UBound(chunks)_x000D_
                chunk = chunks(j)_x000D_
                With tbl.ListRows.Add_x000D_
                    .Range(1, 1).Value = "_Snippets"_x000D_
                    .Range(1, 2).Value = kind_x000D_
                    .Range(1, 3).Value = Replace(kind, "_", "")_x000D_
                    .Range(1, 4).Value = packageName_x000D_
                    .Range(1, 5).Value = subPackageName_x000D_
                    .Range(1, 6).Value = currentLine_x000D_
                    .Range(1, 7).Value = chunk_x000D_
                End With_x000D_
                snippetID = snippetID + 1_x000D_
                currentLine = currentLine + 1_x000D_
            Next j_x000D_
        End If_x000D_
NextModule:_x000D_
    Next vbaModule_x000D_
    _x000D_
    ' Restore settings and calculate elapsed time_x000D_
    Application.ScreenUpdating = True_x000D_
    Application.Calculation = xlCalculationAutomatic_x000D_
    Application.EnableEvents = True_x000D_
    _x000D_
    elapsedTime = Timer - startTime_x000D_
    MsgBox "Export completed in " &amp; Format(elapsedTime, "0.00") &amp; " seconds. " &amp; vbaComponentHandledCounter &amp; " out of " &amp; vbaComponentCounter &amp; " components processed. " &amp; vbaComponentNonEmptyCounter &amp; " non-empty components exported. " &amp; "Total snippets: " &amp; snippetID, vbInformation_x000D_
    _x000D_
End Function_x000D_
_x000D_
' Helper - Function to split the module content into chunks_x000D_
Function splitModuleIntoChunks(content As String, splitType As String, snippetSize As Double) As Variant_x000D_
    Dim result() As String_x000D_
    Dim position As Long_x000D_
    Dim start As Long_x000D_
    Dim length As Long_x000D_
    Dim part As String_x000D_
    Dim chunkIndex As Long_x000D_
    Dim funcPosition As Long_x000D_
    Dim subPosition As Long_x000D_
    Dim minPosition As Long_x000D_
    Dim nextFuncPosition As Long_x000D_
    Dim nextSubPosition As Long_x000D_
    Dim nextMinPosition As Long_x000D_
_x000D_
    position = 1_x000D_
    chunkIndex = 0_x000D_
    start = 1_x000D_
_x000D_
    Do While position &lt;= Len(content)_x000D_
        If splitType = "Function" Then_x000D_
            ' Stopword-based splitting logic_x000D_
            subPosition = InStr(position, content, "Sub ")_x000D_
            funcPosition = InStr(position, content, "Function ")_x000D_
_x000D_
            If subPosition &gt; 0 And funcPosition &gt; 0 Then_x000D_
                minPosition = Application.WorksheetFunction.Min(subPosition, funcPosition)_x000D_
            ElseIf subPosition &gt; 0 Then_x000D_
                minPosition = subPosition_x000D_
            ElseIf funcPosition &gt; 0 Then_x000D_
                minPosition = funcPosition_x000D_
            Else_x000D_
                minPosition = 0_x000D_
            End If_x000D_
_x000D_
            If minPosition = start Then_x000D_
                ' Search for the next occurrence of "Sub" or "Function"_x000D_
                nextSubPosition = InStr(start + 1, content, "Sub ")_x000D_
                nextFuncPosition = InStr(start + 1, content, "Function ")_x000D_
_x000D_
                If nextSubPosition &gt; 0 And nextFuncPosition &gt; 0 Then_x000D_
                    nextMinPosition = Application.WorksheetFunction.Min(nextSubPosition, nextFuncPosition)_x000D_
                ElseIf nextSubPosition &gt; 0 Then_x000D_
                    nextMinPosition = nextSubPosition_x000D_
                ElseIf nextFuncPosition &gt; 0 Then_x000D_
                    nextMinPosition = nextFuncPosition_x000D_
                Else_x000D_
                    nextMinPosition = 0_x000D_
                End If_x000D_
_x000D_
                ' Determine the length based on the next keyword position or snippetSize char limit_x000D_
                If nextMinPosition = 0 Or (nextMinPosition - start) &gt;= snippetSize Then_x000D_
                    length = snippetSize_x000D_
                Else_x000D_
                    length = nextMinPosition - start_x000D_
                End If_x000D_
            Else_x000D_
                If minPosition = 0 Or (minPosition - start) &gt;= snippetSize Then_x000D_
                    length = snippetSize_x000D_
                Else_x000D_
                    length = minPosition - start_x000D_
                End If_x000D_
            End If_x000D_
        ElseIf splitType = "Module" Then_x000D_
            ' Split only by snippetSize_x000D_
            length = snippetSize_x000D_
        End If_x000D_
_x000D_
        ' Extract the part of the content for this chunk_x000D_
        part = Mid(content, start, length)_x000D_
_x000D_
        ' Add the chunk to the result array_x000D_
        ReDim Preserve result(chunkIndex)_x000D_
        result(chunkIndex) = part_x000D_
_x000D_
        ' Escape chunk if it starts with "=" or a single quote_x000D_
        If Left(result(chunkIndex), 1) = "=" Then_x000D_
            result(chunkIndex) = "'" &amp; result(chunkIndex)_x000D_
        ElseIf Left(result(chunkIndex), 1) = "'" Then_x000D_
            result(chunkIndex) = "'" &amp; result(chunkIndex)_x000D_
        End If_x000D_
_x000D_
        chunkIndex = chunkIndex + 1_x000D_
        start = start + length_x000D_
        position = start_x000D_
    Loop_x000D_
_x000D_
    splitModuleIntoChunks = result_x000D_
End Function_x000D_
_x000D_
_x000D_
_x000D_
'ATTENTION, action is irreversible, make sure to have backup / export / snippets_x000D_
Sub deleteAllVBA()_x000D_
    Dim vbComp As VBComponent_x000D_
    Dim vbProj As VBProject_x000D_
_x000D_
    ' Ensure the VBA Extensibility reference is enabled_x000D_
    On Error Resume Next_x000D_
    Set vbProj = ThisWorkbook.VBProject_x000D_
    On Error GoTo 0_x000D_
_x000D_
    For Each vbComp In vbProj.VBComponents_x000D_
        Select Case vbComp.Type_x000D_
            ' Delete Class Modules and Standard Modules_x000D_
            Case vbext_ct_ClassModule, vbext_ct_StdModule, vbext_ct_MSForm_x000D_
                vbProj.VBComponents.Remove vbComp_x000D_
_x000D_
            ' Empty all Document modules (e.g., ThisWorkbook, worksheets)_x000D_
            Case vbext_ct_Document_x000D_
                With vbComp.CodeModule_x000D_
                    .DeleteLines 1, .CountOfLines_x000D_
                End With_x000D_
        End Select_x000D_
    Next vbComp_x000D_
End Sub_x000D_
_x000D_
'Creates VBA code from Snippets table_x000D_
_x000D_
'Remark: The following error:_x000D_
' An error occurred: Method 'Add' of object '_VBComponents' failed_x000D_
'is handled with -&gt; VBA editor -&gt; "Tools" -&gt; "References" -&gt; activating "Microsoft Visual Basic for Applications Extensibility 5.3"_x000D_
_x000D_
Sub codeFromData()_x000D_
    Dim ws As Worksheet_x000D_
    Dim tbl As ListObject_x000D_
    Dim row As ListRow_x000D_
    Dim moduleName As String_x000D_
    Dim package As String_x000D_
    Dim subPackage As String_x000D_
    Dim kindSrc As String_x000D_
    Dim snippet As String_x000D_
    Dim vbaComponent As Object_x000D_
    Dim foundTable As Boolean_x000D_
    Dim i As Long_x000D_
    _x000D_
    ' Arrays to store module names, types, and their concatenated code snippets_x000D_
    Dim moduleNames() As String_x000D_
    Dim moduleTypes() As String_x000D_
    Dim moduleCode() As String_x000D_
    Dim moduleCount As Long_x000D_
    Dim moduleCreatedCount As Long_x000D_
    Dim moduleFilledCount As Long_x000D_
    _x000D_
    moduleCount = 0_x000D_
    moduleFilledCount = 0_x000D_
    moduleCreatedCount = 0_x000D_
    _x000D_
    _x000D_
    ' Find the "Snippets" table or a table containing "Snippets" in its name_x000D_
    foundTable = False_x000D_
    For Each ws In ThisWorkbook.Worksheets_x000D_
        For Each tbl In ws.ListObjects_x000D_
            If tbl.name = "meta_Snippets" Or InStr(1, tbl.name, "meta_Snippets", vbTextCompare) &gt; 0 Then_x000D_
                foundTable = True_x000D_
                Exit For_x000D_
            End If_x000D_
        Next tbl_x000D_
        If foundTable Then Exit For_x000D_
    Next ws_x000D_
    _x000D_
    If Not foundTable Then_x000D_
        MsgBox "Table 'meta_Snippets' not found. Attempting to create VBA from TablesAsFile."_x000D_
        _x000D_
        Set tbl = createSnippetsFromTemplate()_x000D_
        If tbl Is Nothing Then_x000D_
            MsgBox "No TablesAsFile found. VBA code can't be generated. Stopping execution."_x000D_
            Exit Sub_x000D_
        End If_x000D_
    End If_x000D_
    _x000D_
    ' Sort the table by Package, Subpackage, and Line columns_x000D_
    With tbl.Sort_x000D_
        .SortFields.Clear_x000D_
        .SortFields.Add key:=tbl.ListColumns("Package").Range, SortOn:=xlSortOnValues, Order:=xlAscending_x000D_
        .SortFields.Add key:=tbl.ListColumns("Sub Package").Range, SortOn:=xlSortOnValues, Order:=xlAscending_x000D_
        .SortFields.Add key:=tbl.ListColumns("Line").Range, SortOn:=xlSortOnValues, Order:=xlAscending_x000D_
        .Header = xlYes_x000D_
        .Apply_x000D_
    End With_x000D_
    _x000D_
    For Each row In tbl.ListRows_x000D_
        If Not (row.Range(tbl.ListColumns("ID").Index).Value = "_SnippetsRowTemplate") Then_x000D_
            package = row.Range(tbl.ListColumns("Package").Index).Value_x000D_
            subPackage = row.Range(tbl.ListColumns("Sub Package").Index).Value_x000D_
            kindSrc = row.Range(tbl.ListColumns("Kind:src").Index).Value_x000D_
            snippet = row.Range(tbl.ListColumns("Snippet").Index).Value_x000D_
            If Left(snippet, 2) = "''" Then_x000D_
                snippet = Mid(snippet, 2)_x000D_
            End If_x000D_
            _x000D_
            ' Determine the name of the VBA module/class based on Package and Subpackage_x000D_
            Select Case True_x000D_
                Case package = "" And subPackage = ""_x000D_
                    moduleName = "main"_x000D_
                Case package = "util" And subPackage = ""_x000D_
                    moduleName = "util"_x000D_
                Case package = "util" And Left(subPackage, 2) &lt;&gt; "::"_x000D_
                    moduleName = subPackage_x000D_
                Case package &lt;&gt; "" And subPackage Like "::*"_x000D_
                    moduleName = package &amp; Replace(subPackage, "::", "_")_x000D_
                Case Else_x000D_
                    moduleName = package_x000D_
            End Select_x000D_
            _x000D_
            ' Check if the moduleName already exists in the array_x000D_
            Dim Exists As Boolean_x000D_
            Exists = False_x000D_
            For i = 0 To moduleCount - 1_x000D_
                If moduleNames(i) = moduleName Then_x000D_
                    moduleCode(i) = moduleCode(i) &amp; snippet_x000D_
                    Exists = True_x000D_
                    Exit For_x000D_
                End If_x000D_
            Next i_x000D_
            _x000D_
            If Not Exists Then_x000D_
                ' Resize the arrays and add the new module name and snippet_x000D_
                ReDim Preserve moduleNames(moduleCount)_x000D_
                ReDim Preserve moduleTypes(moduleCount)_x000D_
                ReDim Preserve moduleCode(moduleCount)_x000D_
                moduleNames(moduleCount) = moduleName_x000D_
                moduleCode(moduleCount) = snippet_x000D_
                moduleTypes(moduleCount) = kindSrc_x000D_
                _x000D_
                Debug.Print moduleNames(moduleCount) &amp; " is stored in position " &amp; moduleCount &amp; " with Type " &amp; moduleTypes(moduleCount)_x000D_
             _x000D_
                moduleCount = moduleCount + 1_x000D_
                _x000D_
            End If_x000D_
        End If_x000D_
    Next row_x000D_
    _x000D_
_x000D_
    For i = 0 To moduleCount - 1_x000D_
        _x000D_
        ' DO NOT re-generate Layer0, as this has to be generated manually prior to this code execution_x000D_
        If moduleNames(i) &lt;&gt; "Layer0" Then_x000D_
            On Error Resume Next_x000D_
            Set vbaComponent = ThisWorkbook.VBProject.VBComponents(moduleNames(i))_x000D_
            On Error GoTo 0_x000D_
            _x000D_
            If vbaComponent Is Nothing Then_x000D_
                ' Determine the type based on the module name_x000D_
                If InStr(1, moduleTypes(i), "_ClassSnippet") &gt; 0 Then_x000D_
                    Set vbaComponent = ThisWorkbook.VBProject.VBComponents.Add(vbext_ct_ClassModule)_x000D_
                ElseIf InStr(1, moduleTypes(i), "_ModuleSnippet") &gt; 0 Then_x000D_
                    Set vbaComponent = ThisWorkbook.VBProject.VBComponents.Add(vbext_ct_StdModule)_x000D_
                ElseIf InStr(1, moduleTypes(i), "_ExcelTabSnippet") &gt; 0 Then_x000D_
                    'Set vbaComponent = ThisWorkbook.VBProject.VBComponents.Add(vbext_ct_Document)_x000D_
                    GoTo NextIteration_x000D_
                ElseIf InStr(1, moduleTypes(i), "_FormSnippet") &gt; 0 Then_x000D_
                    ' Skip the iteration for "_FormSnippet"_x000D_
                    GoTo NextIteration_x000D_
                End If_x000D_
                vbaComponent.name = moduleNames(i)_x000D_
                Debug.Print moduleNames(i) &amp; " created!"_x000D_
                moduleCreatedCount = moduleCreatedCount + 1_x000D_
            End If_x000D_
            _x000D_
            ' Clear any existing code in the module and insert the concatenated content_x000D_
            vbaComponent.CodeModule.DeleteLines 1, vbaComponent.CodeModule.CountOfLines_x000D_
            vbaComponent.CodeModule.InsertLines 1, moduleCode(i)_x000D_
            moduleFilledCount = moduleFilledCount + 1_x000D_
            Debug.Print moduleNames(i) &amp; " filled!"_x000D_
            Set vbaComponent = Nothing_x000D_
        End If_x000D_
NextIteration:_x000D_
    Next i_x000D_
    _x000D_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CreateForms.CreateForms)"_x000D_
End Sub_x000D_
_x000D_
' Helper - removes all data from tables except for  specified tables / tables-package combinations_x000D_
Function removeAllButFirstRowAndResizeTables()_x000D_
_x000D_
    Dim ws As Worksheet_x000D_
    Dim tbl As ListObject_x000D_
    Dim tblName As String_x000D_
    Dim rowTemplateID As String_x000D_
    Dim dataRange As Range_x000D_
    Dim cell As Range_x000D_
    Dim columnPackage As Range_x000D_
    Dim packageValue As Variant_x000D_
    Dim excludeTables As Variant_x000D_
    Dim checkPackageTables As Variant_x000D_
    Dim rowsToKeep() As Variant_x000D_
    Dim keepRowCount As Long_x000D_
    Dim i As Long_x000D_
    _x000D_
    ' Define tables to skip unconditionally_x000D_
    excludeTables = Array("meta_Tables", "meta_Columns", "meta_NonCapitalizedTitleWords", "meta_TablePatterns", "meta_CodeTemplates", "meta_DocumentVersions", "meta_PackageDocumentation")_x000D_
    _x000D_
    ' Define tables to check for "Package" column_x000D_
    checkPackageTables = Array("meta_Classifiers", "meta_TypedElements", "meta_Rules", "meta_Literals")_x000D_
    _x000D_
    ' Loop through each worksheet and each table_x000D_
    For Each ws In ThisWorkbook.Worksheets_x000D_
        For Each tbl In ws.ListObjects_x000D_
            tblName = tbl.name_x000D_
            _x000D_
            ' Skip excluded tables_x000D_
            If IsInArray(tblName, excludeTables) Then_x000D_
                GoTo SkipTable_x000D_
            End If_x000D_
            _x000D_
            ' Special handling for "checkPackageTables"_x000D_
            If IsInArray(tblName, checkPackageTables) Then_x000D_
                On Error Resume Next_x000D_
                Set columnPackage = tbl.ListColumns("Package").DataBodyRange_x000D_
                On Error GoTo 0_x000D_
                _x000D_
                ' Only proceed if the "Package" column exists_x000D_
                If Not columnPackage Is Nothing Then_x000D_
                    ' Initialize the array to store rows to keep_x000D_
                    ReDim rowsToKeep(1 To tbl.ListRows.count, 1 To tbl.DataBodyRange.Columns.count)_x000D_
                    keepRowCount = 0_x000D_
                    _x000D_
                    ' Collect rows to keep_x000D_
                    For i = 1 To columnPackage.Rows.count_x000D_
                        packageValue = columnPackage.Cells(i, 1).Value_x000D_
                        _x000D_
                        ' Check the type and value of the package column cell_x000D_
                        If Not IsError(packageValue) And VarType(packageValue) = vbString Then_x000D_
                            If packageValue = "meta" Or packageValue = "util" Then_x000D_
                                keepRowCount = keepRowCount + 1_x000D_
                                rowsToKeep(keepRowCount, 1) = tbl.DataBodyRange.Rows(i).Value_x000D_
                            End If_x000D_
                        End If_x000D_
                    Next i_x000D_
                    _x000D_
                    ' Clear the table entirely_x000D_
                    If tbl.ListRows.count &gt; 0 Then_x000D_
                        tbl.DataBodyRange.ClearContents_x000D_
                    End If_x000D_
                    _x000D_
                    ' Add back the rows to keep_x000D_
                    If keepRowCount &gt; 0 Then_x000D_
                        tbl.Resize tbl.HeaderRowRange.Resize(1 + keepRowCount, tbl.HeaderRowRange.Columns.count)_x000D_
                        For i = 1 To keepRowCount_x000D_
                            tbl.ListRows.Add_x000D_
                            tbl.DataBodyRange.Rows(i).Value = rowsToKeep(i, 1)_x000D_
                        Next i_x000D_
                        _x000D_
                        ' Resize again to remove any extra rows_x000D_
                        Dim lastRow As Long_x000D_
                        On Error Resume Next_x000D_
                        lastRow = tbl.DataBodyRange.Find("*", SearchOrder:=xlByRows, SearchDirection:=xlPrevious).row_x000D_
                        On Error GoTo 0_x000D_
                        If lastRow &gt; tbl.HeaderRowRange.row Then_x000D_
                            tbl.Resize tbl.HeaderRowRange.Resize(lastRow - tbl.HeaderRowRange.row + 1, tbl.HeaderRowRange.Columns.count)_x000D_
                        Else_x000D_
                            tbl.Resize tbl.HeaderRowRange.Resize(2, tbl.HeaderRowRange.Columns.count)_x000D_
                        End If_x000D_
                    Else_x000D_
                        ' If no rows to keep, resize to one empty row_x000D_
                        If Not tbl.DataBodyRange Is Nothing Then_x000D_
                            tbl.Resize tbl.HeaderRowRange.Resize(2, tbl.HeaderRowRange.Columns.count)_x000D_
                            tbl.DataBodyRange.ClearContents_x000D_
                        End If_x000D_
                    End If_x000D_
                    _x000D_
                    GoTo SkipTable_x000D_
                End If_x000D_
            End If_x000D_
            _x000D_
            ' General case: Remove all rows but the first row_x000D_
            rowTemplateID = "_" &amp; tblName &amp; "RowTemplate"_x000D_
            _x000D_
            'Debug.Print rowTemplateID_x000D_
            _x000D_
            If tbl.ListRows.count &gt; 1 Then_x000D_
                ' Delete all rows except the first_x000D_
                tbl.DataBodyRange.Offset(1, 0).Resize(tbl.DataBodyRange.Rows.count - 1).Delete_x000D_
            ElseIf tbl.ListRows.count = 0 Then_x000D_
                tbl.ListRows.Add_x000D_
            End If_x000D_
            _x000D_
            ' Add the row template ID to the first row, column 1_x000D_
            tbl.ListRows(1).Range.Cells(1, 1).Value = rowTemplateID_x000D_
            _x000D_
            ' Preserve formulas in the first row, clear non-formula cells_x000D_
            With tbl.ListRows(1).Range_x000D_
                For Each cell In .Cells_x000D_
                    If Not cell.HasFormula And cell.column &lt;&gt; tbl.ListColumns(1).Range.column Then_x000D_
                        cell.ClearContents_x000D_
                    End If_x000D_
                Next cell_x000D_
            End With_x000D_
            _x000D_
            ' Resize table to only the first row_x000D_
            With tbl_x000D_
                .Resize tbl.HeaderRowRange.Resize(2, .HeaderRowRange.Columns.count)_x000D_
            End With_x000D_
            _x000D_
SkipTable:_x000D_
        Next tbl_x000D_
    Next ws_x000D_
    _x000D_
_x000D_
End Function_x000D_
' Helper_x000D_
Function IsInArray(valueToFind As String, arr As Variant) As Boolean_x000D_
    Dim i As Variant_x000D_
    For Each i In arr_x000D_
        If i = valueToFind Then_x000D_
            IsInArray = True_x000D_
            Exit Function_x000D_
        End If_x000D_
    Next i_x000D_
    IsInArray = False_x000D_
End Function_x000D_
_x000D_
Sub createVersionWithoutDataAndCode()_x000D_
    _x000D_
    Dim startTime As Single_x000D_
    Dim elapsedTime As Single_x000D_
    _x000D_
    _x000D_
    If MsgBox("Press OK to remove data (meta/util data not removed).", vbOKCancel + vbExclamation, "Continue or Cancel") = vbCancel Then_x000D_
        Exit Sub ' Exit the macro_x000D_
    End If_x000D_
    _x000D_
    startTime = Timer_x000D_
    _x000D_
    Application.EnableEvents = False_x000D_
    _x000D_
    ' call RemoveAllButFirstRowAndResizeTables to remove data_x000D_
   Call removeAllButFirstRowAndResizeTables_x000D_
_x000D_
    elapsedTime = Timer - startTime_x000D_
    _x000D_
    Dim hours As Long_x000D_
    Dim minutes As Long_x000D_
    Dim seconds As Long_x000D_
    _x000D_
    hours = Int(elapsedTime / 3600)_x000D_
    minutes = Int((elapsedTime Mod 3600) / 60)_x000D_
    seconds = Int(elapsedTime Mod 60)_x000D_
    _x000D_
    If MsgBox("Successfully removed data in " &amp; Format(hours, "00") &amp; ":" &amp; Format(minutes, "00") &amp; ":" &amp; Format(seconds, "00") &amp; " Press OK to execute dataFromCode and create VBA snippets.", vbOKCancel + vbExclamation, "Continue or Cancel") = vbCancel Then_x000D_
        Exit Sub ' Exit the macro_x000D_
    End If_x000D_
    _x000D_
    ' Call dataFromCodeDefault to extract code to snippets table_x000D_
    Call dataFromCodeDefault_x000D_
    _x000D_
    If MsgBox("Successfully created snippets. Press OK to execute deleteModulesAndEmptyDocuments and remove all VBA content.", vbOKCancel + vbExclamation, "Continue or Cancel") = vbCancel Then_x000D_
        Exit Sub ' Exit the macro_x000D_
    End If_x000D_
_x000D_
    ' Call deleteAllVBA to remove code modules_x000D_
    Call deleteAllVBA_x000D_
_x000D_
    'MsgBox "Successfully removed all VBA content. Saving file as .xlsx ..."_x000D_
    ' Save the modified workbook with "_noDataNoCode" suffix_x000D_
    _x000D_
    'skipping for now, due to error_x000D_
    _x000D_
    'Application.DisplayAlerts = False_x000D_
    _x000D_
    ' Construct the new file name with .xlsx extension_x000D_
    'newFileName = ThisWorkbook.Path &amp; "/" &amp; Replace(ThisWorkbook.Name, ".xlsm", "_noDataNoCode.xlsx")_x000D_
    _x000D_
    ' Save a copy of the workbook as .xlsx_x000D_
    'ThisWorkbook.SaveAs FileName:=newFileName, FileFormat:=51_x000D_
    _x000D_
    'Application.DisplayAlerts = True_x000D_
_x000D_
    elapsedTime = Timer - startTime_x000D_
    _x000D_
    hours = Int(elapsedTime / 3600)_x000D_
    minutes = Int((elapsedTime Mod 3600) / 60)_x000D_
    seconds = Int(elapsedTime Mod 60)_x000D_
_x000D_
    MsgBox "Execution completed in " &amp; Format(hours, "00") &amp; ":" &amp; Format(minutes, "00") &amp; ":" &amp; Format(seconds, "00") &amp; vbCrLf &amp; "Workbook does not contain any data or vba content anymore." &amp; vbCrLf &amp; "Please proceed to save as .xlsx manually."_x000D_
    _x000D_
    Application.EnableEvents = True_x000D_
End Sub_x000D_
_x000D_
Sub setAllTechnicalNames()_x000D_
    Dim ws As Worksheet_x000D_
    Dim vbComp As VBIDE.VBComponent_x000D_
    _x000D_
    For Each ws In ThisWorkbook.Worksheets_x000D_
        For Each vbComp In ThisWorkbook.VBProject.VBComponents_x000D_
            If ws.CodeName = vbComp.name Then_x000D_
            _x000D_
                newName = ws.name_x000D_
                _x000D_
                '(Name) property has to start with letter_x000D_
                If Not (Mid(newName, 1, 1) Like "[A-Za-z]") Then_x000D_
                    newName = "A" &amp; newName_x000D_
                End If_x000D_
                _x000D_
                '(Name) property only allows for max 31 characters_x000D_
                vbComp.name = Left(newName, 31)_x000D_
            End If_x000D_
        Next vbComp_x000D_
    Next ws_x000D_
    _x000D_
End Sub_x000D_
_x000D_
Function setTechnicalName(ws As Worksheet, tableName As String)_x000D_
    Dim vbComp As VBIDE.VBComponent_x000D_
    Dim backupNameTable As String_x000D_
    Dim startTime As Double_x000D_
_x000D_
    backupNameTable = Left(tableName, 30)_x000D_
_x000D_
    ' Ensure name starts with a letter_x000D_
    If Not (Mid(backupNameTable, 1, 1) Like "[A-Za-z]") Then_x000D_
        backupNameTable = "A" &amp; backupNameTable_x000D_
    End If_x000D_
_x000D_
    ' Try to get the VBComponent with a short wait loop_x000D_
    startTime = Timer_x000D_
    Do_x000D_
        On Error Resume Next_x000D_
        Set vbComp = ThisWorkbook.VBProject.VBComponents(ws.CodeName)_x000D_
        On Error GoTo 0_x000D_
        If Not vbComp Is Nothing Then Exit Do_x000D_
        DoEvents_x000D_
        If Timer - startTime &gt; 2 Then Exit Do ' continue, just skip renaming_x000D_
    Loop_x000D_
_x000D_
    ' Rename only if VBComponent was successfully set_x000D_
    If Not vbComp Is Nothing Then_x000D_
        On Error Resume Next_x000D_
        vbComp.name = backupNameTable_x000D_
        On Error GoTo 0_x000D_
    End If_x000D_
End Function_x000D_
_x000D_
_x000D_
Function createSnippetsFromTemplate() As ListObject_x000D_
    Dim wsTemplate As Worksheet_x000D_
    Set wb = ThisWorkbook_x000D_
_x000D_
    ' Locate the template sheet dynamically_x000D_
    For Each wsTemplate In wb.Sheets_x000D_
        If InStr(1, wsTemplate.name, "_File", vbTextCompare) &gt; 0 Then Exit For_x000D_
    Next wsTemplate_x000D_
    If wsTemplate Is Nothing Then_x000D_
        MsgBox "Template sheet not found!", vbCritical_x000D_
        Set createSnippetsFromtTemplate = Nothing_x000D_
        Exit Function_x000D_
    End If_x000D_
_x000D_
    Set wsSnippets = wb.Sheets.Add_x000D_
    wsSnippets.name = "Snippets"_x000D_
    _x000D_
    ' Locate and copy VBA Snippets Data_x000D_
    rowIndex = FindRow(wsTemplate, "## Snippets ## meta_Snippets ##") + 1_x000D_
    _x000D_
    ' Find the end of the Snippets section (next '##' or end of data)_x000D_
    lastRow = wsTemplate.Cells(wsTemplate.Rows.count, 1).End(xlUp).row_x000D_
    endRow = lastRow_x000D_
    _x000D_
    For i = rowIndex + 1 To lastRow_x000D_
        If Left(Trim(wsTemplate.Cells(i, 1).Value), 2) = "##" Then_x000D_
            endRow = i - 1_x000D_
            Exit For_x000D_
        End If_x000D_
    Next i_x000D_
    _x000D_
    ' Copy header row_x000D_
    wsTemplate.Rows(rowIndex).Copy_x000D_
    wsSnippets.Cells(1, 1).PasteSpecial Paste:=xlPasteValues_x000D_
    _x000D_
    ' Copy snippet data (if any)_x000D_
    If endRow &gt; rowIndex Then_x000D_
        wsTemplate.Range(wsTemplate.Cells(rowIndex + 1, 1), wsTemplate.Cells(endRow, wsTemplate.UsedRange.Columns.count)).Copy_x000D_
        wsSnippets.Cells(2, 1).PasteSpecial Paste:=xlPasteValues_x000D_
    End If_x000D_
_x000D_
    ' Create Snippets Table_x000D_
    Set rng = wsSnippets.Range("A1").CurrentRegion_x000D_
    Set tbl = wsSnippets.ListObjects.Add(xlSrcRange, rng, , xlYes)_x000D_
    tbl.name = "meta_Snippets"_x000D_
_x000D_
    Set createSnippetsFromTemplate = tbl_x000D_
End Function_x000D_
_x000D_
' Finds the row where a specific keyword is found in column A_x000D_
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_x000D_
_x000D_
_x000D_
_x000D_
</t>
  </si>
  <si>
    <t xml:space="preserve">Public backupTable As String_x000D_
_x000D_
</t>
  </si>
  <si>
    <t xml:space="preserve">Sub createAndComplementTablesAndColums()_x000D_
    Dim tblTables As ListObject, tblColumns As ListObject_x000D_
    Dim rowTable As ListRow, rowColumn As ListRow_x000D_
    Dim wsTarget As Worksheet, tblTarget As ListObject_x000D_
    Dim sheetName As String, tableName As String_x000D_
    Dim colLabel As String, colFormula As String_x000D_
    Dim colPos As Long, existingFormula As String_x000D_
    Dim mode As String_x000D_
    Dim rngColumn As Range_x000D_
    Dim cell As Range_x000D_
    Dim colCount As Long_x000D_
    Dim currentDateTime As String_x000D_
    Dim transferTime As Date_x000D_
    Dim userChoice As Variant_x000D_
    Dim startTime As Double_x000D_
_x000D_
    transferTime = Now()_x000D_
    currentDateTime = Format(transferTime, "yyyymmddhhmmss")_x000D_
    startTime = Timer_x000D_
_x000D_
    Application.ScreenUpdating = False_x000D_
    Application.Calculation = xlCalculationManual_x000D_
    Application.EnableEvents = False_x000D_
_x000D_
    userChoice = Application.InputBox( __x000D_
        "Choose handling of old values/formulas:" &amp; vbNewLine &amp; vbNewLine &amp; __x000D_
        "1 - Overwrite (lose old overwritten values/formulas!)" &amp; vbNewLine &amp; __x000D_
        "2 - BackupValues (save old overwritten formula-VALUES in '_backup'' column.)" &amp; vbNewLine &amp; __x000D_
        "3 - BackupFormulas (save old overwritten formula in '_backup'' column.)", __x000D_
        "Select Mode", Type:=1)_x000D_
_x000D_
    Select Case userChoice_x000D_
        Case 1_x000D_
            mode = "overwrite"_x000D_
        Case 2_x000D_
            mode = "backupV"_x000D_
        Case 3_x000D_
            mode = "backupF"_x000D_
        Case Else_x000D_
            MsgBox "Invalid Number. Stopping execution..", vbInformation_x000D_
            Exit Sub_x000D_
    End Select_x000D_
_x000D_
    MsgBox "Attempting to create and complement tables and columns based on entries in 'meta_Tables' and 'meta_Columns' ..", vbInformation_x000D_
_x000D_
    On Error Resume Next_x000D_
    Set tblTables = ThisWorkbook.Sheets("Tables").ListObjects("meta_Tables")_x000D_
    Set tblColumns = ThisWorkbook.Sheets("Columns").ListObjects("meta_Columns")_x000D_
    On Error GoTo 0_x000D_
_x000D_
    If tblTables Is Nothing Then_x000D_
        MsgBox "Table 'meta_Tables' in sheet 'Tables' not found. Stopping execution..", vbInformation_x000D_
        Exit Sub_x000D_
    End If_x000D_
_x000D_
    If tblColumns Is Nothing Then_x000D_
        MsgBox "Table 'meta_Columns' in sheet 'Columns' not found. Stopping execution..", vbInformation_x000D_
        Exit Sub_x000D_
    End If_x000D_
_x000D_
   ' === STEP 1: Ensure existence and correct alignment of sheets and tables ===_x000D_
For Each rowTable In tblTables.ListRows_x000D_
    sheetName = rowTable.Range(1, tblTables.ListColumns("Excel Table - Sheet Name").Index).Value_x000D_
    tableName = rowTable.Range(1, tblTables.ListColumns("Excel Table - Excel Name").Index).Value_x000D_
    _x000D_
    If sheetName = "" Then GoTo Skip_x000D_
_x000D_
    Dim wsExpected As Worksheet_x000D_
    Dim wsActual As Worksheet_x000D_
    Dim tblFound As ListObject_x000D_
    Dim tableExists As Boolean: tableExists = False_x000D_
    Dim sheetExists As Boolean: sheetExists = False_x000D_
_x000D_
    ' Check if sheet with expected name exists_x000D_
    On Error Resume Next_x000D_
    Set wsExpected = ThisWorkbook.Sheets(sheetName)_x000D_
    On Error GoTo 0_x000D_
    sheetExists = Not wsExpected Is Nothing_x000D_
_x000D_
    ' Check if table exists anywhere in workbook and track the sheet it's in_x000D_
    Set tblFound = Nothing_x000D_
    For Each wsActual In ThisWorkbook.Worksheets_x000D_
        On Error Resume Next_x000D_
        Set tblFound = wsActual.ListObjects(tableName)_x000D_
        On Error GoTo 0_x000D_
        If Not tblFound Is Nothing Then Exit For_x000D_
    Next wsActual_x000D_
    tableExists = Not tblFound Is Nothing_x000D_
_x000D_
    ' === Case 1: Table and Sheet exist but not aligned ===_x000D_
    If tableExists And sheetExists And Not wsActual Is wsExpected Then_x000D_
        ' Clear expected sheet and move table_x000D_
            wsExpected.Cells.Clear_x000D_
            tblFound.Range.Copy Destination:=wsExpected.Range("A1")_x000D_
            tblFound.Delete_x000D_
        _x000D_
            ' Use existing pasted table instead of adding a new one_x000D_
            Dim pastedTable As ListObject_x000D_
            On Error Resume Next_x000D_
            Set pastedTable = wsExpected.ListObjects(1)_x000D_
            On Error GoTo 0_x000D_
        _x000D_
            If Not pastedTable Is Nothing Then_x000D_
                pastedTable.name = tableName_x000D_
                Set tblFound = pastedTable_x000D_
            Else_x000D_
                ' Fallback in case paste didn't include a table (just in case)_x000D_
                Set tblFound = wsExpected.ListObjects.Add(xlSrcRange, wsExpected.Range("A1").CurrentRegion, , xlYes)_x000D_
                tblFound.name = tableName_x000D_
            End If_x000D_
_x000D_
    ' === Case 2: Sheet exists, Table does not ===_x000D_
    ElseIf sheetExists And Not tableExists Then_x000D_
        wsExpected.Cells.Clear_x000D_
        wsExpected.Cells(1, 1).Value = "ID"_x000D_
        wsExpected.Cells(2, 1).Value = "___" &amp; tableName &amp; "RowTemplate"_x000D_
        Set tblFound = wsExpected.ListObjects.Add(xlSrcRange, wsExpected.Range("A1").CurrentRegion, , xlYes)_x000D_
        tblFound.name = tableName_x000D_
_x000D_
    ' === Case 3: Table exists, Sheet does not ===_x000D_
    ElseIf tableExists And Not sheetExists Then_x000D_
        wsActual.name = sheetName ' Rename the existing sheet holding the table_x000D_
_x000D_
    ' === Case 4: Neither exists ===_x000D_
    ElseIf Not tableExists And Not sheetExists Then_x000D_
        Set wsExpected = ThisWorkbook.Sheets.Add(After:=Sheets(Sheets.count))_x000D_
        wsExpected.name = sheetName_x000D_
        wsExpected.Cells(1, 1).Value = "ID"_x000D_
        wsExpected.Cells(2, 1).Value = "___" &amp; tableName &amp; "RowTemplate"_x000D_
        Set tblFound = wsExpected.ListObjects.Add(xlSrcRange, wsExpected.Range("A1").CurrentRegion, , xlYes)_x000D_
        tblFound.name = tableName_x000D_
    End If_x000D_
_x000D_
_x000D_
    ' Cleanup_x000D_
    Set wsExpected = Nothing_x000D_
    Set wsActual = Nothing_x000D_
    Set tblFound = Nothing_x000D_
    _x000D_
Skip:_x000D_
Next rowTable_x000D_
_x000D_
_x000D_
   ' === STEP 2: Efficiently create, update, position or remove columns ===_x000D_
_x000D_
    Dim processedTable As String_x000D_
    Dim tableLabels() As String_x000D_
    Dim tableRow As ListRow_x000D_
    Dim count As Long_x000D_
    _x000D_
    ' Get unique table names from meta_Columns_x000D_
    For Each tableRow In tblColumns.ListRows_x000D_
        _x000D_
_x000D_
        processedTable = CStr(tableRow.Range(1, tblColumns.ListColumns("_Tables").Index).Value)_x000D_
        If processedTable = "" Then GoTo Skip2_x000D_
        _x000D_
        ' Avoid duplicates (simple array check)_x000D_
        Dim found As Boolean: found = False_x000D_
        For i = 1 To count_x000D_
            If tableLabels(i) = processedTable Then_x000D_
                found = True_x000D_
                Exit For_x000D_
            End If_x000D_
        Next i_x000D_
        If Not found Then_x000D_
            count = count + 1_x000D_
            ReDim Preserve tableLabels(1 To count)_x000D_
            tableLabels(count) = processedTable_x000D_
        End If_x000D_
        _x000D_
Skip2:_x000D_
    Next tableRow_x000D_
    _x000D_
    ' Process each table_x000D_
    For i = 1 To count_x000D_
        Call processTableColumns(tableLabels(i), tblColumns, mode, currentDateTime)_x000D_
    Next i_x000D_
_x000D_
_x000D_
_x000D_
  ' === STEP 3: Delete sheets not listed in meta_Tables ===_x000D_
    Dim ws As Worksheet_x000D_
    Dim keepSheets As String, idx As Long_x000D_
    _x000D_
    ' Build pipe-delimited list of sheet names to keep_x000D_
    keepSheets = "|Tables|Columns|Invalid" &amp; currentDateTime_x000D_
    For Each rowTable In tblTables.ListRows_x000D_
        keepSheets = keepSheets &amp; rowTable.Range(1, tblTables.ListColumns("Excel Table - Sheet Name").Index).Value &amp; "|"_x000D_
    Next rowTable_x000D_
    _x000D_
    ' Delete all sheets not in keep list_x000D_
    Application.DisplayAlerts = False_x000D_
    For Each ws In ThisWorkbook.Worksheets_x000D_
        If InStr(keepSheets, "|" &amp; ws.name &amp; "|") = 0 And Not ws.name Like "*Backup*" Then ws.Delete_x000D_
    Next ws_x000D_
    Application.DisplayAlerts = True_x000D_
_x000D_
_x000D_
    Application.Calculation = xlCalculationAutomatic_x000D_
    Application.ScreenUpdating = True_x000D_
    Application.EnableEvents = True_x000D_
_x000D_
    MsgBox "Workbook structure update completed in " &amp; Format(Timer - startTime, "0.00") &amp; " seconds.", vbInformation_x000D_
End Sub_x000D_
_x000D_
Private </t>
  </si>
  <si>
    <t xml:space="preserve">Function processTableColumns(ByVal tableName As String, ByRef tblColumns As ListObject, ByVal mode As String, ByVal currentDateTime As String)_x000D_
    Dim wsTarget As Worksheet, tblTarget As ListObject_x000D_
    Dim rowColumn As ListRow_x000D_
    Dim colLabel As String, colFormula As String, existingFormula As String_x000D_
    Dim colPos As Long, i As Long_x000D_
    Dim foundCol As ListColumn, rngColumn As Range_x000D_
    Dim expectedLabels() As String, labelCount As Long_x000D_
    Dim backupRequests As Collection_x000D_
    Set backupRequests = New Collection_x000D_
    Dim failedFormulas As Collection_x000D_
    Set failedFormulas = New Collection_x000D_
    Dim tableInfo As String_x000D_
_x000D_
    ' Find the table_x000D_
    For Each wsTarget In ThisWorkbook.Worksheets_x000D_
        On Error Resume Next_x000D_
        Set tblTarget = wsTarget.ListObjects(tableName)_x000D_
        On Error GoTo 0_x000D_
        If Not tblTarget Is Nothing Then Exit For_x000D_
    Next wsTarget_x000D_
    If tblTarget Is Nothing Then Exit Function_x000D_
_x000D_
    ' Prepare expected column list_x000D_
    labelCount = 0_x000D_
    For Each rowColumn In tblColumns.ListRows_x000D_
    tableInfo = CStr(rowColumn.Range(1, tblColumns.ListColumns("_Tables").Index).Value)_x000D_
        If tableInfo = tableName Then_x000D_
            colLabel = rowColumn.Range(1, tblColumns.ListColumns("Excel Column - Label").Index).Value_x000D_
            colFormula = rowColumn.Range(1, tblColumns.ListColumns("Excel Column - Excel Formula").Index).Value_x000D_
            colValidation = rowColumn.Range(1, tblColumns.ListColumns("Excel Column - Validation Formula").Index).Value_x000D_
            colPos = rowColumn.Range(1, tblColumns.ListColumns("Position").Index).Value_x000D_
            _x000D_
            'handle referencing, waiting for now_x000D_
            'colRef = rowColumn.Range(1, tblColumns.ListColumns("Referenced Table:src").Index).Value_x000D_
            'colRefDisplay = rowColumn.Range(1, tblColumns.ListColumns("Referenced Table Display and Select Column:src").Index).Value_x000D_
            _x000D_
_x000D_
            ' Track expected labels_x000D_
            labelCount = labelCount + 1_x000D_
            ReDim Preserve expectedLabels(1 To labelCount)_x000D_
            expectedLabels(labelCount) = colLabel_x000D_
_x000D_
            ' Check if column exists_x000D_
            Set foundCol = Nothing_x000D_
            On Error Resume Next_x000D_
            Set foundCol = tblTarget.ListColumns(colLabel)_x000D_
            On Error GoTo 0_x000D_
_x000D_
            If Not foundCol Is Nothing Then_x000D_
                ' Move if needed_x000D_
                If foundCol.Index &lt;&gt; colPos Then_x000D_
                    foundCol.Range.Cut_x000D_
                    tblTarget.ListColumns(colPos).Range.Insert Shift:=xlToRight_x000D_
                End If_x000D_
_x000D_
                ' Handle formula_x000D_
                If colFormula &lt;&gt; "" And Left(colFormula, 8) = "Formula:" Then_x000D_
                    Set rngColumn = tblTarget.ListColumns(colLabel).DataBodyRange_x000D_
                    existingFormula = ""_x000D_
                    On Error Resume Next_x000D_
                    existingFormula = rngColumn.Cells(1, 1).formula_x000D_
                    On Error GoTo 0_x000D_
_x000D_
                    If mode = "overwrite" Then_x000D_
                        On Error Resume Next_x000D_
                        Err.Clear_x000D_
                        rngColumn.formula = Mid(colFormula, 9)_x000D_
                        If Err.Number &lt;&gt; 0 Then_x000D_
_x000D_
                        failedFormulas.Add Array(colLabel, tableName, Mid(colFormula, 9))_x000D_
                        'MsgBox "Invalid Formula. Skipping this column." &amp; vbCrLf &amp; "Failed to apply formula in column '" &amp; colLabel &amp; "' of table '" &amp; tableName &amp; "'." &amp; vbCrLf &amp; __x000D_
                               "Formula: " &amp; Mid(colFormula, 9) &amp; vbCrLf &amp; "End.", vbExclamation, "Formula Error - Skipping Column"_x000D_
                        Err.Clear_x000D_
                        _x000D_
                        End If_x000D_
                        On Error GoTo 0_x000D_
_x000D_
_x000D_
                    ElseIf mode = "backupV" Or mode = "backupF" Then_x000D_
                        If existingFormula &lt;&gt; Mid(colFormula, 9) Then_x000D_
                            ' Queue backup request for later_x000D_
                            _x000D_
                            _x000D_
                            Dim valuesArray As Variant_x000D_
                            valuesArray = rngColumn.Value2_x000D_
                            _x000D_
                            Dim firstFormula As String_x000D_
                            firstFormula = rngColumn.Cells(1, 1).formula_x000D_
_x000D_
                            backupRequests.Add Array(colLabel, firstFormula, valuesArray)_x000D_
                        End If_x000D_
                        On Error Resume Next_x000D_
                        Err.Clear_x000D_
                        rngColumn.formula = Mid(colFormula, 9)_x000D_
                        If Err.Number &lt;&gt; 0 Then_x000D_
                        failedFormulas.Add Array(colLabel, tableName, Mid(colFormula, 9))_x000D_
                        Err.Clear_x000D_
_x000D_
                        End If_x000D_
                        On Error GoTo 0_x000D_
_x000D_
_x000D_
                    End If_x000D_
                End If_x000D_
                ' Handle Validation if applicable_x000D_
                If colValidation &lt;&gt; "" And Left(colValidation, 18) = "ValidationFormula:" Then_x000D_
                    Set rngColumn = tblTarget.ListColumns(colLabel).DataBodyRange_x000D_
                    On Error Resume Next_x000D_
                    rngColumn.Validation.Delete_x000D_
                    On Error GoTo 0_x000D_
                    ' Apply new data validation_x000D_
                    With rngColumn.Validation_x000D_
                        .Add Type:=xlValidateList, AlertStyle:=xlValidAlertStop, Operator:=xlBetween, Formula1:=Mid(colValidation, 19)_x000D_
                        .IgnoreBlank = True_x000D_
                        .InCellDropdown = True ' Make sure dropdown appears_x000D_
                        .ShowInput = True_x000D_
                        .ShowError = True_x000D_
                    End With_x000D_
                End If_x000D_
            Else_x000D_
                ' Add new column_x000D_
                Dim newCol As ListColumn_x000D_
                Set newCol = tblTarget.ListColumns.Add(position:=colPos)_x000D_
                newCol.name = colLabel_x000D_
                If colFormula &lt;&gt; "" And Left(colFormula, 8) = "Formula:" Then_x000D_
                        On Error Resume Next_x000D_
                        Err.Clear_x000D_
                        newCol.DataBodyRange.formula = Mid(colFormula, 9)_x000D_
                        If Err.Number &lt;&gt; 0 Then_x000D_
                        failedFormulas.Add Array(colLabel, tableName, Mid(colFormula, 9))_x000D_
                        Err.Clear_x000D_
_x000D_
                        End If_x000D_
                        On Error GoTo 0_x000D_
_x000D_
                End If_x000D_
                ' Handle Validation if applicable_x000D_
                If colValidation &lt;&gt; "" And Left(colValidation, 18) = "ValidationFormula:" Then_x000D_
                    On Error Resume Next_x000D_
                    newCol.DataBodyRange.Validation.Delete_x000D_
                    On Error GoTo 0_x000D_
                    ' Apply new data validation_x000D_
                    With newCol.DataBodyRange.Validation_x000D_
                        .Add Type:=xlValidateList, AlertStyle:=xlValidAlertStop, Operator:=xlBetween, Formula1:=Mid(colValidation, 19)_x000D_
                        .IgnoreBlank = True_x000D_
                        .InCellDropdown = True ' Make sure dropdown appears_x000D_
                        .ShowInput = True_x000D_
                        .ShowError = True_x000D_
                    End With_x000D_
                End If_x000D_
            End If_x000D_
        End If_x000D_
    Next rowColumn_x000D_
_x000D_
    ' === Apply backup columns after all standard columns ===_x000D_
    Dim b As Variant_x000D_
    For Each b In backupRequests_x000D_
        colLabel = b(0)_x000D_
        existingFormula = b(1)_x000D_
        Dim storedValues As Variant: storedValues = b(2)_x000D_
_x000D_
        Dim backupName As String: backupName = colLabel &amp; "_backup" &amp; currentDateTime_x000D_
        On Error Resume Next_x000D_
        tblTarget.ListColumns(backupName).Delete_x000D_
        On Error GoTo 0_x000D_
_x000D_
        Dim backupCol As ListColumn_x000D_
        Set backupCol = tblTarget.ListColumns.Add_x000D_
        backupCol.name = backupName_x000D_
_x000D_
        If mode = "backupV" Then_x000D_
            backupCol.DataBodyRange.Value = storedValues_x000D_
        ElseIf mode = "backupF" Then_x000D_
            backupCol.DataBodyRange.formula = existingFormula_x000D_
        End If_x000D_
_x000D_
    Next b_x000D_
_x000D_
    ' === Remove extra columns not in meta_Columns ===_x000D_
    For i = tblTarget.ListColumns.count To 1 Step -1_x000D_
        Dim currentLabel As String_x000D_
        currentLabel = tblTarget.ListColumns(i).name_x000D_
        If currentLabel Like "*backup*" Then GoTo SkipDelete_x000D_
_x000D_
        Dim keep As Boolean: keep = False_x000D_
        For j = 1 To labelCount_x000D_
            If expectedLabels(j) = currentLabel Then_x000D_
                keep = True_x000D_
                Exit For_x000D_
            End If_x000D_
        Next j_x000D_
_x000D_
        If Not keep Then tblTarget.ListColumns(i).Delete_x000D_
SkipDelete:_x000D_
    Next i_x000D_
    _x000D_
    If failedFormulas.count &gt; 0 Then_x000D_
_x000D_
        _x000D_
        ' Create new worksheet_x000D_
        Set ws = ThisWorkbook.Sheets.Add_x000D_
        ws.name = "Invalid" &amp; currentDateTime_x000D_
        _x000D_
        ' Write headers_x000D_
        ws.Cells(1, 1).Value = "Column Name"_x000D_
        ws.Cells(1, 2).Value = "Table Name"_x000D_
        ws.Cells(1, 3).Value = "Formula"_x000D_
        _x000D_
        ' Write each entry_x000D_
        For i = 1 To failedFormulas.count_x000D_
            entry = failedFormulas(i)_x000D_
            ws.Cells(i + 1, 1).Value = entry(0) ' Column Name_x000D_
            ws.Cells(i + 1, 2).Value = entry(1) ' Table Name_x000D_
            ws.Cells(i + 1, 3).Value = "Formula:" &amp; entry(2) ' Formula_x000D_
        Next i_x000D_
        MsgBox "Invalid formulas in the 'Excel Column - Excel Formula' Column of the 'Columns' Table that led to errors were identified and skipped. The sheet Invalid" &amp; currentDateTime &amp; " provides a list these invalid formulas that were skipped. Please review..", vbExclamation, "Formula Errors identified"_x000D_
    End If_x000D_
_x000D_
    Set tblTarget = Nothing_x000D_
    Set wsTarget = Nothing_x000D_
End Function_x000D_
_x000D_
_x000D_
_x000D_
</t>
  </si>
  <si>
    <t xml:space="preserve">Sub createTableBackup()_x000D_
    Dim sheetName As String_x000D_
    Dim tableName As String_x000D_
    Dim currentDateTime As String_x000D_
    _x000D_
    Dim backupForm As UserForm_BackupTable_x000D_
    Set backupForm = New UserForm_BackupTable_x000D_
    backupForm.Show_x000D_
    _x000D_
    transferTime = Now()_x000D_
    currentDateTime = Format(transferTime, "yymmddhhmm")_x000D_
    _x000D_
    sheetName = Trim(Left(backupTable, InStr(backupTable, "(") - 1))_x000D_
    tableName = Trim(Mid(backupTable, InStr(backupTable, "(") + 1, InStr(backupTable, ")") - InStr(backupTable, "(") - 1))_x000D_
    _x000D_
    Call createBackup(sheetName, tableName, currentDateTime)_x000D_
    _x000D_
    MsgBox "Backup of the Table: " &amp; vbNewLine &amp; tableName &amp; vbNewLine &amp; "in the Sheet:" &amp; vbNewLine &amp; sheetName &amp; vbNewLine &amp; "was created with the following name:" &amp; vbNewLine &amp; Left(sheetName, 15) &amp; "Backup" &amp; currentDateTime, vbInformation_x000D_
    _x000D_
End Sub_x000D_
_x000D_
</t>
  </si>
  <si>
    <t xml:space="preserve">Function instantiatedSimpleCodePattern(patternSourceTable As String, patternMatchFilterColumnNames As Variant, patternMatchFilterColumnValues As Variant, patternOrderColumnName As String, instantiatedTemplateColumnFromPatternSourceTable As String) As String_x000D_
_x000D_
    Dim ws As Worksheet_x000D_
    Dim tbl As ListObject_x000D_
    Dim wsFound As Boolean_x000D_
    Dim sheet As Worksheet_x000D_
    Dim filterCriteria As Collection_x000D_
    Dim matchedRows As Collection_x000D_
    Dim orderColumnIndex As Long_x000D_
    Dim instantiatedColumnIndex As Long_x000D_
    Dim rowIndex As Long_x000D_
    Dim colIndex As Long_x000D_
    Dim filterMatched As Boolean_x000D_
    Dim output As String_x000D_
    Dim tempArray() As Variant_x000D_
    Dim i As Long_x000D_
_x000D_
    ' Search for the table across all worksheets_x000D_
    wsFound = False_x000D_
    For Each sheet In ThisWorkbook.Worksheets_x000D_
        On Error Resume Next_x000D_
        Set tbl = sheet.ListObjects(patternSourceTable)_x000D_
        On Error GoTo 0_x000D_
        If Not tbl Is Nothing Then_x000D_
            Set ws = sheet_x000D_
            wsFound = True_x000D_
            Exit For_x000D_
        End If_x000D_
    Next sheet_x000D_
    _x000D_
    ' Validate if the table was found_x000D_
    If Not wsFound Or tbl Is Nothing Then_x000D_
        MsgBox "Error: Pattern source table '" &amp; patternSourceTable &amp; "' not found in any worksheet.", vbCritical_x000D_
        Exit Function_x000D_
    End If_x000D_
    _x000D_
     ' Ensure the number of filter columns matches the number of filter values_x000D_
    If UBound(patternMatchFilterColumnNames) &lt;&gt; UBound(patternMatchFilterColumnValues) Then_x000D_
        MsgBox "Error: Mismatch between filter column names and filter column values.", vbCritical_x000D_
        Exit Function_x000D_
    End If_x000D_
_x000D_
    ' Find the order column and instantiated template column indexes_x000D_
    orderColumnIndex = 0_x000D_
    instantiatedColumnIndex = 0_x000D_
    For colIndex = 1 To tbl.ListColumns.count_x000D_
        If tbl.ListColumns(colIndex).name = patternOrderColumnName Then_x000D_
            orderColumnIndex = colIndex_x000D_
        End If_x000D_
        If tbl.ListColumns(colIndex).name = instantiatedTemplateColumnFromPatternSourceTable Then_x000D_
            instantiatedColumnIndex = colIndex_x000D_
        End If_x000D_
    Next colIndex_x000D_
_x000D_
    If orderColumnIndex = 0 Or instantiatedColumnIndex = 0 Then_x000D_
        MsgBox "Error: Order column or instantiated template column not found in table.", vbCritical_x000D_
        Exit Function_x000D_
    End If_x000D_
_x000D_
    ' Find matching rows_x000D_
    Set matchedRows = New Collection_x000D_
    tempArray = tbl.DataBodyRange.Value_x000D_
    For rowIndex = 1 To UBound(tempArray, 1)_x000D_
        filterMatched = True_x000D_
        For i = LBound(patternMatchFilterColumnNames) To UBound(patternMatchFilterColumnNames)_x000D_
            Dim columnName As String, columnValue As String_x000D_
            columnName = patternMatchFilterColumnNames(i)_x000D_
            columnValue = patternMatchFilterColumnValues(i)_x000D_
            Dim columnIndex As Long_x000D_
            columnIndex = 0_x000D_
_x000D_
            ' Find the column index for the filter_x000D_
            For colIndex = 1 To tbl.ListColumns.count_x000D_
                If tbl.ListColumns(colIndex).name = columnName Then_x000D_
                    columnIndex = colIndex_x000D_
                    Exit For_x000D_
                End If_x000D_
            Next colIndex_x000D_
_x000D_
            If columnIndex = 0 Then_x000D_
                MsgBox "Error: Filter column '" &amp; columnName &amp; "' not found in table.", vbCritical_x000D_
                Exit Function_x000D_
            End If_x000D_
_x000D_
            ' Check if the value matches_x000D_
            If tempArray(rowIndex, columnIndex) &lt;&gt; columnValue Then_x000D_
                filterMatched = False_x000D_
                Exit For_x000D_
            End If_x000D_
        Next i_x000D_
_x000D_
        ' If all criteria match, add to the collection_x000D_
        If filterMatched Then_x000D_
            matchedRows.Add Array(tempArray(rowIndex, orderColumnIndex), tempArray(rowIndex, instantiatedColumnIndex))_x000D_
        End If_x000D_
    Next rowIndex_x000D_
_x000D_
    ' Sort matched rows by the order column_x000D_
    If matchedRows.count &gt; 1 Then_x000D_
        Dim j As Long, k As Long_x000D_
        Dim temp As Variant_x000D_
        For j = 1 To matchedRows.count - 1_x000D_
            For k = j + 1 To matchedRows.count_x000D_
                If matchedRows(j)(0) &gt; matchedRows(k)(0) Then_x000D_
                    temp = matchedRows(j)_x000D_
                    matchedRows(j) = matchedRows(k)_x000D_
                    matchedRows(k) = temp_x000D_
                End If_x000D_
            Next k_x000D_
        Next j_x000D_
    End If_x000D_
_x000D_
    output = ""_x000D_
_x000D_
    For i = 1 To matchedRows.count_x000D_
        output = output &amp; matchedRows(i)(1)_x000D_
    _x000D_
    _x000D_
        If i &lt; matchedRows.count Then_x000D_
            output = output &amp; vbNewLine_x000D_
        End If_x000D_
    Next i_x000D_
_x000D_
    instantiatedSimpleCodePattern = output_x000D_
_x000D_
End Function_x000D_
_x000D_
</t>
  </si>
  <si>
    <t xml:space="preserve">Sub repopulateTablesAndColumnsMetadata()_x000D_
    Dim wsTables As Worksheet, wsColumns As Worksheet_x000D_
    Dim tblTables As ListObject, tblColumns As ListObject_x000D_
    Dim extractTables As ListObject, extractColumns As ListObject_x000D_
    Dim currentDateTime As String_x000D_
    Dim foundT As Boolean, foundC As Boolean_x000D_
    Dim backupName As String_x000D_
    _x000D_
    transferTime = Now()_x000D_
    currentDateTime = Format(transferTime, "yymmddhhmm")_x000D_
    _x000D_
    startTime = Timer_x000D_
    _x000D_
    Application.ScreenUpdating = False_x000D_
    Application.Calculation = xlCalculationManual_x000D_
    Application.EnableEvents = False_x000D_
    _x000D_
    _x000D_
    MsgBox "Creating backups of 'meta_Tables' and 'meta_Columns' and creating temporary extract tables..", vbInformation_x000D_
    _x000D_
    ' Step 1: Backup existing Tables and Columns if they exist_x000D_
    Set tblTables = createBackup("Tables", "meta_Tables", currentDateTime)_x000D_
_x000D_
    Set tblColumns = createBackup("Columns", "meta_Columns", currentDateTime)_x000D_
_x000D_
    ' Step 2: Create Extract Tables_x000D_
    Set extractTables = createExtract("Tables", currentDateTime)_x000D_
    _x000D_
    Set extractColumns = createExtract("Columns", currentDateTime)_x000D_
    _x000D_
    ' Step 3: Validate Extract Against Base Tables_x000D_
    Set tblTables = compareExtract("Tables", currentDateTime)_x000D_
    _x000D_
    Set tblColumns = compareExtract("Columns", currentDateTime)_x000D_
    _x000D_
    ' Step 4: Process Metadata from Current Workbook_x000D_
    processMetaData (currentDateTime)_x000D_
    _x000D_
    ' Step 5: Merge Extract Data into Main Tables_x000D_
    Call mergeTables(currentDateTime)_x000D_
    _x000D_
    elapsedTime = Timer - startTime_x000D_
    formattedTime = Format(Int(elapsedTime / 60), "00") &amp; ":" &amp; Format(elapsedTime Mod 60, "00")_x000D_
    MsgBox "Current sheet-structure successfully documented in meta_Tables and meta_Columns. Duration: " &amp; formattedTime &amp; " minutes.", vbInformation_x000D_
    _x000D_
    _x000D_
    Application.Calculation = xlCalculationAutomatic_x000D_
    Application.ScreenUpdating = True_x000D_
    Application.StatusBar = False_x000D_
    Application.EnableEvents = True_x000D_
End Sub_x000D_
_x000D_
_x000D_
_x000D_
' Helper_x000D_
</t>
  </si>
  <si>
    <t xml:space="preserve">Function createBackup(tabName As String, tableName As String, currentDateTime As String) As ListObject_x000D_
_x000D_
    Dim NewSheet As Worksheet_x000D_
    Dim backupNameTable As String_x000D_
    _x000D_
    _x000D_
    Set createBackup = Nothing_x000D_
    Set wsTables = Nothing_x000D_
    _x000D_
    _x000D_
    backupNameSheet = Left(tabName, 15) &amp; "Backup" &amp; currentDateTime_x000D_
    backupNameTable = Left(tableName, 15) &amp; "Backup" &amp; currentDateTime_x000D_
    _x000D_
    On Error Resume Next_x000D_
    Set wsTables = ThisWorkbook.Sheets(tabName)_x000D_
    If Not wsTables Is Nothing Then_x000D_
        Set tblTables = wsTables.ListObjects(tableName)_x000D_
        If Not tblTables Is Nothing Then_x000D_
        _x000D_
            wsTables.Copy After:=ThisWorkbook.Sheets(tabName)_x000D_
            Set NewSheet = ActiveSheet_x000D_
        _x000D_
        _x000D_
        _x000D_
            'Set NewSheet = ThisWorkbook.Sheets.Add(After:=ThisWorkbook.Sheets(ThisWorkbook.Sheets.count))_x000D_
            NewSheet.name = backupNameSheet_x000D_
            _x000D_
            'Set fullRange = tblTables.Range_x000D_
            'fullRange.Copy_x000D_
            'NewSheet.Range("A1").PasteSpecial Paste:=xlPasteAll_x000D_
            Application.CutCopyMode = False_x000D_
            _x000D_
            Set newTable = NewSheet.ListObjects(1)_x000D_
            newTable.name = backupNameTable_x000D_
            _x000D_
            Call setTechnicalName(NewSheet, backupNameTable)_x000D_
            _x000D_
            Set createBackup = tblTables_x000D_
_x000D_
        End If_x000D_
    End If_x000D_
    On Error GoTo 0_x000D_
End Function_x000D_
_x000D_
' Helper_x000D_
</t>
  </si>
  <si>
    <t xml:space="preserve">Function createExtract(tableType As String, currentDateTime As String) As ListObject_x000D_
    _x000D_
    If tableType = "Tables" Then_x000D_
    _x000D_
        ' Create 'Tables_Extract' sheet with specific columns_x000D_
        Set NewSheet = ThisWorkbook.Sheets.Add(After:=ThisWorkbook.Sheets(ThisWorkbook.Sheets.count))_x000D_
        NewSheet.name = "Tables_Extract" &amp; currentDateTime_x000D_
        _x000D_
        ' Add headers to the new sheet_x000D_
        With NewSheet_x000D_
            .Cells(1, 1).Value = "ID"_x000D_
            .Cells(1, 2).Value = "Kind"_x000D_
            .Cells(1, 3).Value = "Excel Table - Excel Name"_x000D_
            .Cells(1, 4).Value = "Name"_x000D_
            .Cells(1, 5).Value = "Excel Table - Sheet Name"_x000D_
        End With_x000D_
        _x000D_
        ' Create the 'Tables_Extract' table object_x000D_
        Set newTable = NewSheet.ListObjects.Add(xlSrcRange, NewSheet.Range("A1:E1").CurrentRegion, , xlYes)_x000D_
        newTable.name = "meta_Tables_Extract" &amp; currentDateTime_x000D_
        _x000D_
    ElseIf tableType = "Columns" Then_x000D_
    _x000D_
        ' Create 'Columns_Extract' sheet with specific columns_x000D_
        Set NewSheet = ThisWorkbook.Sheets.Add(After:=ThisWorkbook.Sheets(ThisWorkbook.Sheets.count))_x000D_
        NewSheet.name = "Columns_Extract" &amp; currentDateTime_x000D_
        _x000D_
        ' Add headers to the new sheet_x000D_
        With NewSheet_x000D_
            .Cells(1, 1).Value = "ID"_x000D_
            .Cells(1, 2).Value = "Kind"_x000D_
            .Cells(1, 3).Value = "Owning Table"_x000D_
            .Cells(1, 4).Value = "Position"_x000D_
            .Cells(1, 5).Value = "Stored Column Position"_x000D_
            .Cells(1, 6).Value = "Excel Column - Label Overwrite"_x000D_
            .Cells(1, 7).Value = "Excel Column - Explicit Excel Formula"_x000D_
            .Cells(1, 8).Value = "Excel Column - Validation Formula"_x000D_
        End With_x000D_
        _x000D_
        ' Create the 'Columns_Extract' table object_x000D_
        Set newTable = NewSheet.ListObjects.Add(xlSrcRange, NewSheet.Range("A1:H1").CurrentRegion, , xlYes)_x000D_
        newTable.name = "meta_Columns_Extract" &amp; currentDateTime_x000D_
        _x000D_
    End If_x000D_
    _x000D_
    Set createExtract = newTable_x000D_
_x000D_
End Function_x000D_
_x000D_
_x000D_
_x000D_
_x000D_
'Helper_x000D_
</t>
  </si>
  <si>
    <t xml:space="preserve">Function compareExtract(Target As String, DateTime As String) As ListObject_x000D_
    Dim wsMain As Worksheet_x000D_
    Dim wsExtract As Worksheet_x000D_
    Dim tblMain As ListObject_x000D_
    Dim tblExtract As ListObject_x000D_
    Dim tblMainHeaders As Collection_x000D_
    Dim tblExtractHeaders As Collection_x000D_
    Dim cell As Range_x000D_
    Dim columnFound As Boolean_x000D_
    Dim missingColumns As String_x000D_
    Dim formulaColumns As String_x000D_
    Dim mainSheetName As String_x000D_
    Dim extractSheetName As String_x000D_
    Dim mainTableName As String_x000D_
    Dim extractTableName As String_x000D_
_x000D_
    ' Determine sheet and table names based on the Target_x000D_
    If Target = "Tables" Then_x000D_
        mainSheetName = "Tables"_x000D_
        extractSheetName = "Tables_Extract" &amp; DateTime_x000D_
        mainTableName = "meta_Tables"_x000D_
        extractTableName = "meta_Tables_Extract" &amp; DateTime_x000D_
    ElseIf Target = "Columns" Then_x000D_
        mainSheetName = "Columns"_x000D_
        extractSheetName = "Columns_Extract" &amp; DateTime_x000D_
        mainTableName = "meta_Columns"_x000D_
        extractTableName = "meta_Columns_Extract" &amp; DateTime_x000D_
    End If_x000D_
_x000D_
    On Error Resume Next_x000D_
    ' Get the main worksheet and table_x000D_
    Set wsMain = ThisWorkbook.Worksheets(mainSheetName)_x000D_
    Set tblMain = wsMain.ListObjects(mainTableName)_x000D_
_x000D_
    ' Get the extract worksheet and table_x000D_
    Set wsExtract = ThisWorkbook.Worksheets(extractSheetName)_x000D_
    Set tblExtract = wsExtract.ListObjects(extractTableName)_x000D_
    On Error GoTo 0_x000D_
_x000D_
    ' Validate tables_x000D_
    If tblMain Is Nothing Then_x000D_
        MsgBox "Table '" &amp; mainTableName &amp; "' not found in sheet '" &amp; mainSheetName &amp; "'. Creating it..", vbCritical_x000D_
        Set NewSheet = ThisWorkbook.Sheets.Add(After:=ThisWorkbook.Sheets(ThisWorkbook.Sheets.count))_x000D_
        NewSheet.name = mainSheetName_x000D_
        _x000D_
        ' Copy the template as base table_x000D_
        tblExtract.Range.Copy_x000D_
        NewSheet.Range("A1").PasteSpecial Paste:=xlPasteAll_x000D_
        Application.CutCopyMode = False_x000D_
        _x000D_
        Set tblMain = NewSheet.ListObjects(1)_x000D_
        tblMain.name = mainTableName_x000D_
        With tblMain.ListRows.Add_x000D_
            .Range.Cells(1, 1).Value = "___" &amp; mainTableName &amp; "RowTemplate"_x000D_
        End With_x000D_
_x000D_
    End If_x000D_
_x000D_
_x000D_
_x000D_
    ' Create collections for column headers_x000D_
    Set tblMainHeaders = New Collection_x000D_
    Set tblExtractHeaders = New Collection_x000D_
_x000D_
    ' Collect main table headers_x000D_
    For Each cell In tblMain.HeaderRowRange_x000D_
        tblMainHeaders.Add cell.Value, cell.Value_x000D_
    Next cell_x000D_
_x000D_
    ' Collect extract table headers_x000D_
    For Each cell In tblExtract.HeaderRowRange_x000D_
        tblExtractHeaders.Add cell.Value, cell.Value_x000D_
    Next cell_x000D_
_x000D_
    ' Check for missing columns in tblMain_x000D_
    missingColumns = ""_x000D_
_x000D_
    For Each colName In tblExtractHeaders_x000D_
        On Error Resume Next_x000D_
        columnFound = False_x000D_
        columnFound = Not IsError(tblMainHeaders(colName))_x000D_
        On Error GoTo 0_x000D_
_x000D_
        If Not columnFound Then_x000D_
            ' Column is missing, add it to tblMain_x000D_
            tblMain.ListColumns.Add.name = colName_x000D_
            missingColumns = missingColumns &amp; colName &amp; vbNewLine_x000D_
        End If_x000D_
    Next colName_x000D_
_x000D_
    ' Display a message if columns were added_x000D_
    If missingColumns &lt;&gt; "" Then_x000D_
        MsgBox "The following mandatory columns were missing and added to the table '" &amp; mainTableName &amp; "':" &amp; vbNewLine &amp; missingColumns, vbInformation_x000D_
    Else_x000D_
        'MsgBox "All required columns already exist in the main table.", vbInformation_x000D_
    End If_x000D_
    _x000D_
    Set compareExtract = tblMain_x000D_
End Function_x000D_
_x000D_
'Helper_x000D_
</t>
  </si>
  <si>
    <t xml:space="preserve">Function processMetaData(currentDateTime As String)_x000D_
    Dim wsTables As Worksheet, wsColumns As Worksheet_x000D_
    Dim wsTablesExtract As Worksheet, wsColumnsExtract As Worksheet_x000D_
    Dim tblTables As ListObject, tblColumns As ListObject_x000D_
    Dim tblTablesExtract As ListObject, tblColumnsExtract As ListObject_x000D_
    _x000D_
    Dim sheet As Worksheet, table As ListObject, column As ListColumn_x000D_
    Dim tableExtractArray() As Variant, columnExtractArray() As Variant_x000D_
    Dim tableCount As Long, columnCount As Long_x000D_
    Dim tableIndex As Long, columnIndex As Long_x000D_
    Dim id As String, columnID As String, newName As String_x000D_
    Dim StoredPosition As Long, i As Long_x000D_
_x000D_
    MsgBox "Processing workbook meta-data and storing it in the temporary _extract tables. This may take some time..", vbInformation_x000D_
    _x000D_
    ' Cache Sheets &amp; Tables_x000D_
    Set wsTables = ThisWorkbook.Sheets("Tables")_x000D_
    Set tblTables = wsTables.ListObjects(1)_x000D_
    _x000D_
    Set wsColumns = ThisWorkbook.Sheets("Columns")_x000D_
    Set tblColumns = wsColumns.ListObjects(1)_x000D_
    _x000D_
    Set wsTablesExtract = ThisWorkbook.Sheets("Tables_Extract" &amp; currentDateTime)_x000D_
    Set wsColumnsExtract = ThisWorkbook.Sheets("Columns_Extract" &amp; currentDateTime)_x000D_
    _x000D_
    Set tblTablesExtract = wsTablesExtract.ListObjects(1)_x000D_
    Set tblColumnsExtract = wsColumnsExtract.ListObjects(1)_x000D_
_x000D_
    ' Load Tables and Columns Data into Arrays for Faster Lookup_x000D_
    Dim tableData As Variant, columnData As Variant_x000D_
    If Not tblTables.DataBodyRange Is Nothing Then tableData = tblTables.DataBodyRange.Value_x000D_
    If Not tblColumns.DataBodyRange Is Nothing Then columnData = tblColumns.DataBodyRange.Value_x000D_
_x000D_
    _x000D_
    'Config accessed column names_x000D_
    _x000D_
    'Tables_x000D_
    nameColIndexT = FindColumnIndex(tblTables, "Excel Table - Excel Name")_x000D_
    idColIndexT = FindColumnIndex(tblTables, "ID")_x000D_
    _x000D_
    'Columns_x000D_
    idColIndexC = FindColumnIndex(tblColumns, "ID")_x000D_
    nameColIndexC = FindColumnIndex(tblColumns, "Excel Column - Label Overwrite")_x000D_
    tableColIndexC = FindColumnIndex(tblColumns, "Owning Table:src")_x000D_
    _x000D_
_x000D_
    _x000D_
    ' Store Table IDs in Arrays for Faster Lookup_x000D_
    Dim tableIDs() As String, tableNames() As String_x000D_
    If Not IsEmpty(tableData) And nameColIndexT &gt; 0 And idColIndexT &gt; 0 Then_x000D_
        ReDim tableIDs(1 To UBound(tableData, 1))_x000D_
        ReDim tableNames(1 To UBound(tableData, 1))_x000D_
        _x000D_
        For i = 1 To UBound(tableData, 1)_x000D_
            tableIDs(i) = CStr(tableData(i, idColIndexT))_x000D_
            tableNames(i) = CStr(tableData(i, nameColIndexT))_x000D_
        Next i_x000D_
    End If_x000D_
_x000D_
    ' Store Column IDs in Arrays for Faster Lookup_x000D_
    Dim columnIDs() As String, columnNames() As String_x000D_
    If Not IsEmpty(columnData) And idColIndexC &gt; 0 And nameColIndexC &gt; 0 And tableColIndexC &gt; 0 Then_x000D_
        ReDim columnIDs(1 To UBound(columnData, 1))_x000D_
        ReDim columnNames(1 To UBound(columnData, 1))_x000D_
        _x000D_
        For i = 1 To UBound(columnData, 1)_x000D_
            If Not CStr(columnData(i, idColIndexC)) Like "*Template" Then_x000D_
                columnIDs(i) = CStr(columnData(i, idColIndexC))_x000D_
                columnNames(i) = CStr(columnData(i, tableColIndexC) &amp; "_" &amp; columnData(i, nameColIndexC))_x000D_
            End If_x000D_
        Next i_x000D_
    End If_x000D_
_x000D_
    ' Initialize Counters_x000D_
    tableCount = 0_x000D_
    columnCount = 0_x000D_
_x000D_
    ' **Iterate Once Through Sheets &amp; Tables**_x000D_
    For Each sheet In ThisWorkbook.Sheets_x000D_
        If sheet.name Like "*_Backup*" Or sheet.name Like "*_Extract*" Or __x000D_
           sheet.name Like "*_Branch*" Or sheet.name Like "*_Template*" Or __x000D_
           sheet.name Like "*_Nonmanaged*" Or InStr(sheet.name, currentDateTime) &gt; 0 Then GoTo NextSheet_x000D_
_x000D_
        For Each table In sheet.ListObjects_x000D_
            tableCount = tableCount + 1_x000D_
            _x000D_
            businessName = camelCaseToBusiness(Mid(table.name, InStr(table.name, "_") + 1))_x000D_
            tableDisplayName = Replace(table.name, "_", "::", 1, 1)_x000D_
            _x000D_
           _x000D_
            _x000D_
            'not generating UUIDs for now_x000D_
            'idTable = GUID_x000D_
            _x000D_
            If Left(tableDisplayName, 4) = "meta" Then_x000D_
                idTable = "_" &amp; tableDisplayName_x000D_
            Else_x000D_
                idTable = tableDisplayName_x000D_
            End If_x000D_
        _x000D_
            On Error Resume Next_x000D_
             ' Lookup and use potentially pre-existing Table ID using a simple loop_x000D_
            For i = 1 To UBound(tableNames)_x000D_
                If tableNames(i) = table.name Then_x000D_
                    idTable = tableIDs(i)_x000D_
                    Exit For_x000D_
                End If_x000D_
            Next i_x000D_
            On Error GoTo 0_x000D_
_x000D_
            ' Store table data_x000D_
            ReDim Preserve tableExtractArray(1 To 5, 1 To tableCount)_x000D_
            tableExtractArray(1, tableCount) = idTable 'ID_x000D_
            tableExtractArray(2, tableCount) = "ExcelTable" 'Kind_x000D_
            tableExtractArray(3, tableCount) = table.name 'Excel Table - Excel Name_x000D_
            tableExtractArray(4, tableCount) = businessName 'Name_x000D_
            tableExtractArray(5, tableCount) = sheet.name 'Excel Table - Sheet Name_x000D_
_x000D_
            ' Iterate through table columns_x000D_
            StoredPosition = 1_x000D_
            For Each column In table.ListColumns_x000D_
                If column.name Like "*transfer*" Or column.name Like "*fix kind*" Then GoTo NextColumn_x000D_
_x000D_
                columnCount = columnCount + 1_x000D_
                _x000D_
                'not generating UUIDs for now_x000D_
                'columnID = GUID_x000D_
                _x000D_
                If Left(tableDisplayName, 4) = "meta" Then_x000D_
                    idColumn = "_" &amp; tableDisplayName &amp; "_" &amp; column.name_x000D_
                Else_x000D_
                    idColumn = tableDisplayName &amp; "_" &amp; column.name_x000D_
                End If_x000D_
_x000D_
                On Error Resume Next_x000D_
                ' Lookup Column ID using a simple loop_x000D_
                For i = 1 To UBound(columnNames)_x000D_
                    If columnNames(i) = (tableDisplayName &amp; "_" &amp; column.name) Or columnNames(i) = ("_" &amp; tableDisplayName &amp; "_" &amp; column.name) Then_x000D_
                        idColumn = columnIDs(i)_x000D_
                        Exit For_x000D_
                    End If_x000D_
                Next i_x000D_
                On Error GoTo 0_x000D_
                _x000D_
                'Get Validation Formula_x000D_
                Dim valType As Long_x000D_
                valType = xlValidateNone_x000D_
                On Error Resume Next_x000D_
                valType = column.DataBodyRange.Cells(1, 1).Validation.Type_x000D_
                On Error GoTo 0_x000D_
                If valType &lt;&gt; xlValidateNone Then_x000D_
                    validationFormula = "ValidationFormula:" &amp; column.DataBodyRange.Cells(1, 1).Validation.Formula1_x000D_
                    'Debug.Print "Validation formula: " &amp; formula_x000D_
                Else_x000D_
                    validationFormula = ""_x000D_
                    'Debug.Print "No validation on this column's first cell."_x000D_
                End If_x000D_
                _x000D_
                ' Store column data_x000D_
                ReDim Preserve columnExtractArray(1 To 8, 1 To columnCount)_x000D_
                columnExtractArray(1, columnCount) = idColumn 'ID_x000D_
                columnExtractArray(2, columnCount) = "ExcelColumn" 'Kind_x000D_
                columnExtractArray(3, columnCount) = tableDisplayName 'Owning Table_x000D_
                columnExtractArray(4, columnCount) = column.Index 'Position_x000D_
                columnExtractArray(5, columnCount) = IIf(column.DataBodyRange.Cells(1, 1).HasFormula, "", StoredPosition) 'Stored Column Position_x000D_
                If Not column.DataBodyRange.Cells(1, 1).HasFormula Then StoredPosition = StoredPosition + 1_x000D_
                columnExtractArray(6, columnCount) = column.name 'Excel Column - Label Overwrite_x000D_
                columnExtractArray(7, columnCount) = IIf(column.DataBodyRange.Cells(1, 1).HasFormula, "Formula:" &amp; column.DataBodyRange.Cells(1, 1).formula, "") 'Excel Column - Explicit Excel Formula_x000D_
                columnExtractArray(8, columnCount) = validationFormula 'Excel Column - Validation Formula_x000D_
NextColumn:_x000D_
            Next column_x000D_
        Next table_x000D_
NextSheet:_x000D_
    Next sheet_x000D_
_x000D_
    ' **Write Data in Bulk**_x000D_
    If tableCount &gt; 0 Then_x000D_
        tblTablesExtract.ListRows.Add_x000D_
        tblTablesExtract.DataBodyRange.Resize(UBound(tableExtractArray, 2), 5).Value2 = Application.Transpose(tableExtractArray)_x000D_
    End If_x000D_
    If columnCount &gt; 0 Then_x000D_
        tblColumnsExtract.ListRows.Add_x000D_
        tblColumnsExtract.DataBodyRange.Resize(UBound(columnExtractArray, 2), 8).Value2 = Application.Transpose(columnExtractArray)_x000D_
    End If_x000D_
    _x000D_
    MsgBox "Workbook meta-data processed and stored in temporary _extract tables.", vbInformation_x000D_
    _x000D_
    Erase tableExtractArray_x000D_
    Erase columnExtractArray_x000D_
    _x000D_
    Set tblTablesExtract = Nothing_x000D_
    Set tblColumnsExtract = Nothing_x000D_
    _x000D_
    _x000D_
End Function_x000D_
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</si>
  <si>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Helper_x000D_
</t>
  </si>
  <si>
    <t xml:space="preserve">Function FindColumnIndex(tbl As ListObject, colName As String) As Long_x000D_
    Dim i As Long_x000D_
    For i = 1 To tbl.ListColumns.count_x000D_
        If tbl.ListColumns(i).name = colName Then_x000D_
            FindColumnIndex = i_x000D_
            Exit Function_x000D_
        End If_x000D_
    Next i_x000D_
    FindColumnIndex = 0 ' Return 0 if not found_x000D_
End Function_x000D_
_x000D_
</t>
  </si>
  <si>
    <t xml:space="preserve">Function mergeTables(currentDateTime As String)_x000D_
    Dim wsTablesExtract As Worksheet, wsColumnsExtract As Worksheet_x000D_
    Dim wsTables As Worksheet, wsColumns As Worksheet_x000D_
    Dim tblTablesExtract As ListObject, tblColumnsExtract As ListObject_x000D_
    Dim tblTables As ListObject, tblColumns As ListObject_x000D_
    Dim validIDs As Collection_x000D_
    _x000D_
    ' Optimize for performance_x000D_
    Application.ScreenUpdating = False_x000D_
    Application.EnableEvents = False_x000D_
    Application.Calculation = xlCalculationManual_x000D_
    _x000D_
    MsgBox "Merging updated meta-data into existing meta_Tables and meta_Columns tables. Confirmation about successfull merge will be provided. Please wait..", vbInformation_x000D_
_x000D_
    ' Cache extract table sheets_x000D_
    Set wsTablesExtract = ThisWorkbook.Sheets("Tables_Extract" &amp; currentDateTime)_x000D_
    Set wsColumnsExtract = ThisWorkbook.Sheets("Columns_Extract" &amp; currentDateTime)_x000D_
    _x000D_
    ' Cache target table sheets_x000D_
    Set wsTables = ThisWorkbook.Sheets("Tables")_x000D_
    Set wsColumns = ThisWorkbook.Sheets("Columns")_x000D_
    _x000D_
    ' Access extract tables_x000D_
    Set tblTablesExtract = wsTablesExtract.ListObjects(1)_x000D_
    Set tblColumnsExtract = wsColumnsExtract.ListObjects(1)_x000D_
    _x000D_
    ' Access target tables_x000D_
    Set tblTables = wsTables.ListObjects(1)_x000D_
    Set tblColumns = wsColumns.ListObjects(1)_x000D_
_x000D_
    ' Step 1: Validate and Merge Tables_x000D_
    _x000D_
    ' Set source and target table names for global transfer variables_x000D_
    sourceTable = tblTablesExtract.name_x000D_
    targetTable = tblTables.name_x000D_
    _x000D_
    ' Extract valid IDs after merge_x000D_
    Set validIDs = ExtractIDs(tblTablesExtract)_x000D_
    _x000D_
    Call mergeObject_x000D_
    _x000D_
    Set tblTablesExtract = Nothing_x000D_
_x000D_
    ' Delete rows not in validIDs_x000D_
    Call deleteUnmatchedRows(tblTables, validIDs)_x000D_
    _x000D_
    Call copyDownFormulasAndValidation(tblTables)_x000D_
_x000D_
    ' Step 2: Validate and Merge Columns_x000D_
_x000D_
    ' Set source and target table names for global transfer variables_x000D_
    sourceTable = tblColumnsExtract.name_x000D_
    targetTable = tblColumns.name_x000D_
    _x000D_
    ' Extract valid IDs after merge_x000D_
    Set validIDs = ExtractIDs(tblColumnsExtract)_x000D_
    _x000D_
    Call mergeObject_x000D_
_x000D_
    _x000D_
    Set tblColumnsExtract = Nothing_x000D_
_x000D_
    ' Delete rows not in validIDs_x000D_
    Call deleteUnmatchedRows(tblColumns, validIDs)_x000D_
    _x000D_
    Call copyDownFormulasAndValidation(tblColumns)_x000D_
    _x000D_
    Call ClearMatchingOverwrites_x000D_
    _x000D_
    Call sortColumnsAndTablesTable_x000D_
    _x000D_
    ' Step 3: remove unneeded sheets_x000D_
    _x000D_
    ' Delete extracts_x000D_
    Application.DisplayAlerts = False_x000D_
    wsTablesExtract.Delete_x000D_
    wsColumnsExtract.Delete_x000D_
    Application.DisplayAlerts = True_x000D_
    _x000D_
    Application.Calculation = xlCalculationAutomatic_x000D_
    Application.EnableEvents = True_x000D_
    Application.ScreenUpdating = True_x000D_
_x000D_
    _x000D_
    _x000D_
End Function_x000D_
_x000D_
</t>
  </si>
  <si>
    <t xml:space="preserve">Sub sortColumnsAndTablesTable()_x000D_
    Dim ws As Worksheet_x000D_
    Dim lo As ListObject_x000D_
    Dim rngOwning As Range, rngPosition As Range_x000D_
    _x000D_
    'Columns_x000D_
    _x000D_
    Set ws = ThisWorkbook.Sheets("Columns")_x000D_
    Set lo = ws.ListObjects("meta_Columns")_x000D_
    _x000D_
    ' Clear filters (optional but good practice)_x000D_
    If lo.AutoFilter.FilterMode Then lo.AutoFilter.ShowAllData_x000D_
    _x000D_
    ' Attempt to get the ranges for the sort keys._x000D_
    On Error Resume Next_x000D_
    Set rngTable = lo.DataBodyRange.Columns(lo.ListColumns("Owning Table").Index)_x000D_
    Set rngPosition = lo.DataBodyRange.Columns(lo.ListColumns("Position").Index)_x000D_
    On Error GoTo 0_x000D_
    _x000D_
    If rngTable Is Nothing Then_x000D_
        MsgBox "Column 'ID' was not found in the table Columns. Sorting not successful.", vbExclamation_x000D_
        Exit Sub_x000D_
    End If_x000D_
    _x000D_
    If rngPosition Is Nothing Then_x000D_
        MsgBox "Column 'Position' was not found in the table Columns. Sorting not successful.", vbExclamation_x000D_
        Exit Sub_x000D_
    End If_x000D_
    _x000D_
    ' Clear any previous sort fields and add the new sort criteria._x000D_
    With lo.Sort_x000D_
        .SortFields.Clear_x000D_
        _x000D_
        ' Sort first by ID (primary key)_x000D_
        .SortFields.Add key:=rngTable, __x000D_
                        SortOn:=xlSortOnValues, __x000D_
                        Order:=xlAscending, __x000D_
                        DataOption:=xlSortNormal_x000D_
    _x000D_
        ' Then by Position (secondary key)_x000D_
        .SortFields.Add key:=rngPosition,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_x000D_
    _x000D_
    ' Tables_x000D_
    _x000D_
    Set ws = ThisWorkbook.Sheets("Tables")_x000D_
    Set lo = ws.ListObjects("meta_Tables")_x000D_
    _x000D_
    ' Attempt to get the ranges for the sort keys._x000D_
    On Error Resume Next_x000D_
    Set rngID = lo.ListColumns("ID").Range_x000D_
    On Error GoTo 0_x000D_
    _x000D_
    If rngID Is Nothing Then_x000D_
        MsgBox "Column 'ID' was not found in the table Tables. Sorting not successful.", vbExclamation_x000D_
        Exit Sub_x000D_
    End If_x000D_
    _x000D_
    _x000D_
    ' Clear any previous sort fields and add the new sort criteria._x000D_
    With lo.Sort_x000D_
        .SortFields.Clear_x000D_
        _x000D_
        ' Sort by the "ID" column (ascending)._x000D_
        .SortFields.Add key:=rngID,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End Sub_x000D_
_x000D_
_x000D_
' Helper_x000D_
</t>
  </si>
  <si>
    <t xml:space="preserve">Function ExtractIDs(tbl As ListObject) As Collection_x000D_
    Dim colIDs As New Collection_x000D_
    Dim idRange As Range_x000D_
    Dim idArray As Variant_x000D_
    Dim i As Long_x000D_
    Dim idColumn As Integer_x000D_
_x000D_
    ' Find the "ID" column index_x000D_
    On Error Resume Next_x000D_
    idColumn = Application.Match("ID", tbl.HeaderRowRange, 0)_x000D_
    On Error GoTo 0_x000D_
    _x000D_
    If idColumn = 0 Then Exit </t>
  </si>
  <si>
    <t xml:space="preserve">Function ' Exit if "ID" column is not found_x000D_
_x000D_
    ' Define the range containing IDs (excluding the header)_x000D_
    Set idRange = tbl.ListColumns(idColumn).DataBodyRange_x000D_
    If idRange Is Nothing Then Exit </t>
  </si>
  <si>
    <t xml:space="preserve">Function ' Exit if there is no data_x000D_
_x000D_
    ' Load range into an array for performance_x000D_
    idArray = idRange.Value_x000D_
_x000D_
    ' Add items to collection (handle both single and multi-row cases)_x000D_
    If IsArray(idArray) Then_x000D_
        For i = 1 To UBound(idArray, 1)_x000D_
            colIDs.Add idArray(i, 1)_x000D_
        Next i_x000D_
    Else_x000D_
        colIDs.Add idArray_x000D_
    End If_x000D_
_x000D_
    ' Return the collection_x000D_
    Set ExtractIDs = colIDs_x000D_
End Function_x000D_
_x000D_
_x000D_
_x000D_
</t>
  </si>
  <si>
    <t xml:space="preserve">Function deleteUnmatchedRows(targetTable As ListObject, validIDs As Collection)_x000D_
    Dim idRange As Range_x000D_
    Dim idArray As Variant_x000D_
    Dim i As Long_x000D_
    Dim idColumn As Integer_x000D_
    Dim deleteRows As Range_x000D_
_x000D_
    ' Check if table has data_x000D_
    If targetTable.ListRows.count = 0 Then Exit Function_x000D_
_x000D_
    ' Find the "ID" column index_x000D_
    On Error Resume Next_x000D_
    idColumn = Application.Match("ID", targetTable.HeaderRowRange, 0)_x000D_
    On Error GoTo 0_x000D_
_x000D_
    If idColumn = 0 Then Exit </t>
  </si>
  <si>
    <t xml:space="preserve">Function ' Exit if "ID" column is not found_x000D_
_x000D_
    ' Define the range containing IDs (excluding header)_x000D_
    Set idRange = targetTable.ListColumns(idColumn).DataBodyRange_x000D_
    If idRange Is Nothing Then Exit </t>
  </si>
  <si>
    <t xml:space="preserve">Function ' Exit if there is no data_x000D_
_x000D_
    ' Load IDs into an array for faster processing_x000D_
    idArray = idRange.Value_x000D_
_x000D_
    ' Identify rows to delete_x000D_
    For i = UBound(idArray, 1) To 1 Step -1 ' Loop in reverse to avoid shifting issues_x000D_
        If Not CollectionContains(validIDs, idArray(i, 1)) Then_x000D_
            If Not idArray(i, 1) Like "*RowTemplate" Then_x000D_
                targetTable.ListRows(i).Delete ' Delete row directly_x000D_
            End If_x000D_
        End If_x000D_
    Next i_x000D_
End Function_x000D_
_x000D_
' Helper function to check if Collection contains an item_x000D_
</t>
  </si>
  <si>
    <t xml:space="preserve">Function CollectionContains(col As Collection, key As Variant) As Boolean_x000D_
    Dim item As Variant_x000D_
    On Error Resume Next_x000D_
    For Each item In col_x000D_
        If item = key Then_x000D_
            CollectionContains = True_x000D_
            Exit Function_x000D_
        End If_x000D_
    Next item_x000D_
    CollectionContains = False_x000D_
End Function_x000D_
_x000D_
</t>
  </si>
  <si>
    <t xml:space="preserve">Function copyDownFormulasAndValidation(tbl As ListObject)_x000D_
    Dim lc As ListColumn_x000D_
    Dim colData As Range_x000D_
    Dim strFormula As String_x000D_
    Dim sourceCell As Range_x000D_
    Dim targetRange As Range_x000D_
    _x000D_
    ' Loop through all columns in the table_x000D_
    For Each lc In tbl.ListColumns_x000D_
        Set colData = lc.DataBodyRange_x000D_
        _x000D_
        ' Ensure column has data_x000D_
        If Not colData Is Nothing Then_x000D_
            Set sourceCell = colData.Cells(1, 1)_x000D_
            _x000D_
            ' Copy formula if first cell has one_x000D_
            If sourceCell.HasFormula Then_x000D_
                strFormula = sourceCell.formula_x000D_
                colData.formula = strFormula_x000D_
                Exit </t>
  </si>
  <si>
    <t xml:space="preserve">Function 'if formula -&gt; no validation!!_x000D_
            End If_x000D_
            _x000D_
            Dim hasValidation As Boolean_x000D_
            hasValidation = False_x000D_
            _x000D_
            On Error Resume Next_x000D_
            hasValidation = (sourceCell.Validation.Type &lt;&gt; xlValidateNone)_x000D_
            On Error GoTo 0_x000D_
            _x000D_
            If hasValidation Then_x000D_
                ' Define target range (excluding first cell)_x000D_
                If colData.Rows.count &gt; 1 Then_x000D_
                    Set targetRange = sourceCell.Offset(1, 0).Resize(colData.Rows.count - 1, 1)_x000D_
                    _x000D_
                    ' Clear existing validation first_x000D_
                    targetRange.Validation.Delete_x000D_
                    _x000D_
                    ' Apply the same validation to the rest of the column_x000D_
                    With sourceCell.Validation_x000D_
                        targetRange.Validation.Add Type:=.Type, __x000D_
                            AlertStyle:=.AlertStyle, __x000D_
                            Operator:=.Operator, __x000D_
                            Formula1:=.Formula1, __x000D_
                            Formula2:=.Formula2_x000D_
                        _x000D_
                        ' Optional: copy error messages/settings_x000D_
                        targetRange.Validation.IgnoreBlank = .IgnoreBlank_x000D_
                        targetRange.Validation.InCellDropdown = .InCellDropdown_x000D_
                        targetRange.Validation.InputTitle = .InputTitle_x000D_
                        targetRange.Validation.ErrorTitle = .ErrorTitle_x000D_
                        targetRange.Validation.InputMessage = .InputMessage_x000D_
                        targetRange.Validation.ErrorMessage = .ErrorMessage_x000D_
                        targetRange.Validation.ShowInput = .ShowInput_x000D_
                        targetRange.Validation.ShowError = .ShowError_x000D_
                    End With_x000D_
                End If_x000D_
            End If_x000D_
_x000D_
        End If_x000D_
    Next lc_x000D_
End Function_x000D_
_x000D_
_x000D_
</t>
  </si>
  <si>
    <t xml:space="preserve">Sub createTablesAsFiles()_x000D_
    Dim ws As Worksheet_x000D_
    Dim tbl As ListObject_x000D_
    Dim wb As Workbook_x000D_
    Dim newWs As Worksheet_x000D_
    Dim rowIndex As Long_x000D_
    Dim transferTime As String_x000D_
    Dim currentDateTime As String_x000D_
    Dim copyMode As String_x000D_
    Dim sheet As Worksheet_x000D_
    Dim includeSheet As Boolean_x000D_
    Dim includeRow As Boolean_x000D_
    Dim headerRange As Range_x000D_
    Dim dataRange As Range_x000D_
    Dim r As Range_x000D_
    Dim userChoice As Variant_x000D_
    Dim snippetTable As ListObject_x000D_
    Dim snippetText As String_x000D_
    Dim foundSnippet As Boolean_x000D_
    _x000D_
    ' User selection for export mode_x000D_
    userChoice = Application.InputBox( __x000D_
        "Select export mode:" &amp; vbNewLine &amp; vbNewLine &amp; __x000D_
        "1 Full (all tables + content)" &amp; vbNewLine &amp; __x000D_
        "2 Model (all meta tables + content)" &amp; vbNewLine &amp; __x000D_
        "3 Veri.Excel (all meta tables +  only meta content in Tables/Columns)" &amp; vbNewLine &amp; __x000D_
        "4 Domain + VBA (all non-meta tables + content + VBA)" &amp; vbNewLine &amp; __x000D_
        "5 Domain (all non-meta tables + content)", __x000D_
        "Select Export Mode", Type:=1)_x000D_
_x000D_
    ' Set the copy mode flag based on selection_x000D_
    Select Case userChoice_x000D_
        Case 1_x000D_
            copyMode = "full"_x000D_
        Case 2_x000D_
            copyMode = "model"_x000D_
        Case 3_x000D_
            copyMode = "veri"_x000D_
        Case 4_x000D_
            copyMode = "domainVba"_x000D_
        Case 5_x000D_
            copyMode = "domain"_x000D_
        Case Else_x000D_
            MsgBox "Invalid Number. Stopping execution..", vbInformation_x000D_
            Exit </t>
  </si>
  <si>
    <t>Sub ' Exit if the user cancels or enters an invalid value_x000D_
    End Select_x000D_
_x000D_
    ' Optimize performance_x000D_
    Application.Calculation = xlCalculationManual_x000D_
    Application.ScreenUpdating = False_x000D_
    Application.EnableEvents = False_x000D_
_x000D_
    ' Create "Framework_Template"_x000D_
    transferTime = Now()_x000D_
    currentDateTime = Format(transferTime, "yymmddhhmm")_x000D_
    _x000D_
    Set ws = ThisWorkbook.Sheets.Add_x000D_
    ws.name = copyMode &amp; "_File_" &amp; currentDateTime_x000D_
    _x000D_
    rowIndex = 1_x000D_
    _x000D_
    ws.Cells(rowIndex, 1).Value = copyMode &amp; "_File_" &amp; currentDateTime_x000D_
    rowIndex = rowIndex + 2_x000D_
_x000D_
    ' Check if "meta_Snippets" exists and contains a "Layer0" snippet_x000D_
    On Error Resume Next_x000D_
    Set snippetTable = ThisWorkbook.Sheets("Snippets").ListObjects(1)_x000D_
    On Error GoTo 0_x000D_
    _x000D_
    If Not snippetTable Is Nothing Then_x000D_
        ' Find the correct column indexes_x000D_
        Dim subPackageCol As ListColumn_x000D_
        Dim snippetCol As ListColumn_x000D_
        Dim snippetRow As ListRow ' Correct declaration_x000D_
        _x000D_
        ' Get the column references_x000D_
        On Error Resume Next_x000D_
        Set subPackageCol = snippetTable.ListColumns("</t>
  </si>
  <si>
    <t>Sub Package")_x000D_
        Set snippetCol = snippetTable.ListColumns("Snippet")_x000D_
        On Error GoTo 0_x000D_
        _x000D_
        ' Ensure both columns exist before proceeding_x000D_
        If Not subPackageCol Is Nothing And Not snippetCol Is Nothing Then_x000D_
            foundSnippet = False_x000D_
            _x000D_
            ' Loop through each row in the table_x000D_
            For Each snippetRow In snippetTable.ListRows_x000D_
                ' Check if the "</t>
  </si>
  <si>
    <t xml:space="preserve">Sub Package" column contains "::Layer0"_x000D_
                If snippetRow.Range.Cells(1, subPackageCol.Index).Value = "::Layer0" Then_x000D_
                    ' Retrieve the corresponding "Snippet" column value_x000D_
                    snippetText = snippetRow.Range.Cells(1, snippetCol.Index).Value_x000D_
                    foundSnippet = True_x000D_
                    Exit For_x000D_
                End If_x000D_
            Next snippetRow_x000D_
            _x000D_
            ' If found, insert at the top of the template_x000D_
            If foundSnippet And Not copyMode = "domain" Then_x000D_
                ws.Cells(rowIndex, 1).Value = "#### Layer 0 snippet for manual copy into VBA project ####"_x000D_
                rowIndex = rowIndex + 1_x000D_
                ws.Cells(rowIndex, 1).Value = snippetText_x000D_
                rowIndex = rowIndex + 2 ' Leave space before next content_x000D_
            End If_x000D_
        End If_x000D_
    End If_x000D_
_x000D_
    ' Loop through all sheets in the workbook_x000D_
    For Each sheet In ThisWorkbook.Sheets_x000D_
        includeSheet = False_x000D_
    _x000D_
        ' Determine if the sheet should be included based on mode_x000D_
        On Error Resume Next_x000D_
        Set tbl = sheet.ListObjects(1)_x000D_
        On Error GoTo 0_x000D_
        _x000D_
        If Not tbl Is Nothing Then_x000D_
            includeSheet = False ' Reset for each table_x000D_
        _x000D_
            Select Case copyMode_x000D_
                Case "full"_x000D_
                    includeSheet = True ' Include all tables_x000D_
                Case "model"_x000D_
                    If InStr(1, tbl.name, "meta_", vbTextCompare) &gt; 0 Then includeSheet = True ' Include meta_ tables only_x000D_
                Case "veri"_x000D_
                    If InStr(1, tbl.name, "meta_", vbTextCompare) &gt; 0 Then includeSheet = True ' Start by including meta_ tables_x000D_
                Case "domainVba"_x000D_
                    If Not InStr(1, tbl.name, "meta_", vbTextCompare) &gt; 0 Or InStr(1, tbl.name, "Snippets", vbTextCompare) &gt; 0 Then includeSheet = True ' Exclude meta_but include snippets_x000D_
                Case "domain"_x000D_
                    If Not InStr(1, tbl.name, "meta_", vbTextCompare) &gt; 0 Then includeSheet = True ' Exclude meta__x000D_
            End Select_x000D_
    _x000D_
            ' If sheet is included, process its tables_x000D_
            If includeSheet Then_x000D_
                includeRow = True_x000D_
            _x000D_
                ' Additional filtering for "plain veri.excel" mode_x000D_
                If copyMode = "veri" Then_x000D_
                    If tbl.name = "meta_Tables" Or tbl.name = "meta_Columns" Then_x000D_
                        ' Only include rows where ID contains "meta_"_x000D_
                        includeRow = False_x000D_
                        Dim rowCell As Range_x000D_
                        Dim rowIndexOffset As Long_x000D_
                        rowIndexOffset = rowIndex ' Start position for filtered rows_x000D_
                _x000D_
                        ' Insert ## (sheetname) ## (tablename) ##_x000D_
                        ws.Cells(rowIndexOffset, 1).Value = "## " &amp; sheet.name &amp; " ## " &amp; tbl.name &amp; " ##"_x000D_
                        rowIndexOffset = rowIndexOffset + 1_x000D_
                _x000D_
                        ' Copy Table Headers_x000D_
                        tbl.HeaderRowRange.Copy_x000D_
                        ws.Cells(rowIndexOffset, 1).PasteSpecial Paste:=xlPasteValues_x000D_
                        rowIndexOffset = rowIndexOffset + 1_x000D_
                _x000D_
                        ' Loop through "ID" column to check rows_x000D_
                        For Each rowCell In tbl.ListColumns("ID").DataBodyRange_x000D_
                            If InStr(1, rowCell.Value, "meta_", vbTextCompare) &gt; 0 Then_x000D_
                                rowCell.EntireRow.Copy_x000D_
                                ws.Cells(rowIndexOffset, 1).PasteSpecial Paste:=xlPasteValues_x000D_
                                rowIndexOffset = rowIndexOffset + 1_x000D_
                                includeRow = True ' At least one row was copied_x000D_
                            End If_x000D_
                        Next rowCell_x000D_
                _x000D_
                        ' Move to next section only if rows were copied_x000D_
                        If includeRow Then rowIndex = rowIndexOffset + 2_x000D_
                        includeRow = False_x000D_
                    End If_x000D_
                End If_x000D_
            _x000D_
                ' Export table if it's included_x000D_
                If includeRow Then_x000D_
                    ws.Cells(rowIndex, 1).Value = "## " &amp; sheet.name &amp; " ## " &amp; tbl.name &amp; " ##"_x000D_
                    rowIndex = rowIndex + 1_x000D_
            _x000D_
                    ' Copy Table Headers_x000D_
                    tbl.HeaderRowRange.Copy_x000D_
                    ws.Cells(rowIndex, 1).PasteSpecial Paste:=xlPasteValues_x000D_
                    rowIndex = rowIndex + 1_x000D_
_x000D_
                    ' Copy full table for other modes_x000D_
                    If Not tbl.DataBodyRange Is Nothing Then_x000D_
                        tbl.DataBodyRange.Copy_x000D_
                        ws.Cells(rowIndex, 1).PasteSpecial Paste:=xlPasteValues_x000D_
                        rowIndex = rowIndex + tbl.DataBodyRange.Rows.count + 2_x000D_
                    End If_x000D_
                End If_x000D_
            End If_x000D_
        End If_x000D_
        Set tbl = Nothing_x000D_
    Next sheet_x000D_
    _x000D_
    ' Notify user of success_x000D_
    MsgBox "TablesAsFile created successfully!", vbInformation_x000D_
    _x000D_
    ' Restore application settings_x000D_
    Application.Calculation = xlCalculationAutomatic_x000D_
    Application.ScreenUpdating = True_x000D_
    Application.EnableEvents = True_x000D_
    _x000D_
End Sub_x000D_
</t>
  </si>
  <si>
    <t xml:space="preserve">Sub importTablesAsFiles()_x000D_
    Dim wsTemplate As Worksheet_x000D_
    Dim wb As Workbook_x000D_
    Dim ws As Worksheet_x000D_
    Dim rowIndex As Long, lastRow As Long_x000D_
    Dim sheetName As String, tableName As String_x000D_
    Dim headerRow As Range, dataStartRow As Long, dataEndRow As Long_x000D_
    Dim currentLine As String, nextLine As String_x000D_
    Dim parts() As String_x000D_
    Dim tblRange As Range, targetSheet As Worksheet_x000D_
    Dim pasteTopLeft As Range_x000D_
    Dim tbl As ListObject_x000D_
    Dim nowStamp As String_x000D_
    Dim colCount As Long_x000D_
    Dim existsTable As Boolean_x000D_
    Dim currentDateTime As String_x000D_
    _x000D_
    Set wb = ThisWorkbook_x000D_
    _x000D_
    transferTime = Now()_x000D_
    currentDateTime = Format(transferTime, "yymmddhhmm")_x000D_
_x000D_
    ' Find the _File sheet_x000D_
    For Each ws In wb.Sheets_x000D_
        If InStr(1, ws.name, "_File", vbTextCompare) &gt; 0 Then_x000D_
            If Not wsTemplate Is Nothing Then_x000D_
                MsgBox "Multiple ""_File"" sheets found! </t>
  </si>
  <si>
    <t xml:space="preserve">Sub requires exactly one file. Stopping execution..", vbCritical_x000D_
                Exit Sub_x000D_
            End If_x000D_
            Set wsTemplate = ws_x000D_
        End If_x000D_
    Next ws_x000D_
_x000D_
    If wsTemplate Is Nothing Then_x000D_
        MsgBox """_File"" sheet not found! Stopping execution..", vbCritical_x000D_
        Exit Sub_x000D_
    End If_x000D_
_x000D_
    Application.ScreenUpdating = False_x000D_
    Application.Calculation = xlCalculationManual_x000D_
    Application.EnableEvents = False_x000D_
_x000D_
    rowIndex = 1_x000D_
    lastRow = wsTemplate.Cells(wsTemplate.Rows.count, 1).End(xlUp).row_x000D_
_x000D_
    Do While rowIndex &lt;= lastRow_x000D_
        currentLine = Trim(wsTemplate.Cells(rowIndex, 1).Value)_x000D_
_x000D_
        If Left(currentLine, 3) = "## " Then_x000D_
            ' Parse line: ## SheetName ## TableName ##_x000D_
            parts = Split(currentLine, "##")_x000D_
            If UBound(parts) &lt; 2 Then_x000D_
                MsgBox "Malformed header at row " &amp; rowIndex, vbExclamation_x000D_
                Exit Sub_x000D_
            End If_x000D_
            sheetName = Trim(parts(1))_x000D_
            tableName = Trim(parts(2))_x000D_
_x000D_
            ' Headers_x000D_
            rowIndex = rowIndex + 1_x000D_
            colCount = wsTemplate.Cells(rowIndex, wsTemplate.Columns.count).End(xlToLeft).column_x000D_
            Set headerRow = wsTemplate.Range(wsTemplate.Cells(rowIndex, 1), wsTemplate.Cells(rowIndex, colCount))_x000D_
_x000D_
            ' Data starts here_x000D_
            rowIndex = rowIndex + 1_x000D_
            dataStartRow = rowIndex_x000D_
_x000D_
            Do While rowIndex &lt;= lastRow_x000D_
                nextLine = Trim(wsTemplate.Cells(rowIndex, 1).Value)_x000D_
                If nextLine = "" Or Left(nextLine, 2) = "##" Then Exit Do_x000D_
                rowIndex = rowIndex + 1_x000D_
            Loop_x000D_
            dataEndRow = rowIndex - 1_x000D_
_x000D_
            ' Ensure target sheet exists_x000D_
            On Error Resume Next_x000D_
            Set targetSheet = wb.Sheets(sheetName)_x000D_
            On Error GoTo 0_x000D_
            If targetSheet Is Nothing Then_x000D_
                Set targetSheet = wb.Sheets.Add(After:=wb.Sheets(wb.Sheets.count))_x000D_
                targetSheet.name = sheetName_x000D_
            End If_x000D_
_x000D_
            ' Check if table already exists_x000D_
            existsTable = False_x000D_
            For Each tbl In targetSheet.ListObjects_x000D_
                If tbl.name = tableName Then_x000D_
                    existsTable = True_x000D_
                    Exit For_x000D_
                End If_x000D_
            Next tbl_x000D_
_x000D_
            If existsTable Then_x000D_
                Call createBackup(sheetName, tableName, currentDateTime)_x000D_
                MsgBox "Preexisting table '" &amp; tableName &amp; "' on sheet '" &amp; sheetName &amp; "' was backed up and replaced.", vbInformation_x000D_
                tbl.Delete_x000D_
            End If_x000D_
_x000D_
            ' Paste table values_x000D_
            Set tblRange = wsTemplate.Range(wsTemplate.Cells(headerRow.row, 1), wsTemplate.Cells(dataEndRow, colCount))_x000D_
            Set pasteTopLeft = targetSheet.Cells(targetSheet.Cells(targetSheet.Rows.count, 1).End(xlUp).row + 2, 1)_x000D_
_x000D_
            tblRange.Copy_x000D_
            pasteTopLeft.PasteSpecial Paste:=xlPasteValues_x000D_
_x000D_
_x000D_
            ' Create new table_x000D_
            targetSheet.ListObjects.Add(xlSrcRange, __x000D_
                pasteTopLeft.Resize(tblRange.Rows.count, tblRange.Columns.count), , xlYes).name = tableName_x000D_
                _x000D_
            Set targetSheet = Nothing_x000D_
        Else_x000D_
            rowIndex = rowIndex + 1_x000D_
        End If_x000D_
    Loop_x000D_
_x000D_
    Application.ScreenUpdating = True_x000D_
    Application.Calculation = xlCalculationAutomatic_x000D_
    Application.EnableEvents = True_x000D_
_x000D_
    MsgBox "All table data imported and updated." &amp; vbNewLine &amp; "Note: Only calculated values of formulas were stored. Use createAndComplementTablesAndColumns to restore formulas in tables.", vbInformation_x000D_
End Sub_x000D_
_x000D_
_x000D_
' Finds the row where a specific keyword is found in column A_x000D_
</t>
  </si>
  <si>
    <t xml:space="preserve">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 Gets the column index of a column name in the first row_x000D_
</t>
  </si>
  <si>
    <t xml:space="preserve">Function GetColumnIndex(ws As Worksheet, colName As String) As Long_x000D_
    Dim i As Long_x000D_
    For i = 1 To ws.Cells(1, ws.Columns.count).End(xlToLeft).column_x000D_
        If ws.Cells(1, i).Value = colName Then_x000D_
            GetColumnIndex = i_x000D_
            Exit Function_x000D_
        End If_x000D_
    Next i_x000D_
    GetColumnIndex = 0_x000D_
End Function_x000D_
_x000D_
' Checks if a sheet exists_x000D_
</t>
  </si>
  <si>
    <t xml:space="preserve">Function sheetExists(sheetName As String, wb As Workbook) As Boolean_x000D_
    Dim ws As Worksheet_x000D_
    On Error Resume Next_x000D_
    Set ws = wb.Sheets(sheetName)_x000D_
    sheetExists = Not ws Is Nothing_x000D_
    On Error GoTo 0_x000D_
End Function_x000D_
_x000D_
_x000D_
</t>
  </si>
  <si>
    <t xml:space="preserve">Function mergeObject()_x000D_
_x000D_
    _x000D_
    Dim ttbl As ListObject_x000D_
    _x000D_
    ' Set references to source and target tables_x000D_
    Set stbl = Worksheets(Range(sourceTable).Parent.name).ListObjects(sourceTable)_x000D_
    Set ttbl = Worksheets(Range(targetTable).Parent.name).ListObjects(targetTable)_x000D_
    _x000D_
    ' Load headers_x000D_
    sourceHeaders = stbl.HeaderRowRange.Value2_x000D_
    targetHeaders = ttbl.HeaderRowRange.Value2_x000D_
    _x000D_
    ' Load data_x000D_
    Dim sourceData As Variant, targetData As Variant, targetFormulas As Variant_x000D_
    sourceData = stbl.DataBodyRange.Value2_x000D_
    targetData = ttbl.DataBodyRange.Value2_x000D_
    targetFormulas = ttbl.DataBodyRange.formula ' Store formulas_x000D_
    _x000D_
    ' Find ID columns_x000D_
    Dim sourceIdCol As Long, targetIdCol As Long_x000D_
    sourceIdCol = GetIdColumnIndex(sourceHeaders)_x000D_
    targetIdCol = GetIdColumnIndex(targetHeaders)_x000D_
    _x000D_
    ' Build column mapping_x000D_
    Dim columnMapping As Collection_x000D_
    Set columnMapping = New Collection_x000D_
    Dim matchedColumns As Collection_x000D_
    Set matchedColumns = New Collection_x000D_
    _x000D_
    Dim i As Long, j As Long_x000D_
    For i = 1 To UBound(sourceHeaders, 2)_x000D_
        For j = 1 To UBound(targetHeaders, 2)_x000D_
            If CStr(sourceHeaders(1, i)) = CStr(targetHeaders(1, j)) Then_x000D_
                columnMapping.Add Array(i, j) ' Store source and target column indexes_x000D_
                matchedColumns.Add j ' Track columns that are being updated_x000D_
                Exit For_x000D_
            End If_x000D_
        Next j_x000D_
    Next i_x000D_
    _x000D_
    ' Identify formula columns_x000D_
    Dim formulaColumns As Collection_x000D_
    Set formulaColumns = New Collection_x000D_
    _x000D_
    For j = 1 To ttbl.DataBodyRange.Columns.count_x000D_
        If ColumnHasFormula(ttbl.DataBodyRange.Columns(j)) Then_x000D_
            formulaColumns.Add j_x000D_
        End If_x000D_
    Next j_x000D_
    _x000D_
    ' Create an array-based lookup for target IDs_x000D_
    Dim targetLookup() As String_x000D_
    Dim targetLookupIndex() As Long_x000D_
    Dim targetCount As Long_x000D_
    targetCount = UBound(targetData, 1)_x000D_
    _x000D_
    ReDim targetLookup(1 To targetCount)_x000D_
    ReDim targetLookupIndex(1 To targetCount)_x000D_
    _x000D_
    For i = 1 To targetCount_x000D_
        targetLookup(i) = CStr(targetData(i, targetIdCol))_x000D_
        targetLookupIndex(i) = i_x000D_
    Next i_x000D_
    _x000D_
    ' Update or insert data_x000D_
    Dim newRows As Collection_x000D_
    Set newRows = New Collection_x000D_
    _x000D_
    For i = 1 To UBound(sourceData, 1)_x000D_
        Dim id As String_x000D_
        id = CStr(sourceData(i, sourceIdCol))_x000D_
    _x000D_
        Dim foundIndex As Long_x000D_
        foundIndex = MatchID(targetLookup, id)_x000D_
    _x000D_
        If foundIndex &gt; 0 Then_x000D_
            ' Update existing row_x000D_
            Dim targetRowIdx As Long_x000D_
            targetRowIdx = targetLookupIndex(foundIndex)_x000D_
    _x000D_
            ' Always update matched columns_x000D_
            For j = 1 To columnMapping.count_x000D_
                Dim mapping As Variant_x000D_
                mapping = columnMapping(j)_x000D_
    _x000D_
                If mapping(1) &gt; 0 And mapping(0) &gt; 0 Then_x000D_
                    targetData(targetRowIdx, mapping(1)) = sourceData(i, mapping(0))_x000D_
                End If_x000D_
            Next j_x000D_
        Else_x000D_
            ' Collect new row for insertion_x000D_
            newRows.Add i_x000D_
        End If_x000D_
    Next i_x000D_
_x000D_
_x000D_
    ' Write back updated data while preserving formulas in unmatched columns_x000D_
    Dim colIndex As Long, rowIndex As Long_x000D_
    For rowIndex = 1 To UBound(targetData, 1)_x000D_
        For colIndex = 1 To UBound(targetData, 2)_x000D_
            ' If column was not in the matched list, preserve formula_x000D_
            If Not IsColumnMatched(colIndex, matchedColumns) And ColumnHasFormula(ttbl.DataBodyRange.Columns(colIndex)) Then_x000D_
                targetData(rowIndex, colIndex) = targetFormulas(rowIndex, colIndex)_x000D_
            End If_x000D_
        Next colIndex_x000D_
    Next rowIndex_x000D_
    _x000D_
    ' Apply updated data_x000D_
    ttbl.DataBodyRange.Value2 = targetData_x000D_
    _x000D_
    ' Insert new rows_x000D_
    If newRows.count &gt; 0 Then_x000D_
        InsertNewRows newRows, sourceData, columnMapping, ttbl_x000D_
    End If_x000D_
    _x000D_
_x000D_
_x000D_
_x000D_
    Exit Function_x000D_
End Function_x000D_
_x000D_
' </t>
  </si>
  <si>
    <t xml:space="preserve">Function to check if a column contains formulas_x000D_
</t>
  </si>
  <si>
    <t xml:space="preserve">Function ColumnHasFormula(colRange As Range) As Boolean_x000D_
    Dim cell As Range_x000D_
    For Each cell In colRange.Cells_x000D_
        If cell.HasFormula Then_x000D_
            ColumnHasFormula = True_x000D_
            Exit Function_x000D_
        End If_x000D_
    Next cell_x000D_
    ColumnHasFormula = False_x000D_
End Function_x000D_
_x000D_
' </t>
  </si>
  <si>
    <t xml:space="preserve">Function to check if a column is in the matched list_x000D_
</t>
  </si>
  <si>
    <t xml:space="preserve">Function IsColumnMatched(colIndex As Long, matchedCols As Collection) As Boolean_x000D_
    Dim item As Variant_x000D_
    For Each item In matchedCols_x000D_
        If item = colIndex Then_x000D_
            IsColumnMatched = True_x000D_
            Exit Function_x000D_
        End If_x000D_
    Next item_x000D_
    IsColumnMatched = False_x000D_
End Function_x000D_
_x000D_
Private </t>
  </si>
  <si>
    <t xml:space="preserve">Function InsertNewRows(newRows As Collection, sourceData As Variant, columnMapping As Collection, ttbl As ListObject)_x000D_
    Dim targetColCount As Long_x000D_
    targetColCount = ttbl.ListColumns.count ' Ensure we account for dynamically added columns_x000D_
    _x000D_
    Dim newRowsArray() As Variant_x000D_
    ReDim newRowsArray(1 To newRows.count, 1 To targetColCount) ' Resize based on target table columns_x000D_
    _x000D_
    Dim i As Long, j As Long_x000D_
    For i = 1 To newRows.count_x000D_
        Dim sourceIdx As Long_x000D_
        sourceIdx = newRows(i)_x000D_
        _x000D_
        For j = 1 To columnMapping.count_x000D_
            Dim mapping As Variant_x000D_
            mapping = columnMapping(j)_x000D_
            If mapping(1) &lt;= targetColCount And mapping(0) &lt;= UBound(sourceData, 2) Then ' Ensure bounds_x000D_
                newRowsArray(i, mapping(1)) = sourceData(sourceIdx, mapping(0))_x000D_
            End If_x000D_
        Next j_x000D_
    Next i_x000D_
    _x000D_
    Dim newRange As Range_x000D_
    Set newRange = ttbl.ListRows.Add(AlwaysInsert:=True).Range_x000D_
    If newRows.count &gt; 1 Then_x000D_
        Set newRange = newRange.Resize(newRows.count, targetColCount)_x000D_
    End If_x000D_
    newRange.Value2 = newRowsArray_x000D_
End Function_x000D_
_x000D_
_x000D_
Private </t>
  </si>
  <si>
    <t xml:space="preserve">Function MatchID(targetLookup As Variant, searchID As String) As Long_x000D_
    Dim i As Long_x000D_
    For i = 1 To UBound(targetLookup)_x000D_
        If targetLookup(i) = searchID Then_x000D_
            MatchID = i_x000D_
            Exit Function_x000D_
        End If_x000D_
    Next i_x000D_
    MatchID = 0_x000D_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</si>
  <si>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t>
  </si>
  <si>
    <t xml:space="preserve">Sub ClearMatchingOverwrites()_x000D_
_x000D_
    Dim ws As Worksheet_x000D_
    Dim lo As ListObject_x000D_
    Dim i As Long_x000D_
    Dim colFromProperty As ListColumn_x000D_
    Dim colOverwrite As ListColumn_x000D_
    Dim rngFromProperty As Range_x000D_
    Dim rngOverwrite As Range_x000D_
_x000D_
    ' Set worksheet and table_x000D_
    Set ws = ThisWorkbook.Sheets("Columns")_x000D_
    Set lo = ws.ListObjects("meta_Columns")_x000D_
    _x000D_
    ' Set columns_x000D_
    Set colFromProperty = lo.ListColumns("Excel Column - Label from Property or Referenced Table")_x000D_
    Set colOverwrite = lo.ListColumns("Excel Column - Label Overwrite")_x000D_
    _x000D_
    ' Set data ranges (only data body, no headers)_x000D_
    Set rngFromProperty = colFromProperty.DataBodyRange_x000D_
    Set rngOverwrite = colOverwrite.DataBodyRange_x000D_
_x000D_
    ' Loop through rows safely_x000D_
        For i = 1 To lo.ListRows.count_x000D_
            valFromProperty = colFromProperty.DataBodyRange.Cells(i).Value_x000D_
            valOverwrite = colOverwrite.DataBodyRange.Cells(i).Value_x000D_
            _x000D_
            If Not IsError(valFromProperty) And Not IsError(valOverwrite) Then_x000D_
                If Len(valOverwrite) &gt; 0 Then_x000D_
                    If CStr(valFromProperty) = CStr(valOverwrite) Then_x000D_
                        colOverwrite.DataBodyRange.Cells(i).ClearContents_x000D_
                    End If_x000D_
                End If_x000D_
            End If_x000D_
        Next i_x000D_
_x000D_
End Sub_x000D_
_x000D_
_x000D_
_x000D_
_x000D_
_x000D_
_x000D_
_x000D_
_x000D_
_x000D_
_x000D_
_x000D_
_x000D_
_x000D_
_x000D_
_x000D_
_x000D_
_x000D_
</t>
  </si>
  <si>
    <t>v.04</t>
  </si>
  <si>
    <t>v7.05</t>
  </si>
  <si>
    <t>o delivered first time through github veri.git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</si>
</sst>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0">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Font="1" applyBorder="1" applyAlignment="1">
      <alignment vertical="top"/>
    </xf>
    <xf numFmtId="0" fontId="20" fillId="11" borderId="1" xfId="0" applyFont="1" applyFill="1" applyBorder="1" applyAlignment="1">
      <alignment vertical="top"/>
    </xf>
    <xf numFmtId="0" fontId="20" fillId="4" borderId="1" xfId="0" applyFont="1" applyFill="1" applyBorder="1" applyAlignment="1">
      <alignment vertical="top"/>
    </xf>
    <xf numFmtId="0" fontId="20" fillId="11"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0" fillId="0" borderId="0" xfId="0" quotePrefix="1" applyAlignment="1">
      <alignment vertical="top" wrapText="1"/>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35">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ont>
        <color rgb="FF006100"/>
      </font>
      <fill>
        <patternFill>
          <bgColor rgb="FFC6EFCE"/>
        </patternFill>
      </fill>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FF0000"/>
      </font>
    </dxf>
    <dxf>
      <font>
        <color rgb="FFFF0000"/>
      </font>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ill>
        <patternFill>
          <bgColor rgb="FFFF0000"/>
        </patternFill>
      </fill>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34" headerRowBorderDxfId="433" tableBorderDxfId="432">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31">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30" headerRowBorderDxfId="429" tableBorderDxfId="428">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27">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26">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25">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24" headerRowBorderDxfId="423" tableBorderDxfId="422">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21">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20" dataDxfId="419">
  <autoFilter ref="A2:J10" xr:uid="{00000000-0009-0000-0100-00000F000000}"/>
  <tableColumns count="10">
    <tableColumn id="1" xr3:uid="{00000000-0010-0000-0000-000001000000}" name="ID" dataDxfId="418"/>
    <tableColumn id="2" xr3:uid="{00000000-0010-0000-0000-000002000000}" name="Name" dataDxfId="417"/>
    <tableColumn id="3" xr3:uid="{00000000-0010-0000-0000-000003000000}" name="Version" dataDxfId="416"/>
    <tableColumn id="4" xr3:uid="{00000000-0010-0000-0000-000004000000}" name="Date Tag" dataDxfId="415"/>
    <tableColumn id="5" xr3:uid="{00000000-0010-0000-0000-000005000000}" name="File Name" dataDxfId="414">
      <calculatedColumnFormula>meta_DocumentVersions[[#This Row],[Date Tag]]&amp;"_"&amp;meta_DocumentVersions[[#This Row],[Name]]&amp;"_"&amp;meta_DocumentVersions[[#This Row],[Version]]&amp;".xlsm"</calculatedColumnFormula>
    </tableColumn>
    <tableColumn id="6" xr3:uid="{00000000-0010-0000-0000-000006000000}" name="Change Log" dataDxfId="413"/>
    <tableColumn id="9" xr3:uid="{00000000-0010-0000-0000-000009000000}" name="Branch of Document" dataDxfId="412"/>
    <tableColumn id="7" xr3:uid="{00000000-0010-0000-0000-000007000000}" name="Create Branch" dataDxfId="411"/>
    <tableColumn id="8" xr3:uid="{00000000-0010-0000-0000-000008000000}" name="Merge Branch" dataDxfId="410"/>
    <tableColumn id="10" xr3:uid="{00000000-0010-0000-0000-00000A000000}" name="Freeze Version" dataDxfId="40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62156AB-9B91-4FBB-9F02-9ABD0880D2F6}" name="meta_Snippets" displayName="meta_Snippets" ref="A1:G205" totalsRowShown="0" headerRowDxfId="408" dataDxfId="407">
  <autoFilter ref="A1:G205" xr:uid="{562156AB-9B91-4FBB-9F02-9ABD0880D2F6}"/>
  <tableColumns count="7">
    <tableColumn id="1" xr3:uid="{BB2F4ADE-0D7D-4D13-912E-019FF7FF1AC6}" name="ID" dataDxfId="406"/>
    <tableColumn id="2" xr3:uid="{4A9AE7E1-8A7F-4300-A4E7-67FEAA60EAD9}" name="Kind:src" dataDxfId="405"/>
    <tableColumn id="3" xr3:uid="{4F54C0D4-4738-45F0-B498-B1D619E2BADA}" name="Kind" dataDxfId="404"/>
    <tableColumn id="4" xr3:uid="{C9BCC81A-225C-47C8-A413-44BEF397C333}" name="Package" dataDxfId="403"/>
    <tableColumn id="5" xr3:uid="{121AA17D-7A8E-4175-BD7D-33619E5912CF}" name="Sub Package" dataDxfId="402"/>
    <tableColumn id="6" xr3:uid="{FAD13CD6-D7EE-4E24-AA68-06BF359A6D24}" name="Line" dataDxfId="401"/>
    <tableColumn id="7" xr3:uid="{3FFF7657-D193-472C-B840-B1279D9BE850}" name="Snippet"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399" dataDxfId="397" headerRowBorderDxfId="398" tableBorderDxfId="396" totalsRowBorderDxfId="395">
  <autoFilter ref="A1:H25" xr:uid="{72D1D787-80C1-41B3-A5E1-361C96CBA839}"/>
  <tableColumns count="8">
    <tableColumn id="1" xr3:uid="{F69362F0-9487-44C4-993A-5B2A248EFEFC}" name="ID" dataDxfId="394"/>
    <tableColumn id="2" xr3:uid="{DEE0911D-8686-4E73-9CBA-9D80643E8EA5}" name="Kind:src" dataDxfId="393"/>
    <tableColumn id="3" xr3:uid="{CB794C21-D1C3-48B1-8E5D-79BBADE1C529}" name="Kind" dataDxfId="392"/>
    <tableColumn id="4" xr3:uid="{95386E7E-2DB3-484E-AA98-50A8CAD62D87}" name="Package" dataDxfId="391"/>
    <tableColumn id="5" xr3:uid="{FC7BB08F-0ED4-4A9E-A0A1-FC8AB8C0FB4B}" name="Sub Package" dataDxfId="390"/>
    <tableColumn id="6" xr3:uid="{2301BADC-4346-4B97-ADAA-F066AC1A9D66}" name="Topic Order" dataDxfId="389"/>
    <tableColumn id="8" xr3:uid="{58EBC06B-6057-42D0-B230-9B5F5DEFF0AD}" name="Topic" dataDxfId="388"/>
    <tableColumn id="9" xr3:uid="{3B170A2B-1D49-4772-8781-3E2FA0A71920}" name="Definition" dataDxfId="3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86" dataDxfId="384" headerRowBorderDxfId="385">
  <autoFilter ref="A1:O22" xr:uid="{00000000-0009-0000-0100-000004000000}"/>
  <sortState xmlns:xlrd2="http://schemas.microsoft.com/office/spreadsheetml/2017/richdata2" ref="A2:O22">
    <sortCondition ref="A1:A22"/>
  </sortState>
  <tableColumns count="15">
    <tableColumn id="1" xr3:uid="{00000000-0010-0000-0300-000001000000}" name="ID" dataDxfId="383"/>
    <tableColumn id="21" xr3:uid="{61D4FD97-EA15-48B9-A19D-F3B5B7FF39E8}" name="Kind:src" dataDxfId="382"/>
    <tableColumn id="5" xr3:uid="{00000000-0010-0000-0300-000005000000}" name="Kind" dataDxfId="381">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0">
      <calculatedColumnFormula>IFERROR(LEFT(meta_Tables[[#This Row],[Excel Table - Excel Name]],FIND("_",meta_Tables[[#This Row],[Excel Table - Excel Name]])-1),"")</calculatedColumnFormula>
    </tableColumn>
    <tableColumn id="15" xr3:uid="{00000000-0010-0000-0300-00000F000000}" name="Sub Package" dataDxfId="379"/>
    <tableColumn id="10" xr3:uid="{00000000-0010-0000-0300-00000A000000}" name="Excel Table - Excel Name" dataDxfId="378"/>
    <tableColumn id="17" xr3:uid="{00000000-0010-0000-0300-000011000000}" name="Display Qualified" dataDxfId="377">
      <calculatedColumnFormula>IF(meta_Tables[[#This Row],[Package]]="","",meta_Tables[[#This Row],[Package]]&amp;"::")&amp;meta_Tables[[#This Row],[Display]]</calculatedColumnFormula>
    </tableColumn>
    <tableColumn id="16" xr3:uid="{00000000-0010-0000-0300-000010000000}" name="Display" dataDxfId="376">
      <calculatedColumnFormula array="1">_xlfn.IFNA(INDEX(meta_Names[Camel Upper], MATCH(meta_Tables[[#This Row],[Name]],meta_Names[String],0)),camelCaseUpper(meta_Tables[[#This Row],[Name]]))</calculatedColumnFormula>
    </tableColumn>
    <tableColumn id="2" xr3:uid="{00000000-0010-0000-0300-000002000000}" name="Name" dataDxfId="375"/>
    <tableColumn id="9" xr3:uid="{00000000-0010-0000-0300-000009000000}" name="Instances Class:src" dataDxfId="374"/>
    <tableColumn id="3" xr3:uid="{00000000-0010-0000-0300-000003000000}" name="Instances Class" dataDxfId="373">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72"/>
    <tableColumn id="4" xr3:uid="{00000000-0010-0000-0300-000004000000}" name="Excel Table - Explicit Sheet Name" dataDxfId="371"/>
    <tableColumn id="18" xr3:uid="{69532265-581F-457F-BE63-025A68679E82}" name="Excel Formula for Column Label Actual Calculation Previous Line " dataDxfId="370">
      <calculatedColumnFormula>IF(ROW()=2,"",INDEX(meta_Tables[Excel Formula for Column Label Actual Calculation], ROW()-2))</calculatedColumnFormula>
    </tableColumn>
    <tableColumn id="7" xr3:uid="{8BC3F362-2D86-4BB2-800A-49AAE2C934CD}" name="Excel Formula for Column Label Actual Calculation" dataDxfId="369">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67" dataDxfId="365" headerRowBorderDxfId="366" tableBorderDxfId="364" totalsRowBorderDxfId="363">
  <autoFilter ref="A1:BE422" xr:uid="{00000000-0009-0000-0100-00000E000000}"/>
  <tableColumns count="57">
    <tableColumn id="1" xr3:uid="{00000000-0010-0000-0400-000001000000}" name="ID" dataDxfId="362"/>
    <tableColumn id="49" xr3:uid="{6E72B505-24D7-4338-9A65-D70EFDFFC57B}" name="Kind:src" dataDxfId="361"/>
    <tableColumn id="3" xr3:uid="{00000000-0010-0000-0400-000003000000}" name="Kind" dataDxfId="360">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59">
      <calculatedColumnFormula>IF(meta_Columns[[#This Row],[Owning Table:src]]="","",INDEX(meta_Classifiers[Package],MATCH(meta_Columns[[#This Row],[Owning Table Instances Class]],meta_Classifiers[ID],0)))</calculatedColumnFormula>
    </tableColumn>
    <tableColumn id="5" xr3:uid="{00000000-0010-0000-0400-000005000000}" name="Sub Package" dataDxfId="358"/>
    <tableColumn id="14" xr3:uid="{00000000-0010-0000-0400-00000E000000}" name="_Tables" dataDxfId="357">
      <calculatedColumnFormula>INDEX(meta_Tables[Excel Table - Excel Name],MATCH(meta_Columns[[#This Row],[Owning Table:src]],meta_Tables[ID],0))</calculatedColumnFormula>
    </tableColumn>
    <tableColumn id="10" xr3:uid="{00000000-0010-0000-0400-00000A000000}" name="Owning Table Instances Class" dataDxfId="356">
      <calculatedColumnFormula>INDEX(meta_Tables[Instances Class:src],MATCH(meta_Columns[[#This Row],[Owning Table:src]],meta_Tables[ID],0))</calculatedColumnFormula>
    </tableColumn>
    <tableColumn id="40" xr3:uid="{C54BA0C1-D44D-4CFE-B1CA-3F830A4C1A66}" name="Owning Table:src" dataDxfId="355"/>
    <tableColumn id="9" xr3:uid="{00000000-0010-0000-0400-000009000000}" name="Owning Table" dataDxfId="354">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53"/>
    <tableColumn id="45" xr3:uid="{B2BC55F0-4617-47EF-A1AE-AA473E4D6E63}" name="Referenced Table" dataDxfId="352">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51"/>
    <tableColumn id="41" xr3:uid="{B2C65460-A4E0-A340-BFA4-E6287331A5B3}" name="Referenced Table Display and Select Column" dataDxfId="350"/>
    <tableColumn id="52" xr3:uid="{2BF52C4F-C41A-48F9-A0B1-82565B174F58}" name="Changeable" dataDxfId="349">
      <calculatedColumnFormula>IF(meta_Columns[[#This Row],[Excel Column - Excel Formula]]="","x","")</calculatedColumnFormula>
    </tableColumn>
    <tableColumn id="55" xr3:uid="{2BE28D52-EA0C-469A-B592-F2C9E6B6F804}" name="Excel Column - Name Prefix" dataDxfId="348"/>
    <tableColumn id="56" xr3:uid="{A1AFBA24-E5F8-4960-925A-492F12DA3C5C}" name="Referenced Table Instance Class Name" dataDxfId="347">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46">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45"/>
    <tableColumn id="22" xr3:uid="{00000000-0010-0000-0400-000016000000}" name="Property" dataDxfId="344">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43"/>
    <tableColumn id="13" xr3:uid="{00000000-0010-0000-0400-00000D000000}" name="Generalization 6" dataDxfId="342">
      <calculatedColumnFormula>INDEX(meta_Classifiers[Class - Generalization:src], MATCH(meta_Columns[[#This Row],[Generalization 5]],meta_Classifiers[ID],0))</calculatedColumnFormula>
    </tableColumn>
    <tableColumn id="29" xr3:uid="{00000000-0010-0000-0400-00001D000000}" name="Generalization 5" dataDxfId="341">
      <calculatedColumnFormula>INDEX(meta_Classifiers[Class - Generalization:src], MATCH(meta_Columns[[#This Row],[Generalization 4]],meta_Classifiers[ID],0))</calculatedColumnFormula>
    </tableColumn>
    <tableColumn id="28" xr3:uid="{00000000-0010-0000-0400-00001C000000}" name="Generalization 4" dataDxfId="340">
      <calculatedColumnFormula>INDEX(meta_Classifiers[Class - Generalization:src], MATCH(meta_Columns[[#This Row],[Generalization 3]],meta_Classifiers[ID],0))</calculatedColumnFormula>
    </tableColumn>
    <tableColumn id="21" xr3:uid="{00000000-0010-0000-0400-000015000000}" name="Generalization 3" dataDxfId="339">
      <calculatedColumnFormula>INDEX(meta_Classifiers[Class - Generalization:src], MATCH(meta_Columns[[#This Row],[Generalization 2]],meta_Classifiers[ID],0))</calculatedColumnFormula>
    </tableColumn>
    <tableColumn id="20" xr3:uid="{00000000-0010-0000-0400-000014000000}" name="Generalization 2" dataDxfId="338">
      <calculatedColumnFormula>INDEX(meta_Classifiers[Class - Generalization:src], MATCH(meta_Columns[[#This Row],[Generalization 1]],meta_Classifiers[ID],0))</calculatedColumnFormula>
    </tableColumn>
    <tableColumn id="16" xr3:uid="{00000000-0010-0000-0400-000010000000}" name="Generalization 1" dataDxfId="337">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36">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3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34">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33">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32">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31">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30">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29">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28">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27">
      <calculatedColumnFormula>INDEX(meta_TypedModelElements[Property - Owning Class:src],MATCH(meta_Columns[[#This Row],[Property]],meta_TypedModelElements[ID],0))</calculatedColumnFormula>
    </tableColumn>
    <tableColumn id="12" xr3:uid="{00000000-0010-0000-0400-00000C000000}" name="Property Kind" dataDxfId="326">
      <calculatedColumnFormula>INDEX(meta_TypedModelElements[Kind:src],MATCH(meta_Columns[[#This Row],[Property]],meta_TypedModelElements[ID],0))</calculatedColumnFormula>
    </tableColumn>
    <tableColumn id="19" xr3:uid="{00000000-0010-0000-0400-000013000000}" name="Property Name" dataDxfId="325">
      <calculatedColumnFormula>INDEX(meta_TypedModelElements[Name or Type],MATCH(meta_Columns[[#This Row],[Property]],meta_TypedModelElements[ID],0))</calculatedColumnFormula>
    </tableColumn>
    <tableColumn id="27" xr3:uid="{00000000-0010-0000-0400-00001B000000}" name="Property Changeable" dataDxfId="324">
      <calculatedColumnFormula>INDEX(meta_TypedModelElements[Property - Changeable],MATCH(meta_Columns[[#This Row],[Property]],meta_TypedModelElements[ID],0))</calculatedColumnFormula>
    </tableColumn>
    <tableColumn id="7" xr3:uid="{00000000-0010-0000-0400-000007000000}" name="Position" dataDxfId="323"/>
    <tableColumn id="37" xr3:uid="{00000000-0010-0000-0400-000025000000}" name="Stored Column Position" dataDxfId="322"/>
    <tableColumn id="18" xr3:uid="{00000000-0010-0000-0400-000012000000}" name="Excel Column - Label from Property or Referenced Table" dataDxfId="321">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20">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19">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18">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17">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16">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15">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14">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13"/>
    <tableColumn id="46" xr3:uid="{72F9B8E6-EC9A-4F83-89CF-8F88F28F6218}" name="Display Qualified" dataDxfId="312">
      <calculatedColumnFormula>meta_Columns[[#This Row],[Owning Table]]&amp;"."&amp;meta_Columns[[#This Row],[Excel Column - Label]]</calculatedColumnFormula>
    </tableColumn>
    <tableColumn id="8" xr3:uid="{00000000-0010-0000-0400-000008000000}" name="Excel Column - Label Overwrite" dataDxfId="311"/>
    <tableColumn id="17" xr3:uid="{00000000-0010-0000-0400-000011000000}" name="Excel Column - Label" dataDxfId="310">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309"/>
    <tableColumn id="39" xr3:uid="{00000000-0010-0000-0400-000027000000}" name="Excel Column - Excel Formula" dataDxfId="308">
      <calculatedColumnFormula>IF(meta_Columns[[#This Row],[Excel Column - Explicit Excel Formula]]="","",meta_Columns[[#This Row],[Excel Column - Explicit Excel Formula]])</calculatedColumnFormula>
    </tableColumn>
    <tableColumn id="57" xr3:uid="{C2776EE3-610F-C044-84D9-D4ECD4E36C59}" name="Excel Column - Validation Formula" dataDxfId="307"/>
    <tableColumn id="2" xr3:uid="{C6EC425D-35C3-094D-B676-8DF67F65D351}" name="Excel Column - String Type" dataDxfId="30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02" dataDxfId="301">
  <autoFilter ref="A1:J157" xr:uid="{7CD077CE-2522-E54B-8795-DD96B8910310}"/>
  <sortState xmlns:xlrd2="http://schemas.microsoft.com/office/spreadsheetml/2017/richdata2" ref="A2:J2">
    <sortCondition ref="B1:B2"/>
  </sortState>
  <tableColumns count="10">
    <tableColumn id="1" xr3:uid="{039C78D3-8B0F-A241-97FA-094A8046FF0F}" name="ID" dataDxfId="300"/>
    <tableColumn id="2" xr3:uid="{0AD79BEA-8662-8647-AAEF-78F179AB323F}" name="String" dataDxfId="299"/>
    <tableColumn id="3" xr3:uid="{CAA01845-91A3-F149-8742-D365F2921AC7}" name="Business" dataDxfId="298"/>
    <tableColumn id="4" xr3:uid="{C501D843-BE84-B84F-835C-B89F00987244}" name="Camel Upper" dataDxfId="297"/>
    <tableColumn id="5" xr3:uid="{EA94684F-8CB1-4D46-9F91-EEEEB67CE87D}" name="Camel Lower" dataDxfId="296"/>
    <tableColumn id="6" xr3:uid="{349D27A8-7D60-234A-854F-27A2BE2BA59E}" name="Business from Camel" dataDxfId="295"/>
    <tableColumn id="7" xr3:uid="{A3A5C058-B556-A842-AA1C-9CAEFA6CD30B}" name="Camel Upper from Business" dataDxfId="294"/>
    <tableColumn id="8" xr3:uid="{B32416A6-067A-0848-AE3B-CFE4CFA6A267}" name="Camel Lower from Business" dataDxfId="293"/>
    <tableColumn id="9" xr3:uid="{E6DD6C77-BEDD-7845-AE35-F805A41CAFF4}" name="Business =_x000a_Business from Camel" dataDxfId="292">
      <calculatedColumnFormula>meta_Names[[#This Row],[Business]]=meta_Names[[#This Row],[Business from Camel]]</calculatedColumnFormula>
    </tableColumn>
    <tableColumn id="10" xr3:uid="{48C49937-9D72-4E0D-BFD6-B4417D2170FD}" name="Business =_x000a_String" dataDxfId="291">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290" dataDxfId="288" headerRowBorderDxfId="289">
  <autoFilter ref="A2:S65" xr:uid="{00000000-0009-0000-0100-000002000000}">
    <filterColumn colId="10">
      <filters>
        <filter val="Package"/>
        <filter val="Package Documentation"/>
      </filters>
    </filterColumn>
  </autoFilter>
  <tableColumns count="19">
    <tableColumn id="1" xr3:uid="{00000000-0010-0000-0100-000001000000}" name="ID" dataDxfId="287"/>
    <tableColumn id="18" xr3:uid="{2BE72F52-E16A-4A6E-B454-1FDF1FC0AC76}" name="Kind:src" dataDxfId="286"/>
    <tableColumn id="3" xr3:uid="{00000000-0010-0000-0100-000003000000}" name="Kind" dataDxfId="285">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84"/>
    <tableColumn id="6" xr3:uid="{00000000-0010-0000-0100-000006000000}" name="Package" dataDxfId="283"/>
    <tableColumn id="11" xr3:uid="{00000000-0010-0000-0100-00000B000000}" name="Sub Package" dataDxfId="282"/>
    <tableColumn id="8" xr3:uid="{00000000-0010-0000-0100-000008000000}" name="Display Qualified" dataDxfId="281">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80">
      <calculatedColumnFormula>IF(TRIM(meta_Classifiers[[#This Row],[Package]])="","",TRIM(LOWER(meta_Classifiers[[#This Row],[Package]]))&amp;"::")&amp;meta_Classifiers[[#This Row],[Display]]</calculatedColumnFormula>
    </tableColumn>
    <tableColumn id="4" xr3:uid="{1F96AF77-F561-498C-83C6-97508193393F}" name="Class Display Qualified" dataDxfId="279">
      <calculatedColumnFormula>IF(meta_Classifiers[[#This Row],[Kind:src]]="_Class",meta_Classifiers[[#This Row],[Display Qualified]],"")</calculatedColumnFormula>
    </tableColumn>
    <tableColumn id="7" xr3:uid="{00000000-0010-0000-0100-000007000000}" name="Display" dataDxfId="278">
      <calculatedColumnFormula array="1">_xlfn.IFNA(INDEX(meta_Names[Camel Upper], MATCH(meta_Classifiers[[#This Row],[Name]],meta_Names[String],0)),camelCaseUpper(meta_Classifiers[[#This Row],[Name]]))</calculatedColumnFormula>
    </tableColumn>
    <tableColumn id="2" xr3:uid="{00000000-0010-0000-0100-000002000000}" name="Name" dataDxfId="277"/>
    <tableColumn id="10" xr3:uid="{00000000-0010-0000-0100-00000A000000}" name="Class - Abstract" dataDxfId="276"/>
    <tableColumn id="19" xr3:uid="{ED60A2E8-F17C-4073-BE76-82B6FA2B86D4}" name="Class - Generalization:src" dataDxfId="275"/>
    <tableColumn id="9" xr3:uid="{00000000-0010-0000-0100-000009000000}" name="Class - Generalization" dataDxfId="274">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73"/>
    <tableColumn id="15" xr3:uid="{67827286-A0CE-49AE-BFD2-FA4C08880A6B}" name="Class - Display Property:src" dataDxfId="272"/>
    <tableColumn id="13" xr3:uid="{FBD4F397-3D8C-4243-AF74-B11E28814CC7}" name="Class - Display Property" dataDxfId="271">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70">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69" dataDxfId="267" headerRowBorderDxfId="268">
  <autoFilter ref="A1:BK100" xr:uid="{00000000-0009-0000-0100-000003000000}"/>
  <tableColumns count="63">
    <tableColumn id="1" xr3:uid="{00000000-0010-0000-0200-000001000000}" name="ID" dataDxfId="266"/>
    <tableColumn id="60" xr3:uid="{22C14872-E9C6-4C69-AABF-C7FE84BF94C5}" name="Kind:src" dataDxfId="265"/>
    <tableColumn id="3" xr3:uid="{00000000-0010-0000-0200-000003000000}" name="Kind" dataDxfId="264">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63"/>
    <tableColumn id="9" xr3:uid="{00000000-0010-0000-0200-000009000000}" name="Package" dataDxfId="262"/>
    <tableColumn id="49" xr3:uid="{00000000-0010-0000-0200-000031000000}" name="Sub Package" dataDxfId="261"/>
    <tableColumn id="20" xr3:uid="{00000000-0010-0000-0200-000014000000}" name="Containing Class" dataDxfId="260">
      <calculatedColumnFormula>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calculatedColumnFormula>
    </tableColumn>
    <tableColumn id="25" xr3:uid="{00000000-0010-0000-0200-000019000000}" name="Containing Class:display" dataDxfId="259">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58"/>
    <tableColumn id="4" xr3:uid="{00000000-0010-0000-0200-000004000000}" name="Property - Owning Class" dataDxfId="257">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256">
      <calculatedColumnFormula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calculatedColumnFormula>
    </tableColumn>
    <tableColumn id="61" xr3:uid="{4A6FCA08-96F4-4D00-8533-79D4A5CE90B4}" name="Function Display Qualified" dataDxfId="255">
      <calculatedColumnFormula>IF(meta_TypedModelElements[[#This Row],[Kind:src]]="_Function",meta_TypedModelElements[[#This Row],[Display Qualified]],"")</calculatedColumnFormula>
    </tableColumn>
    <tableColumn id="14" xr3:uid="{A39D399D-CE9B-4CED-B0F2-EA4D1F04D511}" name="Attribute Display Qualified" dataDxfId="254">
      <calculatedColumnFormula>IF(meta_TypedModelElements[[#This Row],[Kind:src]]="_Attribute",meta_TypedModelElements[[#This Row],[Display Qualified]],"")</calculatedColumnFormula>
    </tableColumn>
    <tableColumn id="10" xr3:uid="{23E6FB92-8780-4BD5-95CD-5EB986F257A6}" name="Reference Display Qualified" dataDxfId="253">
      <calculatedColumnFormula>IF(meta_TypedModelElements[[#This Row],[Kind:src]]="_Reference",meta_TypedModelElements[[#This Row],[Display Qualified]],"")</calculatedColumnFormula>
    </tableColumn>
    <tableColumn id="67" xr3:uid="{592AD66C-C5D3-4B92-8A96-534BF43FB8E8}" name="Property Display Qualified" dataDxfId="252">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51"/>
    <tableColumn id="46" xr3:uid="{00000000-0010-0000-0200-00002E000000}" name="Function - Parameters in VBA Header" dataDxfId="250"/>
    <tableColumn id="13" xr3:uid="{00000000-0010-0000-0200-00000D000000}" name="Display" dataDxfId="249">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48">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47">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46">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45"/>
    <tableColumn id="35" xr3:uid="{00000000-0010-0000-0200-000023000000}" name="Type Super Type 7" dataDxfId="244">
      <calculatedColumnFormula>INDEX(meta_Classifiers[Class - Generalization:src],MATCH(meta_TypedModelElements[[#This Row],[Type Super Type 6]],meta_Classifiers[ID],0))</calculatedColumnFormula>
    </tableColumn>
    <tableColumn id="34" xr3:uid="{00000000-0010-0000-0200-000022000000}" name="Type Super Type 6" dataDxfId="243">
      <calculatedColumnFormula>INDEX(meta_Classifiers[Class - Generalization:src],MATCH(meta_TypedModelElements[[#This Row],[Type Super Type 5]],meta_Classifiers[ID],0))</calculatedColumnFormula>
    </tableColumn>
    <tableColumn id="33" xr3:uid="{00000000-0010-0000-0200-000021000000}" name="Type Super Type 5" dataDxfId="242">
      <calculatedColumnFormula>INDEX(meta_Classifiers[Class - Generalization:src],MATCH(meta_TypedModelElements[[#This Row],[Type Super Type 4]],meta_Classifiers[ID],0))</calculatedColumnFormula>
    </tableColumn>
    <tableColumn id="32" xr3:uid="{00000000-0010-0000-0200-000020000000}" name="Type Super Type 4" dataDxfId="241">
      <calculatedColumnFormula>INDEX(meta_Classifiers[Class - Generalization:src],MATCH(meta_TypedModelElements[[#This Row],[Type Super Type 3]],meta_Classifiers[ID],0))</calculatedColumnFormula>
    </tableColumn>
    <tableColumn id="31" xr3:uid="{00000000-0010-0000-0200-00001F000000}" name="Type Super Type 3" dataDxfId="240">
      <calculatedColumnFormula>INDEX(meta_Classifiers[Class - Generalization:src],MATCH(meta_TypedModelElements[[#This Row],[Type Super Type 2]],meta_Classifiers[ID],0))</calculatedColumnFormula>
    </tableColumn>
    <tableColumn id="30" xr3:uid="{00000000-0010-0000-0200-00001E000000}" name="Type Super Type 2" dataDxfId="239">
      <calculatedColumnFormula>INDEX(meta_Classifiers[Class - Generalization:src],MATCH(meta_TypedModelElements[[#This Row],[Type Super Type 1]],meta_Classifiers[ID],0))</calculatedColumnFormula>
    </tableColumn>
    <tableColumn id="29" xr3:uid="{00000000-0010-0000-0200-00001D000000}" name="Type Super Type 1" dataDxfId="238">
      <calculatedColumnFormula>INDEX(meta_Classifiers[Class - Generalization:src],MATCH(meta_TypedModelElements[[#This Row],[Type:src]],meta_Classifiers[ID],0))</calculatedColumnFormula>
    </tableColumn>
    <tableColumn id="47" xr3:uid="{00000000-0010-0000-0200-00002F000000}" name="Type Derived:display" dataDxfId="237">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36">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35">
      <calculatedColumnFormula>IF(meta_TypedModelElements[[#This Row],[Type:src]]="","",INDEX(meta_Classifiers[Name],MATCH(meta_TypedModelElements[[#This Row],[Type:src]],meta_Classifiers[ID],0)))</calculatedColumnFormula>
    </tableColumn>
    <tableColumn id="11" xr3:uid="{00000000-0010-0000-0200-00000B000000}" name="Type:src" dataDxfId="234"/>
    <tableColumn id="5" xr3:uid="{00000000-0010-0000-0200-000005000000}" name="Type" dataDxfId="233">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32"/>
    <tableColumn id="50" xr3:uid="{00000000-0010-0000-0200-000032000000}" name="Property - Changeable" dataDxfId="231"/>
    <tableColumn id="58" xr3:uid="{9E7F4ABC-E0DA-4357-9BB2-46A1146750FF}" name="Reference - Opposite:src" dataDxfId="230"/>
    <tableColumn id="57" xr3:uid="{96F48300-C9E1-40B3-805C-02D5E99508F5}" name="Reference - Opposite" dataDxfId="229">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28"/>
    <tableColumn id="43" xr3:uid="{44952ACE-694A-4E95-9E6E-306F3B9D6EA8}" name="Reference - Display and Select Property" dataDxfId="227">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26"/>
    <tableColumn id="26" xr3:uid="{00000000-0010-0000-0200-00001A000000}" name="Function - Owning Property:src"/>
    <tableColumn id="7" xr3:uid="{00000000-0010-0000-0200-000007000000}" name="Function - Owning Property" dataDxfId="225">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24"/>
    <tableColumn id="65" xr3:uid="{B27CF9EB-6CA4-46B8-B3EE-B959D8F16FA4}" name="Parameter - Owning Function:src" dataDxfId="223"/>
    <tableColumn id="8" xr3:uid="{00000000-0010-0000-0200-000008000000}" name="Parameter - Owning Function" dataDxfId="222">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21"/>
    <tableColumn id="23" xr3:uid="{00000000-0010-0000-0200-000017000000}" name="Property - Using Property" dataDxfId="220"/>
    <tableColumn id="28" xr3:uid="{00000000-0010-0000-0200-00001C000000}" name="Reference - Referenced Excel Table" dataDxfId="219">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18">
      <calculatedColumnFormula>"[@["&amp;meta_TypedModelElements[[#This Row],[Name or Type]]&amp;":src]]"</calculatedColumnFormula>
    </tableColumn>
    <tableColumn id="27" xr3:uid="{00000000-0010-0000-0200-00001B000000}" name="Reference - Excel Formula for Display" dataDxfId="217">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16">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15">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14"/>
    <tableColumn id="44" xr3:uid="{00000000-0010-0000-0200-00002C000000}" name="Feature - VBA Type" dataDxfId="213">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12"/>
    <tableColumn id="42" xr3:uid="{00000000-0010-0000-0200-00002A000000}" name="Feature - VBA Header" dataDxfId="211">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10"/>
    <tableColumn id="18" xr3:uid="{00000000-0010-0000-0200-000012000000}" name="Feature - Manual VBA Body" dataDxfId="209"/>
    <tableColumn id="53" xr3:uid="{00000000-0010-0000-0200-000035000000}" name="Feature - VBA Body" dataDxfId="208"/>
    <tableColumn id="51" xr3:uid="{00000000-0010-0000-0200-000033000000}" name="Feature - VBA Code" dataDxfId="207"/>
    <tableColumn id="56" xr3:uid="{308D7EAC-363C-424D-90DD-C718CDAD73DE}" name="Code" dataDxfId="206"/>
    <tableColumn id="12" xr3:uid="{00000000-0010-0000-0200-00000C000000}" name="Description" dataDxfId="205"/>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04" dataDxfId="202" headerRowBorderDxfId="203" tableBorderDxfId="201">
  <autoFilter ref="A1:J31" xr:uid="{00000000-0009-0000-0100-000005000000}"/>
  <tableColumns count="10">
    <tableColumn id="8" xr3:uid="{00000000-0010-0000-0800-000008000000}" name="ID" dataDxfId="200"/>
    <tableColumn id="5" xr3:uid="{00000000-0010-0000-0800-000005000000}" name="Kind:src" dataDxfId="199"/>
    <tableColumn id="2" xr3:uid="{00000000-0010-0000-0800-000002000000}" name="Kind" dataDxfId="198">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197"/>
    <tableColumn id="10" xr3:uid="{00000000-0010-0000-0800-00000A000000}" name="Display:q" dataDxfId="196">
      <calculatedColumnFormula>IF(TRIM(meta_Literals[[#This Row],[Package]])="","",TRIM(LOWER(meta_Literals[[#This Row],[Package]]))&amp;"::")&amp;meta_Literals[[#This Row],[Display]]</calculatedColumnFormula>
    </tableColumn>
    <tableColumn id="9" xr3:uid="{00000000-0010-0000-0800-000009000000}" name="Display" dataDxfId="195">
      <calculatedColumnFormula>TRIM(SUBSTITUTE(meta_Literals[[#This Row],[Name]]," ",""))</calculatedColumnFormula>
    </tableColumn>
    <tableColumn id="3" xr3:uid="{00000000-0010-0000-0800-000003000000}" name="Name" dataDxfId="194"/>
    <tableColumn id="7" xr3:uid="{00000000-0010-0000-0800-000007000000}" name="Parent:src"/>
    <tableColumn id="4" xr3:uid="{00000000-0010-0000-0800-000004000000}" name="Parent" dataDxfId="193">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192" dataDxfId="190" headerRowBorderDxfId="191">
  <autoFilter ref="A1:DD5" xr:uid="{00000000-0009-0000-0100-000001000000}"/>
  <tableColumns count="108">
    <tableColumn id="1" xr3:uid="{00000000-0010-0000-0500-000001000000}" name="ID" dataDxfId="189"/>
    <tableColumn id="32" xr3:uid="{00000000-0010-0000-0500-000020000000}" name="Kind:src" dataDxfId="188"/>
    <tableColumn id="3" xr3:uid="{00000000-0010-0000-0500-000003000000}" name="Kind" dataDxfId="187">
      <calculatedColumnFormula>IF(meta_Rules[[#This Row],[Kind:src]]="","",INDEX(meta_Classifiers[Display Qualified],MATCH(meta_Rules[[#This Row],[Kind:src]],meta_Classifiers[ID],0)))</calculatedColumnFormula>
    </tableColumn>
    <tableColumn id="23" xr3:uid="{00000000-0010-0000-0500-000017000000}" name="Package" dataDxfId="186">
      <calculatedColumnFormula>_xlfn.IFNA(IF(meta_Rules[[#This Row],[Class:src]]="","util",INDEX(meta_Classifiers[Package],MATCH(meta_Rules[[#This Row],[Class:src]],meta_Classifiers[ID],0))),"")</calculatedColumnFormula>
    </tableColumn>
    <tableColumn id="104" xr3:uid="{00000000-0010-0000-0500-000068000000}" name="Sub Package" dataDxfId="185"/>
    <tableColumn id="46" xr3:uid="{00000000-0010-0000-0500-00002E000000}" name="Super Class 6:display:q." dataDxfId="184">
      <calculatedColumnFormula>_xlfn.IFNA(INDEX(meta_Classifiers[Display Qualified],MATCH(meta_Rules[[#This Row],[Super Class 6]],meta_Classifiers[ID],0))&amp;".","")</calculatedColumnFormula>
    </tableColumn>
    <tableColumn id="38" xr3:uid="{00000000-0010-0000-0500-000026000000}" name="Super Class 6" dataDxfId="183">
      <calculatedColumnFormula>_xlfn.IFNA(INDEX(meta_Classifiers[Class - Generalization:src],MATCH(meta_Rules[[#This Row],[Super Class 5]],meta_Classifiers[ID],0)),0)</calculatedColumnFormula>
    </tableColumn>
    <tableColumn id="45" xr3:uid="{00000000-0010-0000-0500-00002D000000}" name="Super Class 5:display:q." dataDxfId="182">
      <calculatedColumnFormula>_xlfn.IFNA(INDEX(meta_Classifiers[Display Qualified],MATCH(meta_Rules[[#This Row],[Super Class 5]],meta_Classifiers[ID],0))&amp;".","")</calculatedColumnFormula>
    </tableColumn>
    <tableColumn id="37" xr3:uid="{00000000-0010-0000-0500-000025000000}" name="Super Class 5" dataDxfId="181">
      <calculatedColumnFormula>_xlfn.IFNA(INDEX(meta_Classifiers[Class - Generalization:src],MATCH(meta_Rules[[#This Row],[Super Class 4]],meta_Classifiers[ID],0)),0)</calculatedColumnFormula>
    </tableColumn>
    <tableColumn id="44" xr3:uid="{00000000-0010-0000-0500-00002C000000}" name="Super Class 4:display:q." dataDxfId="180">
      <calculatedColumnFormula>_xlfn.IFNA(INDEX(meta_Classifiers[Display Qualified],MATCH(meta_Rules[[#This Row],[Super Class 4]],meta_Classifiers[ID],0))&amp;".","")</calculatedColumnFormula>
    </tableColumn>
    <tableColumn id="36" xr3:uid="{00000000-0010-0000-0500-000024000000}" name="Super Class 4" dataDxfId="179">
      <calculatedColumnFormula>_xlfn.IFNA(INDEX(meta_Classifiers[Class - Generalization:src],MATCH(meta_Rules[[#This Row],[Super Class 3]],meta_Classifiers[ID],0)),0)</calculatedColumnFormula>
    </tableColumn>
    <tableColumn id="43" xr3:uid="{00000000-0010-0000-0500-00002B000000}" name="Super Class 3:display:q." dataDxfId="178">
      <calculatedColumnFormula>_xlfn.IFNA(INDEX(meta_Classifiers[Display Qualified],MATCH(meta_Rules[[#This Row],[Super Class 3]],meta_Classifiers[ID],0))&amp;".","")</calculatedColumnFormula>
    </tableColumn>
    <tableColumn id="35" xr3:uid="{00000000-0010-0000-0500-000023000000}" name="Super Class 3" dataDxfId="177">
      <calculatedColumnFormula>_xlfn.IFNA(INDEX(meta_Classifiers[Class - Generalization:src],MATCH(meta_Rules[[#This Row],[Super Class 2]],meta_Classifiers[ID],0)),0)</calculatedColumnFormula>
    </tableColumn>
    <tableColumn id="42" xr3:uid="{00000000-0010-0000-0500-00002A000000}" name="Super Class 2:display:q." dataDxfId="176">
      <calculatedColumnFormula>_xlfn.IFNA(INDEX(meta_Classifiers[Display Qualified],MATCH(meta_Rules[[#This Row],[Super Class 2]],meta_Classifiers[ID],0))&amp;".","")</calculatedColumnFormula>
    </tableColumn>
    <tableColumn id="34" xr3:uid="{00000000-0010-0000-0500-000022000000}" name="Super Class 2" dataDxfId="175">
      <calculatedColumnFormula>_xlfn.IFNA(INDEX(meta_Classifiers[Class - Generalization:src],MATCH(meta_Rules[[#This Row],[Super Class 1]],meta_Classifiers[ID],0)),0)</calculatedColumnFormula>
    </tableColumn>
    <tableColumn id="40" xr3:uid="{00000000-0010-0000-0500-000028000000}" name="Super Class 1:display:q." dataDxfId="174">
      <calculatedColumnFormula>_xlfn.IFNA(INDEX(meta_Classifiers[Display Qualified],MATCH(meta_Rules[[#This Row],[Super Class 1]],meta_Classifiers[ID],0))&amp;".","")</calculatedColumnFormula>
    </tableColumn>
    <tableColumn id="33" xr3:uid="{00000000-0010-0000-0500-000021000000}" name="Super Class 1" dataDxfId="173">
      <calculatedColumnFormula>_xlfn.IFNA(INDEX(meta_Classifiers[Class - Generalization:src],MATCH(meta_Rules[[#This Row],[Class:src]],meta_Classifiers[ID],0)),0)</calculatedColumnFormula>
    </tableColumn>
    <tableColumn id="41" xr3:uid="{00000000-0010-0000-0500-000029000000}" name="Class:display:q." dataDxfId="172">
      <calculatedColumnFormula>INDEX(meta_Classifiers[Display Qualified],MATCH(meta_Rules[[#This Row],[Class:src]],meta_Classifiers[ID],0))&amp;"."</calculatedColumnFormula>
    </tableColumn>
    <tableColumn id="4" xr3:uid="{00000000-0010-0000-0500-000004000000}" name="Class:src" dataDxfId="171"/>
    <tableColumn id="30" xr3:uid="{00000000-0010-0000-0500-00001E000000}" name="Class" dataDxfId="170">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69">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68">
      <calculatedColumnFormula>IF(meta_Rules[[#This Row],[Class:src]]="","_Datatype","_Class")</calculatedColumnFormula>
    </tableColumn>
    <tableColumn id="39" xr3:uid="{00000000-0010-0000-0500-000027000000}" name="Feature:src" dataDxfId="167"/>
    <tableColumn id="5" xr3:uid="{00000000-0010-0000-0500-000005000000}" name="Feature" dataDxfId="166">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65"/>
    <tableColumn id="113" xr3:uid="{48E2B363-37B5-F842-903F-FA77081BCE10}" name="VBA Function Step 2" dataDxfId="164"/>
    <tableColumn id="112" xr3:uid="{28CD41D5-218C-4942-89C9-F94630A9FC92}" name="VBA Function Step 3" dataDxfId="163"/>
    <tableColumn id="111" xr3:uid="{D81BFF57-55DF-E948-A4C2-C4202E263512}" name="Do Action Rule Details" dataDxfId="162"/>
    <tableColumn id="19" xr3:uid="{00000000-0010-0000-0500-000013000000}" name="Line" dataDxfId="161"/>
    <tableColumn id="21" xr3:uid="{00000000-0010-0000-0500-000015000000}" name="Part:src" dataDxfId="160"/>
    <tableColumn id="22" xr3:uid="{00000000-0010-0000-0500-000016000000}" name="Part:displayedChoice" dataDxfId="159"/>
    <tableColumn id="24" xr3:uid="{00000000-0010-0000-0500-000018000000}" name="Part:q" dataDxfId="158">
      <calculatedColumnFormula>IF(TRIM(meta_Rules[[#This Row],[Part]])="","",IF(
  TRIM(meta_Rules[[#This Row],[Package]])="",
          "",
          meta_Rules[[#This Row],[Package]]&amp;"::")
&amp;meta_Rules[[#This Row],[Part]])</calculatedColumnFormula>
    </tableColumn>
    <tableColumn id="97" xr3:uid="{00000000-0010-0000-0500-000061000000}" name="Line As Text" dataDxfId="157">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56"/>
    <tableColumn id="9" xr3:uid="{00000000-0010-0000-0500-000009000000}" name="Rule Code" dataDxfId="155"/>
    <tableColumn id="29" xr3:uid="{00000000-0010-0000-0500-00001D000000}" name="Rule Biz ID Without Line" dataDxfId="154">
      <calculatedColumnFormula>meta_Rules[[#This Row],[Class:src]]&amp;"_"&amp;meta_Rules[[#This Row],[Feature]]&amp;"_"&amp;meta_Rules[[#This Row],[Kind]]</calculatedColumnFormula>
    </tableColumn>
    <tableColumn id="27" xr3:uid="{00000000-0010-0000-0500-00001B000000}" name="Rule Biz ID" dataDxfId="153">
      <calculatedColumnFormula>meta_Rules[[#This Row],[Rule Biz ID Without Line]]&amp;"_"&amp;meta_Rules[[#This Row],[Line]]</calculatedColumnFormula>
    </tableColumn>
    <tableColumn id="31" xr3:uid="{00000000-0010-0000-0500-00001F000000}" name="Part:src At Line - 1" dataDxfId="152">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51">
      <calculatedColumnFormula>IF(TRIM(meta_Rules[[#This Row],[Line]])="","",IF(meta_Rules[[#This Row],[Line]]=1,"",meta_Rules[[#This Row],[Line]]-1))</calculatedColumnFormula>
    </tableColumn>
    <tableColumn id="26" xr3:uid="{00000000-0010-0000-0500-00001A000000}" name="Indent" dataDxfId="150">
      <calculatedColumnFormula>IF(TRIM(meta_Rules[[#This Row],[Line]])="",0,IF(meta_Rules[[#This Row],[Line]]=1,0,
999))</calculatedColumnFormula>
    </tableColumn>
    <tableColumn id="25" xr3:uid="{00000000-0010-0000-0500-000019000000}" name="Generation" dataDxfId="149"/>
    <tableColumn id="17" xr3:uid="{00000000-0010-0000-0500-000011000000}" name="Operator" dataDxfId="148"/>
    <tableColumn id="62" xr3:uid="{00000000-0010-0000-0500-00003E000000}" name="Base Super Class 6:display:q." dataDxfId="147">
      <calculatedColumnFormula>_xlfn.IFNA(INDEX(meta_Classifiers[Display Qualified],MATCH(meta_Rules[[#This Row],[Base Super Class 6]],meta_Classifiers[ID],0))&amp;".","")</calculatedColumnFormula>
    </tableColumn>
    <tableColumn id="61" xr3:uid="{00000000-0010-0000-0500-00003D000000}" name="Base Super Class 6" dataDxfId="146">
      <calculatedColumnFormula>_xlfn.IFNA(INDEX(#REF!,MATCH(meta_Rules[[#This Row],[Base Super Class 5]],meta_Classifiers[ID],0)),0)</calculatedColumnFormula>
    </tableColumn>
    <tableColumn id="60" xr3:uid="{00000000-0010-0000-0500-00003C000000}" name="Base Super Class 5:display:q." dataDxfId="145">
      <calculatedColumnFormula>_xlfn.IFNA(INDEX(meta_Classifiers[Display Qualified],MATCH(meta_Rules[[#This Row],[Base Super Class 5]],meta_Classifiers[ID],0))&amp;".","")</calculatedColumnFormula>
    </tableColumn>
    <tableColumn id="59" xr3:uid="{00000000-0010-0000-0500-00003B000000}" name="Base Super Class 5" dataDxfId="144">
      <calculatedColumnFormula>_xlfn.IFNA(INDEX(#REF!,MATCH(meta_Rules[[#This Row],[Base Super Class 4]],meta_Classifiers[ID],0)),0)</calculatedColumnFormula>
    </tableColumn>
    <tableColumn id="58" xr3:uid="{00000000-0010-0000-0500-00003A000000}" name="Base Super Class 4:display:q." dataDxfId="143">
      <calculatedColumnFormula>_xlfn.IFNA(INDEX(meta_Classifiers[Display Qualified],MATCH(meta_Rules[[#This Row],[Base Super Class 4]],meta_Classifiers[ID],0))&amp;".","")</calculatedColumnFormula>
    </tableColumn>
    <tableColumn id="57" xr3:uid="{00000000-0010-0000-0500-000039000000}" name="Base Super Class 4" dataDxfId="142">
      <calculatedColumnFormula>_xlfn.IFNA(INDEX(#REF!,MATCH(meta_Rules[[#This Row],[Base Super Class 3]],meta_Classifiers[ID],0)),0)</calculatedColumnFormula>
    </tableColumn>
    <tableColumn id="56" xr3:uid="{00000000-0010-0000-0500-000038000000}" name="Base Super Class 3:display:q." dataDxfId="141">
      <calculatedColumnFormula>_xlfn.IFNA(INDEX(meta_Classifiers[Display Qualified],MATCH(meta_Rules[[#This Row],[Base Super Class 3]],meta_Classifiers[ID],0))&amp;".","")</calculatedColumnFormula>
    </tableColumn>
    <tableColumn id="55" xr3:uid="{00000000-0010-0000-0500-000037000000}" name="Base Super Class 3" dataDxfId="140">
      <calculatedColumnFormula>_xlfn.IFNA(INDEX(#REF!,MATCH(meta_Rules[[#This Row],[Base Super Class 2]],meta_Classifiers[ID],0)),0)</calculatedColumnFormula>
    </tableColumn>
    <tableColumn id="54" xr3:uid="{00000000-0010-0000-0500-000036000000}" name="Base Super Class 2:display:q." dataDxfId="139">
      <calculatedColumnFormula>_xlfn.IFNA(INDEX(meta_Classifiers[Display Qualified],MATCH(meta_Rules[[#This Row],[Base Super Class 2]],meta_Classifiers[ID],0))&amp;".","")</calculatedColumnFormula>
    </tableColumn>
    <tableColumn id="53" xr3:uid="{00000000-0010-0000-0500-000035000000}" name="Base Super Class 2" dataDxfId="138">
      <calculatedColumnFormula>_xlfn.IFNA(INDEX(#REF!,MATCH(meta_Rules[[#This Row],[Base Super Class 1]],meta_Classifiers[ID],0)),0)</calculatedColumnFormula>
    </tableColumn>
    <tableColumn id="52" xr3:uid="{00000000-0010-0000-0500-000034000000}" name="Base Super Class 1:display:q." dataDxfId="137">
      <calculatedColumnFormula>_xlfn.IFNA(INDEX(meta_Classifiers[Display Qualified],MATCH(meta_Rules[[#This Row],[Base Super Class 1]],meta_Classifiers[ID],0))&amp;".","")</calculatedColumnFormula>
    </tableColumn>
    <tableColumn id="51" xr3:uid="{00000000-0010-0000-0500-000033000000}" name="Base Super Class 1" dataDxfId="136">
      <calculatedColumnFormula>_xlfn.IFNA(INDEX(#REF!,MATCH(meta_Rules[[#This Row],[Base Type]],meta_Classifiers[ID],0)),0)</calculatedColumnFormula>
    </tableColumn>
    <tableColumn id="50" xr3:uid="{00000000-0010-0000-0500-000032000000}" name="Base Class:display:q." dataDxfId="135">
      <calculatedColumnFormula>INDEX(meta_Classifiers[Display Qualified],MATCH(meta_Rules[[#This Row],[Base Type]],meta_Classifiers[ID],0))&amp;"."</calculatedColumnFormula>
    </tableColumn>
    <tableColumn id="98" xr3:uid="{00000000-0010-0000-0500-000062000000}" name="Base Type Kind" dataDxfId="134">
      <calculatedColumnFormula>INDEX(#REF!,MATCH(meta_Rules[[#This Row],[Base Type]],meta_Classifiers[ID],0))</calculatedColumnFormula>
    </tableColumn>
    <tableColumn id="49" xr3:uid="{00000000-0010-0000-0500-000031000000}" name="Base Type" dataDxfId="133">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32">
      <calculatedColumnFormula>_xlfn.IFNA(INDEX(meta_TypedModelElements[ID],MATCH(meta_Rules[[#This Row],[Feature:src]]&amp;"."&amp;meta_Rules[[#This Row],[Base]],meta_TypedModelElements[ID],0)),"")</calculatedColumnFormula>
    </tableColumn>
    <tableColumn id="15" xr3:uid="{00000000-0010-0000-0500-00000F000000}" name="Base" dataDxfId="131"/>
    <tableColumn id="63" xr3:uid="{00000000-0010-0000-0500-00003F000000}" name="Property 1:src" dataDxfId="130"/>
    <tableColumn id="14" xr3:uid="{00000000-0010-0000-0500-00000E000000}" name="Property 1" dataDxfId="129">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28">
      <calculatedColumnFormula>_xlfn.IFNA(INDEX(meta_Classifiers[Display Qualified],MATCH(meta_Rules[[#This Row],[Property 1 Super Class 6]],meta_Classifiers[ID],0))&amp;".","")</calculatedColumnFormula>
    </tableColumn>
    <tableColumn id="79" xr3:uid="{00000000-0010-0000-0500-00004F000000}" name="Property 1 Super Class 6" dataDxfId="127">
      <calculatedColumnFormula>_xlfn.IFNA(INDEX(#REF!,MATCH(meta_Rules[[#This Row],[Property 1 Super Class 5]],meta_Classifiers[ID],0)),0)</calculatedColumnFormula>
    </tableColumn>
    <tableColumn id="78" xr3:uid="{00000000-0010-0000-0500-00004E000000}" name="Property 1 Super Class 5:display:q." dataDxfId="126">
      <calculatedColumnFormula>_xlfn.IFNA(INDEX(meta_Classifiers[Display Qualified],MATCH(meta_Rules[[#This Row],[Property 1 Super Class 5]],meta_Classifiers[ID],0))&amp;".","")</calculatedColumnFormula>
    </tableColumn>
    <tableColumn id="77" xr3:uid="{00000000-0010-0000-0500-00004D000000}" name="Property 1 Super Class 5" dataDxfId="125">
      <calculatedColumnFormula>_xlfn.IFNA(INDEX(#REF!,MATCH(meta_Rules[[#This Row],[Property 1 Super Class 4]],meta_Classifiers[ID],0)),0)</calculatedColumnFormula>
    </tableColumn>
    <tableColumn id="76" xr3:uid="{00000000-0010-0000-0500-00004C000000}" name="Property 1 Super Class 4:display:q." dataDxfId="124">
      <calculatedColumnFormula>_xlfn.IFNA(INDEX(meta_Classifiers[Display Qualified],MATCH(meta_Rules[[#This Row],[Property 1 Super Class 4]],meta_Classifiers[ID],0))&amp;".","")</calculatedColumnFormula>
    </tableColumn>
    <tableColumn id="75" xr3:uid="{00000000-0010-0000-0500-00004B000000}" name="Property 1 Super Class 4" dataDxfId="123">
      <calculatedColumnFormula>_xlfn.IFNA(INDEX(#REF!,MATCH(meta_Rules[[#This Row],[Property 1 Super Class 3]],meta_Classifiers[ID],0)),0)</calculatedColumnFormula>
    </tableColumn>
    <tableColumn id="74" xr3:uid="{00000000-0010-0000-0500-00004A000000}" name="Property 1 Super Class 3:display:q." dataDxfId="122">
      <calculatedColumnFormula>_xlfn.IFNA(INDEX(meta_Classifiers[Display Qualified],MATCH(meta_Rules[[#This Row],[Property 1 Super Class 3]],meta_Classifiers[ID],0))&amp;".","")</calculatedColumnFormula>
    </tableColumn>
    <tableColumn id="73" xr3:uid="{00000000-0010-0000-0500-000049000000}" name="Property 1 Super Class 3" dataDxfId="121">
      <calculatedColumnFormula>_xlfn.IFNA(INDEX(#REF!,MATCH(meta_Rules[[#This Row],[Property 1 Super Class 2]],meta_Classifiers[ID],0)),0)</calculatedColumnFormula>
    </tableColumn>
    <tableColumn id="72" xr3:uid="{00000000-0010-0000-0500-000048000000}" name="Property 1 Super Class 2:display:q." dataDxfId="120">
      <calculatedColumnFormula>_xlfn.IFNA(INDEX(meta_Classifiers[Display Qualified],MATCH(meta_Rules[[#This Row],[Property 1 Super Class 2]],meta_Classifiers[ID],0))&amp;".","")</calculatedColumnFormula>
    </tableColumn>
    <tableColumn id="71" xr3:uid="{00000000-0010-0000-0500-000047000000}" name="Property 1 Super Class 2" dataDxfId="119">
      <calculatedColumnFormula>_xlfn.IFNA(INDEX(#REF!,MATCH(meta_Rules[[#This Row],[Property 1 Super Class 1]],meta_Classifiers[ID],0)),0)</calculatedColumnFormula>
    </tableColumn>
    <tableColumn id="70" xr3:uid="{00000000-0010-0000-0500-000046000000}" name="Property 1 Super Class 1:display:q." dataDxfId="118">
      <calculatedColumnFormula>_xlfn.IFNA(INDEX(meta_Classifiers[Display Qualified],MATCH(meta_Rules[[#This Row],[Property 1 Super Class 1]],meta_Classifiers[ID],0))&amp;".","")</calculatedColumnFormula>
    </tableColumn>
    <tableColumn id="69" xr3:uid="{00000000-0010-0000-0500-000045000000}" name="Property 1 Super Class 1" dataDxfId="117">
      <calculatedColumnFormula>_xlfn.IFNA(INDEX(#REF!,MATCH(meta_Rules[[#This Row],[Property 1 Type]],meta_Classifiers[ID],0)),0)</calculatedColumnFormula>
    </tableColumn>
    <tableColumn id="68" xr3:uid="{00000000-0010-0000-0500-000044000000}" name="Property 1 Class:display:q." dataDxfId="116">
      <calculatedColumnFormula>_xlfn.IFNA(INDEX(meta_Classifiers[Display Qualified],MATCH(meta_Rules[[#This Row],[Property 1 Type]],meta_Classifiers[ID],0))&amp;".",0)</calculatedColumnFormula>
    </tableColumn>
    <tableColumn id="100" xr3:uid="{00000000-0010-0000-0500-000064000000}" name="Property 1 Type Kind" dataDxfId="115">
      <calculatedColumnFormula>IF(meta_Rules[[#This Row],[Property 1 Type]]="","",INDEX(#REF!,MATCH(meta_Rules[[#This Row],[Property 1 Type]],meta_Classifiers[ID],0)))</calculatedColumnFormula>
    </tableColumn>
    <tableColumn id="67" xr3:uid="{00000000-0010-0000-0500-000043000000}" name="Property 1 Type" dataDxfId="114">
      <calculatedColumnFormula>IF(meta_Rules[[#This Row],[Property 1:src]]="","",INDEX(meta_TypedModelElements[Type:src],MATCH(meta_Rules[[#This Row],[Property 1:src]],meta_TypedModelElements[ID],0)))</calculatedColumnFormula>
    </tableColumn>
    <tableColumn id="66" xr3:uid="{00000000-0010-0000-0500-000042000000}" name="Property 2:src" dataDxfId="113"/>
    <tableColumn id="13" xr3:uid="{00000000-0010-0000-0500-00000D000000}" name="Property 2" dataDxfId="112">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11"/>
    <tableColumn id="12" xr3:uid="{00000000-0010-0000-0500-00000C000000}" name="Cast" dataDxfId="110">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09">
      <calculatedColumnFormula>_xlfn.IFNA(INDEX(meta_Classifiers[Display Qualified],MATCH(meta_Rules[[#This Row],[Property 2 Super Class 6]],meta_Classifiers[ID],0))&amp;".","")</calculatedColumnFormula>
    </tableColumn>
    <tableColumn id="95" xr3:uid="{00000000-0010-0000-0500-00005F000000}" name="Property 2 Super Class 6" dataDxfId="108">
      <calculatedColumnFormula>_xlfn.IFNA(INDEX(#REF!,MATCH(meta_Rules[[#This Row],[Property 2 Super Class 5]],meta_Classifiers[ID],0)),0)</calculatedColumnFormula>
    </tableColumn>
    <tableColumn id="94" xr3:uid="{00000000-0010-0000-0500-00005E000000}" name="Property 2 Super Class 5:display:q." dataDxfId="107">
      <calculatedColumnFormula>_xlfn.IFNA(INDEX(meta_Classifiers[Display Qualified],MATCH(meta_Rules[[#This Row],[Property 2 Super Class 5]],meta_Classifiers[ID],0))&amp;".","")</calculatedColumnFormula>
    </tableColumn>
    <tableColumn id="93" xr3:uid="{00000000-0010-0000-0500-00005D000000}" name="Property 2 Super Class 5" dataDxfId="106">
      <calculatedColumnFormula>_xlfn.IFNA(INDEX(#REF!,MATCH(meta_Rules[[#This Row],[Property 2 Super Class 4]],meta_Classifiers[ID],0)),0)</calculatedColumnFormula>
    </tableColumn>
    <tableColumn id="92" xr3:uid="{00000000-0010-0000-0500-00005C000000}" name="Property 2 Super Class 4:display:q." dataDxfId="105">
      <calculatedColumnFormula>_xlfn.IFNA(INDEX(meta_Classifiers[Display Qualified],MATCH(meta_Rules[[#This Row],[Property 2 Super Class 4]],meta_Classifiers[ID],0))&amp;".","")</calculatedColumnFormula>
    </tableColumn>
    <tableColumn id="91" xr3:uid="{00000000-0010-0000-0500-00005B000000}" name="Property 2 Super Class 4" dataDxfId="104">
      <calculatedColumnFormula>_xlfn.IFNA(INDEX(#REF!,MATCH(meta_Rules[[#This Row],[Property 2 Super Class 3]],meta_Classifiers[ID],0)),0)</calculatedColumnFormula>
    </tableColumn>
    <tableColumn id="90" xr3:uid="{00000000-0010-0000-0500-00005A000000}" name="Property 2 Super Class 3:display:q." dataDxfId="103">
      <calculatedColumnFormula>_xlfn.IFNA(INDEX(meta_Classifiers[Display Qualified],MATCH(meta_Rules[[#This Row],[Property 2 Super Class 3]],meta_Classifiers[ID],0))&amp;".","")</calculatedColumnFormula>
    </tableColumn>
    <tableColumn id="89" xr3:uid="{00000000-0010-0000-0500-000059000000}" name="Property 2 Super Class 3" dataDxfId="102">
      <calculatedColumnFormula>_xlfn.IFNA(INDEX(#REF!,MATCH(meta_Rules[[#This Row],[Property 2 Super Class 2]],meta_Classifiers[ID],0)),0)</calculatedColumnFormula>
    </tableColumn>
    <tableColumn id="88" xr3:uid="{00000000-0010-0000-0500-000058000000}" name="Property 2 Super Class 2:display:q." dataDxfId="101">
      <calculatedColumnFormula>_xlfn.IFNA(INDEX(meta_Classifiers[Display Qualified],MATCH(meta_Rules[[#This Row],[Property 2 Super Class 2]],meta_Classifiers[ID],0))&amp;".","")</calculatedColumnFormula>
    </tableColumn>
    <tableColumn id="87" xr3:uid="{00000000-0010-0000-0500-000057000000}" name="Property 2 Super Class 2" dataDxfId="100">
      <calculatedColumnFormula>_xlfn.IFNA(INDEX(#REF!,MATCH(meta_Rules[[#This Row],[Property 2 Super Class 1]],meta_Classifiers[ID],0)),0)</calculatedColumnFormula>
    </tableColumn>
    <tableColumn id="86" xr3:uid="{00000000-0010-0000-0500-000056000000}" name="Property 2 Super Class 1:display:q." dataDxfId="99">
      <calculatedColumnFormula>_xlfn.IFNA(INDEX(meta_Classifiers[Display Qualified],MATCH(meta_Rules[[#This Row],[Property 2 Super Class 1]],meta_Classifiers[ID],0))&amp;".","")</calculatedColumnFormula>
    </tableColumn>
    <tableColumn id="85" xr3:uid="{00000000-0010-0000-0500-000055000000}" name="Property 2 Super Class 1" dataDxfId="98">
      <calculatedColumnFormula>_xlfn.IFNA(INDEX(#REF!,MATCH(meta_Rules[[#This Row],[Property 2 or Cast Type]],meta_Classifiers[ID],0)),0)</calculatedColumnFormula>
    </tableColumn>
    <tableColumn id="84" xr3:uid="{00000000-0010-0000-0500-000054000000}" name="Property 2 Class:display:q." dataDxfId="97">
      <calculatedColumnFormula>_xlfn.IFNA(INDEX(meta_Classifiers[Display Qualified],MATCH(meta_Rules[[#This Row],[Property 2 or Cast Type]],meta_Classifiers[ID],0))&amp;".",0)</calculatedColumnFormula>
    </tableColumn>
    <tableColumn id="101" xr3:uid="{00000000-0010-0000-0500-000065000000}" name="Property 2 or Cast Type Kind" dataDxfId="96">
      <calculatedColumnFormula>IF(meta_Rules[[#This Row],[Property 2 or Cast Type]]="","",INDEX(#REF!,MATCH(meta_Rules[[#This Row],[Property 2 or Cast Type]],meta_Classifiers[ID],0)))</calculatedColumnFormula>
    </tableColumn>
    <tableColumn id="83" xr3:uid="{00000000-0010-0000-0500-000053000000}" name="Property 2 or Cast Type" dataDxfId="95">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94"/>
    <tableColumn id="11" xr3:uid="{00000000-0010-0000-0500-00000B000000}" name="Property 3" dataDxfId="93">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92"/>
    <tableColumn id="47" xr3:uid="{00000000-0010-0000-0500-00002F000000}" name="Rule" dataDxfId="91">
      <calculatedColumnFormula>+"1"</calculatedColumnFormula>
    </tableColumn>
    <tableColumn id="6" xr3:uid="{00000000-0010-0000-0500-000006000000}" name="Manual VBA Code" dataDxfId="90"/>
    <tableColumn id="102" xr3:uid="{00000000-0010-0000-0500-000066000000}" name="VBA Code" dataDxfId="89">
      <calculatedColumnFormula>IF(meta_Rules[[#This Row],[Manual VBA Code]]&lt;&gt;"",meta_Rules[[#This Row],[Manual VBA Code]],"TODO")</calculatedColumnFormula>
    </tableColumn>
    <tableColumn id="7" xr3:uid="{00000000-0010-0000-0500-000007000000}" name="Manual Excel Formula" dataDxfId="88"/>
    <tableColumn id="103" xr3:uid="{00000000-0010-0000-0500-000067000000}" name="Excel Formula" dataDxfId="87"/>
    <tableColumn id="20" xr3:uid="{00000000-0010-0000-0500-000014000000}" name="Constraint Is Invariant" dataDxfId="86"/>
    <tableColumn id="18" xr3:uid="{00000000-0010-0000-0500-000012000000}" name="Update - Name" dataDxfId="85"/>
    <tableColumn id="64" xr3:uid="{00000000-0010-0000-0500-000040000000}" name="Update LHS - Feature:src" dataDxfId="84"/>
    <tableColumn id="2" xr3:uid="{00000000-0010-0000-0500-000002000000}" name="Update LHS - Feature" dataDxfId="83"/>
    <tableColumn id="8" xr3:uid="{00000000-0010-0000-0500-000008000000}" name="Update LHS - Mode" dataDxfId="82"/>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81" dataDxfId="79" headerRowBorderDxfId="80">
  <autoFilter ref="A2:U4" xr:uid="{00000000-0009-0000-0100-000011000000}"/>
  <tableColumns count="21">
    <tableColumn id="1" xr3:uid="{00000000-0010-0000-0600-000001000000}" name="ID" dataDxfId="78"/>
    <tableColumn id="12" xr3:uid="{00000000-0010-0000-0600-00000C000000}" name="Kind:src" dataDxfId="77"/>
    <tableColumn id="3" xr3:uid="{00000000-0010-0000-0600-000003000000}" name="Kind" dataDxfId="76">
      <calculatedColumnFormula>IF(meta_TablePatterns[[#This Row],[Kind:src]]="","",INDEX(meta_Classifiers[Display Qualified],MATCH(meta_TablePatterns[[#This Row],[Kind:src]],meta_Classifiers[ID],0)))</calculatedColumnFormula>
    </tableColumn>
    <tableColumn id="6" xr3:uid="{00000000-0010-0000-0600-000006000000}" name="Package" dataDxfId="75"/>
    <tableColumn id="11" xr3:uid="{00000000-0010-0000-0600-00000B000000}" name="Sub Package" dataDxfId="74"/>
    <tableColumn id="8" xr3:uid="{00000000-0010-0000-0600-000008000000}" name="Display:q" dataDxfId="73">
      <calculatedColumnFormula>IF(TRIM(meta_TablePatterns[[#This Row],[Package]])="","",TRIM(LOWER(meta_TablePatterns[[#This Row],[Package]]))&amp;"::")&amp;meta_TablePatterns[[#This Row],[Display]]</calculatedColumnFormula>
    </tableColumn>
    <tableColumn id="7" xr3:uid="{00000000-0010-0000-0600-000007000000}" name="Display" dataDxfId="72">
      <calculatedColumnFormula>TRIM(SUBSTITUTE(meta_TablePatterns[[#This Row],[Name]]," ",""))</calculatedColumnFormula>
    </tableColumn>
    <tableColumn id="2" xr3:uid="{00000000-0010-0000-0600-000002000000}" name="Name" dataDxfId="71"/>
    <tableColumn id="18" xr3:uid="{00000000-0010-0000-0600-000012000000}" name="Source Table" dataDxfId="70"/>
    <tableColumn id="4" xr3:uid="{00000000-0010-0000-0600-000004000000}" name="Match Filter Column 1" dataDxfId="69"/>
    <tableColumn id="9" xr3:uid="{00000000-0010-0000-0600-000009000000}" name="Match Filter Column 2" dataDxfId="68"/>
    <tableColumn id="17" xr3:uid="{00000000-0010-0000-0600-000011000000}" name="Match Key Column 1" dataDxfId="67"/>
    <tableColumn id="16" xr3:uid="{00000000-0010-0000-0600-000010000000}" name="Match Key Column 2" dataDxfId="66"/>
    <tableColumn id="15" xr3:uid="{00000000-0010-0000-0600-00000F000000}" name="Match Key Column 3" dataDxfId="65"/>
    <tableColumn id="14" xr3:uid="{00000000-0010-0000-0600-00000E000000}" name="Match Key Column 4" dataDxfId="64"/>
    <tableColumn id="13" xr3:uid="{00000000-0010-0000-0600-00000D000000}" name="Match Key Column 5" dataDxfId="63"/>
    <tableColumn id="19" xr3:uid="{00000000-0010-0000-0600-000013000000}" name="Order Column" dataDxfId="62"/>
    <tableColumn id="22" xr3:uid="{00000000-0010-0000-0600-000016000000}" name="Template Parameter Column 1" dataDxfId="61"/>
    <tableColumn id="21" xr3:uid="{00000000-0010-0000-0600-000015000000}" name="Template Parameter Column 2" dataDxfId="60"/>
    <tableColumn id="20" xr3:uid="{00000000-0010-0000-0600-000014000000}" name="Template Parameter Column 3" dataDxfId="59"/>
    <tableColumn id="5" xr3:uid="{00000000-0010-0000-0600-000005000000}" name="Definition" dataDxfId="58"/>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57" dataDxfId="55" headerRowBorderDxfId="56">
  <autoFilter ref="A2:X5" xr:uid="{00000000-0009-0000-0100-000012000000}"/>
  <tableColumns count="24">
    <tableColumn id="1" xr3:uid="{00000000-0010-0000-0700-000001000000}" name="ID" dataDxfId="54"/>
    <tableColumn id="12" xr3:uid="{00000000-0010-0000-0700-00000C000000}" name="Kind:src" dataDxfId="53"/>
    <tableColumn id="3" xr3:uid="{00000000-0010-0000-0700-000003000000}" name="Kind" dataDxfId="52"/>
    <tableColumn id="6" xr3:uid="{00000000-0010-0000-0700-000006000000}" name="Package" dataDxfId="51"/>
    <tableColumn id="11" xr3:uid="{00000000-0010-0000-0700-00000B000000}" name="Sub Package" dataDxfId="50"/>
    <tableColumn id="8" xr3:uid="{00000000-0010-0000-0700-000008000000}" name="Display:q" dataDxfId="49">
      <calculatedColumnFormula>IF(TRIM(meta_CodeTemplates[[#This Row],[Package]])="","",TRIM(LOWER(meta_CodeTemplates[[#This Row],[Package]]))&amp;"::")&amp;meta_CodeTemplates[[#This Row],[Display]]</calculatedColumnFormula>
    </tableColumn>
    <tableColumn id="7" xr3:uid="{00000000-0010-0000-0700-000007000000}" name="Display" dataDxfId="48">
      <calculatedColumnFormula>TRIM(SUBSTITUTE(meta_CodeTemplates[[#This Row],[Template Begin]]," ",""))</calculatedColumnFormula>
    </tableColumn>
    <tableColumn id="10" xr3:uid="{00000000-0010-0000-0700-00000A000000}" name="Where Clause" dataDxfId="47"/>
    <tableColumn id="2" xr3:uid="{00000000-0010-0000-0700-000002000000}" name="Template Begin" dataDxfId="46"/>
    <tableColumn id="4" xr3:uid="{00000000-0010-0000-0700-000004000000}" name="Matched Patern 1:src" dataDxfId="45"/>
    <tableColumn id="9" xr3:uid="{00000000-0010-0000-0700-000009000000}" name="Matched Pattern 1" dataDxfId="44">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43"/>
    <tableColumn id="20" xr3:uid="{00000000-0010-0000-0700-000014000000}" name="Matched Pattern 1 Filter Value 2" dataDxfId="42"/>
    <tableColumn id="28" xr3:uid="{00000000-0010-0000-0700-00001C000000}" name="Matched Pattern 1 Template Column" dataDxfId="41"/>
    <tableColumn id="18" xr3:uid="{00000000-0010-0000-0700-000012000000}" name="Template Middle" dataDxfId="40"/>
    <tableColumn id="29" xr3:uid="{00000000-0010-0000-0700-00001D000000}" name="Matched Pattern 2:src" dataDxfId="39"/>
    <tableColumn id="27" xr3:uid="{00000000-0010-0000-0700-00001B000000}" name="Matched Pattern2" dataDxfId="38"/>
    <tableColumn id="21" xr3:uid="{00000000-0010-0000-0700-000015000000}" name="Matched Pattern 2 Filter Value 1" dataDxfId="37"/>
    <tableColumn id="22" xr3:uid="{00000000-0010-0000-0700-000016000000}" name="Matched Pattern 2 Filter Value 2" dataDxfId="36"/>
    <tableColumn id="17" xr3:uid="{00000000-0010-0000-0700-000011000000}" name="Matched Pattern 2 Template Column" dataDxfId="35"/>
    <tableColumn id="16" xr3:uid="{00000000-0010-0000-0700-000010000000}" name="Template End" dataDxfId="34"/>
    <tableColumn id="14" xr3:uid="{00000000-0010-0000-0700-00000E000000}" name="Excel Formula - Target Property" dataDxfId="33"/>
    <tableColumn id="13" xr3:uid="{00000000-0010-0000-0700-00000D000000}" name="VBA Code - Target Module" dataDxfId="32"/>
    <tableColumn id="5" xr3:uid="{00000000-0010-0000-0700-000005000000}" name="Definition" dataDxfId="31"/>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29" dataDxfId="27" headerRowBorderDxfId="28">
  <autoFilter ref="B4:Z62" xr:uid="{00000000-0009-0000-0100-000006000000}"/>
  <tableColumns count="25">
    <tableColumn id="1" xr3:uid="{00000000-0010-0000-0900-000001000000}" name="ID" dataDxfId="26"/>
    <tableColumn id="11" xr3:uid="{83728BB8-FD3C-4294-9C12-F0266DF2CCAD}" name="Kind:src" dataDxfId="25"/>
    <tableColumn id="2" xr3:uid="{00000000-0010-0000-0900-000002000000}" name="Kind" dataDxfId="24"/>
    <tableColumn id="7" xr3:uid="{00000000-0010-0000-0900-000007000000}" name="Package" dataDxfId="23"/>
    <tableColumn id="12" xr3:uid="{8A817A20-4F8E-436B-AB4E-461EBA2A8598}" name="Sub Package" dataDxfId="22"/>
    <tableColumn id="6" xr3:uid="{00000000-0010-0000-0900-000006000000}" name="Table 2 Ref:src" dataDxfId="21"/>
    <tableColumn id="3" xr3:uid="{00000000-0010-0000-0900-000003000000}" name="Table 2 Ref" dataDxfId="20">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19"/>
    <tableColumn id="4" xr3:uid="{00000000-0010-0000-0900-000004000000}" name="Test stringToBusiness" dataDxfId="18">
      <calculatedColumnFormula>stringToBusiness(belowred_Table1Rows[[#This Row],[String Value 1]])</calculatedColumnFormula>
    </tableColumn>
    <tableColumn id="10" xr3:uid="{00000000-0010-0000-0900-00000A000000}" name="Test CamelCaseUpper" dataDxfId="17">
      <calculatedColumnFormula>camelCaseUpper(belowred_Table1Rows[[#This Row],[String Value 1]])</calculatedColumnFormula>
    </tableColumn>
    <tableColumn id="16" xr3:uid="{00000000-0010-0000-0900-000010000000}" name="CORRECTION camelCaseUpper" dataDxfId="16"/>
    <tableColumn id="9" xr3:uid="{00000000-0010-0000-0900-000009000000}" name="Test camelCaseToBusiness" dataDxfId="15">
      <calculatedColumnFormula>camelCaseToBusiness(belowred_Table1Rows[[#This Row],[Test CamelCaseUpper]])</calculatedColumnFormula>
    </tableColumn>
    <tableColumn id="17" xr3:uid="{00000000-0010-0000-0900-000011000000}" name="CORRECTIOON camelCaseToBusiness" dataDxfId="14"/>
    <tableColumn id="15" xr3:uid="{00000000-0010-0000-0900-00000F000000}" name="camelCaseLower(s)  = businessToCamelCaseLower(stringToBusiness(s))" dataDxfId="13">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12">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11">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10"/>
    <tableColumn id="21" xr3:uid="{770C2C9A-BBAB-4457-97BD-69E2595153E5}" name="Test stringToBusiness STORED" dataDxfId="9"/>
    <tableColumn id="22" xr3:uid="{17F64D8B-C998-4629-9067-1A50C2BCD590}" name="Test CamelCaseUpper STORED" dataDxfId="8"/>
    <tableColumn id="23" xr3:uid="{15A7580F-85BA-4065-9247-8A85E613DEE3}" name="Test camelCaseToBusiness STORED" dataDxfId="7"/>
    <tableColumn id="24" xr3:uid="{547C9E96-2E99-428A-8AF0-E7784322D1BF}" name="camelCaseLower(s)  = businessToCamelCaseLower(stringToBusiness(s)) STORED" dataDxfId="6"/>
    <tableColumn id="27" xr3:uid="{D00AA065-D27C-44C3-8130-D7F750719136}" name="Test FunctionToBeGenerated STORED" dataDxfId="5"/>
    <tableColumn id="25" xr3:uid="{D9B503A0-FF77-4C18-958A-2830436D071D}" name="camelCaseUpper(s)  = businessToCamelCaseUpper(stringToBusiness(s)),  STORED" dataDxfId="4"/>
    <tableColumn id="26" xr3:uid="{E62907A2-C5FF-4807-BA57-D095283A8E1D}" name="camelCaseToBusiness(_x000a_businessToCamelCaseUpper(_x000a_stringToBusiness(X))) = _x000a_stringToBusiness(X)  STORED" dataDxfId="3"/>
    <tableColumn id="8" xr3:uid="{3B3DCB7E-0556-4E7A-A4F4-5E24D45942E7}" name="Testing of Busines to Camel to Business" dataDxfId="2"/>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1">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0">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1640625" defaultRowHeight="14.5" outlineLevelCol="1"/>
  <cols>
    <col min="1" max="1" width="22.453125" bestFit="1" customWidth="1"/>
    <col min="2" max="2" width="12.453125" customWidth="1" outlineLevel="1"/>
    <col min="3" max="3" width="15.26953125" bestFit="1" customWidth="1"/>
    <col min="4" max="4" width="10.453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1640625" defaultRowHeight="14.5" outlineLevelCol="1"/>
  <cols>
    <col min="1" max="1" width="22.453125" bestFit="1" customWidth="1"/>
    <col min="2" max="2" width="16.1796875" bestFit="1" customWidth="1" outlineLevel="1"/>
    <col min="3" max="3" width="14.7265625" bestFit="1" customWidth="1"/>
    <col min="5" max="5" width="8.81640625" outlineLevel="1"/>
    <col min="6" max="6" width="10.453125" customWidth="1"/>
    <col min="7" max="7" width="10.453125" customWidth="1" outlineLevel="1"/>
  </cols>
  <sheetData>
    <row r="1" spans="1:10" ht="103.5" customHeight="1">
      <c r="A1" s="68" t="s">
        <v>0</v>
      </c>
      <c r="B1" s="68" t="s">
        <v>230</v>
      </c>
      <c r="C1" s="68" t="s">
        <v>5</v>
      </c>
      <c r="D1" s="68" t="s">
        <v>120</v>
      </c>
      <c r="E1" s="68" t="s">
        <v>1608</v>
      </c>
      <c r="F1" s="68" t="s">
        <v>682</v>
      </c>
      <c r="G1" s="68" t="s">
        <v>987</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1640625" defaultRowHeight="14.5" outlineLevelCol="1"/>
  <cols>
    <col min="1" max="1" width="22.453125" bestFit="1" customWidth="1"/>
    <col min="2" max="2" width="16" bestFit="1" customWidth="1" outlineLevel="1"/>
    <col min="3" max="3" width="16" bestFit="1" customWidth="1"/>
    <col min="5" max="5" width="10.453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abSelected="1" topLeftCell="A2" workbookViewId="0">
      <selection activeCell="F8" sqref="F8"/>
    </sheetView>
  </sheetViews>
  <sheetFormatPr defaultColWidth="8.453125" defaultRowHeight="14.5"/>
  <cols>
    <col min="1" max="1" width="11.81640625" style="26" bestFit="1" customWidth="1"/>
    <col min="2" max="2" width="8.453125" style="26"/>
    <col min="3" max="3" width="9.453125" style="26" customWidth="1"/>
    <col min="4" max="4" width="10.1796875" style="26" customWidth="1"/>
    <col min="5" max="5" width="28.453125" style="26" bestFit="1" customWidth="1"/>
    <col min="6" max="6" width="92.453125" style="26" customWidth="1"/>
    <col min="7" max="7" width="20.453125" style="26" bestFit="1" customWidth="1"/>
    <col min="8" max="8" width="16" style="26" customWidth="1"/>
    <col min="9" max="9" width="15.1796875" style="26" bestFit="1" customWidth="1"/>
    <col min="10" max="10" width="25.453125" style="26" customWidth="1"/>
    <col min="11" max="16384" width="8.453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01.5">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C7" s="26" t="s">
        <v>2033</v>
      </c>
      <c r="D7" s="26">
        <v>20250617</v>
      </c>
      <c r="E7" s="26" t="str">
        <f>meta_DocumentVersions[[#This Row],[Date Tag]]&amp;"_"&amp;meta_DocumentVersions[[#This Row],[Name]]&amp;"_"&amp;meta_DocumentVersions[[#This Row],[Version]]&amp;".xlsm"</f>
        <v>20250617__v.04.xlsm</v>
      </c>
    </row>
    <row r="8" spans="1:10">
      <c r="A8" s="26" t="s">
        <v>597</v>
      </c>
      <c r="C8" s="26" t="s">
        <v>2034</v>
      </c>
      <c r="D8" s="26">
        <v>20250617</v>
      </c>
      <c r="E8" s="26" t="str">
        <f>meta_DocumentVersions[[#This Row],[Date Tag]]&amp;"_"&amp;meta_DocumentVersions[[#This Row],[Name]]&amp;"_"&amp;meta_DocumentVersions[[#This Row],[Version]]&amp;".xlsm"</f>
        <v>20250617__v7.05.xlsm</v>
      </c>
      <c r="F8" s="26" t="s">
        <v>2035</v>
      </c>
    </row>
    <row r="9" spans="1:10">
      <c r="A9" s="26" t="s">
        <v>598</v>
      </c>
      <c r="E9" s="26" t="str">
        <f>meta_DocumentVersions[[#This Row],[Date Tag]]&amp;"_"&amp;meta_DocumentVersions[[#This Row],[Name]]&amp;"_"&amp;meta_DocumentVersions[[#This Row],[Version]]&amp;".xlsm"</f>
        <v>__.xlsm</v>
      </c>
    </row>
    <row r="10" spans="1:10">
      <c r="A10" s="26" t="s">
        <v>599</v>
      </c>
      <c r="E10" s="26" t="str">
        <f>meta_DocumentVersions[[#This Row],[Date Tag]]&amp;"_"&amp;meta_DocumentVersions[[#This Row],[Name]]&amp;"_"&amp;meta_DocumentVersions[[#This Row],[Version]]&amp;".xlsm"</f>
        <v>__.xlsm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205"/>
  <sheetViews>
    <sheetView topLeftCell="A10" workbookViewId="0">
      <selection sqref="A1:XFD1048576"/>
    </sheetView>
  </sheetViews>
  <sheetFormatPr defaultColWidth="10.81640625" defaultRowHeight="14.5" outlineLevelCol="1"/>
  <cols>
    <col min="1" max="1" width="11" style="5" customWidth="1"/>
    <col min="2" max="2" width="15.453125" style="5" bestFit="1" customWidth="1" outlineLevel="1"/>
    <col min="3" max="3" width="11" style="5" customWidth="1"/>
    <col min="4" max="4" width="14.453125" style="5" bestFit="1" customWidth="1"/>
    <col min="5" max="6" width="11" style="5" customWidth="1"/>
    <col min="7" max="7" width="197.7265625" style="5" customWidth="1"/>
    <col min="8" max="16384" width="10.81640625" style="5"/>
  </cols>
  <sheetData>
    <row r="1" spans="1:7">
      <c r="A1" s="5" t="s">
        <v>0</v>
      </c>
      <c r="B1" s="5" t="s">
        <v>230</v>
      </c>
      <c r="C1" s="5" t="s">
        <v>5</v>
      </c>
      <c r="D1" s="5" t="s">
        <v>120</v>
      </c>
      <c r="E1" s="5" t="s">
        <v>461</v>
      </c>
      <c r="F1" s="5" t="s">
        <v>31</v>
      </c>
      <c r="G1" s="5" t="s">
        <v>574</v>
      </c>
    </row>
    <row r="2" spans="1:7" ht="58">
      <c r="A2" s="5" t="s">
        <v>584</v>
      </c>
      <c r="B2" s="5" t="s">
        <v>594</v>
      </c>
      <c r="C2" s="5" t="s">
        <v>834</v>
      </c>
      <c r="D2" s="5" t="s">
        <v>1848</v>
      </c>
      <c r="F2" s="5">
        <v>1</v>
      </c>
      <c r="G2" s="129" t="s">
        <v>1849</v>
      </c>
    </row>
    <row r="3" spans="1:7" ht="87">
      <c r="A3" s="5" t="s">
        <v>584</v>
      </c>
      <c r="B3" s="5" t="s">
        <v>594</v>
      </c>
      <c r="C3" s="5" t="s">
        <v>834</v>
      </c>
      <c r="D3" s="5" t="s">
        <v>1848</v>
      </c>
      <c r="F3" s="5">
        <v>2</v>
      </c>
      <c r="G3" s="129" t="s">
        <v>1850</v>
      </c>
    </row>
    <row r="4" spans="1:7" ht="130.5">
      <c r="A4" s="5" t="s">
        <v>584</v>
      </c>
      <c r="B4" s="5" t="s">
        <v>594</v>
      </c>
      <c r="C4" s="5" t="s">
        <v>834</v>
      </c>
      <c r="D4" s="5" t="s">
        <v>1848</v>
      </c>
      <c r="F4" s="5">
        <v>3</v>
      </c>
      <c r="G4" s="129" t="s">
        <v>1851</v>
      </c>
    </row>
    <row r="5" spans="1:7" ht="130.5">
      <c r="A5" s="5" t="s">
        <v>584</v>
      </c>
      <c r="B5" s="5" t="s">
        <v>594</v>
      </c>
      <c r="C5" s="5" t="s">
        <v>834</v>
      </c>
      <c r="D5" s="5" t="s">
        <v>1848</v>
      </c>
      <c r="F5" s="5">
        <v>4</v>
      </c>
      <c r="G5" s="129" t="s">
        <v>1852</v>
      </c>
    </row>
    <row r="6" spans="1:7" ht="333.5">
      <c r="A6" s="5" t="s">
        <v>584</v>
      </c>
      <c r="B6" s="5" t="s">
        <v>594</v>
      </c>
      <c r="C6" s="5" t="s">
        <v>834</v>
      </c>
      <c r="D6" s="5" t="s">
        <v>1848</v>
      </c>
      <c r="F6" s="5">
        <v>5</v>
      </c>
      <c r="G6" s="129" t="s">
        <v>1853</v>
      </c>
    </row>
    <row r="7" spans="1:7">
      <c r="A7" s="5" t="s">
        <v>584</v>
      </c>
      <c r="B7" s="5" t="s">
        <v>594</v>
      </c>
      <c r="C7" s="5" t="s">
        <v>834</v>
      </c>
      <c r="D7" s="5" t="s">
        <v>837</v>
      </c>
      <c r="F7" s="5">
        <v>1</v>
      </c>
      <c r="G7" s="129" t="s">
        <v>849</v>
      </c>
    </row>
    <row r="8" spans="1:7" ht="348">
      <c r="A8" s="5" t="s">
        <v>584</v>
      </c>
      <c r="B8" s="5" t="s">
        <v>594</v>
      </c>
      <c r="C8" s="5" t="s">
        <v>834</v>
      </c>
      <c r="D8" s="5" t="s">
        <v>837</v>
      </c>
      <c r="F8" s="5">
        <v>2</v>
      </c>
      <c r="G8" s="129" t="s">
        <v>1854</v>
      </c>
    </row>
    <row r="9" spans="1:7">
      <c r="A9" s="5" t="s">
        <v>584</v>
      </c>
      <c r="B9" s="5" t="s">
        <v>594</v>
      </c>
      <c r="C9" s="5" t="s">
        <v>834</v>
      </c>
      <c r="D9" s="5" t="s">
        <v>839</v>
      </c>
      <c r="F9" s="5">
        <v>1</v>
      </c>
      <c r="G9" s="129" t="s">
        <v>849</v>
      </c>
    </row>
    <row r="10" spans="1:7" ht="377">
      <c r="A10" s="5" t="s">
        <v>584</v>
      </c>
      <c r="B10" s="5" t="s">
        <v>594</v>
      </c>
      <c r="C10" s="5" t="s">
        <v>834</v>
      </c>
      <c r="D10" s="5" t="s">
        <v>839</v>
      </c>
      <c r="F10" s="5">
        <v>2</v>
      </c>
      <c r="G10" s="129" t="s">
        <v>1855</v>
      </c>
    </row>
    <row r="11" spans="1:7">
      <c r="A11" s="5" t="s">
        <v>584</v>
      </c>
      <c r="B11" s="5" t="s">
        <v>594</v>
      </c>
      <c r="C11" s="5" t="s">
        <v>834</v>
      </c>
      <c r="D11" s="5" t="s">
        <v>842</v>
      </c>
      <c r="F11" s="5">
        <v>1</v>
      </c>
      <c r="G11" s="129" t="s">
        <v>849</v>
      </c>
    </row>
    <row r="12" spans="1:7" ht="409.5">
      <c r="A12" s="5" t="s">
        <v>584</v>
      </c>
      <c r="B12" s="5" t="s">
        <v>594</v>
      </c>
      <c r="C12" s="5" t="s">
        <v>834</v>
      </c>
      <c r="D12" s="5" t="s">
        <v>842</v>
      </c>
      <c r="F12" s="5">
        <v>2</v>
      </c>
      <c r="G12" s="129" t="s">
        <v>1856</v>
      </c>
    </row>
    <row r="13" spans="1:7">
      <c r="A13" s="5" t="s">
        <v>584</v>
      </c>
      <c r="B13" s="5" t="s">
        <v>594</v>
      </c>
      <c r="C13" s="5" t="s">
        <v>834</v>
      </c>
      <c r="D13" s="5" t="s">
        <v>847</v>
      </c>
      <c r="F13" s="5">
        <v>1</v>
      </c>
      <c r="G13" s="129" t="s">
        <v>849</v>
      </c>
    </row>
    <row r="14" spans="1:7" ht="87">
      <c r="A14" s="5" t="s">
        <v>584</v>
      </c>
      <c r="B14" s="5" t="s">
        <v>594</v>
      </c>
      <c r="C14" s="5" t="s">
        <v>834</v>
      </c>
      <c r="D14" s="5" t="s">
        <v>847</v>
      </c>
      <c r="F14" s="5">
        <v>2</v>
      </c>
      <c r="G14" s="129" t="s">
        <v>1857</v>
      </c>
    </row>
    <row r="15" spans="1:7" ht="87">
      <c r="A15" s="5" t="s">
        <v>584</v>
      </c>
      <c r="B15" s="5" t="s">
        <v>594</v>
      </c>
      <c r="C15" s="5" t="s">
        <v>834</v>
      </c>
      <c r="D15" s="5" t="s">
        <v>847</v>
      </c>
      <c r="F15" s="5">
        <v>3</v>
      </c>
      <c r="G15" s="129" t="s">
        <v>1858</v>
      </c>
    </row>
    <row r="16" spans="1:7" ht="409.5">
      <c r="A16" s="5" t="s">
        <v>584</v>
      </c>
      <c r="B16" s="5" t="s">
        <v>594</v>
      </c>
      <c r="C16" s="5" t="s">
        <v>834</v>
      </c>
      <c r="D16" s="5" t="s">
        <v>847</v>
      </c>
      <c r="F16" s="5">
        <v>4</v>
      </c>
      <c r="G16" s="129" t="s">
        <v>1859</v>
      </c>
    </row>
    <row r="17" spans="1:7" ht="409.5">
      <c r="A17" s="5" t="s">
        <v>584</v>
      </c>
      <c r="B17" s="5" t="s">
        <v>594</v>
      </c>
      <c r="C17" s="5" t="s">
        <v>834</v>
      </c>
      <c r="D17" s="5" t="s">
        <v>847</v>
      </c>
      <c r="F17" s="5">
        <v>5</v>
      </c>
      <c r="G17" s="129" t="s">
        <v>1860</v>
      </c>
    </row>
    <row r="18" spans="1:7" ht="409.5">
      <c r="A18" s="5" t="s">
        <v>584</v>
      </c>
      <c r="B18" s="5" t="s">
        <v>594</v>
      </c>
      <c r="C18" s="5" t="s">
        <v>834</v>
      </c>
      <c r="D18" s="5" t="s">
        <v>847</v>
      </c>
      <c r="F18" s="5">
        <v>6</v>
      </c>
      <c r="G18" s="129" t="s">
        <v>1861</v>
      </c>
    </row>
    <row r="19" spans="1:7" ht="101.5">
      <c r="A19" s="5" t="s">
        <v>584</v>
      </c>
      <c r="B19" s="5" t="s">
        <v>594</v>
      </c>
      <c r="C19" s="5" t="s">
        <v>834</v>
      </c>
      <c r="D19" s="5" t="s">
        <v>835</v>
      </c>
      <c r="F19" s="5">
        <v>1</v>
      </c>
      <c r="G19" s="129" t="s">
        <v>1862</v>
      </c>
    </row>
    <row r="20" spans="1:7" ht="101.5">
      <c r="A20" s="5" t="s">
        <v>584</v>
      </c>
      <c r="B20" s="5" t="s">
        <v>594</v>
      </c>
      <c r="C20" s="5" t="s">
        <v>834</v>
      </c>
      <c r="D20" s="5" t="s">
        <v>835</v>
      </c>
      <c r="F20" s="5">
        <v>2</v>
      </c>
      <c r="G20" s="129" t="s">
        <v>1863</v>
      </c>
    </row>
    <row r="21" spans="1:7" ht="87">
      <c r="A21" s="5" t="s">
        <v>584</v>
      </c>
      <c r="B21" s="5" t="s">
        <v>594</v>
      </c>
      <c r="C21" s="5" t="s">
        <v>834</v>
      </c>
      <c r="D21" s="5" t="s">
        <v>835</v>
      </c>
      <c r="F21" s="5">
        <v>3</v>
      </c>
      <c r="G21" s="129" t="s">
        <v>1858</v>
      </c>
    </row>
    <row r="22" spans="1:7" ht="406">
      <c r="A22" s="5" t="s">
        <v>584</v>
      </c>
      <c r="B22" s="5" t="s">
        <v>594</v>
      </c>
      <c r="C22" s="5" t="s">
        <v>834</v>
      </c>
      <c r="D22" s="5" t="s">
        <v>835</v>
      </c>
      <c r="F22" s="5">
        <v>4</v>
      </c>
      <c r="G22" s="129" t="s">
        <v>1864</v>
      </c>
    </row>
    <row r="23" spans="1:7" ht="409.5">
      <c r="A23" s="5" t="s">
        <v>584</v>
      </c>
      <c r="B23" s="5" t="s">
        <v>594</v>
      </c>
      <c r="C23" s="5" t="s">
        <v>834</v>
      </c>
      <c r="D23" s="5" t="s">
        <v>835</v>
      </c>
      <c r="F23" s="5">
        <v>5</v>
      </c>
      <c r="G23" s="129" t="s">
        <v>1865</v>
      </c>
    </row>
    <row r="24" spans="1:7" ht="409.5">
      <c r="A24" s="5" t="s">
        <v>584</v>
      </c>
      <c r="B24" s="5" t="s">
        <v>594</v>
      </c>
      <c r="C24" s="5" t="s">
        <v>834</v>
      </c>
      <c r="D24" s="5" t="s">
        <v>835</v>
      </c>
      <c r="F24" s="5">
        <v>6</v>
      </c>
      <c r="G24" s="129" t="s">
        <v>1866</v>
      </c>
    </row>
    <row r="25" spans="1:7" ht="409.5">
      <c r="A25" s="5" t="s">
        <v>584</v>
      </c>
      <c r="B25" s="5" t="s">
        <v>594</v>
      </c>
      <c r="C25" s="5" t="s">
        <v>834</v>
      </c>
      <c r="D25" s="5" t="s">
        <v>835</v>
      </c>
      <c r="F25" s="5">
        <v>7</v>
      </c>
      <c r="G25" s="129" t="s">
        <v>1867</v>
      </c>
    </row>
    <row r="26" spans="1:7" ht="72.5">
      <c r="A26" s="5" t="s">
        <v>584</v>
      </c>
      <c r="B26" s="5" t="s">
        <v>572</v>
      </c>
      <c r="C26" s="5" t="s">
        <v>832</v>
      </c>
      <c r="D26" s="5" t="s">
        <v>852</v>
      </c>
      <c r="F26" s="5">
        <v>1</v>
      </c>
      <c r="G26" s="129" t="s">
        <v>1868</v>
      </c>
    </row>
    <row r="27" spans="1:7" ht="29">
      <c r="A27" s="5" t="s">
        <v>584</v>
      </c>
      <c r="B27" s="5" t="s">
        <v>572</v>
      </c>
      <c r="C27" s="5" t="s">
        <v>832</v>
      </c>
      <c r="D27" s="5" t="s">
        <v>852</v>
      </c>
      <c r="F27" s="5">
        <v>2</v>
      </c>
      <c r="G27" s="129" t="s">
        <v>1869</v>
      </c>
    </row>
    <row r="28" spans="1:7" ht="87">
      <c r="A28" s="5" t="s">
        <v>584</v>
      </c>
      <c r="B28" s="5" t="s">
        <v>572</v>
      </c>
      <c r="C28" s="5" t="s">
        <v>832</v>
      </c>
      <c r="D28" s="5" t="s">
        <v>852</v>
      </c>
      <c r="F28" s="5">
        <v>3</v>
      </c>
      <c r="G28" s="129" t="s">
        <v>1870</v>
      </c>
    </row>
    <row r="29" spans="1:7" ht="87">
      <c r="A29" s="5" t="s">
        <v>584</v>
      </c>
      <c r="B29" s="5" t="s">
        <v>572</v>
      </c>
      <c r="C29" s="5" t="s">
        <v>832</v>
      </c>
      <c r="D29" s="5" t="s">
        <v>852</v>
      </c>
      <c r="F29" s="5">
        <v>4</v>
      </c>
      <c r="G29" s="129" t="s">
        <v>1871</v>
      </c>
    </row>
    <row r="30" spans="1:7" ht="87">
      <c r="A30" s="5" t="s">
        <v>584</v>
      </c>
      <c r="B30" s="5" t="s">
        <v>572</v>
      </c>
      <c r="C30" s="5" t="s">
        <v>832</v>
      </c>
      <c r="D30" s="5" t="s">
        <v>852</v>
      </c>
      <c r="F30" s="5">
        <v>5</v>
      </c>
      <c r="G30" s="129" t="s">
        <v>1872</v>
      </c>
    </row>
    <row r="31" spans="1:7" ht="87">
      <c r="A31" s="5" t="s">
        <v>584</v>
      </c>
      <c r="B31" s="5" t="s">
        <v>572</v>
      </c>
      <c r="C31" s="5" t="s">
        <v>832</v>
      </c>
      <c r="D31" s="5" t="s">
        <v>852</v>
      </c>
      <c r="F31" s="5">
        <v>6</v>
      </c>
      <c r="G31" s="129" t="s">
        <v>1873</v>
      </c>
    </row>
    <row r="32" spans="1:7" ht="72.5">
      <c r="A32" s="5" t="s">
        <v>584</v>
      </c>
      <c r="B32" s="5" t="s">
        <v>572</v>
      </c>
      <c r="C32" s="5" t="s">
        <v>832</v>
      </c>
      <c r="D32" s="5" t="s">
        <v>852</v>
      </c>
      <c r="F32" s="5">
        <v>7</v>
      </c>
      <c r="G32" s="129" t="s">
        <v>1874</v>
      </c>
    </row>
    <row r="33" spans="1:7" ht="72.5">
      <c r="A33" s="5" t="s">
        <v>584</v>
      </c>
      <c r="B33" s="5" t="s">
        <v>572</v>
      </c>
      <c r="C33" s="5" t="s">
        <v>832</v>
      </c>
      <c r="D33" s="5" t="s">
        <v>853</v>
      </c>
      <c r="F33" s="5">
        <v>1</v>
      </c>
      <c r="G33" s="129" t="s">
        <v>1875</v>
      </c>
    </row>
    <row r="34" spans="1:7" ht="29">
      <c r="A34" s="5" t="s">
        <v>584</v>
      </c>
      <c r="B34" s="5" t="s">
        <v>572</v>
      </c>
      <c r="C34" s="5" t="s">
        <v>832</v>
      </c>
      <c r="D34" s="5" t="s">
        <v>853</v>
      </c>
      <c r="F34" s="5">
        <v>2</v>
      </c>
      <c r="G34" s="129" t="s">
        <v>1869</v>
      </c>
    </row>
    <row r="35" spans="1:7" ht="87">
      <c r="A35" s="5" t="s">
        <v>584</v>
      </c>
      <c r="B35" s="5" t="s">
        <v>572</v>
      </c>
      <c r="C35" s="5" t="s">
        <v>832</v>
      </c>
      <c r="D35" s="5" t="s">
        <v>853</v>
      </c>
      <c r="F35" s="5">
        <v>3</v>
      </c>
      <c r="G35" s="129" t="s">
        <v>1876</v>
      </c>
    </row>
    <row r="36" spans="1:7" ht="87">
      <c r="A36" s="5" t="s">
        <v>584</v>
      </c>
      <c r="B36" s="5" t="s">
        <v>572</v>
      </c>
      <c r="C36" s="5" t="s">
        <v>832</v>
      </c>
      <c r="D36" s="5" t="s">
        <v>853</v>
      </c>
      <c r="F36" s="5">
        <v>4</v>
      </c>
      <c r="G36" s="129" t="s">
        <v>1877</v>
      </c>
    </row>
    <row r="37" spans="1:7" ht="87">
      <c r="A37" s="5" t="s">
        <v>584</v>
      </c>
      <c r="B37" s="5" t="s">
        <v>572</v>
      </c>
      <c r="C37" s="5" t="s">
        <v>832</v>
      </c>
      <c r="D37" s="5" t="s">
        <v>853</v>
      </c>
      <c r="F37" s="5">
        <v>5</v>
      </c>
      <c r="G37" s="129" t="s">
        <v>1878</v>
      </c>
    </row>
    <row r="38" spans="1:7" ht="87">
      <c r="A38" s="5" t="s">
        <v>584</v>
      </c>
      <c r="B38" s="5" t="s">
        <v>572</v>
      </c>
      <c r="C38" s="5" t="s">
        <v>832</v>
      </c>
      <c r="D38" s="5" t="s">
        <v>853</v>
      </c>
      <c r="F38" s="5">
        <v>6</v>
      </c>
      <c r="G38" s="129" t="s">
        <v>1879</v>
      </c>
    </row>
    <row r="39" spans="1:7" ht="72.5">
      <c r="A39" s="5" t="s">
        <v>584</v>
      </c>
      <c r="B39" s="5" t="s">
        <v>572</v>
      </c>
      <c r="C39" s="5" t="s">
        <v>832</v>
      </c>
      <c r="D39" s="5" t="s">
        <v>853</v>
      </c>
      <c r="F39" s="5">
        <v>7</v>
      </c>
      <c r="G39" s="129" t="s">
        <v>1880</v>
      </c>
    </row>
    <row r="40" spans="1:7" ht="232">
      <c r="A40" s="5" t="s">
        <v>584</v>
      </c>
      <c r="B40" s="5" t="s">
        <v>571</v>
      </c>
      <c r="C40" s="5" t="s">
        <v>831</v>
      </c>
      <c r="D40" s="5" t="s">
        <v>586</v>
      </c>
      <c r="E40" s="5" t="s">
        <v>854</v>
      </c>
      <c r="F40" s="5">
        <v>1</v>
      </c>
      <c r="G40" s="129" t="s">
        <v>1881</v>
      </c>
    </row>
    <row r="41" spans="1:7" ht="409.5">
      <c r="A41" s="5" t="s">
        <v>584</v>
      </c>
      <c r="B41" s="5" t="s">
        <v>571</v>
      </c>
      <c r="C41" s="5" t="s">
        <v>831</v>
      </c>
      <c r="D41" s="5" t="s">
        <v>586</v>
      </c>
      <c r="E41" s="5" t="s">
        <v>854</v>
      </c>
      <c r="F41" s="5">
        <v>2</v>
      </c>
      <c r="G41" s="129" t="s">
        <v>1882</v>
      </c>
    </row>
    <row r="42" spans="1:7" ht="101.5">
      <c r="A42" s="5" t="s">
        <v>584</v>
      </c>
      <c r="B42" s="5" t="s">
        <v>571</v>
      </c>
      <c r="C42" s="5" t="s">
        <v>831</v>
      </c>
      <c r="D42" s="5" t="s">
        <v>586</v>
      </c>
      <c r="E42" s="5" t="s">
        <v>854</v>
      </c>
      <c r="F42" s="5">
        <v>3</v>
      </c>
      <c r="G42" s="129" t="s">
        <v>1883</v>
      </c>
    </row>
    <row r="43" spans="1:7" ht="174">
      <c r="A43" s="5" t="s">
        <v>584</v>
      </c>
      <c r="B43" s="5" t="s">
        <v>571</v>
      </c>
      <c r="C43" s="5" t="s">
        <v>831</v>
      </c>
      <c r="D43" s="5" t="s">
        <v>586</v>
      </c>
      <c r="E43" s="5" t="s">
        <v>854</v>
      </c>
      <c r="F43" s="5">
        <v>4</v>
      </c>
      <c r="G43" s="129" t="s">
        <v>1884</v>
      </c>
    </row>
    <row r="44" spans="1:7" ht="409.5">
      <c r="A44" s="5" t="s">
        <v>584</v>
      </c>
      <c r="B44" s="5" t="s">
        <v>571</v>
      </c>
      <c r="C44" s="5" t="s">
        <v>831</v>
      </c>
      <c r="D44" s="5" t="s">
        <v>586</v>
      </c>
      <c r="E44" s="5" t="s">
        <v>854</v>
      </c>
      <c r="F44" s="5">
        <v>5</v>
      </c>
      <c r="G44" s="129" t="s">
        <v>1885</v>
      </c>
    </row>
    <row r="45" spans="1:7" ht="101.5">
      <c r="A45" s="5" t="s">
        <v>584</v>
      </c>
      <c r="B45" s="5" t="s">
        <v>571</v>
      </c>
      <c r="C45" s="5" t="s">
        <v>831</v>
      </c>
      <c r="D45" s="5" t="s">
        <v>586</v>
      </c>
      <c r="E45" s="5" t="s">
        <v>854</v>
      </c>
      <c r="F45" s="5">
        <v>6</v>
      </c>
      <c r="G45" s="129" t="s">
        <v>1886</v>
      </c>
    </row>
    <row r="46" spans="1:7" ht="101.5">
      <c r="A46" s="5" t="s">
        <v>584</v>
      </c>
      <c r="B46" s="5" t="s">
        <v>571</v>
      </c>
      <c r="C46" s="5" t="s">
        <v>831</v>
      </c>
      <c r="D46" s="5" t="s">
        <v>586</v>
      </c>
      <c r="E46" s="5" t="s">
        <v>854</v>
      </c>
      <c r="F46" s="5">
        <v>7</v>
      </c>
      <c r="G46" s="129" t="s">
        <v>1887</v>
      </c>
    </row>
    <row r="47" spans="1:7" ht="174">
      <c r="A47" s="5" t="s">
        <v>584</v>
      </c>
      <c r="B47" s="5" t="s">
        <v>571</v>
      </c>
      <c r="C47" s="5" t="s">
        <v>831</v>
      </c>
      <c r="D47" s="5" t="s">
        <v>586</v>
      </c>
      <c r="E47" s="5" t="s">
        <v>854</v>
      </c>
      <c r="F47" s="5">
        <v>8</v>
      </c>
      <c r="G47" s="129" t="s">
        <v>1888</v>
      </c>
    </row>
    <row r="48" spans="1:7" ht="174">
      <c r="A48" s="5" t="s">
        <v>584</v>
      </c>
      <c r="B48" s="5" t="s">
        <v>571</v>
      </c>
      <c r="C48" s="5" t="s">
        <v>831</v>
      </c>
      <c r="D48" s="5" t="s">
        <v>586</v>
      </c>
      <c r="E48" s="5" t="s">
        <v>854</v>
      </c>
      <c r="F48" s="5">
        <v>9</v>
      </c>
      <c r="G48" s="129" t="s">
        <v>1889</v>
      </c>
    </row>
    <row r="49" spans="1:7" ht="409.5">
      <c r="A49" s="5" t="s">
        <v>584</v>
      </c>
      <c r="B49" s="5" t="s">
        <v>571</v>
      </c>
      <c r="C49" s="5" t="s">
        <v>831</v>
      </c>
      <c r="D49" s="5" t="s">
        <v>586</v>
      </c>
      <c r="E49" s="5" t="s">
        <v>854</v>
      </c>
      <c r="F49" s="5">
        <v>10</v>
      </c>
      <c r="G49" s="129" t="s">
        <v>1890</v>
      </c>
    </row>
    <row r="50" spans="1:7" ht="101.5">
      <c r="A50" s="5" t="s">
        <v>584</v>
      </c>
      <c r="B50" s="5" t="s">
        <v>571</v>
      </c>
      <c r="C50" s="5" t="s">
        <v>831</v>
      </c>
      <c r="D50" s="5" t="s">
        <v>586</v>
      </c>
      <c r="E50" s="5" t="s">
        <v>854</v>
      </c>
      <c r="F50" s="5">
        <v>11</v>
      </c>
      <c r="G50" s="129" t="s">
        <v>1891</v>
      </c>
    </row>
    <row r="51" spans="1:7" ht="101.5">
      <c r="A51" s="5" t="s">
        <v>584</v>
      </c>
      <c r="B51" s="5" t="s">
        <v>571</v>
      </c>
      <c r="C51" s="5" t="s">
        <v>831</v>
      </c>
      <c r="D51" s="5" t="s">
        <v>586</v>
      </c>
      <c r="E51" s="5" t="s">
        <v>854</v>
      </c>
      <c r="F51" s="5">
        <v>12</v>
      </c>
      <c r="G51" s="129" t="s">
        <v>1892</v>
      </c>
    </row>
    <row r="52" spans="1:7" ht="174">
      <c r="A52" s="5" t="s">
        <v>584</v>
      </c>
      <c r="B52" s="5" t="s">
        <v>571</v>
      </c>
      <c r="C52" s="5" t="s">
        <v>831</v>
      </c>
      <c r="D52" s="5" t="s">
        <v>586</v>
      </c>
      <c r="E52" s="5" t="s">
        <v>854</v>
      </c>
      <c r="F52" s="5">
        <v>13</v>
      </c>
      <c r="G52" s="129" t="s">
        <v>1888</v>
      </c>
    </row>
    <row r="53" spans="1:7" ht="159.5">
      <c r="A53" s="5" t="s">
        <v>584</v>
      </c>
      <c r="B53" s="5" t="s">
        <v>571</v>
      </c>
      <c r="C53" s="5" t="s">
        <v>831</v>
      </c>
      <c r="D53" s="5" t="s">
        <v>586</v>
      </c>
      <c r="E53" s="5" t="s">
        <v>854</v>
      </c>
      <c r="F53" s="5">
        <v>14</v>
      </c>
      <c r="G53" s="129" t="s">
        <v>1893</v>
      </c>
    </row>
    <row r="54" spans="1:7" ht="409.5">
      <c r="A54" s="5" t="s">
        <v>584</v>
      </c>
      <c r="B54" s="5" t="s">
        <v>571</v>
      </c>
      <c r="C54" s="5" t="s">
        <v>831</v>
      </c>
      <c r="D54" s="5" t="s">
        <v>586</v>
      </c>
      <c r="E54" s="5" t="s">
        <v>854</v>
      </c>
      <c r="F54" s="5">
        <v>15</v>
      </c>
      <c r="G54" s="129" t="s">
        <v>1894</v>
      </c>
    </row>
    <row r="55" spans="1:7" ht="87">
      <c r="A55" s="5" t="s">
        <v>584</v>
      </c>
      <c r="B55" s="5" t="s">
        <v>571</v>
      </c>
      <c r="C55" s="5" t="s">
        <v>831</v>
      </c>
      <c r="D55" s="5" t="s">
        <v>586</v>
      </c>
      <c r="E55" s="5" t="s">
        <v>854</v>
      </c>
      <c r="F55" s="5">
        <v>16</v>
      </c>
      <c r="G55" s="129" t="s">
        <v>1895</v>
      </c>
    </row>
    <row r="56" spans="1:7" ht="116">
      <c r="A56" s="5" t="s">
        <v>584</v>
      </c>
      <c r="B56" s="5" t="s">
        <v>571</v>
      </c>
      <c r="C56" s="5" t="s">
        <v>831</v>
      </c>
      <c r="D56" s="5" t="s">
        <v>586</v>
      </c>
      <c r="E56" s="5" t="s">
        <v>854</v>
      </c>
      <c r="F56" s="5">
        <v>17</v>
      </c>
      <c r="G56" s="129" t="s">
        <v>1896</v>
      </c>
    </row>
    <row r="57" spans="1:7" ht="159.5">
      <c r="A57" s="5" t="s">
        <v>584</v>
      </c>
      <c r="B57" s="5" t="s">
        <v>571</v>
      </c>
      <c r="C57" s="5" t="s">
        <v>831</v>
      </c>
      <c r="D57" s="5" t="s">
        <v>586</v>
      </c>
      <c r="E57" s="5" t="s">
        <v>854</v>
      </c>
      <c r="F57" s="5">
        <v>18</v>
      </c>
      <c r="G57" s="129" t="s">
        <v>1897</v>
      </c>
    </row>
    <row r="58" spans="1:7" ht="409.5">
      <c r="A58" s="5" t="s">
        <v>584</v>
      </c>
      <c r="B58" s="5" t="s">
        <v>571</v>
      </c>
      <c r="C58" s="5" t="s">
        <v>831</v>
      </c>
      <c r="D58" s="5" t="s">
        <v>586</v>
      </c>
      <c r="E58" s="5" t="s">
        <v>854</v>
      </c>
      <c r="F58" s="5">
        <v>19</v>
      </c>
      <c r="G58" s="129" t="s">
        <v>1898</v>
      </c>
    </row>
    <row r="59" spans="1:7" ht="87">
      <c r="A59" s="5" t="s">
        <v>584</v>
      </c>
      <c r="B59" s="5" t="s">
        <v>571</v>
      </c>
      <c r="C59" s="5" t="s">
        <v>831</v>
      </c>
      <c r="D59" s="5" t="s">
        <v>586</v>
      </c>
      <c r="E59" s="5" t="s">
        <v>854</v>
      </c>
      <c r="F59" s="5">
        <v>20</v>
      </c>
      <c r="G59" s="129" t="s">
        <v>1899</v>
      </c>
    </row>
    <row r="60" spans="1:7" ht="116">
      <c r="A60" s="5" t="s">
        <v>584</v>
      </c>
      <c r="B60" s="5" t="s">
        <v>571</v>
      </c>
      <c r="C60" s="5" t="s">
        <v>831</v>
      </c>
      <c r="D60" s="5" t="s">
        <v>586</v>
      </c>
      <c r="E60" s="5" t="s">
        <v>854</v>
      </c>
      <c r="F60" s="5">
        <v>21</v>
      </c>
      <c r="G60" s="129" t="s">
        <v>1896</v>
      </c>
    </row>
    <row r="61" spans="1:7" ht="159.5">
      <c r="A61" s="5" t="s">
        <v>584</v>
      </c>
      <c r="B61" s="5" t="s">
        <v>571</v>
      </c>
      <c r="C61" s="5" t="s">
        <v>831</v>
      </c>
      <c r="D61" s="5" t="s">
        <v>586</v>
      </c>
      <c r="E61" s="5" t="s">
        <v>854</v>
      </c>
      <c r="F61" s="5">
        <v>22</v>
      </c>
      <c r="G61" s="129" t="s">
        <v>1900</v>
      </c>
    </row>
    <row r="62" spans="1:7" ht="409.5">
      <c r="A62" s="5" t="s">
        <v>584</v>
      </c>
      <c r="B62" s="5" t="s">
        <v>571</v>
      </c>
      <c r="C62" s="5" t="s">
        <v>831</v>
      </c>
      <c r="D62" s="5" t="s">
        <v>586</v>
      </c>
      <c r="E62" s="5" t="s">
        <v>854</v>
      </c>
      <c r="F62" s="5">
        <v>23</v>
      </c>
      <c r="G62" s="129" t="s">
        <v>1901</v>
      </c>
    </row>
    <row r="63" spans="1:7" ht="101.5">
      <c r="A63" s="5" t="s">
        <v>584</v>
      </c>
      <c r="B63" s="5" t="s">
        <v>571</v>
      </c>
      <c r="C63" s="5" t="s">
        <v>831</v>
      </c>
      <c r="D63" s="5" t="s">
        <v>586</v>
      </c>
      <c r="E63" s="5" t="s">
        <v>854</v>
      </c>
      <c r="F63" s="5">
        <v>24</v>
      </c>
      <c r="G63" s="129" t="s">
        <v>1902</v>
      </c>
    </row>
    <row r="64" spans="1:7" ht="203">
      <c r="A64" s="5" t="s">
        <v>584</v>
      </c>
      <c r="B64" s="5" t="s">
        <v>571</v>
      </c>
      <c r="C64" s="5" t="s">
        <v>831</v>
      </c>
      <c r="D64" s="5" t="s">
        <v>586</v>
      </c>
      <c r="E64" s="5" t="s">
        <v>854</v>
      </c>
      <c r="F64" s="5">
        <v>25</v>
      </c>
      <c r="G64" s="129" t="s">
        <v>1903</v>
      </c>
    </row>
    <row r="65" spans="1:7" ht="174">
      <c r="A65" s="5" t="s">
        <v>584</v>
      </c>
      <c r="B65" s="5" t="s">
        <v>571</v>
      </c>
      <c r="C65" s="5" t="s">
        <v>831</v>
      </c>
      <c r="D65" s="5" t="s">
        <v>586</v>
      </c>
      <c r="E65" s="5" t="s">
        <v>854</v>
      </c>
      <c r="F65" s="5">
        <v>26</v>
      </c>
      <c r="G65" s="129" t="s">
        <v>1904</v>
      </c>
    </row>
    <row r="66" spans="1:7" ht="29">
      <c r="A66" s="5" t="s">
        <v>584</v>
      </c>
      <c r="B66" s="5" t="s">
        <v>571</v>
      </c>
      <c r="C66" s="5" t="s">
        <v>831</v>
      </c>
      <c r="D66" s="5" t="s">
        <v>586</v>
      </c>
      <c r="E66" s="5" t="s">
        <v>855</v>
      </c>
      <c r="F66" s="5">
        <v>1</v>
      </c>
      <c r="G66" s="129" t="s">
        <v>1905</v>
      </c>
    </row>
    <row r="67" spans="1:7" ht="174">
      <c r="A67" s="5" t="s">
        <v>584</v>
      </c>
      <c r="B67" s="5" t="s">
        <v>571</v>
      </c>
      <c r="C67" s="5" t="s">
        <v>831</v>
      </c>
      <c r="D67" s="5" t="s">
        <v>586</v>
      </c>
      <c r="E67" s="5" t="s">
        <v>855</v>
      </c>
      <c r="F67" s="5">
        <v>2</v>
      </c>
      <c r="G67" s="129" t="s">
        <v>1906</v>
      </c>
    </row>
    <row r="68" spans="1:7" ht="145">
      <c r="A68" s="5" t="s">
        <v>584</v>
      </c>
      <c r="B68" s="5" t="s">
        <v>571</v>
      </c>
      <c r="C68" s="5" t="s">
        <v>831</v>
      </c>
      <c r="D68" s="5" t="s">
        <v>586</v>
      </c>
      <c r="E68" s="5" t="s">
        <v>855</v>
      </c>
      <c r="F68" s="5">
        <v>3</v>
      </c>
      <c r="G68" s="129" t="s">
        <v>1907</v>
      </c>
    </row>
    <row r="69" spans="1:7" ht="319">
      <c r="A69" s="5" t="s">
        <v>584</v>
      </c>
      <c r="B69" s="5" t="s">
        <v>571</v>
      </c>
      <c r="C69" s="5" t="s">
        <v>831</v>
      </c>
      <c r="D69" s="5" t="s">
        <v>586</v>
      </c>
      <c r="E69" s="5" t="s">
        <v>855</v>
      </c>
      <c r="F69" s="5">
        <v>4</v>
      </c>
      <c r="G69" s="129" t="s">
        <v>1908</v>
      </c>
    </row>
    <row r="70" spans="1:7" ht="159.5">
      <c r="A70" s="5" t="s">
        <v>584</v>
      </c>
      <c r="B70" s="5" t="s">
        <v>572</v>
      </c>
      <c r="C70" s="5" t="s">
        <v>832</v>
      </c>
      <c r="D70" s="5" t="s">
        <v>856</v>
      </c>
      <c r="F70" s="5">
        <v>1</v>
      </c>
      <c r="G70" s="129" t="s">
        <v>1909</v>
      </c>
    </row>
    <row r="71" spans="1:7" ht="87">
      <c r="A71" s="5" t="s">
        <v>584</v>
      </c>
      <c r="B71" s="5" t="s">
        <v>572</v>
      </c>
      <c r="C71" s="5" t="s">
        <v>832</v>
      </c>
      <c r="D71" s="5" t="s">
        <v>856</v>
      </c>
      <c r="F71" s="5">
        <v>2</v>
      </c>
      <c r="G71" s="129" t="s">
        <v>1910</v>
      </c>
    </row>
    <row r="72" spans="1:7" ht="261">
      <c r="A72" s="5" t="s">
        <v>584</v>
      </c>
      <c r="B72" s="5" t="s">
        <v>572</v>
      </c>
      <c r="C72" s="5" t="s">
        <v>832</v>
      </c>
      <c r="D72" s="5" t="s">
        <v>856</v>
      </c>
      <c r="F72" s="5">
        <v>3</v>
      </c>
      <c r="G72" s="129" t="s">
        <v>1911</v>
      </c>
    </row>
    <row r="73" spans="1:7" ht="409.5">
      <c r="A73" s="5" t="s">
        <v>584</v>
      </c>
      <c r="B73" s="5" t="s">
        <v>572</v>
      </c>
      <c r="C73" s="5" t="s">
        <v>832</v>
      </c>
      <c r="D73" s="5" t="s">
        <v>856</v>
      </c>
      <c r="F73" s="5">
        <v>4</v>
      </c>
      <c r="G73" s="129" t="s">
        <v>1912</v>
      </c>
    </row>
    <row r="74" spans="1:7">
      <c r="A74" s="5" t="s">
        <v>584</v>
      </c>
      <c r="B74" s="5" t="s">
        <v>573</v>
      </c>
      <c r="C74" s="5" t="s">
        <v>833</v>
      </c>
      <c r="D74" s="5" t="s">
        <v>857</v>
      </c>
      <c r="F74" s="5">
        <v>1</v>
      </c>
      <c r="G74" s="129" t="s">
        <v>849</v>
      </c>
    </row>
    <row r="75" spans="1:7" ht="72.5">
      <c r="A75" s="5" t="s">
        <v>584</v>
      </c>
      <c r="B75" s="5" t="s">
        <v>573</v>
      </c>
      <c r="C75" s="5" t="s">
        <v>833</v>
      </c>
      <c r="D75" s="5" t="s">
        <v>857</v>
      </c>
      <c r="F75" s="5">
        <v>2</v>
      </c>
      <c r="G75" s="129" t="s">
        <v>1913</v>
      </c>
    </row>
    <row r="76" spans="1:7" ht="87">
      <c r="A76" s="5" t="s">
        <v>584</v>
      </c>
      <c r="B76" s="5" t="s">
        <v>573</v>
      </c>
      <c r="C76" s="5" t="s">
        <v>833</v>
      </c>
      <c r="D76" s="5" t="s">
        <v>857</v>
      </c>
      <c r="F76" s="5">
        <v>3</v>
      </c>
      <c r="G76" s="129" t="s">
        <v>1914</v>
      </c>
    </row>
    <row r="77" spans="1:7">
      <c r="A77" s="5" t="s">
        <v>584</v>
      </c>
      <c r="B77" s="5" t="s">
        <v>573</v>
      </c>
      <c r="C77" s="5" t="s">
        <v>833</v>
      </c>
      <c r="D77" s="5" t="s">
        <v>858</v>
      </c>
      <c r="F77" s="5">
        <v>1</v>
      </c>
      <c r="G77" s="129" t="s">
        <v>849</v>
      </c>
    </row>
    <row r="78" spans="1:7" ht="72.5">
      <c r="A78" s="5" t="s">
        <v>584</v>
      </c>
      <c r="B78" s="5" t="s">
        <v>573</v>
      </c>
      <c r="C78" s="5" t="s">
        <v>833</v>
      </c>
      <c r="D78" s="5" t="s">
        <v>858</v>
      </c>
      <c r="F78" s="5">
        <v>2</v>
      </c>
      <c r="G78" s="129" t="s">
        <v>1915</v>
      </c>
    </row>
    <row r="79" spans="1:7" ht="72.5">
      <c r="A79" s="5" t="s">
        <v>584</v>
      </c>
      <c r="B79" s="5" t="s">
        <v>573</v>
      </c>
      <c r="C79" s="5" t="s">
        <v>833</v>
      </c>
      <c r="D79" s="5" t="s">
        <v>858</v>
      </c>
      <c r="F79" s="5">
        <v>3</v>
      </c>
      <c r="G79" s="129" t="s">
        <v>1916</v>
      </c>
    </row>
    <row r="80" spans="1:7" ht="145">
      <c r="A80" s="5" t="s">
        <v>584</v>
      </c>
      <c r="B80" s="5" t="s">
        <v>573</v>
      </c>
      <c r="C80" s="5" t="s">
        <v>833</v>
      </c>
      <c r="D80" s="5" t="s">
        <v>858</v>
      </c>
      <c r="F80" s="5">
        <v>4</v>
      </c>
      <c r="G80" s="129" t="s">
        <v>1917</v>
      </c>
    </row>
    <row r="81" spans="1:7" ht="87">
      <c r="A81" s="5" t="s">
        <v>584</v>
      </c>
      <c r="B81" s="5" t="s">
        <v>573</v>
      </c>
      <c r="C81" s="5" t="s">
        <v>833</v>
      </c>
      <c r="D81" s="5" t="s">
        <v>858</v>
      </c>
      <c r="F81" s="5">
        <v>5</v>
      </c>
      <c r="G81" s="129" t="s">
        <v>1914</v>
      </c>
    </row>
    <row r="82" spans="1:7">
      <c r="A82" s="5" t="s">
        <v>584</v>
      </c>
      <c r="B82" s="5" t="s">
        <v>573</v>
      </c>
      <c r="C82" s="5" t="s">
        <v>833</v>
      </c>
      <c r="D82" s="5" t="s">
        <v>859</v>
      </c>
      <c r="F82" s="5">
        <v>1</v>
      </c>
      <c r="G82" s="129" t="s">
        <v>849</v>
      </c>
    </row>
    <row r="83" spans="1:7" ht="72.5">
      <c r="A83" s="5" t="s">
        <v>584</v>
      </c>
      <c r="B83" s="5" t="s">
        <v>573</v>
      </c>
      <c r="C83" s="5" t="s">
        <v>833</v>
      </c>
      <c r="D83" s="5" t="s">
        <v>859</v>
      </c>
      <c r="F83" s="5">
        <v>2</v>
      </c>
      <c r="G83" s="129" t="s">
        <v>1918</v>
      </c>
    </row>
    <row r="84" spans="1:7" ht="72.5">
      <c r="A84" s="5" t="s">
        <v>584</v>
      </c>
      <c r="B84" s="5" t="s">
        <v>573</v>
      </c>
      <c r="C84" s="5" t="s">
        <v>833</v>
      </c>
      <c r="D84" s="5" t="s">
        <v>859</v>
      </c>
      <c r="F84" s="5">
        <v>3</v>
      </c>
      <c r="G84" s="129" t="s">
        <v>1919</v>
      </c>
    </row>
    <row r="85" spans="1:7" ht="145">
      <c r="A85" s="5" t="s">
        <v>584</v>
      </c>
      <c r="B85" s="5" t="s">
        <v>573</v>
      </c>
      <c r="C85" s="5" t="s">
        <v>833</v>
      </c>
      <c r="D85" s="5" t="s">
        <v>859</v>
      </c>
      <c r="F85" s="5">
        <v>4</v>
      </c>
      <c r="G85" s="129" t="s">
        <v>1917</v>
      </c>
    </row>
    <row r="86" spans="1:7" ht="87">
      <c r="A86" s="5" t="s">
        <v>584</v>
      </c>
      <c r="B86" s="5" t="s">
        <v>573</v>
      </c>
      <c r="C86" s="5" t="s">
        <v>833</v>
      </c>
      <c r="D86" s="5" t="s">
        <v>859</v>
      </c>
      <c r="F86" s="5">
        <v>5</v>
      </c>
      <c r="G86" s="129" t="s">
        <v>1914</v>
      </c>
    </row>
    <row r="87" spans="1:7">
      <c r="A87" s="5" t="s">
        <v>584</v>
      </c>
      <c r="B87" s="5" t="s">
        <v>573</v>
      </c>
      <c r="C87" s="5" t="s">
        <v>833</v>
      </c>
      <c r="D87" s="5" t="s">
        <v>860</v>
      </c>
      <c r="F87" s="5">
        <v>1</v>
      </c>
      <c r="G87" s="129" t="s">
        <v>849</v>
      </c>
    </row>
    <row r="88" spans="1:7" ht="72.5">
      <c r="A88" s="5" t="s">
        <v>584</v>
      </c>
      <c r="B88" s="5" t="s">
        <v>573</v>
      </c>
      <c r="C88" s="5" t="s">
        <v>833</v>
      </c>
      <c r="D88" s="5" t="s">
        <v>860</v>
      </c>
      <c r="F88" s="5">
        <v>2</v>
      </c>
      <c r="G88" s="129" t="s">
        <v>1920</v>
      </c>
    </row>
    <row r="89" spans="1:7" ht="87">
      <c r="A89" s="5" t="s">
        <v>584</v>
      </c>
      <c r="B89" s="5" t="s">
        <v>573</v>
      </c>
      <c r="C89" s="5" t="s">
        <v>833</v>
      </c>
      <c r="D89" s="5" t="s">
        <v>860</v>
      </c>
      <c r="F89" s="5">
        <v>3</v>
      </c>
      <c r="G89" s="129" t="s">
        <v>1921</v>
      </c>
    </row>
    <row r="90" spans="1:7" ht="87">
      <c r="A90" s="5" t="s">
        <v>584</v>
      </c>
      <c r="B90" s="5" t="s">
        <v>573</v>
      </c>
      <c r="C90" s="5" t="s">
        <v>833</v>
      </c>
      <c r="D90" s="5" t="s">
        <v>860</v>
      </c>
      <c r="F90" s="5">
        <v>4</v>
      </c>
      <c r="G90" s="129" t="s">
        <v>1914</v>
      </c>
    </row>
    <row r="91" spans="1:7">
      <c r="A91" s="5" t="s">
        <v>584</v>
      </c>
      <c r="B91" s="5" t="s">
        <v>573</v>
      </c>
      <c r="C91" s="5" t="s">
        <v>833</v>
      </c>
      <c r="D91" s="5" t="s">
        <v>861</v>
      </c>
      <c r="F91" s="5">
        <v>1</v>
      </c>
      <c r="G91" s="129" t="s">
        <v>849</v>
      </c>
    </row>
    <row r="92" spans="1:7" ht="72.5">
      <c r="A92" s="5" t="s">
        <v>584</v>
      </c>
      <c r="B92" s="5" t="s">
        <v>573</v>
      </c>
      <c r="C92" s="5" t="s">
        <v>833</v>
      </c>
      <c r="D92" s="5" t="s">
        <v>861</v>
      </c>
      <c r="F92" s="5">
        <v>2</v>
      </c>
      <c r="G92" s="129" t="s">
        <v>1922</v>
      </c>
    </row>
    <row r="93" spans="1:7" ht="87">
      <c r="A93" s="5" t="s">
        <v>584</v>
      </c>
      <c r="B93" s="5" t="s">
        <v>573</v>
      </c>
      <c r="C93" s="5" t="s">
        <v>833</v>
      </c>
      <c r="D93" s="5" t="s">
        <v>861</v>
      </c>
      <c r="F93" s="5">
        <v>3</v>
      </c>
      <c r="G93" s="129" t="s">
        <v>1921</v>
      </c>
    </row>
    <row r="94" spans="1:7" ht="87">
      <c r="A94" s="5" t="s">
        <v>584</v>
      </c>
      <c r="B94" s="5" t="s">
        <v>573</v>
      </c>
      <c r="C94" s="5" t="s">
        <v>833</v>
      </c>
      <c r="D94" s="5" t="s">
        <v>861</v>
      </c>
      <c r="F94" s="5">
        <v>4</v>
      </c>
      <c r="G94" s="129" t="s">
        <v>1914</v>
      </c>
    </row>
    <row r="95" spans="1:7" ht="319">
      <c r="A95" s="5" t="s">
        <v>584</v>
      </c>
      <c r="B95" s="5" t="s">
        <v>571</v>
      </c>
      <c r="C95" s="5" t="s">
        <v>831</v>
      </c>
      <c r="D95" s="5" t="s">
        <v>586</v>
      </c>
      <c r="E95" s="5" t="s">
        <v>918</v>
      </c>
      <c r="F95" s="5">
        <v>1</v>
      </c>
      <c r="G95" s="129" t="s">
        <v>1923</v>
      </c>
    </row>
    <row r="96" spans="1:7" ht="409.5">
      <c r="A96" s="5" t="s">
        <v>584</v>
      </c>
      <c r="B96" s="5" t="s">
        <v>571</v>
      </c>
      <c r="C96" s="5" t="s">
        <v>831</v>
      </c>
      <c r="D96" s="5" t="s">
        <v>586</v>
      </c>
      <c r="E96" s="5" t="s">
        <v>918</v>
      </c>
      <c r="F96" s="5">
        <v>2</v>
      </c>
      <c r="G96" s="129" t="s">
        <v>1924</v>
      </c>
    </row>
    <row r="97" spans="1:7" ht="409.5">
      <c r="A97" s="5" t="s">
        <v>584</v>
      </c>
      <c r="B97" s="5" t="s">
        <v>571</v>
      </c>
      <c r="C97" s="5" t="s">
        <v>831</v>
      </c>
      <c r="D97" s="5" t="s">
        <v>586</v>
      </c>
      <c r="E97" s="5" t="s">
        <v>918</v>
      </c>
      <c r="F97" s="5">
        <v>3</v>
      </c>
      <c r="G97" s="129" t="s">
        <v>1925</v>
      </c>
    </row>
    <row r="98" spans="1:7" ht="409.5">
      <c r="A98" s="5" t="s">
        <v>584</v>
      </c>
      <c r="B98" s="5" t="s">
        <v>571</v>
      </c>
      <c r="C98" s="5" t="s">
        <v>831</v>
      </c>
      <c r="D98" s="5" t="s">
        <v>586</v>
      </c>
      <c r="E98" s="5" t="s">
        <v>918</v>
      </c>
      <c r="F98" s="5">
        <v>4</v>
      </c>
      <c r="G98" s="129" t="s">
        <v>1926</v>
      </c>
    </row>
    <row r="99" spans="1:7" ht="290">
      <c r="A99" s="5" t="s">
        <v>584</v>
      </c>
      <c r="B99" s="5" t="s">
        <v>571</v>
      </c>
      <c r="C99" s="5" t="s">
        <v>831</v>
      </c>
      <c r="D99" s="5" t="s">
        <v>586</v>
      </c>
      <c r="E99" s="5" t="s">
        <v>918</v>
      </c>
      <c r="F99" s="5">
        <v>5</v>
      </c>
      <c r="G99" s="129" t="s">
        <v>1927</v>
      </c>
    </row>
    <row r="100" spans="1:7" ht="203">
      <c r="A100" s="5" t="s">
        <v>584</v>
      </c>
      <c r="B100" s="5" t="s">
        <v>571</v>
      </c>
      <c r="C100" s="5" t="s">
        <v>831</v>
      </c>
      <c r="D100" s="5" t="s">
        <v>586</v>
      </c>
      <c r="E100" s="5" t="s">
        <v>918</v>
      </c>
      <c r="F100" s="5">
        <v>6</v>
      </c>
      <c r="G100" s="129" t="s">
        <v>1928</v>
      </c>
    </row>
    <row r="101" spans="1:7" ht="333.5">
      <c r="A101" s="5" t="s">
        <v>584</v>
      </c>
      <c r="B101" s="5" t="s">
        <v>571</v>
      </c>
      <c r="C101" s="5" t="s">
        <v>831</v>
      </c>
      <c r="D101" s="5" t="s">
        <v>586</v>
      </c>
      <c r="E101" s="5" t="s">
        <v>918</v>
      </c>
      <c r="F101" s="5">
        <v>7</v>
      </c>
      <c r="G101" s="129" t="s">
        <v>1929</v>
      </c>
    </row>
    <row r="102" spans="1:7" ht="409.5">
      <c r="A102" s="5" t="s">
        <v>584</v>
      </c>
      <c r="B102" s="5" t="s">
        <v>571</v>
      </c>
      <c r="C102" s="5" t="s">
        <v>831</v>
      </c>
      <c r="D102" s="5" t="s">
        <v>586</v>
      </c>
      <c r="E102" s="5" t="s">
        <v>918</v>
      </c>
      <c r="F102" s="5">
        <v>8</v>
      </c>
      <c r="G102" s="129" t="s">
        <v>1930</v>
      </c>
    </row>
    <row r="103" spans="1:7" ht="188.5">
      <c r="A103" s="5" t="s">
        <v>584</v>
      </c>
      <c r="B103" s="5" t="s">
        <v>571</v>
      </c>
      <c r="C103" s="5" t="s">
        <v>831</v>
      </c>
      <c r="D103" s="5" t="s">
        <v>586</v>
      </c>
      <c r="E103" s="5" t="s">
        <v>918</v>
      </c>
      <c r="F103" s="5">
        <v>9</v>
      </c>
      <c r="G103" s="129" t="s">
        <v>1931</v>
      </c>
    </row>
    <row r="104" spans="1:7" ht="275.5">
      <c r="A104" s="5" t="s">
        <v>584</v>
      </c>
      <c r="B104" s="5" t="s">
        <v>571</v>
      </c>
      <c r="C104" s="5" t="s">
        <v>831</v>
      </c>
      <c r="D104" s="5" t="s">
        <v>586</v>
      </c>
      <c r="E104" s="5" t="s">
        <v>918</v>
      </c>
      <c r="F104" s="5">
        <v>10</v>
      </c>
      <c r="G104" s="129" t="s">
        <v>1932</v>
      </c>
    </row>
    <row r="105" spans="1:7" ht="409.5">
      <c r="A105" s="5" t="s">
        <v>584</v>
      </c>
      <c r="B105" s="5" t="s">
        <v>571</v>
      </c>
      <c r="C105" s="5" t="s">
        <v>831</v>
      </c>
      <c r="D105" s="5" t="s">
        <v>586</v>
      </c>
      <c r="E105" s="5" t="s">
        <v>918</v>
      </c>
      <c r="F105" s="5">
        <v>11</v>
      </c>
      <c r="G105" s="129" t="s">
        <v>1933</v>
      </c>
    </row>
    <row r="106" spans="1:7" ht="409.5">
      <c r="A106" s="5" t="s">
        <v>584</v>
      </c>
      <c r="B106" s="5" t="s">
        <v>571</v>
      </c>
      <c r="C106" s="5" t="s">
        <v>831</v>
      </c>
      <c r="D106" s="5" t="s">
        <v>586</v>
      </c>
      <c r="E106" s="5" t="s">
        <v>918</v>
      </c>
      <c r="F106" s="5">
        <v>12</v>
      </c>
      <c r="G106" s="129" t="s">
        <v>1934</v>
      </c>
    </row>
    <row r="107" spans="1:7" ht="409.5">
      <c r="A107" s="5" t="s">
        <v>584</v>
      </c>
      <c r="B107" s="5" t="s">
        <v>571</v>
      </c>
      <c r="C107" s="5" t="s">
        <v>831</v>
      </c>
      <c r="D107" s="5" t="s">
        <v>586</v>
      </c>
      <c r="E107" s="5" t="s">
        <v>918</v>
      </c>
      <c r="F107" s="5">
        <v>13</v>
      </c>
      <c r="G107" s="129" t="s">
        <v>1935</v>
      </c>
    </row>
    <row r="108" spans="1:7" ht="377">
      <c r="A108" s="5" t="s">
        <v>584</v>
      </c>
      <c r="B108" s="5" t="s">
        <v>571</v>
      </c>
      <c r="C108" s="5" t="s">
        <v>831</v>
      </c>
      <c r="D108" s="5" t="s">
        <v>586</v>
      </c>
      <c r="E108" s="5" t="s">
        <v>918</v>
      </c>
      <c r="F108" s="5">
        <v>14</v>
      </c>
      <c r="G108" s="129" t="s">
        <v>1936</v>
      </c>
    </row>
    <row r="109" spans="1:7" ht="409.5">
      <c r="A109" s="5" t="s">
        <v>584</v>
      </c>
      <c r="B109" s="5" t="s">
        <v>571</v>
      </c>
      <c r="C109" s="5" t="s">
        <v>831</v>
      </c>
      <c r="D109" s="5" t="s">
        <v>586</v>
      </c>
      <c r="E109" s="5" t="s">
        <v>918</v>
      </c>
      <c r="F109" s="5">
        <v>15</v>
      </c>
      <c r="G109" s="129" t="s">
        <v>1937</v>
      </c>
    </row>
    <row r="110" spans="1:7" ht="409.5">
      <c r="A110" s="5" t="s">
        <v>584</v>
      </c>
      <c r="B110" s="5" t="s">
        <v>571</v>
      </c>
      <c r="C110" s="5" t="s">
        <v>831</v>
      </c>
      <c r="D110" s="5" t="s">
        <v>586</v>
      </c>
      <c r="E110" s="5" t="s">
        <v>918</v>
      </c>
      <c r="F110" s="5">
        <v>16</v>
      </c>
      <c r="G110" s="129" t="s">
        <v>1938</v>
      </c>
    </row>
    <row r="111" spans="1:7">
      <c r="A111" s="5" t="s">
        <v>584</v>
      </c>
      <c r="B111" s="5" t="s">
        <v>573</v>
      </c>
      <c r="C111" s="5" t="s">
        <v>833</v>
      </c>
      <c r="D111" s="5" t="s">
        <v>919</v>
      </c>
      <c r="F111" s="5">
        <v>1</v>
      </c>
      <c r="G111" s="129" t="s">
        <v>849</v>
      </c>
    </row>
    <row r="112" spans="1:7" ht="72.5">
      <c r="A112" s="5" t="s">
        <v>584</v>
      </c>
      <c r="B112" s="5" t="s">
        <v>573</v>
      </c>
      <c r="C112" s="5" t="s">
        <v>833</v>
      </c>
      <c r="D112" s="5" t="s">
        <v>919</v>
      </c>
      <c r="F112" s="5">
        <v>2</v>
      </c>
      <c r="G112" s="129" t="s">
        <v>1939</v>
      </c>
    </row>
    <row r="113" spans="1:7" ht="174">
      <c r="A113" s="5" t="s">
        <v>584</v>
      </c>
      <c r="B113" s="5" t="s">
        <v>573</v>
      </c>
      <c r="C113" s="5" t="s">
        <v>833</v>
      </c>
      <c r="D113" s="5" t="s">
        <v>919</v>
      </c>
      <c r="F113" s="5">
        <v>3</v>
      </c>
      <c r="G113" s="129" t="s">
        <v>1940</v>
      </c>
    </row>
    <row r="114" spans="1:7" ht="87">
      <c r="A114" s="5" t="s">
        <v>584</v>
      </c>
      <c r="B114" s="5" t="s">
        <v>573</v>
      </c>
      <c r="C114" s="5" t="s">
        <v>833</v>
      </c>
      <c r="D114" s="5" t="s">
        <v>919</v>
      </c>
      <c r="F114" s="5">
        <v>4</v>
      </c>
      <c r="G114" s="129" t="s">
        <v>1914</v>
      </c>
    </row>
    <row r="115" spans="1:7" ht="409.5">
      <c r="A115" s="5" t="s">
        <v>584</v>
      </c>
      <c r="B115" s="5" t="s">
        <v>571</v>
      </c>
      <c r="C115" s="5" t="s">
        <v>831</v>
      </c>
      <c r="D115" s="5" t="s">
        <v>586</v>
      </c>
      <c r="E115" s="5" t="s">
        <v>1941</v>
      </c>
      <c r="F115" s="5">
        <v>1</v>
      </c>
      <c r="G115" s="129" t="s">
        <v>1942</v>
      </c>
    </row>
    <row r="116" spans="1:7" ht="101.5">
      <c r="A116" s="5" t="s">
        <v>584</v>
      </c>
      <c r="B116" s="5" t="s">
        <v>571</v>
      </c>
      <c r="C116" s="5" t="s">
        <v>831</v>
      </c>
      <c r="D116" s="5" t="s">
        <v>586</v>
      </c>
      <c r="E116" s="5" t="s">
        <v>1941</v>
      </c>
      <c r="F116" s="5">
        <v>2</v>
      </c>
      <c r="G116" s="129" t="s">
        <v>1943</v>
      </c>
    </row>
    <row r="117" spans="1:7" ht="217.5">
      <c r="A117" s="5" t="s">
        <v>584</v>
      </c>
      <c r="B117" s="5" t="s">
        <v>571</v>
      </c>
      <c r="C117" s="5" t="s">
        <v>831</v>
      </c>
      <c r="D117" s="5" t="s">
        <v>586</v>
      </c>
      <c r="E117" s="5" t="s">
        <v>1941</v>
      </c>
      <c r="F117" s="5">
        <v>3</v>
      </c>
      <c r="G117" s="129" t="s">
        <v>1944</v>
      </c>
    </row>
    <row r="118" spans="1:7" ht="87">
      <c r="A118" s="5" t="s">
        <v>584</v>
      </c>
      <c r="B118" s="5" t="s">
        <v>571</v>
      </c>
      <c r="C118" s="5" t="s">
        <v>831</v>
      </c>
      <c r="D118" s="5" t="s">
        <v>586</v>
      </c>
      <c r="E118" s="5" t="s">
        <v>1945</v>
      </c>
      <c r="F118" s="5">
        <v>1</v>
      </c>
      <c r="G118" s="129" t="s">
        <v>1946</v>
      </c>
    </row>
    <row r="119" spans="1:7" ht="409.5">
      <c r="A119" s="5" t="s">
        <v>584</v>
      </c>
      <c r="B119" s="5" t="s">
        <v>571</v>
      </c>
      <c r="C119" s="5" t="s">
        <v>831</v>
      </c>
      <c r="D119" s="5" t="s">
        <v>586</v>
      </c>
      <c r="E119" s="5" t="s">
        <v>1945</v>
      </c>
      <c r="F119" s="5">
        <v>2</v>
      </c>
      <c r="G119" s="129" t="s">
        <v>1947</v>
      </c>
    </row>
    <row r="120" spans="1:7" ht="87">
      <c r="A120" s="5" t="s">
        <v>584</v>
      </c>
      <c r="B120" s="5" t="s">
        <v>571</v>
      </c>
      <c r="C120" s="5" t="s">
        <v>831</v>
      </c>
      <c r="D120" s="5" t="s">
        <v>586</v>
      </c>
      <c r="E120" s="5" t="s">
        <v>1945</v>
      </c>
      <c r="F120" s="5">
        <v>3</v>
      </c>
      <c r="G120" s="129" t="s">
        <v>1948</v>
      </c>
    </row>
    <row r="121" spans="1:7" ht="174">
      <c r="A121" s="5" t="s">
        <v>584</v>
      </c>
      <c r="B121" s="5" t="s">
        <v>571</v>
      </c>
      <c r="C121" s="5" t="s">
        <v>831</v>
      </c>
      <c r="D121" s="5" t="s">
        <v>586</v>
      </c>
      <c r="E121" s="5" t="s">
        <v>1945</v>
      </c>
      <c r="F121" s="5">
        <v>4</v>
      </c>
      <c r="G121" s="129" t="s">
        <v>1949</v>
      </c>
    </row>
    <row r="122" spans="1:7" ht="43.5">
      <c r="A122" s="5" t="s">
        <v>584</v>
      </c>
      <c r="B122" s="5" t="s">
        <v>571</v>
      </c>
      <c r="C122" s="5" t="s">
        <v>831</v>
      </c>
      <c r="D122" s="5" t="s">
        <v>586</v>
      </c>
      <c r="E122" s="5" t="s">
        <v>864</v>
      </c>
      <c r="F122" s="5">
        <v>1</v>
      </c>
      <c r="G122" s="129" t="s">
        <v>1950</v>
      </c>
    </row>
    <row r="123" spans="1:7" ht="87">
      <c r="A123" s="5" t="s">
        <v>584</v>
      </c>
      <c r="B123" s="5" t="s">
        <v>571</v>
      </c>
      <c r="C123" s="5" t="s">
        <v>831</v>
      </c>
      <c r="D123" s="5" t="s">
        <v>586</v>
      </c>
      <c r="E123" s="5" t="s">
        <v>864</v>
      </c>
      <c r="F123" s="5">
        <v>2</v>
      </c>
      <c r="G123" s="129" t="s">
        <v>1951</v>
      </c>
    </row>
    <row r="124" spans="1:7" ht="87">
      <c r="A124" s="5" t="s">
        <v>584</v>
      </c>
      <c r="B124" s="5" t="s">
        <v>571</v>
      </c>
      <c r="C124" s="5" t="s">
        <v>831</v>
      </c>
      <c r="D124" s="5" t="s">
        <v>586</v>
      </c>
      <c r="E124" s="5" t="s">
        <v>864</v>
      </c>
      <c r="F124" s="5">
        <v>3</v>
      </c>
      <c r="G124" s="129" t="s">
        <v>1952</v>
      </c>
    </row>
    <row r="125" spans="1:7" ht="409.5">
      <c r="A125" s="5" t="s">
        <v>584</v>
      </c>
      <c r="B125" s="5" t="s">
        <v>571</v>
      </c>
      <c r="C125" s="5" t="s">
        <v>831</v>
      </c>
      <c r="D125" s="5" t="s">
        <v>586</v>
      </c>
      <c r="E125" s="5" t="s">
        <v>864</v>
      </c>
      <c r="F125" s="5">
        <v>4</v>
      </c>
      <c r="G125" s="129" t="s">
        <v>1953</v>
      </c>
    </row>
    <row r="126" spans="1:7" ht="409.5">
      <c r="A126" s="5" t="s">
        <v>584</v>
      </c>
      <c r="B126" s="5" t="s">
        <v>571</v>
      </c>
      <c r="C126" s="5" t="s">
        <v>831</v>
      </c>
      <c r="D126" s="5" t="s">
        <v>586</v>
      </c>
      <c r="E126" s="5" t="s">
        <v>864</v>
      </c>
      <c r="F126" s="5">
        <v>5</v>
      </c>
      <c r="G126" s="129" t="s">
        <v>1954</v>
      </c>
    </row>
    <row r="127" spans="1:7" ht="409.5">
      <c r="A127" s="5" t="s">
        <v>584</v>
      </c>
      <c r="B127" s="5" t="s">
        <v>571</v>
      </c>
      <c r="C127" s="5" t="s">
        <v>831</v>
      </c>
      <c r="D127" s="5" t="s">
        <v>586</v>
      </c>
      <c r="E127" s="5" t="s">
        <v>864</v>
      </c>
      <c r="F127" s="5">
        <v>6</v>
      </c>
      <c r="G127" s="129" t="s">
        <v>1955</v>
      </c>
    </row>
    <row r="128" spans="1:7" ht="362.5">
      <c r="A128" s="5" t="s">
        <v>584</v>
      </c>
      <c r="B128" s="5" t="s">
        <v>571</v>
      </c>
      <c r="C128" s="5" t="s">
        <v>831</v>
      </c>
      <c r="D128" s="5" t="s">
        <v>586</v>
      </c>
      <c r="E128" s="5" t="s">
        <v>864</v>
      </c>
      <c r="F128" s="5">
        <v>7</v>
      </c>
      <c r="G128" s="129" t="s">
        <v>1956</v>
      </c>
    </row>
    <row r="129" spans="1:7" ht="409.5">
      <c r="A129" s="5" t="s">
        <v>584</v>
      </c>
      <c r="B129" s="5" t="s">
        <v>571</v>
      </c>
      <c r="C129" s="5" t="s">
        <v>831</v>
      </c>
      <c r="D129" s="5" t="s">
        <v>586</v>
      </c>
      <c r="E129" s="5" t="s">
        <v>864</v>
      </c>
      <c r="F129" s="5">
        <v>8</v>
      </c>
      <c r="G129" s="129" t="s">
        <v>1957</v>
      </c>
    </row>
    <row r="130" spans="1:7" ht="29">
      <c r="A130" s="5" t="s">
        <v>584</v>
      </c>
      <c r="B130" s="5" t="s">
        <v>571</v>
      </c>
      <c r="C130" s="5" t="s">
        <v>831</v>
      </c>
      <c r="D130" s="5" t="s">
        <v>586</v>
      </c>
      <c r="E130" s="5" t="s">
        <v>864</v>
      </c>
      <c r="F130" s="5">
        <v>9</v>
      </c>
      <c r="G130" s="129" t="s">
        <v>1958</v>
      </c>
    </row>
    <row r="131" spans="1:7" ht="174">
      <c r="A131" s="5" t="s">
        <v>584</v>
      </c>
      <c r="B131" s="5" t="s">
        <v>571</v>
      </c>
      <c r="C131" s="5" t="s">
        <v>831</v>
      </c>
      <c r="D131" s="5" t="s">
        <v>586</v>
      </c>
      <c r="E131" s="5" t="s">
        <v>864</v>
      </c>
      <c r="F131" s="5">
        <v>10</v>
      </c>
      <c r="G131" s="129" t="s">
        <v>1959</v>
      </c>
    </row>
    <row r="132" spans="1:7" ht="29">
      <c r="A132" s="5" t="s">
        <v>584</v>
      </c>
      <c r="B132" s="5" t="s">
        <v>571</v>
      </c>
      <c r="C132" s="5" t="s">
        <v>831</v>
      </c>
      <c r="D132" s="5" t="s">
        <v>586</v>
      </c>
      <c r="E132" s="5" t="s">
        <v>864</v>
      </c>
      <c r="F132" s="5">
        <v>11</v>
      </c>
      <c r="G132" s="129" t="s">
        <v>1960</v>
      </c>
    </row>
    <row r="133" spans="1:7" ht="174">
      <c r="A133" s="5" t="s">
        <v>584</v>
      </c>
      <c r="B133" s="5" t="s">
        <v>571</v>
      </c>
      <c r="C133" s="5" t="s">
        <v>831</v>
      </c>
      <c r="D133" s="5" t="s">
        <v>586</v>
      </c>
      <c r="E133" s="5" t="s">
        <v>864</v>
      </c>
      <c r="F133" s="5">
        <v>12</v>
      </c>
      <c r="G133" s="129" t="s">
        <v>1961</v>
      </c>
    </row>
    <row r="134" spans="1:7" ht="29">
      <c r="A134" s="5" t="s">
        <v>584</v>
      </c>
      <c r="B134" s="5" t="s">
        <v>571</v>
      </c>
      <c r="C134" s="5" t="s">
        <v>831</v>
      </c>
      <c r="D134" s="5" t="s">
        <v>586</v>
      </c>
      <c r="E134" s="5" t="s">
        <v>864</v>
      </c>
      <c r="F134" s="5">
        <v>13</v>
      </c>
      <c r="G134" s="129" t="s">
        <v>1962</v>
      </c>
    </row>
    <row r="135" spans="1:7" ht="217.5">
      <c r="A135" s="5" t="s">
        <v>584</v>
      </c>
      <c r="B135" s="5" t="s">
        <v>571</v>
      </c>
      <c r="C135" s="5" t="s">
        <v>831</v>
      </c>
      <c r="D135" s="5" t="s">
        <v>586</v>
      </c>
      <c r="E135" s="5" t="s">
        <v>864</v>
      </c>
      <c r="F135" s="5">
        <v>14</v>
      </c>
      <c r="G135" s="129" t="s">
        <v>1963</v>
      </c>
    </row>
    <row r="136" spans="1:7" ht="29">
      <c r="A136" s="5" t="s">
        <v>584</v>
      </c>
      <c r="B136" s="5" t="s">
        <v>571</v>
      </c>
      <c r="C136" s="5" t="s">
        <v>831</v>
      </c>
      <c r="D136" s="5" t="s">
        <v>586</v>
      </c>
      <c r="E136" s="5" t="s">
        <v>864</v>
      </c>
      <c r="F136" s="5">
        <v>15</v>
      </c>
      <c r="G136" s="129" t="s">
        <v>1964</v>
      </c>
    </row>
    <row r="137" spans="1:7" ht="188.5">
      <c r="A137" s="5" t="s">
        <v>584</v>
      </c>
      <c r="B137" s="5" t="s">
        <v>571</v>
      </c>
      <c r="C137" s="5" t="s">
        <v>831</v>
      </c>
      <c r="D137" s="5" t="s">
        <v>586</v>
      </c>
      <c r="E137" s="5" t="s">
        <v>864</v>
      </c>
      <c r="F137" s="5">
        <v>16</v>
      </c>
      <c r="G137" s="129" t="s">
        <v>1965</v>
      </c>
    </row>
    <row r="138" spans="1:7" ht="29">
      <c r="A138" s="5" t="s">
        <v>584</v>
      </c>
      <c r="B138" s="5" t="s">
        <v>571</v>
      </c>
      <c r="C138" s="5" t="s">
        <v>831</v>
      </c>
      <c r="D138" s="5" t="s">
        <v>586</v>
      </c>
      <c r="E138" s="5" t="s">
        <v>864</v>
      </c>
      <c r="F138" s="5">
        <v>17</v>
      </c>
      <c r="G138" s="129" t="s">
        <v>1966</v>
      </c>
    </row>
    <row r="139" spans="1:7" ht="203">
      <c r="A139" s="5" t="s">
        <v>584</v>
      </c>
      <c r="B139" s="5" t="s">
        <v>571</v>
      </c>
      <c r="C139" s="5" t="s">
        <v>831</v>
      </c>
      <c r="D139" s="5" t="s">
        <v>586</v>
      </c>
      <c r="E139" s="5" t="s">
        <v>864</v>
      </c>
      <c r="F139" s="5">
        <v>18</v>
      </c>
      <c r="G139" s="129" t="s">
        <v>1967</v>
      </c>
    </row>
    <row r="140" spans="1:7" ht="29">
      <c r="A140" s="5" t="s">
        <v>584</v>
      </c>
      <c r="B140" s="5" t="s">
        <v>571</v>
      </c>
      <c r="C140" s="5" t="s">
        <v>831</v>
      </c>
      <c r="D140" s="5" t="s">
        <v>586</v>
      </c>
      <c r="E140" s="5" t="s">
        <v>864</v>
      </c>
      <c r="F140" s="5">
        <v>19</v>
      </c>
      <c r="G140" s="129" t="s">
        <v>1968</v>
      </c>
    </row>
    <row r="141" spans="1:7" ht="203">
      <c r="A141" s="5" t="s">
        <v>584</v>
      </c>
      <c r="B141" s="5" t="s">
        <v>571</v>
      </c>
      <c r="C141" s="5" t="s">
        <v>831</v>
      </c>
      <c r="D141" s="5" t="s">
        <v>586</v>
      </c>
      <c r="E141" s="5" t="s">
        <v>864</v>
      </c>
      <c r="F141" s="5">
        <v>20</v>
      </c>
      <c r="G141" s="129" t="s">
        <v>1969</v>
      </c>
    </row>
    <row r="142" spans="1:7" ht="409.5">
      <c r="A142" s="5" t="s">
        <v>584</v>
      </c>
      <c r="B142" s="5" t="s">
        <v>571</v>
      </c>
      <c r="C142" s="5" t="s">
        <v>831</v>
      </c>
      <c r="D142" s="5" t="s">
        <v>586</v>
      </c>
      <c r="E142" s="5" t="s">
        <v>864</v>
      </c>
      <c r="F142" s="5">
        <v>21</v>
      </c>
      <c r="G142" s="129" t="s">
        <v>1970</v>
      </c>
    </row>
    <row r="143" spans="1:7" ht="409.5">
      <c r="A143" s="5" t="s">
        <v>584</v>
      </c>
      <c r="B143" s="5" t="s">
        <v>571</v>
      </c>
      <c r="C143" s="5" t="s">
        <v>831</v>
      </c>
      <c r="D143" s="5" t="s">
        <v>586</v>
      </c>
      <c r="E143" s="5" t="s">
        <v>864</v>
      </c>
      <c r="F143" s="5">
        <v>22</v>
      </c>
      <c r="G143" s="129" t="s">
        <v>1971</v>
      </c>
    </row>
    <row r="144" spans="1:7" ht="409.5">
      <c r="A144" s="5" t="s">
        <v>584</v>
      </c>
      <c r="B144" s="5" t="s">
        <v>571</v>
      </c>
      <c r="C144" s="5" t="s">
        <v>831</v>
      </c>
      <c r="D144" s="5" t="s">
        <v>586</v>
      </c>
      <c r="E144" s="5" t="s">
        <v>864</v>
      </c>
      <c r="F144" s="5">
        <v>23</v>
      </c>
      <c r="G144" s="129" t="s">
        <v>1972</v>
      </c>
    </row>
    <row r="145" spans="1:7" ht="29">
      <c r="A145" s="5" t="s">
        <v>584</v>
      </c>
      <c r="B145" s="5" t="s">
        <v>571</v>
      </c>
      <c r="C145" s="5" t="s">
        <v>831</v>
      </c>
      <c r="D145" s="5" t="s">
        <v>586</v>
      </c>
      <c r="E145" s="5" t="s">
        <v>864</v>
      </c>
      <c r="F145" s="5">
        <v>24</v>
      </c>
      <c r="G145" s="129" t="s">
        <v>1973</v>
      </c>
    </row>
    <row r="146" spans="1:7" ht="145">
      <c r="A146" s="5" t="s">
        <v>584</v>
      </c>
      <c r="B146" s="5" t="s">
        <v>571</v>
      </c>
      <c r="C146" s="5" t="s">
        <v>831</v>
      </c>
      <c r="D146" s="5" t="s">
        <v>586</v>
      </c>
      <c r="E146" s="5" t="s">
        <v>864</v>
      </c>
      <c r="F146" s="5">
        <v>25</v>
      </c>
      <c r="G146" s="129" t="s">
        <v>1974</v>
      </c>
    </row>
    <row r="147" spans="1:7" ht="409.5">
      <c r="A147" s="5" t="s">
        <v>584</v>
      </c>
      <c r="B147" s="5" t="s">
        <v>571</v>
      </c>
      <c r="C147" s="5" t="s">
        <v>831</v>
      </c>
      <c r="D147" s="5" t="s">
        <v>586</v>
      </c>
      <c r="E147" s="5" t="s">
        <v>864</v>
      </c>
      <c r="F147" s="5">
        <v>26</v>
      </c>
      <c r="G147" s="129" t="s">
        <v>1975</v>
      </c>
    </row>
    <row r="148" spans="1:7" ht="87">
      <c r="A148" s="5" t="s">
        <v>584</v>
      </c>
      <c r="B148" s="5" t="s">
        <v>571</v>
      </c>
      <c r="C148" s="5" t="s">
        <v>831</v>
      </c>
      <c r="D148" s="5" t="s">
        <v>586</v>
      </c>
      <c r="E148" s="5" t="s">
        <v>864</v>
      </c>
      <c r="F148" s="5">
        <v>27</v>
      </c>
      <c r="G148" s="129" t="s">
        <v>1976</v>
      </c>
    </row>
    <row r="149" spans="1:7" ht="409.5">
      <c r="A149" s="5" t="s">
        <v>584</v>
      </c>
      <c r="B149" s="5" t="s">
        <v>571</v>
      </c>
      <c r="C149" s="5" t="s">
        <v>831</v>
      </c>
      <c r="D149" s="5" t="s">
        <v>586</v>
      </c>
      <c r="E149" s="5" t="s">
        <v>864</v>
      </c>
      <c r="F149" s="5">
        <v>28</v>
      </c>
      <c r="G149" s="129" t="s">
        <v>1977</v>
      </c>
    </row>
    <row r="150" spans="1:7" ht="409.5">
      <c r="A150" s="5" t="s">
        <v>584</v>
      </c>
      <c r="B150" s="5" t="s">
        <v>571</v>
      </c>
      <c r="C150" s="5" t="s">
        <v>831</v>
      </c>
      <c r="D150" s="5" t="s">
        <v>586</v>
      </c>
      <c r="E150" s="5" t="s">
        <v>864</v>
      </c>
      <c r="F150" s="5">
        <v>29</v>
      </c>
      <c r="G150" s="129" t="s">
        <v>1978</v>
      </c>
    </row>
    <row r="151" spans="1:7" ht="145">
      <c r="A151" s="5" t="s">
        <v>584</v>
      </c>
      <c r="B151" s="5" t="s">
        <v>571</v>
      </c>
      <c r="C151" s="5" t="s">
        <v>831</v>
      </c>
      <c r="D151" s="5" t="s">
        <v>586</v>
      </c>
      <c r="E151" s="5" t="s">
        <v>864</v>
      </c>
      <c r="F151" s="5">
        <v>30</v>
      </c>
      <c r="G151" s="129" t="s">
        <v>1979</v>
      </c>
    </row>
    <row r="152" spans="1:7" ht="409.5">
      <c r="A152" s="5" t="s">
        <v>584</v>
      </c>
      <c r="B152" s="5" t="s">
        <v>571</v>
      </c>
      <c r="C152" s="5" t="s">
        <v>831</v>
      </c>
      <c r="D152" s="5" t="s">
        <v>586</v>
      </c>
      <c r="E152" s="5" t="s">
        <v>864</v>
      </c>
      <c r="F152" s="5">
        <v>31</v>
      </c>
      <c r="G152" s="129" t="s">
        <v>1980</v>
      </c>
    </row>
    <row r="153" spans="1:7" ht="409.5">
      <c r="A153" s="5" t="s">
        <v>584</v>
      </c>
      <c r="B153" s="5" t="s">
        <v>571</v>
      </c>
      <c r="C153" s="5" t="s">
        <v>831</v>
      </c>
      <c r="D153" s="5" t="s">
        <v>586</v>
      </c>
      <c r="E153" s="5" t="s">
        <v>864</v>
      </c>
      <c r="F153" s="5">
        <v>32</v>
      </c>
      <c r="G153" s="129" t="s">
        <v>1981</v>
      </c>
    </row>
    <row r="154" spans="1:7" ht="409.5">
      <c r="A154" s="5" t="s">
        <v>584</v>
      </c>
      <c r="B154" s="5" t="s">
        <v>571</v>
      </c>
      <c r="C154" s="5" t="s">
        <v>831</v>
      </c>
      <c r="D154" s="5" t="s">
        <v>586</v>
      </c>
      <c r="E154" s="5" t="s">
        <v>864</v>
      </c>
      <c r="F154" s="5">
        <v>33</v>
      </c>
      <c r="G154" s="129" t="s">
        <v>1982</v>
      </c>
    </row>
    <row r="155" spans="1:7" ht="409.5">
      <c r="A155" s="5" t="s">
        <v>584</v>
      </c>
      <c r="B155" s="5" t="s">
        <v>571</v>
      </c>
      <c r="C155" s="5" t="s">
        <v>831</v>
      </c>
      <c r="D155" s="5" t="s">
        <v>586</v>
      </c>
      <c r="E155" s="5" t="s">
        <v>864</v>
      </c>
      <c r="F155" s="5">
        <v>34</v>
      </c>
      <c r="G155" s="129" t="s">
        <v>1983</v>
      </c>
    </row>
    <row r="156" spans="1:7" ht="409.5">
      <c r="A156" s="5" t="s">
        <v>584</v>
      </c>
      <c r="B156" s="5" t="s">
        <v>571</v>
      </c>
      <c r="C156" s="5" t="s">
        <v>831</v>
      </c>
      <c r="D156" s="5" t="s">
        <v>586</v>
      </c>
      <c r="E156" s="5" t="s">
        <v>864</v>
      </c>
      <c r="F156" s="5">
        <v>35</v>
      </c>
      <c r="G156" s="129" t="s">
        <v>1984</v>
      </c>
    </row>
    <row r="157" spans="1:7" ht="409.5">
      <c r="A157" s="5" t="s">
        <v>584</v>
      </c>
      <c r="B157" s="5" t="s">
        <v>571</v>
      </c>
      <c r="C157" s="5" t="s">
        <v>831</v>
      </c>
      <c r="D157" s="5" t="s">
        <v>586</v>
      </c>
      <c r="E157" s="5" t="s">
        <v>864</v>
      </c>
      <c r="F157" s="5">
        <v>36</v>
      </c>
      <c r="G157" s="129" t="s">
        <v>1985</v>
      </c>
    </row>
    <row r="158" spans="1:7" ht="409.5">
      <c r="A158" s="5" t="s">
        <v>584</v>
      </c>
      <c r="B158" s="5" t="s">
        <v>571</v>
      </c>
      <c r="C158" s="5" t="s">
        <v>831</v>
      </c>
      <c r="D158" s="5" t="s">
        <v>586</v>
      </c>
      <c r="E158" s="5" t="s">
        <v>864</v>
      </c>
      <c r="F158" s="5">
        <v>37</v>
      </c>
      <c r="G158" s="129" t="s">
        <v>1986</v>
      </c>
    </row>
    <row r="159" spans="1:7" ht="409.5">
      <c r="A159" s="5" t="s">
        <v>584</v>
      </c>
      <c r="B159" s="5" t="s">
        <v>571</v>
      </c>
      <c r="C159" s="5" t="s">
        <v>831</v>
      </c>
      <c r="D159" s="5" t="s">
        <v>586</v>
      </c>
      <c r="E159" s="5" t="s">
        <v>864</v>
      </c>
      <c r="F159" s="5">
        <v>38</v>
      </c>
      <c r="G159" s="129" t="s">
        <v>1987</v>
      </c>
    </row>
    <row r="160" spans="1:7" ht="203">
      <c r="A160" s="5" t="s">
        <v>584</v>
      </c>
      <c r="B160" s="5" t="s">
        <v>571</v>
      </c>
      <c r="C160" s="5" t="s">
        <v>831</v>
      </c>
      <c r="D160" s="5" t="s">
        <v>586</v>
      </c>
      <c r="E160" s="5" t="s">
        <v>864</v>
      </c>
      <c r="F160" s="5">
        <v>39</v>
      </c>
      <c r="G160" s="129" t="s">
        <v>1988</v>
      </c>
    </row>
    <row r="161" spans="1:7" ht="409.5">
      <c r="A161" s="5" t="s">
        <v>584</v>
      </c>
      <c r="B161" s="5" t="s">
        <v>571</v>
      </c>
      <c r="C161" s="5" t="s">
        <v>831</v>
      </c>
      <c r="D161" s="5" t="s">
        <v>586</v>
      </c>
      <c r="E161" s="5" t="s">
        <v>864</v>
      </c>
      <c r="F161" s="5">
        <v>40</v>
      </c>
      <c r="G161" s="129" t="s">
        <v>1989</v>
      </c>
    </row>
    <row r="162" spans="1:7" ht="409.5">
      <c r="A162" s="5" t="s">
        <v>584</v>
      </c>
      <c r="B162" s="5" t="s">
        <v>571</v>
      </c>
      <c r="C162" s="5" t="s">
        <v>831</v>
      </c>
      <c r="D162" s="5" t="s">
        <v>586</v>
      </c>
      <c r="E162" s="5" t="s">
        <v>864</v>
      </c>
      <c r="F162" s="5">
        <v>41</v>
      </c>
      <c r="G162" s="129" t="s">
        <v>1990</v>
      </c>
    </row>
    <row r="163" spans="1:7" ht="409.5">
      <c r="A163" s="5" t="s">
        <v>584</v>
      </c>
      <c r="B163" s="5" t="s">
        <v>571</v>
      </c>
      <c r="C163" s="5" t="s">
        <v>831</v>
      </c>
      <c r="D163" s="5" t="s">
        <v>586</v>
      </c>
      <c r="E163" s="5" t="s">
        <v>863</v>
      </c>
      <c r="F163" s="5">
        <v>1</v>
      </c>
      <c r="G163" s="129" t="s">
        <v>1991</v>
      </c>
    </row>
    <row r="164" spans="1:7" ht="43.5">
      <c r="A164" s="5" t="s">
        <v>584</v>
      </c>
      <c r="B164" s="5" t="s">
        <v>571</v>
      </c>
      <c r="C164" s="5" t="s">
        <v>831</v>
      </c>
      <c r="D164" s="5" t="s">
        <v>586</v>
      </c>
      <c r="E164" s="5" t="s">
        <v>862</v>
      </c>
      <c r="F164" s="5">
        <v>1</v>
      </c>
      <c r="G164" s="129" t="s">
        <v>1992</v>
      </c>
    </row>
    <row r="165" spans="1:7" ht="409.5">
      <c r="A165" s="5" t="s">
        <v>584</v>
      </c>
      <c r="B165" s="5" t="s">
        <v>571</v>
      </c>
      <c r="C165" s="5" t="s">
        <v>831</v>
      </c>
      <c r="D165" s="5" t="s">
        <v>586</v>
      </c>
      <c r="E165" s="5" t="s">
        <v>862</v>
      </c>
      <c r="F165" s="5">
        <v>2</v>
      </c>
      <c r="G165" s="129" t="s">
        <v>1993</v>
      </c>
    </row>
    <row r="166" spans="1:7" ht="409.5">
      <c r="A166" s="5" t="s">
        <v>584</v>
      </c>
      <c r="B166" s="5" t="s">
        <v>571</v>
      </c>
      <c r="C166" s="5" t="s">
        <v>831</v>
      </c>
      <c r="D166" s="5" t="s">
        <v>586</v>
      </c>
      <c r="E166" s="5" t="s">
        <v>862</v>
      </c>
      <c r="F166" s="5">
        <v>3</v>
      </c>
      <c r="G166" s="129" t="s">
        <v>1994</v>
      </c>
    </row>
    <row r="167" spans="1:7" ht="333.5">
      <c r="A167" s="5" t="s">
        <v>584</v>
      </c>
      <c r="B167" s="5" t="s">
        <v>571</v>
      </c>
      <c r="C167" s="5" t="s">
        <v>831</v>
      </c>
      <c r="D167" s="5" t="s">
        <v>586</v>
      </c>
      <c r="E167" s="5" t="s">
        <v>862</v>
      </c>
      <c r="F167" s="5">
        <v>4</v>
      </c>
      <c r="G167" s="129" t="s">
        <v>1995</v>
      </c>
    </row>
    <row r="168" spans="1:7" ht="409.5">
      <c r="A168" s="5" t="s">
        <v>584</v>
      </c>
      <c r="B168" s="5" t="s">
        <v>571</v>
      </c>
      <c r="C168" s="5" t="s">
        <v>831</v>
      </c>
      <c r="D168" s="5" t="s">
        <v>586</v>
      </c>
      <c r="E168" s="5" t="s">
        <v>862</v>
      </c>
      <c r="F168" s="5">
        <v>5</v>
      </c>
      <c r="G168" s="129" t="s">
        <v>1996</v>
      </c>
    </row>
    <row r="169" spans="1:7" ht="409.5">
      <c r="A169" s="5" t="s">
        <v>584</v>
      </c>
      <c r="B169" s="5" t="s">
        <v>571</v>
      </c>
      <c r="C169" s="5" t="s">
        <v>831</v>
      </c>
      <c r="D169" s="5" t="s">
        <v>586</v>
      </c>
      <c r="E169" s="5" t="s">
        <v>862</v>
      </c>
      <c r="F169" s="5">
        <v>6</v>
      </c>
      <c r="G169" s="129" t="s">
        <v>1997</v>
      </c>
    </row>
    <row r="170" spans="1:7" ht="409.5">
      <c r="A170" s="5" t="s">
        <v>584</v>
      </c>
      <c r="B170" s="5" t="s">
        <v>571</v>
      </c>
      <c r="C170" s="5" t="s">
        <v>831</v>
      </c>
      <c r="D170" s="5" t="s">
        <v>586</v>
      </c>
      <c r="E170" s="5" t="s">
        <v>862</v>
      </c>
      <c r="F170" s="5">
        <v>7</v>
      </c>
      <c r="G170" s="129" t="s">
        <v>1998</v>
      </c>
    </row>
    <row r="171" spans="1:7" ht="409.5">
      <c r="A171" s="5" t="s">
        <v>584</v>
      </c>
      <c r="B171" s="5" t="s">
        <v>571</v>
      </c>
      <c r="C171" s="5" t="s">
        <v>831</v>
      </c>
      <c r="D171" s="5" t="s">
        <v>586</v>
      </c>
      <c r="E171" s="5" t="s">
        <v>862</v>
      </c>
      <c r="F171" s="5">
        <v>8</v>
      </c>
      <c r="G171" s="129" t="s">
        <v>1999</v>
      </c>
    </row>
    <row r="172" spans="1:7" ht="409.5">
      <c r="A172" s="5" t="s">
        <v>584</v>
      </c>
      <c r="B172" s="5" t="s">
        <v>571</v>
      </c>
      <c r="C172" s="5" t="s">
        <v>831</v>
      </c>
      <c r="D172" s="5" t="s">
        <v>586</v>
      </c>
      <c r="E172" s="5" t="s">
        <v>862</v>
      </c>
      <c r="F172" s="5">
        <v>9</v>
      </c>
      <c r="G172" s="129" t="s">
        <v>2000</v>
      </c>
    </row>
    <row r="173" spans="1:7" ht="409.5">
      <c r="A173" s="5" t="s">
        <v>584</v>
      </c>
      <c r="B173" s="5" t="s">
        <v>571</v>
      </c>
      <c r="C173" s="5" t="s">
        <v>831</v>
      </c>
      <c r="D173" s="5" t="s">
        <v>586</v>
      </c>
      <c r="E173" s="5" t="s">
        <v>862</v>
      </c>
      <c r="F173" s="5">
        <v>10</v>
      </c>
      <c r="G173" s="129" t="s">
        <v>2001</v>
      </c>
    </row>
    <row r="174" spans="1:7" ht="348">
      <c r="A174" s="5" t="s">
        <v>584</v>
      </c>
      <c r="B174" s="5" t="s">
        <v>571</v>
      </c>
      <c r="C174" s="5" t="s">
        <v>831</v>
      </c>
      <c r="D174" s="5" t="s">
        <v>586</v>
      </c>
      <c r="E174" s="5" t="s">
        <v>862</v>
      </c>
      <c r="F174" s="5">
        <v>11</v>
      </c>
      <c r="G174" s="129" t="s">
        <v>2002</v>
      </c>
    </row>
    <row r="175" spans="1:7" ht="174">
      <c r="A175" s="5" t="s">
        <v>584</v>
      </c>
      <c r="B175" s="5" t="s">
        <v>571</v>
      </c>
      <c r="C175" s="5" t="s">
        <v>831</v>
      </c>
      <c r="D175" s="5" t="s">
        <v>586</v>
      </c>
      <c r="E175" s="5" t="s">
        <v>862</v>
      </c>
      <c r="F175" s="5">
        <v>12</v>
      </c>
      <c r="G175" s="129" t="s">
        <v>2003</v>
      </c>
    </row>
    <row r="176" spans="1:7" ht="409.5">
      <c r="A176" s="5" t="s">
        <v>584</v>
      </c>
      <c r="B176" s="5" t="s">
        <v>571</v>
      </c>
      <c r="C176" s="5" t="s">
        <v>831</v>
      </c>
      <c r="D176" s="5" t="s">
        <v>586</v>
      </c>
      <c r="E176" s="5" t="s">
        <v>862</v>
      </c>
      <c r="F176" s="5">
        <v>13</v>
      </c>
      <c r="G176" s="129" t="s">
        <v>2004</v>
      </c>
    </row>
    <row r="177" spans="1:7" ht="409.5">
      <c r="A177" s="5" t="s">
        <v>584</v>
      </c>
      <c r="B177" s="5" t="s">
        <v>571</v>
      </c>
      <c r="C177" s="5" t="s">
        <v>831</v>
      </c>
      <c r="D177" s="5" t="s">
        <v>586</v>
      </c>
      <c r="E177" s="5" t="s">
        <v>862</v>
      </c>
      <c r="F177" s="5">
        <v>14</v>
      </c>
      <c r="G177" s="129" t="s">
        <v>2005</v>
      </c>
    </row>
    <row r="178" spans="1:7" ht="188.5">
      <c r="A178" s="5" t="s">
        <v>584</v>
      </c>
      <c r="B178" s="5" t="s">
        <v>571</v>
      </c>
      <c r="C178" s="5" t="s">
        <v>831</v>
      </c>
      <c r="D178" s="5" t="s">
        <v>586</v>
      </c>
      <c r="E178" s="5" t="s">
        <v>862</v>
      </c>
      <c r="F178" s="5">
        <v>15</v>
      </c>
      <c r="G178" s="129" t="s">
        <v>2006</v>
      </c>
    </row>
    <row r="179" spans="1:7" ht="72.5">
      <c r="A179" s="5" t="s">
        <v>584</v>
      </c>
      <c r="B179" s="5" t="s">
        <v>571</v>
      </c>
      <c r="C179" s="5" t="s">
        <v>831</v>
      </c>
      <c r="D179" s="5" t="s">
        <v>586</v>
      </c>
      <c r="E179" s="5" t="s">
        <v>862</v>
      </c>
      <c r="F179" s="5">
        <v>16</v>
      </c>
      <c r="G179" s="129" t="s">
        <v>2007</v>
      </c>
    </row>
    <row r="180" spans="1:7" ht="304.5">
      <c r="A180" s="5" t="s">
        <v>584</v>
      </c>
      <c r="B180" s="5" t="s">
        <v>571</v>
      </c>
      <c r="C180" s="5" t="s">
        <v>831</v>
      </c>
      <c r="D180" s="5" t="s">
        <v>586</v>
      </c>
      <c r="E180" s="5" t="s">
        <v>862</v>
      </c>
      <c r="F180" s="5">
        <v>17</v>
      </c>
      <c r="G180" s="129" t="s">
        <v>2008</v>
      </c>
    </row>
    <row r="181" spans="1:7" ht="232">
      <c r="A181" s="5" t="s">
        <v>584</v>
      </c>
      <c r="B181" s="5" t="s">
        <v>571</v>
      </c>
      <c r="C181" s="5" t="s">
        <v>831</v>
      </c>
      <c r="D181" s="5" t="s">
        <v>586</v>
      </c>
      <c r="E181" s="5" t="s">
        <v>862</v>
      </c>
      <c r="F181" s="5">
        <v>18</v>
      </c>
      <c r="G181" s="129" t="s">
        <v>2009</v>
      </c>
    </row>
    <row r="182" spans="1:7" ht="72.5">
      <c r="A182" s="5" t="s">
        <v>584</v>
      </c>
      <c r="B182" s="5" t="s">
        <v>571</v>
      </c>
      <c r="C182" s="5" t="s">
        <v>831</v>
      </c>
      <c r="D182" s="5" t="s">
        <v>586</v>
      </c>
      <c r="E182" s="5" t="s">
        <v>862</v>
      </c>
      <c r="F182" s="5">
        <v>19</v>
      </c>
      <c r="G182" s="129" t="s">
        <v>2010</v>
      </c>
    </row>
    <row r="183" spans="1:7" ht="246.5">
      <c r="A183" s="5" t="s">
        <v>584</v>
      </c>
      <c r="B183" s="5" t="s">
        <v>571</v>
      </c>
      <c r="C183" s="5" t="s">
        <v>831</v>
      </c>
      <c r="D183" s="5" t="s">
        <v>586</v>
      </c>
      <c r="E183" s="5" t="s">
        <v>862</v>
      </c>
      <c r="F183" s="5">
        <v>20</v>
      </c>
      <c r="G183" s="129" t="s">
        <v>2011</v>
      </c>
    </row>
    <row r="184" spans="1:7" ht="188.5">
      <c r="A184" s="5" t="s">
        <v>584</v>
      </c>
      <c r="B184" s="5" t="s">
        <v>571</v>
      </c>
      <c r="C184" s="5" t="s">
        <v>831</v>
      </c>
      <c r="D184" s="5" t="s">
        <v>586</v>
      </c>
      <c r="E184" s="5" t="s">
        <v>862</v>
      </c>
      <c r="F184" s="5">
        <v>21</v>
      </c>
      <c r="G184" s="129" t="s">
        <v>2012</v>
      </c>
    </row>
    <row r="185" spans="1:7" ht="290">
      <c r="A185" s="5" t="s">
        <v>584</v>
      </c>
      <c r="B185" s="5" t="s">
        <v>571</v>
      </c>
      <c r="C185" s="5" t="s">
        <v>831</v>
      </c>
      <c r="D185" s="5" t="s">
        <v>586</v>
      </c>
      <c r="E185" s="5" t="s">
        <v>862</v>
      </c>
      <c r="F185" s="5">
        <v>22</v>
      </c>
      <c r="G185" s="129" t="s">
        <v>2013</v>
      </c>
    </row>
    <row r="186" spans="1:7" ht="409.5">
      <c r="A186" s="5" t="s">
        <v>584</v>
      </c>
      <c r="B186" s="5" t="s">
        <v>571</v>
      </c>
      <c r="C186" s="5" t="s">
        <v>831</v>
      </c>
      <c r="D186" s="5" t="s">
        <v>586</v>
      </c>
      <c r="E186" s="5" t="s">
        <v>862</v>
      </c>
      <c r="F186" s="5">
        <v>23</v>
      </c>
      <c r="G186" s="129" t="s">
        <v>2014</v>
      </c>
    </row>
    <row r="187" spans="1:7" ht="409.5">
      <c r="A187" s="5" t="s">
        <v>584</v>
      </c>
      <c r="B187" s="5" t="s">
        <v>571</v>
      </c>
      <c r="C187" s="5" t="s">
        <v>831</v>
      </c>
      <c r="D187" s="5" t="s">
        <v>586</v>
      </c>
      <c r="E187" s="5" t="s">
        <v>862</v>
      </c>
      <c r="F187" s="5">
        <v>24</v>
      </c>
      <c r="G187" s="129" t="s">
        <v>2015</v>
      </c>
    </row>
    <row r="188" spans="1:7" ht="409.5">
      <c r="A188" s="5" t="s">
        <v>584</v>
      </c>
      <c r="B188" s="5" t="s">
        <v>571</v>
      </c>
      <c r="C188" s="5" t="s">
        <v>831</v>
      </c>
      <c r="D188" s="5" t="s">
        <v>586</v>
      </c>
      <c r="E188" s="5" t="s">
        <v>862</v>
      </c>
      <c r="F188" s="5">
        <v>25</v>
      </c>
      <c r="G188" s="129" t="s">
        <v>2016</v>
      </c>
    </row>
    <row r="189" spans="1:7" ht="159.5">
      <c r="A189" s="5" t="s">
        <v>584</v>
      </c>
      <c r="B189" s="5" t="s">
        <v>571</v>
      </c>
      <c r="C189" s="5" t="s">
        <v>831</v>
      </c>
      <c r="D189" s="5" t="s">
        <v>586</v>
      </c>
      <c r="E189" s="5" t="s">
        <v>862</v>
      </c>
      <c r="F189" s="5">
        <v>26</v>
      </c>
      <c r="G189" s="129" t="s">
        <v>2017</v>
      </c>
    </row>
    <row r="190" spans="1:7" ht="409.5">
      <c r="A190" s="5" t="s">
        <v>584</v>
      </c>
      <c r="B190" s="5" t="s">
        <v>571</v>
      </c>
      <c r="C190" s="5" t="s">
        <v>831</v>
      </c>
      <c r="D190" s="5" t="s">
        <v>586</v>
      </c>
      <c r="E190" s="5" t="s">
        <v>862</v>
      </c>
      <c r="F190" s="5">
        <v>27</v>
      </c>
      <c r="G190" s="129" t="s">
        <v>2018</v>
      </c>
    </row>
    <row r="191" spans="1:7" ht="391.5">
      <c r="A191" s="5" t="s">
        <v>584</v>
      </c>
      <c r="B191" s="5" t="s">
        <v>571</v>
      </c>
      <c r="C191" s="5" t="s">
        <v>831</v>
      </c>
      <c r="D191" s="5" t="s">
        <v>586</v>
      </c>
      <c r="E191" s="5" t="s">
        <v>862</v>
      </c>
      <c r="F191" s="5">
        <v>28</v>
      </c>
      <c r="G191" s="129" t="s">
        <v>2019</v>
      </c>
    </row>
    <row r="192" spans="1:7" ht="409.5">
      <c r="A192" s="5" t="s">
        <v>584</v>
      </c>
      <c r="B192" s="5" t="s">
        <v>571</v>
      </c>
      <c r="C192" s="5" t="s">
        <v>831</v>
      </c>
      <c r="D192" s="5" t="s">
        <v>586</v>
      </c>
      <c r="E192" s="5" t="s">
        <v>862</v>
      </c>
      <c r="F192" s="5">
        <v>29</v>
      </c>
      <c r="G192" s="129" t="s">
        <v>2020</v>
      </c>
    </row>
    <row r="193" spans="1:7" ht="203">
      <c r="A193" s="5" t="s">
        <v>584</v>
      </c>
      <c r="B193" s="5" t="s">
        <v>571</v>
      </c>
      <c r="C193" s="5" t="s">
        <v>831</v>
      </c>
      <c r="D193" s="5" t="s">
        <v>586</v>
      </c>
      <c r="E193" s="5" t="s">
        <v>862</v>
      </c>
      <c r="F193" s="5">
        <v>30</v>
      </c>
      <c r="G193" s="129" t="s">
        <v>2021</v>
      </c>
    </row>
    <row r="194" spans="1:7" ht="188.5">
      <c r="A194" s="5" t="s">
        <v>584</v>
      </c>
      <c r="B194" s="5" t="s">
        <v>571</v>
      </c>
      <c r="C194" s="5" t="s">
        <v>831</v>
      </c>
      <c r="D194" s="5" t="s">
        <v>586</v>
      </c>
      <c r="E194" s="5" t="s">
        <v>862</v>
      </c>
      <c r="F194" s="5">
        <v>31</v>
      </c>
      <c r="G194" s="129" t="s">
        <v>2022</v>
      </c>
    </row>
    <row r="195" spans="1:7" ht="145">
      <c r="A195" s="5" t="s">
        <v>584</v>
      </c>
      <c r="B195" s="5" t="s">
        <v>571</v>
      </c>
      <c r="C195" s="5" t="s">
        <v>831</v>
      </c>
      <c r="D195" s="5" t="s">
        <v>586</v>
      </c>
      <c r="E195" s="5" t="s">
        <v>862</v>
      </c>
      <c r="F195" s="5">
        <v>32</v>
      </c>
      <c r="G195" s="129" t="s">
        <v>2023</v>
      </c>
    </row>
    <row r="196" spans="1:7" ht="409.5">
      <c r="A196" s="5" t="s">
        <v>584</v>
      </c>
      <c r="B196" s="5" t="s">
        <v>571</v>
      </c>
      <c r="C196" s="5" t="s">
        <v>831</v>
      </c>
      <c r="D196" s="5" t="s">
        <v>586</v>
      </c>
      <c r="E196" s="5" t="s">
        <v>862</v>
      </c>
      <c r="F196" s="5">
        <v>33</v>
      </c>
      <c r="G196" s="129" t="s">
        <v>2024</v>
      </c>
    </row>
    <row r="197" spans="1:7" ht="29">
      <c r="A197" s="5" t="s">
        <v>584</v>
      </c>
      <c r="B197" s="5" t="s">
        <v>571</v>
      </c>
      <c r="C197" s="5" t="s">
        <v>831</v>
      </c>
      <c r="D197" s="5" t="s">
        <v>586</v>
      </c>
      <c r="E197" s="5" t="s">
        <v>862</v>
      </c>
      <c r="F197" s="5">
        <v>34</v>
      </c>
      <c r="G197" s="129" t="s">
        <v>2025</v>
      </c>
    </row>
    <row r="198" spans="1:7" ht="174">
      <c r="A198" s="5" t="s">
        <v>584</v>
      </c>
      <c r="B198" s="5" t="s">
        <v>571</v>
      </c>
      <c r="C198" s="5" t="s">
        <v>831</v>
      </c>
      <c r="D198" s="5" t="s">
        <v>586</v>
      </c>
      <c r="E198" s="5" t="s">
        <v>862</v>
      </c>
      <c r="F198" s="5">
        <v>35</v>
      </c>
      <c r="G198" s="129" t="s">
        <v>2026</v>
      </c>
    </row>
    <row r="199" spans="1:7" ht="29">
      <c r="A199" s="5" t="s">
        <v>584</v>
      </c>
      <c r="B199" s="5" t="s">
        <v>571</v>
      </c>
      <c r="C199" s="5" t="s">
        <v>831</v>
      </c>
      <c r="D199" s="5" t="s">
        <v>586</v>
      </c>
      <c r="E199" s="5" t="s">
        <v>862</v>
      </c>
      <c r="F199" s="5">
        <v>36</v>
      </c>
      <c r="G199" s="129" t="s">
        <v>2027</v>
      </c>
    </row>
    <row r="200" spans="1:7" ht="174">
      <c r="A200" s="5" t="s">
        <v>584</v>
      </c>
      <c r="B200" s="5" t="s">
        <v>571</v>
      </c>
      <c r="C200" s="5" t="s">
        <v>831</v>
      </c>
      <c r="D200" s="5" t="s">
        <v>586</v>
      </c>
      <c r="E200" s="5" t="s">
        <v>862</v>
      </c>
      <c r="F200" s="5">
        <v>37</v>
      </c>
      <c r="G200" s="129" t="s">
        <v>2028</v>
      </c>
    </row>
    <row r="201" spans="1:7" ht="409.5">
      <c r="A201" s="5" t="s">
        <v>584</v>
      </c>
      <c r="B201" s="5" t="s">
        <v>571</v>
      </c>
      <c r="C201" s="5" t="s">
        <v>831</v>
      </c>
      <c r="D201" s="5" t="s">
        <v>586</v>
      </c>
      <c r="E201" s="5" t="s">
        <v>862</v>
      </c>
      <c r="F201" s="5">
        <v>38</v>
      </c>
      <c r="G201" s="129" t="s">
        <v>2029</v>
      </c>
    </row>
    <row r="202" spans="1:7" ht="174">
      <c r="A202" s="5" t="s">
        <v>584</v>
      </c>
      <c r="B202" s="5" t="s">
        <v>571</v>
      </c>
      <c r="C202" s="5" t="s">
        <v>831</v>
      </c>
      <c r="D202" s="5" t="s">
        <v>586</v>
      </c>
      <c r="E202" s="5" t="s">
        <v>862</v>
      </c>
      <c r="F202" s="5">
        <v>39</v>
      </c>
      <c r="G202" s="129" t="s">
        <v>2030</v>
      </c>
    </row>
    <row r="203" spans="1:7" ht="188.5">
      <c r="A203" s="5" t="s">
        <v>584</v>
      </c>
      <c r="B203" s="5" t="s">
        <v>571</v>
      </c>
      <c r="C203" s="5" t="s">
        <v>831</v>
      </c>
      <c r="D203" s="5" t="s">
        <v>586</v>
      </c>
      <c r="E203" s="5" t="s">
        <v>862</v>
      </c>
      <c r="F203" s="5">
        <v>40</v>
      </c>
      <c r="G203" s="129" t="s">
        <v>1931</v>
      </c>
    </row>
    <row r="204" spans="1:7" ht="188.5">
      <c r="A204" s="5" t="s">
        <v>584</v>
      </c>
      <c r="B204" s="5" t="s">
        <v>571</v>
      </c>
      <c r="C204" s="5" t="s">
        <v>831</v>
      </c>
      <c r="D204" s="5" t="s">
        <v>586</v>
      </c>
      <c r="E204" s="5" t="s">
        <v>862</v>
      </c>
      <c r="F204" s="5">
        <v>41</v>
      </c>
      <c r="G204" s="129" t="s">
        <v>2031</v>
      </c>
    </row>
    <row r="205" spans="1:7" ht="409.5">
      <c r="A205" s="5" t="s">
        <v>584</v>
      </c>
      <c r="B205" s="5" t="s">
        <v>571</v>
      </c>
      <c r="C205" s="5" t="s">
        <v>831</v>
      </c>
      <c r="D205" s="5" t="s">
        <v>586</v>
      </c>
      <c r="E205" s="5" t="s">
        <v>862</v>
      </c>
      <c r="F205" s="5">
        <v>42</v>
      </c>
      <c r="G205" s="129" t="s">
        <v>2032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1640625" defaultRowHeight="14.5" outlineLevelCol="1"/>
  <cols>
    <col min="1" max="1" width="9.453125" style="5" customWidth="1" outlineLevel="1"/>
    <col min="2" max="2" width="16.453125" style="5" customWidth="1" outlineLevel="1"/>
    <col min="3" max="3" width="21.1796875" style="5" bestFit="1" customWidth="1"/>
    <col min="4" max="4" width="16.54296875" style="5" customWidth="1"/>
    <col min="5" max="5" width="16.1796875" style="5" customWidth="1"/>
    <col min="6" max="6" width="11.81640625" style="5" customWidth="1"/>
    <col min="7" max="7" width="16.81640625" style="5" customWidth="1"/>
    <col min="8" max="8" width="143.453125" style="5" customWidth="1"/>
    <col min="9" max="16384" width="8.81640625" style="5"/>
  </cols>
  <sheetData>
    <row r="1" spans="1:10">
      <c r="A1" s="81" t="s">
        <v>0</v>
      </c>
      <c r="B1" s="81" t="s">
        <v>230</v>
      </c>
      <c r="C1" s="81" t="s">
        <v>5</v>
      </c>
      <c r="D1" s="64" t="s">
        <v>120</v>
      </c>
      <c r="E1" s="64" t="s">
        <v>461</v>
      </c>
      <c r="F1" s="64" t="s">
        <v>645</v>
      </c>
      <c r="G1" s="64" t="s">
        <v>646</v>
      </c>
      <c r="H1" s="64" t="s">
        <v>84</v>
      </c>
    </row>
    <row r="2" spans="1:10" ht="290">
      <c r="A2" s="82" t="s">
        <v>1810</v>
      </c>
      <c r="B2" s="65" t="s">
        <v>639</v>
      </c>
      <c r="C2" s="87" t="s">
        <v>820</v>
      </c>
      <c r="D2" s="88" t="s">
        <v>792</v>
      </c>
      <c r="E2" s="88"/>
      <c r="F2" s="88">
        <v>1</v>
      </c>
      <c r="G2" s="89" t="s">
        <v>793</v>
      </c>
      <c r="H2" s="90" t="s">
        <v>796</v>
      </c>
    </row>
    <row r="3" spans="1:10" ht="29">
      <c r="A3" s="82" t="s">
        <v>1811</v>
      </c>
      <c r="B3" s="65" t="s">
        <v>639</v>
      </c>
      <c r="C3" s="87" t="s">
        <v>820</v>
      </c>
      <c r="D3" s="88" t="s">
        <v>754</v>
      </c>
      <c r="E3" s="88"/>
      <c r="F3" s="88">
        <v>1</v>
      </c>
      <c r="G3" s="89" t="s">
        <v>648</v>
      </c>
      <c r="H3" s="90" t="s">
        <v>649</v>
      </c>
    </row>
    <row r="4" spans="1:10" ht="261">
      <c r="A4" s="82" t="s">
        <v>1812</v>
      </c>
      <c r="B4" s="65" t="s">
        <v>639</v>
      </c>
      <c r="C4" s="87" t="s">
        <v>820</v>
      </c>
      <c r="D4" s="88" t="s">
        <v>754</v>
      </c>
      <c r="E4" s="91"/>
      <c r="F4" s="91">
        <v>2</v>
      </c>
      <c r="G4" s="89" t="s">
        <v>650</v>
      </c>
      <c r="H4" s="90" t="s">
        <v>651</v>
      </c>
    </row>
    <row r="5" spans="1:10" ht="116">
      <c r="A5" s="82" t="s">
        <v>1813</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2.5">
      <c r="A6" s="82" t="s">
        <v>1814</v>
      </c>
      <c r="B6" s="65" t="s">
        <v>639</v>
      </c>
      <c r="C6" s="87" t="s">
        <v>820</v>
      </c>
      <c r="D6" s="88" t="s">
        <v>754</v>
      </c>
      <c r="E6" s="89" t="s">
        <v>756</v>
      </c>
      <c r="F6" s="89">
        <v>4</v>
      </c>
      <c r="G6" s="89" t="s">
        <v>654</v>
      </c>
      <c r="H6" s="90" t="s">
        <v>655</v>
      </c>
    </row>
    <row r="7" spans="1:10" ht="188.5">
      <c r="A7" s="82" t="s">
        <v>1815</v>
      </c>
      <c r="B7" s="65" t="s">
        <v>639</v>
      </c>
      <c r="C7" s="87" t="s">
        <v>820</v>
      </c>
      <c r="D7" s="88" t="s">
        <v>754</v>
      </c>
      <c r="E7" s="89" t="s">
        <v>755</v>
      </c>
      <c r="F7" s="89">
        <v>5</v>
      </c>
      <c r="G7" s="89" t="s">
        <v>656</v>
      </c>
      <c r="H7" s="90" t="s">
        <v>657</v>
      </c>
    </row>
    <row r="8" spans="1:10" ht="246.5">
      <c r="A8" s="82" t="s">
        <v>1816</v>
      </c>
      <c r="B8" s="65" t="s">
        <v>639</v>
      </c>
      <c r="C8" s="87" t="s">
        <v>820</v>
      </c>
      <c r="D8" s="88" t="s">
        <v>754</v>
      </c>
      <c r="E8" s="89" t="s">
        <v>755</v>
      </c>
      <c r="F8" s="89">
        <v>6</v>
      </c>
      <c r="G8" s="89" t="s">
        <v>658</v>
      </c>
      <c r="H8" s="90" t="s">
        <v>659</v>
      </c>
    </row>
    <row r="9" spans="1:10" ht="72.5">
      <c r="A9" s="82" t="s">
        <v>1817</v>
      </c>
      <c r="B9" s="65" t="s">
        <v>639</v>
      </c>
      <c r="C9" s="87" t="s">
        <v>820</v>
      </c>
      <c r="D9" s="88" t="s">
        <v>821</v>
      </c>
      <c r="E9" s="88"/>
      <c r="F9" s="88">
        <v>1</v>
      </c>
      <c r="G9" s="89" t="s">
        <v>648</v>
      </c>
      <c r="H9" s="90" t="s">
        <v>826</v>
      </c>
    </row>
    <row r="10" spans="1:10" ht="101.5">
      <c r="A10" s="82" t="s">
        <v>1818</v>
      </c>
      <c r="B10" s="65" t="s">
        <v>639</v>
      </c>
      <c r="C10" s="87" t="s">
        <v>820</v>
      </c>
      <c r="D10" s="88" t="s">
        <v>821</v>
      </c>
      <c r="E10" s="91"/>
      <c r="F10" s="91">
        <v>2</v>
      </c>
      <c r="G10" s="89" t="s">
        <v>650</v>
      </c>
      <c r="H10" s="90" t="s">
        <v>827</v>
      </c>
    </row>
    <row r="11" spans="1:10">
      <c r="A11" s="82" t="s">
        <v>1819</v>
      </c>
      <c r="B11" s="65" t="s">
        <v>639</v>
      </c>
      <c r="C11" s="87" t="s">
        <v>820</v>
      </c>
      <c r="D11" s="88" t="s">
        <v>821</v>
      </c>
      <c r="E11" s="89" t="s">
        <v>757</v>
      </c>
      <c r="F11" s="89">
        <v>3</v>
      </c>
      <c r="G11" s="89" t="s">
        <v>652</v>
      </c>
      <c r="H11" s="90"/>
    </row>
    <row r="12" spans="1:10">
      <c r="A12" s="82" t="s">
        <v>1820</v>
      </c>
      <c r="B12" s="65" t="s">
        <v>639</v>
      </c>
      <c r="C12" s="87" t="s">
        <v>820</v>
      </c>
      <c r="D12" s="103" t="s">
        <v>821</v>
      </c>
      <c r="E12" s="89" t="s">
        <v>756</v>
      </c>
      <c r="F12" s="89">
        <v>4</v>
      </c>
      <c r="G12" s="89" t="s">
        <v>654</v>
      </c>
      <c r="H12" s="90"/>
    </row>
    <row r="13" spans="1:10" ht="217.5">
      <c r="A13" s="82" t="s">
        <v>1821</v>
      </c>
      <c r="B13" s="65" t="s">
        <v>639</v>
      </c>
      <c r="C13" s="87" t="s">
        <v>820</v>
      </c>
      <c r="D13" s="103" t="s">
        <v>821</v>
      </c>
      <c r="E13" s="89" t="s">
        <v>755</v>
      </c>
      <c r="F13" s="89">
        <v>5</v>
      </c>
      <c r="G13" s="89" t="s">
        <v>822</v>
      </c>
      <c r="H13" s="90" t="s">
        <v>824</v>
      </c>
      <c r="J13" s="7"/>
    </row>
    <row r="14" spans="1:10" ht="409.5">
      <c r="A14" s="82" t="s">
        <v>1822</v>
      </c>
      <c r="B14" s="65" t="s">
        <v>639</v>
      </c>
      <c r="C14" s="87" t="s">
        <v>820</v>
      </c>
      <c r="D14" s="103" t="s">
        <v>821</v>
      </c>
      <c r="E14" s="89" t="s">
        <v>755</v>
      </c>
      <c r="F14" s="89">
        <v>6</v>
      </c>
      <c r="G14" s="89" t="s">
        <v>823</v>
      </c>
      <c r="H14" s="90" t="s">
        <v>825</v>
      </c>
    </row>
    <row r="15" spans="1:10">
      <c r="A15" s="82" t="s">
        <v>1823</v>
      </c>
      <c r="B15" s="65" t="s">
        <v>639</v>
      </c>
      <c r="C15" s="87"/>
      <c r="D15" s="122" t="s">
        <v>1834</v>
      </c>
      <c r="E15" s="89" t="s">
        <v>1835</v>
      </c>
      <c r="F15" s="89">
        <v>1</v>
      </c>
      <c r="G15" s="89" t="s">
        <v>1836</v>
      </c>
      <c r="H15" s="90"/>
    </row>
    <row r="16" spans="1:10">
      <c r="A16" s="82" t="s">
        <v>1824</v>
      </c>
      <c r="B16" s="65" t="s">
        <v>639</v>
      </c>
      <c r="C16" s="87"/>
      <c r="D16" s="122" t="s">
        <v>1834</v>
      </c>
      <c r="E16" s="89" t="s">
        <v>1835</v>
      </c>
      <c r="F16" s="89"/>
      <c r="G16" s="89" t="s">
        <v>1837</v>
      </c>
      <c r="H16" s="90"/>
    </row>
    <row r="17" spans="1:8">
      <c r="A17" s="82" t="s">
        <v>1825</v>
      </c>
      <c r="B17" s="65" t="s">
        <v>639</v>
      </c>
      <c r="C17" s="87"/>
      <c r="D17" s="122" t="s">
        <v>1834</v>
      </c>
      <c r="E17" s="89" t="s">
        <v>1835</v>
      </c>
      <c r="F17" s="89"/>
      <c r="G17" s="89" t="s">
        <v>1838</v>
      </c>
      <c r="H17" s="90"/>
    </row>
    <row r="18" spans="1:8">
      <c r="A18" s="82" t="s">
        <v>1826</v>
      </c>
      <c r="B18" s="65" t="s">
        <v>639</v>
      </c>
      <c r="C18" s="87"/>
      <c r="D18" s="122" t="s">
        <v>1834</v>
      </c>
      <c r="E18" s="89" t="s">
        <v>1835</v>
      </c>
      <c r="F18" s="89"/>
      <c r="G18" s="89" t="s">
        <v>1839</v>
      </c>
      <c r="H18" s="90"/>
    </row>
    <row r="19" spans="1:8">
      <c r="A19" s="82" t="s">
        <v>1827</v>
      </c>
      <c r="B19" s="65" t="s">
        <v>639</v>
      </c>
      <c r="C19" s="87"/>
      <c r="D19" s="122" t="s">
        <v>1834</v>
      </c>
      <c r="E19" s="89" t="s">
        <v>1835</v>
      </c>
      <c r="F19" s="89"/>
      <c r="G19" s="89" t="s">
        <v>1840</v>
      </c>
      <c r="H19" s="90"/>
    </row>
    <row r="20" spans="1:8">
      <c r="A20" s="82" t="s">
        <v>1828</v>
      </c>
      <c r="B20" s="65" t="s">
        <v>639</v>
      </c>
      <c r="C20" s="87"/>
      <c r="D20" s="122" t="s">
        <v>1834</v>
      </c>
      <c r="E20" s="89" t="s">
        <v>1835</v>
      </c>
      <c r="F20" s="89"/>
      <c r="G20" s="89" t="s">
        <v>1841</v>
      </c>
      <c r="H20" s="90"/>
    </row>
    <row r="21" spans="1:8">
      <c r="A21" s="82" t="s">
        <v>1829</v>
      </c>
      <c r="B21" s="65" t="s">
        <v>647</v>
      </c>
      <c r="C21" s="87" t="s">
        <v>820</v>
      </c>
      <c r="D21" s="89" t="s">
        <v>660</v>
      </c>
      <c r="E21" s="89"/>
      <c r="F21" s="89"/>
      <c r="G21" s="89" t="s">
        <v>661</v>
      </c>
      <c r="H21" s="90" t="s">
        <v>662</v>
      </c>
    </row>
    <row r="22" spans="1:8" ht="145">
      <c r="A22" s="82" t="s">
        <v>1830</v>
      </c>
      <c r="B22" s="65" t="s">
        <v>647</v>
      </c>
      <c r="C22" s="87" t="s">
        <v>820</v>
      </c>
      <c r="D22" s="89" t="s">
        <v>748</v>
      </c>
      <c r="E22" s="89"/>
      <c r="F22" s="89"/>
      <c r="G22" s="89" t="s">
        <v>661</v>
      </c>
      <c r="H22" s="90" t="s">
        <v>758</v>
      </c>
    </row>
    <row r="23" spans="1:8" ht="29">
      <c r="A23" s="82" t="s">
        <v>1831</v>
      </c>
      <c r="B23" s="65" t="s">
        <v>647</v>
      </c>
      <c r="C23" s="87" t="s">
        <v>820</v>
      </c>
      <c r="D23" s="89" t="s">
        <v>780</v>
      </c>
      <c r="E23" s="89"/>
      <c r="F23" s="89">
        <v>1</v>
      </c>
      <c r="G23" s="89" t="s">
        <v>648</v>
      </c>
      <c r="H23" s="90" t="s">
        <v>781</v>
      </c>
    </row>
    <row r="24" spans="1:8" ht="72.5">
      <c r="A24" s="82" t="s">
        <v>1832</v>
      </c>
      <c r="C24" s="87" t="s">
        <v>820</v>
      </c>
      <c r="D24" s="89" t="s">
        <v>780</v>
      </c>
      <c r="E24" s="89"/>
      <c r="F24" s="89">
        <v>2</v>
      </c>
      <c r="G24" s="89" t="s">
        <v>650</v>
      </c>
      <c r="H24" s="90" t="s">
        <v>782</v>
      </c>
    </row>
    <row r="25" spans="1:8" ht="29">
      <c r="A25" s="82" t="s">
        <v>1833</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53125" defaultRowHeight="13.5" customHeight="1" outlineLevelCol="1"/>
  <cols>
    <col min="1" max="1" width="21.453125" customWidth="1"/>
    <col min="2" max="2" width="16.453125" customWidth="1" outlineLevel="1"/>
    <col min="3" max="3" width="18.453125" customWidth="1"/>
    <col min="4" max="4" width="13.453125" bestFit="1" customWidth="1"/>
    <col min="5" max="5" width="6.81640625" bestFit="1" customWidth="1"/>
    <col min="6" max="6" width="20.453125" customWidth="1"/>
    <col min="7" max="8" width="43.453125" customWidth="1" outlineLevel="1"/>
    <col min="9" max="9" width="14.453125" customWidth="1"/>
    <col min="10" max="10" width="44.1796875" customWidth="1" outlineLevel="1"/>
    <col min="11" max="11" width="28.1796875" bestFit="1" customWidth="1"/>
    <col min="12" max="12" width="24.453125" customWidth="1" outlineLevel="1"/>
    <col min="13" max="13" width="26.1796875" bestFit="1" customWidth="1"/>
    <col min="14" max="14" width="9.453125" customWidth="1"/>
    <col min="15" max="15" width="107.81640625" style="63" customWidth="1"/>
  </cols>
  <sheetData>
    <row r="1" spans="1:15" s="17" customFormat="1" ht="112.5" customHeight="1">
      <c r="A1" s="106" t="s">
        <v>0</v>
      </c>
      <c r="B1" s="16" t="s">
        <v>230</v>
      </c>
      <c r="C1" s="106" t="s">
        <v>5</v>
      </c>
      <c r="D1" s="16" t="s">
        <v>120</v>
      </c>
      <c r="E1" s="16" t="s">
        <v>461</v>
      </c>
      <c r="F1" s="106" t="s">
        <v>543</v>
      </c>
      <c r="G1" s="16" t="s">
        <v>806</v>
      </c>
      <c r="H1" s="16" t="s">
        <v>32</v>
      </c>
      <c r="I1" s="106" t="s">
        <v>1</v>
      </c>
      <c r="J1" s="16" t="s">
        <v>998</v>
      </c>
      <c r="K1" s="16" t="s">
        <v>471</v>
      </c>
      <c r="L1" s="106" t="s">
        <v>545</v>
      </c>
      <c r="M1" s="16" t="s">
        <v>751</v>
      </c>
      <c r="N1" s="21" t="s">
        <v>1802</v>
      </c>
      <c r="O1" s="62" t="s">
        <v>1801</v>
      </c>
    </row>
    <row r="2" spans="1:15" ht="13.5" customHeight="1">
      <c r="A2" s="117" t="s">
        <v>1449</v>
      </c>
      <c r="B2" t="s">
        <v>541</v>
      </c>
      <c r="C2" s="24" t="str">
        <f xml:space="preserve"> IF( TRIM( meta_Tables[[#This Row],[Kind:src]] ) = "", "",
        INDEX( meta_Classifiers[Display Qualified], MATCH( meta_Tables[[#This Row],[Kind:src]], meta_Classifiers[ID], 0 ) ) )</f>
        <v>ExcelTable</v>
      </c>
      <c r="D2" s="24" t="s">
        <v>142</v>
      </c>
      <c r="E2" s="24"/>
      <c r="F2" s="109"/>
      <c r="G2" s="109" t="str">
        <f>IF(meta_Tables[[#This Row],[Package]]="","",meta_Tables[[#This Row],[Package]]&amp;"::")&amp;meta_Tables[[#This Row],[Display]]</f>
        <v>meta::TablesRowTemplate</v>
      </c>
      <c r="H2" s="109" t="str" cm="1">
        <f t="array" ref="H2">_xlfn.IFNA(INDEX(meta_Names[Camel Upper], MATCH(meta_Tables[[#This Row],[Name]],meta_Names[String],0)),camelCaseUpper(meta_Tables[[#This Row],[Name]]))</f>
        <v>TablesRowTemplate</v>
      </c>
      <c r="I2" s="24" t="s">
        <v>1604</v>
      </c>
      <c r="K2" s="24" t="str">
        <f xml:space="preserve"> IF( TRIM( meta_Tables[[#This Row],[Instances Class:src]] ) = "", "",
        INDEX( meta_Classifiers[Display Qualified], MATCH( meta_Tables[[#This Row],[Instances Class:src]], meta_Classifiers[ID], 0 ) ) )</f>
        <v/>
      </c>
      <c r="L2" s="80"/>
      <c r="M2" s="110"/>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1010</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09" t="s">
        <v>837</v>
      </c>
      <c r="G3" t="str">
        <f>IF(meta_Tables[[#This Row],[Package]]="","",meta_Tables[[#This Row],[Package]]&amp;"::")&amp;meta_Tables[[#This Row],[Display]]</f>
        <v>meta::Classifiers</v>
      </c>
      <c r="H3" s="109"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0"/>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1018</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851</v>
      </c>
      <c r="G4" t="str">
        <f>IF(meta_Tables[[#This Row],[Package]]="","",meta_Tables[[#This Row],[Package]]&amp;"::")&amp;meta_Tables[[#This Row],[Display]]</f>
        <v>meta::CodeTemplates</v>
      </c>
      <c r="H4" s="109" t="str" cm="1">
        <f t="array" ref="H4">_xlfn.IFNA(INDEX(meta_Names[Camel Upper], MATCH(meta_Tables[[#This Row],[Name]],meta_Names[String],0)),camelCaseUpper(meta_Tables[[#This Row],[Name]]))</f>
        <v>CodeTemplates</v>
      </c>
      <c r="I4" s="24" t="s">
        <v>869</v>
      </c>
      <c r="J4" t="s">
        <v>160</v>
      </c>
      <c r="K4" s="24" t="str">
        <f xml:space="preserve"> IF( TRIM( meta_Tables[[#This Row],[Instances Class:src]] ) = "", "",
        INDEX( meta_Classifiers[Display Qualified], MATCH( meta_Tables[[#This Row],[Instances Class:src]], meta_Classifiers[ID], 0 ) ) )</f>
        <v>Object</v>
      </c>
      <c r="L4" s="80" t="s">
        <v>869</v>
      </c>
      <c r="M4" s="110"/>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1013</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09" t="s">
        <v>842</v>
      </c>
      <c r="G5" t="str">
        <f>IF(meta_Tables[[#This Row],[Package]]="","",meta_Tables[[#This Row],[Package]]&amp;"::")&amp;meta_Tables[[#This Row],[Display]]</f>
        <v>meta::Columns</v>
      </c>
      <c r="H5" s="109"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0"/>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1016</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09" t="s">
        <v>866</v>
      </c>
      <c r="G6" t="str">
        <f>IF(meta_Tables[[#This Row],[Package]]="","",meta_Tables[[#This Row],[Package]]&amp;"::")&amp;meta_Tables[[#This Row],[Display]]</f>
        <v>meta::DocumentVersions</v>
      </c>
      <c r="H6" s="109" t="str" cm="1">
        <f t="array" ref="H6">_xlfn.IFNA(INDEX(meta_Names[Camel Upper], MATCH(meta_Tables[[#This Row],[Name]],meta_Names[String],0)),camelCaseUpper(meta_Tables[[#This Row],[Name]]))</f>
        <v>DocumentVersions</v>
      </c>
      <c r="I6" s="24" t="s">
        <v>943</v>
      </c>
      <c r="K6" s="24" t="str">
        <f xml:space="preserve"> IF( TRIM( meta_Tables[[#This Row],[Instances Class:src]] ) = "", "",
        INDEX( meta_Classifiers[Display Qualified], MATCH( meta_Tables[[#This Row],[Instances Class:src]], meta_Classifiers[ID], 0 ) ) )</f>
        <v/>
      </c>
      <c r="L6" s="80" t="s">
        <v>867</v>
      </c>
      <c r="M6" s="110"/>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1015</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09" t="s">
        <v>847</v>
      </c>
      <c r="G7" t="str">
        <f>IF(meta_Tables[[#This Row],[Package]]="","",meta_Tables[[#This Row],[Package]]&amp;"::")&amp;meta_Tables[[#This Row],[Display]]</f>
        <v>meta::Literals</v>
      </c>
      <c r="H7" s="109"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0"/>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1481</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09" t="s">
        <v>1482</v>
      </c>
      <c r="G8" t="str">
        <f>IF(meta_Tables[[#This Row],[Package]]="","",meta_Tables[[#This Row],[Package]]&amp;"::")&amp;meta_Tables[[#This Row],[Display]]</f>
        <v>meta::Names</v>
      </c>
      <c r="H8" s="109" t="str" cm="1">
        <f t="array" ref="H8">_xlfn.IFNA(INDEX(meta_Names[Camel Upper], MATCH(meta_Tables[[#This Row],[Name]],meta_Names[String],0)),camelCaseUpper(meta_Tables[[#This Row],[Name]]))</f>
        <v>Names</v>
      </c>
      <c r="I8" s="24" t="s">
        <v>1483</v>
      </c>
      <c r="K8" s="24" t="str">
        <f xml:space="preserve"> IF( TRIM( meta_Tables[[#This Row],[Instances Class:src]] ) = "", "",
        INDEX( meta_Classifiers[Display Qualified], MATCH( meta_Tables[[#This Row],[Instances Class:src]], meta_Classifiers[ID], 0 ) ) )</f>
        <v/>
      </c>
      <c r="L8" s="80" t="s">
        <v>1483</v>
      </c>
      <c r="M8" s="110"/>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1008</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09" t="s">
        <v>841</v>
      </c>
      <c r="G9" s="109" t="str">
        <f>IF(meta_Tables[[#This Row],[Package]]="","",meta_Tables[[#This Row],[Package]]&amp;"::")&amp;meta_Tables[[#This Row],[Display]]</f>
        <v>meta::PackageDocumentation</v>
      </c>
      <c r="H9" s="109"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0"/>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1014</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09" t="s">
        <v>846</v>
      </c>
      <c r="G10" t="str">
        <f>IF(meta_Tables[[#This Row],[Package]]="","",meta_Tables[[#This Row],[Package]]&amp;"::")&amp;meta_Tables[[#This Row],[Display]]</f>
        <v>meta::Rules</v>
      </c>
      <c r="H10" s="109"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0"/>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1019</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870</v>
      </c>
      <c r="G11" t="str">
        <f>IF(meta_Tables[[#This Row],[Package]]="","",meta_Tables[[#This Row],[Package]]&amp;"::")&amp;meta_Tables[[#This Row],[Display]]</f>
        <v>meta::SimpleTestPattern</v>
      </c>
      <c r="H11" s="109" t="str" cm="1">
        <f t="array" ref="H11">_xlfn.IFNA(INDEX(meta_Names[Camel Upper], MATCH(meta_Tables[[#This Row],[Name]],meta_Names[String],0)),camelCaseUpper(meta_Tables[[#This Row],[Name]]))</f>
        <v>SimpleTestPattern</v>
      </c>
      <c r="I11" s="24" t="s">
        <v>871</v>
      </c>
      <c r="K11" s="24" t="str">
        <f xml:space="preserve"> IF( TRIM( meta_Tables[[#This Row],[Instances Class:src]] ) = "", "",
        INDEX( meta_Classifiers[Display Qualified], MATCH( meta_Tables[[#This Row],[Instances Class:src]], meta_Classifiers[ID], 0 ) ) )</f>
        <v/>
      </c>
      <c r="L11" s="80" t="s">
        <v>871</v>
      </c>
      <c r="M11" s="110"/>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1009</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09" t="s">
        <v>840</v>
      </c>
      <c r="G12" t="str">
        <f>IF(meta_Tables[[#This Row],[Package]]="","",meta_Tables[[#This Row],[Package]]&amp;"::")&amp;meta_Tables[[#This Row],[Display]]</f>
        <v>meta::Snippets</v>
      </c>
      <c r="H12" s="109"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0"/>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1017</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850</v>
      </c>
      <c r="G13" t="str">
        <f>IF(meta_Tables[[#This Row],[Package]]="","",meta_Tables[[#This Row],[Package]]&amp;"::")&amp;meta_Tables[[#This Row],[Display]]</f>
        <v>meta::TablePatterns</v>
      </c>
      <c r="H13" s="109" t="str" cm="1">
        <f t="array" ref="H13">_xlfn.IFNA(INDEX(meta_Names[Camel Upper], MATCH(meta_Tables[[#This Row],[Name]],meta_Names[String],0)),camelCaseUpper(meta_Tables[[#This Row],[Name]]))</f>
        <v>TablePatterns</v>
      </c>
      <c r="I13" s="24" t="s">
        <v>868</v>
      </c>
      <c r="K13" s="24" t="str">
        <f xml:space="preserve"> IF( TRIM( meta_Tables[[#This Row],[Instances Class:src]] ) = "", "",
        INDEX( meta_Classifiers[Display Qualified], MATCH( meta_Tables[[#This Row],[Instances Class:src]], meta_Classifiers[ID], 0 ) ) )</f>
        <v/>
      </c>
      <c r="L13" s="80" t="s">
        <v>868</v>
      </c>
      <c r="M13" s="110"/>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1012</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09" t="s">
        <v>839</v>
      </c>
      <c r="G14" t="str">
        <f>IF(meta_Tables[[#This Row],[Package]]="","",meta_Tables[[#This Row],[Package]]&amp;"::")&amp;meta_Tables[[#This Row],[Display]]</f>
        <v>meta::Tables</v>
      </c>
      <c r="H14" s="109"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0"/>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1011</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09" t="s">
        <v>838</v>
      </c>
      <c r="G15" t="str">
        <f>IF(meta_Tables[[#This Row],[Package]]="","",meta_Tables[[#This Row],[Package]]&amp;"::")&amp;meta_Tables[[#This Row],[Display]]</f>
        <v>meta::TypedModelElements</v>
      </c>
      <c r="H15" s="109" t="str" cm="1">
        <f t="array" ref="H15">_xlfn.IFNA(INDEX(meta_Names[Camel Upper], MATCH(meta_Tables[[#This Row],[Name]],meta_Names[String],0)),camelCaseUpper(meta_Tables[[#This Row],[Name]]))</f>
        <v>TypedModelElements</v>
      </c>
      <c r="I15" s="24" t="s">
        <v>941</v>
      </c>
      <c r="J15" t="s">
        <v>791</v>
      </c>
      <c r="K15" s="24" t="str">
        <f xml:space="preserve"> IF( TRIM( meta_Tables[[#This Row],[Instances Class:src]] ) = "", "",
        INDEX( meta_Classifiers[Display Qualified], MATCH( meta_Tables[[#This Row],[Instances Class:src]], meta_Classifiers[ID], 0 ) ) )</f>
        <v>TypedModelElement</v>
      </c>
      <c r="L15" s="80" t="s">
        <v>140</v>
      </c>
      <c r="M15" s="110"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944</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09" t="s">
        <v>835</v>
      </c>
      <c r="G16" t="str">
        <f>IF(meta_Tables[[#This Row],[Package]]="","",meta_Tables[[#This Row],[Package]]&amp;"::")&amp;meta_Tables[[#This Row],[Display]]</f>
        <v>belowred::Table1Rows</v>
      </c>
      <c r="H16" s="109"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0"/>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948</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09" t="s">
        <v>836</v>
      </c>
      <c r="G17" t="str">
        <f>IF(meta_Tables[[#This Row],[Package]]="","",meta_Tables[[#This Row],[Package]]&amp;"::")&amp;meta_Tables[[#This Row],[Display]]</f>
        <v>belowred::Table2Rows</v>
      </c>
      <c r="H17" s="109"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0"/>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945</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09" t="s">
        <v>843</v>
      </c>
      <c r="G18" t="str">
        <f>IF(meta_Tables[[#This Row],[Package]]="","",meta_Tables[[#This Row],[Package]]&amp;"::")&amp;meta_Tables[[#This Row],[Display]]</f>
        <v>finance::Portfolios</v>
      </c>
      <c r="H18" s="109"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0"/>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946</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09" t="s">
        <v>844</v>
      </c>
      <c r="G19" t="str">
        <f>IF(meta_Tables[[#This Row],[Package]]="","",meta_Tables[[#This Row],[Package]]&amp;"::")&amp;meta_Tables[[#This Row],[Display]]</f>
        <v>finance::Positions</v>
      </c>
      <c r="H19" s="109"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0"/>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947</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09" t="s">
        <v>845</v>
      </c>
      <c r="G20" t="str">
        <f>IF(meta_Tables[[#This Row],[Package]]="","",meta_Tables[[#This Row],[Package]]&amp;"::")&amp;meta_Tables[[#This Row],[Display]]</f>
        <v>finance::Securities</v>
      </c>
      <c r="H20" s="109"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0"/>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989</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09" t="s">
        <v>848</v>
      </c>
      <c r="G21" t="str">
        <f>IF(meta_Tables[[#This Row],[Package]]="","",meta_Tables[[#This Row],[Package]]&amp;"::")&amp;meta_Tables[[#This Row],[Display]]</f>
        <v>myxyzpackage::MyXYZ_Objects</v>
      </c>
      <c r="H21" s="109" t="str" cm="1">
        <f t="array" ref="H21">_xlfn.IFNA(INDEX(meta_Names[Camel Upper], MATCH(meta_Tables[[#This Row],[Name]],meta_Names[String],0)),camelCaseUpper(meta_Tables[[#This Row],[Name]]))</f>
        <v>MyXYZ_Objects</v>
      </c>
      <c r="I21" s="118" t="s">
        <v>942</v>
      </c>
      <c r="J21" t="s">
        <v>750</v>
      </c>
      <c r="K21" s="24" t="str">
        <f xml:space="preserve"> IF( TRIM( meta_Tables[[#This Row],[Instances Class:src]] ) = "", "",
        INDEX( meta_Classifiers[Display Qualified], MATCH( meta_Tables[[#This Row],[Instances Class:src]], meta_Classifiers[ID], 0 ) ) )</f>
        <v>myxyzpackage::MyXYZ_Object</v>
      </c>
      <c r="L21" s="80" t="s">
        <v>774</v>
      </c>
      <c r="M21" s="118"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1453</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09" t="s">
        <v>1454</v>
      </c>
      <c r="G22" t="str">
        <f>IF(meta_Tables[[#This Row],[Package]]="","",meta_Tables[[#This Row],[Package]]&amp;"::")&amp;meta_Tables[[#This Row],[Display]]</f>
        <v>test::NewTable</v>
      </c>
      <c r="H22" s="109" t="str" cm="1">
        <f t="array" ref="H22">_xlfn.IFNA(INDEX(meta_Names[Camel Upper], MATCH(meta_Tables[[#This Row],[Name]],meta_Names[String],0)),camelCaseUpper(meta_Tables[[#This Row],[Name]]))</f>
        <v>NewTable</v>
      </c>
      <c r="I22" s="24" t="s">
        <v>1455</v>
      </c>
      <c r="J22" t="s">
        <v>750</v>
      </c>
      <c r="K22" s="24" t="str">
        <f xml:space="preserve"> IF( TRIM( meta_Tables[[#This Row],[Instances Class:src]] ) = "", "",
        INDEX( meta_Classifiers[Display Qualified], MATCH( meta_Tables[[#This Row],[Instances Class:src]], meta_Classifiers[ID], 0 ) ) )</f>
        <v>myxyzpackage::MyXYZ_Object</v>
      </c>
      <c r="L22" s="80" t="s">
        <v>1455</v>
      </c>
      <c r="M22" s="110"/>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opLeftCell="I1" zoomScaleNormal="100" workbookViewId="0">
      <pane ySplit="1" topLeftCell="A381" activePane="bottomLeft" state="frozen"/>
      <selection activeCell="C28" sqref="C28"/>
      <selection pane="bottomLeft" activeCell="K392" sqref="A392:XFD392"/>
    </sheetView>
  </sheetViews>
  <sheetFormatPr defaultColWidth="8.81640625" defaultRowHeight="14.5" outlineLevelCol="2"/>
  <cols>
    <col min="1" max="1" width="73.453125" customWidth="1"/>
    <col min="2" max="2" width="14.453125" hidden="1" customWidth="1" outlineLevel="1"/>
    <col min="3" max="3" width="17" bestFit="1" customWidth="1" collapsed="1"/>
    <col min="4" max="4" width="9.453125" customWidth="1"/>
    <col min="5" max="5" width="13.1796875" customWidth="1"/>
    <col min="6" max="6" width="25" hidden="1" customWidth="1" outlineLevel="1"/>
    <col min="7" max="7" width="18.453125" hidden="1" customWidth="1" outlineLevel="1"/>
    <col min="8" max="8" width="25.453125" hidden="1" customWidth="1" outlineLevel="1"/>
    <col min="9" max="9" width="26.1796875" bestFit="1" customWidth="1" collapsed="1"/>
    <col min="10" max="10" width="37" hidden="1" customWidth="1" outlineLevel="1"/>
    <col min="11" max="11" width="14.453125" customWidth="1" collapsed="1"/>
    <col min="12" max="12" width="37" style="80" hidden="1" customWidth="1" outlineLevel="1"/>
    <col min="13" max="13" width="19.26953125" customWidth="1" collapsed="1"/>
    <col min="14" max="14" width="7.81640625" bestFit="1" customWidth="1"/>
    <col min="15" max="16" width="7.81640625" customWidth="1"/>
    <col min="17" max="17" width="50.453125" hidden="1" customWidth="1" outlineLevel="1"/>
    <col min="18" max="18" width="43" hidden="1" customWidth="1" outlineLevel="1"/>
    <col min="19" max="19" width="28.453125" customWidth="1" collapsed="1"/>
    <col min="20" max="20" width="8.81640625" customWidth="1"/>
    <col min="21" max="25" width="23.81640625" hidden="1" customWidth="1" outlineLevel="1"/>
    <col min="26" max="26" width="22.453125" hidden="1" customWidth="1" outlineLevel="1" collapsed="1"/>
    <col min="27" max="32" width="22.453125" hidden="1" customWidth="1" outlineLevel="2"/>
    <col min="33" max="35" width="22.453125" hidden="1" customWidth="1" outlineLevel="1"/>
    <col min="36" max="36" width="10.1796875" hidden="1" customWidth="1" outlineLevel="1"/>
    <col min="37" max="37" width="14.81640625" hidden="1" customWidth="1" outlineLevel="1"/>
    <col min="38" max="38" width="9.1796875" hidden="1" customWidth="1" outlineLevel="1"/>
    <col min="39" max="39" width="7.453125" hidden="1" customWidth="1" outlineLevel="1"/>
    <col min="40" max="40" width="7.453125" customWidth="1" collapsed="1"/>
    <col min="41" max="41" width="36.453125" hidden="1" customWidth="1" outlineLevel="1"/>
    <col min="42" max="48" width="33.1796875" hidden="1" customWidth="1" outlineLevel="1"/>
    <col min="49" max="49" width="23.81640625" customWidth="1" collapsed="1"/>
    <col min="50" max="50" width="37.1796875" bestFit="1" customWidth="1"/>
    <col min="51" max="51" width="37.1796875" hidden="1" customWidth="1" outlineLevel="1"/>
    <col min="52" max="52" width="40.453125" bestFit="1" customWidth="1" collapsed="1"/>
    <col min="53" max="53" width="40.453125" bestFit="1" customWidth="1"/>
    <col min="54" max="54" width="20.453125" customWidth="1"/>
  </cols>
  <sheetData>
    <row r="1" spans="1:57" ht="206.25" customHeight="1" thickTop="1" thickBot="1">
      <c r="A1" s="105" t="s">
        <v>0</v>
      </c>
      <c r="B1" s="45" t="s">
        <v>230</v>
      </c>
      <c r="C1" s="105" t="s">
        <v>5</v>
      </c>
      <c r="D1" s="45" t="s">
        <v>120</v>
      </c>
      <c r="E1" s="45" t="s">
        <v>461</v>
      </c>
      <c r="F1" s="45" t="s">
        <v>1471</v>
      </c>
      <c r="G1" s="45" t="s">
        <v>470</v>
      </c>
      <c r="H1" s="45" t="s">
        <v>988</v>
      </c>
      <c r="I1" s="105" t="s">
        <v>463</v>
      </c>
      <c r="J1" s="45" t="s">
        <v>990</v>
      </c>
      <c r="K1" s="45" t="s">
        <v>917</v>
      </c>
      <c r="L1" s="45" t="s">
        <v>991</v>
      </c>
      <c r="M1" s="45" t="s">
        <v>920</v>
      </c>
      <c r="N1" s="45" t="s">
        <v>481</v>
      </c>
      <c r="O1" s="45" t="s">
        <v>996</v>
      </c>
      <c r="P1" s="45" t="s">
        <v>997</v>
      </c>
      <c r="Q1" s="45" t="s">
        <v>1796</v>
      </c>
      <c r="R1" s="45" t="s">
        <v>992</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5" t="s">
        <v>465</v>
      </c>
      <c r="AO1" s="105" t="s">
        <v>551</v>
      </c>
      <c r="AP1" s="45" t="s">
        <v>1000</v>
      </c>
      <c r="AQ1" s="45" t="s">
        <v>995</v>
      </c>
      <c r="AR1" s="45" t="s">
        <v>994</v>
      </c>
      <c r="AS1" s="45" t="s">
        <v>1799</v>
      </c>
      <c r="AT1" s="45" t="s">
        <v>1800</v>
      </c>
      <c r="AU1" s="45" t="s">
        <v>1798</v>
      </c>
      <c r="AV1" s="45" t="s">
        <v>1797</v>
      </c>
      <c r="AW1" s="121" t="s">
        <v>1803</v>
      </c>
      <c r="AX1" s="45" t="s">
        <v>468</v>
      </c>
      <c r="AY1" s="45" t="s">
        <v>806</v>
      </c>
      <c r="AZ1" s="105" t="s">
        <v>548</v>
      </c>
      <c r="BA1" s="45" t="s">
        <v>549</v>
      </c>
      <c r="BB1" s="104" t="s">
        <v>865</v>
      </c>
      <c r="BC1" s="48" t="s">
        <v>552</v>
      </c>
      <c r="BD1" s="48" t="s">
        <v>1460</v>
      </c>
      <c r="BE1" s="48" t="s">
        <v>1472</v>
      </c>
    </row>
    <row r="2" spans="1:57" ht="15" thickTop="1">
      <c r="A2" s="107" t="s">
        <v>1448</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1449</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Overwrite]])&lt;&gt;"",meta_Columns[[#This Row],[Excel Column - Label Overwrite]],meta_Columns[[#This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1020</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944</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Overwrite]])&lt;&gt;"",meta_Columns[[#This Row],[Excel Column - Label Overwrite]],meta_Columns[[#This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1021</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944</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Overwrite]])&lt;&gt;"",meta_Columns[[#This Row],[Excel Column - Label Overwrite]],meta_Columns[[#This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1022</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944</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Overwrite]])&lt;&gt;"",meta_Columns[[#This Row],[Excel Column - Label Overwrite]],meta_Columns[[#This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1023</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944</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Overwrite]])&lt;&gt;"",meta_Columns[[#This Row],[Excel Column - Label Overwrite]],meta_Columns[[#This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1024</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944</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Overwrite]])&lt;&gt;"",meta_Columns[[#This Row],[Excel Column - Label Overwrite]],meta_Columns[[#This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1843</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944</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1842</v>
      </c>
      <c r="BA8" s="44" t="str">
        <f>IF(TRIM(meta_Columns[[#This Row],[Excel Column - Label Overwrite]])&lt;&gt;"",meta_Columns[[#This Row],[Excel Column - Label Overwrite]],meta_Columns[[#This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1025</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944</v>
      </c>
      <c r="I9" s="43" t="str">
        <f xml:space="preserve"> IF( TRIM( meta_Columns[[#This Row],[Owning Table:src]] ) = "", "",
        INDEX( meta_Tables[Display Qualified], MATCH( meta_Columns[[#This Row],[Owning Table:src]], meta_Tables[ID], 0 ) ) )</f>
        <v>belowred::Table1Rows</v>
      </c>
      <c r="J9" t="s">
        <v>948</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Overwrite]])&lt;&gt;"",meta_Columns[[#This Row],[Excel Column - Label Overwrite]],meta_Columns[[#This Row],[Excel Column - Label from Property or Referenced Table]])</f>
        <v>Table 2 Ref</v>
      </c>
      <c r="BB9" s="43"/>
      <c r="BC9" s="44" t="str">
        <f>IF(meta_Columns[[#This Row],[Excel Column - Explicit Excel Formula]]="","",meta_Columns[[#This Row],[Excel Column - Explicit Excel Formula]])</f>
        <v/>
      </c>
      <c r="BD9" s="5" t="s">
        <v>1466</v>
      </c>
      <c r="BE9" s="5"/>
    </row>
    <row r="10" spans="1:57">
      <c r="A10" s="10" t="s">
        <v>1026</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944</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Overwrite]])&lt;&gt;"",meta_Columns[[#This Row],[Excel Column - Label Overwrite]],meta_Columns[[#This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1027</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944</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Overwrite]])&lt;&gt;"",meta_Columns[[#This Row],[Excel Column - Label Overwrite]],meta_Columns[[#This Row],[Excel Column - Label from Property or Referenced Table]])</f>
        <v>Test stringToBusiness</v>
      </c>
      <c r="BB11" s="43" t="s">
        <v>910</v>
      </c>
      <c r="BC11" s="44" t="str">
        <f>IF(meta_Columns[[#This Row],[Excel Column - Explicit Excel Formula]]="","",meta_Columns[[#This Row],[Excel Column - Explicit Excel Formula]])</f>
        <v>Formula:=stringToBusiness([@[String Value 1]])</v>
      </c>
      <c r="BD11" s="5"/>
      <c r="BE11" s="5"/>
    </row>
    <row r="12" spans="1:57">
      <c r="A12" s="10" t="s">
        <v>1028</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944</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Overwrite]])&lt;&gt;"",meta_Columns[[#This Row],[Excel Column - Label Overwrite]],meta_Columns[[#This Row],[Excel Column - Label from Property or Referenced Table]])</f>
        <v>Test CamelCaseUpper</v>
      </c>
      <c r="BB12" s="43" t="s">
        <v>911</v>
      </c>
      <c r="BC12" s="44" t="str">
        <f>IF(meta_Columns[[#This Row],[Excel Column - Explicit Excel Formula]]="","",meta_Columns[[#This Row],[Excel Column - Explicit Excel Formula]])</f>
        <v>Formula:=camelCaseUpper([@[String Value 1]])</v>
      </c>
      <c r="BD12" s="5"/>
      <c r="BE12" s="5"/>
    </row>
    <row r="13" spans="1:57">
      <c r="A13" s="10" t="s">
        <v>1029</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944</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Overwrite]])&lt;&gt;"",meta_Columns[[#This Row],[Excel Column - Label Overwrite]],meta_Columns[[#This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1030</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944</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Overwrite]])&lt;&gt;"",meta_Columns[[#This Row],[Excel Column - Label Overwrite]],meta_Columns[[#This Row],[Excel Column - Label from Property or Referenced Table]])</f>
        <v>Test camelCaseToBusiness</v>
      </c>
      <c r="BB14" s="43" t="s">
        <v>912</v>
      </c>
      <c r="BC14" s="44" t="str">
        <f>IF(meta_Columns[[#This Row],[Excel Column - Explicit Excel Formula]]="","",meta_Columns[[#This Row],[Excel Column - Explicit Excel Formula]])</f>
        <v>Formula:=camelCaseToBusiness([@[Test CamelCaseUpper]])</v>
      </c>
      <c r="BD14" s="5"/>
      <c r="BE14" s="5"/>
    </row>
    <row r="15" spans="1:57">
      <c r="A15" s="10" t="s">
        <v>1031</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944</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Overwrite]])&lt;&gt;"",meta_Columns[[#This Row],[Excel Column - Label Overwrite]],meta_Columns[[#This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1032</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944</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Overwrite]])&lt;&gt;"",meta_Columns[[#This Row],[Excel Column - Label Overwrite]],meta_Columns[[#This Row],[Excel Column - Label from Property or Referenced Table]])</f>
        <v>camelCaseLower(s)  = businessToCamelCaseLower(stringToBusiness(s))</v>
      </c>
      <c r="BB16" s="43" t="s">
        <v>913</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1033</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944</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Overwrite]])&lt;&gt;"",meta_Columns[[#This Row],[Excel Column - Label Overwrite]],meta_Columns[[#This Row],[Excel Column - Label from Property or Referenced Table]])</f>
        <v>camelCaseUpper(s)  = businessToCamelCaseUpper(stringToBusiness(s)), </v>
      </c>
      <c r="BB17" s="43" t="s">
        <v>914</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1034</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944</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B18" s="43" t="s">
        <v>915</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1035</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944</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Overwrite]])&lt;&gt;"",meta_Columns[[#This Row],[Excel Column - Label Overwrite]],meta_Columns[[#This Row],[Excel Column - Label from Property or Referenced Table]])</f>
        <v>Table 2 Ref STORED</v>
      </c>
      <c r="BB19" s="43"/>
      <c r="BC19" s="44" t="str">
        <f>IF(meta_Columns[[#This Row],[Excel Column - Explicit Excel Formula]]="","",meta_Columns[[#This Row],[Excel Column - Explicit Excel Formula]])</f>
        <v/>
      </c>
      <c r="BD19" s="5" t="s">
        <v>1467</v>
      </c>
      <c r="BE19" s="5"/>
    </row>
    <row r="20" spans="1:57">
      <c r="A20" s="10" t="s">
        <v>1036</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944</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Overwrite]])&lt;&gt;"",meta_Columns[[#This Row],[Excel Column - Label Overwrite]],meta_Columns[[#This Row],[Excel Column - Label from Property or Referenced Table]])</f>
        <v>Test stringToBusiness STORED</v>
      </c>
      <c r="BB20" s="43"/>
      <c r="BC20" s="44" t="str">
        <f>IF(meta_Columns[[#This Row],[Excel Column - Explicit Excel Formula]]="","",meta_Columns[[#This Row],[Excel Column - Explicit Excel Formula]])</f>
        <v/>
      </c>
      <c r="BD20" s="5" t="s">
        <v>1467</v>
      </c>
      <c r="BE20" s="5"/>
    </row>
    <row r="21" spans="1:57">
      <c r="A21" s="10" t="s">
        <v>1037</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944</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Overwrite]])&lt;&gt;"",meta_Columns[[#This Row],[Excel Column - Label Overwrite]],meta_Columns[[#This Row],[Excel Column - Label from Property or Referenced Table]])</f>
        <v>Test CamelCaseUpper STORED</v>
      </c>
      <c r="BB21" s="43"/>
      <c r="BC21" s="44" t="str">
        <f>IF(meta_Columns[[#This Row],[Excel Column - Explicit Excel Formula]]="","",meta_Columns[[#This Row],[Excel Column - Explicit Excel Formula]])</f>
        <v/>
      </c>
      <c r="BD21" s="5" t="s">
        <v>1467</v>
      </c>
      <c r="BE21" s="5"/>
    </row>
    <row r="22" spans="1:57">
      <c r="A22" s="10" t="s">
        <v>1038</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944</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Overwrite]])&lt;&gt;"",meta_Columns[[#This Row],[Excel Column - Label Overwrite]],meta_Columns[[#This Row],[Excel Column - Label from Property or Referenced Table]])</f>
        <v>Test camelCaseToBusiness STORED</v>
      </c>
      <c r="BB22" s="43"/>
      <c r="BC22" s="44" t="str">
        <f>IF(meta_Columns[[#This Row],[Excel Column - Explicit Excel Formula]]="","",meta_Columns[[#This Row],[Excel Column - Explicit Excel Formula]])</f>
        <v/>
      </c>
      <c r="BD22" s="5" t="s">
        <v>1467</v>
      </c>
      <c r="BE22" s="5"/>
    </row>
    <row r="23" spans="1:57">
      <c r="A23" s="10" t="s">
        <v>1039</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944</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Overwrite]])&lt;&gt;"",meta_Columns[[#This Row],[Excel Column - Label Overwrite]],meta_Columns[[#This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1467</v>
      </c>
      <c r="BE23" s="5"/>
    </row>
    <row r="24" spans="1:57">
      <c r="A24" s="10" t="s">
        <v>1040</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944</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Overwrite]])&lt;&gt;"",meta_Columns[[#This Row],[Excel Column - Label Overwrite]],meta_Columns[[#This Row],[Excel Column - Label from Property or Referenced Table]])</f>
        <v>Test FunctionToBeGenerated STORED</v>
      </c>
      <c r="BB24" s="43"/>
      <c r="BC24" s="44" t="str">
        <f>IF(meta_Columns[[#This Row],[Excel Column - Explicit Excel Formula]]="","",meta_Columns[[#This Row],[Excel Column - Explicit Excel Formula]])</f>
        <v/>
      </c>
      <c r="BD24" s="5" t="s">
        <v>1467</v>
      </c>
      <c r="BE24" s="5"/>
    </row>
    <row r="25" spans="1:57">
      <c r="A25" s="10" t="s">
        <v>1041</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944</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Overwrite]])&lt;&gt;"",meta_Columns[[#This Row],[Excel Column - Label Overwrite]],meta_Columns[[#This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1467</v>
      </c>
      <c r="BE25" s="5"/>
    </row>
    <row r="26" spans="1:57">
      <c r="A26" s="10" t="s">
        <v>1042</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944</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1467</v>
      </c>
      <c r="BE26" s="5"/>
    </row>
    <row r="27" spans="1:57">
      <c r="A27" s="10" t="s">
        <v>1043</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944</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Overwrite]])&lt;&gt;"",meta_Columns[[#This Row],[Excel Column - Label Overwrite]],meta_Columns[[#This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1467</v>
      </c>
      <c r="BE27" s="5"/>
    </row>
    <row r="28" spans="1:57">
      <c r="A28" s="10" t="s">
        <v>1044</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948</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Overwrite]])&lt;&gt;"",meta_Columns[[#This Row],[Excel Column - Label Overwrite]],meta_Columns[[#This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1045</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948</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Overwrite]])&lt;&gt;"",meta_Columns[[#This Row],[Excel Column - Label Overwrite]],meta_Columns[[#This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1046</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948</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Overwrite]])&lt;&gt;"",meta_Columns[[#This Row],[Excel Column - Label Overwrite]],meta_Columns[[#This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1047</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948</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Overwrite]])&lt;&gt;"",meta_Columns[[#This Row],[Excel Column - Label Overwrite]],meta_Columns[[#This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1048</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948</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Overwrite]])&lt;&gt;"",meta_Columns[[#This Row],[Excel Column - Label Overwrite]],meta_Columns[[#This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1049</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948</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Overwrite]])&lt;&gt;"",meta_Columns[[#This Row],[Excel Column - Label Overwrite]],meta_Columns[[#This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1050</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948</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Overwrite]])&lt;&gt;"",meta_Columns[[#This Row],[Excel Column - Label Overwrite]],meta_Columns[[#This Row],[Excel Column - Label from Property or Referenced Table]])</f>
        <v>T2 Name:q</v>
      </c>
      <c r="BB34" s="43" t="s">
        <v>916</v>
      </c>
      <c r="BC34" s="44" t="str">
        <f>IF(meta_Columns[[#This Row],[Excel Column - Explicit Excel Formula]]="","",meta_Columns[[#This Row],[Excel Column - Explicit Excel Formula]])</f>
        <v>Formula:=IF(
  TRIM([@Package])="",
          "",
          [@Package]&amp;"::")
&amp;[@[T2 Name]]</v>
      </c>
      <c r="BD34" s="5"/>
      <c r="BE34" s="5"/>
    </row>
    <row r="35" spans="1:57">
      <c r="A35" s="10" t="s">
        <v>1051</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948</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Overwrite]])&lt;&gt;"",meta_Columns[[#This Row],[Excel Column - Label Overwrite]],meta_Columns[[#This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1052</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948</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Overwrite]])&lt;&gt;"",meta_Columns[[#This Row],[Excel Column - Label Overwrite]],meta_Columns[[#This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1053</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948</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Overwrite]])&lt;&gt;"",meta_Columns[[#This Row],[Excel Column - Label Overwrite]],meta_Columns[[#This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1054</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945</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Overwrite]])&lt;&gt;"",meta_Columns[[#This Row],[Excel Column - Label Overwrite]],meta_Columns[[#This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1342</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945</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Overwrite]])&lt;&gt;"",meta_Columns[[#This Row],[Excel Column - Label Overwrite]],meta_Columns[[#This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1344</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945</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Overwrite]])&lt;&gt;"",meta_Columns[[#This Row],[Excel Column - Label Overwrite]],meta_Columns[[#This Row],[Excel Column - Label from Property or Referenced Table]])</f>
        <v>Kind</v>
      </c>
      <c r="BB40" s="43" t="s">
        <v>1484</v>
      </c>
      <c r="BC40" s="44" t="str">
        <f>IF(meta_Columns[[#This Row],[Excel Column - Explicit Excel Formula]]="","",meta_Columns[[#This Row],[Excel Column - Explicit Excel Formula]])</f>
        <v>Formula:= IF( TRIM( [@[Kind:src]] ) = "", "",
        INDEX( meta_Classifiers[Display Qualified], MATCH( [@[Kind:src]], meta_Classifiers[ID], 0 ) ) )</v>
      </c>
      <c r="BD40" s="5" t="s">
        <v>1461</v>
      </c>
      <c r="BE40" s="5"/>
    </row>
    <row r="41" spans="1:57">
      <c r="A41" s="10" t="s">
        <v>1345</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945</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Overwrite]])&lt;&gt;"",meta_Columns[[#This Row],[Excel Column - Label Overwrite]],meta_Columns[[#This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1346</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945</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Overwrite]])&lt;&gt;"",meta_Columns[[#This Row],[Excel Column - Label Overwrite]],meta_Columns[[#This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1055</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945</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Overwrite]])&lt;&gt;"",meta_Columns[[#This Row],[Excel Column - Label Overwrite]],meta_Columns[[#This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1056</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946</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Overwrite]])&lt;&gt;"",meta_Columns[[#This Row],[Excel Column - Label Overwrite]],meta_Columns[[#This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1347</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946</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Overwrite]])&lt;&gt;"",meta_Columns[[#This Row],[Excel Column - Label Overwrite]],meta_Columns[[#This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1348</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946</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Overwrite]])&lt;&gt;"",meta_Columns[[#This Row],[Excel Column - Label Overwrite]],meta_Columns[[#This Row],[Excel Column - Label from Property or Referenced Table]])</f>
        <v>Kind</v>
      </c>
      <c r="BB46" s="43" t="s">
        <v>1484</v>
      </c>
      <c r="BC46" s="44" t="str">
        <f>IF(meta_Columns[[#This Row],[Excel Column - Explicit Excel Formula]]="","",meta_Columns[[#This Row],[Excel Column - Explicit Excel Formula]])</f>
        <v>Formula:= IF( TRIM( [@[Kind:src]] ) = "", "",
        INDEX( meta_Classifiers[Display Qualified], MATCH( [@[Kind:src]], meta_Classifiers[ID], 0 ) ) )</v>
      </c>
      <c r="BD46" s="5" t="s">
        <v>1461</v>
      </c>
      <c r="BE46" s="5"/>
    </row>
    <row r="47" spans="1:57">
      <c r="A47" s="10" t="s">
        <v>1349</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946</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Overwrite]])&lt;&gt;"",meta_Columns[[#This Row],[Excel Column - Label Overwrite]],meta_Columns[[#This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1350</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946</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986</v>
      </c>
      <c r="BA48" s="44" t="str">
        <f>IF(TRIM(meta_Columns[[#This Row],[Excel Column - Label Overwrite]])&lt;&gt;"",meta_Columns[[#This Row],[Excel Column - Label Overwrite]],meta_Columns[[#This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1351</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946</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Overwrite]])&lt;&gt;"",meta_Columns[[#This Row],[Excel Column - Label Overwrite]],meta_Columns[[#This Row],[Excel Column - Label from Property or Referenced Table]])</f>
        <v>Portfolio</v>
      </c>
      <c r="BB49" s="43" t="s">
        <v>1485</v>
      </c>
      <c r="BC49" s="44" t="str">
        <f>IF(meta_Columns[[#This Row],[Excel Column - Explicit Excel Formula]]="","",meta_Columns[[#This Row],[Excel Column - Explicit Excel Formula]])</f>
        <v>Formula:= IF( TRIM( [@[Porfolio:src]] ) = "", "",
        INDEX( finance_Portfolios[Owner], MATCH( [@[Porfolio:src]], finance_Portfolios[ID], 0 ) ) )</v>
      </c>
      <c r="BD49" s="5" t="s">
        <v>1486</v>
      </c>
      <c r="BE49" s="5"/>
    </row>
    <row r="50" spans="1:57">
      <c r="A50" s="10" t="s">
        <v>1352</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946</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987</v>
      </c>
      <c r="BA50" s="44" t="str">
        <f>IF(TRIM(meta_Columns[[#This Row],[Excel Column - Label Overwrite]])&lt;&gt;"",meta_Columns[[#This Row],[Excel Column - Label Overwrite]],meta_Columns[[#This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1353</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946</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Overwrite]])&lt;&gt;"",meta_Columns[[#This Row],[Excel Column - Label Overwrite]],meta_Columns[[#This Row],[Excel Column - Label from Property or Referenced Table]])</f>
        <v>Security</v>
      </c>
      <c r="BB51" s="43" t="s">
        <v>1487</v>
      </c>
      <c r="BC51" s="44" t="str">
        <f>IF(meta_Columns[[#This Row],[Excel Column - Explicit Excel Formula]]="","",meta_Columns[[#This Row],[Excel Column - Explicit Excel Formula]])</f>
        <v>Formula:= IF( TRIM( [@[Security:src]] ) = "", "",
        INDEX( finance_Securities[Trading Symbol], MATCH( [@[Security:src]], finance_Securities[ID], 0 ) ) )</v>
      </c>
      <c r="BD51" s="5" t="s">
        <v>1488</v>
      </c>
      <c r="BE51" s="5"/>
    </row>
    <row r="52" spans="1:57">
      <c r="A52" s="10" t="s">
        <v>1057</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946</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Overwrite]])&lt;&gt;"",meta_Columns[[#This Row],[Excel Column - Label Overwrite]],meta_Columns[[#This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1058</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946</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Overwrite]])&lt;&gt;"",meta_Columns[[#This Row],[Excel Column - Label Overwrite]],meta_Columns[[#This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1059</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947</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Overwrite]])&lt;&gt;"",meta_Columns[[#This Row],[Excel Column - Label Overwrite]],meta_Columns[[#This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1354</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947</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Overwrite]])&lt;&gt;"",meta_Columns[[#This Row],[Excel Column - Label Overwrite]],meta_Columns[[#This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1355</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947</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Overwrite]])&lt;&gt;"",meta_Columns[[#This Row],[Excel Column - Label Overwrite]],meta_Columns[[#This Row],[Excel Column - Label from Property or Referenced Table]])</f>
        <v>Kind</v>
      </c>
      <c r="BB56" s="43" t="s">
        <v>1484</v>
      </c>
      <c r="BC56" s="44" t="str">
        <f>IF(meta_Columns[[#This Row],[Excel Column - Explicit Excel Formula]]="","",meta_Columns[[#This Row],[Excel Column - Explicit Excel Formula]])</f>
        <v>Formula:= IF( TRIM( [@[Kind:src]] ) = "", "",
        INDEX( meta_Classifiers[Display Qualified], MATCH( [@[Kind:src]], meta_Classifiers[ID], 0 ) ) )</v>
      </c>
      <c r="BD56" s="5" t="s">
        <v>1461</v>
      </c>
      <c r="BE56" s="5"/>
    </row>
    <row r="57" spans="1:57">
      <c r="A57" s="10" t="s">
        <v>1356</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947</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Overwrite]])&lt;&gt;"",meta_Columns[[#This Row],[Excel Column - Label Overwrite]],meta_Columns[[#This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1060</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947</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Overwrite]])&lt;&gt;"",meta_Columns[[#This Row],[Excel Column - Label Overwrite]],meta_Columns[[#This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1061</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947</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Overwrite]])&lt;&gt;"",meta_Columns[[#This Row],[Excel Column - Label Overwrite]],meta_Columns[[#This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1062</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1010</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Overwrite]])&lt;&gt;"",meta_Columns[[#This Row],[Excel Column - Label Overwrite]],meta_Columns[[#This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1386</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1010</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Overwrite]])&lt;&gt;"",meta_Columns[[#This Row],[Excel Column - Label Overwrite]],meta_Columns[[#This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1387</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1010</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Overwrite]])&lt;&gt;"",meta_Columns[[#This Row],[Excel Column - Label Overwrite]],meta_Columns[[#This Row],[Excel Column - Label from Property or Referenced Table]])</f>
        <v>Kind</v>
      </c>
      <c r="BB62" s="43" t="s">
        <v>1520</v>
      </c>
      <c r="BC62" s="44" t="str">
        <f>IF(meta_Columns[[#This Row],[Excel Column - Explicit Excel Formula]]="","",meta_Columns[[#This Row],[Excel Column - Explicit Excel Formula]])</f>
        <v>Formula:= IF( TRIM( [@[Kind:src]] ) = "", "",
        INDEX( [Display Qualified], MATCH( [@[Kind:src]], [ID], 0 ) ) )</v>
      </c>
      <c r="BD62" s="5" t="s">
        <v>1461</v>
      </c>
      <c r="BE62" s="5"/>
    </row>
    <row r="63" spans="1:57">
      <c r="A63" s="10" t="s">
        <v>1063</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1010</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Overwrite]])&lt;&gt;"",meta_Columns[[#This Row],[Excel Column - Label Overwrite]],meta_Columns[[#This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1388</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1010</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Overwrite]])&lt;&gt;"",meta_Columns[[#This Row],[Excel Column - Label Overwrite]],meta_Columns[[#This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1064</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1010</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Overwrite]])&lt;&gt;"",meta_Columns[[#This Row],[Excel Column - Label Overwrite]],meta_Columns[[#This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1065</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1010</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Overwrite]])&lt;&gt;"",meta_Columns[[#This Row],[Excel Column - Label Overwrite]],meta_Columns[[#This Row],[Excel Column - Label from Property or Referenced Table]])</f>
        <v>Display Qualified</v>
      </c>
      <c r="BB66" s="43" t="s">
        <v>952</v>
      </c>
      <c r="BC66" s="44" t="str">
        <f>IF(meta_Columns[[#This Row],[Excel Column - Explicit Excel Formula]]="","",meta_Columns[[#This Row],[Excel Column - Explicit Excel Formula]])</f>
        <v>Formula:=IF(LEFT([@ID],1)="_",RIGHT([@ID],LEN([@ID])-1),IF(TRIM([@Package])="","",TRIM(LOWER([@Package]))&amp;"::")&amp;[@Display])</v>
      </c>
      <c r="BD66" s="5"/>
      <c r="BE66" s="5"/>
    </row>
    <row r="67" spans="1:57">
      <c r="A67" s="10" t="s">
        <v>1066</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1010</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Overwrite]])&lt;&gt;"",meta_Columns[[#This Row],[Excel Column - Label Overwrite]],meta_Columns[[#This Row],[Excel Column - Label from Property or Referenced Table]])</f>
        <v>Display</v>
      </c>
      <c r="BB67" s="43" t="s">
        <v>1389</v>
      </c>
      <c r="BC67" s="44" t="str">
        <f>IF(meta_Columns[[#This Row],[Excel Column - Explicit Excel Formula]]="","",meta_Columns[[#This Row],[Excel Column - Explicit Excel Formula]])</f>
        <v>Formula:=camelCaseUpper([@Name])</v>
      </c>
      <c r="BD67" s="5"/>
      <c r="BE67" s="5"/>
    </row>
    <row r="68" spans="1:57">
      <c r="A68" s="10" t="s">
        <v>1067</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1010</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Overwrite]])&lt;&gt;"",meta_Columns[[#This Row],[Excel Column - Label Overwrite]],meta_Columns[[#This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1068</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1010</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Overwrite]])&lt;&gt;"",meta_Columns[[#This Row],[Excel Column - Label Overwrite]],meta_Columns[[#This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1390</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1010</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1001</v>
      </c>
      <c r="BA70" s="44" t="str">
        <f>IF(TRIM(meta_Columns[[#This Row],[Excel Column - Label Overwrite]])&lt;&gt;"",meta_Columns[[#This Row],[Excel Column - Label Overwrite]],meta_Columns[[#This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1391</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1010</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Overwrite]])&lt;&gt;"",meta_Columns[[#This Row],[Excel Column - Label Overwrite]],meta_Columns[[#This Row],[Excel Column - Label from Property or Referenced Table]])</f>
        <v>Class - Generalization</v>
      </c>
      <c r="BB71" s="43" t="s">
        <v>1521</v>
      </c>
      <c r="BC71" s="44" t="str">
        <f>IF(meta_Columns[[#This Row],[Excel Column - Explicit Excel Formula]]="","",meta_Columns[[#This Row],[Excel Column - Explicit Excel Formula]])</f>
        <v>Formula:= IF( TRIM( [@[Class - Generalization:src]] ) = "", "",
        INDEX( [Display Qualified], MATCH( [@[Class - Generalization:src]], [ID], 0 ) ) )</v>
      </c>
      <c r="BD71" s="5" t="s">
        <v>1461</v>
      </c>
      <c r="BE71" s="5"/>
    </row>
    <row r="72" spans="1:57">
      <c r="A72" s="10" t="s">
        <v>1392</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1010</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Overwrite]])&lt;&gt;"",meta_Columns[[#This Row],[Excel Column - Label Overwrite]],meta_Columns[[#This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1393</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1010</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1002</v>
      </c>
      <c r="BA73" s="44" t="str">
        <f>IF(TRIM(meta_Columns[[#This Row],[Excel Column - Label Overwrite]])&lt;&gt;"",meta_Columns[[#This Row],[Excel Column - Label Overwrite]],meta_Columns[[#This Row],[Excel Column - Label from Property or Referenced Table]])</f>
        <v>Class - Display Property:src</v>
      </c>
      <c r="BB73" s="43" t="s">
        <v>1394</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1395</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1010</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Overwrite]])&lt;&gt;"",meta_Columns[[#This Row],[Excel Column - Label Overwrite]],meta_Columns[[#This Row],[Excel Column - Label from Property or Referenced Table]])</f>
        <v>Class - Display Property</v>
      </c>
      <c r="BB74" s="43"/>
      <c r="BC74" s="44" t="str">
        <f>IF(meta_Columns[[#This Row],[Excel Column - Explicit Excel Formula]]="","",meta_Columns[[#This Row],[Excel Column - Explicit Excel Formula]])</f>
        <v/>
      </c>
      <c r="BD74" s="5" t="s">
        <v>1464</v>
      </c>
      <c r="BE74" s="5"/>
    </row>
    <row r="75" spans="1:57">
      <c r="A75" s="10" t="s">
        <v>1396</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1010</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Overwrite]])&lt;&gt;"",meta_Columns[[#This Row],[Excel Column - Label Overwrite]],meta_Columns[[#This Row],[Excel Column - Label from Property or Referenced Table]])</f>
        <v>Class - Business ID Property:src</v>
      </c>
      <c r="BB75" s="43" t="s">
        <v>1397</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1398</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1010</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Overwrite]])&lt;&gt;"",meta_Columns[[#This Row],[Excel Column - Label Overwrite]],meta_Columns[[#This Row],[Excel Column - Label from Property or Referenced Table]])</f>
        <v>Class - Business ID Property</v>
      </c>
      <c r="BB76" s="43"/>
      <c r="BC76" s="44" t="str">
        <f>IF(meta_Columns[[#This Row],[Excel Column - Explicit Excel Formula]]="","",meta_Columns[[#This Row],[Excel Column - Explicit Excel Formula]])</f>
        <v/>
      </c>
      <c r="BD76" s="5" t="s">
        <v>1464</v>
      </c>
      <c r="BE76" s="5"/>
    </row>
    <row r="77" spans="1:57">
      <c r="A77" s="10" t="s">
        <v>1069</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1018</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Overwrite]])&lt;&gt;"",meta_Columns[[#This Row],[Excel Column - Label Overwrite]],meta_Columns[[#This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1070</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1018</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Overwrite]])&lt;&gt;"",meta_Columns[[#This Row],[Excel Column - Label Overwrite]],meta_Columns[[#This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1071</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1018</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Overwrite]])&lt;&gt;"",meta_Columns[[#This Row],[Excel Column - Label Overwrite]],meta_Columns[[#This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1072</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1018</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Overwrite]])&lt;&gt;"",meta_Columns[[#This Row],[Excel Column - Label Overwrite]],meta_Columns[[#This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1073</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1018</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Overwrite]])&lt;&gt;"",meta_Columns[[#This Row],[Excel Column - Label Overwrite]],meta_Columns[[#This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1074</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1018</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Overwrite]])&lt;&gt;"",meta_Columns[[#This Row],[Excel Column - Label Overwrite]],meta_Columns[[#This Row],[Excel Column - Label from Property or Referenced Table]])</f>
        <v>Display:q</v>
      </c>
      <c r="BB82" s="43" t="s">
        <v>873</v>
      </c>
      <c r="BC82" s="44" t="str">
        <f>IF(meta_Columns[[#This Row],[Excel Column - Explicit Excel Formula]]="","",meta_Columns[[#This Row],[Excel Column - Explicit Excel Formula]])</f>
        <v>Formula:=IF(TRIM([@Package])="","",TRIM(LOWER([@Package]))&amp;"::")&amp;[@Display]</v>
      </c>
      <c r="BD82" s="5"/>
      <c r="BE82" s="5"/>
    </row>
    <row r="83" spans="1:57">
      <c r="A83" s="10" t="s">
        <v>1075</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1018</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Overwrite]])&lt;&gt;"",meta_Columns[[#This Row],[Excel Column - Label Overwrite]],meta_Columns[[#This Row],[Excel Column - Label from Property or Referenced Table]])</f>
        <v>Display</v>
      </c>
      <c r="BB83" s="43" t="s">
        <v>908</v>
      </c>
      <c r="BC83" s="44" t="str">
        <f>IF(meta_Columns[[#This Row],[Excel Column - Explicit Excel Formula]]="","",meta_Columns[[#This Row],[Excel Column - Explicit Excel Formula]])</f>
        <v>Formula:=TRIM(SUBSTITUTE([@[Template Begin]]," ",""))</v>
      </c>
      <c r="BD83" s="5"/>
      <c r="BE83" s="5"/>
    </row>
    <row r="84" spans="1:57">
      <c r="A84" s="10" t="s">
        <v>1076</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1018</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Overwrite]])&lt;&gt;"",meta_Columns[[#This Row],[Excel Column - Label Overwrite]],meta_Columns[[#This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1077</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1018</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Overwrite]])&lt;&gt;"",meta_Columns[[#This Row],[Excel Column - Label Overwrite]],meta_Columns[[#This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1078</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1018</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Overwrite]])&lt;&gt;"",meta_Columns[[#This Row],[Excel Column - Label Overwrite]],meta_Columns[[#This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1079</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1018</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Overwrite]])&lt;&gt;"",meta_Columns[[#This Row],[Excel Column - Label Overwrite]],meta_Columns[[#This Row],[Excel Column - Label from Property or Referenced Table]])</f>
        <v>Matched Pattern 1</v>
      </c>
      <c r="BB87" s="43" t="s">
        <v>909</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1080</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1018</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Overwrite]])&lt;&gt;"",meta_Columns[[#This Row],[Excel Column - Label Overwrite]],meta_Columns[[#This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1081</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1018</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Overwrite]])&lt;&gt;"",meta_Columns[[#This Row],[Excel Column - Label Overwrite]],meta_Columns[[#This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1082</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1018</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Overwrite]])&lt;&gt;"",meta_Columns[[#This Row],[Excel Column - Label Overwrite]],meta_Columns[[#This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1083</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1018</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Overwrite]])&lt;&gt;"",meta_Columns[[#This Row],[Excel Column - Label Overwrite]],meta_Columns[[#This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1084</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1018</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Overwrite]])&lt;&gt;"",meta_Columns[[#This Row],[Excel Column - Label Overwrite]],meta_Columns[[#This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1085</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1018</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Overwrite]])&lt;&gt;"",meta_Columns[[#This Row],[Excel Column - Label Overwrite]],meta_Columns[[#This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1086</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1018</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Overwrite]])&lt;&gt;"",meta_Columns[[#This Row],[Excel Column - Label Overwrite]],meta_Columns[[#This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1087</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1018</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Overwrite]])&lt;&gt;"",meta_Columns[[#This Row],[Excel Column - Label Overwrite]],meta_Columns[[#This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1088</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1018</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Overwrite]])&lt;&gt;"",meta_Columns[[#This Row],[Excel Column - Label Overwrite]],meta_Columns[[#This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1089</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1018</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Overwrite]])&lt;&gt;"",meta_Columns[[#This Row],[Excel Column - Label Overwrite]],meta_Columns[[#This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1090</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1018</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Overwrite]])&lt;&gt;"",meta_Columns[[#This Row],[Excel Column - Label Overwrite]],meta_Columns[[#This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1091</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1018</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Overwrite]])&lt;&gt;"",meta_Columns[[#This Row],[Excel Column - Label Overwrite]],meta_Columns[[#This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1092</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1018</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Overwrite]])&lt;&gt;"",meta_Columns[[#This Row],[Excel Column - Label Overwrite]],meta_Columns[[#This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1093</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1013</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Overwrite]])&lt;&gt;"",meta_Columns[[#This Row],[Excel Column - Label Overwrite]],meta_Columns[[#This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1094</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1013</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Overwrite]])&lt;&gt;"",meta_Columns[[#This Row],[Excel Column - Label Overwrite]],meta_Columns[[#This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1095</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1013</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999</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Overwrite]])&lt;&gt;"",meta_Columns[[#This Row],[Excel Column - Label Overwrite]],meta_Columns[[#This Row],[Excel Column - Label from Property or Referenced Table]])</f>
        <v>Kind</v>
      </c>
      <c r="BB103" s="43" t="s">
        <v>1484</v>
      </c>
      <c r="BC103" s="44" t="str">
        <f>IF(meta_Columns[[#This Row],[Excel Column - Explicit Excel Formula]]="","",meta_Columns[[#This Row],[Excel Column - Explicit Excel Formula]])</f>
        <v>Formula:= IF( TRIM( [@[Kind:src]] ) = "", "",
        INDEX( meta_Classifiers[Display Qualified], MATCH( [@[Kind:src]], meta_Classifiers[ID], 0 ) ) )</v>
      </c>
      <c r="BD103" s="5" t="s">
        <v>1461</v>
      </c>
      <c r="BE103" s="5"/>
    </row>
    <row r="104" spans="1:57">
      <c r="A104" s="10" t="s">
        <v>1096</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1013</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Overwrite]])&lt;&gt;"",meta_Columns[[#This Row],[Excel Column - Label Overwrite]],meta_Columns[[#This Row],[Excel Column - Label from Property or Referenced Table]])</f>
        <v>Package</v>
      </c>
      <c r="BB104" s="43" t="s">
        <v>1431</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1097</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1013</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Overwrite]])&lt;&gt;"",meta_Columns[[#This Row],[Excel Column - Label Overwrite]],meta_Columns[[#This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1" t="s">
        <v>1491</v>
      </c>
      <c r="B106" s="11"/>
      <c r="C106" s="22" t="str">
        <f xml:space="preserve"> IF( TRIM( meta_Columns[[#This Row],[Kind:src]] ) = "", "",
        INDEX( meta_Classifiers[Display Qualified], MATCH( meta_Columns[[#This Row],[Kind:src]], meta_Classifiers[ID], 0 ) ) )</f>
        <v/>
      </c>
      <c r="D106" s="113" t="str">
        <f>IF(meta_Columns[[#This Row],[Owning Table:src]]="","",INDEX(meta_Classifiers[Package],MATCH(meta_Columns[[#This Row],[Owning Table Instances Class]],meta_Classifiers[ID],0)))</f>
        <v/>
      </c>
      <c r="E106" s="112"/>
      <c r="F106" s="115" t="e">
        <f>INDEX(meta_Tables[Excel Table - Excel Name],MATCH(meta_Columns[[#This Row],[Owning Table:src]],meta_Tables[ID],0))</f>
        <v>#N/A</v>
      </c>
      <c r="G106" s="113"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4" t="str">
        <f xml:space="preserve"> IF( TRIM( meta_Columns[[#This Row],[Property:src]] ) = "", "",
        INDEX( meta_TypedModelElements[Display Qualified], MATCH( meta_Columns[[#This Row],[Property:src]], meta_TypedModelElements[ID], 0 ) ) )</f>
        <v/>
      </c>
      <c r="T106" s="114"/>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5" t="e">
        <f>INDEX(meta_TypedModelElements[Name or Type],MATCH(meta_Columns[[#This Row],[Property]],meta_TypedModelElements[ID],0))</f>
        <v>#N/A</v>
      </c>
      <c r="AM106" s="115" t="e">
        <f>INDEX(meta_TypedModelElements[Property - Changeable],MATCH(meta_Columns[[#This Row],[Property]],meta_TypedModelElements[ID],0))</f>
        <v>#N/A</v>
      </c>
      <c r="AN106" s="112">
        <v>6</v>
      </c>
      <c r="AO106" s="22"/>
      <c r="AP10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4"/>
      <c r="AY106" s="8" t="str">
        <f>meta_Columns[[#This Row],[Owning Table]]&amp;"."&amp;meta_Columns[[#This Row],[Excel Column - Label]]</f>
        <v>._Tables</v>
      </c>
      <c r="AZ106" s="114" t="s">
        <v>1471</v>
      </c>
      <c r="BA106" s="113" t="str">
        <f>IF(TRIM(meta_Columns[[#This Row],[Excel Column - Label Overwrite]])&lt;&gt;"",meta_Columns[[#This Row],[Excel Column - Label Overwrite]],meta_Columns[[#This Row],[Excel Column - Label from Property or Referenced Table]])</f>
        <v>_Tables</v>
      </c>
      <c r="BB106" s="112" t="s">
        <v>1432</v>
      </c>
      <c r="BC106" s="113" t="str">
        <f>IF(meta_Columns[[#This Row],[Excel Column - Explicit Excel Formula]]="","",meta_Columns[[#This Row],[Excel Column - Explicit Excel Formula]])</f>
        <v>Formula:=INDEX(meta_Tables[Excel Table - Excel Name],MATCH([@[Owning Table:src]],meta_Tables[ID],0))</v>
      </c>
      <c r="BD106" s="115"/>
      <c r="BE106" s="116"/>
    </row>
    <row r="107" spans="1:57">
      <c r="A107" s="10" t="s">
        <v>1098</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1013</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Overwrite]])&lt;&gt;"",meta_Columns[[#This Row],[Excel Column - Label Overwrite]],meta_Columns[[#This Row],[Excel Column - Label from Property or Referenced Table]])</f>
        <v>Owning Table Instances Class</v>
      </c>
      <c r="BB107" s="43" t="s">
        <v>1433</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1370</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1013</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988</v>
      </c>
      <c r="BA108" s="8" t="str">
        <f>IF(TRIM(meta_Columns[[#This Row],[Excel Column - Label Overwrite]])&lt;&gt;"",meta_Columns[[#This Row],[Excel Column - Label Overwrite]],meta_Columns[[#This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1099</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1013</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Overwrite]])&lt;&gt;"",meta_Columns[[#This Row],[Excel Column - Label Overwrite]],meta_Columns[[#This Row],[Excel Column - Label from Property or Referenced Table]])</f>
        <v>Owning Table</v>
      </c>
      <c r="BB109" s="43" t="s">
        <v>1492</v>
      </c>
      <c r="BC109" s="44" t="str">
        <f>IF(meta_Columns[[#This Row],[Excel Column - Explicit Excel Formula]]="","",meta_Columns[[#This Row],[Excel Column - Explicit Excel Formula]])</f>
        <v>Formula:=IF(TRIM([@[Owning Table:src]])="","",
    INDEX(meta_Tables[Display Qualified],MATCH([@[Owning Table:src]],meta_Tables[ID],0)))</v>
      </c>
      <c r="BD109" s="5" t="s">
        <v>1462</v>
      </c>
      <c r="BE109" s="5"/>
    </row>
    <row r="110" spans="1:57">
      <c r="A110" s="10" t="s">
        <v>1371</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1013</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990</v>
      </c>
      <c r="BA110" s="8" t="str">
        <f>IF(TRIM(meta_Columns[[#This Row],[Excel Column - Label Overwrite]])&lt;&gt;"",meta_Columns[[#This Row],[Excel Column - Label Overwrite]],meta_Columns[[#This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1100</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1013</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917</v>
      </c>
      <c r="BA111" s="8" t="str">
        <f>IF(TRIM(meta_Columns[[#This Row],[Excel Column - Label Overwrite]])&lt;&gt;"",meta_Columns[[#This Row],[Excel Column - Label Overwrite]],meta_Columns[[#This Row],[Excel Column - Label from Property or Referenced Table]])</f>
        <v>Referenced Table</v>
      </c>
      <c r="BB111" s="43" t="s">
        <v>1493</v>
      </c>
      <c r="BC111" s="44" t="str">
        <f>IF(meta_Columns[[#This Row],[Excel Column - Explicit Excel Formula]]="","",meta_Columns[[#This Row],[Excel Column - Explicit Excel Formula]])</f>
        <v>Formula:=IF(TRIM([@[Referenced Table:src]])="","",
    INDEX(meta_Tables[Display Qualified],MATCH([@[Referenced Table:src]],meta_Tables[ID],0)))</v>
      </c>
      <c r="BD111" s="5" t="s">
        <v>1462</v>
      </c>
      <c r="BE111" s="5"/>
    </row>
    <row r="112" spans="1:57">
      <c r="A112" s="10" t="s">
        <v>1372</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1013</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991</v>
      </c>
      <c r="BA112" s="8" t="str">
        <f>IF(TRIM(meta_Columns[[#This Row],[Excel Column - Label Overwrite]])&lt;&gt;"",meta_Columns[[#This Row],[Excel Column - Label Overwrite]],meta_Columns[[#This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1101</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1013</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920</v>
      </c>
      <c r="BA113" s="8" t="str">
        <f>IF(TRIM(meta_Columns[[#This Row],[Excel Column - Label Overwrite]])&lt;&gt;"",meta_Columns[[#This Row],[Excel Column - Label Overwrite]],meta_Columns[[#This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1463</v>
      </c>
      <c r="BE113" s="5"/>
    </row>
    <row r="114" spans="1:57">
      <c r="A114" s="10" t="s">
        <v>1373</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1013</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Overwrite]])&lt;&gt;"",meta_Columns[[#This Row],[Excel Column - Label Overwrite]],meta_Columns[[#This Row],[Excel Column - Label from Property or Referenced Table]])</f>
        <v>Changeable</v>
      </c>
      <c r="BB114" s="43" t="s">
        <v>1374</v>
      </c>
      <c r="BC114" s="44" t="str">
        <f>IF(meta_Columns[[#This Row],[Excel Column - Explicit Excel Formula]]="","",meta_Columns[[#This Row],[Excel Column - Explicit Excel Formula]])</f>
        <v>Formula:=IF([@[Excel Column - Excel Formula]]="","x","")</v>
      </c>
      <c r="BD114" s="5"/>
      <c r="BE114" s="5"/>
    </row>
    <row r="115" spans="1:57">
      <c r="A115" s="10" t="s">
        <v>1375</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1013</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996</v>
      </c>
      <c r="BA115" s="8" t="str">
        <f>IF(TRIM(meta_Columns[[#This Row],[Excel Column - Label Overwrite]])&lt;&gt;"",meta_Columns[[#This Row],[Excel Column - Label Overwrite]],meta_Columns[[#This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1376</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1013</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997</v>
      </c>
      <c r="BA116" s="8" t="str">
        <f>IF(TRIM(meta_Columns[[#This Row],[Excel Column - Label Overwrite]])&lt;&gt;"",meta_Columns[[#This Row],[Excel Column - Label Overwrite]],meta_Columns[[#This Row],[Excel Column - Label from Property or Referenced Table]])</f>
        <v>Referenced Table Instance Class Name</v>
      </c>
      <c r="BB116" s="43" t="s">
        <v>1377</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1102</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1013</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Overwrite]])&lt;&gt;"",meta_Columns[[#This Row],[Excel Column - Label Overwrite]],meta_Columns[[#This Row],[Excel Column - Label from Property or Referenced Table]])</f>
        <v>Property ID from Column Label</v>
      </c>
      <c r="BB117" s="43" t="s">
        <v>900</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1378</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1013</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992</v>
      </c>
      <c r="BA118" s="8" t="str">
        <f>IF(TRIM(meta_Columns[[#This Row],[Excel Column - Label Overwrite]])&lt;&gt;"",meta_Columns[[#This Row],[Excel Column - Label Overwrite]],meta_Columns[[#This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1103</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1013</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Overwrite]])&lt;&gt;"",meta_Columns[[#This Row],[Excel Column - Label Overwrite]],meta_Columns[[#This Row],[Excel Column - Label from Property or Referenced Table]])</f>
        <v>Property</v>
      </c>
      <c r="BB119" s="43" t="s">
        <v>1494</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1464</v>
      </c>
      <c r="BE119" s="5"/>
    </row>
    <row r="120" spans="1:57">
      <c r="A120" s="10" t="s">
        <v>1104</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1013</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Overwrite]])&lt;&gt;"",meta_Columns[[#This Row],[Excel Column - Label Overwrite]],meta_Columns[[#This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1105</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1013</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Overwrite]])&lt;&gt;"",meta_Columns[[#This Row],[Excel Column - Label Overwrite]],meta_Columns[[#This Row],[Excel Column - Label from Property or Referenced Table]])</f>
        <v>Generalization 6</v>
      </c>
      <c r="BB121" s="43" t="s">
        <v>1495</v>
      </c>
      <c r="BC121" s="44" t="str">
        <f>IF(meta_Columns[[#This Row],[Excel Column - Explicit Excel Formula]]="","",meta_Columns[[#This Row],[Excel Column - Explicit Excel Formula]])</f>
        <v>Formula:=INDEX(#REF!, MATCH([@[Generalization 5]],meta_Classifiers[ID],0))</v>
      </c>
      <c r="BD121" s="5"/>
      <c r="BE121" s="5"/>
    </row>
    <row r="122" spans="1:57">
      <c r="A122" s="10" t="s">
        <v>1106</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1013</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Overwrite]])&lt;&gt;"",meta_Columns[[#This Row],[Excel Column - Label Overwrite]],meta_Columns[[#This Row],[Excel Column - Label from Property or Referenced Table]])</f>
        <v>Generalization 5</v>
      </c>
      <c r="BB122" s="43" t="s">
        <v>1496</v>
      </c>
      <c r="BC122" s="44" t="str">
        <f>IF(meta_Columns[[#This Row],[Excel Column - Explicit Excel Formula]]="","",meta_Columns[[#This Row],[Excel Column - Explicit Excel Formula]])</f>
        <v>Formula:=INDEX(#REF!, MATCH([@[Generalization 4]],meta_Classifiers[ID],0))</v>
      </c>
      <c r="BD122" s="5"/>
      <c r="BE122" s="5"/>
    </row>
    <row r="123" spans="1:57">
      <c r="A123" s="10" t="s">
        <v>1107</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1013</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Overwrite]])&lt;&gt;"",meta_Columns[[#This Row],[Excel Column - Label Overwrite]],meta_Columns[[#This Row],[Excel Column - Label from Property or Referenced Table]])</f>
        <v>Generalization 4</v>
      </c>
      <c r="BB123" s="43" t="s">
        <v>1497</v>
      </c>
      <c r="BC123" s="44" t="str">
        <f>IF(meta_Columns[[#This Row],[Excel Column - Explicit Excel Formula]]="","",meta_Columns[[#This Row],[Excel Column - Explicit Excel Formula]])</f>
        <v>Formula:=INDEX(#REF!, MATCH([@[Generalization 3]],meta_Classifiers[ID],0))</v>
      </c>
      <c r="BD123" s="5"/>
      <c r="BE123" s="5"/>
    </row>
    <row r="124" spans="1:57">
      <c r="A124" s="10" t="s">
        <v>1108</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1013</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Overwrite]])&lt;&gt;"",meta_Columns[[#This Row],[Excel Column - Label Overwrite]],meta_Columns[[#This Row],[Excel Column - Label from Property or Referenced Table]])</f>
        <v>Generalization 3</v>
      </c>
      <c r="BB124" s="43" t="s">
        <v>1498</v>
      </c>
      <c r="BC124" s="44" t="str">
        <f>IF(meta_Columns[[#This Row],[Excel Column - Explicit Excel Formula]]="","",meta_Columns[[#This Row],[Excel Column - Explicit Excel Formula]])</f>
        <v>Formula:=INDEX(#REF!, MATCH([@[Generalization 2]],meta_Classifiers[ID],0))</v>
      </c>
      <c r="BD124" s="5"/>
      <c r="BE124" s="5"/>
    </row>
    <row r="125" spans="1:57">
      <c r="A125" s="10" t="s">
        <v>1109</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1013</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Overwrite]])&lt;&gt;"",meta_Columns[[#This Row],[Excel Column - Label Overwrite]],meta_Columns[[#This Row],[Excel Column - Label from Property or Referenced Table]])</f>
        <v>Generalization 2</v>
      </c>
      <c r="BB125" s="43" t="s">
        <v>1499</v>
      </c>
      <c r="BC125" s="44" t="str">
        <f>IF(meta_Columns[[#This Row],[Excel Column - Explicit Excel Formula]]="","",meta_Columns[[#This Row],[Excel Column - Explicit Excel Formula]])</f>
        <v>Formula:=INDEX(#REF!, MATCH([@[Generalization 1]],meta_Classifiers[ID],0))</v>
      </c>
      <c r="BD125" s="5"/>
      <c r="BE125" s="5"/>
    </row>
    <row r="126" spans="1:57">
      <c r="A126" s="10" t="s">
        <v>1110</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1013</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Overwrite]])&lt;&gt;"",meta_Columns[[#This Row],[Excel Column - Label Overwrite]],meta_Columns[[#This Row],[Excel Column - Label from Property or Referenced Table]])</f>
        <v>Generalization 1</v>
      </c>
      <c r="BB126" s="43" t="s">
        <v>1500</v>
      </c>
      <c r="BC126" s="44" t="str">
        <f>IF(meta_Columns[[#This Row],[Excel Column - Explicit Excel Formula]]="","",meta_Columns[[#This Row],[Excel Column - Explicit Excel Formula]])</f>
        <v>Formula:=INDEX(#REF!, MATCH([@[Owning Table Instances Class]],meta_Classifiers[ID],0))</v>
      </c>
      <c r="BD126" s="5"/>
      <c r="BE126" s="5"/>
    </row>
    <row r="127" spans="1:57">
      <c r="A127" s="10" t="s">
        <v>1111</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1013</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Overwrite]])&lt;&gt;"",meta_Columns[[#This Row],[Excel Column - Label Overwrite]],meta_Columns[[#This Row],[Excel Column - Label from Property or Referenced Table]])</f>
        <v>Property Owning Class is Instance Class or Generalization</v>
      </c>
      <c r="BB127" s="43" t="s">
        <v>901</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1112</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1013</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Overwrite]])&lt;&gt;"",meta_Columns[[#This Row],[Excel Column - Label Overwrite]],meta_Columns[[#This Row],[Excel Column - Label from Property or Referenced Table]])</f>
        <v>Is From Specialization 6</v>
      </c>
      <c r="BB128" s="43" t="s">
        <v>1501</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1113</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1013</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Overwrite]])&lt;&gt;"",meta_Columns[[#This Row],[Excel Column - Label Overwrite]],meta_Columns[[#This Row],[Excel Column - Label from Property or Referenced Table]])</f>
        <v>Is From Specialization 5</v>
      </c>
      <c r="BB129" s="43" t="s">
        <v>1502</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1114</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1013</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Overwrite]])&lt;&gt;"",meta_Columns[[#This Row],[Excel Column - Label Overwrite]],meta_Columns[[#This Row],[Excel Column - Label from Property or Referenced Table]])</f>
        <v>Is From Specialization 4</v>
      </c>
      <c r="BB130" s="43" t="s">
        <v>1503</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1115</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1013</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Overwrite]])&lt;&gt;"",meta_Columns[[#This Row],[Excel Column - Label Overwrite]],meta_Columns[[#This Row],[Excel Column - Label from Property or Referenced Table]])</f>
        <v>Is From Specialization 3</v>
      </c>
      <c r="BB131" s="43" t="s">
        <v>1504</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1116</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1013</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Overwrite]])&lt;&gt;"",meta_Columns[[#This Row],[Excel Column - Label Overwrite]],meta_Columns[[#This Row],[Excel Column - Label from Property or Referenced Table]])</f>
        <v>Is From Specialization 2</v>
      </c>
      <c r="BB132" s="43" t="s">
        <v>1505</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1117</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1013</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Overwrite]])&lt;&gt;"",meta_Columns[[#This Row],[Excel Column - Label Overwrite]],meta_Columns[[#This Row],[Excel Column - Label from Property or Referenced Table]])</f>
        <v>Is From Specialization 1</v>
      </c>
      <c r="BB133" s="43" t="s">
        <v>1506</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1118</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1013</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Overwrite]])&lt;&gt;"",meta_Columns[[#This Row],[Excel Column - Label Overwrite]],meta_Columns[[#This Row],[Excel Column - Label from Property or Referenced Table]])</f>
        <v>Property Owning Class is Specialization of Instance Class</v>
      </c>
      <c r="BB134" s="43" t="s">
        <v>902</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1119</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1013</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Overwrite]])&lt;&gt;"",meta_Columns[[#This Row],[Excel Column - Label Overwrite]],meta_Columns[[#This Row],[Excel Column - Label from Property or Referenced Table]])</f>
        <v>Property Owning Class Name</v>
      </c>
      <c r="BB135" s="43" t="s">
        <v>949</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1120</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1013</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Overwrite]])&lt;&gt;"",meta_Columns[[#This Row],[Excel Column - Label Overwrite]],meta_Columns[[#This Row],[Excel Column - Label from Property or Referenced Table]])</f>
        <v>Property Owning Class</v>
      </c>
      <c r="BB136" s="43" t="s">
        <v>950</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1121</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1013</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Overwrite]])&lt;&gt;"",meta_Columns[[#This Row],[Excel Column - Label Overwrite]],meta_Columns[[#This Row],[Excel Column - Label from Property or Referenced Table]])</f>
        <v>Property Kind</v>
      </c>
      <c r="BB137" s="43" t="s">
        <v>951</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1122</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1013</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Overwrite]])&lt;&gt;"",meta_Columns[[#This Row],[Excel Column - Label Overwrite]],meta_Columns[[#This Row],[Excel Column - Label from Property or Referenced Table]])</f>
        <v>Property Name</v>
      </c>
      <c r="BB138" s="43" t="s">
        <v>903</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1123</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1013</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Overwrite]])&lt;&gt;"",meta_Columns[[#This Row],[Excel Column - Label Overwrite]],meta_Columns[[#This Row],[Excel Column - Label from Property or Referenced Table]])</f>
        <v>Property Changeable</v>
      </c>
      <c r="BB139" s="43" t="s">
        <v>904</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1124</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1013</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Overwrite]])&lt;&gt;"",meta_Columns[[#This Row],[Excel Column - Label Overwrite]],meta_Columns[[#This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1125</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1013</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Overwrite]])&lt;&gt;"",meta_Columns[[#This Row],[Excel Column - Label Overwrite]],meta_Columns[[#This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1379</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1013</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1000</v>
      </c>
      <c r="BA142" s="8" t="str">
        <f>IF(TRIM(meta_Columns[[#This Row],[Excel Column - Label Overwrite]])&lt;&gt;"",meta_Columns[[#This Row],[Excel Column - Label Overwrite]],meta_Columns[[#This Row],[Excel Column - Label from Property or Referenced Table]])</f>
        <v>Excel Column - Label from Property or Referenced Table</v>
      </c>
      <c r="BB142" s="43" t="s">
        <v>1380</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1381</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1013</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995</v>
      </c>
      <c r="BA143" s="8" t="str">
        <f>IF(TRIM(meta_Columns[[#This Row],[Excel Column - Label Overwrite]])&lt;&gt;"",meta_Columns[[#This Row],[Excel Column - Label Overwrite]],meta_Columns[[#This Row],[Excel Column - Label from Property or Referenced Table]])</f>
        <v>Excel Column - Label Subtype Prefix</v>
      </c>
      <c r="BB143" s="43" t="s">
        <v>1382</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1383</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1013</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994</v>
      </c>
      <c r="BA144" s="8" t="str">
        <f>IF(TRIM(meta_Columns[[#This Row],[Excel Column - Label Overwrite]])&lt;&gt;"",meta_Columns[[#This Row],[Excel Column - Label Overwrite]],meta_Columns[[#This Row],[Excel Column - Label from Property or Referenced Table]])</f>
        <v>Excel Column - Label from Property OLD Formula</v>
      </c>
      <c r="BB144" s="43" t="s">
        <v>905</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1126</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1013</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Overwrite]])&lt;&gt;"",meta_Columns[[#This Row],[Excel Column - Label Overwrite]],meta_Columns[[#This Row],[Excel Column - Label from Property or Referenced Table]])</f>
        <v>Excel Column - Label Actual</v>
      </c>
      <c r="BB145" s="43" t="s">
        <v>1507</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1127</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1013</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Overwrite]])&lt;&gt;"",meta_Columns[[#This Row],[Excel Column - Label Overwrite]],meta_Columns[[#This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1128</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1013</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Overwrite]])&lt;&gt;"",meta_Columns[[#This Row],[Excel Column - Label Overwrite]],meta_Columns[[#This Row],[Excel Column - Label from Property or Referenced Table]])</f>
        <v>Display Qualified</v>
      </c>
      <c r="BB147" s="43" t="s">
        <v>1508</v>
      </c>
      <c r="BC147" s="44" t="str">
        <f>IF(meta_Columns[[#This Row],[Excel Column - Explicit Excel Formula]]="","",meta_Columns[[#This Row],[Excel Column - Explicit Excel Formula]])</f>
        <v>Formula:=[@[Owning Table]]&amp;"."&amp;[@[Excel Column - Label]]</v>
      </c>
      <c r="BD147" s="5"/>
      <c r="BE147" s="5"/>
    </row>
    <row r="148" spans="1:57">
      <c r="A148" s="10" t="s">
        <v>1129</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1013</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Overwrite]])&lt;&gt;"",meta_Columns[[#This Row],[Excel Column - Label Overwrite]],meta_Columns[[#This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1130</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1013</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Overwrite]])&lt;&gt;"",meta_Columns[[#This Row],[Excel Column - Label Overwrite]],meta_Columns[[#This Row],[Excel Column - Label from Property or Referenced Table]])</f>
        <v>Excel Column - Label</v>
      </c>
      <c r="BB149" s="43" t="s">
        <v>1384</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1131</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1013</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865</v>
      </c>
      <c r="BA150" s="8" t="str">
        <f>IF(TRIM(meta_Columns[[#This Row],[Excel Column - Label Overwrite]])&lt;&gt;"",meta_Columns[[#This Row],[Excel Column - Label Overwrite]],meta_Columns[[#This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1132</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1013</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Overwrite]])&lt;&gt;"",meta_Columns[[#This Row],[Excel Column - Label Overwrite]],meta_Columns[[#This Row],[Excel Column - Label from Property or Referenced Table]])</f>
        <v>Excel Column - Excel Formula</v>
      </c>
      <c r="BB151" s="43" t="s">
        <v>1385</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1465</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1013</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1460</v>
      </c>
      <c r="BA152" s="8" t="str">
        <f>IF(TRIM(meta_Columns[[#This Row],[Excel Column - Label Overwrite]])&lt;&gt;"",meta_Columns[[#This Row],[Excel Column - Label Overwrite]],meta_Columns[[#This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1" t="s">
        <v>1509</v>
      </c>
      <c r="B153" s="5"/>
      <c r="C153" s="22" t="str">
        <f xml:space="preserve"> IF( TRIM( meta_Columns[[#This Row],[Kind:src]] ) = "", "",
        INDEX( meta_Classifiers[Display Qualified], MATCH( meta_Columns[[#This Row],[Kind:src]], meta_Classifiers[ID], 0 ) ) )</f>
        <v/>
      </c>
      <c r="D153" s="113" t="str">
        <f>IF(meta_Columns[[#This Row],[Owning Table:src]]="","",INDEX(meta_Classifiers[Package],MATCH(meta_Columns[[#This Row],[Owning Table Instances Class]],meta_Classifiers[ID],0)))</f>
        <v/>
      </c>
      <c r="E153" s="112"/>
      <c r="F153" s="115" t="e">
        <f>INDEX(meta_Tables[Excel Table - Excel Name],MATCH(meta_Columns[[#This Row],[Owning Table:src]],meta_Tables[ID],0))</f>
        <v>#N/A</v>
      </c>
      <c r="G153" s="113"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4" t="str">
        <f xml:space="preserve"> IF( TRIM( meta_Columns[[#This Row],[Property:src]] ) = "", "",
        INDEX( meta_TypedModelElements[Display Qualified], MATCH( meta_Columns[[#This Row],[Property:src]], meta_TypedModelElements[ID], 0 ) ) )</f>
        <v/>
      </c>
      <c r="T153" s="114"/>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5" t="e">
        <f>INDEX(meta_TypedModelElements[Name or Type],MATCH(meta_Columns[[#This Row],[Property]],meta_TypedModelElements[ID],0))</f>
        <v>#N/A</v>
      </c>
      <c r="AM153" s="115" t="e">
        <f>INDEX(meta_TypedModelElements[Property - Changeable],MATCH(meta_Columns[[#This Row],[Property]],meta_TypedModelElements[ID],0))</f>
        <v>#N/A</v>
      </c>
      <c r="AN153" s="112">
        <v>53</v>
      </c>
      <c r="AO153" s="22">
        <v>17</v>
      </c>
      <c r="AP153"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4"/>
      <c r="AY153" s="8" t="str">
        <f>meta_Columns[[#This Row],[Owning Table]]&amp;"."&amp;meta_Columns[[#This Row],[Excel Column - Label]]</f>
        <v>.Excel Column - String Type</v>
      </c>
      <c r="AZ153" s="114" t="s">
        <v>1472</v>
      </c>
      <c r="BA153" s="115" t="str">
        <f>IF(TRIM(meta_Columns[[#This Row],[Excel Column - Label Overwrite]])&lt;&gt;"",meta_Columns[[#This Row],[Excel Column - Label Overwrite]],meta_Columns[[#This Row],[Excel Column - Label from Property or Referenced Table]])</f>
        <v>Excel Column - String Type</v>
      </c>
      <c r="BB153" s="112"/>
      <c r="BC153" s="113" t="str">
        <f>IF(meta_Columns[[#This Row],[Excel Column - Explicit Excel Formula]]="","",meta_Columns[[#This Row],[Excel Column - Explicit Excel Formula]])</f>
        <v/>
      </c>
      <c r="BD153" s="116"/>
      <c r="BE153" s="116"/>
    </row>
    <row r="154" spans="1:57">
      <c r="A154" s="10" t="s">
        <v>1133</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1016</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Overwrite]])&lt;&gt;"",meta_Columns[[#This Row],[Excel Column - Label Overwrite]],meta_Columns[[#This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1134</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1016</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Overwrite]])&lt;&gt;"",meta_Columns[[#This Row],[Excel Column - Label Overwrite]],meta_Columns[[#This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1135</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1016</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Overwrite]])&lt;&gt;"",meta_Columns[[#This Row],[Excel Column - Label Overwrite]],meta_Columns[[#This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1136</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1016</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Overwrite]])&lt;&gt;"",meta_Columns[[#This Row],[Excel Column - Label Overwrite]],meta_Columns[[#This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1137</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1016</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Overwrite]])&lt;&gt;"",meta_Columns[[#This Row],[Excel Column - Label Overwrite]],meta_Columns[[#This Row],[Excel Column - Label from Property or Referenced Table]])</f>
        <v>File Name</v>
      </c>
      <c r="BB158" s="43" t="s">
        <v>872</v>
      </c>
      <c r="BC158" s="44" t="str">
        <f>IF(meta_Columns[[#This Row],[Excel Column - Explicit Excel Formula]]="","",meta_Columns[[#This Row],[Excel Column - Explicit Excel Formula]])</f>
        <v>Formula:=[@[Date Tag]]&amp;"_"&amp;[@Name]&amp;"_"&amp;[@Version]&amp;".xlsm"</v>
      </c>
      <c r="BD158" s="5"/>
      <c r="BE158" s="5"/>
    </row>
    <row r="159" spans="1:57">
      <c r="A159" s="10" t="s">
        <v>1138</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1016</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Overwrite]])&lt;&gt;"",meta_Columns[[#This Row],[Excel Column - Label Overwrite]],meta_Columns[[#This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1139</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1016</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Overwrite]])&lt;&gt;"",meta_Columns[[#This Row],[Excel Column - Label Overwrite]],meta_Columns[[#This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1140</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1016</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Overwrite]])&lt;&gt;"",meta_Columns[[#This Row],[Excel Column - Label Overwrite]],meta_Columns[[#This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1141</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1016</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Overwrite]])&lt;&gt;"",meta_Columns[[#This Row],[Excel Column - Label Overwrite]],meta_Columns[[#This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1142</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1016</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Overwrite]])&lt;&gt;"",meta_Columns[[#This Row],[Excel Column - Label Overwrite]],meta_Columns[[#This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1143</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1015</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Overwrite]])&lt;&gt;"",meta_Columns[[#This Row],[Excel Column - Label Overwrite]],meta_Columns[[#This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1844</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1015</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Overwrite]])&lt;&gt;"",meta_Columns[[#This Row],[Excel Column - Label Overwrite]],meta_Columns[[#This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1144</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1015</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Overwrite]])&lt;&gt;"",meta_Columns[[#This Row],[Excel Column - Label Overwrite]],meta_Columns[[#This Row],[Excel Column - Label from Property or Referenced Table]])</f>
        <v>Kind</v>
      </c>
      <c r="BB166" s="43"/>
      <c r="BC166" s="44" t="str">
        <f>IF(meta_Columns[[#This Row],[Excel Column - Explicit Excel Formula]]="","",meta_Columns[[#This Row],[Excel Column - Explicit Excel Formula]])</f>
        <v/>
      </c>
      <c r="BD166" s="5" t="s">
        <v>1461</v>
      </c>
      <c r="BE166" s="5"/>
    </row>
    <row r="167" spans="1:57">
      <c r="A167" s="10" t="s">
        <v>1145</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1015</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Overwrite]])&lt;&gt;"",meta_Columns[[#This Row],[Excel Column - Label Overwrite]],meta_Columns[[#This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1146</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1015</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Overwrite]])&lt;&gt;"",meta_Columns[[#This Row],[Excel Column - Label Overwrite]],meta_Columns[[#This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1147</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1015</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Overwrite]])&lt;&gt;"",meta_Columns[[#This Row],[Excel Column - Label Overwrite]],meta_Columns[[#This Row],[Excel Column - Label from Property or Referenced Table]])</f>
        <v>Display:q</v>
      </c>
      <c r="BB169" s="43" t="s">
        <v>873</v>
      </c>
      <c r="BC169" s="44" t="str">
        <f>IF(meta_Columns[[#This Row],[Excel Column - Explicit Excel Formula]]="","",meta_Columns[[#This Row],[Excel Column - Explicit Excel Formula]])</f>
        <v>Formula:=IF(TRIM([@Package])="","",TRIM(LOWER([@Package]))&amp;"::")&amp;[@Display]</v>
      </c>
      <c r="BD169" s="5"/>
      <c r="BE169" s="5"/>
    </row>
    <row r="170" spans="1:57">
      <c r="A170" s="10" t="s">
        <v>1148</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1015</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Overwrite]])&lt;&gt;"",meta_Columns[[#This Row],[Excel Column - Label Overwrite]],meta_Columns[[#This Row],[Excel Column - Label from Property or Referenced Table]])</f>
        <v>Display</v>
      </c>
      <c r="BB170" s="43" t="s">
        <v>878</v>
      </c>
      <c r="BC170" s="44" t="str">
        <f>IF(meta_Columns[[#This Row],[Excel Column - Explicit Excel Formula]]="","",meta_Columns[[#This Row],[Excel Column - Explicit Excel Formula]])</f>
        <v>Formula:=TRIM(SUBSTITUTE([@Name]," ",""))</v>
      </c>
      <c r="BD170" s="5"/>
      <c r="BE170" s="5"/>
    </row>
    <row r="171" spans="1:57">
      <c r="A171" s="10" t="s">
        <v>1149</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1015</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Overwrite]])&lt;&gt;"",meta_Columns[[#This Row],[Excel Column - Label Overwrite]],meta_Columns[[#This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1150</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1015</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Overwrite]])&lt;&gt;"",meta_Columns[[#This Row],[Excel Column - Label Overwrite]],meta_Columns[[#This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1151</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1015</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Overwrite]])&lt;&gt;"",meta_Columns[[#This Row],[Excel Column - Label Overwrite]],meta_Columns[[#This Row],[Excel Column - Label from Property or Referenced Table]])</f>
        <v>Parent</v>
      </c>
      <c r="BB173" s="43" t="s">
        <v>879</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1" t="s">
        <v>1510</v>
      </c>
      <c r="B174" s="5"/>
      <c r="C174" s="22" t="str">
        <f xml:space="preserve"> IF( TRIM( meta_Columns[[#This Row],[Kind:src]] ) = "", "",
        INDEX( meta_Classifiers[Display Qualified], MATCH( meta_Columns[[#This Row],[Kind:src]], meta_Classifiers[ID], 0 ) ) )</f>
        <v/>
      </c>
      <c r="D174" s="113" t="str">
        <f>IF(meta_Columns[[#This Row],[Owning Table:src]]="","",INDEX(meta_Classifiers[Package],MATCH(meta_Columns[[#This Row],[Owning Table Instances Class]],meta_Classifiers[ID],0)))</f>
        <v/>
      </c>
      <c r="E174" s="112"/>
      <c r="F174" s="115" t="e">
        <f>INDEX(meta_Tables[Excel Table - Excel Name],MATCH(meta_Columns[[#This Row],[Owning Table:src]],meta_Tables[ID],0))</f>
        <v>#N/A</v>
      </c>
      <c r="G174" s="113"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4" t="str">
        <f xml:space="preserve"> IF( TRIM( meta_Columns[[#This Row],[Property:src]] ) = "", "",
        INDEX( meta_TypedModelElements[Display Qualified], MATCH( meta_Columns[[#This Row],[Property:src]], meta_TypedModelElements[ID], 0 ) ) )</f>
        <v/>
      </c>
      <c r="T174" s="114"/>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5" t="e">
        <f>INDEX(meta_TypedModelElements[Name or Type],MATCH(meta_Columns[[#This Row],[Property]],meta_TypedModelElements[ID],0))</f>
        <v>#N/A</v>
      </c>
      <c r="AM174" s="115" t="e">
        <f>INDEX(meta_TypedModelElements[Property - Changeable],MATCH(meta_Columns[[#This Row],[Property]],meta_TypedModelElements[ID],0))</f>
        <v>#N/A</v>
      </c>
      <c r="AN174" s="112">
        <v>1</v>
      </c>
      <c r="AO174" s="22">
        <v>1</v>
      </c>
      <c r="AP174"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4"/>
      <c r="AY174" s="8" t="str">
        <f>meta_Columns[[#This Row],[Owning Table]]&amp;"."&amp;meta_Columns[[#This Row],[Excel Column - Label]]</f>
        <v>.ID</v>
      </c>
      <c r="AZ174" s="114" t="s">
        <v>0</v>
      </c>
      <c r="BA174" s="115" t="str">
        <f>IF(TRIM(meta_Columns[[#This Row],[Excel Column - Label Overwrite]])&lt;&gt;"",meta_Columns[[#This Row],[Excel Column - Label Overwrite]],meta_Columns[[#This Row],[Excel Column - Label from Property or Referenced Table]])</f>
        <v>ID</v>
      </c>
      <c r="BB174" s="112"/>
      <c r="BC174" s="113" t="str">
        <f>IF(meta_Columns[[#This Row],[Excel Column - Explicit Excel Formula]]="","",meta_Columns[[#This Row],[Excel Column - Explicit Excel Formula]])</f>
        <v/>
      </c>
      <c r="BD174" s="116"/>
      <c r="BE174" s="116"/>
    </row>
    <row r="175" spans="1:57">
      <c r="A175" s="111" t="s">
        <v>1511</v>
      </c>
      <c r="B175" s="5"/>
      <c r="C175" s="22" t="str">
        <f xml:space="preserve"> IF( TRIM( meta_Columns[[#This Row],[Kind:src]] ) = "", "",
        INDEX( meta_Classifiers[Display Qualified], MATCH( meta_Columns[[#This Row],[Kind:src]], meta_Classifiers[ID], 0 ) ) )</f>
        <v/>
      </c>
      <c r="D175" s="113" t="str">
        <f>IF(meta_Columns[[#This Row],[Owning Table:src]]="","",INDEX(meta_Classifiers[Package],MATCH(meta_Columns[[#This Row],[Owning Table Instances Class]],meta_Classifiers[ID],0)))</f>
        <v/>
      </c>
      <c r="E175" s="112"/>
      <c r="F175" s="115" t="e">
        <f>INDEX(meta_Tables[Excel Table - Excel Name],MATCH(meta_Columns[[#This Row],[Owning Table:src]],meta_Tables[ID],0))</f>
        <v>#N/A</v>
      </c>
      <c r="G175" s="113"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4" t="str">
        <f xml:space="preserve"> IF( TRIM( meta_Columns[[#This Row],[Property:src]] ) = "", "",
        INDEX( meta_TypedModelElements[Display Qualified], MATCH( meta_Columns[[#This Row],[Property:src]], meta_TypedModelElements[ID], 0 ) ) )</f>
        <v/>
      </c>
      <c r="T175" s="114"/>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5" t="e">
        <f>INDEX(meta_TypedModelElements[Name or Type],MATCH(meta_Columns[[#This Row],[Property]],meta_TypedModelElements[ID],0))</f>
        <v>#N/A</v>
      </c>
      <c r="AM175" s="115" t="e">
        <f>INDEX(meta_TypedModelElements[Property - Changeable],MATCH(meta_Columns[[#This Row],[Property]],meta_TypedModelElements[ID],0))</f>
        <v>#N/A</v>
      </c>
      <c r="AN175" s="112">
        <v>2</v>
      </c>
      <c r="AO175" s="22">
        <v>2</v>
      </c>
      <c r="AP175"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4"/>
      <c r="AY175" s="8" t="str">
        <f>meta_Columns[[#This Row],[Owning Table]]&amp;"."&amp;meta_Columns[[#This Row],[Excel Column - Label]]</f>
        <v>.String</v>
      </c>
      <c r="AZ175" s="114" t="s">
        <v>18</v>
      </c>
      <c r="BA175" s="115" t="str">
        <f>IF(TRIM(meta_Columns[[#This Row],[Excel Column - Label Overwrite]])&lt;&gt;"",meta_Columns[[#This Row],[Excel Column - Label Overwrite]],meta_Columns[[#This Row],[Excel Column - Label from Property or Referenced Table]])</f>
        <v>String</v>
      </c>
      <c r="BB175" s="112"/>
      <c r="BC175" s="113" t="str">
        <f>IF(meta_Columns[[#This Row],[Excel Column - Explicit Excel Formula]]="","",meta_Columns[[#This Row],[Excel Column - Explicit Excel Formula]])</f>
        <v/>
      </c>
      <c r="BD175" s="116"/>
      <c r="BE175" s="116"/>
    </row>
    <row r="176" spans="1:57">
      <c r="A176" s="111" t="s">
        <v>1512</v>
      </c>
      <c r="B176" s="5"/>
      <c r="C176" s="22" t="str">
        <f xml:space="preserve"> IF( TRIM( meta_Columns[[#This Row],[Kind:src]] ) = "", "",
        INDEX( meta_Classifiers[Display Qualified], MATCH( meta_Columns[[#This Row],[Kind:src]], meta_Classifiers[ID], 0 ) ) )</f>
        <v/>
      </c>
      <c r="D176" s="113" t="str">
        <f>IF(meta_Columns[[#This Row],[Owning Table:src]]="","",INDEX(meta_Classifiers[Package],MATCH(meta_Columns[[#This Row],[Owning Table Instances Class]],meta_Classifiers[ID],0)))</f>
        <v/>
      </c>
      <c r="E176" s="112"/>
      <c r="F176" s="115" t="e">
        <f>INDEX(meta_Tables[Excel Table - Excel Name],MATCH(meta_Columns[[#This Row],[Owning Table:src]],meta_Tables[ID],0))</f>
        <v>#N/A</v>
      </c>
      <c r="G176" s="113"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4" t="str">
        <f xml:space="preserve"> IF( TRIM( meta_Columns[[#This Row],[Property:src]] ) = "", "",
        INDEX( meta_TypedModelElements[Display Qualified], MATCH( meta_Columns[[#This Row],[Property:src]], meta_TypedModelElements[ID], 0 ) ) )</f>
        <v/>
      </c>
      <c r="T176" s="114"/>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5" t="e">
        <f>INDEX(meta_TypedModelElements[Name or Type],MATCH(meta_Columns[[#This Row],[Property]],meta_TypedModelElements[ID],0))</f>
        <v>#N/A</v>
      </c>
      <c r="AM176" s="115" t="e">
        <f>INDEX(meta_TypedModelElements[Property - Changeable],MATCH(meta_Columns[[#This Row],[Property]],meta_TypedModelElements[ID],0))</f>
        <v>#N/A</v>
      </c>
      <c r="AN176" s="112">
        <v>3</v>
      </c>
      <c r="AO176" s="22">
        <v>3</v>
      </c>
      <c r="AP17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4"/>
      <c r="AY176" s="8" t="str">
        <f>meta_Columns[[#This Row],[Owning Table]]&amp;"."&amp;meta_Columns[[#This Row],[Excel Column - Label]]</f>
        <v>.Business</v>
      </c>
      <c r="AZ176" s="114" t="s">
        <v>1473</v>
      </c>
      <c r="BA176" s="115" t="str">
        <f>IF(TRIM(meta_Columns[[#This Row],[Excel Column - Label Overwrite]])&lt;&gt;"",meta_Columns[[#This Row],[Excel Column - Label Overwrite]],meta_Columns[[#This Row],[Excel Column - Label from Property or Referenced Table]])</f>
        <v>Business</v>
      </c>
      <c r="BB176" s="112"/>
      <c r="BC176" s="113" t="str">
        <f>IF(meta_Columns[[#This Row],[Excel Column - Explicit Excel Formula]]="","",meta_Columns[[#This Row],[Excel Column - Explicit Excel Formula]])</f>
        <v/>
      </c>
      <c r="BD176" s="116"/>
      <c r="BE176" s="116"/>
    </row>
    <row r="177" spans="1:57">
      <c r="A177" s="111" t="s">
        <v>1513</v>
      </c>
      <c r="B177" s="5"/>
      <c r="C177" s="22" t="str">
        <f xml:space="preserve"> IF( TRIM( meta_Columns[[#This Row],[Kind:src]] ) = "", "",
        INDEX( meta_Classifiers[Display Qualified], MATCH( meta_Columns[[#This Row],[Kind:src]], meta_Classifiers[ID], 0 ) ) )</f>
        <v/>
      </c>
      <c r="D177" s="113" t="str">
        <f>IF(meta_Columns[[#This Row],[Owning Table:src]]="","",INDEX(meta_Classifiers[Package],MATCH(meta_Columns[[#This Row],[Owning Table Instances Class]],meta_Classifiers[ID],0)))</f>
        <v/>
      </c>
      <c r="E177" s="112"/>
      <c r="F177" s="115" t="e">
        <f>INDEX(meta_Tables[Excel Table - Excel Name],MATCH(meta_Columns[[#This Row],[Owning Table:src]],meta_Tables[ID],0))</f>
        <v>#N/A</v>
      </c>
      <c r="G177" s="113"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4" t="str">
        <f xml:space="preserve"> IF( TRIM( meta_Columns[[#This Row],[Property:src]] ) = "", "",
        INDEX( meta_TypedModelElements[Display Qualified], MATCH( meta_Columns[[#This Row],[Property:src]], meta_TypedModelElements[ID], 0 ) ) )</f>
        <v/>
      </c>
      <c r="T177" s="114"/>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5" t="e">
        <f>INDEX(meta_TypedModelElements[Name or Type],MATCH(meta_Columns[[#This Row],[Property]],meta_TypedModelElements[ID],0))</f>
        <v>#N/A</v>
      </c>
      <c r="AM177" s="115" t="e">
        <f>INDEX(meta_TypedModelElements[Property - Changeable],MATCH(meta_Columns[[#This Row],[Property]],meta_TypedModelElements[ID],0))</f>
        <v>#N/A</v>
      </c>
      <c r="AN177" s="112">
        <v>4</v>
      </c>
      <c r="AO177" s="22">
        <v>4</v>
      </c>
      <c r="AP177"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4"/>
      <c r="AY177" s="8" t="str">
        <f>meta_Columns[[#This Row],[Owning Table]]&amp;"."&amp;meta_Columns[[#This Row],[Excel Column - Label]]</f>
        <v>.Camel Upper</v>
      </c>
      <c r="AZ177" s="114" t="s">
        <v>1474</v>
      </c>
      <c r="BA177" s="115" t="str">
        <f>IF(TRIM(meta_Columns[[#This Row],[Excel Column - Label Overwrite]])&lt;&gt;"",meta_Columns[[#This Row],[Excel Column - Label Overwrite]],meta_Columns[[#This Row],[Excel Column - Label from Property or Referenced Table]])</f>
        <v>Camel Upper</v>
      </c>
      <c r="BB177" s="112"/>
      <c r="BC177" s="113" t="str">
        <f>IF(meta_Columns[[#This Row],[Excel Column - Explicit Excel Formula]]="","",meta_Columns[[#This Row],[Excel Column - Explicit Excel Formula]])</f>
        <v/>
      </c>
      <c r="BD177" s="116"/>
      <c r="BE177" s="116"/>
    </row>
    <row r="178" spans="1:57">
      <c r="A178" s="111" t="s">
        <v>1514</v>
      </c>
      <c r="B178" s="5"/>
      <c r="C178" s="22" t="str">
        <f xml:space="preserve"> IF( TRIM( meta_Columns[[#This Row],[Kind:src]] ) = "", "",
        INDEX( meta_Classifiers[Display Qualified], MATCH( meta_Columns[[#This Row],[Kind:src]], meta_Classifiers[ID], 0 ) ) )</f>
        <v/>
      </c>
      <c r="D178" s="113" t="str">
        <f>IF(meta_Columns[[#This Row],[Owning Table:src]]="","",INDEX(meta_Classifiers[Package],MATCH(meta_Columns[[#This Row],[Owning Table Instances Class]],meta_Classifiers[ID],0)))</f>
        <v/>
      </c>
      <c r="E178" s="112"/>
      <c r="F178" s="115" t="e">
        <f>INDEX(meta_Tables[Excel Table - Excel Name],MATCH(meta_Columns[[#This Row],[Owning Table:src]],meta_Tables[ID],0))</f>
        <v>#N/A</v>
      </c>
      <c r="G178" s="113"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4" t="str">
        <f xml:space="preserve"> IF( TRIM( meta_Columns[[#This Row],[Property:src]] ) = "", "",
        INDEX( meta_TypedModelElements[Display Qualified], MATCH( meta_Columns[[#This Row],[Property:src]], meta_TypedModelElements[ID], 0 ) ) )</f>
        <v/>
      </c>
      <c r="T178" s="114"/>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5" t="e">
        <f>INDEX(meta_TypedModelElements[Name or Type],MATCH(meta_Columns[[#This Row],[Property]],meta_TypedModelElements[ID],0))</f>
        <v>#N/A</v>
      </c>
      <c r="AM178" s="115" t="e">
        <f>INDEX(meta_TypedModelElements[Property - Changeable],MATCH(meta_Columns[[#This Row],[Property]],meta_TypedModelElements[ID],0))</f>
        <v>#N/A</v>
      </c>
      <c r="AN178" s="112">
        <v>5</v>
      </c>
      <c r="AO178" s="22">
        <v>5</v>
      </c>
      <c r="AP178"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4"/>
      <c r="AY178" s="8" t="str">
        <f>meta_Columns[[#This Row],[Owning Table]]&amp;"."&amp;meta_Columns[[#This Row],[Excel Column - Label]]</f>
        <v>.Camel Lower</v>
      </c>
      <c r="AZ178" s="114" t="s">
        <v>1475</v>
      </c>
      <c r="BA178" s="115" t="str">
        <f>IF(TRIM(meta_Columns[[#This Row],[Excel Column - Label Overwrite]])&lt;&gt;"",meta_Columns[[#This Row],[Excel Column - Label Overwrite]],meta_Columns[[#This Row],[Excel Column - Label from Property or Referenced Table]])</f>
        <v>Camel Lower</v>
      </c>
      <c r="BB178" s="112"/>
      <c r="BC178" s="113" t="str">
        <f>IF(meta_Columns[[#This Row],[Excel Column - Explicit Excel Formula]]="","",meta_Columns[[#This Row],[Excel Column - Explicit Excel Formula]])</f>
        <v/>
      </c>
      <c r="BD178" s="116"/>
      <c r="BE178" s="116"/>
    </row>
    <row r="179" spans="1:57">
      <c r="A179" s="111" t="s">
        <v>1515</v>
      </c>
      <c r="B179" s="5"/>
      <c r="C179" s="22" t="str">
        <f xml:space="preserve"> IF( TRIM( meta_Columns[[#This Row],[Kind:src]] ) = "", "",
        INDEX( meta_Classifiers[Display Qualified], MATCH( meta_Columns[[#This Row],[Kind:src]], meta_Classifiers[ID], 0 ) ) )</f>
        <v/>
      </c>
      <c r="D179" s="113" t="str">
        <f>IF(meta_Columns[[#This Row],[Owning Table:src]]="","",INDEX(meta_Classifiers[Package],MATCH(meta_Columns[[#This Row],[Owning Table Instances Class]],meta_Classifiers[ID],0)))</f>
        <v/>
      </c>
      <c r="E179" s="112"/>
      <c r="F179" s="115" t="e">
        <f>INDEX(meta_Tables[Excel Table - Excel Name],MATCH(meta_Columns[[#This Row],[Owning Table:src]],meta_Tables[ID],0))</f>
        <v>#N/A</v>
      </c>
      <c r="G179" s="113"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4" t="str">
        <f xml:space="preserve"> IF( TRIM( meta_Columns[[#This Row],[Property:src]] ) = "", "",
        INDEX( meta_TypedModelElements[Display Qualified], MATCH( meta_Columns[[#This Row],[Property:src]], meta_TypedModelElements[ID], 0 ) ) )</f>
        <v/>
      </c>
      <c r="T179" s="114"/>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5" t="e">
        <f>INDEX(meta_TypedModelElements[Name or Type],MATCH(meta_Columns[[#This Row],[Property]],meta_TypedModelElements[ID],0))</f>
        <v>#N/A</v>
      </c>
      <c r="AM179" s="115" t="e">
        <f>INDEX(meta_TypedModelElements[Property - Changeable],MATCH(meta_Columns[[#This Row],[Property]],meta_TypedModelElements[ID],0))</f>
        <v>#N/A</v>
      </c>
      <c r="AN179" s="112">
        <v>6</v>
      </c>
      <c r="AO179" s="22">
        <v>6</v>
      </c>
      <c r="AP179"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4"/>
      <c r="AY179" s="8" t="str">
        <f>meta_Columns[[#This Row],[Owning Table]]&amp;"."&amp;meta_Columns[[#This Row],[Excel Column - Label]]</f>
        <v>.Business from Camel</v>
      </c>
      <c r="AZ179" s="114" t="s">
        <v>1476</v>
      </c>
      <c r="BA179" s="115" t="str">
        <f>IF(TRIM(meta_Columns[[#This Row],[Excel Column - Label Overwrite]])&lt;&gt;"",meta_Columns[[#This Row],[Excel Column - Label Overwrite]],meta_Columns[[#This Row],[Excel Column - Label from Property or Referenced Table]])</f>
        <v>Business from Camel</v>
      </c>
      <c r="BB179" s="112"/>
      <c r="BC179" s="113" t="str">
        <f>IF(meta_Columns[[#This Row],[Excel Column - Explicit Excel Formula]]="","",meta_Columns[[#This Row],[Excel Column - Explicit Excel Formula]])</f>
        <v/>
      </c>
      <c r="BD179" s="116"/>
      <c r="BE179" s="116"/>
    </row>
    <row r="180" spans="1:57">
      <c r="A180" s="111" t="s">
        <v>1516</v>
      </c>
      <c r="B180" s="5"/>
      <c r="C180" s="22" t="str">
        <f xml:space="preserve"> IF( TRIM( meta_Columns[[#This Row],[Kind:src]] ) = "", "",
        INDEX( meta_Classifiers[Display Qualified], MATCH( meta_Columns[[#This Row],[Kind:src]], meta_Classifiers[ID], 0 ) ) )</f>
        <v/>
      </c>
      <c r="D180" s="113" t="str">
        <f>IF(meta_Columns[[#This Row],[Owning Table:src]]="","",INDEX(meta_Classifiers[Package],MATCH(meta_Columns[[#This Row],[Owning Table Instances Class]],meta_Classifiers[ID],0)))</f>
        <v/>
      </c>
      <c r="E180" s="112"/>
      <c r="F180" s="115" t="e">
        <f>INDEX(meta_Tables[Excel Table - Excel Name],MATCH(meta_Columns[[#This Row],[Owning Table:src]],meta_Tables[ID],0))</f>
        <v>#N/A</v>
      </c>
      <c r="G180" s="113"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4" t="str">
        <f xml:space="preserve"> IF( TRIM( meta_Columns[[#This Row],[Property:src]] ) = "", "",
        INDEX( meta_TypedModelElements[Display Qualified], MATCH( meta_Columns[[#This Row],[Property:src]], meta_TypedModelElements[ID], 0 ) ) )</f>
        <v/>
      </c>
      <c r="T180" s="114"/>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5" t="e">
        <f>INDEX(meta_TypedModelElements[Name or Type],MATCH(meta_Columns[[#This Row],[Property]],meta_TypedModelElements[ID],0))</f>
        <v>#N/A</v>
      </c>
      <c r="AM180" s="115" t="e">
        <f>INDEX(meta_TypedModelElements[Property - Changeable],MATCH(meta_Columns[[#This Row],[Property]],meta_TypedModelElements[ID],0))</f>
        <v>#N/A</v>
      </c>
      <c r="AN180" s="112">
        <v>7</v>
      </c>
      <c r="AO180" s="22">
        <v>7</v>
      </c>
      <c r="AP180"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4"/>
      <c r="AY180" s="8" t="str">
        <f>meta_Columns[[#This Row],[Owning Table]]&amp;"."&amp;meta_Columns[[#This Row],[Excel Column - Label]]</f>
        <v>.Camel Upper from Business</v>
      </c>
      <c r="AZ180" s="114" t="s">
        <v>1477</v>
      </c>
      <c r="BA180" s="115" t="str">
        <f>IF(TRIM(meta_Columns[[#This Row],[Excel Column - Label Overwrite]])&lt;&gt;"",meta_Columns[[#This Row],[Excel Column - Label Overwrite]],meta_Columns[[#This Row],[Excel Column - Label from Property or Referenced Table]])</f>
        <v>Camel Upper from Business</v>
      </c>
      <c r="BB180" s="112"/>
      <c r="BC180" s="113" t="str">
        <f>IF(meta_Columns[[#This Row],[Excel Column - Explicit Excel Formula]]="","",meta_Columns[[#This Row],[Excel Column - Explicit Excel Formula]])</f>
        <v/>
      </c>
      <c r="BD180" s="116"/>
      <c r="BE180" s="116"/>
    </row>
    <row r="181" spans="1:57">
      <c r="A181" s="111" t="s">
        <v>1517</v>
      </c>
      <c r="B181" s="5"/>
      <c r="C181" s="22" t="str">
        <f xml:space="preserve"> IF( TRIM( meta_Columns[[#This Row],[Kind:src]] ) = "", "",
        INDEX( meta_Classifiers[Display Qualified], MATCH( meta_Columns[[#This Row],[Kind:src]], meta_Classifiers[ID], 0 ) ) )</f>
        <v/>
      </c>
      <c r="D181" s="113" t="str">
        <f>IF(meta_Columns[[#This Row],[Owning Table:src]]="","",INDEX(meta_Classifiers[Package],MATCH(meta_Columns[[#This Row],[Owning Table Instances Class]],meta_Classifiers[ID],0)))</f>
        <v/>
      </c>
      <c r="E181" s="112"/>
      <c r="F181" s="115" t="e">
        <f>INDEX(meta_Tables[Excel Table - Excel Name],MATCH(meta_Columns[[#This Row],[Owning Table:src]],meta_Tables[ID],0))</f>
        <v>#N/A</v>
      </c>
      <c r="G181" s="113"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4" t="str">
        <f xml:space="preserve"> IF( TRIM( meta_Columns[[#This Row],[Property:src]] ) = "", "",
        INDEX( meta_TypedModelElements[Display Qualified], MATCH( meta_Columns[[#This Row],[Property:src]], meta_TypedModelElements[ID], 0 ) ) )</f>
        <v/>
      </c>
      <c r="T181" s="114"/>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5" t="e">
        <f>INDEX(meta_TypedModelElements[Name or Type],MATCH(meta_Columns[[#This Row],[Property]],meta_TypedModelElements[ID],0))</f>
        <v>#N/A</v>
      </c>
      <c r="AM181" s="115" t="e">
        <f>INDEX(meta_TypedModelElements[Property - Changeable],MATCH(meta_Columns[[#This Row],[Property]],meta_TypedModelElements[ID],0))</f>
        <v>#N/A</v>
      </c>
      <c r="AN181" s="112">
        <v>8</v>
      </c>
      <c r="AO181" s="22">
        <v>8</v>
      </c>
      <c r="AP181"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4"/>
      <c r="AY181" s="8" t="str">
        <f>meta_Columns[[#This Row],[Owning Table]]&amp;"."&amp;meta_Columns[[#This Row],[Excel Column - Label]]</f>
        <v>.Camel Lower from Business</v>
      </c>
      <c r="AZ181" s="114" t="s">
        <v>1478</v>
      </c>
      <c r="BA181" s="115" t="str">
        <f>IF(TRIM(meta_Columns[[#This Row],[Excel Column - Label Overwrite]])&lt;&gt;"",meta_Columns[[#This Row],[Excel Column - Label Overwrite]],meta_Columns[[#This Row],[Excel Column - Label from Property or Referenced Table]])</f>
        <v>Camel Lower from Business</v>
      </c>
      <c r="BB181" s="112"/>
      <c r="BC181" s="113" t="str">
        <f>IF(meta_Columns[[#This Row],[Excel Column - Explicit Excel Formula]]="","",meta_Columns[[#This Row],[Excel Column - Explicit Excel Formula]])</f>
        <v/>
      </c>
      <c r="BD181" s="116"/>
      <c r="BE181" s="116"/>
    </row>
    <row r="182" spans="1:57">
      <c r="A182" s="111" t="s">
        <v>1518</v>
      </c>
      <c r="B182" s="5"/>
      <c r="C182" s="22" t="str">
        <f xml:space="preserve"> IF( TRIM( meta_Columns[[#This Row],[Kind:src]] ) = "", "",
        INDEX( meta_Classifiers[Display Qualified], MATCH( meta_Columns[[#This Row],[Kind:src]], meta_Classifiers[ID], 0 ) ) )</f>
        <v/>
      </c>
      <c r="D182" s="113" t="str">
        <f>IF(meta_Columns[[#This Row],[Owning Table:src]]="","",INDEX(meta_Classifiers[Package],MATCH(meta_Columns[[#This Row],[Owning Table Instances Class]],meta_Classifiers[ID],0)))</f>
        <v/>
      </c>
      <c r="E182" s="112"/>
      <c r="F182" s="115" t="e">
        <f>INDEX(meta_Tables[Excel Table - Excel Name],MATCH(meta_Columns[[#This Row],[Owning Table:src]],meta_Tables[ID],0))</f>
        <v>#N/A</v>
      </c>
      <c r="G182" s="113"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4" t="str">
        <f xml:space="preserve"> IF( TRIM( meta_Columns[[#This Row],[Property:src]] ) = "", "",
        INDEX( meta_TypedModelElements[Display Qualified], MATCH( meta_Columns[[#This Row],[Property:src]], meta_TypedModelElements[ID], 0 ) ) )</f>
        <v/>
      </c>
      <c r="T182" s="114"/>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5" t="e">
        <f>INDEX(meta_TypedModelElements[Name or Type],MATCH(meta_Columns[[#This Row],[Property]],meta_TypedModelElements[ID],0))</f>
        <v>#N/A</v>
      </c>
      <c r="AM182" s="115" t="e">
        <f>INDEX(meta_TypedModelElements[Property - Changeable],MATCH(meta_Columns[[#This Row],[Property]],meta_TypedModelElements[ID],0))</f>
        <v>#N/A</v>
      </c>
      <c r="AN182" s="112">
        <v>9</v>
      </c>
      <c r="AO182" s="22"/>
      <c r="AP182"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4"/>
      <c r="AY182" s="8" t="str">
        <f>meta_Columns[[#This Row],[Owning Table]]&amp;"."&amp;meta_Columns[[#This Row],[Excel Column - Label]]</f>
        <v>.Conversion Check</v>
      </c>
      <c r="AZ182" s="114" t="s">
        <v>1480</v>
      </c>
      <c r="BA182" s="115" t="str">
        <f>IF(TRIM(meta_Columns[[#This Row],[Excel Column - Label Overwrite]])&lt;&gt;"",meta_Columns[[#This Row],[Excel Column - Label Overwrite]],meta_Columns[[#This Row],[Excel Column - Label from Property or Referenced Table]])</f>
        <v>Conversion Check</v>
      </c>
      <c r="BB182" s="112" t="s">
        <v>1519</v>
      </c>
      <c r="BC182" s="113" t="str">
        <f>IF(meta_Columns[[#This Row],[Excel Column - Explicit Excel Formula]]="","",meta_Columns[[#This Row],[Excel Column - Explicit Excel Formula]])</f>
        <v>Formula:=[@Business]=[@[Business from Camel]]</v>
      </c>
      <c r="BD182" s="116"/>
      <c r="BE182" s="116"/>
    </row>
    <row r="183" spans="1:57">
      <c r="A183" s="10" t="s">
        <v>1152</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1008</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Overwrite]])&lt;&gt;"",meta_Columns[[#This Row],[Excel Column - Label Overwrite]],meta_Columns[[#This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1361</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1008</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Overwrite]])&lt;&gt;"",meta_Columns[[#This Row],[Excel Column - Label Overwrite]],meta_Columns[[#This Row],[Excel Column - Label from Property or Referenced Table]])</f>
        <v>Kind:src</v>
      </c>
      <c r="BB184" s="43" t="s">
        <v>1343</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1362</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1008</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Overwrite]])&lt;&gt;"",meta_Columns[[#This Row],[Excel Column - Label Overwrite]],meta_Columns[[#This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1363</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1008</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Overwrite]])&lt;&gt;"",meta_Columns[[#This Row],[Excel Column - Label Overwrite]],meta_Columns[[#This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1153</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1008</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Overwrite]])&lt;&gt;"",meta_Columns[[#This Row],[Excel Column - Label Overwrite]],meta_Columns[[#This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1154</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1008</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Overwrite]])&lt;&gt;"",meta_Columns[[#This Row],[Excel Column - Label Overwrite]],meta_Columns[[#This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1155</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1008</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Overwrite]])&lt;&gt;"",meta_Columns[[#This Row],[Excel Column - Label Overwrite]],meta_Columns[[#This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1364</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1008</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Overwrite]])&lt;&gt;"",meta_Columns[[#This Row],[Excel Column - Label Overwrite]],meta_Columns[[#This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1156</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1014</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Overwrite]])&lt;&gt;"",meta_Columns[[#This Row],[Excel Column - Label Overwrite]],meta_Columns[[#This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1845</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1014</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Overwrite]])&lt;&gt;"",meta_Columns[[#This Row],[Excel Column - Label Overwrite]],meta_Columns[[#This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1157</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1014</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Overwrite]])&lt;&gt;"",meta_Columns[[#This Row],[Excel Column - Label Overwrite]],meta_Columns[[#This Row],[Excel Column - Label from Property or Referenced Table]])</f>
        <v>Kind</v>
      </c>
      <c r="BB193" s="43"/>
      <c r="BC193" s="44" t="str">
        <f>IF(meta_Columns[[#This Row],[Excel Column - Explicit Excel Formula]]="","",meta_Columns[[#This Row],[Excel Column - Explicit Excel Formula]])</f>
        <v/>
      </c>
      <c r="BD193" s="5" t="s">
        <v>1461</v>
      </c>
      <c r="BE193" s="5"/>
    </row>
    <row r="194" spans="1:57">
      <c r="A194" s="10" t="s">
        <v>1158</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1014</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Overwrite]])&lt;&gt;"",meta_Columns[[#This Row],[Excel Column - Label Overwrite]],meta_Columns[[#This Row],[Excel Column - Label from Property or Referenced Table]])</f>
        <v>Package</v>
      </c>
      <c r="BB194" s="43" t="s">
        <v>880</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1159</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1014</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Overwrite]])&lt;&gt;"",meta_Columns[[#This Row],[Excel Column - Label Overwrite]],meta_Columns[[#This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1160</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1014</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Overwrite]])&lt;&gt;"",meta_Columns[[#This Row],[Excel Column - Label Overwrite]],meta_Columns[[#This Row],[Excel Column - Label from Property or Referenced Table]])</f>
        <v>Super Class 6:display:q.</v>
      </c>
      <c r="BB196" s="43" t="s">
        <v>958</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1161</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1014</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Overwrite]])&lt;&gt;"",meta_Columns[[#This Row],[Excel Column - Label Overwrite]],meta_Columns[[#This Row],[Excel Column - Label from Property or Referenced Table]])</f>
        <v>Super Class 6</v>
      </c>
      <c r="BB197" s="43" t="s">
        <v>1529</v>
      </c>
      <c r="BC197" s="44" t="str">
        <f>IF(meta_Columns[[#This Row],[Excel Column - Explicit Excel Formula]]="","",meta_Columns[[#This Row],[Excel Column - Explicit Excel Formula]])</f>
        <v>Formula:=IFNA(INDEX(#REF!,MATCH([@[Super Class 5]],meta_Classifiers[ID],0)),0)</v>
      </c>
      <c r="BD197" s="5"/>
      <c r="BE197" s="5"/>
    </row>
    <row r="198" spans="1:57">
      <c r="A198" s="10" t="s">
        <v>1162</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1014</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Overwrite]])&lt;&gt;"",meta_Columns[[#This Row],[Excel Column - Label Overwrite]],meta_Columns[[#This Row],[Excel Column - Label from Property or Referenced Table]])</f>
        <v>Super Class 5:display:q.</v>
      </c>
      <c r="BB198" s="43" t="s">
        <v>959</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1163</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1014</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Overwrite]])&lt;&gt;"",meta_Columns[[#This Row],[Excel Column - Label Overwrite]],meta_Columns[[#This Row],[Excel Column - Label from Property or Referenced Table]])</f>
        <v>Super Class 5</v>
      </c>
      <c r="BB199" s="43" t="s">
        <v>1530</v>
      </c>
      <c r="BC199" s="44" t="str">
        <f>IF(meta_Columns[[#This Row],[Excel Column - Explicit Excel Formula]]="","",meta_Columns[[#This Row],[Excel Column - Explicit Excel Formula]])</f>
        <v>Formula:=IFNA(INDEX(#REF!,MATCH([@[Super Class 4]],meta_Classifiers[ID],0)),0)</v>
      </c>
      <c r="BD199" s="5"/>
      <c r="BE199" s="5"/>
    </row>
    <row r="200" spans="1:57">
      <c r="A200" s="10" t="s">
        <v>1164</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1014</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Overwrite]])&lt;&gt;"",meta_Columns[[#This Row],[Excel Column - Label Overwrite]],meta_Columns[[#This Row],[Excel Column - Label from Property or Referenced Table]])</f>
        <v>Super Class 4:display:q.</v>
      </c>
      <c r="BB200" s="43" t="s">
        <v>960</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1165</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1014</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Overwrite]])&lt;&gt;"",meta_Columns[[#This Row],[Excel Column - Label Overwrite]],meta_Columns[[#This Row],[Excel Column - Label from Property or Referenced Table]])</f>
        <v>Super Class 4</v>
      </c>
      <c r="BB201" s="43" t="s">
        <v>1531</v>
      </c>
      <c r="BC201" s="44" t="str">
        <f>IF(meta_Columns[[#This Row],[Excel Column - Explicit Excel Formula]]="","",meta_Columns[[#This Row],[Excel Column - Explicit Excel Formula]])</f>
        <v>Formula:=IFNA(INDEX(#REF!,MATCH([@[Super Class 3]],meta_Classifiers[ID],0)),0)</v>
      </c>
      <c r="BD201" s="5"/>
      <c r="BE201" s="5"/>
    </row>
    <row r="202" spans="1:57">
      <c r="A202" s="10" t="s">
        <v>1166</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1014</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Overwrite]])&lt;&gt;"",meta_Columns[[#This Row],[Excel Column - Label Overwrite]],meta_Columns[[#This Row],[Excel Column - Label from Property or Referenced Table]])</f>
        <v>Super Class 3:display:q.</v>
      </c>
      <c r="BB202" s="43" t="s">
        <v>961</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1167</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1014</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Overwrite]])&lt;&gt;"",meta_Columns[[#This Row],[Excel Column - Label Overwrite]],meta_Columns[[#This Row],[Excel Column - Label from Property or Referenced Table]])</f>
        <v>Super Class 3</v>
      </c>
      <c r="BB203" s="43" t="s">
        <v>1532</v>
      </c>
      <c r="BC203" s="44" t="str">
        <f>IF(meta_Columns[[#This Row],[Excel Column - Explicit Excel Formula]]="","",meta_Columns[[#This Row],[Excel Column - Explicit Excel Formula]])</f>
        <v>Formula:=IFNA(INDEX(#REF!,MATCH([@[Super Class 2]],meta_Classifiers[ID],0)),0)</v>
      </c>
      <c r="BD203" s="5"/>
      <c r="BE203" s="5"/>
    </row>
    <row r="204" spans="1:57">
      <c r="A204" s="10" t="s">
        <v>1168</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1014</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Overwrite]])&lt;&gt;"",meta_Columns[[#This Row],[Excel Column - Label Overwrite]],meta_Columns[[#This Row],[Excel Column - Label from Property or Referenced Table]])</f>
        <v>Super Class 2:display:q.</v>
      </c>
      <c r="BB204" s="43" t="s">
        <v>962</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1169</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1014</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Overwrite]])&lt;&gt;"",meta_Columns[[#This Row],[Excel Column - Label Overwrite]],meta_Columns[[#This Row],[Excel Column - Label from Property or Referenced Table]])</f>
        <v>Super Class 2</v>
      </c>
      <c r="BB205" s="43" t="s">
        <v>1533</v>
      </c>
      <c r="BC205" s="44" t="str">
        <f>IF(meta_Columns[[#This Row],[Excel Column - Explicit Excel Formula]]="","",meta_Columns[[#This Row],[Excel Column - Explicit Excel Formula]])</f>
        <v>Formula:=IFNA(INDEX(#REF!,MATCH([@[Super Class 1]],meta_Classifiers[ID],0)),0)</v>
      </c>
      <c r="BD205" s="5"/>
      <c r="BE205" s="5"/>
    </row>
    <row r="206" spans="1:57">
      <c r="A206" s="10" t="s">
        <v>1170</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1014</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Overwrite]])&lt;&gt;"",meta_Columns[[#This Row],[Excel Column - Label Overwrite]],meta_Columns[[#This Row],[Excel Column - Label from Property or Referenced Table]])</f>
        <v>Super Class 1:display:q.</v>
      </c>
      <c r="BB206" s="43" t="s">
        <v>963</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1171</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1014</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Overwrite]])&lt;&gt;"",meta_Columns[[#This Row],[Excel Column - Label Overwrite]],meta_Columns[[#This Row],[Excel Column - Label from Property or Referenced Table]])</f>
        <v>Super Class 1</v>
      </c>
      <c r="BB207" s="43" t="s">
        <v>1534</v>
      </c>
      <c r="BC207" s="44" t="str">
        <f>IF(meta_Columns[[#This Row],[Excel Column - Explicit Excel Formula]]="","",meta_Columns[[#This Row],[Excel Column - Explicit Excel Formula]])</f>
        <v>Formula:=IFNA(INDEX(#REF!,MATCH([@[Class:src]],meta_Classifiers[ID],0)),0)</v>
      </c>
      <c r="BD207" s="5"/>
      <c r="BE207" s="5"/>
    </row>
    <row r="208" spans="1:57">
      <c r="A208" s="10" t="s">
        <v>1172</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1014</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Overwrite]])&lt;&gt;"",meta_Columns[[#This Row],[Excel Column - Label Overwrite]],meta_Columns[[#This Row],[Excel Column - Label from Property or Referenced Table]])</f>
        <v>Class:display:q.</v>
      </c>
      <c r="BB208" s="43" t="s">
        <v>964</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1173</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1014</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Overwrite]])&lt;&gt;"",meta_Columns[[#This Row],[Excel Column - Label Overwrite]],meta_Columns[[#This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1174</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1014</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Overwrite]])&lt;&gt;"",meta_Columns[[#This Row],[Excel Column - Label Overwrite]],meta_Columns[[#This Row],[Excel Column - Label from Property or Referenced Table]])</f>
        <v>Class</v>
      </c>
      <c r="BB210" s="43" t="s">
        <v>881</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1175</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1014</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Overwrite]])&lt;&gt;"",meta_Columns[[#This Row],[Excel Column - Label Overwrite]],meta_Columns[[#This Row],[Excel Column - Label from Property or Referenced Table]])</f>
        <v>Feature Type</v>
      </c>
      <c r="BB211" s="43" t="s">
        <v>882</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1176</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1014</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Overwrite]])&lt;&gt;"",meta_Columns[[#This Row],[Excel Column - Label Overwrite]],meta_Columns[[#This Row],[Excel Column - Label from Property or Referenced Table]])</f>
        <v>Feature Base Type Kind</v>
      </c>
      <c r="BB212" s="43" t="s">
        <v>883</v>
      </c>
      <c r="BC212" s="44" t="str">
        <f>IF(meta_Columns[[#This Row],[Excel Column - Explicit Excel Formula]]="","",meta_Columns[[#This Row],[Excel Column - Explicit Excel Formula]])</f>
        <v>Formula:=IF([@[Class:src]]="","_Datatype","_Class")</v>
      </c>
      <c r="BD212" s="5"/>
      <c r="BE212" s="5"/>
    </row>
    <row r="213" spans="1:57">
      <c r="A213" s="10" t="s">
        <v>1177</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1014</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Overwrite]])&lt;&gt;"",meta_Columns[[#This Row],[Excel Column - Label Overwrite]],meta_Columns[[#This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1178</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1014</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Overwrite]])&lt;&gt;"",meta_Columns[[#This Row],[Excel Column - Label Overwrite]],meta_Columns[[#This Row],[Excel Column - Label from Property or Referenced Table]])</f>
        <v>Feature</v>
      </c>
      <c r="BB214" s="43" t="s">
        <v>884</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1179</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1014</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Overwrite]])&lt;&gt;"",meta_Columns[[#This Row],[Excel Column - Label Overwrite]],meta_Columns[[#This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1180</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1014</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Overwrite]])&lt;&gt;"",meta_Columns[[#This Row],[Excel Column - Label Overwrite]],meta_Columns[[#This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1181</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1014</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Overwrite]])&lt;&gt;"",meta_Columns[[#This Row],[Excel Column - Label Overwrite]],meta_Columns[[#This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1182</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1014</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Overwrite]])&lt;&gt;"",meta_Columns[[#This Row],[Excel Column - Label Overwrite]],meta_Columns[[#This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1183</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1014</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Overwrite]])&lt;&gt;"",meta_Columns[[#This Row],[Excel Column - Label Overwrite]],meta_Columns[[#This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1184</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1014</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Overwrite]])&lt;&gt;"",meta_Columns[[#This Row],[Excel Column - Label Overwrite]],meta_Columns[[#This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1185</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1014</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Overwrite]])&lt;&gt;"",meta_Columns[[#This Row],[Excel Column - Label Overwrite]],meta_Columns[[#This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1186</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1014</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Overwrite]])&lt;&gt;"",meta_Columns[[#This Row],[Excel Column - Label Overwrite]],meta_Columns[[#This Row],[Excel Column - Label from Property or Referenced Table]])</f>
        <v>Part:q</v>
      </c>
      <c r="BB222" s="43" t="s">
        <v>885</v>
      </c>
      <c r="BC222" s="44" t="str">
        <f>IF(meta_Columns[[#This Row],[Excel Column - Explicit Excel Formula]]="","",meta_Columns[[#This Row],[Excel Column - Explicit Excel Formula]])</f>
        <v>Formula:=IF(TRIM([@Part])="","",IF(
  TRIM([@Package])="",
          "",
          [@Package]&amp;"::")
&amp;[@Part])</v>
      </c>
      <c r="BD222" s="5"/>
      <c r="BE222" s="5"/>
    </row>
    <row r="223" spans="1:57">
      <c r="A223" s="10" t="s">
        <v>1187</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1014</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Overwrite]])&lt;&gt;"",meta_Columns[[#This Row],[Excel Column - Label Overwrite]],meta_Columns[[#This Row],[Excel Column - Label from Property or Referenced Table]])</f>
        <v>Line As Text</v>
      </c>
      <c r="BB223" s="43" t="s">
        <v>886</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1188</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1014</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Overwrite]])&lt;&gt;"",meta_Columns[[#This Row],[Excel Column - Label Overwrite]],meta_Columns[[#This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1189</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1014</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Overwrite]])&lt;&gt;"",meta_Columns[[#This Row],[Excel Column - Label Overwrite]],meta_Columns[[#This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1190</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1014</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Overwrite]])&lt;&gt;"",meta_Columns[[#This Row],[Excel Column - Label Overwrite]],meta_Columns[[#This Row],[Excel Column - Label from Property or Referenced Table]])</f>
        <v>Rule Biz ID Without Line</v>
      </c>
      <c r="BB226" s="43" t="s">
        <v>887</v>
      </c>
      <c r="BC226" s="44" t="str">
        <f>IF(meta_Columns[[#This Row],[Excel Column - Explicit Excel Formula]]="","",meta_Columns[[#This Row],[Excel Column - Explicit Excel Formula]])</f>
        <v>Formula:=[@[Class:src]]&amp;"_"&amp;[@Feature]&amp;"_"&amp;[@Kind]</v>
      </c>
      <c r="BD226" s="5"/>
      <c r="BE226" s="5"/>
    </row>
    <row r="227" spans="1:57">
      <c r="A227" s="10" t="s">
        <v>1191</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1014</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Overwrite]])&lt;&gt;"",meta_Columns[[#This Row],[Excel Column - Label Overwrite]],meta_Columns[[#This Row],[Excel Column - Label from Property or Referenced Table]])</f>
        <v>Rule Biz ID</v>
      </c>
      <c r="BB227" s="43" t="s">
        <v>888</v>
      </c>
      <c r="BC227" s="44" t="str">
        <f>IF(meta_Columns[[#This Row],[Excel Column - Explicit Excel Formula]]="","",meta_Columns[[#This Row],[Excel Column - Explicit Excel Formula]])</f>
        <v>Formula:=[@[Rule Biz ID Without Line]]&amp;"_"&amp;[@Line]</v>
      </c>
      <c r="BD227" s="5"/>
      <c r="BE227" s="5"/>
    </row>
    <row r="228" spans="1:57">
      <c r="A228" s="10" t="s">
        <v>1192</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1014</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Overwrite]])&lt;&gt;"",meta_Columns[[#This Row],[Excel Column - Label Overwrite]],meta_Columns[[#This Row],[Excel Column - Label from Property or Referenced Table]])</f>
        <v>Part:src At Line - 1</v>
      </c>
      <c r="BB228" s="43" t="s">
        <v>889</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1193</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1014</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Overwrite]])&lt;&gt;"",meta_Columns[[#This Row],[Excel Column - Label Overwrite]],meta_Columns[[#This Row],[Excel Column - Label from Property or Referenced Table]])</f>
        <v>Line-1</v>
      </c>
      <c r="BB229" s="43" t="s">
        <v>890</v>
      </c>
      <c r="BC229" s="44" t="str">
        <f>IF(meta_Columns[[#This Row],[Excel Column - Explicit Excel Formula]]="","",meta_Columns[[#This Row],[Excel Column - Explicit Excel Formula]])</f>
        <v>Formula:=IF(TRIM([@Line])="","",IF([@Line]=1,"",[@Line]-1))</v>
      </c>
      <c r="BD229" s="5"/>
      <c r="BE229" s="5"/>
    </row>
    <row r="230" spans="1:57">
      <c r="A230" s="10" t="s">
        <v>1194</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1014</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Overwrite]])&lt;&gt;"",meta_Columns[[#This Row],[Excel Column - Label Overwrite]],meta_Columns[[#This Row],[Excel Column - Label from Property or Referenced Table]])</f>
        <v>Indent</v>
      </c>
      <c r="BB230" s="43" t="s">
        <v>891</v>
      </c>
      <c r="BC230" s="44" t="str">
        <f>IF(meta_Columns[[#This Row],[Excel Column - Explicit Excel Formula]]="","",meta_Columns[[#This Row],[Excel Column - Explicit Excel Formula]])</f>
        <v>Formula:=IF(TRIM([@Line])="",0,IF([@Line]=1,0,
999))</v>
      </c>
      <c r="BD230" s="5"/>
      <c r="BE230" s="5"/>
    </row>
    <row r="231" spans="1:57">
      <c r="A231" s="10" t="s">
        <v>1195</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1014</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Overwrite]])&lt;&gt;"",meta_Columns[[#This Row],[Excel Column - Label Overwrite]],meta_Columns[[#This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1196</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1014</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Overwrite]])&lt;&gt;"",meta_Columns[[#This Row],[Excel Column - Label Overwrite]],meta_Columns[[#This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1197</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1014</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Overwrite]])&lt;&gt;"",meta_Columns[[#This Row],[Excel Column - Label Overwrite]],meta_Columns[[#This Row],[Excel Column - Label from Property or Referenced Table]])</f>
        <v>Base Super Class 6:display:q.</v>
      </c>
      <c r="BB233" s="43" t="s">
        <v>965</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1198</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1014</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Overwrite]])&lt;&gt;"",meta_Columns[[#This Row],[Excel Column - Label Overwrite]],meta_Columns[[#This Row],[Excel Column - Label from Property or Referenced Table]])</f>
        <v>Base Super Class 6</v>
      </c>
      <c r="BB234" s="43" t="s">
        <v>1535</v>
      </c>
      <c r="BC234" s="44" t="str">
        <f>IF(meta_Columns[[#This Row],[Excel Column - Explicit Excel Formula]]="","",meta_Columns[[#This Row],[Excel Column - Explicit Excel Formula]])</f>
        <v>Formula:=IFNA(INDEX(#REF!,MATCH([@[Base Super Class 5]],meta_Classifiers[ID],0)),0)</v>
      </c>
      <c r="BD234" s="5"/>
      <c r="BE234" s="5"/>
    </row>
    <row r="235" spans="1:57">
      <c r="A235" s="10" t="s">
        <v>1199</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1014</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Overwrite]])&lt;&gt;"",meta_Columns[[#This Row],[Excel Column - Label Overwrite]],meta_Columns[[#This Row],[Excel Column - Label from Property or Referenced Table]])</f>
        <v>Base Super Class 5:display:q.</v>
      </c>
      <c r="BB235" s="43" t="s">
        <v>966</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1200</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1014</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Overwrite]])&lt;&gt;"",meta_Columns[[#This Row],[Excel Column - Label Overwrite]],meta_Columns[[#This Row],[Excel Column - Label from Property or Referenced Table]])</f>
        <v>Base Super Class 5</v>
      </c>
      <c r="BB236" s="43" t="s">
        <v>1536</v>
      </c>
      <c r="BC236" s="44" t="str">
        <f>IF(meta_Columns[[#This Row],[Excel Column - Explicit Excel Formula]]="","",meta_Columns[[#This Row],[Excel Column - Explicit Excel Formula]])</f>
        <v>Formula:=IFNA(INDEX(#REF!,MATCH([@[Base Super Class 4]],meta_Classifiers[ID],0)),0)</v>
      </c>
      <c r="BD236" s="5"/>
      <c r="BE236" s="5"/>
    </row>
    <row r="237" spans="1:57">
      <c r="A237" s="10" t="s">
        <v>1201</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1014</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Overwrite]])&lt;&gt;"",meta_Columns[[#This Row],[Excel Column - Label Overwrite]],meta_Columns[[#This Row],[Excel Column - Label from Property or Referenced Table]])</f>
        <v>Base Super Class 4:display:q.</v>
      </c>
      <c r="BB237" s="43" t="s">
        <v>967</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1202</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1014</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Overwrite]])&lt;&gt;"",meta_Columns[[#This Row],[Excel Column - Label Overwrite]],meta_Columns[[#This Row],[Excel Column - Label from Property or Referenced Table]])</f>
        <v>Base Super Class 4</v>
      </c>
      <c r="BB238" s="43" t="s">
        <v>1537</v>
      </c>
      <c r="BC238" s="44" t="str">
        <f>IF(meta_Columns[[#This Row],[Excel Column - Explicit Excel Formula]]="","",meta_Columns[[#This Row],[Excel Column - Explicit Excel Formula]])</f>
        <v>Formula:=IFNA(INDEX(#REF!,MATCH([@[Base Super Class 3]],meta_Classifiers[ID],0)),0)</v>
      </c>
      <c r="BD238" s="5"/>
      <c r="BE238" s="5"/>
    </row>
    <row r="239" spans="1:57">
      <c r="A239" s="10" t="s">
        <v>1203</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1014</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Overwrite]])&lt;&gt;"",meta_Columns[[#This Row],[Excel Column - Label Overwrite]],meta_Columns[[#This Row],[Excel Column - Label from Property or Referenced Table]])</f>
        <v>Base Super Class 3:display:q.</v>
      </c>
      <c r="BB239" s="43" t="s">
        <v>968</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1204</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1014</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Overwrite]])&lt;&gt;"",meta_Columns[[#This Row],[Excel Column - Label Overwrite]],meta_Columns[[#This Row],[Excel Column - Label from Property or Referenced Table]])</f>
        <v>Base Super Class 3</v>
      </c>
      <c r="BB240" s="43" t="s">
        <v>1538</v>
      </c>
      <c r="BC240" s="44" t="str">
        <f>IF(meta_Columns[[#This Row],[Excel Column - Explicit Excel Formula]]="","",meta_Columns[[#This Row],[Excel Column - Explicit Excel Formula]])</f>
        <v>Formula:=IFNA(INDEX(#REF!,MATCH([@[Base Super Class 2]],meta_Classifiers[ID],0)),0)</v>
      </c>
      <c r="BD240" s="5"/>
      <c r="BE240" s="5"/>
    </row>
    <row r="241" spans="1:57">
      <c r="A241" s="10" t="s">
        <v>1205</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1014</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Overwrite]])&lt;&gt;"",meta_Columns[[#This Row],[Excel Column - Label Overwrite]],meta_Columns[[#This Row],[Excel Column - Label from Property or Referenced Table]])</f>
        <v>Base Super Class 2:display:q.</v>
      </c>
      <c r="BB241" s="43" t="s">
        <v>969</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1206</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1014</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Overwrite]])&lt;&gt;"",meta_Columns[[#This Row],[Excel Column - Label Overwrite]],meta_Columns[[#This Row],[Excel Column - Label from Property or Referenced Table]])</f>
        <v>Base Super Class 2</v>
      </c>
      <c r="BB242" s="43" t="s">
        <v>1539</v>
      </c>
      <c r="BC242" s="44" t="str">
        <f>IF(meta_Columns[[#This Row],[Excel Column - Explicit Excel Formula]]="","",meta_Columns[[#This Row],[Excel Column - Explicit Excel Formula]])</f>
        <v>Formula:=IFNA(INDEX(#REF!,MATCH([@[Base Super Class 1]],meta_Classifiers[ID],0)),0)</v>
      </c>
      <c r="BD242" s="5"/>
      <c r="BE242" s="5"/>
    </row>
    <row r="243" spans="1:57">
      <c r="A243" s="10" t="s">
        <v>1207</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1014</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Overwrite]])&lt;&gt;"",meta_Columns[[#This Row],[Excel Column - Label Overwrite]],meta_Columns[[#This Row],[Excel Column - Label from Property or Referenced Table]])</f>
        <v>Base Super Class 1:display:q.</v>
      </c>
      <c r="BB243" s="43" t="s">
        <v>970</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1208</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1014</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Overwrite]])&lt;&gt;"",meta_Columns[[#This Row],[Excel Column - Label Overwrite]],meta_Columns[[#This Row],[Excel Column - Label from Property or Referenced Table]])</f>
        <v>Base Super Class 1</v>
      </c>
      <c r="BB244" s="43" t="s">
        <v>1540</v>
      </c>
      <c r="BC244" s="44" t="str">
        <f>IF(meta_Columns[[#This Row],[Excel Column - Explicit Excel Formula]]="","",meta_Columns[[#This Row],[Excel Column - Explicit Excel Formula]])</f>
        <v>Formula:=IFNA(INDEX(#REF!,MATCH([@[Base Type]],meta_Classifiers[ID],0)),0)</v>
      </c>
      <c r="BD244" s="5"/>
      <c r="BE244" s="5"/>
    </row>
    <row r="245" spans="1:57">
      <c r="A245" s="10" t="s">
        <v>1209</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1014</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Overwrite]])&lt;&gt;"",meta_Columns[[#This Row],[Excel Column - Label Overwrite]],meta_Columns[[#This Row],[Excel Column - Label from Property or Referenced Table]])</f>
        <v>Base Class:display:q.</v>
      </c>
      <c r="BB245" s="43" t="s">
        <v>971</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1210</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1014</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Overwrite]])&lt;&gt;"",meta_Columns[[#This Row],[Excel Column - Label Overwrite]],meta_Columns[[#This Row],[Excel Column - Label from Property or Referenced Table]])</f>
        <v>Base Type Kind</v>
      </c>
      <c r="BB246" s="43" t="s">
        <v>1541</v>
      </c>
      <c r="BC246" s="44" t="str">
        <f>IF(meta_Columns[[#This Row],[Excel Column - Explicit Excel Formula]]="","",meta_Columns[[#This Row],[Excel Column - Explicit Excel Formula]])</f>
        <v>Formula:=INDEX(#REF!,MATCH([@[Base Type]],meta_Classifiers[ID],0))</v>
      </c>
      <c r="BD246" s="5"/>
      <c r="BE246" s="5"/>
    </row>
    <row r="247" spans="1:57">
      <c r="A247" s="10" t="s">
        <v>1211</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1014</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Overwrite]])&lt;&gt;"",meta_Columns[[#This Row],[Excel Column - Label Overwrite]],meta_Columns[[#This Row],[Excel Column - Label from Property or Referenced Table]])</f>
        <v>Base Type</v>
      </c>
      <c r="BB247" s="43" t="s">
        <v>892</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1212</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1014</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Overwrite]])&lt;&gt;"",meta_Columns[[#This Row],[Excel Column - Label Overwrite]],meta_Columns[[#This Row],[Excel Column - Label from Property or Referenced Table]])</f>
        <v>Base as Parameter</v>
      </c>
      <c r="BB248" s="43" t="s">
        <v>893</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1213</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1014</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Overwrite]])&lt;&gt;"",meta_Columns[[#This Row],[Excel Column - Label Overwrite]],meta_Columns[[#This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1214</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1014</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Overwrite]])&lt;&gt;"",meta_Columns[[#This Row],[Excel Column - Label Overwrite]],meta_Columns[[#This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1215</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1014</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Overwrite]])&lt;&gt;"",meta_Columns[[#This Row],[Excel Column - Label Overwrite]],meta_Columns[[#This Row],[Excel Column - Label from Property or Referenced Table]])</f>
        <v>Property 1</v>
      </c>
      <c r="BB251" s="43" t="s">
        <v>894</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1216</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1014</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Overwrite]])&lt;&gt;"",meta_Columns[[#This Row],[Excel Column - Label Overwrite]],meta_Columns[[#This Row],[Excel Column - Label from Property or Referenced Table]])</f>
        <v>Property 1 Super Class 6:display:q.</v>
      </c>
      <c r="BB252" s="43" t="s">
        <v>972</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1217</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1014</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Overwrite]])&lt;&gt;"",meta_Columns[[#This Row],[Excel Column - Label Overwrite]],meta_Columns[[#This Row],[Excel Column - Label from Property or Referenced Table]])</f>
        <v>Property 1 Super Class 6</v>
      </c>
      <c r="BB253" s="43" t="s">
        <v>1542</v>
      </c>
      <c r="BC253" s="44" t="str">
        <f>IF(meta_Columns[[#This Row],[Excel Column - Explicit Excel Formula]]="","",meta_Columns[[#This Row],[Excel Column - Explicit Excel Formula]])</f>
        <v>Formula:=IFNA(INDEX(#REF!,MATCH([@[Property 1 Super Class 5]],meta_Classifiers[ID],0)),0)</v>
      </c>
      <c r="BD253" s="5"/>
      <c r="BE253" s="5"/>
    </row>
    <row r="254" spans="1:57">
      <c r="A254" s="10" t="s">
        <v>1218</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1014</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Overwrite]])&lt;&gt;"",meta_Columns[[#This Row],[Excel Column - Label Overwrite]],meta_Columns[[#This Row],[Excel Column - Label from Property or Referenced Table]])</f>
        <v>Property 1 Super Class 5:display:q.</v>
      </c>
      <c r="BB254" s="43" t="s">
        <v>973</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1219</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1014</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Overwrite]])&lt;&gt;"",meta_Columns[[#This Row],[Excel Column - Label Overwrite]],meta_Columns[[#This Row],[Excel Column - Label from Property or Referenced Table]])</f>
        <v>Property 1 Super Class 5</v>
      </c>
      <c r="BB255" s="43" t="s">
        <v>1543</v>
      </c>
      <c r="BC255" s="44" t="str">
        <f>IF(meta_Columns[[#This Row],[Excel Column - Explicit Excel Formula]]="","",meta_Columns[[#This Row],[Excel Column - Explicit Excel Formula]])</f>
        <v>Formula:=IFNA(INDEX(#REF!,MATCH([@[Property 1 Super Class 4]],meta_Classifiers[ID],0)),0)</v>
      </c>
      <c r="BD255" s="5"/>
      <c r="BE255" s="5"/>
    </row>
    <row r="256" spans="1:57">
      <c r="A256" s="10" t="s">
        <v>1220</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1014</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Overwrite]])&lt;&gt;"",meta_Columns[[#This Row],[Excel Column - Label Overwrite]],meta_Columns[[#This Row],[Excel Column - Label from Property or Referenced Table]])</f>
        <v>Property 1 Super Class 4:display:q.</v>
      </c>
      <c r="BB256" s="43" t="s">
        <v>974</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1221</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1014</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Overwrite]])&lt;&gt;"",meta_Columns[[#This Row],[Excel Column - Label Overwrite]],meta_Columns[[#This Row],[Excel Column - Label from Property or Referenced Table]])</f>
        <v>Property 1 Super Class 4</v>
      </c>
      <c r="BB257" s="43" t="s">
        <v>1544</v>
      </c>
      <c r="BC257" s="44" t="str">
        <f>IF(meta_Columns[[#This Row],[Excel Column - Explicit Excel Formula]]="","",meta_Columns[[#This Row],[Excel Column - Explicit Excel Formula]])</f>
        <v>Formula:=IFNA(INDEX(#REF!,MATCH([@[Property 1 Super Class 3]],meta_Classifiers[ID],0)),0)</v>
      </c>
      <c r="BD257" s="5"/>
      <c r="BE257" s="5"/>
    </row>
    <row r="258" spans="1:57">
      <c r="A258" s="10" t="s">
        <v>1222</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1014</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Overwrite]])&lt;&gt;"",meta_Columns[[#This Row],[Excel Column - Label Overwrite]],meta_Columns[[#This Row],[Excel Column - Label from Property or Referenced Table]])</f>
        <v>Property 1 Super Class 3:display:q.</v>
      </c>
      <c r="BB258" s="43" t="s">
        <v>975</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1223</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1014</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Overwrite]])&lt;&gt;"",meta_Columns[[#This Row],[Excel Column - Label Overwrite]],meta_Columns[[#This Row],[Excel Column - Label from Property or Referenced Table]])</f>
        <v>Property 1 Super Class 3</v>
      </c>
      <c r="BB259" s="43" t="s">
        <v>1545</v>
      </c>
      <c r="BC259" s="44" t="str">
        <f>IF(meta_Columns[[#This Row],[Excel Column - Explicit Excel Formula]]="","",meta_Columns[[#This Row],[Excel Column - Explicit Excel Formula]])</f>
        <v>Formula:=IFNA(INDEX(#REF!,MATCH([@[Property 1 Super Class 2]],meta_Classifiers[ID],0)),0)</v>
      </c>
      <c r="BD259" s="5"/>
      <c r="BE259" s="5"/>
    </row>
    <row r="260" spans="1:57">
      <c r="A260" s="10" t="s">
        <v>1224</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1014</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Overwrite]])&lt;&gt;"",meta_Columns[[#This Row],[Excel Column - Label Overwrite]],meta_Columns[[#This Row],[Excel Column - Label from Property or Referenced Table]])</f>
        <v>Property 1 Super Class 2:display:q.</v>
      </c>
      <c r="BB260" s="43" t="s">
        <v>976</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1225</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1014</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Overwrite]])&lt;&gt;"",meta_Columns[[#This Row],[Excel Column - Label Overwrite]],meta_Columns[[#This Row],[Excel Column - Label from Property or Referenced Table]])</f>
        <v>Property 1 Super Class 2</v>
      </c>
      <c r="BB261" s="43" t="s">
        <v>1546</v>
      </c>
      <c r="BC261" s="44" t="str">
        <f>IF(meta_Columns[[#This Row],[Excel Column - Explicit Excel Formula]]="","",meta_Columns[[#This Row],[Excel Column - Explicit Excel Formula]])</f>
        <v>Formula:=IFNA(INDEX(#REF!,MATCH([@[Property 1 Super Class 1]],meta_Classifiers[ID],0)),0)</v>
      </c>
      <c r="BD261" s="5"/>
      <c r="BE261" s="5"/>
    </row>
    <row r="262" spans="1:57">
      <c r="A262" s="10" t="s">
        <v>1226</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1014</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Overwrite]])&lt;&gt;"",meta_Columns[[#This Row],[Excel Column - Label Overwrite]],meta_Columns[[#This Row],[Excel Column - Label from Property or Referenced Table]])</f>
        <v>Property 1 Super Class 1:display:q.</v>
      </c>
      <c r="BB262" s="43" t="s">
        <v>977</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1227</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1014</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Overwrite]])&lt;&gt;"",meta_Columns[[#This Row],[Excel Column - Label Overwrite]],meta_Columns[[#This Row],[Excel Column - Label from Property or Referenced Table]])</f>
        <v>Property 1 Super Class 1</v>
      </c>
      <c r="BB263" s="43" t="s">
        <v>1547</v>
      </c>
      <c r="BC263" s="44" t="str">
        <f>IF(meta_Columns[[#This Row],[Excel Column - Explicit Excel Formula]]="","",meta_Columns[[#This Row],[Excel Column - Explicit Excel Formula]])</f>
        <v>Formula:=IFNA(INDEX(#REF!,MATCH([@[Property 1 Type]],meta_Classifiers[ID],0)),0)</v>
      </c>
      <c r="BD263" s="5"/>
      <c r="BE263" s="5"/>
    </row>
    <row r="264" spans="1:57">
      <c r="A264" s="10" t="s">
        <v>1228</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1014</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Overwrite]])&lt;&gt;"",meta_Columns[[#This Row],[Excel Column - Label Overwrite]],meta_Columns[[#This Row],[Excel Column - Label from Property or Referenced Table]])</f>
        <v>Property 1 Class:display:q.</v>
      </c>
      <c r="BB264" s="43" t="s">
        <v>978</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1229</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1014</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Overwrite]])&lt;&gt;"",meta_Columns[[#This Row],[Excel Column - Label Overwrite]],meta_Columns[[#This Row],[Excel Column - Label from Property or Referenced Table]])</f>
        <v>Property 1 Type Kind</v>
      </c>
      <c r="BB265" s="43" t="s">
        <v>1548</v>
      </c>
      <c r="BC265" s="44" t="str">
        <f>IF(meta_Columns[[#This Row],[Excel Column - Explicit Excel Formula]]="","",meta_Columns[[#This Row],[Excel Column - Explicit Excel Formula]])</f>
        <v>Formula:=IF([@[Property 1 Type]]="","",INDEX(#REF!,MATCH([@[Property 1 Type]],meta_Classifiers[ID],0)))</v>
      </c>
      <c r="BD265" s="5"/>
      <c r="BE265" s="5"/>
    </row>
    <row r="266" spans="1:57">
      <c r="A266" s="10" t="s">
        <v>1230</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1014</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Overwrite]])&lt;&gt;"",meta_Columns[[#This Row],[Excel Column - Label Overwrite]],meta_Columns[[#This Row],[Excel Column - Label from Property or Referenced Table]])</f>
        <v>Property 1 Type</v>
      </c>
      <c r="BB266" s="43" t="s">
        <v>1429</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1231</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1014</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Overwrite]])&lt;&gt;"",meta_Columns[[#This Row],[Excel Column - Label Overwrite]],meta_Columns[[#This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1232</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1014</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Overwrite]])&lt;&gt;"",meta_Columns[[#This Row],[Excel Column - Label Overwrite]],meta_Columns[[#This Row],[Excel Column - Label from Property or Referenced Table]])</f>
        <v>Property 2</v>
      </c>
      <c r="BB268" s="43" t="s">
        <v>895</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1233</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1014</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Overwrite]])&lt;&gt;"",meta_Columns[[#This Row],[Excel Column - Label Overwrite]],meta_Columns[[#This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1234</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1014</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Overwrite]])&lt;&gt;"",meta_Columns[[#This Row],[Excel Column - Label Overwrite]],meta_Columns[[#This Row],[Excel Column - Label from Property or Referenced Table]])</f>
        <v>Cast</v>
      </c>
      <c r="BB270" s="43" t="s">
        <v>896</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1235</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1014</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Overwrite]])&lt;&gt;"",meta_Columns[[#This Row],[Excel Column - Label Overwrite]],meta_Columns[[#This Row],[Excel Column - Label from Property or Referenced Table]])</f>
        <v>Property 2 Super Class 6:display:q.</v>
      </c>
      <c r="BB271" s="43" t="s">
        <v>979</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1236</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1014</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Overwrite]])&lt;&gt;"",meta_Columns[[#This Row],[Excel Column - Label Overwrite]],meta_Columns[[#This Row],[Excel Column - Label from Property or Referenced Table]])</f>
        <v>Property 2 Super Class 6</v>
      </c>
      <c r="BB272" s="43" t="s">
        <v>1549</v>
      </c>
      <c r="BC272" s="44" t="str">
        <f>IF(meta_Columns[[#This Row],[Excel Column - Explicit Excel Formula]]="","",meta_Columns[[#This Row],[Excel Column - Explicit Excel Formula]])</f>
        <v>Formula:=IFNA(INDEX(#REF!,MATCH([@[Property 2 Super Class 5]],meta_Classifiers[ID],0)),0)</v>
      </c>
      <c r="BD272" s="5"/>
      <c r="BE272" s="5"/>
    </row>
    <row r="273" spans="1:57">
      <c r="A273" s="10" t="s">
        <v>1237</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1014</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Overwrite]])&lt;&gt;"",meta_Columns[[#This Row],[Excel Column - Label Overwrite]],meta_Columns[[#This Row],[Excel Column - Label from Property or Referenced Table]])</f>
        <v>Property 2 Super Class 5:display:q.</v>
      </c>
      <c r="BB273" s="43" t="s">
        <v>980</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1238</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1014</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Overwrite]])&lt;&gt;"",meta_Columns[[#This Row],[Excel Column - Label Overwrite]],meta_Columns[[#This Row],[Excel Column - Label from Property or Referenced Table]])</f>
        <v>Property 2 Super Class 5</v>
      </c>
      <c r="BB274" s="43" t="s">
        <v>1550</v>
      </c>
      <c r="BC274" s="44" t="str">
        <f>IF(meta_Columns[[#This Row],[Excel Column - Explicit Excel Formula]]="","",meta_Columns[[#This Row],[Excel Column - Explicit Excel Formula]])</f>
        <v>Formula:=IFNA(INDEX(#REF!,MATCH([@[Property 2 Super Class 4]],meta_Classifiers[ID],0)),0)</v>
      </c>
      <c r="BD274" s="5"/>
      <c r="BE274" s="5"/>
    </row>
    <row r="275" spans="1:57">
      <c r="A275" s="10" t="s">
        <v>1239</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1014</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Overwrite]])&lt;&gt;"",meta_Columns[[#This Row],[Excel Column - Label Overwrite]],meta_Columns[[#This Row],[Excel Column - Label from Property or Referenced Table]])</f>
        <v>Property 2 Super Class 4:display:q.</v>
      </c>
      <c r="BB275" s="43" t="s">
        <v>981</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1240</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1014</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Overwrite]])&lt;&gt;"",meta_Columns[[#This Row],[Excel Column - Label Overwrite]],meta_Columns[[#This Row],[Excel Column - Label from Property or Referenced Table]])</f>
        <v>Property 2 Super Class 4</v>
      </c>
      <c r="BB276" s="43" t="s">
        <v>1551</v>
      </c>
      <c r="BC276" s="44" t="str">
        <f>IF(meta_Columns[[#This Row],[Excel Column - Explicit Excel Formula]]="","",meta_Columns[[#This Row],[Excel Column - Explicit Excel Formula]])</f>
        <v>Formula:=IFNA(INDEX(#REF!,MATCH([@[Property 2 Super Class 3]],meta_Classifiers[ID],0)),0)</v>
      </c>
      <c r="BD276" s="5"/>
      <c r="BE276" s="5"/>
    </row>
    <row r="277" spans="1:57">
      <c r="A277" s="10" t="s">
        <v>1241</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1014</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Overwrite]])&lt;&gt;"",meta_Columns[[#This Row],[Excel Column - Label Overwrite]],meta_Columns[[#This Row],[Excel Column - Label from Property or Referenced Table]])</f>
        <v>Property 2 Super Class 3:display:q.</v>
      </c>
      <c r="BB277" s="43" t="s">
        <v>982</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1242</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1014</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Overwrite]])&lt;&gt;"",meta_Columns[[#This Row],[Excel Column - Label Overwrite]],meta_Columns[[#This Row],[Excel Column - Label from Property or Referenced Table]])</f>
        <v>Property 2 Super Class 3</v>
      </c>
      <c r="BB278" s="43" t="s">
        <v>1552</v>
      </c>
      <c r="BC278" s="44" t="str">
        <f>IF(meta_Columns[[#This Row],[Excel Column - Explicit Excel Formula]]="","",meta_Columns[[#This Row],[Excel Column - Explicit Excel Formula]])</f>
        <v>Formula:=IFNA(INDEX(#REF!,MATCH([@[Property 2 Super Class 2]],meta_Classifiers[ID],0)),0)</v>
      </c>
      <c r="BD278" s="5"/>
      <c r="BE278" s="5"/>
    </row>
    <row r="279" spans="1:57">
      <c r="A279" s="10" t="s">
        <v>1243</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1014</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Overwrite]])&lt;&gt;"",meta_Columns[[#This Row],[Excel Column - Label Overwrite]],meta_Columns[[#This Row],[Excel Column - Label from Property or Referenced Table]])</f>
        <v>Property 2 Super Class 2:display:q.</v>
      </c>
      <c r="BB279" s="43" t="s">
        <v>983</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1244</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1014</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Overwrite]])&lt;&gt;"",meta_Columns[[#This Row],[Excel Column - Label Overwrite]],meta_Columns[[#This Row],[Excel Column - Label from Property or Referenced Table]])</f>
        <v>Property 2 Super Class 2</v>
      </c>
      <c r="BB280" s="43" t="s">
        <v>1553</v>
      </c>
      <c r="BC280" s="44" t="str">
        <f>IF(meta_Columns[[#This Row],[Excel Column - Explicit Excel Formula]]="","",meta_Columns[[#This Row],[Excel Column - Explicit Excel Formula]])</f>
        <v>Formula:=IFNA(INDEX(#REF!,MATCH([@[Property 2 Super Class 1]],meta_Classifiers[ID],0)),0)</v>
      </c>
      <c r="BD280" s="5"/>
      <c r="BE280" s="5"/>
    </row>
    <row r="281" spans="1:57">
      <c r="A281" s="10" t="s">
        <v>1245</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1014</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Overwrite]])&lt;&gt;"",meta_Columns[[#This Row],[Excel Column - Label Overwrite]],meta_Columns[[#This Row],[Excel Column - Label from Property or Referenced Table]])</f>
        <v>Property 2 Super Class 1:display:q.</v>
      </c>
      <c r="BB281" s="43" t="s">
        <v>984</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1246</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1014</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Overwrite]])&lt;&gt;"",meta_Columns[[#This Row],[Excel Column - Label Overwrite]],meta_Columns[[#This Row],[Excel Column - Label from Property or Referenced Table]])</f>
        <v>Property 2 Super Class 1</v>
      </c>
      <c r="BB282" s="43" t="s">
        <v>1554</v>
      </c>
      <c r="BC282" s="44" t="str">
        <f>IF(meta_Columns[[#This Row],[Excel Column - Explicit Excel Formula]]="","",meta_Columns[[#This Row],[Excel Column - Explicit Excel Formula]])</f>
        <v>Formula:=IFNA(INDEX(#REF!,MATCH([@[Property 2 or Cast Type]],meta_Classifiers[ID],0)),0)</v>
      </c>
      <c r="BD282" s="5"/>
      <c r="BE282" s="5"/>
    </row>
    <row r="283" spans="1:57">
      <c r="A283" s="10" t="s">
        <v>1247</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1014</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Overwrite]])&lt;&gt;"",meta_Columns[[#This Row],[Excel Column - Label Overwrite]],meta_Columns[[#This Row],[Excel Column - Label from Property or Referenced Table]])</f>
        <v>Property 2 Class:display:q.</v>
      </c>
      <c r="BB283" s="43" t="s">
        <v>985</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1248</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1014</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Overwrite]])&lt;&gt;"",meta_Columns[[#This Row],[Excel Column - Label Overwrite]],meta_Columns[[#This Row],[Excel Column - Label from Property or Referenced Table]])</f>
        <v>Property 2 or Cast Type Kind</v>
      </c>
      <c r="BB284" s="43" t="s">
        <v>1555</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1249</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1014</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Overwrite]])&lt;&gt;"",meta_Columns[[#This Row],[Excel Column - Label Overwrite]],meta_Columns[[#This Row],[Excel Column - Label from Property or Referenced Table]])</f>
        <v>Property 2 or Cast Type</v>
      </c>
      <c r="BB285" s="43" t="s">
        <v>1430</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1250</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1014</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Overwrite]])&lt;&gt;"",meta_Columns[[#This Row],[Excel Column - Label Overwrite]],meta_Columns[[#This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1251</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1014</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Overwrite]])&lt;&gt;"",meta_Columns[[#This Row],[Excel Column - Label Overwrite]],meta_Columns[[#This Row],[Excel Column - Label from Property or Referenced Table]])</f>
        <v>Property 3</v>
      </c>
      <c r="BB287" s="43" t="s">
        <v>897</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1252</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1014</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Overwrite]])&lt;&gt;"",meta_Columns[[#This Row],[Excel Column - Label Overwrite]],meta_Columns[[#This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1253</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1014</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Overwrite]])&lt;&gt;"",meta_Columns[[#This Row],[Excel Column - Label Overwrite]],meta_Columns[[#This Row],[Excel Column - Label from Property or Referenced Table]])</f>
        <v>Rule</v>
      </c>
      <c r="BB289" s="43" t="s">
        <v>898</v>
      </c>
      <c r="BC289" s="8" t="str">
        <f>IF(meta_Columns[[#This Row],[Excel Column - Explicit Excel Formula]]="","",meta_Columns[[#This Row],[Excel Column - Explicit Excel Formula]])</f>
        <v>Formula:=+"1"</v>
      </c>
      <c r="BD289" s="5"/>
      <c r="BE289" s="5"/>
    </row>
    <row r="290" spans="1:57">
      <c r="A290" s="10" t="s">
        <v>1254</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1014</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Overwrite]])&lt;&gt;"",meta_Columns[[#This Row],[Excel Column - Label Overwrite]],meta_Columns[[#This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1255</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1014</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Overwrite]])&lt;&gt;"",meta_Columns[[#This Row],[Excel Column - Label Overwrite]],meta_Columns[[#This Row],[Excel Column - Label from Property or Referenced Table]])</f>
        <v>VBA Code</v>
      </c>
      <c r="BB291" s="43" t="s">
        <v>899</v>
      </c>
      <c r="BC291" s="8" t="str">
        <f>IF(meta_Columns[[#This Row],[Excel Column - Explicit Excel Formula]]="","",meta_Columns[[#This Row],[Excel Column - Explicit Excel Formula]])</f>
        <v>Formula:=IF([@[Manual VBA Code]]&lt;&gt;"",[@[Manual VBA Code]],"TODO")</v>
      </c>
      <c r="BD291" s="5"/>
      <c r="BE291" s="5"/>
    </row>
    <row r="292" spans="1:57">
      <c r="A292" s="10" t="s">
        <v>1256</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1014</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Overwrite]])&lt;&gt;"",meta_Columns[[#This Row],[Excel Column - Label Overwrite]],meta_Columns[[#This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1257</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1014</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Overwrite]])&lt;&gt;"",meta_Columns[[#This Row],[Excel Column - Label Overwrite]],meta_Columns[[#This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1258</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1014</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Overwrite]])&lt;&gt;"",meta_Columns[[#This Row],[Excel Column - Label Overwrite]],meta_Columns[[#This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1259</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1014</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Overwrite]])&lt;&gt;"",meta_Columns[[#This Row],[Excel Column - Label Overwrite]],meta_Columns[[#This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1260</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1014</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Overwrite]])&lt;&gt;"",meta_Columns[[#This Row],[Excel Column - Label Overwrite]],meta_Columns[[#This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1261</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1014</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Overwrite]])&lt;&gt;"",meta_Columns[[#This Row],[Excel Column - Label Overwrite]],meta_Columns[[#This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1262</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1014</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Overwrite]])&lt;&gt;"",meta_Columns[[#This Row],[Excel Column - Label Overwrite]],meta_Columns[[#This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1263</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1019</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Overwrite]])&lt;&gt;"",meta_Columns[[#This Row],[Excel Column - Label Overwrite]],meta_Columns[[#This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1264</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1019</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Overwrite]])&lt;&gt;"",meta_Columns[[#This Row],[Excel Column - Label Overwrite]],meta_Columns[[#This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1265</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1019</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Overwrite]])&lt;&gt;"",meta_Columns[[#This Row],[Excel Column - Label Overwrite]],meta_Columns[[#This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1266</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1019</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Overwrite]])&lt;&gt;"",meta_Columns[[#This Row],[Excel Column - Label Overwrite]],meta_Columns[[#This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1267</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1019</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Overwrite]])&lt;&gt;"",meta_Columns[[#This Row],[Excel Column - Label Overwrite]],meta_Columns[[#This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1268</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1019</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Overwrite]])&lt;&gt;"",meta_Columns[[#This Row],[Excel Column - Label Overwrite]],meta_Columns[[#This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1269</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1009</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5" s="8" t="str">
        <f>IFERROR(LEFT(meta_Columns[[#This Row],[Excel Column - Label Actual without Semantic Case]],FIND("-",
meta_Columns[[#This Row],[Excel Column - Label Actual without Semantic Case]])-2),"")</f>
        <v/>
      </c>
      <c r="AU305"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5" s="22"/>
      <c r="AY305" s="8" t="str">
        <f>meta_Columns[[#This Row],[Owning Table]]&amp;"."&amp;meta_Columns[[#This Row],[Excel Column - Label]]</f>
        <v>meta::Snippets.ID</v>
      </c>
      <c r="AZ305" s="43" t="s">
        <v>0</v>
      </c>
      <c r="BA305" s="44" t="str">
        <f>IF(TRIM(meta_Columns[[#This Row],[Excel Column - Label Overwrite]])&lt;&gt;"",meta_Columns[[#This Row],[Excel Column - Label Overwrite]],meta_Columns[[#This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1357</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1009</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6" s="8" t="str">
        <f>IFERROR(LEFT(meta_Columns[[#This Row],[Excel Column - Label Actual without Semantic Case]],FIND("-",
meta_Columns[[#This Row],[Excel Column - Label Actual without Semantic Case]])-2),"")</f>
        <v/>
      </c>
      <c r="AU306"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6"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6" s="22"/>
      <c r="AY306" s="8" t="str">
        <f>meta_Columns[[#This Row],[Owning Table]]&amp;"."&amp;meta_Columns[[#This Row],[Excel Column - Label]]</f>
        <v>meta::Snippets.Kind:src</v>
      </c>
      <c r="AZ306" s="43" t="s">
        <v>230</v>
      </c>
      <c r="BA306" s="44" t="str">
        <f>IF(TRIM(meta_Columns[[#This Row],[Excel Column - Label Overwrite]])&lt;&gt;"",meta_Columns[[#This Row],[Excel Column - Label Overwrite]],meta_Columns[[#This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1358</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1009</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7" s="8" t="str">
        <f>IFERROR(LEFT(meta_Columns[[#This Row],[Excel Column - Label Actual without Semantic Case]],FIND("-",
meta_Columns[[#This Row],[Excel Column - Label Actual without Semantic Case]])-2),"")</f>
        <v/>
      </c>
      <c r="AU307"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7" s="22"/>
      <c r="AY307" s="8" t="str">
        <f>meta_Columns[[#This Row],[Owning Table]]&amp;"."&amp;meta_Columns[[#This Row],[Excel Column - Label]]</f>
        <v>meta::Snippets.Kind</v>
      </c>
      <c r="AZ307" s="43" t="s">
        <v>5</v>
      </c>
      <c r="BA307" s="44" t="str">
        <f>IF(TRIM(meta_Columns[[#This Row],[Excel Column - Label Overwrite]])&lt;&gt;"",meta_Columns[[#This Row],[Excel Column - Label Overwrite]],meta_Columns[[#This Row],[Excel Column - Label from Property or Referenced Table]])</f>
        <v>Kind</v>
      </c>
      <c r="BB307" s="43" t="s">
        <v>1484</v>
      </c>
      <c r="BC307" s="8" t="str">
        <f>IF(meta_Columns[[#This Row],[Excel Column - Explicit Excel Formula]]="","",meta_Columns[[#This Row],[Excel Column - Explicit Excel Formula]])</f>
        <v>Formula:= IF( TRIM( [@[Kind:src]] ) = "", "",
        INDEX( meta_Classifiers[Display Qualified], MATCH( [@[Kind:src]], meta_Classifiers[ID], 0 ) ) )</v>
      </c>
      <c r="BD307" s="5" t="s">
        <v>1461</v>
      </c>
      <c r="BE307" s="5"/>
    </row>
    <row r="308" spans="1:57">
      <c r="A308" s="10" t="s">
        <v>1359</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1009</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8" s="8" t="str">
        <f>IFERROR(LEFT(meta_Columns[[#This Row],[Excel Column - Label Actual without Semantic Case]],FIND("-",
meta_Columns[[#This Row],[Excel Column - Label Actual without Semantic Case]])-2),"")</f>
        <v/>
      </c>
      <c r="AU308"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8" s="22"/>
      <c r="AY308" s="8" t="str">
        <f>meta_Columns[[#This Row],[Owning Table]]&amp;"."&amp;meta_Columns[[#This Row],[Excel Column - Label]]</f>
        <v>meta::Snippets.Package</v>
      </c>
      <c r="AZ308" s="43" t="s">
        <v>120</v>
      </c>
      <c r="BA308" s="44" t="str">
        <f>IF(TRIM(meta_Columns[[#This Row],[Excel Column - Label Overwrite]])&lt;&gt;"",meta_Columns[[#This Row],[Excel Column - Label Overwrite]],meta_Columns[[#This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1270</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1009</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9" s="8" t="str">
        <f>IFERROR(LEFT(meta_Columns[[#This Row],[Excel Column - Label Actual without Semantic Case]],FIND("-",
meta_Columns[[#This Row],[Excel Column - Label Actual without Semantic Case]])-2),"")</f>
        <v/>
      </c>
      <c r="AU309"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9" s="22"/>
      <c r="AY309" s="8" t="str">
        <f>meta_Columns[[#This Row],[Owning Table]]&amp;"."&amp;meta_Columns[[#This Row],[Excel Column - Label]]</f>
        <v>meta::Snippets.Sub Package</v>
      </c>
      <c r="AZ309" s="43" t="s">
        <v>461</v>
      </c>
      <c r="BA309" s="44" t="str">
        <f>IF(TRIM(meta_Columns[[#This Row],[Excel Column - Label Overwrite]])&lt;&gt;"",meta_Columns[[#This Row],[Excel Column - Label Overwrite]],meta_Columns[[#This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1360</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1009</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0" s="8" t="str">
        <f>IFERROR(LEFT(meta_Columns[[#This Row],[Excel Column - Label Actual without Semantic Case]],FIND("-",
meta_Columns[[#This Row],[Excel Column - Label Actual without Semantic Case]])-2),"")</f>
        <v/>
      </c>
      <c r="AU310"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0" s="22"/>
      <c r="AY310" s="8" t="str">
        <f>meta_Columns[[#This Row],[Owning Table]]&amp;"."&amp;meta_Columns[[#This Row],[Excel Column - Label]]</f>
        <v>meta::Snippets.Line</v>
      </c>
      <c r="AZ310" s="43" t="s">
        <v>31</v>
      </c>
      <c r="BA310" s="44" t="str">
        <f>IF(TRIM(meta_Columns[[#This Row],[Excel Column - Label Overwrite]])&lt;&gt;"",meta_Columns[[#This Row],[Excel Column - Label Overwrite]],meta_Columns[[#This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1271</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1009</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1" s="8" t="str">
        <f>IFERROR(LEFT(meta_Columns[[#This Row],[Excel Column - Label Actual without Semantic Case]],FIND("-",
meta_Columns[[#This Row],[Excel Column - Label Actual without Semantic Case]])-2),"")</f>
        <v/>
      </c>
      <c r="AU311"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1" s="22"/>
      <c r="AY311" s="8" t="str">
        <f>meta_Columns[[#This Row],[Owning Table]]&amp;"."&amp;meta_Columns[[#This Row],[Excel Column - Label]]</f>
        <v>meta::Snippets.Snippet</v>
      </c>
      <c r="AZ311" s="43" t="s">
        <v>574</v>
      </c>
      <c r="BA311" s="44" t="str">
        <f>IF(TRIM(meta_Columns[[#This Row],[Excel Column - Label Overwrite]])&lt;&gt;"",meta_Columns[[#This Row],[Excel Column - Label Overwrite]],meta_Columns[[#This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1272</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1017</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Overwrite]])&lt;&gt;"",meta_Columns[[#This Row],[Excel Column - Label Overwrite]],meta_Columns[[#This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1273</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1017</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921</v>
      </c>
      <c r="BA313" s="44" t="str">
        <f>IF(TRIM(meta_Columns[[#This Row],[Excel Column - Label Overwrite]])&lt;&gt;"",meta_Columns[[#This Row],[Excel Column - Label Overwrite]],meta_Columns[[#This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1274</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1017</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Overwrite]])&lt;&gt;"",meta_Columns[[#This Row],[Excel Column - Label Overwrite]],meta_Columns[[#This Row],[Excel Column - Label from Property or Referenced Table]])</f>
        <v>Kind</v>
      </c>
      <c r="BB314" s="43"/>
      <c r="BC314" s="8" t="str">
        <f>IF(meta_Columns[[#This Row],[Excel Column - Explicit Excel Formula]]="","",meta_Columns[[#This Row],[Excel Column - Explicit Excel Formula]])</f>
        <v/>
      </c>
      <c r="BD314" s="5" t="s">
        <v>1461</v>
      </c>
      <c r="BE314" s="5"/>
    </row>
    <row r="315" spans="1:57">
      <c r="A315" s="10" t="s">
        <v>1275</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1017</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Overwrite]])&lt;&gt;"",meta_Columns[[#This Row],[Excel Column - Label Overwrite]],meta_Columns[[#This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1276</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1017</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Overwrite]])&lt;&gt;"",meta_Columns[[#This Row],[Excel Column - Label Overwrite]],meta_Columns[[#This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1277</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1017</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Overwrite]])&lt;&gt;"",meta_Columns[[#This Row],[Excel Column - Label Overwrite]],meta_Columns[[#This Row],[Excel Column - Label from Property or Referenced Table]])</f>
        <v>Display:q</v>
      </c>
      <c r="BB317" s="43" t="s">
        <v>873</v>
      </c>
      <c r="BC317" s="8" t="str">
        <f>IF(meta_Columns[[#This Row],[Excel Column - Explicit Excel Formula]]="","",meta_Columns[[#This Row],[Excel Column - Explicit Excel Formula]])</f>
        <v>Formula:=IF(TRIM([@Package])="","",TRIM(LOWER([@Package]))&amp;"::")&amp;[@Display]</v>
      </c>
      <c r="BD317" s="5"/>
      <c r="BE317" s="5"/>
    </row>
    <row r="318" spans="1:57">
      <c r="A318" s="10" t="s">
        <v>1278</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1017</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Overwrite]])&lt;&gt;"",meta_Columns[[#This Row],[Excel Column - Label Overwrite]],meta_Columns[[#This Row],[Excel Column - Label from Property or Referenced Table]])</f>
        <v>Display</v>
      </c>
      <c r="BB318" s="43" t="s">
        <v>878</v>
      </c>
      <c r="BC318" s="8" t="str">
        <f>IF(meta_Columns[[#This Row],[Excel Column - Explicit Excel Formula]]="","",meta_Columns[[#This Row],[Excel Column - Explicit Excel Formula]])</f>
        <v>Formula:=TRIM(SUBSTITUTE([@Name]," ",""))</v>
      </c>
      <c r="BD318" s="5"/>
      <c r="BE318" s="5"/>
    </row>
    <row r="319" spans="1:57">
      <c r="A319" s="10" t="s">
        <v>1279</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1017</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Overwrite]])&lt;&gt;"",meta_Columns[[#This Row],[Excel Column - Label Overwrite]],meta_Columns[[#This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1280</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1017</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Overwrite]])&lt;&gt;"",meta_Columns[[#This Row],[Excel Column - Label Overwrite]],meta_Columns[[#This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1281</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1017</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Overwrite]])&lt;&gt;"",meta_Columns[[#This Row],[Excel Column - Label Overwrite]],meta_Columns[[#This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1282</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1017</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Overwrite]])&lt;&gt;"",meta_Columns[[#This Row],[Excel Column - Label Overwrite]],meta_Columns[[#This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1283</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1017</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Overwrite]])&lt;&gt;"",meta_Columns[[#This Row],[Excel Column - Label Overwrite]],meta_Columns[[#This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1284</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1017</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Overwrite]])&lt;&gt;"",meta_Columns[[#This Row],[Excel Column - Label Overwrite]],meta_Columns[[#This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1285</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1017</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Overwrite]])&lt;&gt;"",meta_Columns[[#This Row],[Excel Column - Label Overwrite]],meta_Columns[[#This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1286</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1017</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Overwrite]])&lt;&gt;"",meta_Columns[[#This Row],[Excel Column - Label Overwrite]],meta_Columns[[#This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1287</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1017</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Overwrite]])&lt;&gt;"",meta_Columns[[#This Row],[Excel Column - Label Overwrite]],meta_Columns[[#This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1288</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1017</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Overwrite]])&lt;&gt;"",meta_Columns[[#This Row],[Excel Column - Label Overwrite]],meta_Columns[[#This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1289</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1017</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Overwrite]])&lt;&gt;"",meta_Columns[[#This Row],[Excel Column - Label Overwrite]],meta_Columns[[#This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1290</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1017</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Overwrite]])&lt;&gt;"",meta_Columns[[#This Row],[Excel Column - Label Overwrite]],meta_Columns[[#This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1291</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1017</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Overwrite]])&lt;&gt;"",meta_Columns[[#This Row],[Excel Column - Label Overwrite]],meta_Columns[[#This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1292</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1017</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Overwrite]])&lt;&gt;"",meta_Columns[[#This Row],[Excel Column - Label Overwrite]],meta_Columns[[#This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1293</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1012</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Overwrite]])&lt;&gt;"",meta_Columns[[#This Row],[Excel Column - Label Overwrite]],meta_Columns[[#This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1365</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1012</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Overwrite]])&lt;&gt;"",meta_Columns[[#This Row],[Excel Column - Label Overwrite]],meta_Columns[[#This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1367</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1012</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Overwrite]])&lt;&gt;"",meta_Columns[[#This Row],[Excel Column - Label Overwrite]],meta_Columns[[#This Row],[Excel Column - Label from Property or Referenced Table]])</f>
        <v>Kind</v>
      </c>
      <c r="BB335" s="43" t="s">
        <v>1484</v>
      </c>
      <c r="BC335" s="44" t="str">
        <f>IF(meta_Columns[[#This Row],[Excel Column - Explicit Excel Formula]]="","",meta_Columns[[#This Row],[Excel Column - Explicit Excel Formula]])</f>
        <v>Formula:= IF( TRIM( [@[Kind:src]] ) = "", "",
        INDEX( meta_Classifiers[Display Qualified], MATCH( [@[Kind:src]], meta_Classifiers[ID], 0 ) ) )</v>
      </c>
      <c r="BD335" s="5" t="s">
        <v>1461</v>
      </c>
      <c r="BE335" s="5"/>
    </row>
    <row r="336" spans="1:57">
      <c r="A336" s="10" t="s">
        <v>1368</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1012</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Overwrite]])&lt;&gt;"",meta_Columns[[#This Row],[Excel Column - Label Overwrite]],meta_Columns[[#This Row],[Excel Column - Label from Property or Referenced Table]])</f>
        <v>Package</v>
      </c>
      <c r="BB336" s="43" t="s">
        <v>1450</v>
      </c>
      <c r="BC336" s="44" t="str">
        <f>IF(meta_Columns[[#This Row],[Excel Column - Explicit Excel Formula]]="","",meta_Columns[[#This Row],[Excel Column - Explicit Excel Formula]])</f>
        <v>Formula:=IFERROR(LEFT([@[Excel Table - Excel Name]],FIND("_",[@[Excel Table - Excel Name]])-1),"")</v>
      </c>
      <c r="BD336" s="5"/>
      <c r="BE336" s="5"/>
    </row>
    <row r="337" spans="1:57">
      <c r="A337" s="10" t="s">
        <v>1295</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1012</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Overwrite]])&lt;&gt;"",meta_Columns[[#This Row],[Excel Column - Label Overwrite]],meta_Columns[[#This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1296</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1012</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Overwrite]])&lt;&gt;"",meta_Columns[[#This Row],[Excel Column - Label Overwrite]],meta_Columns[[#This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1297</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1012</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Overwrite]])&lt;&gt;"",meta_Columns[[#This Row],[Excel Column - Label Overwrite]],meta_Columns[[#This Row],[Excel Column - Label from Property or Referenced Table]])</f>
        <v>Display Qualified</v>
      </c>
      <c r="BB339" s="43" t="s">
        <v>906</v>
      </c>
      <c r="BC339" s="44" t="str">
        <f>IF(meta_Columns[[#This Row],[Excel Column - Explicit Excel Formula]]="","",meta_Columns[[#This Row],[Excel Column - Explicit Excel Formula]])</f>
        <v>Formula:=IF([@Package]="","",[@Package]&amp;"::")&amp;[@Display]</v>
      </c>
      <c r="BD339" s="5"/>
      <c r="BE339" s="5"/>
    </row>
    <row r="340" spans="1:57">
      <c r="A340" s="10" t="s">
        <v>1298</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1012</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Overwrite]])&lt;&gt;"",meta_Columns[[#This Row],[Excel Column - Label Overwrite]],meta_Columns[[#This Row],[Excel Column - Label from Property or Referenced Table]])</f>
        <v>Display</v>
      </c>
      <c r="BB340" s="43" t="s">
        <v>1389</v>
      </c>
      <c r="BC340" s="44" t="str">
        <f>IF(meta_Columns[[#This Row],[Excel Column - Explicit Excel Formula]]="","",meta_Columns[[#This Row],[Excel Column - Explicit Excel Formula]])</f>
        <v>Formula:=camelCaseUpper([@Name])</v>
      </c>
      <c r="BD340" s="5"/>
      <c r="BE340" s="5"/>
    </row>
    <row r="341" spans="1:57">
      <c r="A341" s="10" t="s">
        <v>1299</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1012</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Overwrite]])&lt;&gt;"",meta_Columns[[#This Row],[Excel Column - Label Overwrite]],meta_Columns[[#This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1369</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1012</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998</v>
      </c>
      <c r="BA342" s="44" t="str">
        <f>IF(TRIM(meta_Columns[[#This Row],[Excel Column - Label Overwrite]])&lt;&gt;"",meta_Columns[[#This Row],[Excel Column - Label Overwrite]],meta_Columns[[#This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1300</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1012</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Overwrite]])&lt;&gt;"",meta_Columns[[#This Row],[Excel Column - Label Overwrite]],meta_Columns[[#This Row],[Excel Column - Label from Property or Referenced Table]])</f>
        <v>Instances Class</v>
      </c>
      <c r="BB343" s="43" t="s">
        <v>1489</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1461</v>
      </c>
      <c r="BE343" s="5"/>
    </row>
    <row r="344" spans="1:57">
      <c r="A344" s="10" t="s">
        <v>1301</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1012</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Overwrite]])&lt;&gt;"",meta_Columns[[#This Row],[Excel Column - Label Overwrite]],meta_Columns[[#This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1302</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1012</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Overwrite]])&lt;&gt;"",meta_Columns[[#This Row],[Excel Column - Label Overwrite]],meta_Columns[[#This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1303</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1012</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Overwrite]])&lt;&gt;"",meta_Columns[[#This Row],[Excel Column - Label Overwrite]],meta_Columns[[#This Row],[Excel Column - Label from Property or Referenced Table]])</f>
        <v xml:space="preserve">ExceFormula Previous Line </v>
      </c>
      <c r="BB346" s="43" t="s">
        <v>907</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1304</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1012</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Overwrite]])&lt;&gt;"",meta_Columns[[#This Row],[Excel Column - Label Overwrite]],meta_Columns[[#This Row],[Excel Column - Label from Property or Referenced Table]])</f>
        <v>Excel Formula for Column "Excel Column - Label Actual" of Table Columns</v>
      </c>
      <c r="BB347" s="43" t="s">
        <v>1490</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1305</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1011</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Overwrite]])&lt;&gt;"",meta_Columns[[#This Row],[Excel Column - Label Overwrite]],meta_Columns[[#This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1399</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1011</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Overwrite]])&lt;&gt;"",meta_Columns[[#This Row],[Excel Column - Label Overwrite]],meta_Columns[[#This Row],[Excel Column - Label from Property or Referenced Table]])</f>
        <v>Kind:src</v>
      </c>
      <c r="BB349" s="43" t="s">
        <v>1366</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1294</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1011</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Overwrite]])&lt;&gt;"",meta_Columns[[#This Row],[Excel Column - Label Overwrite]],meta_Columns[[#This Row],[Excel Column - Label from Property or Referenced Table]])</f>
        <v>Kind</v>
      </c>
      <c r="BB350" s="43"/>
      <c r="BC350" s="44" t="str">
        <f>IF(meta_Columns[[#This Row],[Excel Column - Explicit Excel Formula]]="","",meta_Columns[[#This Row],[Excel Column - Explicit Excel Formula]])</f>
        <v/>
      </c>
      <c r="BD350" s="5" t="s">
        <v>1461</v>
      </c>
      <c r="BE350" s="5"/>
    </row>
    <row r="351" spans="1:57">
      <c r="A351" s="10" t="s">
        <v>1306</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1011</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Overwrite]])&lt;&gt;"",meta_Columns[[#This Row],[Excel Column - Label Overwrite]],meta_Columns[[#This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1400</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1011</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Overwrite]])&lt;&gt;"",meta_Columns[[#This Row],[Excel Column - Label Overwrite]],meta_Columns[[#This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1307</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1011</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Overwrite]])&lt;&gt;"",meta_Columns[[#This Row],[Excel Column - Label Overwrite]],meta_Columns[[#This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1401</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1011</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Overwrite]])&lt;&gt;"",meta_Columns[[#This Row],[Excel Column - Label Overwrite]],meta_Columns[[#This Row],[Excel Column - Label from Property or Referenced Table]])</f>
        <v>Containing Class</v>
      </c>
      <c r="BB354" s="43" t="s">
        <v>1402</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1403</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1011</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Overwrite]])&lt;&gt;"",meta_Columns[[#This Row],[Excel Column - Label Overwrite]],meta_Columns[[#This Row],[Excel Column - Label from Property or Referenced Table]])</f>
        <v>Containing Class:display</v>
      </c>
      <c r="BB355" s="43" t="s">
        <v>874</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1404</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1011</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993</v>
      </c>
      <c r="BA356" s="44" t="str">
        <f>IF(TRIM(meta_Columns[[#This Row],[Excel Column - Label Overwrite]])&lt;&gt;"",meta_Columns[[#This Row],[Excel Column - Label Overwrite]],meta_Columns[[#This Row],[Excel Column - Label from Property or Referenced Table]])</f>
        <v>Property - Owning Class:src</v>
      </c>
      <c r="BB356" s="43" t="s">
        <v>1405</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1406</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1011</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Overwrite]])&lt;&gt;"",meta_Columns[[#This Row],[Excel Column - Label Overwrite]],meta_Columns[[#This Row],[Excel Column - Label from Property or Referenced Table]])</f>
        <v>Property - Owning Class</v>
      </c>
      <c r="BB357" s="43"/>
      <c r="BC357" s="44" t="str">
        <f>IF(meta_Columns[[#This Row],[Excel Column - Explicit Excel Formula]]="","",meta_Columns[[#This Row],[Excel Column - Explicit Excel Formula]])</f>
        <v/>
      </c>
      <c r="BD357" s="5" t="s">
        <v>1461</v>
      </c>
      <c r="BE357" s="5"/>
    </row>
    <row r="358" spans="1:57">
      <c r="A358" s="10" t="s">
        <v>1407</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1011</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Overwrite]])&lt;&gt;"",meta_Columns[[#This Row],[Excel Column - Label Overwrite]],meta_Columns[[#This Row],[Excel Column - Label from Property or Referenced Table]])</f>
        <v>Display Qualified</v>
      </c>
      <c r="BB358" s="43" t="s">
        <v>1435</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3"/>
      <c r="B359" s="5" t="s">
        <v>546</v>
      </c>
      <c r="C359" s="124" t="str">
        <f xml:space="preserve"> IF( TRIM( meta_Columns[[#This Row],[Kind:src]] ) = "", "",
        INDEX( meta_Classifiers[Display Qualified], MATCH( meta_Columns[[#This Row],[Kind:src]], meta_Classifiers[ID], 0 ) ) )</f>
        <v>ExcelColumn</v>
      </c>
      <c r="D359" s="125" t="str">
        <f>IF(meta_Columns[[#This Row],[Owning Table:src]]="","",INDEX(meta_Classifiers[Package],MATCH(meta_Columns[[#This Row],[Owning Table Instances Class]],meta_Classifiers[ID],0)))</f>
        <v>meta</v>
      </c>
      <c r="E359" s="124"/>
      <c r="F359" s="125" t="str">
        <f>INDEX(meta_Tables[Excel Table - Excel Name],MATCH(meta_Columns[[#This Row],[Owning Table:src]],meta_Tables[ID],0))</f>
        <v>meta_TypedModelElements</v>
      </c>
      <c r="G359" s="125" t="str">
        <f>INDEX(meta_Tables[Instances Class:src],MATCH(meta_Columns[[#This Row],[Owning Table:src]],meta_Tables[ID],0))</f>
        <v>_TypedModelElement</v>
      </c>
      <c r="H359" s="11" t="s">
        <v>1011</v>
      </c>
      <c r="I359" s="124" t="str">
        <f xml:space="preserve"> IF( TRIM( meta_Columns[[#This Row],[Owning Table:src]] ) = "", "",
        INDEX( meta_Tables[Display Qualified], MATCH( meta_Columns[[#This Row],[Owning Table:src]], meta_Tables[ID], 0 ) ) )</f>
        <v>meta::TypedModelElements</v>
      </c>
      <c r="K359" s="22" t="str">
        <f>IF(TRIM(meta_Columns[[#This Row],[Referenced Table:src]])="","",
    INDEX(meta_Tables[Display Qualified],MATCH(meta_Columns[[#This Row],[Referenced Table:src]],meta_Tables[ID],0)))</f>
        <v/>
      </c>
      <c r="L359" s="8"/>
      <c r="M359" s="22"/>
      <c r="N359" s="8" t="str">
        <f>IF(meta_Columns[[#This Row],[Excel Column - Excel Formula]]="","x","")</f>
        <v>x</v>
      </c>
      <c r="O359" s="22"/>
      <c r="P359" s="8" t="str">
        <f>IF(meta_Columns[[#This Row],[Referenced Table:src]]="","",INDEX(meta_Tables[Instances Class],MATCH(meta_Columns[[#This Row],[Referenced Table:src]],meta_Tables[ID],0)))</f>
        <v/>
      </c>
      <c r="Q3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8"/>
      <c r="S359" s="126" t="str">
        <f xml:space="preserve"> IF( TRIM( meta_Columns[[#This Row],[Property:src]] ) = "", "",
        INDEX( meta_TypedModelElements[Display Qualified], MATCH( meta_Columns[[#This Row],[Property:src]], meta_TypedModelElements[ID], 0 ) ) )</f>
        <v/>
      </c>
      <c r="T359" s="126"/>
      <c r="U359" s="8" t="e">
        <f>INDEX(meta_Classifiers[Class - Generalization:src], MATCH(meta_Columns[[#This Row],[Generalization 5]],meta_Classifiers[ID],0))</f>
        <v>#N/A</v>
      </c>
      <c r="V359" s="8" t="e">
        <f>INDEX(meta_Classifiers[Class - Generalization:src], MATCH(meta_Columns[[#This Row],[Generalization 4]],meta_Classifiers[ID],0))</f>
        <v>#N/A</v>
      </c>
      <c r="W359" s="8" t="e">
        <f>INDEX(meta_Classifiers[Class - Generalization:src], MATCH(meta_Columns[[#This Row],[Generalization 3]],meta_Classifiers[ID],0))</f>
        <v>#N/A</v>
      </c>
      <c r="X359" s="8" t="str">
        <f>INDEX(meta_Classifiers[Class - Generalization:src], MATCH(meta_Columns[[#This Row],[Generalization 2]],meta_Classifiers[ID],0))</f>
        <v/>
      </c>
      <c r="Y359" s="8" t="str">
        <f>INDEX(meta_Classifiers[Class - Generalization:src], MATCH(meta_Columns[[#This Row],[Generalization 1]],meta_Classifiers[ID],0))</f>
        <v>_Object</v>
      </c>
      <c r="Z359" s="8" t="str">
        <f>INDEX(meta_Classifiers[Class - Generalization:src], MATCH(meta_Columns[[#This Row],[Owning Table Instances Class]],meta_Classifiers[ID],0))</f>
        <v>_NamedElement</v>
      </c>
      <c r="AA359"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8" t="e">
        <f>INDEX(meta_Classifiers[Name],MATCH(INDEX(meta_TypedModelElements[Property - Owning Class:src],MATCH(meta_Columns[[#This Row],[Property]],meta_TypedModelElements[ID],0)),meta_Classifiers[ID],0))</f>
        <v>#N/A</v>
      </c>
      <c r="AJ359" s="127" t="e">
        <f>INDEX(meta_TypedModelElements[Property - Owning Class:src],MATCH(meta_Columns[[#This Row],[Property]],meta_TypedModelElements[ID],0))</f>
        <v>#N/A</v>
      </c>
      <c r="AK359" s="8" t="e">
        <f>INDEX(meta_TypedModelElements[Kind:src],MATCH(meta_Columns[[#This Row],[Property]],meta_TypedModelElements[ID],0))</f>
        <v>#N/A</v>
      </c>
      <c r="AL359" s="127" t="e">
        <f>INDEX(meta_TypedModelElements[Name or Type],MATCH(meta_Columns[[#This Row],[Property]],meta_TypedModelElements[ID],0))</f>
        <v>#N/A</v>
      </c>
      <c r="AM359" s="127" t="e">
        <f>INDEX(meta_TypedModelElements[Property - Changeable],MATCH(meta_Columns[[#This Row],[Property]],meta_TypedModelElements[ID],0))</f>
        <v>#N/A</v>
      </c>
      <c r="AN359" s="43">
        <v>12</v>
      </c>
      <c r="AO359" s="22"/>
      <c r="AP359"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8" t="str">
        <f xml:space="preserve"> IF(meta_Columns[[#This Row],[Property Owning Class is Specialization of Instance Class]],meta_Columns[[#This Row],[Property Owning Class Name]]&amp;" - ","")</f>
        <v/>
      </c>
      <c r="AR3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8" t="str">
        <f>IFERROR(LEFT(meta_Columns[[#This Row],[Excel Column - Label Actual without Semantic Case]],FIND("-",
meta_Columns[[#This Row],[Excel Column - Label Actual without Semantic Case]])-2),"")</f>
        <v/>
      </c>
      <c r="AU3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26"/>
      <c r="AY359" s="8" t="e">
        <f>meta_Columns[[#This Row],[Owning Table]]&amp;"."&amp;meta_Columns[[#This Row],[Excel Column - Label]]</f>
        <v>#N/A</v>
      </c>
      <c r="AZ359" s="124"/>
      <c r="BA359" s="125" t="e">
        <f>IF(TRIM(meta_Columns[[#This Row],[Excel Column - Label Overwrite]])&lt;&gt;"",meta_Columns[[#This Row],[Excel Column - Label Overwrite]],meta_Columns[[#This Row],[Excel Column - Label from Property or Referenced Table]])</f>
        <v>#N/A</v>
      </c>
      <c r="BB359" s="124"/>
      <c r="BC359" s="125" t="str">
        <f>IF(meta_Columns[[#This Row],[Excel Column - Explicit Excel Formula]]="","",meta_Columns[[#This Row],[Excel Column - Explicit Excel Formula]])</f>
        <v/>
      </c>
      <c r="BD359" s="128"/>
      <c r="BE359" s="128"/>
    </row>
    <row r="360" spans="1:57">
      <c r="A360" s="123"/>
      <c r="B360" s="5" t="s">
        <v>546</v>
      </c>
      <c r="C360" s="124" t="str">
        <f xml:space="preserve"> IF( TRIM( meta_Columns[[#This Row],[Kind:src]] ) = "", "",
        INDEX( meta_Classifiers[Display Qualified], MATCH( meta_Columns[[#This Row],[Kind:src]], meta_Classifiers[ID], 0 ) ) )</f>
        <v>ExcelColumn</v>
      </c>
      <c r="D360" s="125" t="str">
        <f>IF(meta_Columns[[#This Row],[Owning Table:src]]="","",INDEX(meta_Classifiers[Package],MATCH(meta_Columns[[#This Row],[Owning Table Instances Class]],meta_Classifiers[ID],0)))</f>
        <v>meta</v>
      </c>
      <c r="E360" s="124"/>
      <c r="F360" s="125" t="str">
        <f>INDEX(meta_Tables[Excel Table - Excel Name],MATCH(meta_Columns[[#This Row],[Owning Table:src]],meta_Tables[ID],0))</f>
        <v>meta_TypedModelElements</v>
      </c>
      <c r="G360" s="125" t="str">
        <f>INDEX(meta_Tables[Instances Class:src],MATCH(meta_Columns[[#This Row],[Owning Table:src]],meta_Tables[ID],0))</f>
        <v>_TypedModelElement</v>
      </c>
      <c r="H360" s="11" t="s">
        <v>1011</v>
      </c>
      <c r="I360" s="124" t="str">
        <f xml:space="preserve"> IF( TRIM( meta_Columns[[#This Row],[Owning Table:src]] ) = "", "",
        INDEX( meta_Tables[Display Qualified], MATCH( meta_Columns[[#This Row],[Owning Table:src]], meta_Tables[ID], 0 ) ) )</f>
        <v>meta::TypedModelElements</v>
      </c>
      <c r="K360" s="22" t="str">
        <f>IF(TRIM(meta_Columns[[#This Row],[Referenced Table:src]])="","",
    INDEX(meta_Tables[Display Qualified],MATCH(meta_Columns[[#This Row],[Referenced Table:src]],meta_Tables[ID],0)))</f>
        <v/>
      </c>
      <c r="L360" s="8"/>
      <c r="M360" s="22"/>
      <c r="N360" s="8" t="str">
        <f>IF(meta_Columns[[#This Row],[Excel Column - Excel Formula]]="","x","")</f>
        <v>x</v>
      </c>
      <c r="O360" s="22"/>
      <c r="P360" s="8" t="str">
        <f>IF(meta_Columns[[#This Row],[Referenced Table:src]]="","",INDEX(meta_Tables[Instances Class],MATCH(meta_Columns[[#This Row],[Referenced Table:src]],meta_Tables[ID],0)))</f>
        <v/>
      </c>
      <c r="Q3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8"/>
      <c r="S360" s="126" t="str">
        <f xml:space="preserve"> IF( TRIM( meta_Columns[[#This Row],[Property:src]] ) = "", "",
        INDEX( meta_TypedModelElements[Display Qualified], MATCH( meta_Columns[[#This Row],[Property:src]], meta_TypedModelElements[ID], 0 ) ) )</f>
        <v/>
      </c>
      <c r="T360" s="126"/>
      <c r="U360" s="8" t="e">
        <f>INDEX(meta_Classifiers[Class - Generalization:src], MATCH(meta_Columns[[#This Row],[Generalization 5]],meta_Classifiers[ID],0))</f>
        <v>#N/A</v>
      </c>
      <c r="V360" s="8" t="e">
        <f>INDEX(meta_Classifiers[Class - Generalization:src], MATCH(meta_Columns[[#This Row],[Generalization 4]],meta_Classifiers[ID],0))</f>
        <v>#N/A</v>
      </c>
      <c r="W360" s="8" t="e">
        <f>INDEX(meta_Classifiers[Class - Generalization:src], MATCH(meta_Columns[[#This Row],[Generalization 3]],meta_Classifiers[ID],0))</f>
        <v>#N/A</v>
      </c>
      <c r="X360" s="8" t="str">
        <f>INDEX(meta_Classifiers[Class - Generalization:src], MATCH(meta_Columns[[#This Row],[Generalization 2]],meta_Classifiers[ID],0))</f>
        <v/>
      </c>
      <c r="Y360" s="8" t="str">
        <f>INDEX(meta_Classifiers[Class - Generalization:src], MATCH(meta_Columns[[#This Row],[Generalization 1]],meta_Classifiers[ID],0))</f>
        <v>_Object</v>
      </c>
      <c r="Z360" s="8" t="str">
        <f>INDEX(meta_Classifiers[Class - Generalization:src], MATCH(meta_Columns[[#This Row],[Owning Table Instances Class]],meta_Classifiers[ID],0))</f>
        <v>_NamedElement</v>
      </c>
      <c r="AA360"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8" t="e">
        <f>INDEX(meta_Classifiers[Name],MATCH(INDEX(meta_TypedModelElements[Property - Owning Class:src],MATCH(meta_Columns[[#This Row],[Property]],meta_TypedModelElements[ID],0)),meta_Classifiers[ID],0))</f>
        <v>#N/A</v>
      </c>
      <c r="AJ360" s="127" t="e">
        <f>INDEX(meta_TypedModelElements[Property - Owning Class:src],MATCH(meta_Columns[[#This Row],[Property]],meta_TypedModelElements[ID],0))</f>
        <v>#N/A</v>
      </c>
      <c r="AK360" s="8" t="e">
        <f>INDEX(meta_TypedModelElements[Kind:src],MATCH(meta_Columns[[#This Row],[Property]],meta_TypedModelElements[ID],0))</f>
        <v>#N/A</v>
      </c>
      <c r="AL360" s="127" t="e">
        <f>INDEX(meta_TypedModelElements[Name or Type],MATCH(meta_Columns[[#This Row],[Property]],meta_TypedModelElements[ID],0))</f>
        <v>#N/A</v>
      </c>
      <c r="AM360" s="127" t="e">
        <f>INDEX(meta_TypedModelElements[Property - Changeable],MATCH(meta_Columns[[#This Row],[Property]],meta_TypedModelElements[ID],0))</f>
        <v>#N/A</v>
      </c>
      <c r="AN360" s="43">
        <v>13</v>
      </c>
      <c r="AO360" s="22"/>
      <c r="AP360"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8" t="str">
        <f xml:space="preserve"> IF(meta_Columns[[#This Row],[Property Owning Class is Specialization of Instance Class]],meta_Columns[[#This Row],[Property Owning Class Name]]&amp;" - ","")</f>
        <v/>
      </c>
      <c r="AR3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8" t="str">
        <f>IFERROR(LEFT(meta_Columns[[#This Row],[Excel Column - Label Actual without Semantic Case]],FIND("-",
meta_Columns[[#This Row],[Excel Column - Label Actual without Semantic Case]])-2),"")</f>
        <v/>
      </c>
      <c r="AU3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26"/>
      <c r="AY360" s="8" t="e">
        <f>meta_Columns[[#This Row],[Owning Table]]&amp;"."&amp;meta_Columns[[#This Row],[Excel Column - Label]]</f>
        <v>#N/A</v>
      </c>
      <c r="AZ360" s="124"/>
      <c r="BA360" s="125" t="e">
        <f>IF(TRIM(meta_Columns[[#This Row],[Excel Column - Label Overwrite]])&lt;&gt;"",meta_Columns[[#This Row],[Excel Column - Label Overwrite]],meta_Columns[[#This Row],[Excel Column - Label from Property or Referenced Table]])</f>
        <v>#N/A</v>
      </c>
      <c r="BB360" s="124"/>
      <c r="BC360" s="125" t="str">
        <f>IF(meta_Columns[[#This Row],[Excel Column - Explicit Excel Formula]]="","",meta_Columns[[#This Row],[Excel Column - Explicit Excel Formula]])</f>
        <v/>
      </c>
      <c r="BD360" s="128"/>
      <c r="BE360" s="128"/>
    </row>
    <row r="361" spans="1:57">
      <c r="A361" s="123"/>
      <c r="B361" s="5" t="s">
        <v>546</v>
      </c>
      <c r="C361" s="124" t="str">
        <f xml:space="preserve"> IF( TRIM( meta_Columns[[#This Row],[Kind:src]] ) = "", "",
        INDEX( meta_Classifiers[Display Qualified], MATCH( meta_Columns[[#This Row],[Kind:src]], meta_Classifiers[ID], 0 ) ) )</f>
        <v>ExcelColumn</v>
      </c>
      <c r="D361" s="125" t="str">
        <f>IF(meta_Columns[[#This Row],[Owning Table:src]]="","",INDEX(meta_Classifiers[Package],MATCH(meta_Columns[[#This Row],[Owning Table Instances Class]],meta_Classifiers[ID],0)))</f>
        <v>meta</v>
      </c>
      <c r="E361" s="124"/>
      <c r="F361" s="125" t="str">
        <f>INDEX(meta_Tables[Excel Table - Excel Name],MATCH(meta_Columns[[#This Row],[Owning Table:src]],meta_Tables[ID],0))</f>
        <v>meta_TypedModelElements</v>
      </c>
      <c r="G361" s="125" t="str">
        <f>INDEX(meta_Tables[Instances Class:src],MATCH(meta_Columns[[#This Row],[Owning Table:src]],meta_Tables[ID],0))</f>
        <v>_TypedModelElement</v>
      </c>
      <c r="H361" s="11" t="s">
        <v>1011</v>
      </c>
      <c r="I361" s="124" t="str">
        <f xml:space="preserve"> IF( TRIM( meta_Columns[[#This Row],[Owning Table:src]] ) = "", "",
        INDEX( meta_Tables[Display Qualified], MATCH( meta_Columns[[#This Row],[Owning Table:src]], meta_Tables[ID], 0 ) ) )</f>
        <v>meta::TypedModelElements</v>
      </c>
      <c r="K361" s="22" t="str">
        <f>IF(TRIM(meta_Columns[[#This Row],[Referenced Table:src]])="","",
    INDEX(meta_Tables[Display Qualified],MATCH(meta_Columns[[#This Row],[Referenced Table:src]],meta_Tables[ID],0)))</f>
        <v/>
      </c>
      <c r="L361" s="8"/>
      <c r="M361" s="22"/>
      <c r="N361" s="8" t="str">
        <f>IF(meta_Columns[[#This Row],[Excel Column - Excel Formula]]="","x","")</f>
        <v>x</v>
      </c>
      <c r="O361" s="22"/>
      <c r="P361" s="8" t="str">
        <f>IF(meta_Columns[[#This Row],[Referenced Table:src]]="","",INDEX(meta_Tables[Instances Class],MATCH(meta_Columns[[#This Row],[Referenced Table:src]],meta_Tables[ID],0)))</f>
        <v/>
      </c>
      <c r="Q3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8"/>
      <c r="S361" s="126" t="str">
        <f xml:space="preserve"> IF( TRIM( meta_Columns[[#This Row],[Property:src]] ) = "", "",
        INDEX( meta_TypedModelElements[Display Qualified], MATCH( meta_Columns[[#This Row],[Property:src]], meta_TypedModelElements[ID], 0 ) ) )</f>
        <v/>
      </c>
      <c r="T361" s="126"/>
      <c r="U361" s="8" t="e">
        <f>INDEX(meta_Classifiers[Class - Generalization:src], MATCH(meta_Columns[[#This Row],[Generalization 5]],meta_Classifiers[ID],0))</f>
        <v>#N/A</v>
      </c>
      <c r="V361" s="8" t="e">
        <f>INDEX(meta_Classifiers[Class - Generalization:src], MATCH(meta_Columns[[#This Row],[Generalization 4]],meta_Classifiers[ID],0))</f>
        <v>#N/A</v>
      </c>
      <c r="W361" s="8" t="e">
        <f>INDEX(meta_Classifiers[Class - Generalization:src], MATCH(meta_Columns[[#This Row],[Generalization 3]],meta_Classifiers[ID],0))</f>
        <v>#N/A</v>
      </c>
      <c r="X361" s="8" t="str">
        <f>INDEX(meta_Classifiers[Class - Generalization:src], MATCH(meta_Columns[[#This Row],[Generalization 2]],meta_Classifiers[ID],0))</f>
        <v/>
      </c>
      <c r="Y361" s="8" t="str">
        <f>INDEX(meta_Classifiers[Class - Generalization:src], MATCH(meta_Columns[[#This Row],[Generalization 1]],meta_Classifiers[ID],0))</f>
        <v>_Object</v>
      </c>
      <c r="Z361" s="8" t="str">
        <f>INDEX(meta_Classifiers[Class - Generalization:src], MATCH(meta_Columns[[#This Row],[Owning Table Instances Class]],meta_Classifiers[ID],0))</f>
        <v>_NamedElement</v>
      </c>
      <c r="AA361"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8" t="e">
        <f>INDEX(meta_Classifiers[Name],MATCH(INDEX(meta_TypedModelElements[Property - Owning Class:src],MATCH(meta_Columns[[#This Row],[Property]],meta_TypedModelElements[ID],0)),meta_Classifiers[ID],0))</f>
        <v>#N/A</v>
      </c>
      <c r="AJ361" s="127" t="e">
        <f>INDEX(meta_TypedModelElements[Property - Owning Class:src],MATCH(meta_Columns[[#This Row],[Property]],meta_TypedModelElements[ID],0))</f>
        <v>#N/A</v>
      </c>
      <c r="AK361" s="8" t="e">
        <f>INDEX(meta_TypedModelElements[Kind:src],MATCH(meta_Columns[[#This Row],[Property]],meta_TypedModelElements[ID],0))</f>
        <v>#N/A</v>
      </c>
      <c r="AL361" s="127" t="e">
        <f>INDEX(meta_TypedModelElements[Name or Type],MATCH(meta_Columns[[#This Row],[Property]],meta_TypedModelElements[ID],0))</f>
        <v>#N/A</v>
      </c>
      <c r="AM361" s="127" t="e">
        <f>INDEX(meta_TypedModelElements[Property - Changeable],MATCH(meta_Columns[[#This Row],[Property]],meta_TypedModelElements[ID],0))</f>
        <v>#N/A</v>
      </c>
      <c r="AN361" s="43">
        <v>14</v>
      </c>
      <c r="AO361" s="22"/>
      <c r="AP361"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8" t="str">
        <f xml:space="preserve"> IF(meta_Columns[[#This Row],[Property Owning Class is Specialization of Instance Class]],meta_Columns[[#This Row],[Property Owning Class Name]]&amp;" - ","")</f>
        <v/>
      </c>
      <c r="AR3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8" t="str">
        <f>IFERROR(LEFT(meta_Columns[[#This Row],[Excel Column - Label Actual without Semantic Case]],FIND("-",
meta_Columns[[#This Row],[Excel Column - Label Actual without Semantic Case]])-2),"")</f>
        <v/>
      </c>
      <c r="AU3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26"/>
      <c r="AY361" s="8" t="e">
        <f>meta_Columns[[#This Row],[Owning Table]]&amp;"."&amp;meta_Columns[[#This Row],[Excel Column - Label]]</f>
        <v>#N/A</v>
      </c>
      <c r="AZ361" s="124"/>
      <c r="BA361" s="125" t="e">
        <f>IF(TRIM(meta_Columns[[#This Row],[Excel Column - Label Overwrite]])&lt;&gt;"",meta_Columns[[#This Row],[Excel Column - Label Overwrite]],meta_Columns[[#This Row],[Excel Column - Label from Property or Referenced Table]])</f>
        <v>#N/A</v>
      </c>
      <c r="BB361" s="124"/>
      <c r="BC361" s="125" t="str">
        <f>IF(meta_Columns[[#This Row],[Excel Column - Explicit Excel Formula]]="","",meta_Columns[[#This Row],[Excel Column - Explicit Excel Formula]])</f>
        <v/>
      </c>
      <c r="BD361" s="128"/>
      <c r="BE361" s="128"/>
    </row>
    <row r="362" spans="1:57">
      <c r="A362" s="123"/>
      <c r="B362" s="5" t="s">
        <v>546</v>
      </c>
      <c r="C362" s="124" t="str">
        <f xml:space="preserve"> IF( TRIM( meta_Columns[[#This Row],[Kind:src]] ) = "", "",
        INDEX( meta_Classifiers[Display Qualified], MATCH( meta_Columns[[#This Row],[Kind:src]], meta_Classifiers[ID], 0 ) ) )</f>
        <v>ExcelColumn</v>
      </c>
      <c r="D362" s="125" t="str">
        <f>IF(meta_Columns[[#This Row],[Owning Table:src]]="","",INDEX(meta_Classifiers[Package],MATCH(meta_Columns[[#This Row],[Owning Table Instances Class]],meta_Classifiers[ID],0)))</f>
        <v>meta</v>
      </c>
      <c r="E362" s="124"/>
      <c r="F362" s="125" t="str">
        <f>INDEX(meta_Tables[Excel Table - Excel Name],MATCH(meta_Columns[[#This Row],[Owning Table:src]],meta_Tables[ID],0))</f>
        <v>meta_TypedModelElements</v>
      </c>
      <c r="G362" s="125" t="str">
        <f>INDEX(meta_Tables[Instances Class:src],MATCH(meta_Columns[[#This Row],[Owning Table:src]],meta_Tables[ID],0))</f>
        <v>_TypedModelElement</v>
      </c>
      <c r="H362" s="11" t="s">
        <v>1011</v>
      </c>
      <c r="I362" s="124" t="str">
        <f xml:space="preserve"> IF( TRIM( meta_Columns[[#This Row],[Owning Table:src]] ) = "", "",
        INDEX( meta_Tables[Display Qualified], MATCH( meta_Columns[[#This Row],[Owning Table:src]], meta_Tables[ID], 0 ) ) )</f>
        <v>meta::TypedModelElements</v>
      </c>
      <c r="K362" s="22" t="str">
        <f>IF(TRIM(meta_Columns[[#This Row],[Referenced Table:src]])="","",
    INDEX(meta_Tables[Display Qualified],MATCH(meta_Columns[[#This Row],[Referenced Table:src]],meta_Tables[ID],0)))</f>
        <v/>
      </c>
      <c r="L362" s="8"/>
      <c r="M362" s="22"/>
      <c r="N362" s="8" t="str">
        <f>IF(meta_Columns[[#This Row],[Excel Column - Excel Formula]]="","x","")</f>
        <v>x</v>
      </c>
      <c r="O362" s="22"/>
      <c r="P362" s="8" t="str">
        <f>IF(meta_Columns[[#This Row],[Referenced Table:src]]="","",INDEX(meta_Tables[Instances Class],MATCH(meta_Columns[[#This Row],[Referenced Table:src]],meta_Tables[ID],0)))</f>
        <v/>
      </c>
      <c r="Q3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8"/>
      <c r="S362" s="126" t="str">
        <f xml:space="preserve"> IF( TRIM( meta_Columns[[#This Row],[Property:src]] ) = "", "",
        INDEX( meta_TypedModelElements[Display Qualified], MATCH( meta_Columns[[#This Row],[Property:src]], meta_TypedModelElements[ID], 0 ) ) )</f>
        <v/>
      </c>
      <c r="T362" s="126"/>
      <c r="U362" s="8" t="e">
        <f>INDEX(meta_Classifiers[Class - Generalization:src], MATCH(meta_Columns[[#This Row],[Generalization 5]],meta_Classifiers[ID],0))</f>
        <v>#N/A</v>
      </c>
      <c r="V362" s="8" t="e">
        <f>INDEX(meta_Classifiers[Class - Generalization:src], MATCH(meta_Columns[[#This Row],[Generalization 4]],meta_Classifiers[ID],0))</f>
        <v>#N/A</v>
      </c>
      <c r="W362" s="8" t="e">
        <f>INDEX(meta_Classifiers[Class - Generalization:src], MATCH(meta_Columns[[#This Row],[Generalization 3]],meta_Classifiers[ID],0))</f>
        <v>#N/A</v>
      </c>
      <c r="X362" s="8" t="str">
        <f>INDEX(meta_Classifiers[Class - Generalization:src], MATCH(meta_Columns[[#This Row],[Generalization 2]],meta_Classifiers[ID],0))</f>
        <v/>
      </c>
      <c r="Y362" s="8" t="str">
        <f>INDEX(meta_Classifiers[Class - Generalization:src], MATCH(meta_Columns[[#This Row],[Generalization 1]],meta_Classifiers[ID],0))</f>
        <v>_Object</v>
      </c>
      <c r="Z362" s="8" t="str">
        <f>INDEX(meta_Classifiers[Class - Generalization:src], MATCH(meta_Columns[[#This Row],[Owning Table Instances Class]],meta_Classifiers[ID],0))</f>
        <v>_NamedElement</v>
      </c>
      <c r="AA362"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8" t="e">
        <f>INDEX(meta_Classifiers[Name],MATCH(INDEX(meta_TypedModelElements[Property - Owning Class:src],MATCH(meta_Columns[[#This Row],[Property]],meta_TypedModelElements[ID],0)),meta_Classifiers[ID],0))</f>
        <v>#N/A</v>
      </c>
      <c r="AJ362" s="127" t="e">
        <f>INDEX(meta_TypedModelElements[Property - Owning Class:src],MATCH(meta_Columns[[#This Row],[Property]],meta_TypedModelElements[ID],0))</f>
        <v>#N/A</v>
      </c>
      <c r="AK362" s="8" t="e">
        <f>INDEX(meta_TypedModelElements[Kind:src],MATCH(meta_Columns[[#This Row],[Property]],meta_TypedModelElements[ID],0))</f>
        <v>#N/A</v>
      </c>
      <c r="AL362" s="127" t="e">
        <f>INDEX(meta_TypedModelElements[Name or Type],MATCH(meta_Columns[[#This Row],[Property]],meta_TypedModelElements[ID],0))</f>
        <v>#N/A</v>
      </c>
      <c r="AM362" s="127" t="e">
        <f>INDEX(meta_TypedModelElements[Property - Changeable],MATCH(meta_Columns[[#This Row],[Property]],meta_TypedModelElements[ID],0))</f>
        <v>#N/A</v>
      </c>
      <c r="AN362" s="43">
        <v>15</v>
      </c>
      <c r="AO362" s="22"/>
      <c r="AP362"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8" t="str">
        <f xml:space="preserve"> IF(meta_Columns[[#This Row],[Property Owning Class is Specialization of Instance Class]],meta_Columns[[#This Row],[Property Owning Class Name]]&amp;" - ","")</f>
        <v/>
      </c>
      <c r="AR3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8" t="str">
        <f>IFERROR(LEFT(meta_Columns[[#This Row],[Excel Column - Label Actual without Semantic Case]],FIND("-",
meta_Columns[[#This Row],[Excel Column - Label Actual without Semantic Case]])-2),"")</f>
        <v/>
      </c>
      <c r="AU3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26"/>
      <c r="AY362" s="8" t="e">
        <f>meta_Columns[[#This Row],[Owning Table]]&amp;"."&amp;meta_Columns[[#This Row],[Excel Column - Label]]</f>
        <v>#N/A</v>
      </c>
      <c r="AZ362" s="124"/>
      <c r="BA362" s="125" t="e">
        <f>IF(TRIM(meta_Columns[[#This Row],[Excel Column - Label Overwrite]])&lt;&gt;"",meta_Columns[[#This Row],[Excel Column - Label Overwrite]],meta_Columns[[#This Row],[Excel Column - Label from Property or Referenced Table]])</f>
        <v>#N/A</v>
      </c>
      <c r="BB362" s="124"/>
      <c r="BC362" s="125" t="str">
        <f>IF(meta_Columns[[#This Row],[Excel Column - Explicit Excel Formula]]="","",meta_Columns[[#This Row],[Excel Column - Explicit Excel Formula]])</f>
        <v/>
      </c>
      <c r="BD362" s="128"/>
      <c r="BE362" s="128"/>
    </row>
    <row r="363" spans="1:57">
      <c r="A363" s="10" t="s">
        <v>1408</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1011</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Overwrite]])&lt;&gt;"",meta_Columns[[#This Row],[Excel Column - Label Overwrite]],meta_Columns[[#This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1409</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1011</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Overwrite]])&lt;&gt;"",meta_Columns[[#This Row],[Excel Column - Label Overwrite]],meta_Columns[[#This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1308</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1011</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Overwrite]])&lt;&gt;"",meta_Columns[[#This Row],[Excel Column - Label Overwrite]],meta_Columns[[#This Row],[Excel Column - Label from Property or Referenced Table]])</f>
        <v>Display</v>
      </c>
      <c r="BB365" s="43" t="s">
        <v>875</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1309</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1011</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Overwrite]])&lt;&gt;"",meta_Columns[[#This Row],[Excel Column - Label Overwrite]],meta_Columns[[#This Row],[Excel Column - Label from Property or Referenced Table]])</f>
        <v>Name or Type Camel Case Lower</v>
      </c>
      <c r="BB366" s="43" t="s">
        <v>1410</v>
      </c>
      <c r="BC366" s="44" t="str">
        <f>IF(meta_Columns[[#This Row],[Excel Column - Explicit Excel Formula]]="","",meta_Columns[[#This Row],[Excel Column - Explicit Excel Formula]])</f>
        <v>Formula:=camelCaseLower([@[Name or Type]])</v>
      </c>
      <c r="BD366" s="5"/>
      <c r="BE366" s="5"/>
    </row>
    <row r="367" spans="1:57">
      <c r="A367" s="10" t="s">
        <v>1310</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1011</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Overwrite]])&lt;&gt;"",meta_Columns[[#This Row],[Excel Column - Label Overwrite]],meta_Columns[[#This Row],[Excel Column - Label from Property or Referenced Table]])</f>
        <v>Display without Class</v>
      </c>
      <c r="BB367" s="43" t="s">
        <v>953</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1311</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1011</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Overwrite]])&lt;&gt;"",meta_Columns[[#This Row],[Excel Column - Label Overwrite]],meta_Columns[[#This Row],[Excel Column - Label from Property or Referenced Table]])</f>
        <v>Name or Type</v>
      </c>
      <c r="BB368" s="43" t="s">
        <v>1436</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1312</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1011</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Overwrite]])&lt;&gt;"",meta_Columns[[#This Row],[Excel Column - Label Overwrite]],meta_Columns[[#This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1313</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1011</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Overwrite]])&lt;&gt;"",meta_Columns[[#This Row],[Excel Column - Label Overwrite]],meta_Columns[[#This Row],[Excel Column - Label from Property or Referenced Table]])</f>
        <v>Type Super Type 7</v>
      </c>
      <c r="BB370" s="43" t="s">
        <v>1522</v>
      </c>
      <c r="BC370" s="44" t="str">
        <f>IF(meta_Columns[[#This Row],[Excel Column - Explicit Excel Formula]]="","",meta_Columns[[#This Row],[Excel Column - Explicit Excel Formula]])</f>
        <v>Formula:=INDEX(#REF!,MATCH([@[Type Super Type 6]],meta_Classifiers[ID],0))</v>
      </c>
      <c r="BD370" s="5"/>
      <c r="BE370" s="5"/>
    </row>
    <row r="371" spans="1:57">
      <c r="A371" s="10" t="s">
        <v>1314</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1011</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Overwrite]])&lt;&gt;"",meta_Columns[[#This Row],[Excel Column - Label Overwrite]],meta_Columns[[#This Row],[Excel Column - Label from Property or Referenced Table]])</f>
        <v>Type Super Type 6</v>
      </c>
      <c r="BB371" s="43" t="s">
        <v>1523</v>
      </c>
      <c r="BC371" s="44" t="str">
        <f>IF(meta_Columns[[#This Row],[Excel Column - Explicit Excel Formula]]="","",meta_Columns[[#This Row],[Excel Column - Explicit Excel Formula]])</f>
        <v>Formula:=INDEX(#REF!,MATCH([@[Type Super Type 5]],meta_Classifiers[ID],0))</v>
      </c>
      <c r="BD371" s="5"/>
      <c r="BE371" s="5"/>
    </row>
    <row r="372" spans="1:57">
      <c r="A372" s="10" t="s">
        <v>1315</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1011</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Overwrite]])&lt;&gt;"",meta_Columns[[#This Row],[Excel Column - Label Overwrite]],meta_Columns[[#This Row],[Excel Column - Label from Property or Referenced Table]])</f>
        <v>Type Super Type 5</v>
      </c>
      <c r="BB372" s="43" t="s">
        <v>1524</v>
      </c>
      <c r="BC372" s="44" t="str">
        <f>IF(meta_Columns[[#This Row],[Excel Column - Explicit Excel Formula]]="","",meta_Columns[[#This Row],[Excel Column - Explicit Excel Formula]])</f>
        <v>Formula:=INDEX(#REF!,MATCH([@[Type Super Type 4]],meta_Classifiers[ID],0))</v>
      </c>
      <c r="BD372" s="5"/>
      <c r="BE372" s="5"/>
    </row>
    <row r="373" spans="1:57">
      <c r="A373" s="10" t="s">
        <v>1316</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1011</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Overwrite]])&lt;&gt;"",meta_Columns[[#This Row],[Excel Column - Label Overwrite]],meta_Columns[[#This Row],[Excel Column - Label from Property or Referenced Table]])</f>
        <v>Type Super Type 4</v>
      </c>
      <c r="BB373" s="43" t="s">
        <v>1525</v>
      </c>
      <c r="BC373" s="44" t="str">
        <f>IF(meta_Columns[[#This Row],[Excel Column - Explicit Excel Formula]]="","",meta_Columns[[#This Row],[Excel Column - Explicit Excel Formula]])</f>
        <v>Formula:=INDEX(#REF!,MATCH([@[Type Super Type 3]],meta_Classifiers[ID],0))</v>
      </c>
      <c r="BD373" s="5"/>
      <c r="BE373" s="5"/>
    </row>
    <row r="374" spans="1:57">
      <c r="A374" s="10" t="s">
        <v>1317</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1011</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Overwrite]])&lt;&gt;"",meta_Columns[[#This Row],[Excel Column - Label Overwrite]],meta_Columns[[#This Row],[Excel Column - Label from Property or Referenced Table]])</f>
        <v>Type Super Type 3</v>
      </c>
      <c r="BB374" s="43" t="s">
        <v>1526</v>
      </c>
      <c r="BC374" s="44" t="str">
        <f>IF(meta_Columns[[#This Row],[Excel Column - Explicit Excel Formula]]="","",meta_Columns[[#This Row],[Excel Column - Explicit Excel Formula]])</f>
        <v>Formula:=INDEX(#REF!,MATCH([@[Type Super Type 2]],meta_Classifiers[ID],0))</v>
      </c>
      <c r="BD374" s="5"/>
      <c r="BE374" s="5"/>
    </row>
    <row r="375" spans="1:57">
      <c r="A375" s="10" t="s">
        <v>1318</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1011</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Overwrite]])&lt;&gt;"",meta_Columns[[#This Row],[Excel Column - Label Overwrite]],meta_Columns[[#This Row],[Excel Column - Label from Property or Referenced Table]])</f>
        <v>Type Super Type 2</v>
      </c>
      <c r="BB375" s="43" t="s">
        <v>1527</v>
      </c>
      <c r="BC375" s="44" t="str">
        <f>IF(meta_Columns[[#This Row],[Excel Column - Explicit Excel Formula]]="","",meta_Columns[[#This Row],[Excel Column - Explicit Excel Formula]])</f>
        <v>Formula:=INDEX(#REF!,MATCH([@[Type Super Type 1]],meta_Classifiers[ID],0))</v>
      </c>
      <c r="BD375" s="5"/>
      <c r="BE375" s="5"/>
    </row>
    <row r="376" spans="1:57">
      <c r="A376" s="10" t="s">
        <v>1319</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1011</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Overwrite]])&lt;&gt;"",meta_Columns[[#This Row],[Excel Column - Label Overwrite]],meta_Columns[[#This Row],[Excel Column - Label from Property or Referenced Table]])</f>
        <v>Type Super Type 1</v>
      </c>
      <c r="BB376" s="43" t="s">
        <v>1528</v>
      </c>
      <c r="BC376" s="44" t="str">
        <f>IF(meta_Columns[[#This Row],[Excel Column - Explicit Excel Formula]]="","",meta_Columns[[#This Row],[Excel Column - Explicit Excel Formula]])</f>
        <v>Formula:=INDEX(#REF!,MATCH([@[Type:src]],meta_Classifiers[ID],0))</v>
      </c>
      <c r="BD376" s="5"/>
      <c r="BE376" s="5"/>
    </row>
    <row r="377" spans="1:57">
      <c r="A377" s="10" t="s">
        <v>1320</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1011</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Overwrite]])&lt;&gt;"",meta_Columns[[#This Row],[Excel Column - Label Overwrite]],meta_Columns[[#This Row],[Excel Column - Label from Property or Referenced Table]])</f>
        <v>Type Derived:display</v>
      </c>
      <c r="BB377" s="43" t="s">
        <v>1411</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1321</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1011</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Overwrite]])&lt;&gt;"",meta_Columns[[#This Row],[Excel Column - Label Overwrite]],meta_Columns[[#This Row],[Excel Column - Label from Property or Referenced Table]])</f>
        <v>Type Derived</v>
      </c>
      <c r="BB378" s="43" t="s">
        <v>1412</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1437</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1011</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1434</v>
      </c>
      <c r="BA379" s="44" t="str">
        <f>IF(TRIM(meta_Columns[[#This Row],[Excel Column - Label Overwrite]])&lt;&gt;"",meta_Columns[[#This Row],[Excel Column - Label Overwrite]],meta_Columns[[#This Row],[Excel Column - Label from Property or Referenced Table]])</f>
        <v>Type Name</v>
      </c>
      <c r="BB379" s="43" t="s">
        <v>1438</v>
      </c>
      <c r="BC379" s="44" t="str">
        <f>IF(meta_Columns[[#This Row],[Excel Column - Explicit Excel Formula]]="","",meta_Columns[[#This Row],[Excel Column - Explicit Excel Formula]])</f>
        <v>Formula:=IF([@[Type:src]]="","",INDEX(meta_Classifiers[Name],MATCH([@[Type:src]],meta_Classifiers[ID],0)))</v>
      </c>
      <c r="BD379" s="5"/>
      <c r="BE379" s="5"/>
    </row>
    <row r="380" spans="1:57">
      <c r="A380" s="10" t="s">
        <v>1413</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1011</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1004</v>
      </c>
      <c r="BA380" s="44" t="str">
        <f>IF(TRIM(meta_Columns[[#This Row],[Excel Column - Label Overwrite]])&lt;&gt;"",meta_Columns[[#This Row],[Excel Column - Label Overwrite]],meta_Columns[[#This Row],[Excel Column - Label from Property or Referenced Table]])</f>
        <v>Type:src</v>
      </c>
      <c r="BB380" s="43" t="s">
        <v>1414</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1415</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1011</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Overwrite]])&lt;&gt;"",meta_Columns[[#This Row],[Excel Column - Label Overwrite]],meta_Columns[[#This Row],[Excel Column - Label from Property or Referenced Table]])</f>
        <v>Type</v>
      </c>
      <c r="BB381" s="43"/>
      <c r="BC381" s="44" t="str">
        <f>IF(meta_Columns[[#This Row],[Excel Column - Explicit Excel Formula]]="","",meta_Columns[[#This Row],[Excel Column - Explicit Excel Formula]])</f>
        <v/>
      </c>
      <c r="BD381" s="5" t="s">
        <v>1461</v>
      </c>
      <c r="BE381" s="5"/>
    </row>
    <row r="382" spans="1:57">
      <c r="A382" s="10" t="s">
        <v>1416</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1011</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Overwrite]])&lt;&gt;"",meta_Columns[[#This Row],[Excel Column - Label Overwrite]],meta_Columns[[#This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1417</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1011</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Overwrite]])&lt;&gt;"",meta_Columns[[#This Row],[Excel Column - Label Overwrite]],meta_Columns[[#This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1418</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1011</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1003</v>
      </c>
      <c r="BA384" s="44" t="str">
        <f>IF(TRIM(meta_Columns[[#This Row],[Excel Column - Label Overwrite]])&lt;&gt;"",meta_Columns[[#This Row],[Excel Column - Label Overwrite]],meta_Columns[[#This Row],[Excel Column - Label from Property or Referenced Table]])</f>
        <v>Reference - Opposite:src</v>
      </c>
      <c r="BB384" s="43" t="s">
        <v>1419</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1322</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1011</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Overwrite]])&lt;&gt;"",meta_Columns[[#This Row],[Excel Column - Label Overwrite]],meta_Columns[[#This Row],[Excel Column - Label from Property or Referenced Table]])</f>
        <v>Reference - Opposite</v>
      </c>
      <c r="BB385" s="43"/>
      <c r="BC385" s="44" t="str">
        <f>IF(meta_Columns[[#This Row],[Excel Column - Explicit Excel Formula]]="","",meta_Columns[[#This Row],[Excel Column - Explicit Excel Formula]])</f>
        <v/>
      </c>
      <c r="BD385" s="5" t="s">
        <v>1464</v>
      </c>
      <c r="BE385" s="5"/>
    </row>
    <row r="386" spans="1:57">
      <c r="A386" s="10" t="s">
        <v>1420</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1011</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1006</v>
      </c>
      <c r="BA386" s="44" t="str">
        <f>IF(TRIM(meta_Columns[[#This Row],[Excel Column - Label Overwrite]])&lt;&gt;"",meta_Columns[[#This Row],[Excel Column - Label Overwrite]],meta_Columns[[#This Row],[Excel Column - Label from Property or Referenced Table]])</f>
        <v>Reference - Display and Select Property:src</v>
      </c>
      <c r="BB386" s="43" t="s">
        <v>1421</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1323</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1011</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Overwrite]])&lt;&gt;"",meta_Columns[[#This Row],[Excel Column - Label Overwrite]],meta_Columns[[#This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1464</v>
      </c>
      <c r="BE387" s="5"/>
    </row>
    <row r="388" spans="1:57">
      <c r="A388" s="10" t="s">
        <v>1422</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1011</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Overwrite]])&lt;&gt;"",meta_Columns[[#This Row],[Excel Column - Label Overwrite]],meta_Columns[[#This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1423</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1011</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1005</v>
      </c>
      <c r="BA389" s="44" t="str">
        <f>IF(TRIM(meta_Columns[[#This Row],[Excel Column - Label Overwrite]])&lt;&gt;"",meta_Columns[[#This Row],[Excel Column - Label Overwrite]],meta_Columns[[#This Row],[Excel Column - Label from Property or Referenced Table]])</f>
        <v>Function - Owning Property:src</v>
      </c>
      <c r="BB389" s="43" t="s">
        <v>1424</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1425</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1011</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Overwrite]])&lt;&gt;"",meta_Columns[[#This Row],[Excel Column - Label Overwrite]],meta_Columns[[#This Row],[Excel Column - Label from Property or Referenced Table]])</f>
        <v>Function - Owning Property</v>
      </c>
      <c r="BB390" s="43"/>
      <c r="BC390" s="44" t="str">
        <f>IF(meta_Columns[[#This Row],[Excel Column - Explicit Excel Formula]]="","",meta_Columns[[#This Row],[Excel Column - Explicit Excel Formula]])</f>
        <v/>
      </c>
      <c r="BD390" s="5" t="s">
        <v>1464</v>
      </c>
      <c r="BE390" s="5"/>
    </row>
    <row r="391" spans="1:57">
      <c r="A391" s="10" t="s">
        <v>1324</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1011</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Overwrite]])&lt;&gt;"",meta_Columns[[#This Row],[Excel Column - Label Overwrite]],meta_Columns[[#This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1426</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1011</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1007</v>
      </c>
      <c r="BA392" s="44" t="str">
        <f>IF(TRIM(meta_Columns[[#This Row],[Excel Column - Label Overwrite]])&lt;&gt;"",meta_Columns[[#This Row],[Excel Column - Label Overwrite]],meta_Columns[[#This Row],[Excel Column - Label from Property or Referenced Table]])</f>
        <v>Parameter - Owning Function:src</v>
      </c>
      <c r="BB392" s="43" t="s">
        <v>1427</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1325</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1011</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Overwrite]])&lt;&gt;"",meta_Columns[[#This Row],[Excel Column - Label Overwrite]],meta_Columns[[#This Row],[Excel Column - Label from Property or Referenced Table]])</f>
        <v>Parameter - Owning Function</v>
      </c>
      <c r="BB393" s="43"/>
      <c r="BC393" s="44" t="str">
        <f>IF(meta_Columns[[#This Row],[Excel Column - Explicit Excel Formula]]="","",meta_Columns[[#This Row],[Excel Column - Explicit Excel Formula]])</f>
        <v/>
      </c>
      <c r="BD393" s="5" t="s">
        <v>1464</v>
      </c>
      <c r="BE393" s="5"/>
    </row>
    <row r="394" spans="1:57">
      <c r="A394" s="10" t="s">
        <v>1846</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1011</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1847</v>
      </c>
      <c r="BA394" s="44" t="str">
        <f>IF(TRIM(meta_Columns[[#This Row],[Excel Column - Label Overwrite]])&lt;&gt;"",meta_Columns[[#This Row],[Excel Column - Label Overwrite]],meta_Columns[[#This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1326</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1011</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Overwrite]])&lt;&gt;"",meta_Columns[[#This Row],[Excel Column - Label Overwrite]],meta_Columns[[#This Row],[Excel Column - Label from Property or Referenced Table]])</f>
        <v>Property - Using Property</v>
      </c>
      <c r="BB395" s="43"/>
      <c r="BC395" s="44" t="str">
        <f>IF(meta_Columns[[#This Row],[Excel Column - Explicit Excel Formula]]="","",meta_Columns[[#This Row],[Excel Column - Explicit Excel Formula]])</f>
        <v/>
      </c>
      <c r="BD395" s="5" t="s">
        <v>1464</v>
      </c>
      <c r="BE395" s="5"/>
    </row>
    <row r="396" spans="1:57">
      <c r="A396" s="10" t="s">
        <v>1327</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1011</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Overwrite]])&lt;&gt;"",meta_Columns[[#This Row],[Excel Column - Label Overwrite]],meta_Columns[[#This Row],[Excel Column - Label from Property or Referenced Table]])</f>
        <v>Reference - Referenced Excel Table</v>
      </c>
      <c r="BB396" s="43" t="s">
        <v>1428</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1328</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1011</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Overwrite]])&lt;&gt;"",meta_Columns[[#This Row],[Excel Column - Label Overwrite]],meta_Columns[[#This Row],[Excel Column - Label from Property or Referenced Table]])</f>
        <v>Reference - Refering Column in Excel</v>
      </c>
      <c r="BB397" s="43" t="s">
        <v>876</v>
      </c>
      <c r="BC397" s="44" t="str">
        <f>IF(meta_Columns[[#This Row],[Excel Column - Explicit Excel Formula]]="","",meta_Columns[[#This Row],[Excel Column - Explicit Excel Formula]])</f>
        <v>Formula:="[@["&amp;[@[Name or Type]]&amp;":src]]"</v>
      </c>
      <c r="BD397" s="5"/>
      <c r="BE397" s="5"/>
    </row>
    <row r="398" spans="1:57">
      <c r="A398" s="10" t="s">
        <v>1329</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1011</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Overwrite]])&lt;&gt;"",meta_Columns[[#This Row],[Excel Column - Label Overwrite]],meta_Columns[[#This Row],[Excel Column - Label from Property or Referenced Table]])</f>
        <v>Reference - Excel Formula for Display</v>
      </c>
      <c r="BB398" s="43" t="s">
        <v>954</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1330</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1011</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Overwrite]])&lt;&gt;"",meta_Columns[[#This Row],[Excel Column - Label Overwrite]],meta_Columns[[#This Row],[Excel Column - Label from Property or Referenced Table]])</f>
        <v>Reference - VBA for Id Change in Supertype</v>
      </c>
      <c r="BB399" s="43" t="s">
        <v>955</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1331</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1011</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Overwrite]])&lt;&gt;"",meta_Columns[[#This Row],[Excel Column - Label Overwrite]],meta_Columns[[#This Row],[Excel Column - Label from Property or Referenced Table]])</f>
        <v>Referencce - VBA for Id Change in Subtype</v>
      </c>
      <c r="BB400" s="43" t="s">
        <v>956</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1332</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1011</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Overwrite]])&lt;&gt;"",meta_Columns[[#This Row],[Excel Column - Label Overwrite]],meta_Columns[[#This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1333</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1011</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Overwrite]])&lt;&gt;"",meta_Columns[[#This Row],[Excel Column - Label Overwrite]],meta_Columns[[#This Row],[Excel Column - Label from Property or Referenced Table]])</f>
        <v>Feature - VBA Type</v>
      </c>
      <c r="BB402" s="43" t="s">
        <v>957</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1334</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1011</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Overwrite]])&lt;&gt;"",meta_Columns[[#This Row],[Excel Column - Label Overwrite]],meta_Columns[[#This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1335</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1011</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Overwrite]])&lt;&gt;"",meta_Columns[[#This Row],[Excel Column - Label Overwrite]],meta_Columns[[#This Row],[Excel Column - Label from Property or Referenced Table]])</f>
        <v>Feature - VBA Header</v>
      </c>
      <c r="BB404" s="43" t="s">
        <v>877</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1336</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1011</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Overwrite]])&lt;&gt;"",meta_Columns[[#This Row],[Excel Column - Label Overwrite]],meta_Columns[[#This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1337</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1011</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Overwrite]])&lt;&gt;"",meta_Columns[[#This Row],[Excel Column - Label Overwrite]],meta_Columns[[#This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1338</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1011</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Overwrite]])&lt;&gt;"",meta_Columns[[#This Row],[Excel Column - Label Overwrite]],meta_Columns[[#This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1339</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1011</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Overwrite]])&lt;&gt;"",meta_Columns[[#This Row],[Excel Column - Label Overwrite]],meta_Columns[[#This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1340</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1011</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940</v>
      </c>
      <c r="BA409" s="44" t="str">
        <f>IF(TRIM(meta_Columns[[#This Row],[Excel Column - Label Overwrite]])&lt;&gt;"",meta_Columns[[#This Row],[Excel Column - Label Overwrite]],meta_Columns[[#This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1341</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1011</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Overwrite]])&lt;&gt;"",meta_Columns[[#This Row],[Excel Column - Label Overwrite]],meta_Columns[[#This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1439</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989</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Overwrite]])&lt;&gt;"",meta_Columns[[#This Row],[Excel Column - Label Overwrite]],meta_Columns[[#This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1440</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989</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Overwrite]])&lt;&gt;"",meta_Columns[[#This Row],[Excel Column - Label Overwrite]],meta_Columns[[#This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1441</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989</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Overwrite]])&lt;&gt;"",meta_Columns[[#This Row],[Excel Column - Label Overwrite]],meta_Columns[[#This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1442</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989</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Overwrite]])&lt;&gt;"",meta_Columns[[#This Row],[Excel Column - Label Overwrite]],meta_Columns[[#This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1443</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989</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Overwrite]])&lt;&gt;"",meta_Columns[[#This Row],[Excel Column - Label Overwrite]],meta_Columns[[#This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1444</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989</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Overwrite]])&lt;&gt;"",meta_Columns[[#This Row],[Excel Column - Label Overwrite]],meta_Columns[[#This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1445</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989</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Overwrite]])&lt;&gt;"",meta_Columns[[#This Row],[Excel Column - Label Overwrite]],meta_Columns[[#This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1446</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989</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Overwrite]])&lt;&gt;"",meta_Columns[[#This Row],[Excel Column - Label Overwrite]],meta_Columns[[#This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1447</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989</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Overwrite]])&lt;&gt;"",meta_Columns[[#This Row],[Excel Column - Label Overwrite]],meta_Columns[[#This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1456</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1453</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Overwrite]])&lt;&gt;"",meta_Columns[[#This Row],[Excel Column - Label Overwrite]],meta_Columns[[#This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1457</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1453</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1451</v>
      </c>
      <c r="BA421" s="44" t="str">
        <f>IF(TRIM(meta_Columns[[#This Row],[Excel Column - Label Overwrite]])&lt;&gt;"",meta_Columns[[#This Row],[Excel Column - Label Overwrite]],meta_Columns[[#This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1458</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1453</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1452</v>
      </c>
      <c r="BA422" s="44" t="str">
        <f>IF(TRIM(meta_Columns[[#This Row],[Excel Column - Label Overwrite]])&lt;&gt;"",meta_Columns[[#This Row],[Excel Column - Label Overwrite]],meta_Columns[[#This Row],[Excel Column - Label from Property or Referenced Table]])</f>
        <v>Test 2</v>
      </c>
      <c r="BB422" s="43"/>
      <c r="BC422" s="44" t="str">
        <f>IF(meta_Columns[[#This Row],[Excel Column - Explicit Excel Formula]]="","",meta_Columns[[#This Row],[Excel Column - Explicit Excel Formula]])</f>
        <v/>
      </c>
      <c r="BD422" s="8" t="s">
        <v>1461</v>
      </c>
      <c r="BE422" s="5"/>
    </row>
    <row r="423" spans="1:57">
      <c r="R423" s="8"/>
    </row>
  </sheetData>
  <phoneticPr fontId="2" type="noConversion"/>
  <conditionalFormatting sqref="BA2:BA422">
    <cfRule type="expression" dxfId="368"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1640625" defaultRowHeight="14.5"/>
  <cols>
    <col min="1" max="1" width="26.7265625" style="5" bestFit="1" customWidth="1"/>
    <col min="2" max="3" width="21.1796875" style="5" bestFit="1" customWidth="1"/>
    <col min="4" max="5" width="13.81640625" style="5" bestFit="1" customWidth="1"/>
    <col min="6" max="6" width="20.7265625" style="5" bestFit="1" customWidth="1"/>
    <col min="7" max="10" width="24.26953125" style="5" customWidth="1"/>
    <col min="11" max="16384" width="10.81640625" style="5"/>
  </cols>
  <sheetData>
    <row r="1" spans="1:10" ht="29">
      <c r="A1" s="5" t="s">
        <v>0</v>
      </c>
      <c r="B1" s="5" t="s">
        <v>18</v>
      </c>
      <c r="C1" s="5" t="s">
        <v>1473</v>
      </c>
      <c r="D1" s="5" t="s">
        <v>1474</v>
      </c>
      <c r="E1" s="5" t="s">
        <v>1475</v>
      </c>
      <c r="F1" s="5" t="s">
        <v>1476</v>
      </c>
      <c r="G1" s="5" t="s">
        <v>1477</v>
      </c>
      <c r="H1" s="5" t="s">
        <v>1478</v>
      </c>
      <c r="I1" s="7" t="s">
        <v>1556</v>
      </c>
      <c r="J1" s="7" t="s">
        <v>1557</v>
      </c>
    </row>
    <row r="2" spans="1:10">
      <c r="A2" s="5" t="s">
        <v>1479</v>
      </c>
      <c r="I2" s="7" t="b">
        <f>meta_Names[[#This Row],[Business]]=meta_Names[[#This Row],[Business from Camel]]</f>
        <v>1</v>
      </c>
      <c r="J2" s="7" t="b">
        <f>meta_Names[[#This Row],[Business]]=meta_Names[[#This Row],[String]]</f>
        <v>1</v>
      </c>
    </row>
    <row r="3" spans="1:10">
      <c r="B3" s="120" t="s">
        <v>231</v>
      </c>
      <c r="C3" s="120" t="s">
        <v>231</v>
      </c>
      <c r="D3" s="5" t="s">
        <v>231</v>
      </c>
      <c r="E3" s="5" t="s">
        <v>1692</v>
      </c>
      <c r="F3" s="120" t="s">
        <v>231</v>
      </c>
      <c r="G3" s="5" t="s">
        <v>231</v>
      </c>
      <c r="H3" s="5" t="s">
        <v>1692</v>
      </c>
      <c r="I3" s="7"/>
      <c r="J3" s="7"/>
    </row>
    <row r="4" spans="1:10">
      <c r="B4" s="120" t="s">
        <v>777</v>
      </c>
      <c r="C4" s="120" t="s">
        <v>777</v>
      </c>
      <c r="D4" s="5" t="s">
        <v>777</v>
      </c>
      <c r="E4" s="5" t="s">
        <v>1693</v>
      </c>
      <c r="F4" s="120" t="s">
        <v>777</v>
      </c>
      <c r="G4" s="5" t="s">
        <v>777</v>
      </c>
      <c r="H4" s="5" t="s">
        <v>1693</v>
      </c>
      <c r="I4" s="7"/>
      <c r="J4" s="7"/>
    </row>
    <row r="5" spans="1:10">
      <c r="B5" s="120" t="s">
        <v>120</v>
      </c>
      <c r="C5" s="120" t="s">
        <v>120</v>
      </c>
      <c r="D5" s="5" t="s">
        <v>120</v>
      </c>
      <c r="E5" s="5" t="s">
        <v>1611</v>
      </c>
      <c r="F5" s="120" t="s">
        <v>120</v>
      </c>
      <c r="G5" s="5" t="s">
        <v>120</v>
      </c>
      <c r="H5" s="5" t="s">
        <v>1611</v>
      </c>
      <c r="I5" s="7"/>
      <c r="J5" s="7"/>
    </row>
    <row r="6" spans="1:10">
      <c r="B6" s="120" t="s">
        <v>640</v>
      </c>
      <c r="C6" s="120" t="s">
        <v>640</v>
      </c>
      <c r="D6" s="5" t="s">
        <v>820</v>
      </c>
      <c r="E6" s="5" t="s">
        <v>1694</v>
      </c>
      <c r="F6" s="120" t="s">
        <v>640</v>
      </c>
      <c r="G6" s="5" t="s">
        <v>820</v>
      </c>
      <c r="H6" s="5" t="s">
        <v>1694</v>
      </c>
      <c r="I6" s="7"/>
      <c r="J6" s="7"/>
    </row>
    <row r="7" spans="1:10">
      <c r="B7" s="120" t="s">
        <v>574</v>
      </c>
      <c r="C7" s="120" t="s">
        <v>574</v>
      </c>
      <c r="D7" s="5" t="s">
        <v>574</v>
      </c>
      <c r="E7" s="5" t="s">
        <v>1618</v>
      </c>
      <c r="F7" s="120" t="s">
        <v>574</v>
      </c>
      <c r="G7" s="5" t="s">
        <v>574</v>
      </c>
      <c r="H7" s="5" t="s">
        <v>1618</v>
      </c>
      <c r="I7" s="7"/>
      <c r="J7" s="7"/>
    </row>
    <row r="8" spans="1:10">
      <c r="B8" s="120" t="s">
        <v>575</v>
      </c>
      <c r="C8" s="120" t="s">
        <v>575</v>
      </c>
      <c r="D8" s="5" t="s">
        <v>831</v>
      </c>
      <c r="E8" s="5" t="s">
        <v>1695</v>
      </c>
      <c r="F8" s="120" t="s">
        <v>575</v>
      </c>
      <c r="G8" s="5" t="s">
        <v>831</v>
      </c>
      <c r="H8" s="5" t="s">
        <v>1695</v>
      </c>
      <c r="I8" s="7"/>
      <c r="J8" s="7"/>
    </row>
    <row r="9" spans="1:10">
      <c r="B9" s="120" t="s">
        <v>576</v>
      </c>
      <c r="C9" s="120" t="s">
        <v>576</v>
      </c>
      <c r="D9" s="5" t="s">
        <v>832</v>
      </c>
      <c r="E9" s="5" t="s">
        <v>1696</v>
      </c>
      <c r="F9" s="120" t="s">
        <v>576</v>
      </c>
      <c r="G9" s="5" t="s">
        <v>832</v>
      </c>
      <c r="H9" s="5" t="s">
        <v>1696</v>
      </c>
      <c r="I9" s="7"/>
      <c r="J9" s="7"/>
    </row>
    <row r="10" spans="1:10">
      <c r="B10" s="120" t="s">
        <v>577</v>
      </c>
      <c r="C10" s="120" t="s">
        <v>577</v>
      </c>
      <c r="D10" s="5" t="s">
        <v>833</v>
      </c>
      <c r="E10" s="5" t="s">
        <v>1697</v>
      </c>
      <c r="F10" s="120" t="s">
        <v>577</v>
      </c>
      <c r="G10" s="5" t="s">
        <v>833</v>
      </c>
      <c r="H10" s="5" t="s">
        <v>1697</v>
      </c>
      <c r="I10" s="7"/>
      <c r="J10" s="7"/>
    </row>
    <row r="11" spans="1:10">
      <c r="B11" s="120" t="s">
        <v>637</v>
      </c>
      <c r="C11" s="120" t="s">
        <v>637</v>
      </c>
      <c r="D11" s="5" t="s">
        <v>834</v>
      </c>
      <c r="E11" s="5" t="s">
        <v>1698</v>
      </c>
      <c r="F11" s="120" t="s">
        <v>637</v>
      </c>
      <c r="G11" s="5" t="s">
        <v>834</v>
      </c>
      <c r="H11" s="5" t="s">
        <v>1698</v>
      </c>
      <c r="I11" s="7"/>
      <c r="J11" s="7"/>
    </row>
    <row r="12" spans="1:10">
      <c r="B12" s="120" t="s">
        <v>20</v>
      </c>
      <c r="C12" s="120" t="s">
        <v>20</v>
      </c>
      <c r="D12" s="5" t="s">
        <v>1699</v>
      </c>
      <c r="E12" s="5" t="s">
        <v>1700</v>
      </c>
      <c r="F12" s="120" t="s">
        <v>20</v>
      </c>
      <c r="G12" s="5" t="s">
        <v>1699</v>
      </c>
      <c r="H12" s="5" t="s">
        <v>1700</v>
      </c>
      <c r="I12" s="7"/>
      <c r="J12" s="7"/>
    </row>
    <row r="13" spans="1:10">
      <c r="B13" s="120" t="s">
        <v>790</v>
      </c>
      <c r="C13" s="120" t="s">
        <v>790</v>
      </c>
      <c r="D13" s="5" t="s">
        <v>1701</v>
      </c>
      <c r="E13" s="5" t="s">
        <v>1702</v>
      </c>
      <c r="F13" s="120" t="s">
        <v>790</v>
      </c>
      <c r="G13" s="5" t="s">
        <v>1701</v>
      </c>
      <c r="H13" s="5" t="s">
        <v>1702</v>
      </c>
      <c r="I13" s="7"/>
      <c r="J13" s="7"/>
    </row>
    <row r="14" spans="1:10">
      <c r="B14" s="120" t="s">
        <v>10</v>
      </c>
      <c r="C14" s="120" t="s">
        <v>10</v>
      </c>
      <c r="D14" s="5" t="s">
        <v>10</v>
      </c>
      <c r="E14" s="5" t="s">
        <v>1703</v>
      </c>
      <c r="F14" s="120" t="s">
        <v>10</v>
      </c>
      <c r="G14" s="5" t="s">
        <v>10</v>
      </c>
      <c r="H14" s="5" t="s">
        <v>1703</v>
      </c>
      <c r="I14" s="7"/>
      <c r="J14" s="7"/>
    </row>
    <row r="15" spans="1:10">
      <c r="B15" s="120" t="s">
        <v>6</v>
      </c>
      <c r="C15" s="120" t="s">
        <v>6</v>
      </c>
      <c r="D15" s="5" t="s">
        <v>6</v>
      </c>
      <c r="E15" s="5" t="s">
        <v>1704</v>
      </c>
      <c r="F15" s="120" t="s">
        <v>6</v>
      </c>
      <c r="G15" s="5" t="s">
        <v>6</v>
      </c>
      <c r="H15" s="5" t="s">
        <v>1704</v>
      </c>
      <c r="I15" s="7"/>
      <c r="J15" s="7"/>
    </row>
    <row r="16" spans="1:10">
      <c r="B16" s="120" t="s">
        <v>47</v>
      </c>
      <c r="C16" s="120" t="s">
        <v>47</v>
      </c>
      <c r="D16" s="5" t="s">
        <v>47</v>
      </c>
      <c r="E16" s="5" t="s">
        <v>1705</v>
      </c>
      <c r="F16" s="120" t="s">
        <v>47</v>
      </c>
      <c r="G16" s="5" t="s">
        <v>47</v>
      </c>
      <c r="H16" s="5" t="s">
        <v>1705</v>
      </c>
      <c r="I16" s="7"/>
      <c r="J16" s="7"/>
    </row>
    <row r="17" spans="2:10">
      <c r="B17" s="120" t="s">
        <v>12</v>
      </c>
      <c r="C17" s="120" t="s">
        <v>12</v>
      </c>
      <c r="D17" s="5" t="s">
        <v>12</v>
      </c>
      <c r="E17" s="5" t="s">
        <v>1668</v>
      </c>
      <c r="F17" s="120" t="s">
        <v>12</v>
      </c>
      <c r="G17" s="5" t="s">
        <v>12</v>
      </c>
      <c r="H17" s="5" t="s">
        <v>1668</v>
      </c>
      <c r="I17" s="7"/>
      <c r="J17" s="7"/>
    </row>
    <row r="18" spans="2:10">
      <c r="B18" s="120" t="s">
        <v>87</v>
      </c>
      <c r="C18" s="120" t="s">
        <v>87</v>
      </c>
      <c r="D18" s="5" t="s">
        <v>87</v>
      </c>
      <c r="E18" s="5" t="s">
        <v>1706</v>
      </c>
      <c r="F18" s="120" t="s">
        <v>87</v>
      </c>
      <c r="G18" s="5" t="s">
        <v>87</v>
      </c>
      <c r="H18" s="5" t="s">
        <v>1706</v>
      </c>
      <c r="I18" s="7"/>
      <c r="J18" s="7"/>
    </row>
    <row r="19" spans="2:10">
      <c r="B19" s="120" t="s">
        <v>88</v>
      </c>
      <c r="C19" s="120" t="s">
        <v>88</v>
      </c>
      <c r="D19" s="5" t="s">
        <v>88</v>
      </c>
      <c r="E19" s="5" t="s">
        <v>1707</v>
      </c>
      <c r="F19" s="120" t="s">
        <v>88</v>
      </c>
      <c r="G19" s="5" t="s">
        <v>88</v>
      </c>
      <c r="H19" s="5" t="s">
        <v>1707</v>
      </c>
      <c r="I19" s="7"/>
      <c r="J19" s="7"/>
    </row>
    <row r="20" spans="2:10">
      <c r="B20" s="120" t="s">
        <v>7</v>
      </c>
      <c r="C20" s="120" t="s">
        <v>7</v>
      </c>
      <c r="D20" s="5" t="s">
        <v>7</v>
      </c>
      <c r="E20" s="5" t="s">
        <v>1708</v>
      </c>
      <c r="F20" s="120" t="s">
        <v>7</v>
      </c>
      <c r="G20" s="5" t="s">
        <v>7</v>
      </c>
      <c r="H20" s="5" t="s">
        <v>1708</v>
      </c>
      <c r="I20" s="7"/>
      <c r="J20" s="7"/>
    </row>
    <row r="21" spans="2:10">
      <c r="B21" s="120" t="s">
        <v>14</v>
      </c>
      <c r="C21" s="120" t="s">
        <v>14</v>
      </c>
      <c r="D21" s="5" t="s">
        <v>14</v>
      </c>
      <c r="E21" s="5" t="s">
        <v>1636</v>
      </c>
      <c r="F21" s="120" t="s">
        <v>14</v>
      </c>
      <c r="G21" s="5" t="s">
        <v>14</v>
      </c>
      <c r="H21" s="5" t="s">
        <v>1636</v>
      </c>
      <c r="I21" s="7"/>
      <c r="J21" s="7"/>
    </row>
    <row r="22" spans="2:10">
      <c r="B22" s="120" t="s">
        <v>15</v>
      </c>
      <c r="C22" s="120" t="s">
        <v>15</v>
      </c>
      <c r="D22" s="5" t="s">
        <v>15</v>
      </c>
      <c r="E22" s="5" t="s">
        <v>1709</v>
      </c>
      <c r="F22" s="120" t="s">
        <v>15</v>
      </c>
      <c r="G22" s="5" t="s">
        <v>15</v>
      </c>
      <c r="H22" s="5" t="s">
        <v>1709</v>
      </c>
      <c r="I22" s="7"/>
      <c r="J22" s="7"/>
    </row>
    <row r="23" spans="2:10">
      <c r="B23" s="120" t="s">
        <v>16</v>
      </c>
      <c r="C23" s="120" t="s">
        <v>16</v>
      </c>
      <c r="D23" s="5" t="s">
        <v>16</v>
      </c>
      <c r="E23" s="5" t="s">
        <v>1710</v>
      </c>
      <c r="F23" s="120" t="s">
        <v>16</v>
      </c>
      <c r="G23" s="5" t="s">
        <v>16</v>
      </c>
      <c r="H23" s="5" t="s">
        <v>1710</v>
      </c>
      <c r="I23" s="7"/>
      <c r="J23" s="7"/>
    </row>
    <row r="24" spans="2:10">
      <c r="B24" s="120" t="s">
        <v>687</v>
      </c>
      <c r="C24" s="120" t="s">
        <v>687</v>
      </c>
      <c r="D24" s="5" t="s">
        <v>1711</v>
      </c>
      <c r="E24" s="5" t="s">
        <v>1712</v>
      </c>
      <c r="F24" s="120" t="s">
        <v>687</v>
      </c>
      <c r="G24" s="5" t="s">
        <v>1711</v>
      </c>
      <c r="H24" s="5" t="s">
        <v>1712</v>
      </c>
      <c r="I24" s="7"/>
      <c r="J24" s="7"/>
    </row>
    <row r="25" spans="2:10">
      <c r="B25" s="120" t="s">
        <v>688</v>
      </c>
      <c r="C25" s="120" t="s">
        <v>688</v>
      </c>
      <c r="D25" s="5" t="s">
        <v>1713</v>
      </c>
      <c r="E25" s="5" t="s">
        <v>1714</v>
      </c>
      <c r="F25" s="120" t="s">
        <v>688</v>
      </c>
      <c r="G25" s="5" t="s">
        <v>1713</v>
      </c>
      <c r="H25" s="5" t="s">
        <v>1714</v>
      </c>
      <c r="I25" s="7"/>
      <c r="J25" s="7"/>
    </row>
    <row r="26" spans="2:10">
      <c r="B26" s="120" t="s">
        <v>86</v>
      </c>
      <c r="C26" s="120" t="s">
        <v>86</v>
      </c>
      <c r="D26" s="5" t="s">
        <v>1715</v>
      </c>
      <c r="E26" s="5" t="s">
        <v>1716</v>
      </c>
      <c r="F26" s="120" t="s">
        <v>86</v>
      </c>
      <c r="G26" s="5" t="s">
        <v>1715</v>
      </c>
      <c r="H26" s="5" t="s">
        <v>1716</v>
      </c>
      <c r="I26" s="7"/>
      <c r="J26" s="7"/>
    </row>
    <row r="27" spans="2:10">
      <c r="B27" s="120" t="s">
        <v>8</v>
      </c>
      <c r="C27" s="120" t="s">
        <v>8</v>
      </c>
      <c r="D27" s="5" t="s">
        <v>8</v>
      </c>
      <c r="E27" s="5" t="s">
        <v>1717</v>
      </c>
      <c r="F27" s="120" t="s">
        <v>8</v>
      </c>
      <c r="G27" s="5" t="s">
        <v>8</v>
      </c>
      <c r="H27" s="5" t="s">
        <v>1717</v>
      </c>
      <c r="I27" s="7"/>
      <c r="J27" s="7"/>
    </row>
    <row r="28" spans="2:10">
      <c r="B28" s="120" t="s">
        <v>542</v>
      </c>
      <c r="C28" s="120" t="s">
        <v>542</v>
      </c>
      <c r="D28" s="5" t="s">
        <v>1718</v>
      </c>
      <c r="E28" s="5" t="s">
        <v>1719</v>
      </c>
      <c r="F28" s="120" t="s">
        <v>542</v>
      </c>
      <c r="G28" s="5" t="s">
        <v>1718</v>
      </c>
      <c r="H28" s="5" t="s">
        <v>1719</v>
      </c>
      <c r="I28" s="7"/>
      <c r="J28" s="7"/>
    </row>
    <row r="29" spans="2:10">
      <c r="B29" s="120" t="s">
        <v>458</v>
      </c>
      <c r="C29" s="120" t="s">
        <v>458</v>
      </c>
      <c r="D29" s="5" t="s">
        <v>458</v>
      </c>
      <c r="E29" s="5" t="s">
        <v>1720</v>
      </c>
      <c r="F29" s="120" t="s">
        <v>458</v>
      </c>
      <c r="G29" s="5" t="s">
        <v>458</v>
      </c>
      <c r="H29" s="5" t="s">
        <v>1720</v>
      </c>
      <c r="I29" s="7"/>
      <c r="J29" s="7"/>
    </row>
    <row r="30" spans="2:10">
      <c r="B30" s="120" t="s">
        <v>547</v>
      </c>
      <c r="C30" s="120" t="s">
        <v>547</v>
      </c>
      <c r="D30" s="5" t="s">
        <v>1721</v>
      </c>
      <c r="E30" s="5" t="s">
        <v>1722</v>
      </c>
      <c r="F30" s="120" t="s">
        <v>547</v>
      </c>
      <c r="G30" s="5" t="s">
        <v>1721</v>
      </c>
      <c r="H30" s="5" t="s">
        <v>1722</v>
      </c>
      <c r="I30" s="7"/>
      <c r="J30" s="7"/>
    </row>
    <row r="31" spans="2:10">
      <c r="B31" s="120" t="s">
        <v>46</v>
      </c>
      <c r="C31" s="120" t="s">
        <v>46</v>
      </c>
      <c r="D31" s="5" t="s">
        <v>46</v>
      </c>
      <c r="E31" s="5" t="s">
        <v>1723</v>
      </c>
      <c r="F31" s="120" t="s">
        <v>46</v>
      </c>
      <c r="G31" s="5" t="s">
        <v>46</v>
      </c>
      <c r="H31" s="5" t="s">
        <v>1723</v>
      </c>
      <c r="I31" s="7"/>
      <c r="J31" s="7"/>
    </row>
    <row r="32" spans="2:10">
      <c r="B32" s="120" t="s">
        <v>44</v>
      </c>
      <c r="C32" s="120" t="s">
        <v>44</v>
      </c>
      <c r="D32" s="5" t="s">
        <v>923</v>
      </c>
      <c r="E32" s="5" t="s">
        <v>1724</v>
      </c>
      <c r="F32" s="120" t="s">
        <v>44</v>
      </c>
      <c r="G32" s="5" t="s">
        <v>923</v>
      </c>
      <c r="H32" s="5" t="s">
        <v>1724</v>
      </c>
      <c r="I32" s="7"/>
      <c r="J32" s="7"/>
    </row>
    <row r="33" spans="2:10">
      <c r="B33" s="120" t="s">
        <v>45</v>
      </c>
      <c r="C33" s="120" t="s">
        <v>45</v>
      </c>
      <c r="D33" s="5" t="s">
        <v>924</v>
      </c>
      <c r="E33" s="5" t="s">
        <v>1725</v>
      </c>
      <c r="F33" s="120" t="s">
        <v>45</v>
      </c>
      <c r="G33" s="5" t="s">
        <v>924</v>
      </c>
      <c r="H33" s="5" t="s">
        <v>1725</v>
      </c>
      <c r="I33" s="7"/>
      <c r="J33" s="7"/>
    </row>
    <row r="34" spans="2:10">
      <c r="B34" s="120" t="s">
        <v>98</v>
      </c>
      <c r="C34" s="120" t="s">
        <v>98</v>
      </c>
      <c r="D34" s="5" t="s">
        <v>927</v>
      </c>
      <c r="E34" s="5" t="s">
        <v>1726</v>
      </c>
      <c r="F34" s="120" t="s">
        <v>98</v>
      </c>
      <c r="G34" s="5" t="s">
        <v>927</v>
      </c>
      <c r="H34" s="5" t="s">
        <v>1726</v>
      </c>
      <c r="I34" s="7"/>
      <c r="J34" s="7"/>
    </row>
    <row r="35" spans="2:10">
      <c r="B35" s="120" t="s">
        <v>29</v>
      </c>
      <c r="C35" s="120" t="s">
        <v>29</v>
      </c>
      <c r="D35" s="5" t="s">
        <v>29</v>
      </c>
      <c r="E35" s="5" t="s">
        <v>1670</v>
      </c>
      <c r="F35" s="120" t="s">
        <v>29</v>
      </c>
      <c r="G35" s="5" t="s">
        <v>29</v>
      </c>
      <c r="H35" s="5" t="s">
        <v>1670</v>
      </c>
      <c r="I35" s="7"/>
      <c r="J35" s="7"/>
    </row>
    <row r="36" spans="2:10">
      <c r="B36" s="120" t="s">
        <v>28</v>
      </c>
      <c r="C36" s="120" t="s">
        <v>28</v>
      </c>
      <c r="D36" s="5" t="s">
        <v>28</v>
      </c>
      <c r="E36" s="5" t="s">
        <v>1679</v>
      </c>
      <c r="F36" s="120" t="s">
        <v>28</v>
      </c>
      <c r="G36" s="5" t="s">
        <v>28</v>
      </c>
      <c r="H36" s="5" t="s">
        <v>1679</v>
      </c>
      <c r="I36" s="7"/>
      <c r="J36" s="7"/>
    </row>
    <row r="37" spans="2:10">
      <c r="B37" s="120" t="s">
        <v>9</v>
      </c>
      <c r="C37" s="120" t="s">
        <v>9</v>
      </c>
      <c r="D37" s="5" t="s">
        <v>9</v>
      </c>
      <c r="E37" s="5" t="s">
        <v>1727</v>
      </c>
      <c r="F37" s="120" t="s">
        <v>9</v>
      </c>
      <c r="G37" s="5" t="s">
        <v>9</v>
      </c>
      <c r="H37" s="5" t="s">
        <v>1727</v>
      </c>
      <c r="I37" s="7"/>
      <c r="J37" s="7"/>
    </row>
    <row r="38" spans="2:10">
      <c r="B38" s="120" t="s">
        <v>32</v>
      </c>
      <c r="C38" s="120" t="s">
        <v>32</v>
      </c>
      <c r="D38" s="5" t="s">
        <v>32</v>
      </c>
      <c r="E38" s="5" t="s">
        <v>476</v>
      </c>
      <c r="F38" s="120" t="s">
        <v>32</v>
      </c>
      <c r="G38" s="5" t="s">
        <v>32</v>
      </c>
      <c r="H38" s="5" t="s">
        <v>476</v>
      </c>
      <c r="I38" s="7"/>
      <c r="J38" s="7"/>
    </row>
    <row r="39" spans="2:10">
      <c r="B39" s="120" t="s">
        <v>95</v>
      </c>
      <c r="C39" s="120" t="s">
        <v>95</v>
      </c>
      <c r="D39" s="5" t="s">
        <v>95</v>
      </c>
      <c r="E39" s="5" t="s">
        <v>1728</v>
      </c>
      <c r="F39" s="120" t="s">
        <v>95</v>
      </c>
      <c r="G39" s="5" t="s">
        <v>95</v>
      </c>
      <c r="H39" s="5" t="s">
        <v>1728</v>
      </c>
      <c r="I39" s="7"/>
      <c r="J39" s="7"/>
    </row>
    <row r="40" spans="2:10">
      <c r="B40" s="120" t="s">
        <v>1691</v>
      </c>
      <c r="C40" s="120" t="s">
        <v>1691</v>
      </c>
      <c r="D40" s="5" t="s">
        <v>1729</v>
      </c>
      <c r="E40" s="5" t="s">
        <v>1730</v>
      </c>
      <c r="F40" s="120" t="s">
        <v>1691</v>
      </c>
      <c r="G40" s="5" t="s">
        <v>1729</v>
      </c>
      <c r="H40" s="5" t="s">
        <v>1730</v>
      </c>
      <c r="I40" s="7"/>
      <c r="J40" s="7"/>
    </row>
    <row r="41" spans="2:10">
      <c r="B41" s="120" t="s">
        <v>33</v>
      </c>
      <c r="C41" s="120" t="s">
        <v>33</v>
      </c>
      <c r="D41" s="5" t="s">
        <v>33</v>
      </c>
      <c r="E41" s="5" t="s">
        <v>477</v>
      </c>
      <c r="F41" s="120" t="s">
        <v>33</v>
      </c>
      <c r="G41" s="5" t="s">
        <v>33</v>
      </c>
      <c r="H41" s="5" t="s">
        <v>477</v>
      </c>
      <c r="I41" s="7"/>
      <c r="J41" s="7"/>
    </row>
    <row r="42" spans="2:10">
      <c r="B42" s="120" t="s">
        <v>34</v>
      </c>
      <c r="C42" s="120" t="s">
        <v>34</v>
      </c>
      <c r="D42" s="5" t="s">
        <v>34</v>
      </c>
      <c r="E42" s="5" t="s">
        <v>1731</v>
      </c>
      <c r="F42" s="120" t="s">
        <v>34</v>
      </c>
      <c r="G42" s="5" t="s">
        <v>34</v>
      </c>
      <c r="H42" s="5" t="s">
        <v>1731</v>
      </c>
      <c r="I42" s="7"/>
      <c r="J42" s="7"/>
    </row>
    <row r="43" spans="2:10">
      <c r="B43" s="120" t="s">
        <v>35</v>
      </c>
      <c r="C43" s="120" t="s">
        <v>35</v>
      </c>
      <c r="D43" s="5" t="s">
        <v>35</v>
      </c>
      <c r="E43" s="5" t="s">
        <v>1732</v>
      </c>
      <c r="F43" s="120" t="s">
        <v>35</v>
      </c>
      <c r="G43" s="5" t="s">
        <v>35</v>
      </c>
      <c r="H43" s="5" t="s">
        <v>1732</v>
      </c>
      <c r="I43" s="7"/>
      <c r="J43" s="7"/>
    </row>
    <row r="44" spans="2:10">
      <c r="B44" s="120" t="s">
        <v>234</v>
      </c>
      <c r="C44" s="120" t="s">
        <v>234</v>
      </c>
      <c r="D44" s="5" t="s">
        <v>926</v>
      </c>
      <c r="E44" s="5" t="s">
        <v>1733</v>
      </c>
      <c r="F44" s="120" t="s">
        <v>234</v>
      </c>
      <c r="G44" s="5" t="s">
        <v>926</v>
      </c>
      <c r="H44" s="5" t="s">
        <v>1733</v>
      </c>
      <c r="I44" s="7"/>
      <c r="J44" s="7"/>
    </row>
    <row r="45" spans="2:10">
      <c r="B45" s="120" t="s">
        <v>36</v>
      </c>
      <c r="C45" s="120" t="s">
        <v>36</v>
      </c>
      <c r="D45" s="5" t="s">
        <v>1734</v>
      </c>
      <c r="E45" s="5" t="s">
        <v>1735</v>
      </c>
      <c r="F45" s="120" t="s">
        <v>36</v>
      </c>
      <c r="G45" s="5" t="s">
        <v>1734</v>
      </c>
      <c r="H45" s="5" t="s">
        <v>1735</v>
      </c>
      <c r="I45" s="7"/>
      <c r="J45" s="7"/>
    </row>
    <row r="46" spans="2:10">
      <c r="B46" s="120" t="s">
        <v>108</v>
      </c>
      <c r="C46" s="120" t="s">
        <v>108</v>
      </c>
      <c r="D46" s="5" t="s">
        <v>1736</v>
      </c>
      <c r="E46" s="5" t="s">
        <v>1737</v>
      </c>
      <c r="F46" s="120" t="s">
        <v>108</v>
      </c>
      <c r="G46" s="5" t="s">
        <v>1736</v>
      </c>
      <c r="H46" s="5" t="s">
        <v>1737</v>
      </c>
      <c r="I46" s="7"/>
      <c r="J46" s="7"/>
    </row>
    <row r="47" spans="2:10">
      <c r="B47" s="120" t="s">
        <v>37</v>
      </c>
      <c r="C47" s="120" t="s">
        <v>37</v>
      </c>
      <c r="D47" s="5" t="s">
        <v>1738</v>
      </c>
      <c r="E47" s="5" t="s">
        <v>1739</v>
      </c>
      <c r="F47" s="120" t="s">
        <v>37</v>
      </c>
      <c r="G47" s="5" t="s">
        <v>1738</v>
      </c>
      <c r="H47" s="5" t="s">
        <v>1739</v>
      </c>
      <c r="I47" s="7"/>
      <c r="J47" s="7"/>
    </row>
    <row r="48" spans="2:10">
      <c r="B48" s="120" t="s">
        <v>809</v>
      </c>
      <c r="C48" s="120" t="s">
        <v>809</v>
      </c>
      <c r="D48" s="5" t="s">
        <v>1740</v>
      </c>
      <c r="E48" s="5" t="s">
        <v>1741</v>
      </c>
      <c r="F48" s="120" t="s">
        <v>809</v>
      </c>
      <c r="G48" s="5" t="s">
        <v>1740</v>
      </c>
      <c r="H48" s="5" t="s">
        <v>1741</v>
      </c>
      <c r="I48" s="7"/>
      <c r="J48" s="7"/>
    </row>
    <row r="49" spans="2:10">
      <c r="B49" s="120" t="s">
        <v>38</v>
      </c>
      <c r="C49" s="120" t="s">
        <v>38</v>
      </c>
      <c r="D49" s="5" t="s">
        <v>38</v>
      </c>
      <c r="E49" s="5" t="s">
        <v>1742</v>
      </c>
      <c r="F49" s="120" t="s">
        <v>38</v>
      </c>
      <c r="G49" s="5" t="s">
        <v>38</v>
      </c>
      <c r="H49" s="5" t="s">
        <v>1742</v>
      </c>
      <c r="I49" s="7"/>
      <c r="J49" s="7"/>
    </row>
    <row r="50" spans="2:10">
      <c r="B50" s="120" t="s">
        <v>522</v>
      </c>
      <c r="C50" s="120" t="s">
        <v>522</v>
      </c>
      <c r="D50" s="5" t="s">
        <v>925</v>
      </c>
      <c r="E50" s="5" t="s">
        <v>1743</v>
      </c>
      <c r="F50" s="120" t="s">
        <v>522</v>
      </c>
      <c r="G50" s="5" t="s">
        <v>925</v>
      </c>
      <c r="H50" s="5" t="s">
        <v>1743</v>
      </c>
      <c r="I50" s="7"/>
      <c r="J50" s="7"/>
    </row>
    <row r="51" spans="2:10">
      <c r="B51" s="120" t="s">
        <v>523</v>
      </c>
      <c r="C51" s="120" t="s">
        <v>523</v>
      </c>
      <c r="D51" s="5" t="s">
        <v>1744</v>
      </c>
      <c r="E51" s="5" t="s">
        <v>1745</v>
      </c>
      <c r="F51" s="120" t="s">
        <v>523</v>
      </c>
      <c r="G51" s="5" t="s">
        <v>1744</v>
      </c>
      <c r="H51" s="5" t="s">
        <v>1745</v>
      </c>
      <c r="I51" s="7"/>
      <c r="J51" s="7"/>
    </row>
    <row r="52" spans="2:10">
      <c r="B52" s="120" t="s">
        <v>527</v>
      </c>
      <c r="C52" s="120" t="s">
        <v>527</v>
      </c>
      <c r="D52" s="5" t="s">
        <v>1746</v>
      </c>
      <c r="E52" s="5" t="s">
        <v>1747</v>
      </c>
      <c r="F52" s="120" t="s">
        <v>527</v>
      </c>
      <c r="G52" s="5" t="s">
        <v>1746</v>
      </c>
      <c r="H52" s="5" t="s">
        <v>1747</v>
      </c>
      <c r="I52" s="7"/>
      <c r="J52" s="7"/>
    </row>
    <row r="53" spans="2:10">
      <c r="B53" s="120" t="s">
        <v>451</v>
      </c>
      <c r="C53" s="120" t="s">
        <v>451</v>
      </c>
      <c r="D53" s="5" t="s">
        <v>1748</v>
      </c>
      <c r="E53" s="5" t="s">
        <v>1749</v>
      </c>
      <c r="F53" s="120" t="s">
        <v>451</v>
      </c>
      <c r="G53" s="5" t="s">
        <v>1748</v>
      </c>
      <c r="H53" s="5" t="s">
        <v>1749</v>
      </c>
      <c r="I53" s="7"/>
      <c r="J53" s="7"/>
    </row>
    <row r="54" spans="2:10">
      <c r="B54" s="120" t="s">
        <v>48</v>
      </c>
      <c r="C54" s="120" t="s">
        <v>48</v>
      </c>
      <c r="D54" s="5" t="s">
        <v>48</v>
      </c>
      <c r="E54" s="5" t="s">
        <v>1750</v>
      </c>
      <c r="F54" s="120" t="s">
        <v>48</v>
      </c>
      <c r="G54" s="5" t="s">
        <v>48</v>
      </c>
      <c r="H54" s="5" t="s">
        <v>1750</v>
      </c>
      <c r="I54" s="7"/>
      <c r="J54" s="7"/>
    </row>
    <row r="55" spans="2:10">
      <c r="B55" s="120" t="s">
        <v>186</v>
      </c>
      <c r="C55" s="120" t="s">
        <v>186</v>
      </c>
      <c r="D55" s="5" t="s">
        <v>186</v>
      </c>
      <c r="E55" s="5" t="s">
        <v>1751</v>
      </c>
      <c r="F55" s="120" t="s">
        <v>186</v>
      </c>
      <c r="G55" s="5" t="s">
        <v>186</v>
      </c>
      <c r="H55" s="5" t="s">
        <v>1751</v>
      </c>
      <c r="I55" s="7"/>
      <c r="J55" s="7"/>
    </row>
    <row r="56" spans="2:10">
      <c r="B56" s="120" t="s">
        <v>187</v>
      </c>
      <c r="C56" s="120" t="s">
        <v>187</v>
      </c>
      <c r="D56" s="5" t="s">
        <v>187</v>
      </c>
      <c r="E56" s="5" t="s">
        <v>1752</v>
      </c>
      <c r="F56" s="120" t="s">
        <v>187</v>
      </c>
      <c r="G56" s="5" t="s">
        <v>187</v>
      </c>
      <c r="H56" s="5" t="s">
        <v>1752</v>
      </c>
      <c r="I56" s="7"/>
      <c r="J56" s="7"/>
    </row>
    <row r="57" spans="2:10">
      <c r="B57" s="120" t="s">
        <v>183</v>
      </c>
      <c r="C57" s="120" t="s">
        <v>1753</v>
      </c>
      <c r="D57" s="5" t="s">
        <v>1754</v>
      </c>
      <c r="E57" s="5" t="s">
        <v>1755</v>
      </c>
      <c r="F57" s="120" t="s">
        <v>1753</v>
      </c>
      <c r="G57" s="5" t="s">
        <v>1754</v>
      </c>
      <c r="H57" s="5" t="s">
        <v>1755</v>
      </c>
      <c r="I57" s="7"/>
      <c r="J57" s="7"/>
    </row>
    <row r="58" spans="2:10">
      <c r="B58" s="120" t="s">
        <v>18</v>
      </c>
      <c r="C58" s="120" t="s">
        <v>18</v>
      </c>
      <c r="D58" s="5" t="s">
        <v>18</v>
      </c>
      <c r="E58" s="5" t="s">
        <v>1756</v>
      </c>
      <c r="F58" s="120" t="s">
        <v>18</v>
      </c>
      <c r="G58" s="5" t="s">
        <v>18</v>
      </c>
      <c r="H58" s="5" t="s">
        <v>1756</v>
      </c>
      <c r="I58" s="7"/>
      <c r="J58" s="7"/>
    </row>
    <row r="59" spans="2:10">
      <c r="B59" s="120" t="s">
        <v>128</v>
      </c>
      <c r="C59" s="120" t="s">
        <v>128</v>
      </c>
      <c r="D59" s="5" t="s">
        <v>1757</v>
      </c>
      <c r="E59" s="5" t="s">
        <v>1758</v>
      </c>
      <c r="F59" s="120" t="s">
        <v>128</v>
      </c>
      <c r="G59" s="5" t="s">
        <v>1757</v>
      </c>
      <c r="H59" s="5" t="s">
        <v>1758</v>
      </c>
      <c r="I59" s="7"/>
      <c r="J59" s="7"/>
    </row>
    <row r="60" spans="2:10">
      <c r="B60" s="120" t="s">
        <v>129</v>
      </c>
      <c r="C60" s="120" t="s">
        <v>129</v>
      </c>
      <c r="D60" s="5" t="s">
        <v>1759</v>
      </c>
      <c r="E60" s="5" t="s">
        <v>1760</v>
      </c>
      <c r="F60" s="120" t="s">
        <v>129</v>
      </c>
      <c r="G60" s="5" t="s">
        <v>1759</v>
      </c>
      <c r="H60" s="5" t="s">
        <v>1760</v>
      </c>
      <c r="I60" s="7"/>
      <c r="J60" s="7"/>
    </row>
    <row r="61" spans="2:10">
      <c r="B61" s="120" t="s">
        <v>682</v>
      </c>
      <c r="C61" s="120" t="s">
        <v>682</v>
      </c>
      <c r="D61" s="5" t="s">
        <v>682</v>
      </c>
      <c r="E61" s="5" t="s">
        <v>1761</v>
      </c>
      <c r="F61" s="120" t="s">
        <v>682</v>
      </c>
      <c r="G61" s="5" t="s">
        <v>682</v>
      </c>
      <c r="H61" s="5" t="s">
        <v>1761</v>
      </c>
      <c r="I61" s="7"/>
      <c r="J61" s="7"/>
    </row>
    <row r="62" spans="2:10">
      <c r="B62" s="120" t="s">
        <v>465</v>
      </c>
      <c r="C62" s="120" t="s">
        <v>465</v>
      </c>
      <c r="D62" s="5" t="s">
        <v>465</v>
      </c>
      <c r="E62" s="5" t="s">
        <v>1649</v>
      </c>
      <c r="F62" s="120" t="s">
        <v>465</v>
      </c>
      <c r="G62" s="5" t="s">
        <v>465</v>
      </c>
      <c r="H62" s="5" t="s">
        <v>1649</v>
      </c>
      <c r="I62" s="7"/>
      <c r="J62" s="7"/>
    </row>
    <row r="63" spans="2:10">
      <c r="B63" s="120" t="s">
        <v>664</v>
      </c>
      <c r="C63" s="120" t="s">
        <v>664</v>
      </c>
      <c r="D63" s="5" t="s">
        <v>664</v>
      </c>
      <c r="E63" s="5" t="s">
        <v>1762</v>
      </c>
      <c r="F63" s="120" t="s">
        <v>664</v>
      </c>
      <c r="G63" s="5" t="s">
        <v>664</v>
      </c>
      <c r="H63" s="5" t="s">
        <v>1762</v>
      </c>
      <c r="I63" s="7"/>
      <c r="J63" s="7"/>
    </row>
    <row r="64" spans="2:10">
      <c r="B64" s="120" t="s">
        <v>749</v>
      </c>
      <c r="C64" s="120" t="s">
        <v>749</v>
      </c>
      <c r="D64" s="5" t="s">
        <v>1763</v>
      </c>
      <c r="E64" s="5" t="s">
        <v>1764</v>
      </c>
      <c r="F64" s="120" t="s">
        <v>749</v>
      </c>
      <c r="G64" s="5" t="s">
        <v>1763</v>
      </c>
      <c r="H64" s="5" t="s">
        <v>1764</v>
      </c>
      <c r="I64" s="7"/>
      <c r="J64" s="7"/>
    </row>
    <row r="65" spans="2:10">
      <c r="B65" s="120" t="s">
        <v>151</v>
      </c>
      <c r="C65" s="120" t="s">
        <v>151</v>
      </c>
      <c r="D65" s="5" t="s">
        <v>151</v>
      </c>
      <c r="E65" s="5" t="s">
        <v>1560</v>
      </c>
      <c r="F65" s="120" t="s">
        <v>151</v>
      </c>
      <c r="G65" s="5" t="s">
        <v>151</v>
      </c>
      <c r="H65" s="5" t="s">
        <v>1560</v>
      </c>
      <c r="I65" s="7"/>
      <c r="J65" s="7"/>
    </row>
    <row r="66" spans="2:10">
      <c r="B66" s="120" t="s">
        <v>155</v>
      </c>
      <c r="C66" s="120" t="s">
        <v>155</v>
      </c>
      <c r="D66" s="5" t="s">
        <v>155</v>
      </c>
      <c r="E66" s="5" t="s">
        <v>1561</v>
      </c>
      <c r="F66" s="120" t="s">
        <v>155</v>
      </c>
      <c r="G66" s="5" t="s">
        <v>155</v>
      </c>
      <c r="H66" s="5" t="s">
        <v>1561</v>
      </c>
      <c r="I66" s="7"/>
      <c r="J66" s="7"/>
    </row>
    <row r="67" spans="2:10">
      <c r="B67" s="120" t="s">
        <v>156</v>
      </c>
      <c r="C67" s="120" t="s">
        <v>156</v>
      </c>
      <c r="D67" s="5" t="s">
        <v>156</v>
      </c>
      <c r="E67" s="5" t="s">
        <v>1562</v>
      </c>
      <c r="F67" s="120" t="s">
        <v>156</v>
      </c>
      <c r="G67" s="5" t="s">
        <v>156</v>
      </c>
      <c r="H67" s="5" t="s">
        <v>1562</v>
      </c>
      <c r="I67" s="7"/>
      <c r="J67" s="7"/>
    </row>
    <row r="68" spans="2:10">
      <c r="B68" s="120" t="s">
        <v>154</v>
      </c>
      <c r="C68" s="120" t="s">
        <v>154</v>
      </c>
      <c r="D68" s="5" t="s">
        <v>154</v>
      </c>
      <c r="E68" s="5" t="s">
        <v>1563</v>
      </c>
      <c r="F68" s="120" t="s">
        <v>154</v>
      </c>
      <c r="G68" s="5" t="s">
        <v>154</v>
      </c>
      <c r="H68" s="5" t="s">
        <v>1563</v>
      </c>
      <c r="I68" s="7"/>
      <c r="J68" s="7"/>
    </row>
    <row r="69" spans="2:10">
      <c r="B69" s="120" t="s">
        <v>152</v>
      </c>
      <c r="C69" s="120" t="s">
        <v>1564</v>
      </c>
      <c r="D69" s="5" t="s">
        <v>1564</v>
      </c>
      <c r="E69" s="5" t="s">
        <v>1564</v>
      </c>
      <c r="F69" s="120" t="s">
        <v>1564</v>
      </c>
      <c r="G69" s="5" t="s">
        <v>1564</v>
      </c>
      <c r="H69" s="5" t="s">
        <v>1564</v>
      </c>
      <c r="I69" s="7"/>
      <c r="J69" s="7"/>
    </row>
    <row r="70" spans="2:10">
      <c r="B70" s="120" t="s">
        <v>157</v>
      </c>
      <c r="C70" s="120" t="s">
        <v>1565</v>
      </c>
      <c r="D70" s="5" t="s">
        <v>1565</v>
      </c>
      <c r="E70" s="5" t="s">
        <v>1565</v>
      </c>
      <c r="F70" s="120" t="s">
        <v>1565</v>
      </c>
      <c r="G70" s="5" t="s">
        <v>1565</v>
      </c>
      <c r="H70" s="5" t="s">
        <v>1565</v>
      </c>
      <c r="I70" s="7"/>
      <c r="J70" s="7"/>
    </row>
    <row r="71" spans="2:10">
      <c r="B71" s="120" t="s">
        <v>158</v>
      </c>
      <c r="C71" s="120" t="s">
        <v>158</v>
      </c>
      <c r="D71" s="5" t="s">
        <v>158</v>
      </c>
      <c r="E71" s="5" t="s">
        <v>1566</v>
      </c>
      <c r="F71" s="120" t="s">
        <v>158</v>
      </c>
      <c r="G71" s="5" t="s">
        <v>158</v>
      </c>
      <c r="H71" s="5" t="s">
        <v>1566</v>
      </c>
      <c r="I71" s="7"/>
      <c r="J71" s="7"/>
    </row>
    <row r="72" spans="2:10">
      <c r="B72" s="120" t="s">
        <v>153</v>
      </c>
      <c r="C72" s="120" t="s">
        <v>153</v>
      </c>
      <c r="D72" s="5" t="s">
        <v>153</v>
      </c>
      <c r="E72" s="5" t="s">
        <v>1567</v>
      </c>
      <c r="F72" s="120" t="s">
        <v>153</v>
      </c>
      <c r="G72" s="5" t="s">
        <v>153</v>
      </c>
      <c r="H72" s="5" t="s">
        <v>1567</v>
      </c>
      <c r="I72" s="7"/>
      <c r="J72" s="7"/>
    </row>
    <row r="73" spans="2:10">
      <c r="B73" s="120" t="s">
        <v>159</v>
      </c>
      <c r="C73" s="120" t="s">
        <v>159</v>
      </c>
      <c r="D73" s="5" t="s">
        <v>159</v>
      </c>
      <c r="E73" s="5" t="s">
        <v>1568</v>
      </c>
      <c r="F73" s="120" t="s">
        <v>159</v>
      </c>
      <c r="G73" s="5" t="s">
        <v>159</v>
      </c>
      <c r="H73" s="5" t="s">
        <v>1568</v>
      </c>
      <c r="I73" s="7"/>
      <c r="J73" s="7"/>
    </row>
    <row r="74" spans="2:10">
      <c r="B74" s="120" t="s">
        <v>39</v>
      </c>
      <c r="C74" s="120" t="s">
        <v>1569</v>
      </c>
      <c r="D74" s="5" t="s">
        <v>1569</v>
      </c>
      <c r="E74" s="5" t="s">
        <v>39</v>
      </c>
      <c r="F74" s="120" t="s">
        <v>1569</v>
      </c>
      <c r="G74" s="5" t="s">
        <v>1569</v>
      </c>
      <c r="H74" s="5" t="s">
        <v>39</v>
      </c>
      <c r="I74" s="7"/>
      <c r="J74" s="7"/>
    </row>
    <row r="75" spans="2:10">
      <c r="B75" s="120" t="s">
        <v>40</v>
      </c>
      <c r="C75" s="120" t="s">
        <v>1570</v>
      </c>
      <c r="D75" s="5" t="s">
        <v>1570</v>
      </c>
      <c r="E75" s="5" t="s">
        <v>40</v>
      </c>
      <c r="F75" s="120" t="s">
        <v>1570</v>
      </c>
      <c r="G75" s="5" t="s">
        <v>1570</v>
      </c>
      <c r="H75" s="5" t="s">
        <v>40</v>
      </c>
      <c r="I75" s="7"/>
      <c r="J75" s="7"/>
    </row>
    <row r="76" spans="2:10">
      <c r="B76" s="120" t="s">
        <v>41</v>
      </c>
      <c r="C76" s="120" t="s">
        <v>1571</v>
      </c>
      <c r="D76" s="5" t="s">
        <v>1571</v>
      </c>
      <c r="E76" s="5" t="s">
        <v>41</v>
      </c>
      <c r="F76" s="120" t="s">
        <v>1571</v>
      </c>
      <c r="G76" s="5" t="s">
        <v>1571</v>
      </c>
      <c r="H76" s="5" t="s">
        <v>41</v>
      </c>
      <c r="I76" s="7"/>
      <c r="J76" s="7"/>
    </row>
    <row r="77" spans="2:10">
      <c r="B77" s="120" t="s">
        <v>42</v>
      </c>
      <c r="C77" s="120" t="s">
        <v>1572</v>
      </c>
      <c r="D77" s="5" t="s">
        <v>1572</v>
      </c>
      <c r="E77" s="5" t="s">
        <v>42</v>
      </c>
      <c r="F77" s="120" t="s">
        <v>1572</v>
      </c>
      <c r="G77" s="5" t="s">
        <v>1572</v>
      </c>
      <c r="H77" s="5" t="s">
        <v>42</v>
      </c>
      <c r="I77" s="7"/>
      <c r="J77" s="7"/>
    </row>
    <row r="78" spans="2:10">
      <c r="B78" s="120" t="s">
        <v>43</v>
      </c>
      <c r="C78" s="120" t="s">
        <v>1573</v>
      </c>
      <c r="D78" s="5" t="s">
        <v>1573</v>
      </c>
      <c r="E78" s="5" t="s">
        <v>43</v>
      </c>
      <c r="F78" s="120" t="s">
        <v>1573</v>
      </c>
      <c r="G78" s="5" t="s">
        <v>1573</v>
      </c>
      <c r="H78" s="5" t="s">
        <v>43</v>
      </c>
      <c r="I78" s="7"/>
      <c r="J78" s="7"/>
    </row>
    <row r="79" spans="2:10">
      <c r="B79" s="120" t="s">
        <v>82</v>
      </c>
      <c r="C79" s="120" t="s">
        <v>1574</v>
      </c>
      <c r="D79" s="5" t="s">
        <v>1575</v>
      </c>
      <c r="E79" s="5" t="s">
        <v>82</v>
      </c>
      <c r="F79" s="120" t="s">
        <v>1574</v>
      </c>
      <c r="G79" s="5" t="s">
        <v>1575</v>
      </c>
      <c r="H79" s="5" t="s">
        <v>82</v>
      </c>
      <c r="I79" s="7"/>
      <c r="J79" s="7"/>
    </row>
    <row r="80" spans="2:10">
      <c r="B80" s="120" t="s">
        <v>21</v>
      </c>
      <c r="C80" s="120" t="s">
        <v>21</v>
      </c>
      <c r="D80" s="5" t="s">
        <v>1576</v>
      </c>
      <c r="E80" s="5" t="s">
        <v>1577</v>
      </c>
      <c r="F80" s="120" t="s">
        <v>21</v>
      </c>
      <c r="G80" s="5" t="s">
        <v>1576</v>
      </c>
      <c r="H80" s="5" t="s">
        <v>1577</v>
      </c>
      <c r="I80" s="7"/>
      <c r="J80" s="7"/>
    </row>
    <row r="81" spans="2:10">
      <c r="B81" s="120" t="s">
        <v>19</v>
      </c>
      <c r="C81" s="120" t="s">
        <v>19</v>
      </c>
      <c r="D81" s="5" t="s">
        <v>1578</v>
      </c>
      <c r="E81" s="5" t="s">
        <v>1579</v>
      </c>
      <c r="F81" s="120" t="s">
        <v>19</v>
      </c>
      <c r="G81" s="5" t="s">
        <v>1578</v>
      </c>
      <c r="H81" s="5" t="s">
        <v>1579</v>
      </c>
      <c r="I81" s="7"/>
      <c r="J81" s="7"/>
    </row>
    <row r="82" spans="2:10">
      <c r="B82" s="120" t="s">
        <v>22</v>
      </c>
      <c r="C82" s="120" t="s">
        <v>22</v>
      </c>
      <c r="D82" s="5" t="s">
        <v>1580</v>
      </c>
      <c r="E82" s="5" t="s">
        <v>1581</v>
      </c>
      <c r="F82" s="120" t="s">
        <v>22</v>
      </c>
      <c r="G82" s="5" t="s">
        <v>1580</v>
      </c>
      <c r="H82" s="5" t="s">
        <v>1581</v>
      </c>
      <c r="I82" s="7"/>
      <c r="J82" s="7"/>
    </row>
    <row r="83" spans="2:10">
      <c r="B83" s="120" t="s">
        <v>50</v>
      </c>
      <c r="C83" s="120" t="s">
        <v>50</v>
      </c>
      <c r="D83" s="5" t="s">
        <v>1582</v>
      </c>
      <c r="E83" s="5" t="s">
        <v>1583</v>
      </c>
      <c r="F83" s="120" t="s">
        <v>50</v>
      </c>
      <c r="G83" s="5" t="s">
        <v>1582</v>
      </c>
      <c r="H83" s="5" t="s">
        <v>1583</v>
      </c>
      <c r="I83" s="7"/>
      <c r="J83" s="7"/>
    </row>
    <row r="84" spans="2:10">
      <c r="B84" s="120" t="s">
        <v>79</v>
      </c>
      <c r="C84" s="120" t="s">
        <v>79</v>
      </c>
      <c r="D84" s="5" t="s">
        <v>79</v>
      </c>
      <c r="E84" s="5" t="s">
        <v>1584</v>
      </c>
      <c r="F84" s="120" t="s">
        <v>79</v>
      </c>
      <c r="G84" s="5" t="s">
        <v>79</v>
      </c>
      <c r="H84" s="5" t="s">
        <v>1584</v>
      </c>
      <c r="I84" s="7"/>
      <c r="J84" s="7"/>
    </row>
    <row r="85" spans="2:10">
      <c r="B85" s="120" t="s">
        <v>134</v>
      </c>
      <c r="C85" s="120" t="s">
        <v>134</v>
      </c>
      <c r="D85" s="5" t="s">
        <v>1585</v>
      </c>
      <c r="E85" s="5" t="s">
        <v>1585</v>
      </c>
      <c r="F85" s="120" t="s">
        <v>134</v>
      </c>
      <c r="G85" s="5" t="s">
        <v>1585</v>
      </c>
      <c r="H85" s="5" t="s">
        <v>1585</v>
      </c>
      <c r="I85" s="7"/>
      <c r="J85" s="7"/>
    </row>
    <row r="86" spans="2:10">
      <c r="B86" s="120" t="s">
        <v>135</v>
      </c>
      <c r="C86" s="120" t="s">
        <v>135</v>
      </c>
      <c r="D86" s="5" t="s">
        <v>1586</v>
      </c>
      <c r="E86" s="5" t="s">
        <v>1586</v>
      </c>
      <c r="F86" s="120" t="s">
        <v>135</v>
      </c>
      <c r="G86" s="5" t="s">
        <v>1586</v>
      </c>
      <c r="H86" s="5" t="s">
        <v>1586</v>
      </c>
      <c r="I86" s="7"/>
      <c r="J86" s="7"/>
    </row>
    <row r="87" spans="2:10">
      <c r="B87" s="120" t="s">
        <v>226</v>
      </c>
      <c r="C87" s="120" t="s">
        <v>1587</v>
      </c>
      <c r="D87" s="5" t="s">
        <v>1588</v>
      </c>
      <c r="E87" s="5" t="s">
        <v>1588</v>
      </c>
      <c r="F87" s="120" t="s">
        <v>1587</v>
      </c>
      <c r="G87" s="5" t="s">
        <v>1588</v>
      </c>
      <c r="H87" s="5" t="s">
        <v>1588</v>
      </c>
      <c r="I87" s="7"/>
      <c r="J87" s="7"/>
    </row>
    <row r="88" spans="2:10">
      <c r="B88" s="120" t="s">
        <v>80</v>
      </c>
      <c r="C88" s="120" t="s">
        <v>1589</v>
      </c>
      <c r="D88" s="5" t="s">
        <v>1590</v>
      </c>
      <c r="E88" s="5" t="s">
        <v>1591</v>
      </c>
      <c r="F88" s="120" t="s">
        <v>1589</v>
      </c>
      <c r="G88" s="5" t="s">
        <v>1590</v>
      </c>
      <c r="H88" s="5" t="s">
        <v>1591</v>
      </c>
      <c r="I88" s="7"/>
      <c r="J88" s="7"/>
    </row>
    <row r="89" spans="2:10">
      <c r="B89" s="120" t="s">
        <v>1558</v>
      </c>
      <c r="C89" s="120" t="s">
        <v>1600</v>
      </c>
      <c r="D89" s="5" t="s">
        <v>1592</v>
      </c>
      <c r="E89" s="5" t="s">
        <v>1592</v>
      </c>
      <c r="F89" s="120" t="s">
        <v>1600</v>
      </c>
      <c r="G89" s="5" t="s">
        <v>1592</v>
      </c>
      <c r="H89" s="5" t="s">
        <v>1592</v>
      </c>
      <c r="I89" s="7"/>
      <c r="J89" s="7"/>
    </row>
    <row r="90" spans="2:10">
      <c r="B90" s="120" t="s">
        <v>227</v>
      </c>
      <c r="C90" s="120" t="s">
        <v>1593</v>
      </c>
      <c r="D90" s="5" t="s">
        <v>1594</v>
      </c>
      <c r="E90" s="5" t="s">
        <v>1595</v>
      </c>
      <c r="F90" s="120" t="s">
        <v>1593</v>
      </c>
      <c r="G90" s="5" t="s">
        <v>1594</v>
      </c>
      <c r="H90" s="5" t="s">
        <v>1595</v>
      </c>
      <c r="I90" s="7"/>
      <c r="J90" s="7"/>
    </row>
    <row r="91" spans="2:10">
      <c r="B91" s="120" t="s">
        <v>1559</v>
      </c>
      <c r="C91" s="120" t="s">
        <v>1601</v>
      </c>
      <c r="D91" s="5" t="s">
        <v>1596</v>
      </c>
      <c r="E91" s="5" t="s">
        <v>1596</v>
      </c>
      <c r="F91" s="120" t="s">
        <v>1601</v>
      </c>
      <c r="G91" s="5" t="s">
        <v>1596</v>
      </c>
      <c r="H91" s="5" t="s">
        <v>1596</v>
      </c>
      <c r="I91" s="7"/>
      <c r="J91" s="7"/>
    </row>
    <row r="92" spans="2:10">
      <c r="B92" s="120" t="s">
        <v>228</v>
      </c>
      <c r="C92" s="120" t="s">
        <v>1602</v>
      </c>
      <c r="D92" s="5" t="s">
        <v>1597</v>
      </c>
      <c r="E92" s="5" t="s">
        <v>1597</v>
      </c>
      <c r="F92" s="120" t="s">
        <v>1602</v>
      </c>
      <c r="G92" s="5" t="s">
        <v>1597</v>
      </c>
      <c r="H92" s="5" t="s">
        <v>1597</v>
      </c>
      <c r="I92" s="7"/>
      <c r="J92" s="7"/>
    </row>
    <row r="93" spans="2:10">
      <c r="B93" s="120" t="s">
        <v>225</v>
      </c>
      <c r="C93" s="120" t="s">
        <v>1598</v>
      </c>
      <c r="D93" s="5" t="s">
        <v>1599</v>
      </c>
      <c r="E93" s="5" t="s">
        <v>1599</v>
      </c>
      <c r="F93" s="120" t="s">
        <v>1598</v>
      </c>
      <c r="G93" s="5" t="s">
        <v>1599</v>
      </c>
      <c r="H93" s="5" t="s">
        <v>1599</v>
      </c>
      <c r="I93" s="7"/>
      <c r="J93" s="7"/>
    </row>
    <row r="94" spans="2:10">
      <c r="B94" s="120" t="s">
        <v>1604</v>
      </c>
      <c r="C94" s="120" t="s">
        <v>1604</v>
      </c>
      <c r="D94" s="5" t="s">
        <v>1765</v>
      </c>
      <c r="E94" s="5" t="s">
        <v>1766</v>
      </c>
      <c r="F94" s="120" t="s">
        <v>1604</v>
      </c>
      <c r="G94" s="5" t="s">
        <v>1765</v>
      </c>
      <c r="H94" s="5" t="s">
        <v>1766</v>
      </c>
      <c r="I94" s="7"/>
      <c r="J94" s="7"/>
    </row>
    <row r="95" spans="2:10">
      <c r="B95" s="120" t="s">
        <v>2</v>
      </c>
      <c r="C95" s="120" t="s">
        <v>2</v>
      </c>
      <c r="D95" s="5" t="s">
        <v>2</v>
      </c>
      <c r="E95" s="5" t="s">
        <v>1767</v>
      </c>
      <c r="F95" s="120" t="s">
        <v>2</v>
      </c>
      <c r="G95" s="5" t="s">
        <v>2</v>
      </c>
      <c r="H95" s="5" t="s">
        <v>1767</v>
      </c>
      <c r="I95" s="7"/>
      <c r="J95" s="7"/>
    </row>
    <row r="96" spans="2:10">
      <c r="B96" s="120" t="s">
        <v>869</v>
      </c>
      <c r="C96" s="120" t="s">
        <v>869</v>
      </c>
      <c r="D96" s="5" t="s">
        <v>1768</v>
      </c>
      <c r="E96" s="5" t="s">
        <v>1769</v>
      </c>
      <c r="F96" s="120" t="s">
        <v>869</v>
      </c>
      <c r="G96" s="5" t="s">
        <v>1768</v>
      </c>
      <c r="H96" s="5" t="s">
        <v>1769</v>
      </c>
      <c r="I96" s="7"/>
      <c r="J96" s="7"/>
    </row>
    <row r="97" spans="2:10">
      <c r="B97" s="120" t="s">
        <v>456</v>
      </c>
      <c r="C97" s="120" t="s">
        <v>456</v>
      </c>
      <c r="D97" s="5" t="s">
        <v>456</v>
      </c>
      <c r="E97" s="5" t="s">
        <v>1770</v>
      </c>
      <c r="F97" s="120" t="s">
        <v>456</v>
      </c>
      <c r="G97" s="5" t="s">
        <v>456</v>
      </c>
      <c r="H97" s="5" t="s">
        <v>1770</v>
      </c>
      <c r="I97" s="7"/>
      <c r="J97" s="7"/>
    </row>
    <row r="98" spans="2:10">
      <c r="B98" s="120" t="s">
        <v>943</v>
      </c>
      <c r="C98" s="120" t="s">
        <v>943</v>
      </c>
      <c r="D98" s="5" t="s">
        <v>1771</v>
      </c>
      <c r="E98" s="5" t="s">
        <v>1772</v>
      </c>
      <c r="F98" s="120" t="s">
        <v>943</v>
      </c>
      <c r="G98" s="5" t="s">
        <v>1771</v>
      </c>
      <c r="H98" s="5" t="s">
        <v>1772</v>
      </c>
      <c r="I98" s="7"/>
      <c r="J98" s="7"/>
    </row>
    <row r="99" spans="2:10">
      <c r="B99" s="120" t="s">
        <v>73</v>
      </c>
      <c r="C99" s="120" t="s">
        <v>73</v>
      </c>
      <c r="D99" s="5" t="s">
        <v>73</v>
      </c>
      <c r="E99" s="5" t="s">
        <v>1773</v>
      </c>
      <c r="F99" s="120" t="s">
        <v>73</v>
      </c>
      <c r="G99" s="5" t="s">
        <v>73</v>
      </c>
      <c r="H99" s="5" t="s">
        <v>1773</v>
      </c>
      <c r="I99" s="7"/>
      <c r="J99" s="7"/>
    </row>
    <row r="100" spans="2:10">
      <c r="B100" s="120" t="s">
        <v>1483</v>
      </c>
      <c r="C100" s="120" t="s">
        <v>1483</v>
      </c>
      <c r="D100" s="5" t="s">
        <v>1483</v>
      </c>
      <c r="E100" s="5" t="s">
        <v>1774</v>
      </c>
      <c r="F100" s="120" t="s">
        <v>1483</v>
      </c>
      <c r="G100" s="5" t="s">
        <v>1483</v>
      </c>
      <c r="H100" s="5" t="s">
        <v>1774</v>
      </c>
      <c r="I100" s="7"/>
      <c r="J100" s="7"/>
    </row>
    <row r="101" spans="2:10">
      <c r="B101" s="120" t="s">
        <v>3</v>
      </c>
      <c r="C101" s="120" t="s">
        <v>3</v>
      </c>
      <c r="D101" s="5" t="s">
        <v>3</v>
      </c>
      <c r="E101" s="5" t="s">
        <v>1775</v>
      </c>
      <c r="F101" s="120" t="s">
        <v>3</v>
      </c>
      <c r="G101" s="5" t="s">
        <v>3</v>
      </c>
      <c r="H101" s="5" t="s">
        <v>1775</v>
      </c>
      <c r="I101" s="7"/>
      <c r="J101" s="7"/>
    </row>
    <row r="102" spans="2:10">
      <c r="B102" s="120" t="s">
        <v>871</v>
      </c>
      <c r="C102" s="120" t="s">
        <v>871</v>
      </c>
      <c r="D102" s="5" t="s">
        <v>1776</v>
      </c>
      <c r="E102" s="5" t="s">
        <v>1777</v>
      </c>
      <c r="F102" s="120" t="s">
        <v>871</v>
      </c>
      <c r="G102" s="5" t="s">
        <v>1776</v>
      </c>
      <c r="H102" s="5" t="s">
        <v>1777</v>
      </c>
      <c r="I102" s="7"/>
      <c r="J102" s="7"/>
    </row>
    <row r="103" spans="2:10">
      <c r="B103" s="120" t="s">
        <v>585</v>
      </c>
      <c r="C103" s="120" t="s">
        <v>585</v>
      </c>
      <c r="D103" s="5" t="s">
        <v>585</v>
      </c>
      <c r="E103" s="5" t="s">
        <v>1778</v>
      </c>
      <c r="F103" s="120" t="s">
        <v>585</v>
      </c>
      <c r="G103" s="5" t="s">
        <v>585</v>
      </c>
      <c r="H103" s="5" t="s">
        <v>1778</v>
      </c>
      <c r="I103" s="7"/>
      <c r="J103" s="7"/>
    </row>
    <row r="104" spans="2:10">
      <c r="B104" s="120" t="s">
        <v>868</v>
      </c>
      <c r="C104" s="120" t="s">
        <v>868</v>
      </c>
      <c r="D104" s="5" t="s">
        <v>1779</v>
      </c>
      <c r="E104" s="5" t="s">
        <v>1780</v>
      </c>
      <c r="F104" s="120" t="s">
        <v>868</v>
      </c>
      <c r="G104" s="5" t="s">
        <v>1779</v>
      </c>
      <c r="H104" s="5" t="s">
        <v>1780</v>
      </c>
      <c r="I104" s="7"/>
      <c r="J104" s="7"/>
    </row>
    <row r="105" spans="2:10">
      <c r="B105" s="120" t="s">
        <v>237</v>
      </c>
      <c r="C105" s="120" t="s">
        <v>237</v>
      </c>
      <c r="D105" s="5" t="s">
        <v>237</v>
      </c>
      <c r="E105" s="5" t="s">
        <v>1781</v>
      </c>
      <c r="F105" s="120" t="s">
        <v>237</v>
      </c>
      <c r="G105" s="5" t="s">
        <v>237</v>
      </c>
      <c r="H105" s="5" t="s">
        <v>1781</v>
      </c>
      <c r="I105" s="7"/>
      <c r="J105" s="7"/>
    </row>
    <row r="106" spans="2:10">
      <c r="B106" s="120" t="s">
        <v>941</v>
      </c>
      <c r="C106" s="120" t="s">
        <v>941</v>
      </c>
      <c r="D106" s="5" t="s">
        <v>1782</v>
      </c>
      <c r="E106" s="5" t="s">
        <v>1783</v>
      </c>
      <c r="F106" s="120" t="s">
        <v>941</v>
      </c>
      <c r="G106" s="5" t="s">
        <v>1782</v>
      </c>
      <c r="H106" s="5" t="s">
        <v>1783</v>
      </c>
      <c r="I106" s="7"/>
      <c r="J106" s="7"/>
    </row>
    <row r="107" spans="2:10">
      <c r="B107" s="120" t="s">
        <v>124</v>
      </c>
      <c r="C107" s="120" t="s">
        <v>124</v>
      </c>
      <c r="D107" s="5" t="s">
        <v>1784</v>
      </c>
      <c r="E107" s="5" t="s">
        <v>1785</v>
      </c>
      <c r="F107" s="120" t="s">
        <v>124</v>
      </c>
      <c r="G107" s="5" t="s">
        <v>1784</v>
      </c>
      <c r="H107" s="5" t="s">
        <v>1785</v>
      </c>
      <c r="I107" s="7"/>
      <c r="J107" s="7"/>
    </row>
    <row r="108" spans="2:10">
      <c r="B108" s="120" t="s">
        <v>125</v>
      </c>
      <c r="C108" s="120" t="s">
        <v>125</v>
      </c>
      <c r="D108" s="5" t="s">
        <v>1786</v>
      </c>
      <c r="E108" s="5" t="s">
        <v>1787</v>
      </c>
      <c r="F108" s="120" t="s">
        <v>125</v>
      </c>
      <c r="G108" s="5" t="s">
        <v>1786</v>
      </c>
      <c r="H108" s="5" t="s">
        <v>1787</v>
      </c>
      <c r="I108" s="7"/>
      <c r="J108" s="7"/>
    </row>
    <row r="109" spans="2:10">
      <c r="B109" s="120" t="s">
        <v>701</v>
      </c>
      <c r="C109" s="120" t="s">
        <v>701</v>
      </c>
      <c r="D109" s="5" t="s">
        <v>701</v>
      </c>
      <c r="E109" s="5" t="s">
        <v>1788</v>
      </c>
      <c r="F109" s="120" t="s">
        <v>701</v>
      </c>
      <c r="G109" s="5" t="s">
        <v>701</v>
      </c>
      <c r="H109" s="5" t="s">
        <v>1788</v>
      </c>
      <c r="I109" s="7"/>
      <c r="J109" s="7"/>
    </row>
    <row r="110" spans="2:10">
      <c r="B110" s="120" t="s">
        <v>699</v>
      </c>
      <c r="C110" s="120" t="s">
        <v>699</v>
      </c>
      <c r="D110" s="5" t="s">
        <v>699</v>
      </c>
      <c r="E110" s="5" t="s">
        <v>1789</v>
      </c>
      <c r="F110" s="120" t="s">
        <v>699</v>
      </c>
      <c r="G110" s="5" t="s">
        <v>699</v>
      </c>
      <c r="H110" s="5" t="s">
        <v>1789</v>
      </c>
      <c r="I110" s="7"/>
      <c r="J110" s="7"/>
    </row>
    <row r="111" spans="2:10">
      <c r="B111" s="120" t="s">
        <v>700</v>
      </c>
      <c r="C111" s="120" t="s">
        <v>700</v>
      </c>
      <c r="D111" s="5" t="s">
        <v>700</v>
      </c>
      <c r="E111" s="5" t="s">
        <v>1790</v>
      </c>
      <c r="F111" s="120" t="s">
        <v>700</v>
      </c>
      <c r="G111" s="5" t="s">
        <v>700</v>
      </c>
      <c r="H111" s="5" t="s">
        <v>1790</v>
      </c>
      <c r="I111" s="7"/>
      <c r="J111" s="7"/>
    </row>
    <row r="112" spans="2:10">
      <c r="B112" s="120" t="s">
        <v>942</v>
      </c>
      <c r="C112" s="120" t="s">
        <v>942</v>
      </c>
      <c r="D112" s="5" t="s">
        <v>1791</v>
      </c>
      <c r="E112" s="5" t="s">
        <v>1792</v>
      </c>
      <c r="F112" s="120" t="s">
        <v>942</v>
      </c>
      <c r="G112" s="5" t="s">
        <v>1791</v>
      </c>
      <c r="H112" s="5" t="s">
        <v>1792</v>
      </c>
      <c r="I112" s="7"/>
      <c r="J112" s="7"/>
    </row>
    <row r="113" spans="2:10">
      <c r="B113" s="120" t="s">
        <v>1455</v>
      </c>
      <c r="C113" s="120" t="s">
        <v>1455</v>
      </c>
      <c r="D113" s="5" t="s">
        <v>1793</v>
      </c>
      <c r="E113" s="5" t="s">
        <v>1794</v>
      </c>
      <c r="F113" s="120" t="s">
        <v>1455</v>
      </c>
      <c r="G113" s="5" t="s">
        <v>1793</v>
      </c>
      <c r="H113" s="5" t="s">
        <v>1794</v>
      </c>
      <c r="I113" s="7"/>
      <c r="J113" s="7"/>
    </row>
    <row r="114" spans="2:10">
      <c r="B114" s="120" t="s">
        <v>0</v>
      </c>
      <c r="C114" s="120" t="s">
        <v>0</v>
      </c>
      <c r="D114" s="5" t="s">
        <v>0</v>
      </c>
      <c r="E114" s="5" t="s">
        <v>1609</v>
      </c>
      <c r="F114" s="120" t="s">
        <v>0</v>
      </c>
      <c r="G114" s="5" t="s">
        <v>0</v>
      </c>
      <c r="H114" s="5" t="s">
        <v>1609</v>
      </c>
      <c r="I114" s="7"/>
      <c r="J114" s="7"/>
    </row>
    <row r="115" spans="2:10">
      <c r="B115" s="120" t="s">
        <v>5</v>
      </c>
      <c r="C115" s="120" t="s">
        <v>5</v>
      </c>
      <c r="D115" s="5" t="s">
        <v>5</v>
      </c>
      <c r="E115" s="5" t="s">
        <v>1610</v>
      </c>
      <c r="F115" s="120" t="s">
        <v>5</v>
      </c>
      <c r="G115" s="5" t="s">
        <v>5</v>
      </c>
      <c r="H115" s="5" t="s">
        <v>1610</v>
      </c>
      <c r="I115" s="7"/>
      <c r="J115" s="7"/>
    </row>
    <row r="116" spans="2:10">
      <c r="B116" s="120" t="s">
        <v>461</v>
      </c>
      <c r="C116" s="120" t="s">
        <v>1612</v>
      </c>
      <c r="D116" s="5" t="s">
        <v>1613</v>
      </c>
      <c r="E116" s="5" t="s">
        <v>1613</v>
      </c>
      <c r="F116" s="120" t="s">
        <v>1612</v>
      </c>
      <c r="G116" s="5" t="s">
        <v>1613</v>
      </c>
      <c r="H116" s="5" t="s">
        <v>1613</v>
      </c>
      <c r="I116" s="7"/>
      <c r="J116" s="7"/>
    </row>
    <row r="117" spans="2:10">
      <c r="B117" s="120" t="s">
        <v>806</v>
      </c>
      <c r="C117" s="120" t="s">
        <v>806</v>
      </c>
      <c r="D117" s="5" t="s">
        <v>1614</v>
      </c>
      <c r="E117" s="5" t="s">
        <v>1615</v>
      </c>
      <c r="F117" s="120" t="s">
        <v>806</v>
      </c>
      <c r="G117" s="5" t="s">
        <v>1614</v>
      </c>
      <c r="H117" s="5" t="s">
        <v>1615</v>
      </c>
      <c r="I117" s="7"/>
      <c r="J117" s="7"/>
    </row>
    <row r="118" spans="2:10">
      <c r="B118" s="120" t="s">
        <v>84</v>
      </c>
      <c r="C118" s="120" t="s">
        <v>84</v>
      </c>
      <c r="D118" s="5" t="s">
        <v>84</v>
      </c>
      <c r="E118" s="5" t="s">
        <v>1616</v>
      </c>
      <c r="F118" s="120" t="s">
        <v>84</v>
      </c>
      <c r="G118" s="5" t="s">
        <v>84</v>
      </c>
      <c r="H118" s="5" t="s">
        <v>1616</v>
      </c>
      <c r="I118" s="7"/>
      <c r="J118" s="7"/>
    </row>
    <row r="119" spans="2:10">
      <c r="B119" s="120" t="s">
        <v>31</v>
      </c>
      <c r="C119" s="120" t="s">
        <v>31</v>
      </c>
      <c r="D119" s="5" t="s">
        <v>31</v>
      </c>
      <c r="E119" s="5" t="s">
        <v>1617</v>
      </c>
      <c r="F119" s="120" t="s">
        <v>31</v>
      </c>
      <c r="G119" s="5" t="s">
        <v>31</v>
      </c>
      <c r="H119" s="5" t="s">
        <v>1617</v>
      </c>
      <c r="I119" s="7"/>
      <c r="J119" s="7"/>
    </row>
    <row r="120" spans="2:10">
      <c r="B120" s="120" t="s">
        <v>1</v>
      </c>
      <c r="C120" s="120" t="s">
        <v>1</v>
      </c>
      <c r="D120" s="5" t="s">
        <v>1</v>
      </c>
      <c r="E120" s="5" t="s">
        <v>1619</v>
      </c>
      <c r="F120" s="120" t="s">
        <v>1</v>
      </c>
      <c r="G120" s="5" t="s">
        <v>1</v>
      </c>
      <c r="H120" s="5" t="s">
        <v>1619</v>
      </c>
      <c r="I120" s="7"/>
      <c r="J120" s="7"/>
    </row>
    <row r="121" spans="2:10">
      <c r="B121" s="120" t="s">
        <v>224</v>
      </c>
      <c r="C121" s="120" t="s">
        <v>224</v>
      </c>
      <c r="D121" s="5" t="s">
        <v>224</v>
      </c>
      <c r="E121" s="5" t="s">
        <v>1620</v>
      </c>
      <c r="F121" s="120" t="s">
        <v>224</v>
      </c>
      <c r="G121" s="5" t="s">
        <v>224</v>
      </c>
      <c r="H121" s="5" t="s">
        <v>1620</v>
      </c>
      <c r="I121" s="7"/>
      <c r="J121" s="7"/>
    </row>
    <row r="122" spans="2:10">
      <c r="B122" s="120" t="s">
        <v>11</v>
      </c>
      <c r="C122" s="120" t="s">
        <v>11</v>
      </c>
      <c r="D122" s="5" t="s">
        <v>11</v>
      </c>
      <c r="E122" s="5" t="s">
        <v>1621</v>
      </c>
      <c r="F122" s="120" t="s">
        <v>11</v>
      </c>
      <c r="G122" s="5" t="s">
        <v>11</v>
      </c>
      <c r="H122" s="5" t="s">
        <v>1621</v>
      </c>
      <c r="I122" s="7"/>
      <c r="J122" s="7"/>
    </row>
    <row r="123" spans="2:10">
      <c r="B123" s="120" t="s">
        <v>75</v>
      </c>
      <c r="C123" s="120" t="s">
        <v>75</v>
      </c>
      <c r="D123" s="5" t="s">
        <v>1622</v>
      </c>
      <c r="E123" s="5" t="s">
        <v>1623</v>
      </c>
      <c r="F123" s="120" t="s">
        <v>75</v>
      </c>
      <c r="G123" s="5" t="s">
        <v>1622</v>
      </c>
      <c r="H123" s="5" t="s">
        <v>1623</v>
      </c>
      <c r="I123" s="7"/>
      <c r="J123" s="7"/>
    </row>
    <row r="124" spans="2:10">
      <c r="B124" s="120" t="s">
        <v>78</v>
      </c>
      <c r="C124" s="120" t="s">
        <v>1624</v>
      </c>
      <c r="D124" s="5" t="s">
        <v>1625</v>
      </c>
      <c r="E124" s="5" t="s">
        <v>1626</v>
      </c>
      <c r="F124" s="120" t="s">
        <v>1624</v>
      </c>
      <c r="G124" s="5" t="s">
        <v>1625</v>
      </c>
      <c r="H124" s="5" t="s">
        <v>1626</v>
      </c>
      <c r="I124" s="7"/>
      <c r="J124" s="7"/>
    </row>
    <row r="125" spans="2:10">
      <c r="B125" s="120" t="s">
        <v>81</v>
      </c>
      <c r="C125" s="120" t="s">
        <v>81</v>
      </c>
      <c r="D125" s="5" t="s">
        <v>1627</v>
      </c>
      <c r="E125" s="5" t="s">
        <v>1628</v>
      </c>
      <c r="F125" s="120" t="s">
        <v>81</v>
      </c>
      <c r="G125" s="5" t="s">
        <v>1627</v>
      </c>
      <c r="H125" s="5" t="s">
        <v>1628</v>
      </c>
      <c r="I125" s="7"/>
      <c r="J125" s="7"/>
    </row>
    <row r="126" spans="2:10">
      <c r="B126" s="120" t="s">
        <v>801</v>
      </c>
      <c r="C126" s="120" t="s">
        <v>801</v>
      </c>
      <c r="D126" s="5" t="s">
        <v>1629</v>
      </c>
      <c r="E126" s="5" t="s">
        <v>1630</v>
      </c>
      <c r="F126" s="120" t="s">
        <v>801</v>
      </c>
      <c r="G126" s="5" t="s">
        <v>1629</v>
      </c>
      <c r="H126" s="5" t="s">
        <v>1630</v>
      </c>
      <c r="I126" s="7"/>
      <c r="J126" s="7"/>
    </row>
    <row r="127" spans="2:10">
      <c r="B127" s="120" t="s">
        <v>802</v>
      </c>
      <c r="C127" s="120" t="s">
        <v>802</v>
      </c>
      <c r="D127" s="5" t="s">
        <v>1631</v>
      </c>
      <c r="E127" s="5" t="s">
        <v>1632</v>
      </c>
      <c r="F127" s="120" t="s">
        <v>802</v>
      </c>
      <c r="G127" s="5" t="s">
        <v>1631</v>
      </c>
      <c r="H127" s="5" t="s">
        <v>1632</v>
      </c>
      <c r="I127" s="7"/>
      <c r="J127" s="7"/>
    </row>
    <row r="128" spans="2:10">
      <c r="B128" s="120" t="s">
        <v>4</v>
      </c>
      <c r="C128" s="120" t="s">
        <v>4</v>
      </c>
      <c r="D128" s="5" t="s">
        <v>4</v>
      </c>
      <c r="E128" s="5" t="s">
        <v>1633</v>
      </c>
      <c r="F128" s="120" t="s">
        <v>4</v>
      </c>
      <c r="G128" s="5" t="s">
        <v>4</v>
      </c>
      <c r="H128" s="5" t="s">
        <v>1633</v>
      </c>
      <c r="I128" s="7"/>
      <c r="J128" s="7"/>
    </row>
    <row r="129" spans="2:10">
      <c r="B129" s="120" t="s">
        <v>365</v>
      </c>
      <c r="C129" s="120" t="s">
        <v>365</v>
      </c>
      <c r="D129" s="5" t="s">
        <v>1634</v>
      </c>
      <c r="E129" s="5" t="s">
        <v>1635</v>
      </c>
      <c r="F129" s="120" t="s">
        <v>365</v>
      </c>
      <c r="G129" s="5" t="s">
        <v>1634</v>
      </c>
      <c r="H129" s="5" t="s">
        <v>1635</v>
      </c>
      <c r="I129" s="7"/>
      <c r="J129" s="7"/>
    </row>
    <row r="130" spans="2:10">
      <c r="B130" s="120" t="s">
        <v>13</v>
      </c>
      <c r="C130" s="120" t="s">
        <v>13</v>
      </c>
      <c r="D130" s="5" t="s">
        <v>1637</v>
      </c>
      <c r="E130" s="5" t="s">
        <v>1638</v>
      </c>
      <c r="F130" s="120" t="s">
        <v>13</v>
      </c>
      <c r="G130" s="5" t="s">
        <v>1637</v>
      </c>
      <c r="H130" s="5" t="s">
        <v>1638</v>
      </c>
      <c r="I130" s="7"/>
      <c r="J130" s="7"/>
    </row>
    <row r="131" spans="2:10">
      <c r="B131" s="120" t="s">
        <v>481</v>
      </c>
      <c r="C131" s="120" t="s">
        <v>481</v>
      </c>
      <c r="D131" s="5" t="s">
        <v>481</v>
      </c>
      <c r="E131" s="5" t="s">
        <v>1639</v>
      </c>
      <c r="F131" s="120" t="s">
        <v>481</v>
      </c>
      <c r="G131" s="5" t="s">
        <v>481</v>
      </c>
      <c r="H131" s="5" t="s">
        <v>1639</v>
      </c>
      <c r="I131" s="7"/>
      <c r="J131" s="7"/>
    </row>
    <row r="132" spans="2:10">
      <c r="B132" s="120" t="s">
        <v>693</v>
      </c>
      <c r="C132" s="120" t="s">
        <v>1640</v>
      </c>
      <c r="D132" s="5" t="s">
        <v>1640</v>
      </c>
      <c r="E132" s="5" t="s">
        <v>1640</v>
      </c>
      <c r="F132" s="120" t="s">
        <v>1640</v>
      </c>
      <c r="G132" s="5" t="s">
        <v>1640</v>
      </c>
      <c r="H132" s="5" t="s">
        <v>1640</v>
      </c>
      <c r="I132" s="7"/>
      <c r="J132" s="7"/>
    </row>
    <row r="133" spans="2:10">
      <c r="B133" s="120" t="s">
        <v>829</v>
      </c>
      <c r="C133" s="120" t="s">
        <v>829</v>
      </c>
      <c r="D133" s="5" t="s">
        <v>1641</v>
      </c>
      <c r="E133" s="5" t="s">
        <v>1642</v>
      </c>
      <c r="F133" s="120" t="s">
        <v>829</v>
      </c>
      <c r="G133" s="5" t="s">
        <v>1641</v>
      </c>
      <c r="H133" s="5" t="s">
        <v>1642</v>
      </c>
      <c r="I133" s="7"/>
      <c r="J133" s="7"/>
    </row>
    <row r="134" spans="2:10">
      <c r="B134" s="120" t="s">
        <v>91</v>
      </c>
      <c r="C134" s="120" t="s">
        <v>91</v>
      </c>
      <c r="D134" s="5" t="s">
        <v>1643</v>
      </c>
      <c r="E134" s="5" t="s">
        <v>1644</v>
      </c>
      <c r="F134" s="120" t="s">
        <v>91</v>
      </c>
      <c r="G134" s="5" t="s">
        <v>1643</v>
      </c>
      <c r="H134" s="5" t="s">
        <v>1644</v>
      </c>
      <c r="I134" s="7"/>
      <c r="J134" s="7"/>
    </row>
    <row r="135" spans="2:10">
      <c r="B135" s="120" t="s">
        <v>558</v>
      </c>
      <c r="C135" s="120" t="s">
        <v>558</v>
      </c>
      <c r="D135" s="5" t="s">
        <v>1645</v>
      </c>
      <c r="E135" s="5" t="s">
        <v>1646</v>
      </c>
      <c r="F135" s="120" t="s">
        <v>558</v>
      </c>
      <c r="G135" s="5" t="s">
        <v>1645</v>
      </c>
      <c r="H135" s="5" t="s">
        <v>1646</v>
      </c>
      <c r="I135" s="7"/>
      <c r="J135" s="7"/>
    </row>
    <row r="136" spans="2:10">
      <c r="B136" s="120" t="s">
        <v>559</v>
      </c>
      <c r="C136" s="120" t="s">
        <v>559</v>
      </c>
      <c r="D136" s="5" t="s">
        <v>1647</v>
      </c>
      <c r="E136" s="5" t="s">
        <v>1648</v>
      </c>
      <c r="F136" s="120" t="s">
        <v>559</v>
      </c>
      <c r="G136" s="5" t="s">
        <v>1647</v>
      </c>
      <c r="H136" s="5" t="s">
        <v>1648</v>
      </c>
      <c r="I136" s="7"/>
      <c r="J136" s="7"/>
    </row>
    <row r="137" spans="2:10">
      <c r="B137" s="120" t="s">
        <v>562</v>
      </c>
      <c r="C137" s="120" t="s">
        <v>562</v>
      </c>
      <c r="D137" s="5" t="s">
        <v>1650</v>
      </c>
      <c r="E137" s="5" t="s">
        <v>1651</v>
      </c>
      <c r="F137" s="120" t="s">
        <v>562</v>
      </c>
      <c r="G137" s="5" t="s">
        <v>1650</v>
      </c>
      <c r="H137" s="5" t="s">
        <v>1651</v>
      </c>
      <c r="I137" s="7"/>
      <c r="J137" s="7"/>
    </row>
    <row r="138" spans="2:10">
      <c r="B138" s="120" t="s">
        <v>83</v>
      </c>
      <c r="C138" s="120" t="s">
        <v>83</v>
      </c>
      <c r="D138" s="5" t="s">
        <v>1652</v>
      </c>
      <c r="E138" s="5" t="s">
        <v>1653</v>
      </c>
      <c r="F138" s="120" t="s">
        <v>83</v>
      </c>
      <c r="G138" s="5" t="s">
        <v>1652</v>
      </c>
      <c r="H138" s="5" t="s">
        <v>1653</v>
      </c>
      <c r="I138" s="7"/>
      <c r="J138" s="7"/>
    </row>
    <row r="139" spans="2:10">
      <c r="B139" s="120" t="s">
        <v>471</v>
      </c>
      <c r="C139" s="120" t="s">
        <v>471</v>
      </c>
      <c r="D139" s="5" t="s">
        <v>1654</v>
      </c>
      <c r="E139" s="5" t="s">
        <v>1655</v>
      </c>
      <c r="F139" s="120" t="s">
        <v>471</v>
      </c>
      <c r="G139" s="5" t="s">
        <v>1654</v>
      </c>
      <c r="H139" s="5" t="s">
        <v>1655</v>
      </c>
      <c r="I139" s="7"/>
      <c r="J139" s="7"/>
    </row>
    <row r="140" spans="2:10">
      <c r="B140" s="120" t="s">
        <v>74</v>
      </c>
      <c r="C140" s="120" t="s">
        <v>74</v>
      </c>
      <c r="D140" s="5" t="s">
        <v>1656</v>
      </c>
      <c r="E140" s="5" t="s">
        <v>1657</v>
      </c>
      <c r="F140" s="120" t="s">
        <v>74</v>
      </c>
      <c r="G140" s="5" t="s">
        <v>1656</v>
      </c>
      <c r="H140" s="5" t="s">
        <v>1657</v>
      </c>
      <c r="I140" s="7"/>
      <c r="J140" s="7"/>
    </row>
    <row r="141" spans="2:10">
      <c r="B141" s="120" t="s">
        <v>735</v>
      </c>
      <c r="C141" s="120" t="s">
        <v>735</v>
      </c>
      <c r="D141" s="5" t="s">
        <v>1658</v>
      </c>
      <c r="E141" s="5" t="s">
        <v>1659</v>
      </c>
      <c r="F141" s="120" t="s">
        <v>735</v>
      </c>
      <c r="G141" s="5" t="s">
        <v>1658</v>
      </c>
      <c r="H141" s="5" t="s">
        <v>1659</v>
      </c>
      <c r="I141" s="7"/>
      <c r="J141" s="7"/>
    </row>
    <row r="142" spans="2:10">
      <c r="B142" s="120" t="s">
        <v>318</v>
      </c>
      <c r="C142" s="120" t="s">
        <v>318</v>
      </c>
      <c r="D142" s="5" t="s">
        <v>1660</v>
      </c>
      <c r="E142" s="5" t="s">
        <v>1661</v>
      </c>
      <c r="F142" s="120" t="s">
        <v>318</v>
      </c>
      <c r="G142" s="5" t="s">
        <v>1660</v>
      </c>
      <c r="H142" s="5" t="s">
        <v>1661</v>
      </c>
      <c r="I142" s="7"/>
      <c r="J142" s="7"/>
    </row>
    <row r="143" spans="2:10">
      <c r="B143" s="120" t="s">
        <v>320</v>
      </c>
      <c r="C143" s="120" t="s">
        <v>320</v>
      </c>
      <c r="D143" s="5" t="s">
        <v>1662</v>
      </c>
      <c r="E143" s="5" t="s">
        <v>1663</v>
      </c>
      <c r="F143" s="120" t="s">
        <v>320</v>
      </c>
      <c r="G143" s="5" t="s">
        <v>1662</v>
      </c>
      <c r="H143" s="5" t="s">
        <v>1663</v>
      </c>
      <c r="I143" s="7"/>
      <c r="J143" s="7"/>
    </row>
    <row r="144" spans="2:10">
      <c r="B144" s="120" t="s">
        <v>321</v>
      </c>
      <c r="C144" s="120" t="s">
        <v>321</v>
      </c>
      <c r="D144" s="5" t="s">
        <v>1664</v>
      </c>
      <c r="E144" s="5" t="s">
        <v>1665</v>
      </c>
      <c r="F144" s="120" t="s">
        <v>321</v>
      </c>
      <c r="G144" s="5" t="s">
        <v>1664</v>
      </c>
      <c r="H144" s="5" t="s">
        <v>1665</v>
      </c>
      <c r="I144" s="7"/>
      <c r="J144" s="7"/>
    </row>
    <row r="145" spans="2:10">
      <c r="B145" s="120" t="s">
        <v>17</v>
      </c>
      <c r="C145" s="120" t="s">
        <v>17</v>
      </c>
      <c r="D145" s="5" t="s">
        <v>1666</v>
      </c>
      <c r="E145" s="5" t="s">
        <v>1667</v>
      </c>
      <c r="F145" s="120" t="s">
        <v>17</v>
      </c>
      <c r="G145" s="5" t="s">
        <v>1666</v>
      </c>
      <c r="H145" s="5" t="s">
        <v>1667</v>
      </c>
      <c r="I145" s="7"/>
      <c r="J145" s="7"/>
    </row>
    <row r="146" spans="2:10">
      <c r="B146" s="120" t="s">
        <v>30</v>
      </c>
      <c r="C146" s="120" t="s">
        <v>30</v>
      </c>
      <c r="D146" s="5" t="s">
        <v>30</v>
      </c>
      <c r="E146" s="5" t="s">
        <v>1669</v>
      </c>
      <c r="F146" s="120" t="s">
        <v>30</v>
      </c>
      <c r="G146" s="5" t="s">
        <v>30</v>
      </c>
      <c r="H146" s="5" t="s">
        <v>1669</v>
      </c>
      <c r="I146" s="7"/>
      <c r="J146" s="7"/>
    </row>
    <row r="147" spans="2:10">
      <c r="B147" s="120" t="s">
        <v>23</v>
      </c>
      <c r="C147" s="120" t="s">
        <v>23</v>
      </c>
      <c r="D147" s="5" t="s">
        <v>23</v>
      </c>
      <c r="E147" s="5" t="s">
        <v>1671</v>
      </c>
      <c r="F147" s="120" t="s">
        <v>23</v>
      </c>
      <c r="G147" s="5" t="s">
        <v>23</v>
      </c>
      <c r="H147" s="5" t="s">
        <v>1671</v>
      </c>
      <c r="I147" s="7"/>
      <c r="J147" s="7"/>
    </row>
    <row r="148" spans="2:10">
      <c r="B148" s="120" t="s">
        <v>24</v>
      </c>
      <c r="C148" s="120" t="s">
        <v>24</v>
      </c>
      <c r="D148" s="5" t="s">
        <v>1672</v>
      </c>
      <c r="E148" s="5" t="s">
        <v>1673</v>
      </c>
      <c r="F148" s="120" t="s">
        <v>24</v>
      </c>
      <c r="G148" s="5" t="s">
        <v>1672</v>
      </c>
      <c r="H148" s="5" t="s">
        <v>1673</v>
      </c>
      <c r="I148" s="7"/>
      <c r="J148" s="7"/>
    </row>
    <row r="149" spans="2:10">
      <c r="B149" s="120" t="s">
        <v>25</v>
      </c>
      <c r="C149" s="120" t="s">
        <v>25</v>
      </c>
      <c r="D149" s="5" t="s">
        <v>1674</v>
      </c>
      <c r="E149" s="5" t="s">
        <v>1675</v>
      </c>
      <c r="F149" s="120" t="s">
        <v>25</v>
      </c>
      <c r="G149" s="5" t="s">
        <v>1674</v>
      </c>
      <c r="H149" s="5" t="s">
        <v>1675</v>
      </c>
      <c r="I149" s="7"/>
      <c r="J149" s="7"/>
    </row>
    <row r="150" spans="2:10">
      <c r="B150" s="120" t="s">
        <v>26</v>
      </c>
      <c r="C150" s="120" t="s">
        <v>26</v>
      </c>
      <c r="D150" s="5" t="s">
        <v>26</v>
      </c>
      <c r="E150" s="5" t="s">
        <v>1676</v>
      </c>
      <c r="F150" s="120" t="s">
        <v>26</v>
      </c>
      <c r="G150" s="5" t="s">
        <v>26</v>
      </c>
      <c r="H150" s="5" t="s">
        <v>1676</v>
      </c>
      <c r="I150" s="7"/>
      <c r="J150" s="7"/>
    </row>
    <row r="151" spans="2:10">
      <c r="B151" s="120" t="s">
        <v>27</v>
      </c>
      <c r="C151" s="120" t="s">
        <v>27</v>
      </c>
      <c r="D151" s="5" t="s">
        <v>1677</v>
      </c>
      <c r="E151" s="5" t="s">
        <v>1678</v>
      </c>
      <c r="F151" s="120" t="s">
        <v>27</v>
      </c>
      <c r="G151" s="5" t="s">
        <v>1677</v>
      </c>
      <c r="H151" s="5" t="s">
        <v>1678</v>
      </c>
      <c r="I151" s="7"/>
      <c r="J151" s="7"/>
    </row>
    <row r="152" spans="2:10">
      <c r="B152" s="120" t="s">
        <v>76</v>
      </c>
      <c r="C152" s="120" t="s">
        <v>76</v>
      </c>
      <c r="D152" s="5" t="s">
        <v>1680</v>
      </c>
      <c r="E152" s="5" t="s">
        <v>1681</v>
      </c>
      <c r="F152" s="120" t="s">
        <v>76</v>
      </c>
      <c r="G152" s="5" t="s">
        <v>1680</v>
      </c>
      <c r="H152" s="5" t="s">
        <v>1681</v>
      </c>
      <c r="I152" s="7"/>
      <c r="J152" s="7"/>
    </row>
    <row r="153" spans="2:10">
      <c r="B153" s="120" t="s">
        <v>77</v>
      </c>
      <c r="C153" s="120" t="s">
        <v>77</v>
      </c>
      <c r="D153" s="5" t="s">
        <v>1682</v>
      </c>
      <c r="E153" s="5" t="s">
        <v>1683</v>
      </c>
      <c r="F153" s="120" t="s">
        <v>77</v>
      </c>
      <c r="G153" s="5" t="s">
        <v>1682</v>
      </c>
      <c r="H153" s="5" t="s">
        <v>1683</v>
      </c>
      <c r="I153" s="7"/>
      <c r="J153" s="7"/>
    </row>
    <row r="154" spans="2:10">
      <c r="B154" s="120" t="s">
        <v>101</v>
      </c>
      <c r="C154" s="120" t="s">
        <v>101</v>
      </c>
      <c r="D154" s="5" t="s">
        <v>1684</v>
      </c>
      <c r="E154" s="5" t="s">
        <v>1685</v>
      </c>
      <c r="F154" s="120" t="s">
        <v>101</v>
      </c>
      <c r="G154" s="5" t="s">
        <v>1684</v>
      </c>
      <c r="H154" s="5" t="s">
        <v>1685</v>
      </c>
      <c r="I154" s="7"/>
      <c r="J154" s="7"/>
    </row>
    <row r="155" spans="2:10">
      <c r="B155" s="120" t="s">
        <v>107</v>
      </c>
      <c r="C155" s="120" t="s">
        <v>107</v>
      </c>
      <c r="D155" s="5" t="s">
        <v>1686</v>
      </c>
      <c r="E155" s="5" t="s">
        <v>1687</v>
      </c>
      <c r="F155" s="120" t="s">
        <v>107</v>
      </c>
      <c r="G155" s="5" t="s">
        <v>1686</v>
      </c>
      <c r="H155" s="5" t="s">
        <v>1687</v>
      </c>
      <c r="I155" s="7"/>
      <c r="J155" s="7"/>
    </row>
    <row r="156" spans="2:10">
      <c r="B156" s="120" t="s">
        <v>103</v>
      </c>
      <c r="C156" s="120" t="s">
        <v>103</v>
      </c>
      <c r="D156" s="5" t="s">
        <v>103</v>
      </c>
      <c r="E156" s="5" t="s">
        <v>1688</v>
      </c>
      <c r="F156" s="120" t="s">
        <v>103</v>
      </c>
      <c r="G156" s="5" t="s">
        <v>103</v>
      </c>
      <c r="H156" s="5" t="s">
        <v>1688</v>
      </c>
      <c r="I156" s="7"/>
      <c r="J156" s="7"/>
    </row>
    <row r="157" spans="2:10">
      <c r="B157" s="120" t="s">
        <v>784</v>
      </c>
      <c r="C157" s="120" t="s">
        <v>784</v>
      </c>
      <c r="D157" s="5" t="s">
        <v>1689</v>
      </c>
      <c r="E157" s="5" t="s">
        <v>1690</v>
      </c>
      <c r="F157" s="120" t="s">
        <v>784</v>
      </c>
      <c r="G157" s="5" t="s">
        <v>1689</v>
      </c>
      <c r="H157" s="5" t="s">
        <v>1690</v>
      </c>
      <c r="I157" s="7"/>
      <c r="J157" s="7"/>
    </row>
  </sheetData>
  <conditionalFormatting sqref="I2:J157">
    <cfRule type="cellIs" dxfId="305" priority="3" operator="equal">
      <formula>TRUE</formula>
    </cfRule>
  </conditionalFormatting>
  <conditionalFormatting sqref="C2:C157">
    <cfRule type="expression" dxfId="304" priority="4">
      <formula>#REF!&lt;&gt;#REF!</formula>
    </cfRule>
    <cfRule type="expression" dxfId="303"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4.5" outlineLevelRow="1" outlineLevelCol="2"/>
  <cols>
    <col min="1" max="1" width="11.453125" style="5" customWidth="1"/>
    <col min="2" max="2" width="23.1796875" style="5" hidden="1" customWidth="1" outlineLevel="1"/>
    <col min="3" max="3" width="11" style="5" collapsed="1"/>
    <col min="4" max="4" width="11" style="5" hidden="1" customWidth="1" outlineLevel="1"/>
    <col min="5" max="5" width="13.453125" style="5" bestFit="1" customWidth="1" collapsed="1"/>
    <col min="6" max="6" width="4" style="5" customWidth="1"/>
    <col min="7" max="9" width="27" style="5" hidden="1" customWidth="1" outlineLevel="2"/>
    <col min="10" max="10" width="23.453125" style="5" hidden="1" customWidth="1" outlineLevel="1"/>
    <col min="11" max="11" width="20.453125" style="5" bestFit="1" customWidth="1" collapsed="1"/>
    <col min="12" max="12" width="8.81640625" style="5" customWidth="1"/>
    <col min="13" max="13" width="18.1796875" style="5" hidden="1" customWidth="1" outlineLevel="1"/>
    <col min="14" max="14" width="24.453125" style="5" customWidth="1" collapsed="1"/>
    <col min="15" max="15" width="123.1796875" customWidth="1"/>
    <col min="16" max="16" width="25.1796875" hidden="1" customWidth="1" outlineLevel="1"/>
    <col min="17" max="17" width="23.1796875" style="5" customWidth="1" collapsed="1"/>
    <col min="18" max="18" width="11" style="5" hidden="1" customWidth="1" outlineLevel="1"/>
    <col min="19" max="19" width="11" style="5" collapsed="1"/>
    <col min="20" max="16384" width="11" style="5"/>
  </cols>
  <sheetData>
    <row r="1" spans="1:19" ht="15" thickBot="1"/>
    <row r="2" spans="1:19" ht="114" thickTop="1" thickBot="1">
      <c r="A2" s="71" t="s">
        <v>0</v>
      </c>
      <c r="B2" s="73" t="s">
        <v>230</v>
      </c>
      <c r="C2" s="73" t="s">
        <v>5</v>
      </c>
      <c r="D2" s="74" t="s">
        <v>663</v>
      </c>
      <c r="E2" s="74" t="s">
        <v>120</v>
      </c>
      <c r="F2" s="74" t="s">
        <v>461</v>
      </c>
      <c r="G2" s="72" t="s">
        <v>806</v>
      </c>
      <c r="H2" s="72" t="s">
        <v>1804</v>
      </c>
      <c r="I2" s="72" t="s">
        <v>1605</v>
      </c>
      <c r="J2" s="72" t="s">
        <v>32</v>
      </c>
      <c r="K2" s="74" t="s">
        <v>1</v>
      </c>
      <c r="L2" s="77" t="s">
        <v>496</v>
      </c>
      <c r="M2" s="73" t="s">
        <v>1001</v>
      </c>
      <c r="N2" s="73" t="s">
        <v>436</v>
      </c>
      <c r="O2" s="77" t="s">
        <v>84</v>
      </c>
      <c r="P2" s="86" t="s">
        <v>1002</v>
      </c>
      <c r="Q2" s="86" t="s">
        <v>798</v>
      </c>
      <c r="R2" s="86" t="s">
        <v>800</v>
      </c>
      <c r="S2" s="86" t="s">
        <v>799</v>
      </c>
    </row>
    <row r="3" spans="1:19" ht="1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1470</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0"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1470</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45.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03.5" thickTop="1">
      <c r="A6" s="5" t="s">
        <v>922</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1470</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74">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04.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01.5"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01.5"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29"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29"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3.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3.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58"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3.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58"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30.5"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29"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45"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29"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29"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29"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3.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46.5"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377"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0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87"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29"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3.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01.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87"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43.5"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1691</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30.5"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29"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87"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2.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59.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377"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48"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1470</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1470</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1470</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1470</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1470</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29"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29"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29"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3.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29"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zoomScaleNormal="100" workbookViewId="0">
      <pane xSplit="1" ySplit="1" topLeftCell="AQ56" activePane="bottomRight" state="frozen"/>
      <selection activeCell="AC18" sqref="AC18"/>
      <selection pane="topRight" activeCell="AC18" sqref="AC18"/>
      <selection pane="bottomLeft" activeCell="AC18" sqref="AC18"/>
      <selection pane="bottomRight" activeCell="AV1" sqref="AV1"/>
    </sheetView>
  </sheetViews>
  <sheetFormatPr defaultColWidth="11.453125" defaultRowHeight="14.5" outlineLevelCol="4"/>
  <cols>
    <col min="1" max="1" width="43.453125" style="5" customWidth="1"/>
    <col min="2" max="2" width="29.7265625" style="5" customWidth="1" outlineLevel="1"/>
    <col min="3" max="3" width="11.453125" style="5" customWidth="1"/>
    <col min="4" max="4" width="7.453125" style="5" customWidth="1" outlineLevel="1"/>
    <col min="5" max="5" width="13.453125" style="5" bestFit="1" customWidth="1"/>
    <col min="6" max="6" width="6.81640625" style="5" bestFit="1" customWidth="1"/>
    <col min="7" max="7" width="20" style="5" customWidth="1" outlineLevel="2"/>
    <col min="8" max="9" width="38" style="5" customWidth="1" outlineLevel="1"/>
    <col min="10" max="10" width="18.7265625" style="5" customWidth="1"/>
    <col min="11" max="15" width="45.453125" style="5" customWidth="1" outlineLevel="4"/>
    <col min="16" max="17" width="26.453125" style="5" customWidth="1" outlineLevel="4"/>
    <col min="18" max="19" width="32.81640625" style="5" customWidth="1" outlineLevel="4"/>
    <col min="20" max="20" width="31.453125" style="5" customWidth="1" outlineLevel="2"/>
    <col min="21" max="21" width="30.1796875" style="5" customWidth="1" outlineLevel="1"/>
    <col min="22" max="22" width="29.453125" style="5" customWidth="1"/>
    <col min="23" max="30" width="25.1796875" style="5" hidden="1" customWidth="1" outlineLevel="2"/>
    <col min="31" max="31" width="25.1796875" style="5" customWidth="1" outlineLevel="1" collapsed="1"/>
    <col min="32" max="32" width="25.1796875" style="5" customWidth="1" outlineLevel="1"/>
    <col min="33" max="33" width="19.453125" style="5" customWidth="1" outlineLevel="1"/>
    <col min="34" max="34" width="17.81640625" style="5" customWidth="1"/>
    <col min="35" max="35" width="7.1796875" style="5" customWidth="1"/>
    <col min="36" max="36" width="4.453125" style="5" customWidth="1"/>
    <col min="37" max="37" width="11.1796875" style="5" customWidth="1" outlineLevel="1"/>
    <col min="38" max="38" width="11.7265625" style="5" customWidth="1"/>
    <col min="39" max="39" width="18.1796875" style="5" customWidth="1" outlineLevel="1"/>
    <col min="40" max="40" width="11.453125" style="5" customWidth="1"/>
    <col min="41" max="41" width="7.1796875" style="5" customWidth="1" outlineLevel="1"/>
    <col min="42" max="42" width="30.453125" style="5" customWidth="1" outlineLevel="2"/>
    <col min="43" max="43" width="23.453125" style="5" customWidth="1" outlineLevel="1"/>
    <col min="44" max="45" width="22.453125" style="5" customWidth="1" outlineLevel="2"/>
    <col min="46" max="46" width="21.1796875" style="5" customWidth="1" outlineLevel="1"/>
    <col min="47" max="47" width="17" style="5" customWidth="1" outlineLevel="2"/>
    <col min="48" max="48" width="17" style="5" customWidth="1" outlineLevel="1"/>
    <col min="49" max="49" width="17" style="5" hidden="1" customWidth="1" outlineLevel="2"/>
    <col min="50" max="50" width="40.26953125" style="5" hidden="1" customWidth="1" outlineLevel="2"/>
    <col min="51" max="51" width="109.453125" style="5" hidden="1" customWidth="1" outlineLevel="2"/>
    <col min="52" max="53" width="166.453125" style="5" hidden="1" customWidth="1" outlineLevel="2"/>
    <col min="54" max="54" width="7.453125" style="5" customWidth="1" outlineLevel="1" collapsed="1"/>
    <col min="55" max="55" width="7.81640625" style="5" hidden="1" customWidth="1" outlineLevel="2"/>
    <col min="56" max="56" width="34" style="5" hidden="1" customWidth="1" outlineLevel="2"/>
    <col min="57" max="57" width="90" style="5" hidden="1" customWidth="1" outlineLevel="2"/>
    <col min="58" max="58" width="7.453125" style="5" hidden="1" customWidth="1" outlineLevel="2"/>
    <col min="59" max="61" width="58.453125" style="5" hidden="1" customWidth="1" outlineLevel="2"/>
    <col min="62" max="62" width="8.453125" style="5" customWidth="1" outlineLevel="1" collapsed="1"/>
    <col min="63" max="63" width="86.7265625" style="7" customWidth="1"/>
    <col min="64" max="16384" width="11.453125" style="5"/>
  </cols>
  <sheetData>
    <row r="1" spans="1:63" ht="168.75" customHeight="1" thickTop="1" thickBot="1">
      <c r="A1" s="46" t="s">
        <v>0</v>
      </c>
      <c r="B1" s="46" t="s">
        <v>230</v>
      </c>
      <c r="C1" s="46" t="s">
        <v>5</v>
      </c>
      <c r="D1" s="46" t="s">
        <v>663</v>
      </c>
      <c r="E1" s="46" t="s">
        <v>120</v>
      </c>
      <c r="F1" s="46" t="s">
        <v>461</v>
      </c>
      <c r="G1" s="46" t="s">
        <v>365</v>
      </c>
      <c r="H1" s="46" t="s">
        <v>441</v>
      </c>
      <c r="I1" s="46" t="s">
        <v>993</v>
      </c>
      <c r="J1" s="46" t="s">
        <v>317</v>
      </c>
      <c r="K1" s="46" t="s">
        <v>806</v>
      </c>
      <c r="L1" s="46" t="s">
        <v>1795</v>
      </c>
      <c r="M1" s="46" t="s">
        <v>1607</v>
      </c>
      <c r="N1" s="46" t="s">
        <v>1606</v>
      </c>
      <c r="O1" s="46" t="s">
        <v>1603</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1434</v>
      </c>
      <c r="AG1" s="46" t="s">
        <v>1004</v>
      </c>
      <c r="AH1" s="46" t="s">
        <v>4</v>
      </c>
      <c r="AI1" s="46" t="s">
        <v>497</v>
      </c>
      <c r="AJ1" s="46" t="s">
        <v>498</v>
      </c>
      <c r="AK1" s="46" t="s">
        <v>1003</v>
      </c>
      <c r="AL1" s="46" t="s">
        <v>684</v>
      </c>
      <c r="AM1" s="46" t="s">
        <v>1006</v>
      </c>
      <c r="AN1" s="46" t="s">
        <v>828</v>
      </c>
      <c r="AO1" s="46" t="s">
        <v>467</v>
      </c>
      <c r="AP1" s="46" t="s">
        <v>1005</v>
      </c>
      <c r="AQ1" s="46" t="s">
        <v>314</v>
      </c>
      <c r="AR1" s="46" t="s">
        <v>353</v>
      </c>
      <c r="AS1" s="46" t="s">
        <v>1007</v>
      </c>
      <c r="AT1" s="46" t="s">
        <v>315</v>
      </c>
      <c r="AU1" s="46" t="s">
        <v>928</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940</v>
      </c>
      <c r="BK1" s="108"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2">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62.5">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45">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19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19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08">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19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19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19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2">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19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19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19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43">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19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19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58">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937</v>
      </c>
    </row>
    <row r="34" spans="1:63" ht="43.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939</v>
      </c>
    </row>
    <row r="35" spans="1:63" ht="182">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938</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19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19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56">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56">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56">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19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19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2">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19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6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19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56">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transfertable::copyTable()</v>
      </c>
      <c r="L57" s="5" t="str">
        <f>IF(meta_TypedModelElements[[#This Row],[Kind:src]]="_Function",meta_TypedModelElements[[#This Row],[Display Qualified]],"")</f>
        <v>transfertable::copyTable()</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str">
        <f>IF(meta_TypedModelElements[[#This Row],[Containing Class:display]]="","",meta_TypedModelElements[[#This Row],[Containing Class:display]]&amp;".")&amp;meta_TypedModelElements[[#This Row],[Display without Class]]</f>
        <v>copyTable()</v>
      </c>
      <c r="S57" s="5" t="str" cm="1">
        <f t="array" ref="S57">_xlfn.IFNA(INDEX(meta_Names[Camel Lower], MATCH(meta_TypedModelElements[[#This Row],[Name or Type]],meta_Names[String],0)),camelCaseLower(meta_TypedModelElements[[#This Row],[Name or Type]]))</f>
        <v>copyTable</v>
      </c>
      <c r="T57" s="5" t="str">
        <f>IF(meta_TypedModelElements[[#This Row],[Name or Type]]="","",meta_TypedModelElements[[#This Row],[Name or Type Camel Case Lower]])&amp;IF(meta_TypedModelElements[[#This Row],[Kind:src]]="_Function","("&amp;meta_TypedModelElements[[#This Row],[Function - Parameters Display]]&amp;")","")</f>
        <v>copyTable()</v>
      </c>
      <c r="U5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str">
        <f>IF(meta_TypedModelElements[[#This Row],[Kind:src]]&lt;&gt;"_Function",meta_TypedModelElements[[#This Row],[Type]],INDEX(meta_TypedModelElements[Type],MATCH(meta_TypedModelElements[[#This Row],[Function - Owning Property:src]],meta_TypedModelElements[ID],0)))</f>
        <v/>
      </c>
      <c r="AE57" s="5">
        <f>IF(meta_TypedModelElements[[#This Row],[Kind:src]]&lt;&gt;"_Function",meta_TypedModelElements[[#This Row],[Type:src]],INDEX(meta_TypedModelElements[Type:src],MATCH(meta_TypedModelElements[[#This Row],[Function - Owning Property:src]],meta_TypedModelElements[ID],0)))</f>
        <v>0</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t="s">
        <v>787</v>
      </c>
      <c r="AQ57" s="22" t="str">
        <f xml:space="preserve"> IF( TRIM( meta_TypedModelElements[[#This Row],[Function - Owning Property:src]] ) = "", "",
        INDEX( meta_TypedModelElements[Display Qualified], MATCH( meta_TypedModelElements[[#This Row],[Function - Owning Property:src]], meta_TypedModelElements[ID], 0 ) ) )</f>
        <v>transfertable::copyTable</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str">
        <f>"[@["&amp;meta_TypedModelElements[[#This Row],[Name or Type]]&amp;":src]]"</f>
        <v>[@[Copy Table:src]]</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str">
        <f>IF(meta_TypedModelElements[[#This Row],[Kind:src]]="_Parameter","",IF(AND(meta_TypedModelElements[[#This Row],[Package]]="util",meta_TypedModelElements[[#This Row],[Containing Class]]=0), "public", "method"))</f>
        <v>method</v>
      </c>
      <c r="BD57" s="40"/>
      <c r="BE5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8" s="8"/>
      <c r="J58" s="22" t="str">
        <f xml:space="preserve"> IF( TRIM( meta_TypedModelElements[[#This Row],[Property - Owning Class:src]] ) = "", "",
        INDEX( meta_Classifiers[Display Qualified], MATCH( meta_TypedModelElements[[#This Row],[Property - Owning Class:src]], meta_Classifiers[ID], 0 ) ) )</f>
        <v/>
      </c>
      <c r="K5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transfertable::copyTable().tableName</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str">
        <f>IF(meta_TypedModelElements[[#This Row],[Containing Class:display]]="","",meta_TypedModelElements[[#This Row],[Containing Class:display]]&amp;".")&amp;meta_TypedModelElements[[#This Row],[Display without Class]]</f>
        <v>tableName</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S58" s="5" t="s">
        <v>788</v>
      </c>
      <c r="AT58" s="22" t="str">
        <f>IF(meta_TypedModelElements[[#This Row],[Parameter - Owning Function:src]]="","",INDEX(meta_TypedModelElements[Display Qualified],MATCH(meta_TypedModelElements[[#This Row],[Parameter - Owning Function:src]],meta_TypedModelElements[ID],0)))</f>
        <v>transfertable::copyTable()</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method</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util::camelCaseUpper(String)</v>
      </c>
      <c r="L60" s="5" t="str">
        <f>IF(meta_TypedModelElements[[#This Row],[Kind:src]]="_Function",meta_TypedModelElements[[#This Row],[Display Qualified]],"")</f>
        <v>util::camelCaseUpper(String)</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str">
        <f>IF(meta_TypedModelElements[[#This Row],[Containing Class:display]]="","",meta_TypedModelElements[[#This Row],[Containing Class:display]]&amp;".")&amp;meta_TypedModelElements[[#This Row],[Display without Class]]</f>
        <v>camelCaseUpper(String)</v>
      </c>
      <c r="S60" s="5" t="str" cm="1">
        <f t="array" ref="S60">_xlfn.IFNA(INDEX(meta_Names[Camel Lower], MATCH(meta_TypedModelElements[[#This Row],[Name or Type]],meta_Names[String],0)),camelCaseLower(meta_TypedModelElements[[#This Row],[Name or Type]]))</f>
        <v>camelCaseUpper</v>
      </c>
      <c r="T60" s="5" t="str">
        <f>IF(meta_TypedModelElements[[#This Row],[Name or Type]]="","",meta_TypedModelElements[[#This Row],[Name or Type Camel Case Lower]])&amp;IF(meta_TypedModelElements[[#This Row],[Kind:src]]="_Function","("&amp;meta_TypedModelElements[[#This Row],[Function - Parameters Display]]&amp;")","")</f>
        <v>camelCaseUpper(String)</v>
      </c>
      <c r="U6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str">
        <f>IF(meta_TypedModelElements[[#This Row],[Kind:src]]&lt;&gt;"_Function",meta_TypedModelElements[[#This Row],[Type]],INDEX(meta_TypedModelElements[Type],MATCH(meta_TypedModelElements[[#This Row],[Function - Owning Property:src]],meta_TypedModelElements[ID],0)))</f>
        <v>String</v>
      </c>
      <c r="AE60" s="5" t="str">
        <f>IF(meta_TypedModelElements[[#This Row],[Kind:src]]&lt;&gt;"_Function",meta_TypedModelElements[[#This Row],[Type:src]],INDEX(meta_TypedModelElements[Type:src],MATCH(meta_TypedModelElements[[#This Row],[Function - Owning Property:src]],meta_TypedModelElements[ID],0)))</f>
        <v>_String</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t="s">
        <v>393</v>
      </c>
      <c r="AQ60" s="22" t="str">
        <f xml:space="preserve"> IF( TRIM( meta_TypedModelElements[[#This Row],[Function - Owning Property:src]] ) = "", "",
        INDEX( meta_TypedModelElements[Display Qualified], MATCH( meta_TypedModelElements[[#This Row],[Function - Owning Property:src]], meta_TypedModelElements[ID], 0 ) ) )</f>
        <v>util::camelCaseUpper</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str">
        <f>"[@["&amp;meta_TypedModelElements[[#This Row],[Name or Type]]&amp;":src]]"</f>
        <v>[@[Camel Case Upper:src]]</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str">
        <f>IF(meta_TypedModelElements[[#This Row],[Kind:src]]="_Parameter","",IF(AND(meta_TypedModelElements[[#This Row],[Package]]="util",meta_TypedModelElements[[#This Row],[Containing Class]]=0), "public", "method"))</f>
        <v>method</v>
      </c>
      <c r="BD60" s="40"/>
      <c r="BE6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1" s="8"/>
      <c r="J61" s="22" t="str">
        <f xml:space="preserve"> IF( TRIM( meta_TypedModelElements[[#This Row],[Property - Owning Class:src]] ) = "", "",
        INDEX( meta_Classifiers[Display Qualified], MATCH( meta_TypedModelElements[[#This Row],[Property - Owning Class:src]], meta_Classifiers[ID], 0 ) ) )</f>
        <v/>
      </c>
      <c r="K6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util::camelCaseUpper(String).inputString</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str">
        <f>IF(meta_TypedModelElements[[#This Row],[Containing Class:display]]="","",meta_TypedModelElements[[#This Row],[Containing Class:display]]&amp;".")&amp;meta_TypedModelElements[[#This Row],[Display without Class]]</f>
        <v>inputString</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S61" s="5" t="s">
        <v>399</v>
      </c>
      <c r="AT61" s="22" t="str">
        <f>IF(meta_TypedModelElements[[#This Row],[Parameter - Owning Function:src]]="","",INDEX(meta_TypedModelElements[Display Qualified],MATCH(meta_TypedModelElements[[#This Row],[Parameter - Owning Function:src]],meta_TypedModelElements[ID],0)))</f>
        <v>util::camelCaseUpper(String)</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method</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util::camelCaseLower(String)</v>
      </c>
      <c r="L63" s="5" t="str">
        <f>IF(meta_TypedModelElements[[#This Row],[Kind:src]]="_Function",meta_TypedModelElements[[#This Row],[Display Qualified]],"")</f>
        <v>util::camelCaseLower(String)</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str">
        <f>IF(meta_TypedModelElements[[#This Row],[Containing Class:display]]="","",meta_TypedModelElements[[#This Row],[Containing Class:display]]&amp;".")&amp;meta_TypedModelElements[[#This Row],[Display without Class]]</f>
        <v>camelCaseLower(String)</v>
      </c>
      <c r="S63" s="5" t="str" cm="1">
        <f t="array" ref="S63">_xlfn.IFNA(INDEX(meta_Names[Camel Lower], MATCH(meta_TypedModelElements[[#This Row],[Name or Type]],meta_Names[String],0)),camelCaseLower(meta_TypedModelElements[[#This Row],[Name or Type]]))</f>
        <v>camelCaseLower</v>
      </c>
      <c r="T63" s="5" t="str">
        <f>IF(meta_TypedModelElements[[#This Row],[Name or Type]]="","",meta_TypedModelElements[[#This Row],[Name or Type Camel Case Lower]])&amp;IF(meta_TypedModelElements[[#This Row],[Kind:src]]="_Function","("&amp;meta_TypedModelElements[[#This Row],[Function - Parameters Display]]&amp;")","")</f>
        <v>camelCaseLower(String)</v>
      </c>
      <c r="U6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str">
        <f>IF(meta_TypedModelElements[[#This Row],[Kind:src]]&lt;&gt;"_Function",meta_TypedModelElements[[#This Row],[Type]],INDEX(meta_TypedModelElements[Type],MATCH(meta_TypedModelElements[[#This Row],[Function - Owning Property:src]],meta_TypedModelElements[ID],0)))</f>
        <v>String</v>
      </c>
      <c r="AE63" s="5" t="str">
        <f>IF(meta_TypedModelElements[[#This Row],[Kind:src]]&lt;&gt;"_Function",meta_TypedModelElements[[#This Row],[Type:src]],INDEX(meta_TypedModelElements[Type:src],MATCH(meta_TypedModelElements[[#This Row],[Function - Owning Property:src]],meta_TypedModelElements[ID],0)))</f>
        <v>_String</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t="s">
        <v>394</v>
      </c>
      <c r="AQ63" s="22" t="str">
        <f xml:space="preserve"> IF( TRIM( meta_TypedModelElements[[#This Row],[Function - Owning Property:src]] ) = "", "",
        INDEX( meta_TypedModelElements[Display Qualified], MATCH( meta_TypedModelElements[[#This Row],[Function - Owning Property:src]], meta_TypedModelElements[ID], 0 ) ) )</f>
        <v>util::camelCaseLower</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str">
        <f>"[@["&amp;meta_TypedModelElements[[#This Row],[Name or Type]]&amp;":src]]"</f>
        <v>[@[Camel Case Lower:src]]</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str">
        <f>IF(meta_TypedModelElements[[#This Row],[Kind:src]]="_Parameter","",IF(AND(meta_TypedModelElements[[#This Row],[Package]]="util",meta_TypedModelElements[[#This Row],[Containing Class]]=0), "public", "method"))</f>
        <v>method</v>
      </c>
      <c r="BD63" s="40"/>
      <c r="BE6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4" s="8"/>
      <c r="J64" s="22" t="str">
        <f xml:space="preserve"> IF( TRIM( meta_TypedModelElements[[#This Row],[Property - Owning Class:src]] ) = "", "",
        INDEX( meta_Classifiers[Display Qualified], MATCH( meta_TypedModelElements[[#This Row],[Property - Owning Class:src]], meta_Classifiers[ID], 0 ) ) )</f>
        <v/>
      </c>
      <c r="K6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util::camelCaseLower(String).inputString</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str">
        <f>IF(meta_TypedModelElements[[#This Row],[Containing Class:display]]="","",meta_TypedModelElements[[#This Row],[Containing Class:display]]&amp;".")&amp;meta_TypedModelElements[[#This Row],[Display without Class]]</f>
        <v>inputString</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S64" s="5" t="s">
        <v>400</v>
      </c>
      <c r="AT64" s="22" t="str">
        <f>IF(meta_TypedModelElements[[#This Row],[Parameter - Owning Function:src]]="","",INDEX(meta_TypedModelElements[Display Qualified],MATCH(meta_TypedModelElements[[#This Row],[Parameter - Owning Function:src]],meta_TypedModelElements[ID],0)))</f>
        <v>util::camelCaseLower(String)</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method</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util::camelCaseToBusiness(String)</v>
      </c>
      <c r="L66" s="5" t="str">
        <f>IF(meta_TypedModelElements[[#This Row],[Kind:src]]="_Function",meta_TypedModelElements[[#This Row],[Display Qualified]],"")</f>
        <v>util::camelCaseToBusiness(String)</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str">
        <f>IF(meta_TypedModelElements[[#This Row],[Containing Class:display]]="","",meta_TypedModelElements[[#This Row],[Containing Class:display]]&amp;".")&amp;meta_TypedModelElements[[#This Row],[Display without Class]]</f>
        <v>camelCaseToBusiness(String)</v>
      </c>
      <c r="S66" s="5" t="str" cm="1">
        <f t="array" ref="S66">_xlfn.IFNA(INDEX(meta_Names[Camel Lower], MATCH(meta_TypedModelElements[[#This Row],[Name or Type]],meta_Names[String],0)),camelCaseLower(meta_TypedModelElements[[#This Row],[Name or Type]]))</f>
        <v>camelCaseToBusiness</v>
      </c>
      <c r="T66" s="5" t="str">
        <f>IF(meta_TypedModelElements[[#This Row],[Name or Type]]="","",meta_TypedModelElements[[#This Row],[Name or Type Camel Case Lower]])&amp;IF(meta_TypedModelElements[[#This Row],[Kind:src]]="_Function","("&amp;meta_TypedModelElements[[#This Row],[Function - Parameters Display]]&amp;")","")</f>
        <v>camelCaseToBusiness(String)</v>
      </c>
      <c r="U6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str">
        <f>IF(meta_TypedModelElements[[#This Row],[Kind:src]]&lt;&gt;"_Function",meta_TypedModelElements[[#This Row],[Type]],INDEX(meta_TypedModelElements[Type],MATCH(meta_TypedModelElements[[#This Row],[Function - Owning Property:src]],meta_TypedModelElements[ID],0)))</f>
        <v>String</v>
      </c>
      <c r="AE66" s="5" t="str">
        <f>IF(meta_TypedModelElements[[#This Row],[Kind:src]]&lt;&gt;"_Function",meta_TypedModelElements[[#This Row],[Type:src]],INDEX(meta_TypedModelElements[Type:src],MATCH(meta_TypedModelElements[[#This Row],[Function - Owning Property:src]],meta_TypedModelElements[ID],0)))</f>
        <v>_String</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t="s">
        <v>395</v>
      </c>
      <c r="AQ66" s="22" t="str">
        <f xml:space="preserve"> IF( TRIM( meta_TypedModelElements[[#This Row],[Function - Owning Property:src]] ) = "", "",
        INDEX( meta_TypedModelElements[Display Qualified], MATCH( meta_TypedModelElements[[#This Row],[Function - Owning Property:src]], meta_TypedModelElements[ID], 0 ) ) )</f>
        <v>util::camelCaseToBusiness</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str">
        <f>"[@["&amp;meta_TypedModelElements[[#This Row],[Name or Type]]&amp;":src]]"</f>
        <v>[@[Camel Case To Business:src]]</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str">
        <f>IF(meta_TypedModelElements[[#This Row],[Kind:src]]="_Parameter","",IF(AND(meta_TypedModelElements[[#This Row],[Package]]="util",meta_TypedModelElements[[#This Row],[Containing Class]]=0), "public", "method"))</f>
        <v>method</v>
      </c>
      <c r="BD66" s="40"/>
      <c r="BE6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7" s="8"/>
      <c r="J67" s="22" t="str">
        <f xml:space="preserve"> IF( TRIM( meta_TypedModelElements[[#This Row],[Property - Owning Class:src]] ) = "", "",
        INDEX( meta_Classifiers[Display Qualified], MATCH( meta_TypedModelElements[[#This Row],[Property - Owning Class:src]], meta_Classifiers[ID], 0 ) ) )</f>
        <v/>
      </c>
      <c r="K6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util::camelCaseToBusiness(String).inputString</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str">
        <f>IF(meta_TypedModelElements[[#This Row],[Containing Class:display]]="","",meta_TypedModelElements[[#This Row],[Containing Class:display]]&amp;".")&amp;meta_TypedModelElements[[#This Row],[Display without Class]]</f>
        <v>inputString</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S67" s="5" t="s">
        <v>401</v>
      </c>
      <c r="AT67" s="22" t="str">
        <f>IF(meta_TypedModelElements[[#This Row],[Parameter - Owning Function:src]]="","",INDEX(meta_TypedModelElements[Display Qualified],MATCH(meta_TypedModelElements[[#This Row],[Parameter - Owning Function:src]],meta_TypedModelElements[ID],0)))</f>
        <v>util::camelCaseToBusiness(String)</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method</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util::stringToBusiness(String)</v>
      </c>
      <c r="L69" s="5" t="str">
        <f>IF(meta_TypedModelElements[[#This Row],[Kind:src]]="_Function",meta_TypedModelElements[[#This Row],[Display Qualified]],"")</f>
        <v>util::stringToBusiness(String)</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str">
        <f>IF(meta_TypedModelElements[[#This Row],[Containing Class:display]]="","",meta_TypedModelElements[[#This Row],[Containing Class:display]]&amp;".")&amp;meta_TypedModelElements[[#This Row],[Display without Class]]</f>
        <v>stringToBusiness(String)</v>
      </c>
      <c r="S69" s="5" t="str" cm="1">
        <f t="array" ref="S69">_xlfn.IFNA(INDEX(meta_Names[Camel Lower], MATCH(meta_TypedModelElements[[#This Row],[Name or Type]],meta_Names[String],0)),camelCaseLower(meta_TypedModelElements[[#This Row],[Name or Type]]))</f>
        <v>stringToBusiness</v>
      </c>
      <c r="T69" s="5" t="str">
        <f>IF(meta_TypedModelElements[[#This Row],[Name or Type]]="","",meta_TypedModelElements[[#This Row],[Name or Type Camel Case Lower]])&amp;IF(meta_TypedModelElements[[#This Row],[Kind:src]]="_Function","("&amp;meta_TypedModelElements[[#This Row],[Function - Parameters Display]]&amp;")","")</f>
        <v>stringToBusiness(String)</v>
      </c>
      <c r="U6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str">
        <f>IF(meta_TypedModelElements[[#This Row],[Kind:src]]&lt;&gt;"_Function",meta_TypedModelElements[[#This Row],[Type]],INDEX(meta_TypedModelElements[Type],MATCH(meta_TypedModelElements[[#This Row],[Function - Owning Property:src]],meta_TypedModelElements[ID],0)))</f>
        <v>String</v>
      </c>
      <c r="AE69" s="5" t="str">
        <f>IF(meta_TypedModelElements[[#This Row],[Kind:src]]&lt;&gt;"_Function",meta_TypedModelElements[[#This Row],[Type:src]],INDEX(meta_TypedModelElements[Type:src],MATCH(meta_TypedModelElements[[#This Row],[Function - Owning Property:src]],meta_TypedModelElements[ID],0)))</f>
        <v>_String</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t="s">
        <v>396</v>
      </c>
      <c r="AQ69" s="22" t="str">
        <f xml:space="preserve"> IF( TRIM( meta_TypedModelElements[[#This Row],[Function - Owning Property:src]] ) = "", "",
        INDEX( meta_TypedModelElements[Display Qualified], MATCH( meta_TypedModelElements[[#This Row],[Function - Owning Property:src]], meta_TypedModelElements[ID], 0 ) ) )</f>
        <v>util::stringToBusiness</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str">
        <f>"[@["&amp;meta_TypedModelElements[[#This Row],[Name or Type]]&amp;":src]]"</f>
        <v>[@[String To Business:src]]</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str">
        <f>IF(meta_TypedModelElements[[#This Row],[Kind:src]]="_Parameter","",IF(AND(meta_TypedModelElements[[#This Row],[Package]]="util",meta_TypedModelElements[[#This Row],[Containing Class]]=0), "public", "method"))</f>
        <v>method</v>
      </c>
      <c r="BD69" s="40"/>
      <c r="BE6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0" s="8"/>
      <c r="J70" s="22" t="str">
        <f xml:space="preserve"> IF( TRIM( meta_TypedModelElements[[#This Row],[Property - Owning Class:src]] ) = "", "",
        INDEX( meta_Classifiers[Display Qualified], MATCH( meta_TypedModelElements[[#This Row],[Property - Owning Class:src]], meta_Classifiers[ID], 0 ) ) )</f>
        <v/>
      </c>
      <c r="K7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util::stringToBusiness(String).inputString</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str">
        <f>IF(meta_TypedModelElements[[#This Row],[Containing Class:display]]="","",meta_TypedModelElements[[#This Row],[Containing Class:display]]&amp;".")&amp;meta_TypedModelElements[[#This Row],[Display without Class]]</f>
        <v>inputString</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S70" s="5" t="s">
        <v>402</v>
      </c>
      <c r="AT70" s="22" t="str">
        <f>IF(meta_TypedModelElements[[#This Row],[Parameter - Owning Function:src]]="","",INDEX(meta_TypedModelElements[Display Qualified],MATCH(meta_TypedModelElements[[#This Row],[Parameter - Owning Function:src]],meta_TypedModelElements[ID],0)))</f>
        <v>util::stringToBusiness(String)</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method</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util::businessToCamelCaseUpper(String)</v>
      </c>
      <c r="L72" s="5" t="str">
        <f>IF(meta_TypedModelElements[[#This Row],[Kind:src]]="_Function",meta_TypedModelElements[[#This Row],[Display Qualified]],"")</f>
        <v>util::businessToCamelCaseUpper(String)</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str">
        <f>IF(meta_TypedModelElements[[#This Row],[Containing Class:display]]="","",meta_TypedModelElements[[#This Row],[Containing Class:display]]&amp;".")&amp;meta_TypedModelElements[[#This Row],[Display without Class]]</f>
        <v>businessToCamelCaseUpper(String)</v>
      </c>
      <c r="S72" s="5" t="str" cm="1">
        <f t="array" ref="S72">_xlfn.IFNA(INDEX(meta_Names[Camel Lower], MATCH(meta_TypedModelElements[[#This Row],[Name or Type]],meta_Names[String],0)),camelCaseLower(meta_TypedModelElements[[#This Row],[Name or Type]]))</f>
        <v>businessToCamelCaseUpper</v>
      </c>
      <c r="T72" s="5" t="str">
        <f>IF(meta_TypedModelElements[[#This Row],[Name or Type]]="","",meta_TypedModelElements[[#This Row],[Name or Type Camel Case Lower]])&amp;IF(meta_TypedModelElements[[#This Row],[Kind:src]]="_Function","("&amp;meta_TypedModelElements[[#This Row],[Function - Parameters Display]]&amp;")","")</f>
        <v>businessToCamelCaseUpper(String)</v>
      </c>
      <c r="U7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str">
        <f>IF(meta_TypedModelElements[[#This Row],[Kind:src]]&lt;&gt;"_Function",meta_TypedModelElements[[#This Row],[Type]],INDEX(meta_TypedModelElements[Type],MATCH(meta_TypedModelElements[[#This Row],[Function - Owning Property:src]],meta_TypedModelElements[ID],0)))</f>
        <v>String</v>
      </c>
      <c r="AE72" s="5" t="str">
        <f>IF(meta_TypedModelElements[[#This Row],[Kind:src]]&lt;&gt;"_Function",meta_TypedModelElements[[#This Row],[Type:src]],INDEX(meta_TypedModelElements[Type:src],MATCH(meta_TypedModelElements[[#This Row],[Function - Owning Property:src]],meta_TypedModelElements[ID],0)))</f>
        <v>_String</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t="s">
        <v>397</v>
      </c>
      <c r="AQ72" s="22" t="str">
        <f xml:space="preserve"> IF( TRIM( meta_TypedModelElements[[#This Row],[Function - Owning Property:src]] ) = "", "",
        INDEX( meta_TypedModelElements[Display Qualified], MATCH( meta_TypedModelElements[[#This Row],[Function - Owning Property:src]], meta_TypedModelElements[ID], 0 ) ) )</f>
        <v>util::businessToCamelCaseUpper</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str">
        <f>"[@["&amp;meta_TypedModelElements[[#This Row],[Name or Type]]&amp;":src]]"</f>
        <v>[@[Business To Camel Case Upper:src]]</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str">
        <f>IF(meta_TypedModelElements[[#This Row],[Kind:src]]="_Parameter","",IF(AND(meta_TypedModelElements[[#This Row],[Package]]="util",meta_TypedModelElements[[#This Row],[Containing Class]]=0), "public", "method"))</f>
        <v>method</v>
      </c>
      <c r="BD72" s="40"/>
      <c r="BE7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3" s="8"/>
      <c r="J73" s="22" t="str">
        <f xml:space="preserve"> IF( TRIM( meta_TypedModelElements[[#This Row],[Property - Owning Class:src]] ) = "", "",
        INDEX( meta_Classifiers[Display Qualified], MATCH( meta_TypedModelElements[[#This Row],[Property - Owning Class:src]], meta_Classifiers[ID], 0 ) ) )</f>
        <v/>
      </c>
      <c r="K7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util::businessToCamelCaseUpper(String).inputString</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str">
        <f>IF(meta_TypedModelElements[[#This Row],[Containing Class:display]]="","",meta_TypedModelElements[[#This Row],[Containing Class:display]]&amp;".")&amp;meta_TypedModelElements[[#This Row],[Display without Class]]</f>
        <v>inputString</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S73" s="5" t="s">
        <v>403</v>
      </c>
      <c r="AT73" s="22" t="str">
        <f>IF(meta_TypedModelElements[[#This Row],[Parameter - Owning Function:src]]="","",INDEX(meta_TypedModelElements[Display Qualified],MATCH(meta_TypedModelElements[[#This Row],[Parameter - Owning Function:src]],meta_TypedModelElements[ID],0)))</f>
        <v>util::businessToCamelCaseUpper(String)</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method</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util::businessToCamelCaseLower(String)</v>
      </c>
      <c r="L75" s="5" t="str">
        <f>IF(meta_TypedModelElements[[#This Row],[Kind:src]]="_Function",meta_TypedModelElements[[#This Row],[Display Qualified]],"")</f>
        <v>util::businessToCamelCaseLower(String)</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str">
        <f>IF(meta_TypedModelElements[[#This Row],[Containing Class:display]]="","",meta_TypedModelElements[[#This Row],[Containing Class:display]]&amp;".")&amp;meta_TypedModelElements[[#This Row],[Display without Class]]</f>
        <v>businessToCamelCaseLower(String)</v>
      </c>
      <c r="S75" s="5" t="str" cm="1">
        <f t="array" ref="S75">_xlfn.IFNA(INDEX(meta_Names[Camel Lower], MATCH(meta_TypedModelElements[[#This Row],[Name or Type]],meta_Names[String],0)),camelCaseLower(meta_TypedModelElements[[#This Row],[Name or Type]]))</f>
        <v>businessToCamelCaseLower</v>
      </c>
      <c r="T75" s="5" t="str">
        <f>IF(meta_TypedModelElements[[#This Row],[Name or Type]]="","",meta_TypedModelElements[[#This Row],[Name or Type Camel Case Lower]])&amp;IF(meta_TypedModelElements[[#This Row],[Kind:src]]="_Function","("&amp;meta_TypedModelElements[[#This Row],[Function - Parameters Display]]&amp;")","")</f>
        <v>businessToCamelCaseLower(String)</v>
      </c>
      <c r="U7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str">
        <f>IF(meta_TypedModelElements[[#This Row],[Kind:src]]&lt;&gt;"_Function",meta_TypedModelElements[[#This Row],[Type]],INDEX(meta_TypedModelElements[Type],MATCH(meta_TypedModelElements[[#This Row],[Function - Owning Property:src]],meta_TypedModelElements[ID],0)))</f>
        <v>String</v>
      </c>
      <c r="AE75" s="5" t="str">
        <f>IF(meta_TypedModelElements[[#This Row],[Kind:src]]&lt;&gt;"_Function",meta_TypedModelElements[[#This Row],[Type:src]],INDEX(meta_TypedModelElements[Type:src],MATCH(meta_TypedModelElements[[#This Row],[Function - Owning Property:src]],meta_TypedModelElements[ID],0)))</f>
        <v>_String</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t="s">
        <v>398</v>
      </c>
      <c r="AQ75" s="22" t="str">
        <f xml:space="preserve"> IF( TRIM( meta_TypedModelElements[[#This Row],[Function - Owning Property:src]] ) = "", "",
        INDEX( meta_TypedModelElements[Display Qualified], MATCH( meta_TypedModelElements[[#This Row],[Function - Owning Property:src]], meta_TypedModelElements[ID], 0 ) ) )</f>
        <v>util::businessToCamelCaseLower</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str">
        <f>"[@["&amp;meta_TypedModelElements[[#This Row],[Name or Type]]&amp;":src]]"</f>
        <v>[@[Business To Camel Case Lower:src]]</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str">
        <f>IF(meta_TypedModelElements[[#This Row],[Kind:src]]="_Parameter","",IF(AND(meta_TypedModelElements[[#This Row],[Package]]="util",meta_TypedModelElements[[#This Row],[Containing Class]]=0), "public", "method"))</f>
        <v>method</v>
      </c>
      <c r="BD75" s="40"/>
      <c r="BE7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6" s="8"/>
      <c r="J76" s="22" t="str">
        <f xml:space="preserve"> IF( TRIM( meta_TypedModelElements[[#This Row],[Property - Owning Class:src]] ) = "", "",
        INDEX( meta_Classifiers[Display Qualified], MATCH( meta_TypedModelElements[[#This Row],[Property - Owning Class:src]], meta_Classifiers[ID], 0 ) ) )</f>
        <v/>
      </c>
      <c r="K7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util::businessToCamelCaseLower(String).inputString</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str">
        <f>IF(meta_TypedModelElements[[#This Row],[Containing Class:display]]="","",meta_TypedModelElements[[#This Row],[Containing Class:display]]&amp;".")&amp;meta_TypedModelElements[[#This Row],[Display without Class]]</f>
        <v>inputString</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S76" s="5" t="s">
        <v>404</v>
      </c>
      <c r="AT76" s="22" t="str">
        <f>IF(meta_TypedModelElements[[#This Row],[Parameter - Owning Function:src]]="","",INDEX(meta_TypedModelElements[Display Qualified],MATCH(meta_TypedModelElements[[#This Row],[Parameter - Owning Function:src]],meta_TypedModelElements[ID],0)))</f>
        <v>util::businessToCamelCaseLower(String)</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method</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util::stringToBusinessSegments(String)</v>
      </c>
      <c r="L78" s="5" t="str">
        <f>IF(meta_TypedModelElements[[#This Row],[Kind:src]]="_Function",meta_TypedModelElements[[#This Row],[Display Qualified]],"")</f>
        <v>util::stringToBusinessSegments(String)</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str">
        <f>IF(meta_TypedModelElements[[#This Row],[Containing Class:display]]="","",meta_TypedModelElements[[#This Row],[Containing Class:display]]&amp;".")&amp;meta_TypedModelElements[[#This Row],[Display without Class]]</f>
        <v>stringToBusinessSegments(String)</v>
      </c>
      <c r="S78" s="5" t="str" cm="1">
        <f t="array" ref="S78">_xlfn.IFNA(INDEX(meta_Names[Camel Lower], MATCH(meta_TypedModelElements[[#This Row],[Name or Type]],meta_Names[String],0)),camelCaseLower(meta_TypedModelElements[[#This Row],[Name or Type]]))</f>
        <v>stringToBusinessSegments</v>
      </c>
      <c r="T78" s="5" t="str">
        <f>IF(meta_TypedModelElements[[#This Row],[Name or Type]]="","",meta_TypedModelElements[[#This Row],[Name or Type Camel Case Lower]])&amp;IF(meta_TypedModelElements[[#This Row],[Kind:src]]="_Function","("&amp;meta_TypedModelElements[[#This Row],[Function - Parameters Display]]&amp;")","")</f>
        <v>stringToBusinessSegments(String)</v>
      </c>
      <c r="U7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str">
        <f>IF(meta_TypedModelElements[[#This Row],[Kind:src]]&lt;&gt;"_Function",meta_TypedModelElements[[#This Row],[Type]],INDEX(meta_TypedModelElements[Type],MATCH(meta_TypedModelElements[[#This Row],[Function - Owning Property:src]],meta_TypedModelElements[ID],0)))</f>
        <v>String</v>
      </c>
      <c r="AE78" s="5" t="str">
        <f>IF(meta_TypedModelElements[[#This Row],[Kind:src]]&lt;&gt;"_Function",meta_TypedModelElements[[#This Row],[Type:src]],INDEX(meta_TypedModelElements[Type:src],MATCH(meta_TypedModelElements[[#This Row],[Function - Owning Property:src]],meta_TypedModelElements[ID],0)))</f>
        <v>_String</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t="s">
        <v>453</v>
      </c>
      <c r="AQ78" s="22" t="str">
        <f xml:space="preserve"> IF( TRIM( meta_TypedModelElements[[#This Row],[Function - Owning Property:src]] ) = "", "",
        INDEX( meta_TypedModelElements[Display Qualified], MATCH( meta_TypedModelElements[[#This Row],[Function - Owning Property:src]], meta_TypedModelElements[ID], 0 ) ) )</f>
        <v>util::stringToBusinessSegments</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str">
        <f>"[@["&amp;meta_TypedModelElements[[#This Row],[Name or Type]]&amp;":src]]"</f>
        <v>[@[String To Business Segments:src]]</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str">
        <f>IF(meta_TypedModelElements[[#This Row],[Kind:src]]="_Parameter","",IF(AND(meta_TypedModelElements[[#This Row],[Package]]="util",meta_TypedModelElements[[#This Row],[Containing Class]]=0), "public", "method"))</f>
        <v>method</v>
      </c>
      <c r="BD78" s="40"/>
      <c r="BE7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9" s="8"/>
      <c r="J79" s="22" t="str">
        <f xml:space="preserve"> IF( TRIM( meta_TypedModelElements[[#This Row],[Property - Owning Class:src]] ) = "", "",
        INDEX( meta_Classifiers[Display Qualified], MATCH( meta_TypedModelElements[[#This Row],[Property - Owning Class:src]], meta_Classifiers[ID], 0 ) ) )</f>
        <v/>
      </c>
      <c r="K7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util::stringToBusinessSegments(String).inputString</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str">
        <f>IF(meta_TypedModelElements[[#This Row],[Containing Class:display]]="","",meta_TypedModelElements[[#This Row],[Containing Class:display]]&amp;".")&amp;meta_TypedModelElements[[#This Row],[Display without Class]]</f>
        <v>inputString</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S79" s="5" t="s">
        <v>454</v>
      </c>
      <c r="AT79" s="22" t="str">
        <f>IF(meta_TypedModelElements[[#This Row],[Parameter - Owning Function:src]]="","",INDEX(meta_TypedModelElements[Display Qualified],MATCH(meta_TypedModelElements[[#This Row],[Parameter - Owning Function:src]],meta_TypedModelElements[ID],0)))</f>
        <v>util::stringToBusinessSegments(String)</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str">
        <f>IF(meta_TypedModelElements[[#This Row],[Kind:src]]="_Parameter","",IF(AND(meta_TypedModelElements[[#This Row],[Package]]="util",meta_TypedModelElements[[#This Row],[Containing Class]]=0), "public", "method"))</f>
        <v>method</v>
      </c>
      <c r="BD81" s="40"/>
      <c r="BE8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#N/A</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str">
        <f>IF(meta_TypedModelElements[[#This Row],[Containing Class:display]]="","",meta_TypedModelElements[[#This Row],[Containing Class:display]]&amp;".")&amp;meta_TypedModelElements[[#This Row],[Display without Class]]</f>
        <v>firstParameter</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182">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182">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Qualified],MATCH(meta_TypedModelElements[[#This Row],[Parameter - Owning Function:src]],meta_TypedModelElements[ID],0))&amp;"."&amp;meta_TypedModelElements[[#This Row],[Display without Class]],
IF(meta_TypedModelElements[[#This Row],[Kind:src]]="_Function", INDEX(meta_TypedModelElements[Display Qualified],MATCH(meta_TypedModelElements[[#This Row],[Function - Owning Property:src]],meta_TypedModelElements[ID],0))&amp;"("&amp;meta_TypedModelElements[[#This Row],[Function - Parameters Display]]&amp;")",
IF(TRIM(meta_TypedModelElements[[#This Row],[Package]])="","",TRIM(LOWER(meta_TypedModelElements[[#This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8">
    <dataValidation type="list" allowBlank="1" showInputMessage="1" showErrorMessage="1" sqref="C2:C100" xr:uid="{99B39FFC-374C-4A52-8389-D32F99C394CD}">
      <formula1>INDIRECT("meta_Classifiers[Display Qualified]")</formula1>
    </dataValidation>
    <dataValidation type="list" allowBlank="1" showInputMessage="1" showErrorMessage="1" sqref="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 type="list" allowBlank="1" showInputMessage="1" showErrorMessage="1" sqref="AT2:AT100" xr:uid="{D5A9F497-09AD-47FB-A4ED-8F2472B01A0E}">
      <formula1>INDIRECT("meta_TypedModelElements[Function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53125" defaultRowHeight="14.5" outlineLevelCol="2"/>
  <cols>
    <col min="1" max="1" width="29.453125" customWidth="1"/>
    <col min="2" max="2" width="29.453125" customWidth="1" outlineLevel="1"/>
    <col min="3" max="3" width="17.453125" customWidth="1"/>
    <col min="4" max="4" width="7.81640625" bestFit="1" customWidth="1"/>
    <col min="5" max="5" width="7.81640625" customWidth="1"/>
    <col min="6" max="6" width="33.453125" hidden="1" customWidth="1" outlineLevel="2"/>
    <col min="7" max="7" width="18" hidden="1" customWidth="1" outlineLevel="1"/>
    <col min="8" max="8" width="24.1796875" customWidth="1" collapsed="1"/>
    <col min="9" max="9" width="24.1796875" customWidth="1" outlineLevel="1"/>
  </cols>
  <sheetData>
    <row r="1" spans="1:10" ht="64.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19" t="s">
        <v>1558</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19" t="s">
        <v>1559</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4.5" outlineLevelCol="5"/>
  <cols>
    <col min="1" max="1" width="5.1796875" style="5" customWidth="1" outlineLevel="1"/>
    <col min="2" max="2" width="27.81640625" style="5" customWidth="1" outlineLevel="2"/>
    <col min="3" max="3" width="19" style="5" customWidth="1" outlineLevel="1"/>
    <col min="4" max="5" width="6.81640625" style="5" customWidth="1" outlineLevel="1"/>
    <col min="6" max="6" width="7.453125" style="5" customWidth="1" outlineLevel="4"/>
    <col min="7" max="7" width="7.453125" style="5" customWidth="1" outlineLevel="3"/>
    <col min="8" max="8" width="7.453125" style="5" customWidth="1" outlineLevel="4"/>
    <col min="9" max="9" width="7.453125" style="5" customWidth="1" outlineLevel="3"/>
    <col min="10" max="10" width="13.453125" style="5" customWidth="1" outlineLevel="4"/>
    <col min="11" max="11" width="7.81640625" style="5" customWidth="1" outlineLevel="3"/>
    <col min="12" max="12" width="21.453125" style="5" customWidth="1" outlineLevel="4"/>
    <col min="13" max="13" width="16" style="5" customWidth="1" outlineLevel="3"/>
    <col min="14" max="14" width="21.453125" style="5" customWidth="1" outlineLevel="4"/>
    <col min="15" max="15" width="16" style="5" customWidth="1" outlineLevel="3"/>
    <col min="16" max="16" width="21.453125" style="5" customWidth="1" outlineLevel="4"/>
    <col min="17" max="17" width="16" style="5" customWidth="1" outlineLevel="3"/>
    <col min="18" max="18" width="21.453125" style="5" customWidth="1" outlineLevel="3"/>
    <col min="19" max="19" width="16" style="5" customWidth="1" outlineLevel="2"/>
    <col min="20" max="20" width="9.453125" style="5" customWidth="1" outlineLevel="1"/>
    <col min="21" max="22" width="19.453125" style="5" hidden="1" customWidth="1" outlineLevel="3"/>
    <col min="23" max="23" width="44.453125" style="5" hidden="1" customWidth="1" outlineLevel="2"/>
    <col min="24" max="24" width="32" style="5" customWidth="1" outlineLevel="1" collapsed="1"/>
    <col min="25" max="27" width="32" style="5" customWidth="1" outlineLevel="2"/>
    <col min="28" max="28" width="32" style="5" customWidth="1" outlineLevel="1"/>
    <col min="29" max="29" width="5.453125" style="5" customWidth="1"/>
    <col min="30" max="30" width="25.453125" style="5" customWidth="1" outlineLevel="3"/>
    <col min="31" max="31" width="52.453125" style="5" customWidth="1" outlineLevel="3"/>
    <col min="32" max="32" width="24.453125" style="5" customWidth="1" outlineLevel="3"/>
    <col min="33" max="33" width="46.453125" style="5" customWidth="1"/>
    <col min="34" max="34" width="10.453125" style="5" customWidth="1"/>
    <col min="35" max="35" width="65.453125" customWidth="1"/>
    <col min="36" max="36" width="11" customWidth="1" outlineLevel="1"/>
    <col min="37" max="37" width="27.81640625" style="14" customWidth="1" outlineLevel="1"/>
    <col min="38" max="38" width="18.453125" style="14" customWidth="1" outlineLevel="1"/>
    <col min="39" max="39" width="13.81640625" style="14" customWidth="1" outlineLevel="1"/>
    <col min="40" max="40" width="20.453125" style="14" customWidth="1" outlineLevel="1"/>
    <col min="41" max="41" width="5.453125" style="14" customWidth="1"/>
    <col min="42" max="42" width="10.453125" style="14" customWidth="1" outlineLevel="1"/>
    <col min="43" max="43" width="7.8164062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53125" hidden="1" customWidth="1" outlineLevel="3"/>
    <col min="57" max="57" width="11" hidden="1" customWidth="1" outlineLevel="2"/>
    <col min="58" max="58" width="38" hidden="1" customWidth="1" outlineLevel="2"/>
    <col min="59" max="59" width="11" customWidth="1" outlineLevel="1" collapsed="1"/>
    <col min="60" max="60" width="30.453125" hidden="1" customWidth="1" outlineLevel="2"/>
    <col min="61" max="61" width="15.453125" style="5" customWidth="1" outlineLevel="1" collapsed="1"/>
    <col min="62" max="62" width="10.453125" style="5" hidden="1" customWidth="1" outlineLevel="3"/>
    <col min="63" max="63" width="7.81640625" style="5" hidden="1" customWidth="1" outlineLevel="2"/>
    <col min="64" max="64" width="7.81640625" style="5" hidden="1" customWidth="1" outlineLevel="3"/>
    <col min="65" max="65" width="7.81640625" style="5" hidden="1" customWidth="1" outlineLevel="2"/>
    <col min="66" max="66" width="7.81640625" style="5" hidden="1" customWidth="1" outlineLevel="3"/>
    <col min="67" max="67" width="7.81640625" style="5" hidden="1" customWidth="1" outlineLevel="2"/>
    <col min="68" max="68" width="7.81640625" style="5" hidden="1" customWidth="1" outlineLevel="3"/>
    <col min="69" max="69" width="7.81640625" style="5" hidden="1" customWidth="1" outlineLevel="2"/>
    <col min="70" max="70" width="21.453125" style="5" hidden="1" customWidth="1" outlineLevel="3"/>
    <col min="71" max="71" width="7.81640625" style="5" hidden="1" customWidth="1" outlineLevel="2"/>
    <col min="72" max="72" width="15.453125" style="5" hidden="1" customWidth="1" outlineLevel="3"/>
    <col min="73" max="73" width="7.81640625" style="5" hidden="1" customWidth="1" outlineLevel="2"/>
    <col min="74" max="75" width="7.81640625" style="5" hidden="1" customWidth="1" outlineLevel="3"/>
    <col min="76" max="77" width="34.453125" style="5" hidden="1" customWidth="1" outlineLevel="2"/>
    <col min="78" max="78" width="23.453125" style="5" customWidth="1" outlineLevel="1" collapsed="1"/>
    <col min="79" max="79" width="6.81640625" style="5" hidden="1" customWidth="1" outlineLevel="2"/>
    <col min="80" max="80" width="7.1796875" style="5" customWidth="1" outlineLevel="1" collapsed="1"/>
    <col min="81" max="81" width="4.453125" style="5" hidden="1" customWidth="1" outlineLevel="5"/>
    <col min="82" max="82" width="5.453125" style="5" hidden="1" customWidth="1" outlineLevel="4"/>
    <col min="83" max="83" width="5.453125" style="5" hidden="1" customWidth="1" outlineLevel="5"/>
    <col min="84" max="84" width="5.453125" style="5" hidden="1" customWidth="1" outlineLevel="4"/>
    <col min="85" max="85" width="5.453125" style="5" hidden="1" customWidth="1" outlineLevel="5"/>
    <col min="86" max="86" width="5.453125" style="5" hidden="1" customWidth="1" outlineLevel="4"/>
    <col min="87" max="87" width="5.453125" style="5" hidden="1" customWidth="1" outlineLevel="5"/>
    <col min="88" max="88" width="5.453125" style="5" hidden="1" customWidth="1" outlineLevel="4"/>
    <col min="89" max="89" width="5.453125" style="5" hidden="1" customWidth="1" outlineLevel="5"/>
    <col min="90" max="90" width="5.453125" style="5" hidden="1" customWidth="1" outlineLevel="4"/>
    <col min="91" max="91" width="5.453125" style="5" hidden="1" customWidth="1" outlineLevel="5"/>
    <col min="92" max="92" width="5.453125" style="5" hidden="1" customWidth="1" outlineLevel="4"/>
    <col min="93" max="93" width="5.453125" style="5" hidden="1" customWidth="1" outlineLevel="5"/>
    <col min="94" max="94" width="7.453125" style="5" hidden="1" customWidth="1" outlineLevel="5"/>
    <col min="95" max="95" width="13.81640625" style="5" hidden="1" customWidth="1" outlineLevel="4"/>
    <col min="96" max="96" width="13.81640625" style="5" hidden="1" customWidth="1" outlineLevel="3"/>
    <col min="97" max="97" width="7" style="5" customWidth="1" outlineLevel="1" collapsed="1"/>
    <col min="98" max="98" width="9.453125" style="5" customWidth="1" outlineLevel="1"/>
    <col min="99" max="99" width="5.453125" style="5" customWidth="1"/>
    <col min="100" max="100" width="66.81640625" style="5" customWidth="1" outlineLevel="1"/>
    <col min="101" max="101" width="66.81640625" style="5" customWidth="1"/>
    <col min="102" max="102" width="37.453125" style="5" customWidth="1" outlineLevel="1"/>
    <col min="103" max="103" width="37.453125" style="5" customWidth="1"/>
    <col min="104" max="104" width="28.453125" style="5" customWidth="1"/>
    <col min="105" max="105" width="30.453125" style="5" customWidth="1"/>
    <col min="106" max="108" width="31.453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_String</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camelCaseUpper(String)</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.camelCaseUpper(String)       Derive</v>
      </c>
      <c r="AH3" s="14" t="s">
        <v>151</v>
      </c>
      <c r="AI3" s="14" t="s">
        <v>447</v>
      </c>
      <c r="AJ3" s="14" t="str">
        <f>meta_Rules[[#This Row],[Class:src]]&amp;"_"&amp;meta_Rules[[#This Row],[Feature]]&amp;"_"&amp;meta_Rules[[#This Row],[Kind]]</f>
        <v>_camelCaseUpper(String)_Derive</v>
      </c>
      <c r="AK3" s="14" t="str">
        <f>meta_Rules[[#This Row],[Rule Biz ID Without Line]]&amp;"_"&amp;meta_Rules[[#This Row],[Line]]</f>
        <v>_camelCaseUpper(String)_Derive_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4.5" outlineLevelRow="1" outlineLevelCol="2"/>
  <cols>
    <col min="1" max="1" width="23.1796875" style="5" customWidth="1"/>
    <col min="2" max="2" width="23.1796875" style="5" customWidth="1" outlineLevel="1"/>
    <col min="3" max="4" width="11" style="5"/>
    <col min="5" max="5" width="4" style="5" customWidth="1"/>
    <col min="6" max="6" width="17.453125" style="5" hidden="1" customWidth="1" outlineLevel="2"/>
    <col min="7" max="7" width="11" style="5" hidden="1" customWidth="1" outlineLevel="1"/>
    <col min="8" max="8" width="20.453125" style="5" bestFit="1" customWidth="1" collapsed="1"/>
    <col min="9" max="20" width="20.453125" style="5" customWidth="1"/>
    <col min="21" max="21" width="135.1796875" customWidth="1"/>
    <col min="22" max="22" width="10.453125" style="7" bestFit="1" customWidth="1"/>
    <col min="23" max="16384" width="11" style="5"/>
  </cols>
  <sheetData>
    <row r="2" spans="1:22" ht="111.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4.5" outlineLevelRow="1" outlineLevelCol="1"/>
  <cols>
    <col min="1" max="1" width="23.1796875" style="5" customWidth="1"/>
    <col min="2" max="2" width="23.1796875" style="5" customWidth="1" outlineLevel="1"/>
    <col min="3" max="4" width="11" style="5"/>
    <col min="5" max="5" width="4" style="5" customWidth="1"/>
    <col min="6" max="6" width="17.453125" style="5" hidden="1" customWidth="1" outlineLevel="1"/>
    <col min="7" max="7" width="11" style="5" customWidth="1" collapsed="1"/>
    <col min="8" max="8" width="11" style="5" customWidth="1"/>
    <col min="11" max="11" width="20.453125" style="5" bestFit="1" customWidth="1"/>
    <col min="12" max="14" width="20.453125" style="5" customWidth="1"/>
    <col min="15" max="20" width="18.1796875" style="5" customWidth="1"/>
    <col min="21" max="23" width="20.453125" style="5" customWidth="1"/>
    <col min="24" max="24" width="175.453125" style="5" bestFit="1" customWidth="1"/>
    <col min="25" max="25" width="8.81640625" style="5" customWidth="1"/>
    <col min="28" max="28" width="135.1796875" customWidth="1"/>
    <col min="29" max="29" width="124.453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1"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32">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53125" defaultRowHeight="14.5" outlineLevelCol="2"/>
  <cols>
    <col min="1" max="1" width="20.81640625" style="5" bestFit="1" customWidth="1"/>
    <col min="2" max="3" width="7.81640625" style="5" customWidth="1" outlineLevel="1"/>
    <col min="4" max="4" width="18" style="5" customWidth="1" outlineLevel="1"/>
    <col min="5" max="6" width="9.453125" style="5" customWidth="1" outlineLevel="1"/>
    <col min="7" max="7" width="15.1796875" style="5" customWidth="1" outlineLevel="2"/>
    <col min="8" max="8" width="37.1796875" style="5" customWidth="1" outlineLevel="1"/>
    <col min="9" max="9" width="56.453125" style="5" customWidth="1"/>
    <col min="10" max="10" width="31.453125" style="7" customWidth="1" outlineLevel="1"/>
    <col min="11" max="11" width="31.453125" style="5" customWidth="1" outlineLevel="1"/>
    <col min="12" max="12" width="8.81640625" style="7" customWidth="1" outlineLevel="1"/>
    <col min="13" max="13" width="18" style="7" customWidth="1" outlineLevel="1"/>
    <col min="14" max="14" width="10.81640625" style="7" customWidth="1" outlineLevel="1"/>
    <col min="15" max="15" width="11.453125" style="7" customWidth="1" outlineLevel="1"/>
    <col min="16" max="27" width="11.453125" style="5" customWidth="1" outlineLevel="1"/>
    <col min="28" max="16384" width="11.453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1842</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29">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29">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29">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3.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3.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3.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29">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29">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933</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934</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935</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936</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16">
      <c r="D56" s="8"/>
      <c r="E56" s="8"/>
      <c r="F56" s="8"/>
      <c r="G56" s="8"/>
      <c r="H56" s="89" t="str">
        <f>IF(belowred_Table1Rows[[#This Row],[Table 2 Ref:src]]="","",INDEX(belowred_Table2Rows[T2 Name:q],MATCH(belowred_Table1Rows[[#This Row],[Table 2 Ref:src]],belowred_Table2Rows[ID],0)))</f>
        <v/>
      </c>
      <c r="I56" s="60" t="s">
        <v>1803</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1805</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29">
      <c r="D59" s="8"/>
      <c r="E59" s="8"/>
      <c r="F59" s="8"/>
      <c r="G59" s="8"/>
      <c r="H59" s="89" t="str">
        <f>IF(belowred_Table1Rows[[#This Row],[Table 2 Ref:src]]="","",INDEX(belowred_Table2Rows[T2 Name:q],MATCH(belowred_Table1Rows[[#This Row],[Table 2 Ref:src]],belowred_Table2Rows[ID],0)))</f>
        <v/>
      </c>
      <c r="I59" s="60" t="s">
        <v>1806</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29">
      <c r="D60" s="8"/>
      <c r="E60" s="8"/>
      <c r="F60" s="8"/>
      <c r="G60" s="8"/>
      <c r="H60" s="89" t="str">
        <f>IF(belowred_Table1Rows[[#This Row],[Table 2 Ref:src]]="","",INDEX(belowred_Table2Rows[T2 Name:q],MATCH(belowred_Table1Rows[[#This Row],[Table 2 Ref:src]],belowred_Table2Rows[ID],0)))</f>
        <v/>
      </c>
      <c r="I60" s="60" t="s">
        <v>1807</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1808</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1809</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30"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53125" defaultRowHeight="14.5" outlineLevelCol="1"/>
  <cols>
    <col min="2" max="2" width="11.453125" customWidth="1" outlineLevel="1"/>
    <col min="3" max="3" width="17" customWidth="1"/>
    <col min="4" max="4" width="10.453125" bestFit="1" customWidth="1"/>
    <col min="5" max="5" width="10.453125" customWidth="1"/>
    <col min="6" max="6" width="17" customWidth="1"/>
    <col min="7" max="7" width="18.453125" customWidth="1"/>
    <col min="8" max="8" width="16.453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929</v>
      </c>
      <c r="G3" t="str">
        <f>IF(
  TRIM(belowred_Table2Rows[[#This Row],[Package]])="",
          "",
          belowred_Table2Rows[[#This Row],[Package]]&amp;"::")
&amp;belowred_Table2Rows[[#This Row],[T2 Name]]</f>
        <v>belowred2::n7qwe</v>
      </c>
      <c r="H3" t="s">
        <v>65</v>
      </c>
      <c r="J3">
        <v>1</v>
      </c>
    </row>
    <row r="4" spans="1:10">
      <c r="A4" t="s">
        <v>58</v>
      </c>
      <c r="C4" t="s">
        <v>72</v>
      </c>
      <c r="D4" t="s">
        <v>143</v>
      </c>
      <c r="F4" t="s">
        <v>930</v>
      </c>
      <c r="G4" t="str">
        <f>IF(
  TRIM(belowred_Table2Rows[[#This Row],[Package]])="",
          "",
          belowred_Table2Rows[[#This Row],[Package]]&amp;"::")
&amp;belowred_Table2Rows[[#This Row],[T2 Name]]</f>
        <v>belowred::n8qee</v>
      </c>
      <c r="H4" t="s">
        <v>66</v>
      </c>
      <c r="J4">
        <v>23</v>
      </c>
    </row>
    <row r="5" spans="1:10">
      <c r="A5" t="s">
        <v>59</v>
      </c>
      <c r="C5" t="s">
        <v>72</v>
      </c>
      <c r="D5" t="s">
        <v>143</v>
      </c>
      <c r="F5" t="s">
        <v>931</v>
      </c>
      <c r="G5" t="str">
        <f>IF(
  TRIM(belowred_Table2Rows[[#This Row],[Package]])="",
          "",
          belowred_Table2Rows[[#This Row],[Package]]&amp;"::")
&amp;belowred_Table2Rows[[#This Row],[T2 Name]]</f>
        <v>belowred::n9qwe</v>
      </c>
      <c r="H5" t="s">
        <v>67</v>
      </c>
      <c r="J5">
        <v>45</v>
      </c>
    </row>
    <row r="6" spans="1:10">
      <c r="A6" t="s">
        <v>60</v>
      </c>
      <c r="C6" t="s">
        <v>72</v>
      </c>
      <c r="D6" t="s">
        <v>143</v>
      </c>
      <c r="F6" t="s">
        <v>932</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1640625" defaultRowHeight="14.5" outlineLevelCol="1"/>
  <cols>
    <col min="3" max="3" width="14.453125" bestFit="1" customWidth="1"/>
    <col min="4" max="4" width="14.453125" hidden="1" customWidth="1" outlineLevel="1"/>
    <col min="5" max="5" width="12.453125" bestFit="1" customWidth="1" collapsed="1"/>
    <col min="6" max="6" width="13.453125" bestFit="1" customWidth="1"/>
    <col min="7" max="7" width="13" customWidth="1"/>
    <col min="8" max="8" width="10.453125" customWidth="1"/>
    <col min="9" max="9" width="8.81640625" customWidth="1"/>
    <col min="10" max="10" width="16.453125" customWidth="1"/>
    <col min="11" max="11" width="11" customWidth="1"/>
  </cols>
  <sheetData>
    <row r="5" spans="3:11" ht="15" thickBot="1"/>
    <row r="6" spans="3:11" ht="63.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53125" defaultRowHeight="14.5"/>
  <cols>
    <col min="8" max="8" width="29.81640625" customWidth="1"/>
  </cols>
  <sheetData>
    <row r="1" spans="1:8">
      <c r="A1" t="s">
        <v>0</v>
      </c>
      <c r="B1" t="s">
        <v>759</v>
      </c>
      <c r="C1" t="s">
        <v>760</v>
      </c>
      <c r="D1" t="s">
        <v>663</v>
      </c>
      <c r="E1" t="s">
        <v>761</v>
      </c>
      <c r="F1" t="s">
        <v>762</v>
      </c>
      <c r="H1" s="83" t="s">
        <v>763</v>
      </c>
    </row>
    <row r="2" spans="1:8" ht="29">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53125" defaultRowHeight="14.5"/>
  <sheetData>
    <row r="1" spans="1:3">
      <c r="A1" t="s">
        <v>0</v>
      </c>
      <c r="B1" t="s">
        <v>1451</v>
      </c>
      <c r="C1" t="s">
        <v>1452</v>
      </c>
    </row>
    <row r="2" spans="1:3">
      <c r="A2" t="s">
        <v>1459</v>
      </c>
      <c r="C2" t="s">
        <v>6</v>
      </c>
    </row>
    <row r="3" spans="1:3">
      <c r="A3" t="s">
        <v>1468</v>
      </c>
      <c r="C3" t="s">
        <v>1469</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2025-06-17T18:42:28Z</dcterms:modified>
</cp:coreProperties>
</file>