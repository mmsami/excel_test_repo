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80" documentId="8_{DE98C794-8499-4F3A-A97D-CFEADD4B44AD}" xr6:coauthVersionLast="47" xr6:coauthVersionMax="47" xr10:uidLastSave="{752BC823-7C4F-427B-8523-C1C53E3A0426}"/>
  <bookViews>
    <workbookView xWindow="-120" yWindow="-120" windowWidth="29040" windowHeight="15840" tabRatio="898" firstSheet="4" activeTab="10"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T2" i="2" l="1"/>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58" i="2"/>
  <c r="AT59" i="2"/>
  <c r="AT60" i="2"/>
  <c r="AT61" i="2"/>
  <c r="AT62" i="2"/>
  <c r="AT63" i="2"/>
  <c r="AT64" i="2"/>
  <c r="AT65" i="2"/>
  <c r="AT66" i="2"/>
  <c r="AT67" i="2"/>
  <c r="AT68" i="2"/>
  <c r="AT69" i="2"/>
  <c r="AT70" i="2"/>
  <c r="AT71" i="2"/>
  <c r="AT72" i="2"/>
  <c r="AT73" i="2"/>
  <c r="AT74" i="2"/>
  <c r="AT75" i="2"/>
  <c r="AT76" i="2"/>
  <c r="AT77" i="2"/>
  <c r="AT78" i="2"/>
  <c r="AT79"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C392" i="22"/>
  <c r="F392" i="22"/>
  <c r="G392" i="22"/>
  <c r="D392" i="22" s="1"/>
  <c r="I392" i="22"/>
  <c r="K392" i="22"/>
  <c r="P392" i="22"/>
  <c r="S392" i="22"/>
  <c r="AL392" i="22" s="1"/>
  <c r="Z392" i="22"/>
  <c r="Y392" i="22" s="1"/>
  <c r="X392" i="22" s="1"/>
  <c r="W392" i="22" s="1"/>
  <c r="V392" i="22" s="1"/>
  <c r="U392" i="22" s="1"/>
  <c r="AK392" i="22"/>
  <c r="AM392" i="22"/>
  <c r="AW392" i="22"/>
  <c r="AU392" i="22" s="1"/>
  <c r="BA392" i="22"/>
  <c r="AY392" i="22" s="1"/>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C359" i="22"/>
  <c r="F359" i="22"/>
  <c r="G359" i="22"/>
  <c r="Z359" i="22" s="1"/>
  <c r="Y359" i="22" s="1"/>
  <c r="X359" i="22" s="1"/>
  <c r="W359" i="22" s="1"/>
  <c r="V359" i="22" s="1"/>
  <c r="U359" i="22" s="1"/>
  <c r="I359" i="22"/>
  <c r="K359" i="22"/>
  <c r="P359" i="22"/>
  <c r="S359" i="22"/>
  <c r="AJ359" i="22" s="1"/>
  <c r="BC359" i="22"/>
  <c r="N359" i="22" s="1"/>
  <c r="C360" i="22"/>
  <c r="F360" i="22"/>
  <c r="G360" i="22"/>
  <c r="Z360" i="22" s="1"/>
  <c r="Y360" i="22" s="1"/>
  <c r="X360" i="22" s="1"/>
  <c r="W360" i="22" s="1"/>
  <c r="V360" i="22" s="1"/>
  <c r="U360" i="22" s="1"/>
  <c r="I360" i="22"/>
  <c r="K360" i="22"/>
  <c r="P360" i="22"/>
  <c r="S360" i="22"/>
  <c r="AJ360" i="22" s="1"/>
  <c r="BC360" i="22"/>
  <c r="N360" i="22" s="1"/>
  <c r="C361" i="22"/>
  <c r="F361" i="22"/>
  <c r="G361" i="22"/>
  <c r="Z361" i="22" s="1"/>
  <c r="Y361" i="22" s="1"/>
  <c r="X361" i="22" s="1"/>
  <c r="W361" i="22" s="1"/>
  <c r="V361" i="22" s="1"/>
  <c r="U361" i="22" s="1"/>
  <c r="I361" i="22"/>
  <c r="K361" i="22"/>
  <c r="P361" i="22"/>
  <c r="S361" i="22"/>
  <c r="AI361" i="22" s="1"/>
  <c r="BC361" i="22"/>
  <c r="N361" i="22" s="1"/>
  <c r="C362" i="22"/>
  <c r="F362" i="22"/>
  <c r="G362" i="22"/>
  <c r="Z362" i="22" s="1"/>
  <c r="Y362" i="22" s="1"/>
  <c r="X362" i="22" s="1"/>
  <c r="W362" i="22" s="1"/>
  <c r="V362" i="22" s="1"/>
  <c r="U362" i="22" s="1"/>
  <c r="I362" i="22"/>
  <c r="K362" i="22"/>
  <c r="P362" i="22"/>
  <c r="S362" i="22"/>
  <c r="AI362" i="22" s="1"/>
  <c r="BC362" i="22"/>
  <c r="N362" i="22" s="1"/>
  <c r="C4" i="25"/>
  <c r="C3" i="25"/>
  <c r="Q3" i="4"/>
  <c r="O3" i="4" s="1"/>
  <c r="Q4" i="4"/>
  <c r="O4" i="4" s="1"/>
  <c r="Q5" i="4"/>
  <c r="O5" i="4" s="1"/>
  <c r="G2" i="4"/>
  <c r="I2" i="4"/>
  <c r="K2" i="4"/>
  <c r="M2" i="4"/>
  <c r="O2" i="4"/>
  <c r="Q2" i="4"/>
  <c r="T2" i="4"/>
  <c r="T3" i="4"/>
  <c r="T4" i="4"/>
  <c r="T5" i="4"/>
  <c r="C3" i="4"/>
  <c r="C4" i="4"/>
  <c r="C5" i="4"/>
  <c r="C2" i="4"/>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2" i="5"/>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C5" i="42"/>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9" i="2"/>
  <c r="G60" i="2"/>
  <c r="G62" i="2"/>
  <c r="G63" i="2"/>
  <c r="G65" i="2"/>
  <c r="G66" i="2"/>
  <c r="G68" i="2"/>
  <c r="G69" i="2"/>
  <c r="G71" i="2"/>
  <c r="G72" i="2"/>
  <c r="G74" i="2"/>
  <c r="G75" i="2"/>
  <c r="G77" i="2"/>
  <c r="G78" i="2"/>
  <c r="G80" i="2"/>
  <c r="G81" i="2"/>
  <c r="G83" i="2"/>
  <c r="G84" i="2"/>
  <c r="G85" i="2"/>
  <c r="G86" i="2"/>
  <c r="G87" i="2"/>
  <c r="G88" i="2"/>
  <c r="G89" i="2"/>
  <c r="G90" i="2"/>
  <c r="G91" i="2"/>
  <c r="G92" i="2"/>
  <c r="G93" i="2"/>
  <c r="G94" i="2"/>
  <c r="G95" i="2"/>
  <c r="G96" i="2"/>
  <c r="G97" i="2"/>
  <c r="G98" i="2"/>
  <c r="G99" i="2"/>
  <c r="G100" i="2"/>
  <c r="G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J62" i="6"/>
  <c r="K62" i="6"/>
  <c r="M62" i="6"/>
  <c r="O62" i="6"/>
  <c r="P62" i="6"/>
  <c r="Q62" i="6"/>
  <c r="J61" i="6"/>
  <c r="K61" i="6"/>
  <c r="M61" i="6"/>
  <c r="O61" i="6"/>
  <c r="P61" i="6"/>
  <c r="Q61" i="6"/>
  <c r="J60" i="6"/>
  <c r="K60" i="6"/>
  <c r="M60" i="6"/>
  <c r="O60" i="6"/>
  <c r="P60" i="6"/>
  <c r="Q60" i="6"/>
  <c r="J58" i="6"/>
  <c r="P58" i="6"/>
  <c r="J59" i="6"/>
  <c r="P59" i="6"/>
  <c r="K58" i="6"/>
  <c r="Q58" i="6"/>
  <c r="K59" i="6"/>
  <c r="Q59" i="6"/>
  <c r="M58" i="6"/>
  <c r="O58" i="6"/>
  <c r="M59" i="6"/>
  <c r="O59" i="6"/>
  <c r="J57" i="6"/>
  <c r="J56" i="6"/>
  <c r="K57" i="6"/>
  <c r="K56" i="6"/>
  <c r="M57" i="6"/>
  <c r="M56" i="6"/>
  <c r="O57" i="6"/>
  <c r="O56" i="6"/>
  <c r="P57" i="6"/>
  <c r="P56" i="6"/>
  <c r="Q57" i="6"/>
  <c r="Q56" i="6"/>
  <c r="AJ392" i="22" l="1"/>
  <c r="AA392" i="22" s="1"/>
  <c r="AI392" i="22"/>
  <c r="AT392" i="22"/>
  <c r="AS392" i="22"/>
  <c r="AV392" i="22"/>
  <c r="AD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4"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A313" i="22"/>
  <c r="BC313" i="22"/>
  <c r="N313" i="22" s="1"/>
  <c r="F353" i="22"/>
  <c r="G353" i="22"/>
  <c r="D353" i="22" s="1"/>
  <c r="K353" i="22"/>
  <c r="P353" i="22"/>
  <c r="BA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J3" i="1" a="1"/>
  <c r="Q392" i="22"/>
  <c r="Q359" i="22"/>
  <c r="Q360" i="22"/>
  <c r="Q361" i="22"/>
  <c r="Q362" i="22"/>
  <c r="AF392" i="22" l="1"/>
  <c r="AG392" i="22"/>
  <c r="AB392" i="22"/>
  <c r="AC392" i="22"/>
  <c r="AE392" i="22"/>
  <c r="AH360" i="22"/>
  <c r="AQ360" i="22" s="1"/>
  <c r="AP360" i="22" s="1"/>
  <c r="BA360" i="22" s="1"/>
  <c r="AY360" i="22" s="1"/>
  <c r="AH359" i="22"/>
  <c r="AQ359" i="22" s="1"/>
  <c r="AP359" i="22" s="1"/>
  <c r="BA359" i="22" s="1"/>
  <c r="AY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H3" i="1" s="1"/>
  <c r="Z313" i="22"/>
  <c r="Y313" i="22" s="1"/>
  <c r="X313" i="22" s="1"/>
  <c r="W313" i="22" s="1"/>
  <c r="V313" i="22" s="1"/>
  <c r="U313" i="22" s="1"/>
  <c r="Z353" i="22"/>
  <c r="Y353" i="22" s="1"/>
  <c r="X353" i="22" s="1"/>
  <c r="W353" i="22" s="1"/>
  <c r="V353" i="22" s="1"/>
  <c r="U353" i="22" s="1"/>
  <c r="AR360" i="22" l="1"/>
  <c r="AH392" i="22"/>
  <c r="AR359" i="22"/>
  <c r="AH361" i="22"/>
  <c r="AQ361" i="22" s="1"/>
  <c r="AP361" i="22" s="1"/>
  <c r="BA361" i="22" s="1"/>
  <c r="AY361" i="22" s="1"/>
  <c r="AH362" i="22"/>
  <c r="AR362" i="22" s="1"/>
  <c r="I5" i="4"/>
  <c r="J5" i="4"/>
  <c r="J4" i="4"/>
  <c r="I4" i="4"/>
  <c r="I3" i="4"/>
  <c r="J3" i="4"/>
  <c r="AT353" i="22"/>
  <c r="AT313" i="22"/>
  <c r="AR392" i="22" l="1"/>
  <c r="AQ392" i="22"/>
  <c r="AP392" i="22" s="1"/>
  <c r="AR361" i="22"/>
  <c r="AQ362" i="22"/>
  <c r="AP362" i="22" s="1"/>
  <c r="BA362" i="22" s="1"/>
  <c r="AY362" i="22" s="1"/>
  <c r="G3" i="4"/>
  <c r="F3" i="4" s="1"/>
  <c r="H3" i="4"/>
  <c r="G4" i="4"/>
  <c r="F4" i="4" s="1"/>
  <c r="H4" i="4"/>
  <c r="G5" i="4"/>
  <c r="F5" i="4" s="1"/>
  <c r="H5" i="4"/>
  <c r="AD2" i="2"/>
  <c r="AD26" i="2"/>
  <c r="AD56" i="2"/>
  <c r="AD58" i="2"/>
  <c r="AD80" i="2"/>
  <c r="AD83" i="2"/>
  <c r="M4" i="22"/>
  <c r="M5" i="22"/>
  <c r="M6" i="22"/>
  <c r="M7" i="22"/>
  <c r="M8" i="22"/>
  <c r="M9" i="22"/>
  <c r="M10" i="22"/>
  <c r="M11" i="22"/>
  <c r="M3" i="22"/>
  <c r="BA2"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4" i="22"/>
  <c r="BA155" i="22"/>
  <c r="BA156" i="22"/>
  <c r="BA157" i="22"/>
  <c r="BA158" i="22"/>
  <c r="BA159" i="22"/>
  <c r="BA160" i="22"/>
  <c r="BA161" i="22"/>
  <c r="BA162" i="22"/>
  <c r="BA163" i="22"/>
  <c r="BA164" i="22"/>
  <c r="BA165" i="22"/>
  <c r="BA166" i="22"/>
  <c r="BA167" i="22"/>
  <c r="BA168" i="22"/>
  <c r="BA169" i="22"/>
  <c r="BA170" i="22"/>
  <c r="BA171" i="22"/>
  <c r="BA172" i="22"/>
  <c r="BA173"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4" i="22"/>
  <c r="BA355" i="22"/>
  <c r="BA356" i="22"/>
  <c r="BA357" i="22"/>
  <c r="BA358"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BA106" i="22"/>
  <c r="BA153" i="22"/>
  <c r="BA174" i="22"/>
  <c r="BA175" i="22"/>
  <c r="BA176" i="22"/>
  <c r="BA177" i="22"/>
  <c r="BA178" i="22"/>
  <c r="BA179" i="22"/>
  <c r="BA180" i="22"/>
  <c r="BA181" i="22"/>
  <c r="BA182" i="22"/>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J37" i="6"/>
  <c r="P43" i="6"/>
  <c r="K44" i="6"/>
  <c r="O18" i="6"/>
  <c r="O33" i="6"/>
  <c r="Q5" i="6"/>
  <c r="P39" i="6"/>
  <c r="P47" i="6"/>
  <c r="J7" i="6"/>
  <c r="K9" i="6"/>
  <c r="Q36" i="6"/>
  <c r="K50" i="6"/>
  <c r="O48" i="6"/>
  <c r="J41" i="6"/>
  <c r="O11" i="6"/>
  <c r="Q40" i="6"/>
  <c r="O55" i="6"/>
  <c r="O50" i="6"/>
  <c r="O25" i="6"/>
  <c r="O9" i="6"/>
  <c r="O49" i="6"/>
  <c r="J14" i="6"/>
  <c r="O38" i="6"/>
  <c r="Q46" i="6"/>
  <c r="J38" i="6"/>
  <c r="K29" i="6"/>
  <c r="J33" i="6"/>
  <c r="P45" i="6"/>
  <c r="Q47" i="6"/>
  <c r="P24" i="6"/>
  <c r="Q9" i="6"/>
  <c r="P25" i="6"/>
  <c r="K52" i="6"/>
  <c r="O45" i="6"/>
  <c r="O42" i="6"/>
  <c r="Q14" i="6"/>
  <c r="J53" i="6"/>
  <c r="P15" i="6"/>
  <c r="Q8" i="6"/>
  <c r="Q51" i="6"/>
  <c r="Q7" i="6"/>
  <c r="J55" i="6"/>
  <c r="Q34" i="6"/>
  <c r="P16" i="6"/>
  <c r="P44" i="6"/>
  <c r="K45" i="6"/>
  <c r="P12" i="6"/>
  <c r="K43" i="6"/>
  <c r="O6" i="6"/>
  <c r="K16" i="6"/>
  <c r="Q32" i="6"/>
  <c r="K46" i="6"/>
  <c r="O15" i="6"/>
  <c r="K6" i="6"/>
  <c r="J27" i="6"/>
  <c r="P46" i="6"/>
  <c r="J52" i="6"/>
  <c r="J25" i="6"/>
  <c r="O41" i="6"/>
  <c r="Q15" i="6"/>
  <c r="K33" i="6"/>
  <c r="P52" i="6"/>
  <c r="J45" i="6"/>
  <c r="O47" i="6"/>
  <c r="P36" i="6"/>
  <c r="J22" i="6"/>
  <c r="P53" i="6"/>
  <c r="P26" i="6"/>
  <c r="O26" i="6"/>
  <c r="K55" i="6"/>
  <c r="Q49" i="6"/>
  <c r="J6" i="6"/>
  <c r="J47" i="6"/>
  <c r="P40" i="6"/>
  <c r="O16" i="6"/>
  <c r="O8" i="6"/>
  <c r="Q48" i="6"/>
  <c r="K54" i="6"/>
  <c r="P48" i="6"/>
  <c r="O12" i="6"/>
  <c r="Q26" i="6"/>
  <c r="O35" i="6"/>
  <c r="P5" i="6"/>
  <c r="K31" i="6"/>
  <c r="P14" i="6"/>
  <c r="K40" i="6"/>
  <c r="Q24" i="6"/>
  <c r="Q6" i="6"/>
  <c r="O31" i="6"/>
  <c r="O30" i="6"/>
  <c r="Q18" i="6"/>
  <c r="P42" i="6"/>
  <c r="K8" i="6"/>
  <c r="O34" i="6"/>
  <c r="P7" i="6"/>
  <c r="O10" i="6"/>
  <c r="Q38" i="6"/>
  <c r="K28" i="6"/>
  <c r="P33" i="6"/>
  <c r="P13" i="6"/>
  <c r="J13" i="6"/>
  <c r="P51" i="6"/>
  <c r="O37" i="6"/>
  <c r="P32" i="6"/>
  <c r="J19" i="6"/>
  <c r="O22" i="6"/>
  <c r="Q17" i="6"/>
  <c r="K47" i="6"/>
  <c r="O36" i="6"/>
  <c r="J12" i="6"/>
  <c r="Q45" i="6"/>
  <c r="O13" i="6"/>
  <c r="K42" i="6"/>
  <c r="P11" i="6"/>
  <c r="J54" i="6"/>
  <c r="J36" i="6"/>
  <c r="P30" i="6"/>
  <c r="K23" i="6"/>
  <c r="J23" i="6"/>
  <c r="K41" i="6"/>
  <c r="Q12" i="6"/>
  <c r="K38" i="6"/>
  <c r="K5" i="6"/>
  <c r="K49" i="6"/>
  <c r="J11" i="6"/>
  <c r="Q25" i="6"/>
  <c r="Q42" i="6"/>
  <c r="O40" i="6"/>
  <c r="J34" i="6"/>
  <c r="J46" i="6"/>
  <c r="P10" i="6"/>
  <c r="O27" i="6"/>
  <c r="O46" i="6"/>
  <c r="J26" i="6"/>
  <c r="P22" i="6"/>
  <c r="Q30" i="6"/>
  <c r="O5" i="6"/>
  <c r="O53" i="6"/>
  <c r="Q50" i="6"/>
  <c r="Q55" i="6"/>
  <c r="O21" i="6"/>
  <c r="Q20" i="6"/>
  <c r="K24" i="6"/>
  <c r="P6" i="6"/>
  <c r="J49" i="6"/>
  <c r="O19" i="6"/>
  <c r="Q41" i="6"/>
  <c r="Q21" i="6"/>
  <c r="O23" i="6"/>
  <c r="K48" i="6"/>
  <c r="Q44" i="6"/>
  <c r="K35" i="6"/>
  <c r="P18" i="6"/>
  <c r="J28" i="6"/>
  <c r="K22" i="6"/>
  <c r="P35" i="6"/>
  <c r="K15" i="6"/>
  <c r="P31" i="6"/>
  <c r="K26" i="6"/>
  <c r="J8" i="6"/>
  <c r="K19" i="6"/>
  <c r="Q19" i="6"/>
  <c r="P50" i="6"/>
  <c r="K51" i="6"/>
  <c r="J17" i="6"/>
  <c r="O52" i="6"/>
  <c r="J51" i="6"/>
  <c r="K14" i="6"/>
  <c r="P49" i="6"/>
  <c r="K11" i="6"/>
  <c r="Q23" i="6"/>
  <c r="P20" i="6"/>
  <c r="Q29" i="6"/>
  <c r="J44" i="6"/>
  <c r="Q31" i="6"/>
  <c r="O54" i="6"/>
  <c r="Q33" i="6"/>
  <c r="J18" i="6"/>
  <c r="J43" i="6"/>
  <c r="Q35" i="6"/>
  <c r="Q52" i="6"/>
  <c r="P41" i="6"/>
  <c r="O28" i="6"/>
  <c r="J29" i="6"/>
  <c r="Q16" i="6"/>
  <c r="Q39" i="6"/>
  <c r="J20" i="6"/>
  <c r="P23" i="6"/>
  <c r="J9" i="6"/>
  <c r="O24" i="6"/>
  <c r="Q10" i="6"/>
  <c r="Q43" i="6"/>
  <c r="O44" i="6"/>
  <c r="K39" i="6"/>
  <c r="K20" i="6"/>
  <c r="O14" i="6"/>
  <c r="K12" i="6"/>
  <c r="J35" i="6"/>
  <c r="K36" i="6"/>
  <c r="J10" i="6"/>
  <c r="J31" i="6"/>
  <c r="O29" i="6"/>
  <c r="P28" i="6"/>
  <c r="K18" i="6"/>
  <c r="K10" i="6"/>
  <c r="P29" i="6"/>
  <c r="J5" i="6"/>
  <c r="Q22" i="6"/>
  <c r="P37" i="6"/>
  <c r="J42" i="6"/>
  <c r="Q13" i="6"/>
  <c r="K27" i="6"/>
  <c r="J15" i="6"/>
  <c r="J21" i="6"/>
  <c r="O20" i="6"/>
  <c r="J32" i="6"/>
  <c r="O7" i="6"/>
  <c r="K7" i="6"/>
  <c r="J40" i="6"/>
  <c r="J16" i="6"/>
  <c r="K34" i="6"/>
  <c r="P34" i="6"/>
  <c r="O43" i="6"/>
  <c r="Q53" i="6"/>
  <c r="P54" i="6"/>
  <c r="O17" i="6"/>
  <c r="P38" i="6"/>
  <c r="P27" i="6"/>
  <c r="Q54" i="6"/>
  <c r="J30" i="6"/>
  <c r="K32" i="6"/>
  <c r="K17" i="6"/>
  <c r="K37" i="6"/>
  <c r="P55" i="6"/>
  <c r="J39" i="6"/>
  <c r="J48" i="6"/>
  <c r="J50" i="6"/>
  <c r="Q28" i="6"/>
  <c r="P17" i="6"/>
  <c r="K30" i="6"/>
  <c r="Q37" i="6"/>
  <c r="P9" i="6"/>
  <c r="Q11" i="6"/>
  <c r="Q27" i="6"/>
  <c r="O32" i="6"/>
  <c r="O51" i="6"/>
  <c r="P8" i="6"/>
  <c r="K13" i="6"/>
  <c r="P21" i="6"/>
  <c r="P19" i="6"/>
  <c r="O39" i="6"/>
  <c r="K53" i="6"/>
  <c r="K21" i="6"/>
  <c r="J24" i="6"/>
  <c r="K25"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G58" i="2"/>
  <c r="G61" i="2"/>
  <c r="G64" i="2"/>
  <c r="G67" i="2"/>
  <c r="G70" i="2"/>
  <c r="G73" i="2"/>
  <c r="G76" i="2"/>
  <c r="G79" i="2"/>
  <c r="G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G5" i="1"/>
  <c r="I5" i="1" s="1"/>
  <c r="G6" i="1"/>
  <c r="G7" i="1"/>
  <c r="G8" i="1"/>
  <c r="G9" i="1"/>
  <c r="I9" i="1" s="1"/>
  <c r="G10" i="1"/>
  <c r="I10" i="1" s="1"/>
  <c r="G11" i="1"/>
  <c r="I11" i="1" s="1"/>
  <c r="G12" i="1"/>
  <c r="G13" i="1"/>
  <c r="J12" i="2" s="1"/>
  <c r="G14" i="1"/>
  <c r="G15" i="1"/>
  <c r="G16" i="1"/>
  <c r="G17" i="1"/>
  <c r="I17" i="1" s="1"/>
  <c r="G18" i="1"/>
  <c r="G19" i="1"/>
  <c r="G20" i="1"/>
  <c r="G21" i="1"/>
  <c r="G22" i="1"/>
  <c r="AH22" i="2" s="1"/>
  <c r="G23" i="1"/>
  <c r="G24" i="1"/>
  <c r="G25" i="1"/>
  <c r="G26" i="1"/>
  <c r="I26" i="1" s="1"/>
  <c r="G27" i="1"/>
  <c r="I27" i="1" s="1"/>
  <c r="G28" i="1"/>
  <c r="G29" i="1"/>
  <c r="I29" i="1" s="1"/>
  <c r="G30" i="1"/>
  <c r="G31" i="1"/>
  <c r="I31" i="1" s="1"/>
  <c r="G32" i="1"/>
  <c r="J32" i="2" s="1"/>
  <c r="G33" i="1"/>
  <c r="G34" i="1"/>
  <c r="G35" i="1"/>
  <c r="G36" i="1"/>
  <c r="G37" i="1"/>
  <c r="G38" i="1"/>
  <c r="G39" i="1"/>
  <c r="I39" i="1" s="1"/>
  <c r="G40" i="1"/>
  <c r="I40" i="1" s="1"/>
  <c r="G41" i="1"/>
  <c r="I41" i="1" s="1"/>
  <c r="G42" i="1"/>
  <c r="I42" i="1" s="1"/>
  <c r="G43" i="1"/>
  <c r="I43" i="1" s="1"/>
  <c r="G44" i="1"/>
  <c r="G45" i="1"/>
  <c r="G46" i="1"/>
  <c r="I46" i="1" s="1"/>
  <c r="G47" i="1"/>
  <c r="I47" i="1" s="1"/>
  <c r="G48" i="1"/>
  <c r="G49" i="1"/>
  <c r="I49" i="1" s="1"/>
  <c r="G50" i="1"/>
  <c r="I50" i="1" s="1"/>
  <c r="G51" i="1"/>
  <c r="I51" i="1" s="1"/>
  <c r="G52" i="1"/>
  <c r="I52" i="1" s="1"/>
  <c r="G53" i="1"/>
  <c r="I53" i="1" s="1"/>
  <c r="G54" i="1"/>
  <c r="I54" i="1" s="1"/>
  <c r="G55" i="1"/>
  <c r="G56" i="1"/>
  <c r="G57" i="1"/>
  <c r="G58" i="1"/>
  <c r="G59" i="1"/>
  <c r="G2" i="7"/>
  <c r="G3" i="7"/>
  <c r="G4" i="7"/>
  <c r="G5" i="7"/>
  <c r="G6" i="7"/>
  <c r="G7" i="7"/>
  <c r="G8" i="7"/>
  <c r="S29" i="2" a="1"/>
  <c r="H2" i="49" a="1"/>
  <c r="M19" i="6"/>
  <c r="M48" i="6"/>
  <c r="M32" i="6"/>
  <c r="M40" i="6"/>
  <c r="M42" i="6"/>
  <c r="M45" i="6"/>
  <c r="M53" i="6"/>
  <c r="M37" i="6"/>
  <c r="M34" i="6"/>
  <c r="M11" i="6"/>
  <c r="M24" i="6"/>
  <c r="M46" i="6"/>
  <c r="M13" i="6"/>
  <c r="M50" i="6"/>
  <c r="M26" i="6"/>
  <c r="M6" i="6"/>
  <c r="M20" i="6"/>
  <c r="M21" i="6"/>
  <c r="M30" i="6"/>
  <c r="M25" i="6"/>
  <c r="M35" i="6"/>
  <c r="M31" i="6"/>
  <c r="M52" i="6"/>
  <c r="M15" i="6"/>
  <c r="M49" i="6"/>
  <c r="M29" i="6"/>
  <c r="M17" i="6"/>
  <c r="M18" i="6"/>
  <c r="M39" i="6"/>
  <c r="M43" i="6"/>
  <c r="M47" i="6"/>
  <c r="M12" i="6"/>
  <c r="M27" i="6"/>
  <c r="M41" i="6"/>
  <c r="M10" i="6"/>
  <c r="M38" i="6"/>
  <c r="M36" i="6"/>
  <c r="M7" i="6"/>
  <c r="M54" i="6"/>
  <c r="M16" i="6"/>
  <c r="M14" i="6"/>
  <c r="M9" i="6"/>
  <c r="M51" i="6"/>
  <c r="M44" i="6"/>
  <c r="M28" i="6"/>
  <c r="M22" i="6"/>
  <c r="M23" i="6"/>
  <c r="M55" i="6"/>
  <c r="M8" i="6"/>
  <c r="M33" i="6"/>
  <c r="S62" i="2" a="1"/>
  <c r="S65" i="2" a="1"/>
  <c r="S79" i="2" a="1"/>
  <c r="S89" i="2" a="1"/>
  <c r="S97" i="2" a="1"/>
  <c r="S73" i="2" a="1"/>
  <c r="S96" i="2" a="1"/>
  <c r="S59" i="2" a="1"/>
  <c r="S91" i="2" a="1"/>
  <c r="S74" i="2" a="1"/>
  <c r="S99" i="2" a="1"/>
  <c r="S76" i="2" a="1"/>
  <c r="S98" i="2" a="1"/>
  <c r="S86" i="2" a="1"/>
  <c r="S93" i="2" a="1"/>
  <c r="S61" i="2" a="1"/>
  <c r="S64" i="2" a="1"/>
  <c r="S67" i="2" a="1"/>
  <c r="S100" i="2" a="1"/>
  <c r="S87" i="2" a="1"/>
  <c r="S77" i="2" a="1"/>
  <c r="AE27" i="22" l="1"/>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J16" i="2"/>
  <c r="J13" i="2"/>
  <c r="AH35" i="2"/>
  <c r="AD35" i="2" s="1"/>
  <c r="J14" i="2"/>
  <c r="J18" i="2"/>
  <c r="AH4" i="2"/>
  <c r="J15" i="2"/>
  <c r="AH85" i="2"/>
  <c r="AD85" i="2" s="1"/>
  <c r="AH14" i="2"/>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H61" i="2"/>
  <c r="AD61" i="2" s="1"/>
  <c r="AH3" i="2"/>
  <c r="AH11" i="2"/>
  <c r="AH51" i="2"/>
  <c r="AD51" i="2" s="1"/>
  <c r="AH59" i="2"/>
  <c r="AD59" i="2" s="1"/>
  <c r="AH67" i="2"/>
  <c r="AD67" i="2" s="1"/>
  <c r="AH91" i="2"/>
  <c r="AD91" i="2" s="1"/>
  <c r="AH29" i="2"/>
  <c r="AD29" i="2" s="1"/>
  <c r="AH12" i="2"/>
  <c r="AH28" i="2"/>
  <c r="AD28" i="2" s="1"/>
  <c r="AH36" i="2"/>
  <c r="AD36" i="2" s="1"/>
  <c r="AH68" i="2"/>
  <c r="AD68" i="2" s="1"/>
  <c r="AH76" i="2"/>
  <c r="AD76" i="2" s="1"/>
  <c r="AH84" i="2"/>
  <c r="AD84" i="2" s="1"/>
  <c r="AH100" i="2"/>
  <c r="AD100" i="2" s="1"/>
  <c r="AH37" i="2"/>
  <c r="AD37" i="2" s="1"/>
  <c r="AH6" i="2"/>
  <c r="AH38" i="2"/>
  <c r="AD38" i="2" s="1"/>
  <c r="AH62" i="2"/>
  <c r="AD62" i="2" s="1"/>
  <c r="AH70" i="2"/>
  <c r="AD70" i="2" s="1"/>
  <c r="AH86" i="2"/>
  <c r="AD86" i="2" s="1"/>
  <c r="AH7" i="2"/>
  <c r="AH71" i="2"/>
  <c r="AD71" i="2" s="1"/>
  <c r="AH8" i="2"/>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S52" i="2"/>
  <c r="S51" i="2"/>
  <c r="T51" i="2" s="1"/>
  <c r="S29" i="2"/>
  <c r="T29" i="2" s="1"/>
  <c r="S5" i="2"/>
  <c r="S4" i="2"/>
  <c r="S27" i="2"/>
  <c r="S3" i="2"/>
  <c r="S47" i="2"/>
  <c r="T47" i="2" s="1"/>
  <c r="S45" i="2"/>
  <c r="S25" i="2"/>
  <c r="T25" i="2" s="1"/>
  <c r="S33" i="2"/>
  <c r="S41" i="2"/>
  <c r="S17" i="2"/>
  <c r="S39" i="2"/>
  <c r="T39" i="2" s="1"/>
  <c r="S38" i="2"/>
  <c r="S15" i="2"/>
  <c r="S28" i="2"/>
  <c r="S37" i="2"/>
  <c r="T37" i="2" s="1"/>
  <c r="S14" i="2"/>
  <c r="T14" i="2" s="1"/>
  <c r="S11" i="2"/>
  <c r="T11" i="2" s="1"/>
  <c r="S50" i="2"/>
  <c r="T50" i="2" s="1"/>
  <c r="S36" i="2"/>
  <c r="S13" i="2"/>
  <c r="S96" i="2"/>
  <c r="S67" i="2"/>
  <c r="S93" i="2"/>
  <c r="T93" i="2" s="1"/>
  <c r="S65" i="2"/>
  <c r="S91" i="2"/>
  <c r="T91" i="2" s="1"/>
  <c r="S64" i="2"/>
  <c r="T64" i="2" s="1"/>
  <c r="S89" i="2"/>
  <c r="T89" i="2" s="1"/>
  <c r="S62" i="2"/>
  <c r="T62" i="2" s="1"/>
  <c r="S87" i="2"/>
  <c r="T87" i="2" s="1"/>
  <c r="S61" i="2"/>
  <c r="S86" i="2"/>
  <c r="T86" i="2" s="1"/>
  <c r="S59" i="2"/>
  <c r="S79" i="2"/>
  <c r="S100" i="2"/>
  <c r="T100" i="2" s="1"/>
  <c r="S77" i="2"/>
  <c r="BE77" i="2" s="1"/>
  <c r="S99" i="2"/>
  <c r="S76" i="2"/>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C2" i="92"/>
  <c r="I12" i="1"/>
  <c r="AD22" i="2"/>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AD15" i="2"/>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12" i="2"/>
  <c r="AD5" i="2"/>
  <c r="AD6" i="2"/>
  <c r="AD7" i="2"/>
  <c r="AD8" i="2"/>
  <c r="AD9" i="2"/>
  <c r="N25" i="1"/>
  <c r="AD25" i="2"/>
  <c r="BC19" i="2"/>
  <c r="BE19" i="2" s="1"/>
  <c r="BC21" i="2"/>
  <c r="BC15" i="2"/>
  <c r="BC23" i="2"/>
  <c r="AD4" i="2"/>
  <c r="AD21" i="2"/>
  <c r="AD1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9" i="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T76" i="2"/>
  <c r="AX59" i="2"/>
  <c r="T59" i="2"/>
  <c r="T41" i="2"/>
  <c r="T28" i="2"/>
  <c r="AX13" i="2"/>
  <c r="T13" i="2"/>
  <c r="AX91" i="2"/>
  <c r="AX74" i="2"/>
  <c r="T27" i="2"/>
  <c r="AX12" i="2"/>
  <c r="T12" i="2"/>
  <c r="AX73" i="2"/>
  <c r="T73" i="2"/>
  <c r="T52" i="2"/>
  <c r="AX38" i="2"/>
  <c r="T38" i="2"/>
  <c r="AX26" i="2"/>
  <c r="AX67" i="2"/>
  <c r="T67" i="2"/>
  <c r="AX37" i="2"/>
  <c r="T5" i="2"/>
  <c r="T99" i="2"/>
  <c r="AX86" i="2"/>
  <c r="T65" i="2"/>
  <c r="AX50" i="2"/>
  <c r="T36" i="2"/>
  <c r="T17" i="2"/>
  <c r="T4" i="2"/>
  <c r="AX98" i="2"/>
  <c r="T35" i="2"/>
  <c r="T3" i="2"/>
  <c r="AX97" i="2"/>
  <c r="T79" i="2"/>
  <c r="AX62" i="2"/>
  <c r="T33" i="2"/>
  <c r="T15" i="2"/>
  <c r="T96" i="2"/>
  <c r="AX77" i="2"/>
  <c r="AX61" i="2"/>
  <c r="T61" i="2"/>
  <c r="T45"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AG4" i="4"/>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J4" i="4"/>
  <c r="AK4" i="4" s="1"/>
  <c r="AX96" i="2"/>
  <c r="AX48" i="2"/>
  <c r="AX36" i="2"/>
  <c r="BE97" i="2"/>
  <c r="H97" i="2"/>
  <c r="AX35" i="2"/>
  <c r="BE47" i="2"/>
  <c r="H47" i="2"/>
  <c r="BE91" i="2"/>
  <c r="BE55" i="2"/>
  <c r="H55" i="2"/>
  <c r="BE43" i="2"/>
  <c r="H43" i="2"/>
  <c r="BE31" i="2"/>
  <c r="H31" i="2"/>
  <c r="AJ2" i="4"/>
  <c r="AK2" i="4" s="1"/>
  <c r="U94" i="2"/>
  <c r="S94" i="2" s="1" a="1"/>
  <c r="U82" i="2"/>
  <c r="U70" i="2"/>
  <c r="U58" i="2"/>
  <c r="U46" i="2"/>
  <c r="S46" i="2" s="1" a="1"/>
  <c r="U34" i="2"/>
  <c r="U10" i="2"/>
  <c r="BE95" i="2"/>
  <c r="H95" i="2"/>
  <c r="H71" i="2"/>
  <c r="BE90" i="2"/>
  <c r="H90" i="2"/>
  <c r="BE54" i="2"/>
  <c r="H54" i="2"/>
  <c r="BE42" i="2"/>
  <c r="H42" i="2"/>
  <c r="BE30" i="2"/>
  <c r="H30" i="2"/>
  <c r="CN5" i="4"/>
  <c r="AX33" i="2"/>
  <c r="H45" i="2"/>
  <c r="BE45" i="2"/>
  <c r="BE23" i="2"/>
  <c r="H23" i="2"/>
  <c r="BE89" i="2"/>
  <c r="H89" i="2"/>
  <c r="H77" i="2"/>
  <c r="BE65"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BE21" i="2"/>
  <c r="H21" i="2"/>
  <c r="BE99" i="2"/>
  <c r="H99" i="2"/>
  <c r="BE87" i="2"/>
  <c r="H87" i="2"/>
  <c r="BE51" i="2"/>
  <c r="H51" i="2"/>
  <c r="BE39" i="2"/>
  <c r="H39" i="2"/>
  <c r="BE27" i="2"/>
  <c r="H27" i="2"/>
  <c r="BE15"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S34" i="2" a="1"/>
  <c r="S10" i="2" a="1"/>
  <c r="S95" i="2" a="1"/>
  <c r="S88" i="2" a="1"/>
  <c r="M5" i="6"/>
  <c r="S85" i="2" a="1"/>
  <c r="S84" i="2" a="1"/>
  <c r="S82" i="2" a="1"/>
  <c r="S70" i="2" a="1"/>
  <c r="S58" i="2" a="1"/>
  <c r="S80" i="2" a="1"/>
  <c r="S83" i="2" a="1"/>
  <c r="S68" i="2" a="1"/>
  <c r="S90" i="2" a="1"/>
  <c r="S2" i="2" a="1"/>
  <c r="S71" i="2" a="1"/>
  <c r="Q205" i="22"/>
  <c r="Q282" i="22"/>
  <c r="Q12" i="22"/>
  <c r="Q355" i="22"/>
  <c r="Q27" i="22"/>
  <c r="Q150" i="22"/>
  <c r="Q110" i="22"/>
  <c r="Q220" i="22"/>
  <c r="Q256" i="22"/>
  <c r="Q300" i="22"/>
  <c r="Q222" i="22"/>
  <c r="Q127" i="22"/>
  <c r="Q376" i="22"/>
  <c r="Q371" i="22"/>
  <c r="Q11" i="22"/>
  <c r="Q275" i="22"/>
  <c r="Q16" i="22"/>
  <c r="Q398" i="22"/>
  <c r="Q169" i="22"/>
  <c r="Q160" i="22"/>
  <c r="Q217" i="22"/>
  <c r="Q123" i="22"/>
  <c r="Q289" i="22"/>
  <c r="Q387" i="22"/>
  <c r="Q130" i="22"/>
  <c r="Q176" i="22"/>
  <c r="Q139" i="22"/>
  <c r="Q177" i="22"/>
  <c r="Q257" i="22"/>
  <c r="Q151" i="22"/>
  <c r="Q267" i="22"/>
  <c r="Q231" i="22"/>
  <c r="Q211" i="22"/>
  <c r="Q136" i="22"/>
  <c r="Q260" i="22"/>
  <c r="Q143" i="22"/>
  <c r="Q259" i="22"/>
  <c r="Q321" i="22"/>
  <c r="Q332" i="22"/>
  <c r="Q128" i="22"/>
  <c r="Q294" i="22"/>
  <c r="Q157" i="22"/>
  <c r="Q240" i="22"/>
  <c r="Q391" i="22"/>
  <c r="Q83" i="22"/>
  <c r="Q373" i="22"/>
  <c r="Q24" i="22"/>
  <c r="Q346" i="22"/>
  <c r="Q270" i="22"/>
  <c r="Q258" i="22"/>
  <c r="Q153" i="22"/>
  <c r="Q233" i="22"/>
  <c r="Q322" i="22"/>
  <c r="Q109" i="22"/>
  <c r="Q200" i="22"/>
  <c r="Q319" i="22"/>
  <c r="Q386" i="22"/>
  <c r="Q116" i="22"/>
  <c r="Q87" i="22"/>
  <c r="Q98" i="22"/>
  <c r="Q161" i="22"/>
  <c r="Q407" i="22"/>
  <c r="Q385" i="22"/>
  <c r="Q368" i="22"/>
  <c r="Q251" i="22"/>
  <c r="Q377" i="22"/>
  <c r="Q17" i="22"/>
  <c r="Q188" i="22"/>
  <c r="Q89" i="22"/>
  <c r="Q421" i="22"/>
  <c r="Q395" i="22"/>
  <c r="Q15" i="22"/>
  <c r="Q119" i="22"/>
  <c r="Q325" i="22"/>
  <c r="Q199" i="22"/>
  <c r="Q172" i="22"/>
  <c r="Q271" i="22"/>
  <c r="Q149" i="22"/>
  <c r="Q225" i="22"/>
  <c r="Q255" i="22"/>
  <c r="Q408" i="22"/>
  <c r="Q19" i="22"/>
  <c r="Q273" i="22"/>
  <c r="Q224" i="22"/>
  <c r="Q417" i="22"/>
  <c r="Q129" i="22"/>
  <c r="Q92" i="22"/>
  <c r="Q209" i="22"/>
  <c r="Q238" i="22"/>
  <c r="Q132" i="22"/>
  <c r="Q213" i="22"/>
  <c r="Q400" i="22"/>
  <c r="Q338" i="22"/>
  <c r="Q301" i="22"/>
  <c r="Q281" i="22"/>
  <c r="Q378" i="22"/>
  <c r="Q287" i="22"/>
  <c r="Q229" i="22"/>
  <c r="Q171" i="22"/>
  <c r="Q126" i="22"/>
  <c r="Q114" i="22"/>
  <c r="Q163" i="22"/>
  <c r="Q179" i="22"/>
  <c r="Q223" i="22"/>
  <c r="Q242" i="22"/>
  <c r="Q295" i="22"/>
  <c r="Q384" i="22"/>
  <c r="Q327" i="22"/>
  <c r="Q2" i="22"/>
  <c r="Q394" i="22"/>
  <c r="Q262" i="22"/>
  <c r="Q181" i="22"/>
  <c r="Q245" i="22"/>
  <c r="Q389" i="22"/>
  <c r="Q278" i="22"/>
  <c r="Q261" i="22"/>
  <c r="Q246" i="22"/>
  <c r="Q358" i="22"/>
  <c r="Q248" i="22"/>
  <c r="Q202" i="22"/>
  <c r="Q372" i="22"/>
  <c r="Q145" i="22"/>
  <c r="Q364" i="22"/>
  <c r="Q85" i="22"/>
  <c r="Q374" i="22"/>
  <c r="Q323" i="22"/>
  <c r="Q380" i="22"/>
  <c r="Q354" i="22"/>
  <c r="Q390" i="22"/>
  <c r="Q291" i="22"/>
  <c r="Q25" i="22"/>
  <c r="Q18" i="22"/>
  <c r="Q410" i="22"/>
  <c r="Q266" i="22"/>
  <c r="Q320" i="22"/>
  <c r="Q84" i="22"/>
  <c r="Q318" i="22"/>
  <c r="Q283" i="22"/>
  <c r="Q247" i="22"/>
  <c r="Q90" i="22"/>
  <c r="Q152" i="22"/>
  <c r="Q148" i="22"/>
  <c r="Q286" i="22"/>
  <c r="Q235" i="22"/>
  <c r="Q363" i="22"/>
  <c r="Q347" i="22"/>
  <c r="Q342" i="22"/>
  <c r="Q329" i="22"/>
  <c r="Q317" i="22"/>
  <c r="Q140" i="22"/>
  <c r="Q14" i="22"/>
  <c r="Q95" i="22"/>
  <c r="Q254" i="22"/>
  <c r="Q135" i="22"/>
  <c r="Q396" i="22"/>
  <c r="Q331" i="22"/>
  <c r="Q388" i="22"/>
  <c r="Q107" i="22"/>
  <c r="Q142" i="22"/>
  <c r="Q345" i="22"/>
  <c r="Q409" i="22"/>
  <c r="Q237" i="22"/>
  <c r="Q112" i="22"/>
  <c r="Q33" i="22"/>
  <c r="Q352" i="22"/>
  <c r="Q23" i="22"/>
  <c r="Q210" i="22"/>
  <c r="Q252" i="22"/>
  <c r="Q232" i="22"/>
  <c r="Q293" i="22"/>
  <c r="Q304" i="22"/>
  <c r="Q100" i="22"/>
  <c r="Q243" i="22"/>
  <c r="Q330" i="22"/>
  <c r="Q118" i="22"/>
  <c r="Q137" i="22"/>
  <c r="Q370" i="22"/>
  <c r="Q249" i="22"/>
  <c r="Q182" i="22"/>
  <c r="Q250" i="22"/>
  <c r="Q416" i="22"/>
  <c r="Q120" i="22"/>
  <c r="Q13" i="22"/>
  <c r="Q268" i="22"/>
  <c r="Q178" i="22"/>
  <c r="Q196" i="22"/>
  <c r="Q147" i="22"/>
  <c r="Q303" i="22"/>
  <c r="Q203" i="22"/>
  <c r="Q366" i="22"/>
  <c r="Q326" i="22"/>
  <c r="Q402" i="22"/>
  <c r="Q133" i="22"/>
  <c r="Q357" i="22"/>
  <c r="Q86" i="22"/>
  <c r="Q216" i="22"/>
  <c r="Q94" i="22"/>
  <c r="Q279" i="22"/>
  <c r="Q397" i="22"/>
  <c r="Q93" i="22"/>
  <c r="Q292" i="22"/>
  <c r="Q26" i="22"/>
  <c r="Q418" i="22"/>
  <c r="Q170" i="22"/>
  <c r="Q230" i="22"/>
  <c r="Q82" i="22"/>
  <c r="Q405" i="22"/>
  <c r="Q253" i="22"/>
  <c r="Q99" i="22"/>
  <c r="Q208" i="22"/>
  <c r="Q173" i="22"/>
  <c r="Q214" i="22"/>
  <c r="Q156" i="22"/>
  <c r="Q206" i="22"/>
  <c r="Q138" i="22"/>
  <c r="Q269" i="22"/>
  <c r="Q144" i="22"/>
  <c r="Q106" i="22"/>
  <c r="Q158" i="22"/>
  <c r="Q227" i="22"/>
  <c r="Q226" i="22"/>
  <c r="Q221" i="22"/>
  <c r="Q263" i="22"/>
  <c r="Q174" i="22"/>
  <c r="Q239" i="22"/>
  <c r="Q113" i="22"/>
  <c r="Q302" i="22"/>
  <c r="Q115" i="22"/>
  <c r="Q285" i="22"/>
  <c r="Q367" i="22"/>
  <c r="Q296" i="22"/>
  <c r="Q401" i="22"/>
  <c r="Q141" i="22"/>
  <c r="Q277" i="22"/>
  <c r="Q381" i="22"/>
  <c r="Q175" i="22"/>
  <c r="Q218" i="22"/>
  <c r="Q403" i="22"/>
  <c r="Q212" i="22"/>
  <c r="Q344" i="22"/>
  <c r="Q284" i="22"/>
  <c r="Q36" i="22"/>
  <c r="Q383" i="22"/>
  <c r="Q276" i="22"/>
  <c r="Q155" i="22"/>
  <c r="Q379" i="22"/>
  <c r="Q234" i="22"/>
  <c r="Q190" i="22"/>
  <c r="Q399" i="22"/>
  <c r="Q21" i="22"/>
  <c r="Q197" i="22"/>
  <c r="Q215" i="22"/>
  <c r="Q324" i="22"/>
  <c r="Q22" i="22"/>
  <c r="Q228" i="22"/>
  <c r="Q406" i="22"/>
  <c r="Q375" i="22"/>
  <c r="Q96" i="22"/>
  <c r="Q236" i="22"/>
  <c r="Q134" i="22"/>
  <c r="Q219" i="22"/>
  <c r="Q274" i="22"/>
  <c r="Q419" i="22"/>
  <c r="Q91" i="22"/>
  <c r="Q63" i="22"/>
  <c r="Q35" i="22"/>
  <c r="Q404" i="22"/>
  <c r="Q272" i="22"/>
  <c r="Q117" i="22"/>
  <c r="Q264" i="22"/>
  <c r="Q382" i="22"/>
  <c r="Q201" i="22"/>
  <c r="Q207" i="22"/>
  <c r="Q198" i="22"/>
  <c r="Q88" i="22"/>
  <c r="Q189" i="22"/>
  <c r="Q162" i="22"/>
  <c r="Q125" i="22"/>
  <c r="Q180" i="22"/>
  <c r="Q298" i="22"/>
  <c r="Q265" i="22"/>
  <c r="Q328" i="22"/>
  <c r="Q297" i="22"/>
  <c r="Q288" i="22"/>
  <c r="Q34" i="22"/>
  <c r="Q244" i="22"/>
  <c r="Q146" i="22"/>
  <c r="Q108" i="22"/>
  <c r="Q422" i="22"/>
  <c r="Q121" i="22"/>
  <c r="Q124" i="22"/>
  <c r="Q159" i="22"/>
  <c r="Q122" i="22"/>
  <c r="Q356" i="22"/>
  <c r="Q280" i="22"/>
  <c r="Q37" i="22"/>
  <c r="Q290" i="22"/>
  <c r="Q20" i="22"/>
  <c r="Q97" i="22"/>
  <c r="Q111" i="22"/>
  <c r="Q131" i="22"/>
  <c r="Q241" i="22"/>
  <c r="Q204" i="22"/>
  <c r="AY26" i="2" l="1"/>
  <c r="AB18" i="2"/>
  <c r="AA18" i="2" s="1"/>
  <c r="Z18" i="2" s="1"/>
  <c r="Y18" i="2" s="1"/>
  <c r="X18" i="2" s="1"/>
  <c r="W18" i="2" s="1"/>
  <c r="AW18" i="2"/>
  <c r="AB40" i="2"/>
  <c r="AA40" i="2" s="1"/>
  <c r="Z40" i="2" s="1"/>
  <c r="Y40" i="2" s="1"/>
  <c r="X40" i="2" s="1"/>
  <c r="W40" i="2" s="1"/>
  <c r="AW40" i="2"/>
  <c r="AB43" i="2"/>
  <c r="AA43" i="2" s="1"/>
  <c r="Z43" i="2" s="1"/>
  <c r="Y43" i="2" s="1"/>
  <c r="X43" i="2" s="1"/>
  <c r="W43" i="2" s="1"/>
  <c r="AW43" i="2"/>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BA26" i="2"/>
  <c r="AB26" i="2"/>
  <c r="AA26" i="2" s="1"/>
  <c r="Z26" i="2" s="1"/>
  <c r="Y26" i="2" s="1"/>
  <c r="X26" i="2" s="1"/>
  <c r="W26" i="2" s="1"/>
  <c r="AW26" i="2"/>
  <c r="AZ26" i="2" s="1"/>
  <c r="AB19" i="2"/>
  <c r="AA19" i="2" s="1"/>
  <c r="Z19" i="2" s="1"/>
  <c r="Y19" i="2" s="1"/>
  <c r="X19" i="2" s="1"/>
  <c r="W19" i="2" s="1"/>
  <c r="AW19" i="2"/>
  <c r="AB48" i="2"/>
  <c r="AA48" i="2" s="1"/>
  <c r="Z48" i="2" s="1"/>
  <c r="Y48" i="2" s="1"/>
  <c r="X48" i="2" s="1"/>
  <c r="W48" i="2" s="1"/>
  <c r="AW48" i="2"/>
  <c r="AZ48" i="2" s="1"/>
  <c r="AB17" i="2"/>
  <c r="AA17" i="2" s="1"/>
  <c r="Z17" i="2" s="1"/>
  <c r="Y17" i="2" s="1"/>
  <c r="X17" i="2" s="1"/>
  <c r="W17" i="2" s="1"/>
  <c r="AW17" i="2"/>
  <c r="AZ17" i="2" s="1"/>
  <c r="AB15" i="2"/>
  <c r="AA15" i="2" s="1"/>
  <c r="Z15" i="2" s="1"/>
  <c r="Y15" i="2" s="1"/>
  <c r="X15" i="2" s="1"/>
  <c r="W15" i="2" s="1"/>
  <c r="AW15" i="2"/>
  <c r="AZ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AB27" i="2"/>
  <c r="AA27" i="2" s="1"/>
  <c r="Z27" i="2" s="1"/>
  <c r="Y27" i="2" s="1"/>
  <c r="X27" i="2" s="1"/>
  <c r="W27" i="2" s="1"/>
  <c r="AW27" i="2"/>
  <c r="AZ27" i="2" s="1"/>
  <c r="AB23" i="2"/>
  <c r="AA23" i="2" s="1"/>
  <c r="Z23" i="2" s="1"/>
  <c r="Y23" i="2" s="1"/>
  <c r="X23" i="2" s="1"/>
  <c r="W23" i="2" s="1"/>
  <c r="AW23" i="2"/>
  <c r="AB55" i="2"/>
  <c r="AA55" i="2" s="1"/>
  <c r="Z55" i="2" s="1"/>
  <c r="Y55" i="2" s="1"/>
  <c r="X55" i="2" s="1"/>
  <c r="W55" i="2" s="1"/>
  <c r="AW55" i="2"/>
  <c r="AB44" i="2"/>
  <c r="AA44" i="2" s="1"/>
  <c r="Z44" i="2" s="1"/>
  <c r="Y44" i="2" s="1"/>
  <c r="X44" i="2" s="1"/>
  <c r="W44" i="2" s="1"/>
  <c r="AW44" i="2"/>
  <c r="AB45" i="2"/>
  <c r="AA45" i="2" s="1"/>
  <c r="Z45" i="2" s="1"/>
  <c r="Y45" i="2" s="1"/>
  <c r="X45" i="2" s="1"/>
  <c r="W45" i="2" s="1"/>
  <c r="AW45" i="2"/>
  <c r="AZ45" i="2" s="1"/>
  <c r="AB31" i="2"/>
  <c r="AA31" i="2" s="1"/>
  <c r="Z31" i="2" s="1"/>
  <c r="Y31" i="2" s="1"/>
  <c r="X31" i="2" s="1"/>
  <c r="W31" i="2" s="1"/>
  <c r="I65" i="1"/>
  <c r="J100" i="2"/>
  <c r="AH95" i="2"/>
  <c r="AD95" i="2" s="1"/>
  <c r="J99" i="2"/>
  <c r="J98" i="2"/>
  <c r="J94" i="2"/>
  <c r="J95" i="2"/>
  <c r="J96" i="2"/>
  <c r="AH92" i="2"/>
  <c r="AD92" i="2" s="1"/>
  <c r="J97" i="2"/>
  <c r="AY41" i="2"/>
  <c r="T77" i="2"/>
  <c r="AZ19" i="2"/>
  <c r="AY17" i="2"/>
  <c r="AZ23" i="2"/>
  <c r="AZ20" i="2"/>
  <c r="AY27" i="2"/>
  <c r="H19" i="2"/>
  <c r="BE62" i="2"/>
  <c r="BE74" i="2"/>
  <c r="S19" i="2" a="1"/>
  <c r="S85" i="2"/>
  <c r="T85" i="2" s="1"/>
  <c r="AZ18" i="2"/>
  <c r="H5" i="2"/>
  <c r="BC5" i="2"/>
  <c r="BE5" i="2" s="1"/>
  <c r="BC10" i="2"/>
  <c r="BE10" i="2" s="1"/>
  <c r="H17" i="2"/>
  <c r="BC17" i="2"/>
  <c r="BE17" i="2" s="1"/>
  <c r="BA14" i="2"/>
  <c r="BA41" i="2"/>
  <c r="AZ55" i="2"/>
  <c r="BA55" i="2"/>
  <c r="AB35" i="2"/>
  <c r="AA35" i="2" s="1"/>
  <c r="Z35" i="2" s="1"/>
  <c r="Y35" i="2" s="1"/>
  <c r="X35" i="2" s="1"/>
  <c r="W35" i="2" s="1"/>
  <c r="BC12" i="2"/>
  <c r="BE12" i="2" s="1"/>
  <c r="BC14" i="2"/>
  <c r="BE14" i="2" s="1"/>
  <c r="BA23" i="2"/>
  <c r="AY45" i="2"/>
  <c r="AB85" i="2"/>
  <c r="AA85" i="2" s="1"/>
  <c r="Z85" i="2" s="1"/>
  <c r="Y85" i="2" s="1"/>
  <c r="X85" i="2" s="1"/>
  <c r="W85" i="2" s="1"/>
  <c r="H11" i="2"/>
  <c r="BC11" i="2"/>
  <c r="BE11" i="2" s="1"/>
  <c r="H16" i="2"/>
  <c r="BC16" i="2"/>
  <c r="BE16" i="2" s="1"/>
  <c r="BA15" i="2"/>
  <c r="BA25" i="2"/>
  <c r="BA48" i="2"/>
  <c r="S20" i="2" a="1"/>
  <c r="AZ54" i="2"/>
  <c r="BA54" i="2"/>
  <c r="AY15" i="2"/>
  <c r="AZ49" i="2"/>
  <c r="BA49" i="2"/>
  <c r="H3" i="2"/>
  <c r="R3" i="2" s="1"/>
  <c r="K3" i="2" s="1"/>
  <c r="M3" i="2" s="1"/>
  <c r="BC3" i="2"/>
  <c r="BE3" i="2" s="1"/>
  <c r="H4" i="2"/>
  <c r="R4" i="2" s="1"/>
  <c r="K4" i="2" s="1"/>
  <c r="BC4" i="2"/>
  <c r="BE4" i="2" s="1"/>
  <c r="BA21" i="2"/>
  <c r="BA19" i="2"/>
  <c r="BA27" i="2"/>
  <c r="BA47" i="2"/>
  <c r="AY16" i="2"/>
  <c r="AZ44" i="2"/>
  <c r="BA44" i="2"/>
  <c r="AY39" i="2"/>
  <c r="AZ43" i="2"/>
  <c r="BA43" i="2"/>
  <c r="AB4" i="2"/>
  <c r="AA4" i="2" s="1"/>
  <c r="Z4" i="2" s="1"/>
  <c r="Y4" i="2" s="1"/>
  <c r="X4" i="2" s="1"/>
  <c r="W4" i="2" s="1"/>
  <c r="H7" i="2"/>
  <c r="BC7" i="2"/>
  <c r="BE7" i="2" s="1"/>
  <c r="H9" i="2"/>
  <c r="BC9" i="2"/>
  <c r="BE9" i="2" s="1"/>
  <c r="BC25" i="2"/>
  <c r="BE25" i="2" s="1"/>
  <c r="BA20" i="2"/>
  <c r="BA18" i="2"/>
  <c r="S23" i="2" a="1"/>
  <c r="S23" i="2" s="1"/>
  <c r="T23" i="2" s="1"/>
  <c r="R23" i="2" s="1"/>
  <c r="K23" i="2" s="1"/>
  <c r="AY25" i="2"/>
  <c r="AY47" i="2"/>
  <c r="AY48" i="2"/>
  <c r="AZ92" i="2"/>
  <c r="BC8" i="2"/>
  <c r="BE8" i="2" s="1"/>
  <c r="BC24" i="2"/>
  <c r="BE24" i="2" s="1"/>
  <c r="BC20" i="2"/>
  <c r="BE20" i="2" s="1"/>
  <c r="BA17" i="2"/>
  <c r="BA39" i="2"/>
  <c r="BA45" i="2"/>
  <c r="H6" i="2"/>
  <c r="BC6" i="2"/>
  <c r="BE6" i="2" s="1"/>
  <c r="BC22" i="2"/>
  <c r="BE22" i="2" s="1"/>
  <c r="H18" i="2"/>
  <c r="BC18" i="2"/>
  <c r="BE18" i="2" s="1"/>
  <c r="AZ21" i="2"/>
  <c r="AY14" i="2"/>
  <c r="AZ40" i="2"/>
  <c r="BA40" i="2"/>
  <c r="BC13" i="2"/>
  <c r="BE13" i="2" s="1"/>
  <c r="BC2" i="2"/>
  <c r="BE2" i="2" s="1"/>
  <c r="BA16" i="2"/>
  <c r="H2" i="2"/>
  <c r="S18" i="2"/>
  <c r="T18" i="2" s="1"/>
  <c r="R18" i="2" s="1"/>
  <c r="K18" i="2" s="1"/>
  <c r="S92" i="2"/>
  <c r="T92" i="2" s="1"/>
  <c r="S31" i="2"/>
  <c r="T31" i="2" s="1"/>
  <c r="R31" i="2" s="1"/>
  <c r="K31" i="2" s="1"/>
  <c r="S9" i="2"/>
  <c r="T9" i="2" s="1"/>
  <c r="S42" i="2"/>
  <c r="S10" i="2"/>
  <c r="T10" i="2" s="1"/>
  <c r="S24" i="2"/>
  <c r="T24" i="2" s="1"/>
  <c r="R24" i="2" s="1"/>
  <c r="K24" i="2" s="1"/>
  <c r="S54" i="2"/>
  <c r="T54" i="2" s="1"/>
  <c r="R54" i="2" s="1"/>
  <c r="K54" i="2" s="1"/>
  <c r="S34" i="2"/>
  <c r="T34" i="2" s="1"/>
  <c r="R34" i="2" s="1"/>
  <c r="K34" i="2" s="1"/>
  <c r="S22" i="2"/>
  <c r="T22" i="2" s="1"/>
  <c r="R22" i="2" s="1"/>
  <c r="K22" i="2" s="1"/>
  <c r="S43" i="2"/>
  <c r="T43" i="2" s="1"/>
  <c r="R43" i="2" s="1"/>
  <c r="K43" i="2" s="1"/>
  <c r="S19" i="2"/>
  <c r="T19" i="2" s="1"/>
  <c r="R19" i="2" s="1"/>
  <c r="K19" i="2" s="1"/>
  <c r="S46" i="2"/>
  <c r="T46" i="2" s="1"/>
  <c r="R46" i="2" s="1"/>
  <c r="K46" i="2" s="1"/>
  <c r="S6" i="2"/>
  <c r="T6" i="2" s="1"/>
  <c r="S55" i="2"/>
  <c r="T55" i="2" s="1"/>
  <c r="R55" i="2" s="1"/>
  <c r="K55" i="2" s="1"/>
  <c r="S49" i="2"/>
  <c r="T49" i="2" s="1"/>
  <c r="R49" i="2" s="1"/>
  <c r="K49" i="2" s="1"/>
  <c r="S8" i="2"/>
  <c r="T8" i="2" s="1"/>
  <c r="R8" i="2" s="1"/>
  <c r="K8" i="2" s="1"/>
  <c r="S66" i="22" s="1"/>
  <c r="Q66" i="22" s="1"/>
  <c r="S40" i="2"/>
  <c r="T40" i="2" s="1"/>
  <c r="R40" i="2" s="1"/>
  <c r="K40" i="2" s="1"/>
  <c r="S30" i="2"/>
  <c r="T30" i="2" s="1"/>
  <c r="R30" i="2" s="1"/>
  <c r="K30" i="2" s="1"/>
  <c r="S20" i="2"/>
  <c r="T20" i="2" s="1"/>
  <c r="S32" i="2"/>
  <c r="T32" i="2" s="1"/>
  <c r="R32" i="2" s="1"/>
  <c r="K32" i="2" s="1"/>
  <c r="S44" i="2"/>
  <c r="T44" i="2" s="1"/>
  <c r="R44" i="2" s="1"/>
  <c r="K44" i="2" s="1"/>
  <c r="S21" i="2"/>
  <c r="T21" i="2" s="1"/>
  <c r="R21" i="2" s="1"/>
  <c r="K21" i="2" s="1"/>
  <c r="S7" i="2"/>
  <c r="T7" i="2" s="1"/>
  <c r="S56" i="2"/>
  <c r="T56" i="2" s="1"/>
  <c r="R56" i="2" s="1"/>
  <c r="K56" i="2" s="1"/>
  <c r="H25" i="2"/>
  <c r="R25" i="2" s="1"/>
  <c r="K25" i="2" s="1"/>
  <c r="AL25" i="2" s="1"/>
  <c r="H10" i="2"/>
  <c r="S82" i="2"/>
  <c r="T82" i="2" s="1"/>
  <c r="S68" i="2"/>
  <c r="BE68" i="2" s="1"/>
  <c r="S88" i="2"/>
  <c r="T88" i="2" s="1"/>
  <c r="R88" i="2" s="1"/>
  <c r="K88" i="2" s="1"/>
  <c r="S80" i="2"/>
  <c r="T80" i="2" s="1"/>
  <c r="R80" i="2" s="1"/>
  <c r="K80" i="2" s="1"/>
  <c r="S95" i="2"/>
  <c r="T95" i="2" s="1"/>
  <c r="R95" i="2" s="1"/>
  <c r="K95" i="2" s="1"/>
  <c r="S2" i="2"/>
  <c r="S83" i="2"/>
  <c r="T83" i="2" s="1"/>
  <c r="R83" i="2" s="1"/>
  <c r="K83" i="2" s="1"/>
  <c r="S8" i="22" s="1"/>
  <c r="S90" i="2"/>
  <c r="T90" i="2" s="1"/>
  <c r="R90" i="2" s="1"/>
  <c r="K90" i="2" s="1"/>
  <c r="S58" i="2"/>
  <c r="T58" i="2" s="1"/>
  <c r="S71" i="2"/>
  <c r="S70" i="2"/>
  <c r="T70" i="2" s="1"/>
  <c r="S84" i="2"/>
  <c r="T84" i="2" s="1"/>
  <c r="R84" i="2" s="1"/>
  <c r="K84" i="2" s="1"/>
  <c r="S94" i="2"/>
  <c r="T94" i="2" s="1"/>
  <c r="R94" i="2" s="1"/>
  <c r="K94" i="2" s="1"/>
  <c r="AL92" i="2" s="1"/>
  <c r="T2" i="2"/>
  <c r="K16" i="3"/>
  <c r="I60" i="1"/>
  <c r="K19" i="3"/>
  <c r="I63" i="1"/>
  <c r="K20" i="3"/>
  <c r="I64" i="1"/>
  <c r="H12" i="2"/>
  <c r="R12" i="2" s="1"/>
  <c r="K12" i="2" s="1"/>
  <c r="S68" i="22" s="1"/>
  <c r="Q68" i="22" s="1"/>
  <c r="H20" i="2"/>
  <c r="H13" i="2"/>
  <c r="R13" i="2" s="1"/>
  <c r="K13" i="2" s="1"/>
  <c r="K21" i="3"/>
  <c r="K22" i="3"/>
  <c r="AX49" i="2"/>
  <c r="AY49" i="2" s="1"/>
  <c r="AX88" i="2"/>
  <c r="T42" i="2"/>
  <c r="R42" i="2" s="1"/>
  <c r="K42" i="2" s="1"/>
  <c r="T68" i="2"/>
  <c r="R68" i="2" s="1"/>
  <c r="K68" i="2" s="1"/>
  <c r="R26" i="2"/>
  <c r="K26" i="2" s="1"/>
  <c r="R14" i="2"/>
  <c r="K14" i="2" s="1"/>
  <c r="CJ2" i="4"/>
  <c r="CH2" i="4" s="1"/>
  <c r="R50" i="2"/>
  <c r="K50" i="2" s="1"/>
  <c r="CM2" i="4"/>
  <c r="H100" i="2"/>
  <c r="R100" i="2" s="1"/>
  <c r="K100" i="2" s="1"/>
  <c r="H92" i="2"/>
  <c r="C2" i="47"/>
  <c r="C2" i="46"/>
  <c r="R38" i="2"/>
  <c r="K38" i="2" s="1"/>
  <c r="G62" i="1"/>
  <c r="G61" i="1"/>
  <c r="R36" i="2"/>
  <c r="K36" i="2" s="1"/>
  <c r="R74" i="2"/>
  <c r="K74" i="2" s="1"/>
  <c r="R86" i="2"/>
  <c r="K86" i="2" s="1"/>
  <c r="R59" i="2"/>
  <c r="K59" i="2" s="1"/>
  <c r="R48" i="2"/>
  <c r="K48" i="2" s="1"/>
  <c r="R99" i="2"/>
  <c r="K99" i="2" s="1"/>
  <c r="R51" i="2"/>
  <c r="K51" i="2" s="1"/>
  <c r="R62" i="2"/>
  <c r="K62" i="2" s="1"/>
  <c r="R65" i="2"/>
  <c r="K65" i="2" s="1"/>
  <c r="R27" i="2"/>
  <c r="K27" i="2" s="1"/>
  <c r="R16" i="2"/>
  <c r="K16" i="2" s="1"/>
  <c r="R39" i="2"/>
  <c r="K39" i="2" s="1"/>
  <c r="AX95" i="2"/>
  <c r="AX40" i="2"/>
  <c r="AY40" i="2" s="1"/>
  <c r="R15" i="2"/>
  <c r="K15" i="2" s="1"/>
  <c r="BT5" i="4"/>
  <c r="BS5" i="4"/>
  <c r="BT4" i="4"/>
  <c r="BS4" i="4"/>
  <c r="R87" i="2"/>
  <c r="K87" i="2" s="1"/>
  <c r="R35" i="2"/>
  <c r="K35" i="2" s="1"/>
  <c r="R11" i="2"/>
  <c r="K11" i="2" s="1"/>
  <c r="R85" i="2"/>
  <c r="K85" i="2" s="1"/>
  <c r="Q61" i="1" s="1"/>
  <c r="R33" i="2"/>
  <c r="K33" i="2" s="1"/>
  <c r="AX2" i="2"/>
  <c r="BT2" i="4"/>
  <c r="BS2" i="4"/>
  <c r="AX19" i="2"/>
  <c r="AY19" i="2" s="1"/>
  <c r="AX6" i="2"/>
  <c r="AX56" i="2"/>
  <c r="R5" i="2"/>
  <c r="K5" i="2" s="1"/>
  <c r="R77" i="2"/>
  <c r="K77" i="2" s="1"/>
  <c r="AX58" i="2"/>
  <c r="R47" i="2"/>
  <c r="K47" i="2" s="1"/>
  <c r="R93" i="2"/>
  <c r="K93" i="2" s="1"/>
  <c r="AX21" i="2"/>
  <c r="AY21" i="2" s="1"/>
  <c r="AX31" i="2"/>
  <c r="R28" i="2"/>
  <c r="K28" i="2" s="1"/>
  <c r="AX68" i="2"/>
  <c r="R17" i="2"/>
  <c r="K17" i="2" s="1"/>
  <c r="R89" i="2"/>
  <c r="K89" i="2" s="1"/>
  <c r="AX70" i="2"/>
  <c r="AX7" i="2"/>
  <c r="AX18" i="2"/>
  <c r="AY18" i="2" s="1"/>
  <c r="AX8" i="2"/>
  <c r="AX43" i="2"/>
  <c r="AY43" i="2" s="1"/>
  <c r="R29" i="2"/>
  <c r="K29" i="2" s="1"/>
  <c r="AX82" i="2"/>
  <c r="R97" i="2"/>
  <c r="K97" i="2" s="1"/>
  <c r="AX84" i="2"/>
  <c r="AX90" i="2"/>
  <c r="AX30" i="2"/>
  <c r="L2" i="4"/>
  <c r="AX71" i="2"/>
  <c r="AX55" i="2"/>
  <c r="AY55" i="2" s="1"/>
  <c r="R52" i="2"/>
  <c r="K52" i="2" s="1"/>
  <c r="AX92" i="2"/>
  <c r="AY92" i="2" s="1"/>
  <c r="R41" i="2"/>
  <c r="K41" i="2" s="1"/>
  <c r="AX94" i="2"/>
  <c r="AX10" i="2"/>
  <c r="AX22" i="2"/>
  <c r="AX83" i="2"/>
  <c r="AX9" i="2"/>
  <c r="AX42" i="2"/>
  <c r="R96" i="2"/>
  <c r="K96" i="2" s="1"/>
  <c r="AX24" i="2"/>
  <c r="R37" i="2"/>
  <c r="K37" i="2" s="1"/>
  <c r="AX32" i="2"/>
  <c r="R53" i="2"/>
  <c r="K53" i="2" s="1"/>
  <c r="CL5" i="4"/>
  <c r="CM5" i="4"/>
  <c r="AX34" i="2"/>
  <c r="AX80" i="2"/>
  <c r="AX23" i="2"/>
  <c r="AY23" i="2" s="1"/>
  <c r="AX20" i="2"/>
  <c r="AY20" i="2" s="1"/>
  <c r="AX54" i="2"/>
  <c r="AY54" i="2" s="1"/>
  <c r="CL4" i="4"/>
  <c r="CM4" i="4"/>
  <c r="R45" i="2"/>
  <c r="K45" i="2" s="1"/>
  <c r="AX46" i="2"/>
  <c r="R91" i="2"/>
  <c r="K91" i="2" s="1"/>
  <c r="R98" i="2"/>
  <c r="K98" i="2" s="1"/>
  <c r="AX44" i="2"/>
  <c r="AY44" i="2" s="1"/>
  <c r="G29" i="5"/>
  <c r="F29" i="5" s="1"/>
  <c r="G27" i="5"/>
  <c r="F27" i="5" s="1"/>
  <c r="Q8" i="22"/>
  <c r="AW46" i="2" l="1"/>
  <c r="AY46" i="2"/>
  <c r="AW31" i="2"/>
  <c r="AK8" i="22"/>
  <c r="AJ8" i="22"/>
  <c r="AI8" i="22"/>
  <c r="AH94" i="2"/>
  <c r="AD94" i="2" s="1"/>
  <c r="J91" i="2"/>
  <c r="J92" i="2"/>
  <c r="BA92" i="2" s="1"/>
  <c r="J93" i="2"/>
  <c r="AJ66" i="22"/>
  <c r="AI66" i="22"/>
  <c r="AK66" i="22"/>
  <c r="N26" i="2"/>
  <c r="O26" i="2"/>
  <c r="R9" i="2"/>
  <c r="K9" i="2" s="1"/>
  <c r="S72" i="22" s="1"/>
  <c r="Q72" i="22" s="1"/>
  <c r="Q4" i="1"/>
  <c r="S339" i="22"/>
  <c r="Q339" i="22" s="1"/>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K10" i="2" s="1"/>
  <c r="S74" i="22"/>
  <c r="Q74" i="22" s="1"/>
  <c r="S73" i="22"/>
  <c r="Q73" i="22" s="1"/>
  <c r="R6" i="2"/>
  <c r="K6" i="2" s="1"/>
  <c r="S42" i="22" s="1"/>
  <c r="Q42" i="22" s="1"/>
  <c r="S75" i="22"/>
  <c r="Q75" i="22" s="1"/>
  <c r="R7" i="2"/>
  <c r="K7" i="2" s="1"/>
  <c r="S67" i="22" s="1"/>
  <c r="Q67" i="22" s="1"/>
  <c r="T71" i="2"/>
  <c r="R71" i="2" s="1"/>
  <c r="K71" i="2" s="1"/>
  <c r="M71" i="2" s="1"/>
  <c r="BE71" i="2"/>
  <c r="AY4" i="2"/>
  <c r="AZ4" i="2"/>
  <c r="BA4" i="2"/>
  <c r="S69" i="22"/>
  <c r="Q69" i="22" s="1"/>
  <c r="S76" i="22"/>
  <c r="Q76" i="22" s="1"/>
  <c r="S71" i="22"/>
  <c r="Q71" i="22" s="1"/>
  <c r="S70" i="22"/>
  <c r="Q70" i="22" s="1"/>
  <c r="AY85" i="2"/>
  <c r="AZ85" i="2"/>
  <c r="BA85" i="2"/>
  <c r="AY35" i="2"/>
  <c r="BA35" i="2"/>
  <c r="AZ35" i="2"/>
  <c r="R2" i="2"/>
  <c r="K2" i="2" s="1"/>
  <c r="M2" i="2" s="1"/>
  <c r="R20" i="2"/>
  <c r="K20" i="2" s="1"/>
  <c r="K17" i="3"/>
  <c r="P9" i="22" s="1"/>
  <c r="I61" i="1"/>
  <c r="K18" i="3"/>
  <c r="I62" i="1"/>
  <c r="CI2" i="4"/>
  <c r="M5" i="2"/>
  <c r="S186" i="22"/>
  <c r="Q186" i="22" s="1"/>
  <c r="S308" i="22"/>
  <c r="Q308" i="22" s="1"/>
  <c r="S57" i="22"/>
  <c r="Q57" i="22" s="1"/>
  <c r="O94" i="2"/>
  <c r="M94" i="2"/>
  <c r="O22" i="2"/>
  <c r="M22" i="2"/>
  <c r="O13" i="2"/>
  <c r="M13" i="2"/>
  <c r="O32" i="2"/>
  <c r="M32" i="2"/>
  <c r="O90" i="2"/>
  <c r="M90" i="2"/>
  <c r="O28" i="2"/>
  <c r="M28" i="2"/>
  <c r="O77" i="2"/>
  <c r="M77" i="2"/>
  <c r="O87" i="2"/>
  <c r="M87" i="2"/>
  <c r="O62" i="2"/>
  <c r="M62" i="2"/>
  <c r="O50" i="2"/>
  <c r="M50" i="2"/>
  <c r="O29" i="2"/>
  <c r="M29" i="2"/>
  <c r="O9" i="2"/>
  <c r="M9" i="2"/>
  <c r="O99" i="2"/>
  <c r="M99" i="2"/>
  <c r="O56" i="2"/>
  <c r="M56" i="2"/>
  <c r="O30" i="2"/>
  <c r="M30" i="2"/>
  <c r="O24" i="2"/>
  <c r="M24" i="2"/>
  <c r="O98" i="2"/>
  <c r="M98" i="2"/>
  <c r="O96" i="2"/>
  <c r="M96" i="2"/>
  <c r="O84" i="2"/>
  <c r="M84" i="2"/>
  <c r="O8" i="2"/>
  <c r="M8" i="2"/>
  <c r="M7" i="2"/>
  <c r="O38" i="2"/>
  <c r="M38" i="2"/>
  <c r="O34" i="2"/>
  <c r="M34" i="2"/>
  <c r="O80" i="2"/>
  <c r="M80" i="2"/>
  <c r="O10" i="2"/>
  <c r="M10" i="2"/>
  <c r="O91" i="2"/>
  <c r="M91" i="2"/>
  <c r="O52" i="2"/>
  <c r="M52" i="2"/>
  <c r="O33" i="2"/>
  <c r="M33" i="2"/>
  <c r="O37" i="2"/>
  <c r="M37" i="2"/>
  <c r="O42" i="2"/>
  <c r="M42" i="2"/>
  <c r="O97" i="2"/>
  <c r="M97" i="2"/>
  <c r="O93" i="2"/>
  <c r="M93" i="2"/>
  <c r="O59" i="2"/>
  <c r="M59" i="2"/>
  <c r="O89" i="2"/>
  <c r="M89" i="2"/>
  <c r="O11" i="2"/>
  <c r="M11" i="2"/>
  <c r="O51" i="2"/>
  <c r="M51" i="2"/>
  <c r="O86" i="2"/>
  <c r="M86" i="2"/>
  <c r="O12" i="2"/>
  <c r="M12" i="2"/>
  <c r="O74" i="2"/>
  <c r="M74" i="2"/>
  <c r="O100" i="2"/>
  <c r="M100" i="2"/>
  <c r="O95" i="2"/>
  <c r="M95" i="2"/>
  <c r="O83" i="2"/>
  <c r="M83" i="2"/>
  <c r="O53" i="2"/>
  <c r="M53" i="2"/>
  <c r="O65" i="2"/>
  <c r="M65" i="2"/>
  <c r="O36" i="2"/>
  <c r="M36" i="2"/>
  <c r="O68" i="2"/>
  <c r="M68" i="2"/>
  <c r="O88" i="2"/>
  <c r="M88" i="2"/>
  <c r="O49" i="2"/>
  <c r="N49" i="2"/>
  <c r="O31" i="2"/>
  <c r="N31" i="2"/>
  <c r="O54" i="2"/>
  <c r="N54" i="2"/>
  <c r="O46" i="2"/>
  <c r="N46" i="2"/>
  <c r="O45" i="2"/>
  <c r="N45" i="2"/>
  <c r="O18" i="2"/>
  <c r="N18" i="2"/>
  <c r="O48" i="2"/>
  <c r="N48" i="2"/>
  <c r="O14" i="2"/>
  <c r="N14" i="2"/>
  <c r="O40" i="2"/>
  <c r="N40" i="2"/>
  <c r="O20" i="2"/>
  <c r="N20" i="2"/>
  <c r="O44" i="2"/>
  <c r="N44" i="2"/>
  <c r="O23" i="2"/>
  <c r="N23" i="2"/>
  <c r="O21" i="2"/>
  <c r="N21" i="2"/>
  <c r="O85" i="2"/>
  <c r="N85" i="2"/>
  <c r="O39" i="2"/>
  <c r="N39" i="2"/>
  <c r="O25" i="2"/>
  <c r="N25" i="2"/>
  <c r="O17" i="2"/>
  <c r="N17" i="2"/>
  <c r="O16" i="2"/>
  <c r="N16" i="2"/>
  <c r="O41" i="2"/>
  <c r="N41" i="2"/>
  <c r="O55" i="2"/>
  <c r="N55" i="2"/>
  <c r="O47" i="2"/>
  <c r="N47" i="2"/>
  <c r="O35" i="2"/>
  <c r="N35" i="2"/>
  <c r="O19" i="2"/>
  <c r="N19" i="2"/>
  <c r="O27" i="2"/>
  <c r="N27" i="2"/>
  <c r="O43" i="2"/>
  <c r="N43" i="2"/>
  <c r="O15" i="2"/>
  <c r="N15" i="2"/>
  <c r="O2" i="2"/>
  <c r="O6" i="2"/>
  <c r="O3" i="2"/>
  <c r="S299" i="22"/>
  <c r="Q299" i="22" s="1"/>
  <c r="S191" i="22"/>
  <c r="Q191" i="22" s="1"/>
  <c r="S164" i="22"/>
  <c r="Q164" i="22" s="1"/>
  <c r="S154" i="22"/>
  <c r="Q154" i="22" s="1"/>
  <c r="S77" i="22"/>
  <c r="Q77" i="22" s="1"/>
  <c r="S420" i="22"/>
  <c r="Q420" i="22" s="1"/>
  <c r="S3" i="22"/>
  <c r="Q3" i="22" s="1"/>
  <c r="S411" i="22"/>
  <c r="Q411" i="22" s="1"/>
  <c r="S312" i="22"/>
  <c r="Q312" i="22" s="1"/>
  <c r="S28" i="22"/>
  <c r="Q28"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7" i="22"/>
  <c r="Q7" i="22" s="1"/>
  <c r="S105" i="22"/>
  <c r="Q105" i="22" s="1"/>
  <c r="S187" i="22"/>
  <c r="Q187" i="22" s="1"/>
  <c r="S309" i="22"/>
  <c r="Q309" i="22" s="1"/>
  <c r="S65" i="22"/>
  <c r="Q65" i="22" s="1"/>
  <c r="S103" i="22"/>
  <c r="Q103" i="22" s="1"/>
  <c r="S340" i="22"/>
  <c r="Q340" i="22" s="1"/>
  <c r="S365" i="22"/>
  <c r="Q365" i="22" s="1"/>
  <c r="S54" i="22"/>
  <c r="Q54" i="22" s="1"/>
  <c r="S183" i="22"/>
  <c r="Q183" i="22" s="1"/>
  <c r="S101" i="22"/>
  <c r="Q101" i="22" s="1"/>
  <c r="S44" i="22"/>
  <c r="Q44" i="22" s="1"/>
  <c r="S348" i="22"/>
  <c r="Q348" i="22" s="1"/>
  <c r="S305" i="22"/>
  <c r="Q305" i="22" s="1"/>
  <c r="S60" i="22"/>
  <c r="Q60" i="22" s="1"/>
  <c r="S350" i="22"/>
  <c r="Q350" i="22" s="1"/>
  <c r="S38" i="22"/>
  <c r="Q38" i="22" s="1"/>
  <c r="S333" i="22"/>
  <c r="Q333" i="22" s="1"/>
  <c r="S104" i="22"/>
  <c r="Q104" i="22" s="1"/>
  <c r="R92" i="2"/>
  <c r="K92" i="2" s="1"/>
  <c r="AL94" i="2" s="1"/>
  <c r="R4" i="4"/>
  <c r="C2" i="45"/>
  <c r="BR4" i="4"/>
  <c r="BQ4" i="4"/>
  <c r="BR5" i="4"/>
  <c r="BQ5" i="4"/>
  <c r="CF2" i="4"/>
  <c r="CG2" i="4"/>
  <c r="CJ4" i="4"/>
  <c r="CK4" i="4"/>
  <c r="CK5" i="4"/>
  <c r="CJ5" i="4"/>
  <c r="J2" i="4"/>
  <c r="BR2" i="4"/>
  <c r="BQ2" i="4"/>
  <c r="AD8" i="22" l="1"/>
  <c r="AE8" i="22"/>
  <c r="AF8" i="22"/>
  <c r="AG8" i="22"/>
  <c r="AZ31" i="2"/>
  <c r="BA31" i="2"/>
  <c r="AY31" i="2"/>
  <c r="BA46" i="2"/>
  <c r="AZ46" i="2"/>
  <c r="AD66" i="22"/>
  <c r="AE66" i="22"/>
  <c r="AF66" i="22"/>
  <c r="AG66" i="22"/>
  <c r="S353" i="22"/>
  <c r="Q353" i="22" s="1"/>
  <c r="O71" i="2"/>
  <c r="AI64" i="22"/>
  <c r="AJ72" i="22"/>
  <c r="AK72" i="22"/>
  <c r="AI72" i="22"/>
  <c r="O7" i="2"/>
  <c r="AJ64" i="22"/>
  <c r="AI315" i="22"/>
  <c r="AJ315" i="22"/>
  <c r="AK315" i="22"/>
  <c r="AJ167" i="22"/>
  <c r="AK167" i="22"/>
  <c r="AI167" i="22"/>
  <c r="AK64" i="22"/>
  <c r="AJ31" i="22"/>
  <c r="AI31" i="22"/>
  <c r="AK31" i="22"/>
  <c r="AI351" i="22"/>
  <c r="AJ351" i="22"/>
  <c r="AK351" i="22"/>
  <c r="AK194" i="22"/>
  <c r="AJ194" i="22"/>
  <c r="AI194" i="22"/>
  <c r="M6" i="2"/>
  <c r="S337" i="22"/>
  <c r="Q337" i="22" s="1"/>
  <c r="S81" i="22"/>
  <c r="Q81" i="22" s="1"/>
  <c r="S195" i="22"/>
  <c r="Q195" i="22" s="1"/>
  <c r="S32" i="22"/>
  <c r="Q32" i="22" s="1"/>
  <c r="S168" i="22"/>
  <c r="Q168" i="22" s="1"/>
  <c r="S316" i="22"/>
  <c r="Q316" i="22" s="1"/>
  <c r="S415" i="22"/>
  <c r="Q415" i="22" s="1"/>
  <c r="AJ6" i="22"/>
  <c r="AI6" i="22"/>
  <c r="AK6" i="22"/>
  <c r="AJ80" i="22"/>
  <c r="AI80" i="22"/>
  <c r="AK80" i="22"/>
  <c r="AI339" i="22"/>
  <c r="AJ339" i="22"/>
  <c r="AK339" i="22"/>
  <c r="AI414" i="22"/>
  <c r="AJ414" i="22"/>
  <c r="AK414" i="22"/>
  <c r="AK75" i="22"/>
  <c r="AJ75" i="22"/>
  <c r="AI75" i="22"/>
  <c r="AK74" i="22"/>
  <c r="AI74" i="22"/>
  <c r="AJ74" i="22"/>
  <c r="AJ70" i="22"/>
  <c r="AI70" i="22"/>
  <c r="AK70" i="22"/>
  <c r="AK73" i="22"/>
  <c r="AJ73" i="22"/>
  <c r="AI73" i="22"/>
  <c r="AJ71" i="22"/>
  <c r="AI71" i="22"/>
  <c r="AK71" i="22"/>
  <c r="AJ76" i="22"/>
  <c r="AI76" i="22"/>
  <c r="AK76" i="22"/>
  <c r="AJ60" i="22"/>
  <c r="AI60" i="22"/>
  <c r="AK60" i="22"/>
  <c r="AI309" i="22"/>
  <c r="AJ309" i="22"/>
  <c r="AK309" i="22"/>
  <c r="AJ56" i="22"/>
  <c r="AI56" i="22"/>
  <c r="AK56" i="22"/>
  <c r="AJ313" i="22"/>
  <c r="AI313" i="22"/>
  <c r="AK313" i="22"/>
  <c r="AJ164" i="22"/>
  <c r="AI164" i="22"/>
  <c r="AK164" i="22"/>
  <c r="AK57" i="22"/>
  <c r="AJ57" i="22"/>
  <c r="AI57" i="22"/>
  <c r="AI305" i="22"/>
  <c r="AJ305" i="22"/>
  <c r="AK305" i="22"/>
  <c r="AJ187" i="22"/>
  <c r="AI187" i="22"/>
  <c r="AK187" i="22"/>
  <c r="AJ307" i="22"/>
  <c r="AI307" i="22"/>
  <c r="AK307" i="22"/>
  <c r="AI39" i="22"/>
  <c r="AJ39" i="22"/>
  <c r="AK39" i="22"/>
  <c r="AI191" i="22"/>
  <c r="AJ191" i="22"/>
  <c r="AK191" i="22"/>
  <c r="AJ308" i="22"/>
  <c r="AK308" i="22"/>
  <c r="AI308" i="22"/>
  <c r="AI348" i="22"/>
  <c r="AJ348" i="22"/>
  <c r="AK348" i="22"/>
  <c r="AJ105" i="22"/>
  <c r="AI105" i="22"/>
  <c r="AK105" i="22"/>
  <c r="AJ193" i="22"/>
  <c r="AI193" i="22"/>
  <c r="AK193" i="22"/>
  <c r="AJ30" i="22"/>
  <c r="AI30" i="22"/>
  <c r="AK30" i="22"/>
  <c r="AJ47" i="22"/>
  <c r="AI47" i="22"/>
  <c r="AK47" i="22"/>
  <c r="AI299" i="22"/>
  <c r="AJ299" i="22"/>
  <c r="AK299" i="22"/>
  <c r="AJ186" i="22"/>
  <c r="AI186" i="22"/>
  <c r="AK186" i="22"/>
  <c r="AJ44" i="22"/>
  <c r="AI44" i="22"/>
  <c r="AK44" i="22"/>
  <c r="AJ7" i="22"/>
  <c r="AI7" i="22"/>
  <c r="AK7" i="22"/>
  <c r="AJ184" i="22"/>
  <c r="AI184" i="22"/>
  <c r="AK184" i="22"/>
  <c r="AI334" i="22"/>
  <c r="AK334" i="22"/>
  <c r="AJ334" i="22"/>
  <c r="AJ41" i="22"/>
  <c r="AI41" i="22"/>
  <c r="AK41" i="22"/>
  <c r="AI336" i="22"/>
  <c r="AK336" i="22"/>
  <c r="AJ336" i="22"/>
  <c r="AJ101" i="22"/>
  <c r="AI101" i="22"/>
  <c r="AK101" i="22"/>
  <c r="AK79" i="22"/>
  <c r="AJ79" i="22"/>
  <c r="AI79" i="22"/>
  <c r="AJ165" i="22"/>
  <c r="AI165" i="22"/>
  <c r="AK165" i="22"/>
  <c r="AK353" i="22"/>
  <c r="AJ183" i="22"/>
  <c r="AI183" i="22"/>
  <c r="AK183" i="22"/>
  <c r="AK413" i="22"/>
  <c r="AI413" i="22"/>
  <c r="AJ413" i="22"/>
  <c r="AI40" i="22"/>
  <c r="AJ40" i="22"/>
  <c r="AK40" i="22"/>
  <c r="AJ102" i="22"/>
  <c r="AI102" i="22"/>
  <c r="AK102" i="22"/>
  <c r="AI28" i="22"/>
  <c r="AJ28" i="22"/>
  <c r="AK28" i="22"/>
  <c r="AJ42" i="22"/>
  <c r="AI42" i="22"/>
  <c r="AK42" i="22"/>
  <c r="AJ54" i="22"/>
  <c r="AI54" i="22"/>
  <c r="AK54" i="22"/>
  <c r="AI349" i="22"/>
  <c r="AJ349" i="22"/>
  <c r="AK349" i="22"/>
  <c r="AI335" i="22"/>
  <c r="AJ335" i="22"/>
  <c r="AK335" i="22"/>
  <c r="AJ55" i="22"/>
  <c r="AI55" i="22"/>
  <c r="AK55" i="22"/>
  <c r="AI312" i="22"/>
  <c r="AJ312" i="22"/>
  <c r="AK312" i="22"/>
  <c r="AI365" i="22"/>
  <c r="AJ365" i="22"/>
  <c r="AK365" i="22"/>
  <c r="AJ185" i="22"/>
  <c r="AI185" i="22"/>
  <c r="AK185" i="22"/>
  <c r="AJ306" i="22"/>
  <c r="AI306" i="22"/>
  <c r="AK306" i="22"/>
  <c r="AJ29" i="22"/>
  <c r="AI29" i="22"/>
  <c r="AK29" i="22"/>
  <c r="AJ411" i="22"/>
  <c r="AI411" i="22"/>
  <c r="AK411" i="22"/>
  <c r="AJ104" i="22"/>
  <c r="AI104" i="22"/>
  <c r="AK104" i="22"/>
  <c r="AI340" i="22"/>
  <c r="AJ340" i="22"/>
  <c r="AK340" i="22"/>
  <c r="AI61" i="22"/>
  <c r="AJ61" i="22"/>
  <c r="AK61" i="22"/>
  <c r="AI192" i="22"/>
  <c r="AK192" i="22"/>
  <c r="AJ192" i="22"/>
  <c r="AJ314" i="22"/>
  <c r="AI314" i="22"/>
  <c r="AK314" i="22"/>
  <c r="AI3" i="22"/>
  <c r="AJ3" i="22"/>
  <c r="AK3" i="22"/>
  <c r="AK45" i="22"/>
  <c r="AJ45" i="22"/>
  <c r="AI45" i="22"/>
  <c r="AI62" i="22"/>
  <c r="AK62" i="22"/>
  <c r="AJ62" i="22"/>
  <c r="AI420" i="22"/>
  <c r="AJ420" i="22"/>
  <c r="AK420" i="22"/>
  <c r="AJ67" i="22"/>
  <c r="AI67" i="22"/>
  <c r="AK67" i="22"/>
  <c r="AI38" i="22"/>
  <c r="AK38" i="22"/>
  <c r="AJ38" i="22"/>
  <c r="AJ103" i="22"/>
  <c r="AI103" i="22"/>
  <c r="AK103" i="22"/>
  <c r="AJ5" i="22"/>
  <c r="AI5" i="22"/>
  <c r="AK5" i="22"/>
  <c r="AJ166" i="22"/>
  <c r="AK166" i="22"/>
  <c r="AI166" i="22"/>
  <c r="AJ46" i="22"/>
  <c r="AI46" i="22"/>
  <c r="AK46" i="22"/>
  <c r="AJ77" i="22"/>
  <c r="AI77" i="22"/>
  <c r="AK77" i="22"/>
  <c r="AI333" i="22"/>
  <c r="AJ333" i="22"/>
  <c r="AK333" i="22"/>
  <c r="AI350" i="22"/>
  <c r="AJ350" i="22"/>
  <c r="AK350" i="22"/>
  <c r="AJ65" i="22"/>
  <c r="AI65" i="22"/>
  <c r="AK65" i="22"/>
  <c r="AI412" i="22"/>
  <c r="AK412" i="22"/>
  <c r="AJ412" i="22"/>
  <c r="AJ78" i="22"/>
  <c r="AI78" i="22"/>
  <c r="AK78" i="22"/>
  <c r="AI4" i="22"/>
  <c r="AJ4" i="22"/>
  <c r="AK4" i="22"/>
  <c r="AJ154" i="22"/>
  <c r="AI154" i="22"/>
  <c r="AK154" i="22"/>
  <c r="S310" i="22"/>
  <c r="Q310" i="22" s="1"/>
  <c r="S51" i="22"/>
  <c r="Q51" i="22" s="1"/>
  <c r="S50" i="22"/>
  <c r="Q50" i="22" s="1"/>
  <c r="S49" i="22"/>
  <c r="Q49" i="22" s="1"/>
  <c r="S48" i="22"/>
  <c r="Q48" i="22" s="1"/>
  <c r="O92" i="2"/>
  <c r="N92" i="2"/>
  <c r="AL313" i="22"/>
  <c r="AM313" i="22"/>
  <c r="AL353" i="22"/>
  <c r="AM35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75" i="22"/>
  <c r="AM275" i="22"/>
  <c r="AL191" i="22"/>
  <c r="AL123" i="22"/>
  <c r="AL28" i="22"/>
  <c r="AM399" i="22"/>
  <c r="AL153" i="22"/>
  <c r="AM381" i="22"/>
  <c r="AM312" i="22"/>
  <c r="AL228" i="22"/>
  <c r="AM161" i="22"/>
  <c r="AL75"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L310" i="22"/>
  <c r="AM390" i="22"/>
  <c r="AL300" i="22"/>
  <c r="AM240" i="22"/>
  <c r="AL87" i="22"/>
  <c r="AM380" i="22"/>
  <c r="AM287" i="22"/>
  <c r="AM203" i="22"/>
  <c r="AL135" i="22"/>
  <c r="AM40" i="22"/>
  <c r="AM411" i="22"/>
  <c r="AM413" i="22"/>
  <c r="AM324" i="22"/>
  <c r="AM264" i="22"/>
  <c r="AM173" i="22"/>
  <c r="AL112" i="22"/>
  <c r="AM5" i="22"/>
  <c r="AL323" i="22"/>
  <c r="AL227" i="22"/>
  <c r="AM160" i="22"/>
  <c r="AL4" i="22"/>
  <c r="AL173" i="22"/>
  <c r="AL287" i="22"/>
  <c r="AM250" i="22"/>
  <c r="AM190" i="22"/>
  <c r="AL97" i="22"/>
  <c r="AL39" i="22"/>
  <c r="AM15" i="22"/>
  <c r="AM388" i="22"/>
  <c r="AL321" i="22"/>
  <c r="AL225" i="22"/>
  <c r="AM158" i="22"/>
  <c r="AL73"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191"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M164" i="22"/>
  <c r="AL78" i="22"/>
  <c r="AM176" i="22"/>
  <c r="AL346" i="22"/>
  <c r="AM290" i="22"/>
  <c r="AL206" i="22"/>
  <c r="AM138" i="22"/>
  <c r="AL19" i="22"/>
  <c r="AL382" i="22"/>
  <c r="AL289" i="22"/>
  <c r="AM229" i="22"/>
  <c r="AL125" i="22"/>
  <c r="AM66" i="22"/>
  <c r="AL324" i="22"/>
  <c r="AL17" i="22"/>
  <c r="AL411"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81" i="22"/>
  <c r="AL385" i="22"/>
  <c r="AL257" i="22"/>
  <c r="AM221" i="22"/>
  <c r="AL92" i="22"/>
  <c r="AM46" i="22"/>
  <c r="AL328" i="22"/>
  <c r="AM292" i="22"/>
  <c r="AL208" i="22"/>
  <c r="AM185" i="22"/>
  <c r="AM140" i="22"/>
  <c r="AL33" i="22"/>
  <c r="AL177" i="22"/>
  <c r="AM373" i="22"/>
  <c r="AM347" i="22"/>
  <c r="AL291" i="22"/>
  <c r="AL255" i="22"/>
  <c r="AL164" i="22"/>
  <c r="AM102" i="22"/>
  <c r="AL176" i="22"/>
  <c r="AM372" i="22"/>
  <c r="AL290" i="22"/>
  <c r="AM230" i="22"/>
  <c r="AL138" i="22"/>
  <c r="AM55" i="22"/>
  <c r="AM382" i="22"/>
  <c r="AL229" i="22"/>
  <c r="AM149" i="22"/>
  <c r="AL66" i="22"/>
  <c r="AL368" i="22"/>
  <c r="AM73" i="22"/>
  <c r="AM224" i="22"/>
  <c r="AM420" i="22"/>
  <c r="AL166" i="22"/>
  <c r="AM148" i="22"/>
  <c r="AL5" i="22"/>
  <c r="AM334" i="22"/>
  <c r="AL298" i="22"/>
  <c r="AM214" i="22"/>
  <c r="AL146" i="22"/>
  <c r="AM122" i="22"/>
  <c r="AM63" i="22"/>
  <c r="AL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M195" i="22"/>
  <c r="AL102" i="22"/>
  <c r="AM20" i="22"/>
  <c r="AL372" i="22"/>
  <c r="AM314" i="22"/>
  <c r="AL230" i="22"/>
  <c r="AM163" i="22"/>
  <c r="AL55" i="22"/>
  <c r="AM402" i="22"/>
  <c r="AM253" i="22"/>
  <c r="AL149" i="22"/>
  <c r="AM88" i="22"/>
  <c r="AL130" i="22"/>
  <c r="AL136" i="22"/>
  <c r="AM251" i="22"/>
  <c r="AL64" i="22"/>
  <c r="AL399" i="22"/>
  <c r="AL238" i="22"/>
  <c r="AM146" i="22"/>
  <c r="AL85" i="22"/>
  <c r="AM3" i="22"/>
  <c r="AL379" i="22"/>
  <c r="AL273" i="22"/>
  <c r="AL213" i="22"/>
  <c r="AL121" i="22"/>
  <c r="AM62" i="22"/>
  <c r="AL409" i="22"/>
  <c r="AL351" i="22"/>
  <c r="AM272" i="22"/>
  <c r="AL212" i="22"/>
  <c r="AL120" i="22"/>
  <c r="AM61" i="22"/>
  <c r="AL408" i="22"/>
  <c r="AM319" i="22"/>
  <c r="AM168" i="22"/>
  <c r="AL143" i="22"/>
  <c r="AM12" i="22"/>
  <c r="AL342" i="22"/>
  <c r="AM306" i="22"/>
  <c r="AL198" i="22"/>
  <c r="AM142" i="22"/>
  <c r="AL11" i="22"/>
  <c r="AM406" i="22"/>
  <c r="AM385" i="22"/>
  <c r="AL281" i="22"/>
  <c r="AM245" i="22"/>
  <c r="AM80" i="22"/>
  <c r="AL46" i="22"/>
  <c r="AL405" i="22"/>
  <c r="AL374" i="22"/>
  <c r="AL232" i="22"/>
  <c r="AM165" i="22"/>
  <c r="AL57" i="22"/>
  <c r="AM416" i="22"/>
  <c r="AL315" i="22"/>
  <c r="AM279" i="22"/>
  <c r="AL195"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M42" i="22"/>
  <c r="AL299" i="22"/>
  <c r="AL421" i="22"/>
  <c r="AM24" i="22"/>
  <c r="AL293" i="22"/>
  <c r="AM252" i="22"/>
  <c r="AM28"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L42"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M72"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10" i="22"/>
  <c r="AM396" i="22"/>
  <c r="AM318" i="22"/>
  <c r="AM87" i="22"/>
  <c r="AL286" i="22"/>
  <c r="AM226" i="22"/>
  <c r="AM134" i="22"/>
  <c r="AM74" i="22"/>
  <c r="AL422" i="22"/>
  <c r="AL367" i="22"/>
  <c r="AL261" i="22"/>
  <c r="AM237" i="22"/>
  <c r="AL201" i="22"/>
  <c r="AL109" i="22"/>
  <c r="AL397" i="22"/>
  <c r="AL344" i="22"/>
  <c r="AL260" i="22"/>
  <c r="AL200" i="22"/>
  <c r="AL108" i="22"/>
  <c r="AL396" i="22"/>
  <c r="AM307" i="22"/>
  <c r="AM283" i="22"/>
  <c r="AL223" i="22"/>
  <c r="AL199" i="22"/>
  <c r="AM156" i="22"/>
  <c r="AL131" i="22"/>
  <c r="AL107" i="22"/>
  <c r="AL72"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74"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M32"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65" i="22"/>
  <c r="AL365" i="22"/>
  <c r="AL65" i="22"/>
  <c r="AM65" i="22"/>
  <c r="AM350" i="22"/>
  <c r="AL350" i="22"/>
  <c r="AM340" i="22"/>
  <c r="AL340" i="22"/>
  <c r="AM60" i="22"/>
  <c r="AL60" i="22"/>
  <c r="AM67" i="22"/>
  <c r="AL67" i="22"/>
  <c r="AL309" i="22"/>
  <c r="AM309" i="22"/>
  <c r="AM305" i="22"/>
  <c r="AL305" i="22"/>
  <c r="AM187" i="22"/>
  <c r="AL187" i="22"/>
  <c r="AM348" i="22"/>
  <c r="AL348" i="22"/>
  <c r="AM103" i="22"/>
  <c r="AL103" i="22"/>
  <c r="AM105" i="22"/>
  <c r="AL105" i="22"/>
  <c r="AM44" i="22"/>
  <c r="AL44" i="22"/>
  <c r="AM7" i="22"/>
  <c r="AL7" i="22"/>
  <c r="AM101" i="22"/>
  <c r="AL101" i="22"/>
  <c r="AL337" i="22"/>
  <c r="AM337"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K82" i="2"/>
  <c r="U69" i="2"/>
  <c r="K76" i="2"/>
  <c r="K67" i="2"/>
  <c r="U81" i="2"/>
  <c r="K64" i="2"/>
  <c r="K79" i="2"/>
  <c r="U57" i="2"/>
  <c r="K73" i="2"/>
  <c r="K61" i="2"/>
  <c r="K70" i="2"/>
  <c r="U63" i="2"/>
  <c r="U78" i="2"/>
  <c r="K58" i="2"/>
  <c r="U66" i="2"/>
  <c r="S66" i="2" a="1"/>
  <c r="S81" i="2" a="1"/>
  <c r="S75" i="2" a="1"/>
  <c r="S63" i="2" a="1"/>
  <c r="S69" i="2" a="1"/>
  <c r="S57" i="2" a="1"/>
  <c r="S60" i="2" a="1"/>
  <c r="S78" i="2" a="1"/>
  <c r="S72" i="2" a="1"/>
  <c r="AM81" i="22" l="1"/>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D348" i="22"/>
  <c r="AE348" i="22"/>
  <c r="AF348" i="22"/>
  <c r="AG348" i="22"/>
  <c r="AD187" i="22"/>
  <c r="AE187" i="22"/>
  <c r="AF187" i="22"/>
  <c r="AG187" i="22"/>
  <c r="AE76" i="22"/>
  <c r="AF76" i="22"/>
  <c r="AG76" i="22"/>
  <c r="AD76" i="22"/>
  <c r="AD80" i="22"/>
  <c r="AE80" i="22"/>
  <c r="AF80" i="22"/>
  <c r="AG80" i="22"/>
  <c r="AD351" i="22"/>
  <c r="AE351" i="22"/>
  <c r="AF351" i="22"/>
  <c r="AG351" i="22"/>
  <c r="AD167" i="22"/>
  <c r="AE167" i="22"/>
  <c r="AF167" i="22"/>
  <c r="AG167" i="22"/>
  <c r="AD72" i="22"/>
  <c r="AE72" i="22"/>
  <c r="AF72" i="22"/>
  <c r="AG72" i="22"/>
  <c r="AD166" i="22"/>
  <c r="AE166" i="22"/>
  <c r="AF166" i="22"/>
  <c r="AG166" i="22"/>
  <c r="AD62" i="22"/>
  <c r="AF62" i="22"/>
  <c r="AG62" i="22"/>
  <c r="AE62" i="22"/>
  <c r="AD61" i="22"/>
  <c r="AE61" i="22"/>
  <c r="AF61" i="22"/>
  <c r="AG61" i="22"/>
  <c r="AD306" i="22"/>
  <c r="AE306" i="22"/>
  <c r="AG306" i="22"/>
  <c r="AF306" i="22"/>
  <c r="AD312" i="22"/>
  <c r="AE312" i="22"/>
  <c r="AF312" i="22"/>
  <c r="AG312" i="22"/>
  <c r="AD42" i="22"/>
  <c r="AE42" i="22"/>
  <c r="AF42" i="22"/>
  <c r="AG42" i="22"/>
  <c r="AD40" i="22"/>
  <c r="AE40" i="22"/>
  <c r="AF40" i="22"/>
  <c r="AG40" i="22"/>
  <c r="AD334" i="22"/>
  <c r="AE334" i="22"/>
  <c r="AF334" i="22"/>
  <c r="AG334" i="22"/>
  <c r="AD7" i="22"/>
  <c r="AE7" i="22"/>
  <c r="AF7" i="22"/>
  <c r="AG7" i="22"/>
  <c r="AD299" i="22"/>
  <c r="AE299" i="22"/>
  <c r="AG299" i="22"/>
  <c r="AF299" i="22"/>
  <c r="AD39" i="22"/>
  <c r="AF39" i="22"/>
  <c r="AE39" i="22"/>
  <c r="AG39" i="22"/>
  <c r="AD164" i="22"/>
  <c r="AE164" i="22"/>
  <c r="AF164" i="22"/>
  <c r="AG164" i="22"/>
  <c r="AE309" i="22"/>
  <c r="AD309" i="22"/>
  <c r="AF309" i="22"/>
  <c r="AG309" i="22"/>
  <c r="AD70" i="22"/>
  <c r="AE70" i="22"/>
  <c r="AF70" i="22"/>
  <c r="AG70" i="22"/>
  <c r="AE414" i="22"/>
  <c r="AD414" i="22"/>
  <c r="AF414" i="22"/>
  <c r="AG414" i="22"/>
  <c r="AE65" i="22"/>
  <c r="AD65" i="22"/>
  <c r="AF65" i="22"/>
  <c r="AG65" i="22"/>
  <c r="AE349" i="22"/>
  <c r="AD349" i="22"/>
  <c r="AF349" i="22"/>
  <c r="AG349" i="22"/>
  <c r="AD101" i="22"/>
  <c r="AE101" i="22"/>
  <c r="AF101" i="22"/>
  <c r="AG101" i="22"/>
  <c r="AD305" i="22"/>
  <c r="AE305" i="22"/>
  <c r="AF305" i="22"/>
  <c r="AG305" i="22"/>
  <c r="AD74" i="22"/>
  <c r="AE74" i="22"/>
  <c r="AF74" i="22"/>
  <c r="AG74"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E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E339" i="22"/>
  <c r="AD339" i="22"/>
  <c r="AF339" i="22"/>
  <c r="AG339" i="22"/>
  <c r="AD31" i="22"/>
  <c r="AE31" i="22"/>
  <c r="AF31" i="22"/>
  <c r="AG31" i="22"/>
  <c r="AD64" i="22"/>
  <c r="AF64" i="22"/>
  <c r="AE64" i="22"/>
  <c r="AG64" i="22"/>
  <c r="AD412" i="22"/>
  <c r="AE412" i="22"/>
  <c r="AF412" i="22"/>
  <c r="AG412" i="22"/>
  <c r="AE67" i="22"/>
  <c r="AD67" i="22"/>
  <c r="AF67" i="22"/>
  <c r="AG67"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G60" i="22"/>
  <c r="AF60" i="22"/>
  <c r="AE73" i="22"/>
  <c r="AD73" i="22"/>
  <c r="AF73" i="22"/>
  <c r="AG73" i="22"/>
  <c r="AD194" i="22"/>
  <c r="AE194" i="22"/>
  <c r="AF194" i="22"/>
  <c r="AG194" i="22"/>
  <c r="AD154" i="22"/>
  <c r="AE154" i="22"/>
  <c r="AF154" i="22"/>
  <c r="AG154" i="22"/>
  <c r="AD46" i="22"/>
  <c r="AF46" i="22"/>
  <c r="AE46" i="22"/>
  <c r="AG46" i="22"/>
  <c r="AD29" i="22"/>
  <c r="AE29" i="22"/>
  <c r="AF29" i="22"/>
  <c r="AG29" i="22"/>
  <c r="AD365" i="22"/>
  <c r="AE365" i="22"/>
  <c r="AF365" i="22"/>
  <c r="AG365" i="22"/>
  <c r="AD54" i="22"/>
  <c r="AE54" i="22"/>
  <c r="AF54" i="22"/>
  <c r="AG54" i="22"/>
  <c r="AD79" i="22"/>
  <c r="AE79" i="22"/>
  <c r="AF79" i="22"/>
  <c r="AG79" i="22"/>
  <c r="AD184" i="22"/>
  <c r="AF184" i="22"/>
  <c r="AE184" i="22"/>
  <c r="AG184" i="22"/>
  <c r="AE105" i="22"/>
  <c r="AD105" i="22"/>
  <c r="AF105" i="22"/>
  <c r="AG105" i="22"/>
  <c r="AD191" i="22"/>
  <c r="AF191" i="22"/>
  <c r="AE191" i="22"/>
  <c r="AG191" i="22"/>
  <c r="AE75" i="22"/>
  <c r="AD75" i="22"/>
  <c r="AF75" i="22"/>
  <c r="AG75"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L51" i="22"/>
  <c r="AM51" i="22"/>
  <c r="AI353" i="22"/>
  <c r="AK337" i="22"/>
  <c r="AI337" i="22"/>
  <c r="AM316" i="22"/>
  <c r="AL168" i="22"/>
  <c r="AL48" i="22"/>
  <c r="AJ337" i="22"/>
  <c r="AL32" i="22"/>
  <c r="AM49" i="22"/>
  <c r="AM50" i="22"/>
  <c r="AL49" i="22"/>
  <c r="AL316" i="22"/>
  <c r="AM48" i="22"/>
  <c r="AI415" i="22"/>
  <c r="AK415" i="22"/>
  <c r="AJ415" i="22"/>
  <c r="AJ316" i="22"/>
  <c r="AI316" i="22"/>
  <c r="AK316" i="22"/>
  <c r="AI168" i="22"/>
  <c r="AJ168" i="22"/>
  <c r="AK168" i="22"/>
  <c r="AJ32" i="22"/>
  <c r="AI32" i="22"/>
  <c r="AK32" i="22"/>
  <c r="AJ195" i="22"/>
  <c r="AI195" i="22"/>
  <c r="AK195" i="22"/>
  <c r="AJ81" i="22"/>
  <c r="AI81" i="22"/>
  <c r="AK81" i="22"/>
  <c r="AL50" i="22"/>
  <c r="AI311" i="22"/>
  <c r="AJ311" i="22"/>
  <c r="AK311" i="22"/>
  <c r="AI50" i="22"/>
  <c r="AK50" i="22"/>
  <c r="AJ50" i="22"/>
  <c r="AI52" i="22"/>
  <c r="AK52" i="22"/>
  <c r="AJ52" i="22"/>
  <c r="AI51" i="22"/>
  <c r="AJ51" i="22"/>
  <c r="AK51" i="22"/>
  <c r="AJ343" i="22"/>
  <c r="AI343" i="22"/>
  <c r="AK343" i="22"/>
  <c r="AI310" i="22"/>
  <c r="AJ310" i="22"/>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S69" i="2"/>
  <c r="S78" i="2"/>
  <c r="S63" i="2"/>
  <c r="S60" i="2"/>
  <c r="S72" i="2"/>
  <c r="S57" i="2"/>
  <c r="S75" i="2"/>
  <c r="T81" i="2"/>
  <c r="T66" i="2"/>
  <c r="T69" i="2"/>
  <c r="T78" i="2"/>
  <c r="T63" i="2"/>
  <c r="T60" i="2"/>
  <c r="T72" i="2"/>
  <c r="T57" i="2"/>
  <c r="T75" i="2"/>
  <c r="AB353" i="22"/>
  <c r="AA353" i="22"/>
  <c r="AC353" i="22"/>
  <c r="AB313" i="22"/>
  <c r="AC313" i="22"/>
  <c r="AA313" i="22"/>
  <c r="AC196" i="22"/>
  <c r="AB196" i="22"/>
  <c r="AB296" i="22"/>
  <c r="AC296" i="22"/>
  <c r="AB403" i="22"/>
  <c r="AC403" i="22"/>
  <c r="AC115" i="22"/>
  <c r="AB115" i="22"/>
  <c r="AC23" i="22"/>
  <c r="AB23" i="22"/>
  <c r="AC87" i="22"/>
  <c r="AB87" i="22"/>
  <c r="AC54" i="22"/>
  <c r="AB54" i="22"/>
  <c r="AC7" i="22"/>
  <c r="AB7" i="22"/>
  <c r="AB67" i="22"/>
  <c r="AC67" i="22"/>
  <c r="AC60"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B74" i="22"/>
  <c r="AC74"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B348" i="22"/>
  <c r="AC348" i="22"/>
  <c r="AC110" i="22"/>
  <c r="AB110" i="22"/>
  <c r="AC84" i="22"/>
  <c r="AB84" i="22"/>
  <c r="AB338" i="22"/>
  <c r="AC338" i="22"/>
  <c r="AB304" i="22"/>
  <c r="AC304" i="22"/>
  <c r="AB307" i="22"/>
  <c r="AC307" i="22"/>
  <c r="AB226" i="22"/>
  <c r="AC226" i="22"/>
  <c r="AB412" i="22"/>
  <c r="AC412" i="22"/>
  <c r="AB103" i="22"/>
  <c r="AC103" i="22"/>
  <c r="AB309" i="22"/>
  <c r="AC309"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75" i="22"/>
  <c r="AB75" i="22"/>
  <c r="AC5" i="22"/>
  <c r="AB5" i="22"/>
  <c r="AB337" i="22"/>
  <c r="AC337"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B32" i="22"/>
  <c r="AC47" i="22"/>
  <c r="AB47" i="22"/>
  <c r="AC200" i="22"/>
  <c r="AB200" i="22"/>
  <c r="AB299" i="22"/>
  <c r="AC299"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365" i="22"/>
  <c r="AC365" i="22"/>
  <c r="AB280" i="22"/>
  <c r="AC280" i="22"/>
  <c r="AC202" i="22"/>
  <c r="AB202" i="22"/>
  <c r="AB42" i="22"/>
  <c r="AC42" i="22"/>
  <c r="AC141" i="22"/>
  <c r="AB141" i="22"/>
  <c r="AB398" i="22"/>
  <c r="AC398" i="22"/>
  <c r="AB144" i="22"/>
  <c r="AC144" i="22"/>
  <c r="AC108" i="22"/>
  <c r="AB108" i="22"/>
  <c r="AB88" i="22"/>
  <c r="AC88" i="22"/>
  <c r="AC194" i="22"/>
  <c r="AB194" i="22"/>
  <c r="AC186" i="22"/>
  <c r="AB186" i="22"/>
  <c r="AB238" i="22"/>
  <c r="AC238" i="22"/>
  <c r="AB316" i="22"/>
  <c r="AC316"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B310" i="22"/>
  <c r="AC310"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105" i="22"/>
  <c r="AC105" i="22"/>
  <c r="AB383" i="22"/>
  <c r="AC383" i="22"/>
  <c r="AB404" i="22"/>
  <c r="AC404" i="22"/>
  <c r="AB415" i="22"/>
  <c r="AC415" i="22"/>
  <c r="AB243" i="22"/>
  <c r="AC243" i="22"/>
  <c r="AC45" i="22"/>
  <c r="AB45" i="22"/>
  <c r="AC179" i="22"/>
  <c r="AB179" i="22"/>
  <c r="AB270" i="22"/>
  <c r="AC270" i="22"/>
  <c r="AC72" i="22"/>
  <c r="AB72"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C65" i="22"/>
  <c r="AB65"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B73" i="22"/>
  <c r="AC73"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C187" i="22"/>
  <c r="AB187"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C164" i="22"/>
  <c r="AB164"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81" i="22"/>
  <c r="AA24" i="22"/>
  <c r="AA307" i="22"/>
  <c r="AA300" i="22"/>
  <c r="AA172" i="22"/>
  <c r="AA192" i="22"/>
  <c r="AA64" i="22"/>
  <c r="AA75"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164" i="22"/>
  <c r="AA308" i="22"/>
  <c r="AA294" i="22"/>
  <c r="AA114" i="22"/>
  <c r="AA374" i="22"/>
  <c r="AA363" i="22"/>
  <c r="AA242" i="22"/>
  <c r="AA92" i="22"/>
  <c r="AA47" i="22"/>
  <c r="AA159" i="22"/>
  <c r="AA239" i="22"/>
  <c r="AM343" i="22"/>
  <c r="AL343" i="22"/>
  <c r="AA105"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299" i="22"/>
  <c r="AA147" i="22"/>
  <c r="AA161" i="22"/>
  <c r="AM59" i="22"/>
  <c r="AL59" i="22"/>
  <c r="AA42" i="22"/>
  <c r="AA31" i="22"/>
  <c r="AA404" i="22"/>
  <c r="AA415" i="22"/>
  <c r="AA293" i="22"/>
  <c r="AA270" i="22"/>
  <c r="AA90" i="22"/>
  <c r="AA178" i="22"/>
  <c r="AA236" i="22"/>
  <c r="AA193" i="22"/>
  <c r="AA21" i="22"/>
  <c r="AA283" i="22"/>
  <c r="AA402" i="22"/>
  <c r="AA379" i="22"/>
  <c r="AA195" i="22"/>
  <c r="AA408" i="22"/>
  <c r="AA223" i="22"/>
  <c r="AA314" i="22"/>
  <c r="AA255" i="22"/>
  <c r="AA142" i="22"/>
  <c r="AA37" i="22"/>
  <c r="AA102" i="22"/>
  <c r="AA33" i="22"/>
  <c r="AA295" i="22"/>
  <c r="AA248" i="22"/>
  <c r="AA231" i="22"/>
  <c r="AA13" i="22"/>
  <c r="AA22" i="22"/>
  <c r="AA158" i="22"/>
  <c r="AA97" i="22"/>
  <c r="AA257" i="22"/>
  <c r="AA310" i="22"/>
  <c r="AA325" i="22"/>
  <c r="AA302" i="22"/>
  <c r="AA166" i="22"/>
  <c r="AA285" i="22"/>
  <c r="AA226" i="22"/>
  <c r="AA40" i="22"/>
  <c r="AA336" i="22"/>
  <c r="AA400" i="22"/>
  <c r="AA135" i="22"/>
  <c r="AA148" i="22"/>
  <c r="AM341" i="22"/>
  <c r="AL341" i="22"/>
  <c r="AA348" i="22"/>
  <c r="AA54" i="22"/>
  <c r="AA103" i="22"/>
  <c r="AA305" i="22"/>
  <c r="AA309" i="22"/>
  <c r="AA36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187" i="22"/>
  <c r="AA340" i="22"/>
  <c r="AA104" i="22"/>
  <c r="AA347" i="22"/>
  <c r="AA375" i="22"/>
  <c r="AA111" i="22"/>
  <c r="AA377" i="22"/>
  <c r="AA151" i="22"/>
  <c r="AA88" i="22"/>
  <c r="AA62" i="22"/>
  <c r="AA74" i="22"/>
  <c r="AA372" i="22"/>
  <c r="AA222" i="22"/>
  <c r="AA109" i="22"/>
  <c r="AA230" i="22"/>
  <c r="AA386" i="22"/>
  <c r="AA397" i="22"/>
  <c r="AA382" i="22"/>
  <c r="AA198" i="22"/>
  <c r="AA119" i="22"/>
  <c r="AA265" i="22"/>
  <c r="AA116" i="22"/>
  <c r="AA225" i="22"/>
  <c r="AA77" i="22"/>
  <c r="AA373" i="22"/>
  <c r="AA328" i="22"/>
  <c r="AA329" i="22"/>
  <c r="AA73" i="22"/>
  <c r="AA6" i="22"/>
  <c r="AA391" i="22"/>
  <c r="AA367" i="22"/>
  <c r="AA153" i="22"/>
  <c r="AA203" i="22"/>
  <c r="AM10" i="22"/>
  <c r="AL10" i="22"/>
  <c r="AA383" i="22"/>
  <c r="AA60"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68" i="22"/>
  <c r="AA120" i="22"/>
  <c r="AA20" i="22"/>
  <c r="AA235" i="22"/>
  <c r="AA188" i="22"/>
  <c r="AA208" i="22"/>
  <c r="AA82" i="22"/>
  <c r="AA387" i="22"/>
  <c r="AA211" i="22"/>
  <c r="AA157" i="22"/>
  <c r="AA326" i="22"/>
  <c r="AA197" i="22"/>
  <c r="AA250" i="22"/>
  <c r="AA376" i="22"/>
  <c r="AA287" i="22"/>
  <c r="AA100" i="22"/>
  <c r="AA216" i="22"/>
  <c r="AA413" i="22"/>
  <c r="AL369" i="22"/>
  <c r="AM369" i="22"/>
  <c r="AM9" i="22"/>
  <c r="AL9" i="22"/>
  <c r="AA337" i="22"/>
  <c r="AA101" i="22"/>
  <c r="AA218" i="22"/>
  <c r="AA422" i="22"/>
  <c r="AA184" i="22"/>
  <c r="AA396" i="22"/>
  <c r="AA320" i="22"/>
  <c r="AA371" i="22"/>
  <c r="AA209" i="22"/>
  <c r="AA262" i="22"/>
  <c r="AA167" i="22"/>
  <c r="AA108" i="22"/>
  <c r="AA194" i="22"/>
  <c r="AA70" i="22"/>
  <c r="AA357" i="22"/>
  <c r="AA316"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67" i="22"/>
  <c r="AA350" i="22"/>
  <c r="AA65"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D369" i="22" l="1"/>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C195" i="22"/>
  <c r="AE195" i="22"/>
  <c r="AD195" i="22"/>
  <c r="AG195" i="22"/>
  <c r="AF195"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H415" i="22" s="1"/>
  <c r="AR415" i="22" s="1"/>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H50" i="22" s="1"/>
  <c r="AQ50" i="22" s="1"/>
  <c r="AP50" i="22" s="1"/>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195" i="22"/>
  <c r="AB81" i="22"/>
  <c r="AH81" i="22"/>
  <c r="AQ81" i="22" s="1"/>
  <c r="AP81" i="22" s="1"/>
  <c r="AH304" i="22"/>
  <c r="AH350" i="22"/>
  <c r="AA48" i="22"/>
  <c r="AB48" i="22"/>
  <c r="AB49" i="22"/>
  <c r="AA49" i="22"/>
  <c r="AA51" i="22"/>
  <c r="AC168" i="22"/>
  <c r="AC51" i="22"/>
  <c r="AC49" i="22"/>
  <c r="AC32" i="22"/>
  <c r="AA32" i="22"/>
  <c r="AH416" i="22"/>
  <c r="AR416" i="22" s="1"/>
  <c r="AH74" i="22"/>
  <c r="AQ74" i="22" s="1"/>
  <c r="AP74" i="22" s="1"/>
  <c r="AH156" i="22"/>
  <c r="AR156" i="22" s="1"/>
  <c r="AH278" i="22"/>
  <c r="AR278" i="22" s="1"/>
  <c r="AH101" i="22"/>
  <c r="AR101" i="22" s="1"/>
  <c r="AH97" i="22"/>
  <c r="AR97" i="22" s="1"/>
  <c r="AH378" i="22"/>
  <c r="AH66" i="22"/>
  <c r="AR66" i="22" s="1"/>
  <c r="AH183" i="22"/>
  <c r="AR183" i="22" s="1"/>
  <c r="AH281" i="22"/>
  <c r="AR281" i="22" s="1"/>
  <c r="AH279" i="22"/>
  <c r="AR279" i="22" s="1"/>
  <c r="AH325" i="22"/>
  <c r="AQ325" i="22" s="1"/>
  <c r="AP325" i="22" s="1"/>
  <c r="AH34" i="22"/>
  <c r="AR34" i="22" s="1"/>
  <c r="AH100" i="22"/>
  <c r="AR100" i="22" s="1"/>
  <c r="AH177" i="22"/>
  <c r="AR177" i="22" s="1"/>
  <c r="AH199" i="22"/>
  <c r="AR199" i="22" s="1"/>
  <c r="AH179" i="22"/>
  <c r="AH365" i="22"/>
  <c r="AR365" i="22" s="1"/>
  <c r="AH385" i="22"/>
  <c r="AR385" i="22" s="1"/>
  <c r="AH171" i="22"/>
  <c r="AR171" i="22" s="1"/>
  <c r="AH223" i="22"/>
  <c r="AQ223" i="22" s="1"/>
  <c r="AP223" i="22" s="1"/>
  <c r="AH60" i="22"/>
  <c r="AH210" i="22"/>
  <c r="AR210" i="22" s="1"/>
  <c r="AH158" i="22"/>
  <c r="AQ158" i="22" s="1"/>
  <c r="AP158" i="22" s="1"/>
  <c r="AH105" i="22"/>
  <c r="AR105" i="22" s="1"/>
  <c r="AH125" i="22"/>
  <c r="AR125" i="22" s="1"/>
  <c r="AH337" i="22"/>
  <c r="AR337" i="22" s="1"/>
  <c r="AH203" i="22"/>
  <c r="AR203" i="22" s="1"/>
  <c r="AH388" i="22"/>
  <c r="AR388" i="22" s="1"/>
  <c r="AH274" i="22"/>
  <c r="AR274" i="22" s="1"/>
  <c r="AH375" i="22"/>
  <c r="AR375" i="22" s="1"/>
  <c r="AH197" i="22"/>
  <c r="AR197" i="22" s="1"/>
  <c r="AH137" i="22"/>
  <c r="AQ137" i="22" s="1"/>
  <c r="AP137" i="22" s="1"/>
  <c r="AH96" i="22"/>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316" i="22"/>
  <c r="AR316" i="22" s="1"/>
  <c r="AH24" i="22"/>
  <c r="AR24" i="22" s="1"/>
  <c r="AH300" i="22"/>
  <c r="AR300" i="22" s="1"/>
  <c r="AH94" i="22"/>
  <c r="AH160" i="22"/>
  <c r="AR160" i="22" s="1"/>
  <c r="AH196" i="22"/>
  <c r="AR196" i="22" s="1"/>
  <c r="AH224" i="22"/>
  <c r="AQ224" i="22" s="1"/>
  <c r="AP224" i="22" s="1"/>
  <c r="AH189" i="22"/>
  <c r="AR189" i="22" s="1"/>
  <c r="AH255" i="22"/>
  <c r="AQ255" i="22" s="1"/>
  <c r="AP255" i="22" s="1"/>
  <c r="AH305" i="22"/>
  <c r="AR305" i="22" s="1"/>
  <c r="AH104" i="22"/>
  <c r="AR104" i="22" s="1"/>
  <c r="AH421" i="22"/>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H269" i="22"/>
  <c r="AR269" i="22" s="1"/>
  <c r="AH67" i="22"/>
  <c r="AR67" i="22" s="1"/>
  <c r="AH7" i="22"/>
  <c r="AQ7" i="22" s="1"/>
  <c r="AP7" i="22" s="1"/>
  <c r="AH54" i="22"/>
  <c r="AQ54" i="22" s="1"/>
  <c r="AP54" i="22" s="1"/>
  <c r="AH23" i="22"/>
  <c r="AQ23" i="22" s="1"/>
  <c r="AP23" i="22" s="1"/>
  <c r="AH143" i="22"/>
  <c r="AR143" i="22" s="1"/>
  <c r="AH202" i="22"/>
  <c r="AQ202" i="22" s="1"/>
  <c r="AP202" i="22" s="1"/>
  <c r="AH222" i="22"/>
  <c r="AH309" i="22"/>
  <c r="AR309" i="22" s="1"/>
  <c r="AH103" i="22"/>
  <c r="AQ103" i="22" s="1"/>
  <c r="AP103" i="22" s="1"/>
  <c r="AH146" i="22"/>
  <c r="AQ146" i="22" s="1"/>
  <c r="AP146" i="22" s="1"/>
  <c r="AH37" i="22"/>
  <c r="AR37" i="22" s="1"/>
  <c r="AH127" i="22"/>
  <c r="AR127" i="22" s="1"/>
  <c r="AH178" i="22"/>
  <c r="AQ178" i="22" s="1"/>
  <c r="AP178" i="22" s="1"/>
  <c r="AH313" i="22"/>
  <c r="AH35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195" i="22"/>
  <c r="AR195"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42" i="22"/>
  <c r="AR42"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65" i="22"/>
  <c r="AR65"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310" i="22"/>
  <c r="AQ310" i="22" s="1"/>
  <c r="AP310"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187" i="22"/>
  <c r="AR187" i="22" s="1"/>
  <c r="AH44" i="22"/>
  <c r="AQ44" i="22" s="1"/>
  <c r="AP44" i="22" s="1"/>
  <c r="AH413" i="22"/>
  <c r="AQ413" i="22" s="1"/>
  <c r="AP413" i="22" s="1"/>
  <c r="AH401" i="22"/>
  <c r="AR401" i="22" s="1"/>
  <c r="AH16" i="22"/>
  <c r="AR16" i="22" s="1"/>
  <c r="AH155" i="22"/>
  <c r="AR155" i="22" s="1"/>
  <c r="AH73" i="22"/>
  <c r="AR73"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72" i="22"/>
  <c r="AQ72" i="22" s="1"/>
  <c r="AP72"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299" i="22"/>
  <c r="AR299" i="22" s="1"/>
  <c r="AH191" i="22"/>
  <c r="AR191" i="22" s="1"/>
  <c r="AH154" i="22"/>
  <c r="AR154" i="22" s="1"/>
  <c r="AH77" i="22"/>
  <c r="AR77" i="22" s="1"/>
  <c r="AH75" i="22"/>
  <c r="AR75"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164" i="22"/>
  <c r="AQ164" i="22" s="1"/>
  <c r="AP164"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Q304" i="22"/>
  <c r="AP304" i="22" s="1"/>
  <c r="AR304" i="22"/>
  <c r="AR117" i="22"/>
  <c r="AQ117" i="22"/>
  <c r="AP117" i="22" s="1"/>
  <c r="AR328" i="22"/>
  <c r="AQ21" i="22"/>
  <c r="AP21" i="22" s="1"/>
  <c r="AR60" i="22"/>
  <c r="AQ60" i="22"/>
  <c r="AP60" i="22" s="1"/>
  <c r="AR421" i="22"/>
  <c r="AQ421" i="22"/>
  <c r="AP421" i="22" s="1"/>
  <c r="AR96" i="22"/>
  <c r="AQ96" i="22"/>
  <c r="AP96" i="22" s="1"/>
  <c r="AA52" i="22"/>
  <c r="AR222" i="22"/>
  <c r="AQ222" i="22"/>
  <c r="AP222" i="22" s="1"/>
  <c r="AA58" i="22"/>
  <c r="AQ37" i="22"/>
  <c r="AP37" i="22" s="1"/>
  <c r="AA343" i="22"/>
  <c r="AR322" i="22"/>
  <c r="AQ322" i="22"/>
  <c r="AP322" i="22" s="1"/>
  <c r="AR394" i="22"/>
  <c r="AR291" i="22"/>
  <c r="AQ291" i="22"/>
  <c r="AP291" i="22" s="1"/>
  <c r="AA311" i="22"/>
  <c r="AR290" i="22"/>
  <c r="AR283" i="22"/>
  <c r="AQ283" i="22"/>
  <c r="AP283" i="22" s="1"/>
  <c r="AR88" i="22"/>
  <c r="AA341" i="22"/>
  <c r="AR327" i="22"/>
  <c r="AQ327" i="22"/>
  <c r="AP327" i="22" s="1"/>
  <c r="AR253" i="22"/>
  <c r="AQ253" i="22"/>
  <c r="AP253" i="22" s="1"/>
  <c r="AA9" i="22"/>
  <c r="AR350" i="22"/>
  <c r="AQ350" i="22"/>
  <c r="AP350" i="22" s="1"/>
  <c r="AA69" i="22"/>
  <c r="AQ336" i="22"/>
  <c r="AP336" i="22" s="1"/>
  <c r="AA59" i="22"/>
  <c r="AR94" i="22"/>
  <c r="AQ94" i="22"/>
  <c r="AP94" i="22" s="1"/>
  <c r="AQ127" i="22"/>
  <c r="AP127" i="22" s="1"/>
  <c r="AA10" i="22"/>
  <c r="AR241" i="22"/>
  <c r="AQ100" i="22"/>
  <c r="AP100" i="22" s="1"/>
  <c r="AQ378" i="22"/>
  <c r="AP378" i="22" s="1"/>
  <c r="AR378" i="22"/>
  <c r="AR158" i="22"/>
  <c r="AA369" i="22"/>
  <c r="AQ105" i="22"/>
  <c r="AP105" i="22" s="1"/>
  <c r="AQ416" i="22"/>
  <c r="AP416" i="22" s="1"/>
  <c r="AA43" i="22"/>
  <c r="AA53" i="22"/>
  <c r="AR179" i="22"/>
  <c r="AQ179" i="22"/>
  <c r="AP179" i="22" s="1"/>
  <c r="AA393" i="22"/>
  <c r="AQ279" i="22"/>
  <c r="AP279" i="22" s="1"/>
  <c r="AR150" i="22"/>
  <c r="AQ201" i="22"/>
  <c r="AP201" i="22" s="1"/>
  <c r="R75" i="2"/>
  <c r="K75" i="2" s="1"/>
  <c r="L75" i="2" s="1"/>
  <c r="R72" i="2"/>
  <c r="K72" i="2" s="1"/>
  <c r="L72" i="2" s="1"/>
  <c r="BL5" i="4"/>
  <c r="BK5" i="4"/>
  <c r="BJ5" i="4" s="1"/>
  <c r="BL4" i="4"/>
  <c r="BK4" i="4"/>
  <c r="BJ4" i="4" s="1"/>
  <c r="R57" i="2"/>
  <c r="K57" i="2" s="1"/>
  <c r="L57" i="2" s="1"/>
  <c r="R69" i="2"/>
  <c r="K69" i="2" s="1"/>
  <c r="L69" i="2" s="1"/>
  <c r="BA3" i="4"/>
  <c r="AZ3" i="4"/>
  <c r="AZ5" i="4"/>
  <c r="BA5" i="4"/>
  <c r="R78" i="2"/>
  <c r="K78" i="2" s="1"/>
  <c r="L78" i="2" s="1"/>
  <c r="U3" i="4"/>
  <c r="AJ3" i="4"/>
  <c r="AK3" i="4" s="1"/>
  <c r="AG3" i="4"/>
  <c r="AZ4" i="4"/>
  <c r="BA4" i="4"/>
  <c r="CE4" i="4"/>
  <c r="CD4" i="4"/>
  <c r="CC4" i="4" s="1"/>
  <c r="BT3" i="4"/>
  <c r="BS3" i="4"/>
  <c r="CE5" i="4"/>
  <c r="CD5" i="4"/>
  <c r="CC5" i="4" s="1"/>
  <c r="BK2" i="4"/>
  <c r="BJ2" i="4" s="1"/>
  <c r="BL2" i="4"/>
  <c r="BA2" i="4"/>
  <c r="AZ2" i="4"/>
  <c r="R60" i="2"/>
  <c r="K60" i="2" s="1"/>
  <c r="L60" i="2" s="1"/>
  <c r="R63" i="2"/>
  <c r="K63" i="2" s="1"/>
  <c r="L63" i="2" s="1"/>
  <c r="CL3" i="4"/>
  <c r="CM3" i="4"/>
  <c r="R66" i="2"/>
  <c r="K66" i="2" s="1"/>
  <c r="L66" i="2" s="1"/>
  <c r="R81" i="2"/>
  <c r="K81" i="2" s="1"/>
  <c r="L81" i="2" s="1"/>
  <c r="AR140" i="22" l="1"/>
  <c r="AQ419" i="22"/>
  <c r="AP419" i="22" s="1"/>
  <c r="AR39" i="22"/>
  <c r="AQ27" i="22"/>
  <c r="AP27" i="22" s="1"/>
  <c r="AQ398" i="22"/>
  <c r="AP398" i="22" s="1"/>
  <c r="AQ195" i="22"/>
  <c r="AP195" i="22" s="1"/>
  <c r="AQ251" i="22"/>
  <c r="AP251" i="22" s="1"/>
  <c r="AQ309" i="22"/>
  <c r="AP309"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16" i="22"/>
  <c r="AP316" i="22" s="1"/>
  <c r="AQ372" i="22"/>
  <c r="AP372" i="22" s="1"/>
  <c r="AQ293" i="22"/>
  <c r="AP293" i="22" s="1"/>
  <c r="AR292" i="22"/>
  <c r="AQ249" i="22"/>
  <c r="AP249" i="22" s="1"/>
  <c r="AR296" i="22"/>
  <c r="AR227" i="22"/>
  <c r="AR252" i="22"/>
  <c r="AQ78" i="22"/>
  <c r="AP78" i="22" s="1"/>
  <c r="AR346" i="22"/>
  <c r="AR20" i="22"/>
  <c r="AR81" i="22"/>
  <c r="AQ167" i="22"/>
  <c r="AP167" i="22" s="1"/>
  <c r="AR128" i="22"/>
  <c r="AQ47" i="22"/>
  <c r="AP47" i="22" s="1"/>
  <c r="AQ145" i="22"/>
  <c r="AP145" i="22" s="1"/>
  <c r="AQ337" i="22"/>
  <c r="AP337"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65" i="22"/>
  <c r="AP65"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Q187" i="22"/>
  <c r="AP187" i="22" s="1"/>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4" i="22"/>
  <c r="AR72" i="22"/>
  <c r="AQ75" i="22"/>
  <c r="AP75" i="22" s="1"/>
  <c r="AR76" i="22"/>
  <c r="AQ66" i="22"/>
  <c r="AP66" i="22" s="1"/>
  <c r="AQ340" i="22"/>
  <c r="AP340" i="22" s="1"/>
  <c r="AR178" i="22"/>
  <c r="AQ365" i="22"/>
  <c r="AP365" i="22" s="1"/>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415" i="22"/>
  <c r="AP415" i="22" s="1"/>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R310"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67" i="22"/>
  <c r="AP67" i="22" s="1"/>
  <c r="AQ298" i="22"/>
  <c r="AP298" i="22" s="1"/>
  <c r="AQ382" i="22"/>
  <c r="AP382" i="22" s="1"/>
  <c r="AQ367" i="22"/>
  <c r="AP367" i="22" s="1"/>
  <c r="AQ86" i="22"/>
  <c r="AP86" i="22" s="1"/>
  <c r="AQ33" i="22"/>
  <c r="AP33" i="22" s="1"/>
  <c r="AQ163" i="22"/>
  <c r="AP163" i="22" s="1"/>
  <c r="AQ130" i="22"/>
  <c r="AP130" i="22" s="1"/>
  <c r="AQ301" i="22"/>
  <c r="AP301" i="22" s="1"/>
  <c r="AQ353" i="22"/>
  <c r="AP353" i="22" s="1"/>
  <c r="AR353" i="22"/>
  <c r="AQ313" i="22"/>
  <c r="AP313" i="22" s="1"/>
  <c r="AR313" i="22"/>
  <c r="AQ48" i="22"/>
  <c r="AP48" i="22" s="1"/>
  <c r="AQ42" i="22"/>
  <c r="AP42" i="22" s="1"/>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Q73" i="22"/>
  <c r="AP73"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32" i="22" l="1"/>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U2" i="4" l="1"/>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<sst xmlns="http://schemas.openxmlformats.org/spreadsheetml/2006/main" count="10820" uniqueCount="2679">
  <si>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</si>
  <si>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</si>
  <si>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</si>
  <si>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</si>
  <si>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</si>
  <si>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</si>
  <si>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</si>
  <si>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</si>
  <si>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</si>
  <si>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</si>
  <si>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</si>
  <si>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</si>
  <si>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</si>
  <si>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</si>
  <si>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</si>
  <si>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</si>
  <si>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</si>
  <si>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</si>
  <si>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</si>
  <si>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</si>
  <si>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</si>
  <si>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</si>
  <si>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</si>
  <si>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</si>
  <si>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</si>
  <si>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</si>
  <si>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</si>
  <si>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</si>
  <si>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</si>
  <si>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</si>
  <si>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</si>
  <si>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</si>
  <si>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</si>
  <si>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</si>
  <si>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</si>
  <si>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</si>
  <si>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</si>
  <si>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</si>
  <si>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</si>
  <si>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</si>
  <si>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</si>
  <si>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</si>
  <si>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</si>
  <si>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</si>
  <si>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</si>
  <si>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</si>
  <si>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</si>
  <si>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</si>
  <si>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</si>
  <si>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</si>
  <si>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</si>
  <si>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</si>
  <si>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</si>
  <si>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</si>
  <si>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</si>
  <si>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</si>
  <si>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</si>
  <si>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</si>
  <si>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</si>
  <si>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</si>
  <si>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</si>
  <si>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</si>
  <si>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</si>
  <si>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</si>
  <si>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</si>
  <si>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</si>
  <si>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</si>
  <si>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</si>
  <si>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</si>
  <si>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</si>
  <si>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</si>
  <si>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</si>
  <si>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</si>
  <si>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</si>
  <si>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</si>
  <si>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</si>
  <si>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</si>
  <si>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</si>
  <si>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</si>
  <si>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</si>
  <si>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</si>
  <si>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</si>
  <si>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</si>
  <si>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</si>
  <si>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</si>
  <si>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</si>
  <si>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</si>
  <si>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</si>
  <si>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</si>
  <si>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</si>
  <si>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</si>
  <si>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</si>
  <si>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</si>
  <si>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</si>
  <si>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</si>
  <si>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</si>
  <si>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</si>
  <si>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</si>
  <si>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</si>
  <si>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</si>
  <si>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</si>
  <si>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</si>
  <si>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</si>
  <si>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</si>
  <si>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</si>
  <si>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</si>
  <si>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</si>
  <si>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</si>
  <si>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</si>
  <si>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</si>
  <si>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</si>
  <si>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</si>
  <si>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</si>
  <si>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</si>
  <si>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</si>
  <si>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</si>
  <si>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</si>
  <si>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</si>
  <si>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</si>
  <si>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</si>
  <si>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</si>
  <si>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</si>
  <si>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</si>
  <si>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</si>
  <si>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</si>
  <si>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</si>
  <si>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</si>
  <si>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</si>
  <si>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</si>
  <si>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</si>
  <si>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</si>
  <si>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</si>
  <si>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</si>
  <si>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</si>
  <si>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</si>
  <si>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</si>
  <si>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</si>
  <si>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</si>
  <si>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</si>
  <si>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</si>
  <si>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</si>
  <si>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</si>
  <si>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</si>
  <si>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</si>
  <si>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</si>
  <si>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</si>
  <si>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</si>
  <si>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</si>
  <si>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</si>
  <si>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</si>
  <si>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</si>
  <si>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</si>
  <si>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</si>
  <si>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</si>
  <si>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</si>
  <si>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</si>
  <si>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</si>
  <si>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</si>
  <si>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</si>
  <si>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</si>
  <si>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</si>
  <si>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</si>
  <si>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</si>
  <si>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</si>
  <si>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</si>
  <si>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</si>
  <si>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</si>
  <si>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</si>
  <si>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</si>
  <si>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</si>
  <si>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</si>
  <si>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</si>
  <si>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</si>
  <si>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</si>
  <si>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</si>
  <si>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</si>
  <si>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</si>
  <si>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</si>
  <si>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</si>
  <si>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</si>
  <si>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</si>
  <si>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</si>
  <si>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</si>
  <si>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</si>
  <si>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</si>
  <si>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</si>
  <si>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</si>
  <si>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</si>
  <si>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</si>
  <si>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</si>
  <si>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</si>
  <si>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</si>
  <si>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</si>
  <si>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</si>
  <si>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</si>
  <si>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</si>
  <si>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</si>
  <si>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</si>
  <si>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</si>
  <si>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</si>
  <si>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</si>
  <si>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</si>
  <si>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</si>
  <si>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</si>
  <si>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</si>
  <si>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</si>
  <si>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</si>
  <si>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</si>
  <si>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</si>
  <si>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</si>
  <si>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</si>
  <si>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</si>
  <si>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</si>
  <si>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</si>
  <si>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</si>
  <si>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</si>
  <si>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</si>
  <si>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</si>
  <si>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</si>
  <si>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</si>
  <si>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</si>
  <si>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</si>
  <si>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</si>
  <si>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</si>
  <si>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</si>
  <si>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</si>
  <si>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</si>
  <si>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</si>
  <si>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</si>
  <si>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</si>
  <si>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</si>
  <si>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</si>
  <si>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</si>
  <si>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</si>
  <si>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</si>
  <si>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</si>
  <si>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</si>
  <si>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</si>
  <si>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</si>
  <si>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</si>
  <si>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</si>
  <si>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</si>
  <si>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</si>
  <si>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</si>
  <si>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</si>
  <si>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</si>
  <si>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</si>
  <si>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</si>
  <si>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</si>
  <si>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</si>
  <si>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</si>
  <si>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</si>
  <si>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</si>
  <si>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</si>
  <si>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</si>
  <si>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</si>
  <si>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</si>
  <si>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</si>
  <si>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</si>
  <si>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</si>
  <si>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</si>
  <si>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</si>
  <si>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</si>
  <si>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</si>
  <si>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</si>
  <si>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</si>
  <si>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</si>
  <si>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</si>
  <si>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</si>
  <si>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</si>
  <si>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</si>
  <si>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</si>
  <si>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</si>
  <si>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</si>
  <si>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</si>
  <si>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</si>
  <si>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</si>
  <si>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</si>
  <si>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</si>
  <si>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</si>
  <si>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</si>
  <si>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</si>
  <si>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</si>
  <si>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</si>
  <si>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</si>
  <si>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</si>
  <si>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</si>
  <si>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</si>
  <si>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</si>
  <si>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</si>
  <si>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</si>
  <si>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</si>
  <si>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</si>
  <si>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</si>
  <si>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</si>
  <si>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</si>
  <si>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</si>
  <si>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</si>
  <si>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</si>
  <si>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</si>
  <si>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</si>
  <si>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</si>
  <si>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</si>
  <si>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</si>
  <si>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</si>
  <si>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</si>
  <si>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</si>
  <si>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</si>
  <si>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</si>
  <si>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</si>
  <si>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</si>
  <si>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</si>
  <si>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</si>
  <si>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</si>
  <si>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</si>
  <si>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</si>
  <si>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</si>
  <si>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</si>
  <si>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</si>
  <si>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</si>
  <si>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</si>
  <si>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</si>
  <si>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</si>
  <si>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</si>
  <si>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</si>
  <si>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</si>
  <si>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</si>
  <si>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</si>
  <si>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</si>
  <si>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</si>
  <si>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</si>
  <si>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</si>
  <si>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</si>
  <si>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</si>
  <si>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</si>
  <si>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</si>
  <si>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</si>
  <si>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</si>
  <si>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</si>
  <si>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</si>
  <si>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</si>
  <si>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</si>
  <si>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</si>
  <si>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</si>
  <si>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</si>
  <si>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</si>
  <si>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</si>
  <si>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</si>
  <si>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</si>
  <si>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</si>
  <si>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</si>
  <si>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</si>
  <si>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</si>
  <si>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</si>
  <si>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</si>
  <si>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</si>
  <si>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</si>
  <si>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</si>
  <si>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</si>
  <si>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</si>
  <si>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</si>
  <si>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</si>
  <si>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</si>
  <si>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</si>
  <si>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</si>
  <si>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</si>
  <si>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</si>
  <si>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</si>
  <si>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</si>
  <si>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</si>
  <si>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</si>
  <si>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</si>
  <si>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</si>
  <si>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</si>
  <si>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</si>
  <si>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</si>
  <si>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</si>
  <si>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</si>
  <si>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</si>
  <si>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</si>
  <si>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</si>
  <si>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</si>
  <si>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</si>
  <si>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</si>
  <si>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</si>
  <si>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</si>
  <si>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</si>
  <si>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</si>
  <si>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</si>
  <si>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</si>
  <si>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</si>
  <si>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</si>
  <si>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</si>
  <si>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</si>
  <si>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</si>
  <si>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</si>
  <si>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</si>
  <si>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</si>
  <si>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</si>
  <si>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</si>
  <si>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</si>
  <si>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</si>
  <si>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</si>
  <si>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</si>
  <si>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</si>
  <si>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</si>
  <si>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</si>
  <si>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</si>
  <si>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</si>
  <si>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</si>
  <si>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</si>
  <si>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</si>
  <si>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</si>
  <si>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</si>
  <si>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</si>
  <si>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</si>
  <si>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</si>
  <si>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</si>
  <si>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</si>
  <si>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</si>
  <si>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</si>
  <si>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</si>
  <si>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</si>
  <si>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</si>
  <si>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</si>
  <si>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</si>
  <si>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</si>
  <si>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</si>
  <si>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</si>
  <si>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</si>
  <si>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</si>
  <si>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</si>
  <si>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</si>
  <si>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</si>
  <si>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</si>
  <si>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</si>
  <si>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</si>
  <si>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</si>
  <si>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</si>
  <si>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</si>
  <si>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</si>
  <si>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</si>
  <si>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</si>
  <si>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</si>
  <si>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</si>
  <si>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</si>
  <si>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</si>
  <si>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</si>
  <si>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</si>
  <si>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</si>
  <si>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</si>
  <si>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</si>
  <si>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</si>
  <si>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</si>
  <si>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</si>
  <si>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</si>
  <si>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</si>
  <si>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</si>
  <si>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</si>
  <si>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</si>
  <si>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</si>
  <si>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</si>
  <si>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</si>
  <si>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</si>
  <si>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</si>
  <si>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</si>
  <si>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</si>
  <si>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</si>
  <si>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</si>
  <si>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</si>
  <si>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</si>
  <si>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</si>
  <si>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</si>
  <si>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</si>
  <si>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</si>
  <si>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</si>
  <si>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</si>
  <si>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</si>
  <si>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</si>
  <si>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</si>
  <si>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</si>
  <si>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</si>
  <si>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</si>
  <si>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</si>
  <si>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</si>
  <si>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</si>
  <si>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</si>
  <si>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</si>
  <si>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</si>
  <si>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</si>
  <si>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</si>
  <si>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</si>
  <si>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</si>
  <si>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</si>
  <si>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</si>
  <si>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</si>
  <si>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</si>
  <si>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</si>
  <si>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</si>
  <si>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</si>
  <si>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</si>
  <si>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</si>
  <si>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</si>
  <si>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</si>
  <si>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</si>
  <si>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</si>
  <si>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</si>
  <si>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</si>
  <si>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</si>
  <si>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</si>
  <si>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</si>
  <si>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</si>
  <si>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</si>
  <si>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</si>
  <si>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</si>
  <si>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</si>
  <si>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</si>
  <si>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</si>
  <si>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</si>
  <si>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</si>
  <si>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</si>
  <si>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</si>
  <si>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</si>
  <si>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</si>
  <si>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</si>
  <si>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</si>
  <si>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</si>
  <si>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</si>
  <si>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</si>
  <si>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</si>
  <si>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</si>
  <si>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</si>
  <si>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</si>
  <si>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</si>
  <si>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</si>
  <si>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</si>
  <si>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</si>
  <si>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</si>
  <si>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</si>
  <si>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</si>
  <si>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</si>
  <si>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</si>
  <si>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</si>
  <si>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</si>
  <si>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</si>
  <si>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</si>
  <si>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</si>
  <si>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</si>
  <si>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</si>
  <si>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</si>
  <si>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</si>
  <si>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</si>
  <si>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</si>
  <si>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</si>
  <si>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</si>
  <si>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</si>
  <si>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</si>
  <si>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</si>
  <si>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</si>
  <si>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</si>
  <si>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</si>
  <si>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</si>
  <si>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</si>
  <si>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</si>
  <si>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</si>
  <si>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</si>
  <si>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</si>
  <si>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</si>
  <si>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</si>
  <si>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</si>
  <si>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</si>
  <si>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</si>
  <si>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</si>
  <si>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</si>
  <si>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</si>
  <si>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</si>
  <si>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</si>
  <si>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</si>
  <si>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</si>
  <si>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</si>
  <si>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</si>
  <si>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</si>
  <si>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</si>
  <si>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</si>
  <si>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</si>
  <si>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</si>
  <si>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</si>
  <si>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</si>
  <si>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</si>
  <si>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</si>
  <si>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</si>
  <si>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</si>
  <si>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</si>
  <si>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</si>
  <si>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</si>
  <si>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</si>
  <si>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</si>
  <si>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</si>
  <si>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</si>
  <si>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</si>
  <si>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</si>
  <si>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</si>
  <si>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</si>
  <si>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</si>
  <si>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</si>
  <si>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</si>
  <si>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</si>
  <si>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</si>
  <si>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</si>
  <si>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</si>
  <si>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</si>
  <si>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</si>
  <si>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</si>
  <si>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</si>
  <si>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</si>
  <si>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</si>
  <si>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</si>
  <si>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</si>
  <si>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</si>
  <si>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</si>
  <si>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</si>
  <si>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</si>
  <si>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</si>
  <si>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</si>
  <si>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</si>
  <si>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</si>
  <si>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</si>
  <si>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</si>
  <si>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</si>
  <si>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</si>
  <si>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</si>
  <si>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</si>
  <si>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</si>
  <si>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</si>
  <si>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</si>
  <si>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</si>
  <si>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</si>
  <si>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</si>
  <si>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</si>
  <si>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</si>
  <si>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</si>
  <si>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</si>
  <si>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</si>
  <si>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</si>
  <si>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</si>
  <si>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</si>
  <si>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</si>
  <si>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</si>
  <si>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</si>
  <si>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</si>
  <si>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</si>
  <si>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</si>
  <si>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</si>
  <si>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</si>
  <si>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</si>
  <si>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</si>
  <si>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</si>
  <si>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</si>
  <si>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</si>
  <si>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</si>
  <si>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</si>
  <si>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</si>
  <si>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</si>
  <si>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</si>
  <si>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</si>
  <si>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</si>
  <si>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</si>
  <si>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</si>
  <si>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</si>
  <si>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</si>
  <si>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</si>
  <si>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</si>
  <si>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</si>
  <si>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</si>
  <si>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</si>
  <si>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</si>
  <si>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</si>
  <si>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</si>
  <si>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</si>
  <si>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</si>
  <si>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</si>
  <si>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</si>
  <si>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</si>
  <si>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</si>
  <si>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</si>
  <si>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</si>
  <si>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</si>
  <si>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</si>
  <si>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</si>
  <si>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</si>
  <si>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</si>
  <si>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</si>
  <si>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</si>
  <si>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</si>
  <si>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</si>
  <si>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</si>
  <si>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</si>
  <si>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</si>
  <si>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</si>
  <si>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</si>
  <si>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</si>
  <si>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</si>
  <si>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</si>
  <si>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</si>
  <si>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</si>
  <si>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</si>
  <si>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</si>
  <si>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</si>
  <si>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</si>
  <si>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</si>
  <si>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</si>
  <si>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</si>
  <si>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</si>
  <si>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</si>
  <si>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</si>
  <si>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</si>
  <si>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</si>
  <si>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</si>
  <si>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</si>
  <si>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</si>
  <si>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</si>
  <si>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</si>
  <si>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</si>
  <si>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</si>
  <si>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</si>
  <si>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</si>
  <si>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</si>
  <si>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</si>
  <si>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</si>
  <si>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</si>
  <si>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</si>
  <si>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</si>
  <si>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</si>
  <si>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</si>
  <si>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</si>
  <si>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</si>
  <si>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</si>
  <si>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</si>
  <si>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</si>
  <si>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</si>
  <si>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</si>
  <si>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</si>
  <si>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</si>
  <si>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</si>
  <si>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</si>
  <si>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</si>
  <si>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</si>
  <si>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</si>
  <si>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</si>
  <si>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</si>
  <si>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</si>
  <si>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</si>
  <si>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</si>
  <si>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</si>
  <si>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</si>
  <si>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</si>
  <si>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</si>
  <si>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</si>
  <si>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</si>
  <si>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</si>
  <si>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</si>
  <si>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</si>
  <si>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</si>
  <si>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</si>
  <si>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</si>
  <si>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</si>
  <si>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</si>
  <si>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</si>
  <si>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</si>
  <si>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</si>
  <si>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</si>
  <si>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</si>
  <si>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</si>
  <si>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</si>
  <si>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</si>
  <si>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</si>
  <si>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</si>
  <si>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</si>
  <si>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</si>
  <si>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</si>
  <si>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</si>
  <si>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</si>
  <si>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</si>
  <si>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</si>
  <si>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</si>
  <si>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</si>
  <si>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</si>
  <si>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</si>
  <si>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</si>
  <si>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</si>
  <si>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</si>
  <si>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</si>
  <si>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</si>
  <si>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</si>
  <si>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</si>
  <si>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</si>
  <si>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</si>
  <si>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</si>
  <si>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</si>
  <si>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</si>
  <si>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</si>
  <si>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</si>
  <si>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</si>
  <si>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</si>
  <si>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</si>
  <si>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</si>
  <si>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</si>
  <si>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</si>
  <si>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</si>
  <si>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</si>
  <si>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</si>
  <si>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</si>
  <si>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</si>
  <si>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</si>
  <si>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</si>
  <si>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</si>
  <si>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</si>
  <si>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</si>
  <si>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</si>
  <si>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</si>
  <si>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</si>
  <si>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</si>
  <si>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</si>
  <si>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</si>
  <si>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</si>
  <si>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</si>
  <si>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</si>
  <si>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</si>
  <si>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</si>
  <si>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</si>
  <si>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</si>
  <si>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</si>
  <si>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</si>
  <si>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</si>
  <si>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</si>
  <si>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</si>
  <si>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</si>
  <si>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</si>
  <si>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</si>
  <si>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</si>
  <si>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</si>
  <si>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</si>
  <si>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</si>
  <si>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</si>
  <si>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</si>
  <si>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</si>
  <si>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</si>
  <si>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</si>
  <si>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</si>
  <si>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</si>
  <si>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 xml:space="preserve">       referedColumnName = "Display"
        'check if the change is in the actual table and column to avoid bugs
        'START OF PARAMETRIZATION'
        If referingTableName = "meta_Classifiers" Then
            If referingColumnName = "Kind" </t>
  </si>
  <si>
    <t>Then
                referedTableName = "meta_Classifiers"
                referedColumnName = "Display"
                Call StaticCode.updateIdOnNameChange(cellRef, referingTableName, referingColumnName, referedTableName, referedColumnName)
            E</t>
  </si>
  <si>
    <t>nd If
            If referingColumnName = "Class - Generalization" Then
                referedTableName = "meta_Classifiers"
                referedColumnName = "Display"
                Call StaticCode.updateIdOnNameChange(cellRef, referingTableName, ref</t>
  </si>
  <si>
    <t xml:space="preserve">eringColumnName, referedTableName, referedColumnName)
            End If
            If referingColumnName = "Class - Display Property" Then
                referedTableName = "meta_TypedModelElements"
                referedColumnName = "Display"
        </t>
  </si>
  <si>
    <t xml:space="preserve">        Call StaticCode.updateIdOnNameChange(cellRef, referingTableName, referingColumnName, referedTableName, referedColumnName)
            End If
            If referingColumnName = "Class - Business ID Property" Then
                referedTableName = </t>
  </si>
  <si>
    <t>"meta_TypedModelElements"
                referedColumnName = "Display"
                Call StaticCode.updateIdOnNameChange(cellRef, referingTableName, referingColumnName, referedTableName, referedColumnName)
            End If
        End If
        'EN</t>
  </si>
  <si>
    <t xml:space="preserve">DO OF PARAMETRIZATION'
    End If
End Sub
</t>
  </si>
  <si>
    <t xml:space="preserve">       referedColumnName = "Display"
        'check if the change is in the actual table and column to avoid bugs
        'START OF PARAMETRIZATION'
        If referingTableName = "meta_TypedModelElements" Then
            If referingColumnName = </t>
  </si>
  <si>
    <t xml:space="preserve">"Kind" Then
                referedTableName = "meta_Classifiers"
                referedColumnName = "Display"
                Call StaticCode.updateIdOnNameChange(cellRef, referingTableName, referingColumnName, referedTableName, referedColumnName)
      </t>
  </si>
  <si>
    <t xml:space="preserve">      End If
            If referingColumnName = "Property - Owning Class" Then
                referedTableName = "meta_Classifiers"
                referedColumnName = "Display"
                Call StaticCode.updateIdOnNameChange(cellRef, referingTableN</t>
  </si>
  <si>
    <t>ame, referingColumnName, referedTableName, referedColumnName)
            End If
            If referingColumnName = "Type" Then
                referedTableName = "meta_Classifiers"
                referedColumnName = "Display"
                Call Static</t>
  </si>
  <si>
    <t xml:space="preserve">Code.updateIdOnNameChange(cellRef, referingTableName, referingColumnName, referedTableName, referedColumnName)
            End If
            If referingColumnName = "Property - Default Parameters" Then
                referedTableName = "meta_Literals"
  </t>
  </si>
  <si>
    <t xml:space="preserve">              referedColumnName = "Display"
                Call StaticCode.updateIdOnNameChange(cellRef, referingTableName, referingColumnName, referedTableName, referedColumnName)
            End If
            If referingColumnName = "Property - Using P</t>
  </si>
  <si>
    <t>roperty" Then
                referedTableName = "meta_TypedModelElements"
                referedColumnName = "Display"
                Call StaticCode.updateIdOnNameChange(cellRef, referingTableName, referingColumnName, referedTableName, referedColumnNam</t>
  </si>
  <si>
    <t>e)
            End If
            If referingColumnName = "Reference - Opposite" Then
                referedTableName = "meta_TypedModelElements"
                referedColumnName = "Display"
                Call StaticCode.updateIdOnNameChange(cellRef, r</t>
  </si>
  <si>
    <t>eferingTableName, referingColumnName, referedTableName, referedColumnName)
            End If
            If referingColumnName = "Parameter - Owning Function" Then
                referedTableName = "meta_TypedModelElements"
                referedColumnN</t>
  </si>
  <si>
    <t xml:space="preserve">ame = "Display"
                Call StaticCode.updateIdOnNameChange(cellRef, referingTableName, referingColumnName, referedTableName, referedColumnName)
            End If
        End If
        'ENDO OF PARAMETRIZATION'
    End If
End Sub
</t>
  </si>
  <si>
    <t xml:space="preserve">       referedColumnName = "Display"
        'check if the change is in the actual table and column to avoid bugs
        'START OF PARAMETRIZATION'
        If referingTableName = "meta_Tables" Then
            If referingColumnName = "Kind" Then
</t>
  </si>
  <si>
    <t xml:space="preserve">                referedTableName = "meta_Classifiers"
                referedColumnName = "Display"
            End If
            If referingColumnName = "Instances Class" Then
                referedTableName = "meta_Classifiers"
                referedC</t>
  </si>
  <si>
    <t>olumnName = "Display"
            End If
            'If referingColumnName = "Generalization" Then'
                'referedTableName = "Property"'
                'referedColumnName = "Property Name"'
            'End If '
        End If
        'ENDO OF</t>
  </si>
  <si>
    <t xml:space="preserve"> PARAMETRIZATION'
        If referedTableName &lt;&gt; "" Then
            Call StaticCode.updateIdOnNameChange(cellRef, referingTableName, referingColumnName, referedTableName, referedColumnName)
        End If
    End If
End Sub
</t>
  </si>
  <si>
    <t xml:space="preserve">       referedColumnName = "Display"
        'check if the change is in the actual table and column to avoid bugs
        'START OF PARAMETRIZATION'
        If referingTableName = "meta_Columns" Then
            If referingColumnName = "Kind" Then</t>
  </si>
  <si>
    <t xml:space="preserve">
                referedTableName = "meta_Classifiers"
                referedColumnName = "Display"
                Call StaticCode.updateIdOnNameChange(cellRef, referingTableName, referingColumnName, referedTableName, referedColumnName)
            End I</t>
  </si>
  <si>
    <t>f
            If referingColumnName = "Owning Table" Then
                referedTableName = "meta_Tables"
                referedColumnName = "Display"
                Call StaticCode.updateIdOnNameChange(cellRef, referingTableName, referingColumnName, re</t>
  </si>
  <si>
    <t>feredTableName, referedColumnName)
            End If
        End If
        'ENDO OF PARAMETRIZATION'
    End If
End Sub</t>
  </si>
  <si>
    <t xml:space="preserve">       referedColumnName = "Display"
        'check if the change is in the actual table and column to avoid bugs
        'START OF PARAMETRIZATION'
        If referingTableName = "meta_Rules" Then
            If referingColumnName = "Kind" Then
 </t>
  </si>
  <si>
    <t xml:space="preserve">               referedTableName = "meta_Classifiers"
                referedColumnName = "Display"
                Call StaticCode.updateIdOnNameChange(cellRef, referingTableName, referingColumnName, referedTableName, referedColumnName)
            End If
</t>
  </si>
  <si>
    <t xml:space="preserve">            If referingColumnName = "Class" Then
                referedTableName = "meta_Classifiers"
                referedColumnName = "Display"
                Call StaticCode.updateIdOnNameChange(cellRef, referingTableName, referingColumnName, refere</t>
  </si>
  <si>
    <t>dTableName, referedColumnName)
            End If
            If referingColumnName = "Feature" Then
              referingColumnNameForBaseTypeKind = "Feature Base Type Kind"
              referedTableName = "meta_TypedModelElements"
              refered</t>
  </si>
  <si>
    <t>ColumnName = "Display"
              referingColumnNameForQualifier1 = "Class:display:q."
              referingColumnNameForQualifier2 = "Super Class 1:display:q."
              referingColumnNameForQualifier3 = "Super Class 2:display:q."
              re</t>
  </si>
  <si>
    <t>feringColumnNameForQualifier4 = "Super Class 3:display:q."
              referingColumnNameForQualifier5 = "Super Class 4:display:q."
              referingColumnNameForQualifier6 = "Super Class 5:display:q."
              referingColumnNameForQualifier7 =</t>
  </si>
  <si>
    <t xml:space="preserve"> "Super Class 6:display:q."
              'TODO Create variant,accepting global functions (from package util), if referingColumnNameForQualifier1(Class:display:q.) starts with util.
              Call StaticCode.updateIdOnNameChangeTrySevenLevels(referingC</t>
  </si>
  <si>
    <t>olumnNameForBaseTypeKind, cellRef, referingTableName, referingColumnName, referingColumnNameForQualifier1, referingColumnNameForQualifier2, referingColumnNameForQualifier3, referingColumnNameForQualifier4, referingColumnNameForQualifier5, referingColumnNam</t>
  </si>
  <si>
    <t>eForQualifier6, referingColumnNameForQualifier7, referedTableName, referedColumnName)
            End If
            If referingColumnName = "Property 1" Then
              referingColumnNameForBaseTypeKind = "Base Type Kind"
              referedTableName</t>
  </si>
  <si>
    <t xml:space="preserve"> = "meta_TypedModelElements"
              referedColumnName = "Display"
              referingColumnNameForQualifier1 = "Base Class:display:q."
              referingColumnNameForQualifier2 = "Base Super Class 1:display:q."
              referingColumnNam</t>
  </si>
  <si>
    <t>eForQualifier3 = "Base Super Class 2:display:q."
              referingColumnNameForQualifier4 = "Base Super Class 3:display:q."
              referingColumnNameForQualifier5 = "Base Super Class 4:display:q."
              referingColumnNameForQualifier6 =</t>
  </si>
  <si>
    <t xml:space="preserve"> "Base Super Class 5:display:q."
              referingColumnNameForQualifier7 = "Super Class 6:display:q."
              'TODO Create variant,accepting global functions (from package util), if referingColumnNameForQualifier1(Base Class:display:q.) starts </t>
  </si>
  <si>
    <t>with util.
              Call StaticCode.updateIdOnNameChangeTrySevenLevels(referingColumnNameForBaseTypeKind, cellRef, referingTableName, referingColumnName, referingColumnNameForQualifier1, referingColumnNameForQualifier2, referingColumnNameForQualifier3</t>
  </si>
  <si>
    <t xml:space="preserve">, referingColumnNameForQualifier4, referingColumnNameForQualifier5, referingColumnNameForQualifier6, referingColumnNameForQualifier7, referedTableName, referedColumnName)
            End If
            If referingColumnName = "Property 2" Then
            </t>
  </si>
  <si>
    <t xml:space="preserve">  referingColumnNameForBaseTypeKind = "Property 1 Type Kind"
              referedTableName = "meta_TypedModelElements"
              referedColumnName = "Display"
              referingColumnNameForQualifier1 = "Property 1 Class:display:q."
              </t>
  </si>
  <si>
    <t xml:space="preserve">referingColumnNameForQualifier2 = "Property 1 Super Class 1:display:q."
              referingColumnNameForQualifier3 = "Property 1 Super Class 2:display:q."
              referingColumnNameForQualifier4 = "Property 1 Super Class 3:display:q."
            </t>
  </si>
  <si>
    <t xml:space="preserve">  referingColumnNameForQualifier5 = "Property 1 Super Class 4:display:q."
              referingColumnNameForQualifier6 = "Property 1 Super Class 5:display:q."
              referingColumnNameForQualifier7 = "Property 1 Class 6:display:q."
 </t>
  </si>
  <si>
    <t xml:space="preserve">             Call StaticCode.updateIdOnNameChangeTrySevenLevels(referingColumnNameForBaseTypeKind, cellRef, referingTableName, referingColumnName, referingColumnNameForQualifier1, referingColumnNameForQualifier2, referingColumnNameForQualifier3, referingCo</t>
  </si>
  <si>
    <t>lumnNameForQualifier4, referingColumnNameForQualifier5, referingColumnNameForQualifier6, referingColumnNameForQualifier7, referedTableName, referedColumnName)
            End If
            If referingColumnName = "Cast" Then
                referedTableN</t>
  </si>
  <si>
    <t>ame = "meta_Classifiers"
                referedColumnName = "Display"
                Call StaticCode.updateIdOnNameChange(cellRef, referingTableName, referingColumnName, referedTableName, referedColumnName)
            End If
            If referingColum</t>
  </si>
  <si>
    <t xml:space="preserve">nName = "Property 3" Then
              referingColumnNameForBaseTypeKind = "Property 2 or Cast Type Kind"
              referedTableName = "meta_TypedModelElements"
              referedColumnName = "Display"
              referingColumnNameForQualifier1 </t>
  </si>
  <si>
    <t>= "Property 2 Class:display:q."
              referingColumnNameForQualifier2 = "Property 2 Super Class 1:display:q."
              referingColumnNameForQualifier3 = "Property 2 Super Class 2:display:q."
              referingColumnNameForQualifier4 = "Pro</t>
  </si>
  <si>
    <t>perty 2 Super Class 3:display:q."
              referingColumnNameForQualifier5 = "Property 2 Super Class 4:display:q."
              referingColumnNameForQualifier6 = "Property 2 Super Class 5:display:q."
              referingColumnNameForQualifier7 = "P</t>
  </si>
  <si>
    <t>roperty 2 Class 6:display:q."
              Call StaticCode.updateIdOnNameChangeTrySevenLevels(referingColumnNameForBaseTypeKind, cellRef, referingTableName, referingColumnName, referingColumnNameForQualifier1, referingColumnNameForQualifier</t>
  </si>
  <si>
    <t xml:space="preserve">2, referingColumnNameForQualifier3, referingColumnNameForQualifier4, referingColumnNameForQualifier5, referingColumnNameForQualifier6, referingColumnNameForQualifier7, referedTableName, referedColumnName)
            End If
       End If
        'ENDO OF </t>
  </si>
  <si>
    <t>PARAMETRIZATION'
    End If
End Sub</t>
  </si>
  <si>
    <t>meta_TablePatterns</t>
  </si>
  <si>
    <t xml:space="preserve">       referedColumnName = "Display"
        'check if the change is in the actual table and column to avoid bugs
        'START OF PARAMETRIZATION'
        If referingTableName = "Classifiers" Then
            If referingColumnName = "Kind" Then
</t>
  </si>
  <si>
    <t xml:space="preserve">                referedTableName = "Classifiers"
                referedColumnName = "Display"
                Call StaticCode.updateIdOnNameChange(cellRef, referingTableName, referingColumnName, referedTableName, referedColumnName)
            End If
    </t>
  </si>
  <si>
    <t xml:space="preserve">        If referingColumnName = "Class - Generalization" Then
                referedTableName = "Classifiers"
                referedColumnName = "Display"
                Call StaticCode.updateIdOnNameChange(cellRef, referingTableName, referingColumnName</t>
  </si>
  <si>
    <t>, referedTableName, referedColumnName)
            End If
            'If referingColumnName = "Generalization" Then'
                'referedTableName = "Property"'
                'referedColumnName = "Property Name"'
            'End If '
        End If</t>
  </si>
  <si>
    <t xml:space="preserve">
        'ENDO OF PARAMETRIZATION'
    End If
End Sub
</t>
  </si>
  <si>
    <t>meta_CodeTemplates</t>
  </si>
  <si>
    <t xml:space="preserve">       referedColumnName = "Display"
        'check if the change is in the actual table and column to avoid bugs
        'START OF PARAMETRIZATION'
        If referingTableName = "meta_Literals" Then
            If referingColumnName = "Kind" The</t>
  </si>
  <si>
    <t xml:space="preserve">n
                referedTableName = "meta_Classifiers"
                referedColumnName = "Display"
            End If
            If referingColumnName = "Parent" Then
                referedTableName = "meta_Literals"
                referedColumnName </t>
  </si>
  <si>
    <t>= "Display"
            End If
            'If referingColumnName = "Generalization" Then'
                'referedTableName = "Property"'
                'referedColumnName = "Property Name"'
            'End If '
        End If
        'ENDO OF PARAMETRI</t>
  </si>
  <si>
    <t xml:space="preserve">ZATION'
        If referedTableName &lt;&gt; "" Then
            Call StaticCode.updateIdOnNameChange(cellRef, referingTableName, referingColumnName, referedTableName, referedColumnName)
        End If
    End If
End Sub
</t>
  </si>
  <si>
    <t xml:space="preserve">       referedColumnName = "TName"
        'check if the change is in the actual table and column to avoid bugs
        'START OF PARAMETRIZATION'
        If referingTableName = "belowred_Table1Rows" Then
            If referingColumnName = "Table</t>
  </si>
  <si>
    <t xml:space="preserve"> 2 Ref" Then
                referedTableName = "belowred_Table2Rows"
                referedColumnName = "T2 Name"
            End If
            'If referingColumnName = "Generalization" Then'
                'referedTableName = "Property"'
             </t>
  </si>
  <si>
    <t xml:space="preserve">   'referedColumnName = "Property Name"'
            'End If '
        End If
        'ENDO OF PARAMETRIZATION'
        If referedTableName &lt;&gt; "" Then
            Call StaticCode.updateIdOnNameChange(cellRef, referingTableName, referingColumnName,</t>
  </si>
  <si>
    <t xml:space="preserve"> referedTableName, referedColumnName)
        End If
    End If
End Sub</t>
  </si>
  <si>
    <t>Class1</t>
  </si>
  <si>
    <t xml:space="preserve">' Class1
Option Explicit
' </t>
  </si>
  <si>
    <t xml:space="preserve">Function implementations
Public </t>
  </si>
  <si>
    <t xml:space="preserve">Function resultAttribute_Derive(selfId As String, src As Variant) As String
    resultAttribute_Derive = "Derived String"
End Function
Public </t>
  </si>
  <si>
    <t xml:space="preserve">Function resultAttribute_Display(selfId As String, src As Variant) As String
    resultAttribute_Display = "Displayed String"
End Function
Public </t>
  </si>
  <si>
    <t xml:space="preserve">Function resultAttribute_Group(selfId As String, src As Variant) As String
    resultAttribute_Group = "Grouped String"
End Function
Public </t>
  </si>
  <si>
    <t xml:space="preserve">Function resultAttribute_Choices(selfId As String, src As Variant) As Variant
    resultAttribute_Choices = Array("Choice1", "Choice2", "Choice3")
End Function
Public </t>
  </si>
  <si>
    <t xml:space="preserve">Function resultAttribute_Constraint(selfId As String, src As Variant, trg As String) As Boolean
    resultAttribute_Constraint = True
End Function
</t>
  </si>
  <si>
    <t>Class2</t>
  </si>
  <si>
    <t xml:space="preserve">' Class2
Option Explicit
' </t>
  </si>
  <si>
    <t xml:space="preserve">Function resultAttribute_Derive(selfId As String, src As Variant) As String
    resultAttribute_Derive = "Derived String from Class2"
End Function
Public </t>
  </si>
  <si>
    <t xml:space="preserve">Function resultAttribute_Display(selfId As String, src As Variant) As String
    resultAttribute_Display = "Displayed String from Class2"
End Function
Public </t>
  </si>
  <si>
    <t xml:space="preserve">Function resultAttribute_Group(selfId As String, src As Variant) As String
    resultAttribute_Group = "Grouped String from Class2"
End Function
Public </t>
  </si>
  <si>
    <t xml:space="preserve">Function resultAttribute_Choices(selfId As String, src As Variant) As Variant
    resultAttribute_Choices = Array("ChoiceA", "ChoiceB", "ChoiceC")
End Function
Public </t>
  </si>
  <si>
    <t xml:space="preserve">Function resultAttribute_Constraint(selfId As String, src As Variant, trg As String) As Boolean
    resultAttribute_Constraint = False
End Function
</t>
  </si>
  <si>
    <t>::CreateForms</t>
  </si>
  <si>
    <t xml:space="preserve">Sub CommandButton1_Click()"
        .InsertLines .CountOfLines + 1, "    transferMode = ""normal"""
        .InsertLines .CountOfLines + 1, "    Unload Me"
        .InsertLines .CountOfLines + 1, "End Sub"
        ' Handle close button (X)
       </t>
  </si>
  <si>
    <t xml:space="preserve"> .InsertLines .CountOfLines + 1, "Private </t>
  </si>
  <si>
    <t>Sub UserForm_QueryClose(Cancel As Integer, CloseMode As Integer)"
        .InsertLines .CountOfLines + 1, "    If CloseMode = vbFormControlMenu Then"
        .InsertLines .CountOfLines + 1, "        MsgBox ""Operation canceled. Program terminates."", vbCri</t>
  </si>
  <si>
    <t>Sub CommandButton1_Click()"
        .InsertLines .CountOfLines + 1, "    fulltransfer = True"
        .InsertLines .CountOfLines + 1, "    Unload Me"
        .InsertLines .CountOfLines + 1, "End Sub"
        ' ListBox1 Double Click event
        .</t>
  </si>
  <si>
    <t xml:space="preserve">InsertLines .CountOfLines + 1, "Private </t>
  </si>
  <si>
    <t xml:space="preserve">Sub ListBox1_DblClick(ByVal Cancel As MSForms.ReturnBoolean)"
        .InsertLines .CountOfLines + 1, "    sourceTable = Me.ListBox1.Text"
        .InsertLines .CountOfLines + 1, "    Unload Me"
        .InsertLines .CountOfLines + 1, "End Sub"
  </t>
  </si>
  <si>
    <t xml:space="preserve">      ' UserForm Initialize event
        .InsertLines .CountOfLines + 1, "Private </t>
  </si>
  <si>
    <t>Sub UserForm_Initialize()"
        .InsertLines .CountOfLines + 1, "    Dim sh As Worksheet"
        .InsertLines .CountOfLines + 1, "    Dim tbl As ListObject"
        .InsertLines .CountOfLines + 1, "    For Each sh In ThisWorkbook.Worksheets"
        .I</t>
  </si>
  <si>
    <t xml:space="preserve">nsertLines .CountOfLines + 1, "        For Each tbl In sh.ListObjects"
        .InsertLines .CountOfLines + 1, "            Me.ListBox1.AddItem tbl.Name"
        .InsertLines .CountOfLines + 1, "        Next tbl"
        .InsertLines .CountOfLines + 1, "  </t>
  </si>
  <si>
    <t xml:space="preserve">  Next sh"
        .InsertLines .CountOfLines + 1, "End Sub"
        ' Handle close button (X)
        .InsertLines .CountOfLines + 1, "Private </t>
  </si>
  <si>
    <t>Sub CommandButton1_Click()"
        .InsertLines .CountOfLines + 1, "    targetTable = ""no selection"""
        .InsertLines .CountOfLines + 1, "    Unload Me"
        .InsertLines .CountOfLines + 1, "End Sub"
        ' ListBox1 Double Click even</t>
  </si>
  <si>
    <t xml:space="preserve">t
        .InsertLines .CountOfLines + 1, "Private </t>
  </si>
  <si>
    <t xml:space="preserve">Sub ListBox1_DblClick(ByVal Cancel As MSForms.ReturnBoolean)"
        .InsertLines .CountOfLines + 1, "    targetTable = Me.ListBox1.Text"
        .InsertLines .CountOfLines + 1, "    Unload Me"
        .InsertLines .CountOfLines + 1, "End Sub"
  </t>
  </si>
  <si>
    <t xml:space="preserve">Sub CommandButton1_Click()"
        .InsertLines .CountOfLines + 1, "    source_fix = True"
        .InsertLines .CountOfLines + 1, "    Unload Me"
        .InsertLines .CountOfLines + 1, "End Sub"
        .InsertLines .CountOfLines + 1, "Private </t>
  </si>
  <si>
    <t>Sub CommandButton2_Click()"
        .InsertLines .CountOfLines + 1, "    Unload Me"
        .InsertLines .CountOfLines + 1, "    MsgBox ""Program terminates"""
        .InsertLines .CountOfLines + 1, "    End"
        .InsertLines .CountOfLines + 1, "End S</t>
  </si>
  <si>
    <t xml:space="preserve">ub"
        ' Handle close button (X)
        .InsertLines .CountOfLines + 1, "Private </t>
  </si>
  <si>
    <t xml:space="preserve">Sub CommandButton1_Click()"
        .InsertLines .CountOfLines + 1, "    target_fix = True"
        .InsertLines .CountOfLines + 1, "    Unload Me"
        .InsertLines .CountOfLines + 1, "End Sub"
        .InsertLines .CountOfLines + 1, "Private </t>
  </si>
  <si>
    <t>::Test</t>
  </si>
  <si>
    <t xml:space="preserve">
</t>
  </si>
  <si>
    <t>FastLookup</t>
  </si>
  <si>
    <t xml:space="preserve">Option Explicit
Private Type KeyValue
    key As String
    Value As Long
End Type
Private Keys() As KeyValue
Private keyCount As Long
Private </t>
  </si>
  <si>
    <t xml:space="preserve">Sub Class_Initialize()
    ReDim Keys(1 To 10) ' Start with an initial size of 10
    keyCount = 0
End Sub
Public </t>
  </si>
  <si>
    <t>Sub Add(key As String, Value As Long)
    ' Check if key already exists
    Dim i As Long
    For i = 1 To keyCount
        If Keys(i).key = key Then Exit Sub
    Next i
    ' Add new key-value pair
    keyCount = keyCount + 1
    ' Resize array if ne</t>
  </si>
  <si>
    <t xml:space="preserve">eded
    If keyCount &gt; UBound(Keys) Then
        ReDim Preserve Keys(1 To keyCount + 10) ' Increase size by 10
    End If
    Keys(keyCount).key = key
    Keys(keyCount).Value = Value
End Sub
Public </t>
  </si>
  <si>
    <t>Function Exists(key As String) As Boolean
    Dim i As Long
    For i = 1 To keyCount
        If Keys(i).key = key Then
            Exists = True
            Exit Function
        End If
    Next i
    Exists = False
End Function
Public Property Get item(</t>
  </si>
  <si>
    <t>key As String) As Long
    Dim i As Long
    For i = 1 To keyCount
        If Keys(i).key = key Then
            item = Keys(i).Value
            Exit Property
        End If
    Next i
    item = 0 ' Return 0 if key not found
End Property
Public Property</t>
  </si>
  <si>
    <t xml:space="preserve"> Get AllKeys() As Variant
    Dim result() As String
    If keyCount &gt; 0 Then
        ReDim result(1 To keyCount)
        Dim i As Long
        For i = 1 To keyCount
            result(i) = Keys(i).key
        Next i
    Else
        ReDim result(0 To 0) '</t>
  </si>
  <si>
    <t>CheckChange</t>
  </si>
  <si>
    <t>Sub updateIdOnNameChange(cellRef, referingTableName, referingColumnName, referedTableName, referedColumnName)
Dim refTbl As ListObject
    Application.EnableEvents = False
    Application.Undo
    OldFormula = cellRef.formula
    Application.Undo
    Appli</t>
  </si>
  <si>
    <t>cation.EnableEvents = True
    Set referingTable = ActiveSheet.ListObjects(referingTableName)
    'Set referingTableRefIdColumn = referingTable.ListColumns("Generalization ID")
    Set referingTableRefIdColumn = referingTable.ListColumns(referingColum</t>
  </si>
  <si>
    <t>nName &amp; " ID")
    referingRowIndex = getReferingRowIndex(cellRef, referingTable) 'to find out which row of the table changed
    If cellRef.Value = "" Then
        Application.EnableEvents = False
        cellRef.formula = OldFormula
        referingTabl</t>
  </si>
  <si>
    <t>eRefIdColumn.DataBodyRange(referingRowIndex) = ""
        Application.EnableEvents = True
    Else
         'Set referingTableRefNameColumn = referingTable.ListColumns("Generalization")
         'Set referingTableRefNameQColumn = referingTable.ListColumns(</t>
  </si>
  <si>
    <t>"Generalization Q")
         Set referingTableFullPackageColumn = referingTable.ListColumns("Full Package")
         Set referingTableRefNameColumn = referingTable.ListColumns(referingColumnName)
         '
         'Set referingTableRefNameQColumn = refer</t>
  </si>
  <si>
    <t xml:space="preserve"> If
              Next tbl
         Next sht
         Set referedTable = refTbl
         Set referedTableIdColumn = referedTable.ListColumns("ID")
         Set referedTableNameColumn = referedTable.ListColumns(referedColumnName)
         Set referedTableNa</t>
  </si>
  <si>
    <t xml:space="preserve">meQColumn = referedTable.ListColumns(referedColumnName &amp; " Q")
         'Call </t>
  </si>
  <si>
    <t>Sub to handle the change; provide cellRef (changed cell), tabel (in which sheet did the change happend
         'id Ref (in which column the uuid is in the sheet)
         'Call first(cellRef, referingTable, referedTable, referedTableIdColumn, re</t>
  </si>
  <si>
    <t>feredTableNameColumn, referedTableNameQColumn, referingTableRefIdColumn, referingTableRefNameColumn, referingTableRefNameQColumn)
             'this module gets the changed cell, the sheet, and the location of the uuid in the sheet
         refer</t>
  </si>
  <si>
    <t>ingRowNameValue = referingTable.DataBodyRange.Cells(referingRowIndex, referingTableRefNameColumn.Index)
         referingRowFullPackageValue = referingTable.DataBodyRange.Cells(referingRowIndex, referingTableFullPackageColumn.Index)
         referingRowNam</t>
  </si>
  <si>
    <t>eValue = referingTable.DataBodyRange.Cells(referingRowIndex, referingTableRefNameColumn.Index)
         referingRowNameQValue = referingRowNameValue
         If InStr(referingRowNameValue, "::") = 0 Then
             referingRowNameQValue = referingRowFull</t>
  </si>
  <si>
    <t>PackageValue &amp; "::" &amp; referingRowNameValue
         End If
         referingRowNameQValue = Replace(referingRowNameQValue, " ", "")
         'referingRowNameQValue = referingTable.DataBodyRange.Cells(referingRowIndex, referingTableRefNameQColumn.</t>
  </si>
  <si>
    <t>Index)
         referedRowIndex = getMatchingRowIndex(referingRowNameQValue, referedTableNameQColumn)
         If referedRowIndex &lt;&gt; -1 Then
             'if yes: leave the cell in it's current status, update the ID value, replace cell value by f</t>
  </si>
  <si>
    <t xml:space="preserve">ormular
             'for that we need the changedSheet so we know which sheet the change was happening
             referingTableRefIdColumn.DataBodyRange(referingRowIndex) = referedTable.DataBodyRange.Cells(referedRowIndex, referedTableIdColumn.Index)
  </t>
  </si>
  <si>
    <t xml:space="preserve">       End If
         Application.EnableEvents = False
        cellRef.formula = OldFormula
        Application.EnableEvents = True
   End If
   'ElseIf cellRef = "" Then
    '    Application.EnableEvents = False
    '    cellRef.Value = ""
    '    Appli</t>
  </si>
  <si>
    <t>cation.EnableEvents = True
    '    referingTableRefIdColumn.DataBodyRange(referingRowIndex) = ""
    'Else
     '   'new value is not in range
      '  'if no: reject the change
       ' 'to reject the change and maintain a valid excel we have to reset th</t>
  </si>
  <si>
    <t xml:space="preserve">e cell to the value it had before
        ''review with LEVEND, simply do undo programmatically.
         '
        'oldIdValue = referingTableRefIdColumn.DataBodyRange(referingRowIndex)
        'Set idValues = referedTableIdColumn.DataBodyRange
        '
</t>
  </si>
  <si>
    <t xml:space="preserve">        'If oldIdValue &lt;&gt; "" Then
        '    idRowIndex = 0
        '    isIdValid = False
        '
        '    For Each idValue In idValues
        '        idRowIndex = idRowIndex + 1
        '        If idValue = oldIdValue Then
        '           </t>
  </si>
  <si>
    <t xml:space="preserve"> isIdValid = True
        '            Exit For
        '        End If
        '    Next idValue
        '
         '   If isIdValid = True Then
         '       nameRowValue = referingTable.DataBodyRange.Cells(idRowIndex, referedTableNameColumn.Index)
  </t>
  </si>
  <si>
    <t xml:space="preserve">       '       Application.EnableEvents = False
         '       cellRef.Value = nameRowValue
         '       Application.EnableEvents = True
         '   Else
         '       Application.EnableEvents = False
         '       cellRef.Value = ""
         </t>
  </si>
  <si>
    <t xml:space="preserve">'       Application.EnableEvents = True
         '       referingTableRefIdColumn.DataBodyRange(referingRowIndex) = ""
         '   End If
        'End If
   ' End If
End Sub
</t>
  </si>
  <si>
    <t>Sub second(cellRef, referingTable, referedTableIdColumn, referedTableNameColumn, referingTableRefIdColumn, referingTableRefNameColumn)
    referingRowIndex = getReferingRowIndex(cellRef, referingTable)
    actionIdValue = referingTable.DataBodyRange.Cells(</t>
  </si>
  <si>
    <t>referingRowIndex, referedTableIdColumn.Index)
    Set genIdValues = referingTableRefIdColumn.DataBodyRange
    For Each genIdValue In genIdValues    ' go through all possible values
        cellRowIndex = cellRowIndex + 1
        If genIdVal</t>
  </si>
  <si>
    <t xml:space="preserve">ue = actionIdValue Then
            referingTableRefNameColumn.DataBodyRange(cellRowIndex) = cellRef
        End If
    Next genIdValue
End Sub
Public </t>
  </si>
  <si>
    <t xml:space="preserve">Function getReferingRowIndex(cellRef, referingTable)
    getReferingRowIndex = cellRef.row - referingTable.HeaderRowRange.row
End Function
Public </t>
  </si>
  <si>
    <t>Function getMatchingRowIndex(queryValue, listCol)
    Set colValues = listCol.DataBodyRange
    cellRowIndex = 0
    For Each colValue In colValues    ' go through all possible values
        cellRowIndex = cellRowIndex + 1
        If colValue = queryValue</t>
  </si>
  <si>
    <t xml:space="preserve"> Then
            ' return the matching row
            getMatchingRowIndex = cellRowIndex
            Exit Function
        End If
    Next colValue
    ' return -1 if not found
    getMatchingRowIndex = -1
End Function
</t>
  </si>
  <si>
    <t>CheckChange1</t>
  </si>
  <si>
    <t>Sub validateSource()
    MsgBox (sourceTable &amp; " was selected as source table.")
    Dim source_id_count As Integer
    Dim source_id_col As String
    Dim source_id_duplicate As Boolean
    Dim source_table_invalid_value As Boolean
    Dim source_tab</t>
  </si>
  <si>
    <t>count = 0
    ' Get headers as array for faster processing
    Dim headers As Variant
    headers = stbl.HeaderRowRange.Value2
    Dim i As Long
    For i = 1 To UBound(headers, 2)
        If UCase$(CStr(headers(1, i))) = "ID" Then
            so</t>
  </si>
  <si>
    <t xml:space="preserve">urce_id_col = headers(1, i)
            source_id_count = 1
            Exit For
        End If
    Next i
    'check for uniqueness of IDs and existence of ID in every row
    Dim id_range As Range
    Dim id_range_add As String
    Dim cel As Range
</t>
  </si>
  <si>
    <t xml:space="preserve">    
    If source_id_count = 1 Then
        Set id_range = stbl.ListColumns(source_id_col).DataBodyRange
        id_range_add = stbl.ListColumns(source_id_col).DataBodyRange.Address
        If Not IsArray(id_range) Then id_range = Array(id_range)</t>
  </si>
  <si>
    <t>ElseIf IsEmpty(cel) Then
                source_id_duplicate = True
                Exit For
            End If
        Next
    End If
    'check if columns are consistent (either only values or only same formula)
    Dim colHeader As Range
    Dim s</t>
  </si>
  <si>
    <t>trFormula As String
    For Each colHeader In stbl.HeaderRowRange
        If stbl.ListColumns(colHeader.Value).DataBodyRange(1).HasFormula Then
            'first row is a formula -&gt; check if all rows in the column have same formula
            strFor</t>
  </si>
  <si>
    <t xml:space="preserve">mula = stbl.ListColumns(colHeader.Value).DataBodyRange(1).formula
            For Each cel In stbl.ListColumns(colHeader.Value).DataBodyRange
                If Not cel.HasFormula Then
                    source_table_invalid_formula = True
  </t>
  </si>
  <si>
    <t xml:space="preserve">                  Exit For
                ElseIf cel.formula &lt;&gt; strFormula Then
                    source_table_invalid_formula = True
                    Exit For
                End If
            Next
            If source_table_invalid_f</t>
  </si>
  <si>
    <t xml:space="preserve">ormula Then Exit For
        Else
            'first row is a value -&gt; check if all rows have a value
            For Each cel In stbl.ListColumns(colHeader.Value).DataBodyRange
                If cel.HasFormula Then
                    'if one cell has a </t>
  </si>
  <si>
    <t>formula -&gt; invalid
                    source_table_invalid_value = True
                    Exit For
                End If
            Next
            If source_table_invalid_value Then Exit For
        End If
    Next
    Application.</t>
  </si>
  <si>
    <t>Calculation = xlCalculationAutomatic
    Application.ScreenUpdating = True
    If source_id_count = 1 And source_id_duplicate = False And source_table_invalid_formula = False And source_table_invalid_value = False Then
        'valid
        sourceval</t>
  </si>
  <si>
    <t>id = True
        'MsgBox ("The selected source table is valid.")
    Else
        'invalid
        Dim sourceInvalid As UserForm_SourceInvalid
        Set sourceInvalid = New UserForm_SourceInvalid
        sourceInvalid.Show
        If source_fix</t>
  </si>
  <si>
    <t>StaticCode</t>
  </si>
  <si>
    <t>Sub updateIdOnNameChangeTrySevenLevels(referingColumnNameForTypeKind, cellRef, referingTableName, referingColumnName, referingColumnNameForQualifier1, referingColumnNameForQualifier2, referingColumnNameForQualifier3, referingColumnNameForQualifier4, referi</t>
  </si>
  <si>
    <t>ngColumnNameForQualifier5, referingColumnNameForQualifier6, referingColumnNameForQualifier7, referedTableName, referedColumnName)
Dim refTbl As ListObject
    Application.EnableEvents = False
    Application.Undo
    OldFormula = cellRef.formula
    'TODO:</t>
  </si>
  <si>
    <t xml:space="preserve"> if old formula was empty, copy formula of upper line into OldFormula
    'create cellRefOneLineUp
    'OldFormula = cellRefOneLineUp.Formula
    Application.Undo
    Application.EnableEvents = True
    Set referingTable = ActiveSheet.ListObjects</t>
  </si>
  <si>
    <t>(referingTableName)
    'NON GENERIC: Set referingTableRefIdColumn = referingTable.ListColumns("Generalization:src")
    Set referingTableRefIdColumn = referingTable.ListColumns(referingColumnName &amp; ":src")
    referingRowIndex = getReferingRowIndex(cellRe</t>
  </si>
  <si>
    <t>f, referingTable) 'to find out which row of the table changed
    'THIS REPLACES LATER refNameValue = referingTable.DataBodyRange.Cells(referingRowIndex, referingTableRefNameColumn.Index)'
    refNameValue = cellRef.Value
    'TODO here apply CamelCa</t>
  </si>
  <si>
    <t>seUpper instead of just replacing the spaces.
    refNameValue = Replace(refNameValue, " ", "")
    If refNameValue = "" Then
        Application.EnableEvents = False
        cellRef.formula = OldFormula
        referingTableRefIdColumn.DataBodyRange(refer</t>
  </si>
  <si>
    <t>ingRowIndex) = ""
        Application.EnableEvents = True
    Else
         'NON GENERIC: Set referingTableRefNameColumn = referingTable.ListColumns("Generalization")
         'No refering PackageColumn used here: Set referingTablePackageColumn = referingT</t>
  </si>
  <si>
    <t>feredTableName Then
                      Set refTbl = tbl
                 End If
              Next tbl
         Next sht
         Set referedTable = refTbl
         Set referedTableIdColumn = referedTable.ListColumns("ID")
         Set referedTableNameC</t>
  </si>
  <si>
    <t>olumn = referedTable.ListColumns(referedColumnName)
         Set referedTableNameQColumn = referedTable.ListColumns(referedColumnName &amp; ":q")
         'Cover Case where BaseTypeKind is "_Datatype": in that case, global functions from util are loo</t>
  </si>
  <si>
    <t>ked up:
         Set referingTableTypeKindColumn = referingTable.ListColumns(referingColumnNameForTypeKind)
         referingRowTypeKindValue = referingTable.DataBodyRange.Cells(referingRowIndex, referingTableTypeKindColumn.Index)
         If referingRowTy</t>
  </si>
  <si>
    <t>peKindValue = "_Datatype" Then
            refNameQValue = "util::" &amp; refNameValue
            referedRowIndex = getMatchingRowIndex(refNameQValue, referedTableNameQColumn)
            If referedRowIndex &lt;&gt; -1 Then
                referingTableRefIdColumn.</t>
  </si>
  <si>
    <t>DataBodyRange(referingRowIndex) = referedTable.DataBodyRange.Cells(referedRowIndex, referedTableIdColumn.Index)
            End If
         Else
         'Apply Qualifier 1:
         Set referingTableQualifier1Column = referingTable.ListColumns(referingCol</t>
  </si>
  <si>
    <t>umnNameForQualifier1)
         referingRowQualifier1Value = referingTable.DataBodyRange.Cells(referingRowIndex, referingTableQualifier1Column.Index)
         refNameQValue = referingRowQualifier1Value &amp; refNameValue
         referedRowIndex = getMatchingRo</t>
  </si>
  <si>
    <t>wIndex(refNameQValue, referedTableNameQColumn)
         If referedRowIndex &lt;&gt; -1 Then
                referingTableRefIdColumn.DataBodyRange(referingRowIndex) = referedTable.DataBodyRange.Cells(referedRowIndex, referedTableIdColumn.Index)
             Else</t>
  </si>
  <si>
    <t xml:space="preserve">
                'Apply Qualifier 2:
                Set referingTableQualifier2Column = referingTable.ListColumns(referingColumnNameForQualifier2)
                referingRowQualifier2Value = referingTable.DataBodyRange.Cells(referingRowIndex, referingTab</t>
  </si>
  <si>
    <t xml:space="preserve">leQualifier2Column.Index)
                refNameQValue = referingRowQualifier2Value &amp; refNameValue
                referedRowIndex = getMatchingRowIndex(refNameQValue, referedTableNameQColumn)
                If referedRowIndex &lt;&gt; -1 Then
                </t>
  </si>
  <si>
    <t xml:space="preserve">        referingTableRefIdColumn.DataBodyRange(referingRowIndex) = referedTable.DataBodyRange.Cells(referedRowIndex, referedTableIdColumn.Index)
                    Else
                        'Apply Qualifier 3:
                        Set referingTableQ</t>
  </si>
  <si>
    <t>ualifier3Column = referingTable.ListColumns(referingColumnNameForQualifier3)
                        referingRowQualifier3Value = referingTable.DataBodyRange.Cells(referingRowIndex, referingTableQualifier3Column.Index)
                        refNameQValue</t>
  </si>
  <si>
    <t xml:space="preserve"> = referingRowQualifier3Value &amp; refNameValue
                        referedRowIndex = getMatchingRowIndex(refNameQValue, referedTableNameQColumn)
                        If referedRowIndex &lt;&gt; -1 Then
                                referingTableRefIdColum</t>
  </si>
  <si>
    <t>n.DataBodyRange(referingRowIndex) = referedTable.DataBodyRange.Cells(referedRowIndex, referedTableIdColumn.Index)
                            Else
                                'Apply Qualifier 4:
                                Set referingTableQualifie</t>
  </si>
  <si>
    <t>r4Column = referingTable.ListColumns(referingColumnNameForQualifier4)
                                referingRowQualifier4Value = referingTable.DataBodyRange.Cells(referingRowIndex, referingTableQualifier4Column.Index)
                                refN</t>
  </si>
  <si>
    <t xml:space="preserve">ameQValue = referingRowQualifier4Value &amp; refNameValue
                                referedRowIndex = getMatchingRowIndex(refNameQValue, referedTableNameQColumn)
                                If referedRowIndex &lt;&gt; -1 Then
                              </t>
  </si>
  <si>
    <t xml:space="preserve">          referingTableRefIdColumn.DataBodyRange(referingRowIndex) = referedTable.DataBodyRange.Cells(referedRowIndex, referedTableIdColumn.Index)
                                    Else
                                        'Apply Qualifier 5:
        </t>
  </si>
  <si>
    <t xml:space="preserve">                                Set referingTableQualifier5Column = referingTable.ListColumns(referingColumnNameForQualifier5)
                                        referingRowQualifier5Value = referingTable.DataBodyRange.Cells(referingRowIndex, refering</t>
  </si>
  <si>
    <t xml:space="preserve">TableQualifier5Column.Index)
                                        refNameQValue = referingRowQualifier5Value &amp; refNameValue
                                        referedRowIndex = getMatchingRowIndex(refNameQValue, referedTableNameQColumn)
           </t>
  </si>
  <si>
    <t xml:space="preserve">                             If referedRowIndex &lt;&gt; -1 Then
                                                referingTableRefIdColumn.DataBodyRange(referingRowIndex) = referedTable.DataBodyRange.Cells(referedRowIndex, referedTableIdColumn.Index)
            </t>
  </si>
  <si>
    <t xml:space="preserve">                                Else
                                                'Apply Qualifier 6:
                                                Set referingTableQualifier6Column = referingTable.ListColumns(referingColumnNameForQualifier6)
        </t>
  </si>
  <si>
    <t xml:space="preserve">                                        referingRowQualifier6Value = referingTable.DataBodyRange.Cells(referingRowIndex, referingTableQualifier6Column.Index)
                                                refNameQValue = referingRowQualifier6Value &amp; refNa</t>
  </si>
  <si>
    <t xml:space="preserve">meValue
                                                referedRowIndex = getMatchingRowIndex(refNameQValue, referedTableNameQColumn)
                                                If referedRowIndex &lt;&gt; -1 Then
                                            </t>
  </si>
  <si>
    <t xml:space="preserve">            referingTableRefIdColumn.DataBodyRange(referingRowIndex) = referedTable.DataBodyRange.Cells(referedRowIndex, referedTableIdColumn.Index)
                                                    Else
                                                  </t>
  </si>
  <si>
    <t xml:space="preserve">      'Apply Qualifier 7:
                                                        Set referingTableQualifier7Column = referingTable.ListColumns(referingColumnNameForQualifier7)
                                                        referingRowQualifier7Va</t>
  </si>
  <si>
    <t xml:space="preserve">lue = referingTable.DataBodyRange.Cells(referingRowIndex, referingTableQualifier7Column.Index)
                                                        refNameQValue = referingRowQualifier17Value &amp; refNameValue
                                              </t>
  </si>
  <si>
    <t xml:space="preserve">          referedRowIndex = getMatchingRowIndex(refNameQValue, referedTableNameQColumn)
                                                        If referedRowIndex &lt;&gt; -1 Then
                                                                referingTableRefId</t>
  </si>
  <si>
    <t>Column.DataBodyRange(referingRowIndex) = referedTable.DataBodyRange.Cells(referedRowIndex, referedTableIdColumn.Index)
                                                            Else
                                                                'try whe</t>
  </si>
  <si>
    <t>ther _ ID object exists:
                                                                'TODO here apply CamelCaseUpper instead of just replacing the spaces.
                                                                refNameValue = Replace(refNameVal</t>
  </si>
  <si>
    <t xml:space="preserve">ue, " ", "")
                                                                refIDValue = "_" &amp; refNameValue
                                                                Set referedTableIdColumn = referedTable.ListColumns("ID")
                         </t>
  </si>
  <si>
    <t xml:space="preserve">                                       referedRowIndex = getMatchingRowIndex(refIDValue, referedTableIdColumn)
                                                                If referedRowIndex &lt;&gt; -1 Then
                                                   </t>
  </si>
  <si>
    <t xml:space="preserve">                 referingTableRefIdColumn.DataBodyRange(referingRowIndex) = refIDValue
                                                                    End If
                                                            End If
                           </t>
  </si>
  <si>
    <t xml:space="preserve">                         End If
                                            End If
                                    End If
                            End If
                    End If
            End If
            End If
         Application.EnableEve</t>
  </si>
  <si>
    <t xml:space="preserve">nts = False
        cellRef.formula = OldFormula
        Application.EnableEvents = True
   End If
End Sub
</t>
  </si>
  <si>
    <t>cation.EnableEvents = True
    Set referingTable = ActiveSheet.ListObjects(referingTableName)
    'NON GENERIC: Set referingTableRefIdColumn = referingTable.ListColumns("Generalization:src")
    Set referingTableRefIdColumn = referingTable.ListColumns</t>
  </si>
  <si>
    <t>(referingColumnName &amp; ":src")
    referingRowIndex = getReferingRowIndex(cellRef, referingTable) 'to find out which row of the table changed
    'THIS REPLACES LATER refNameValue = referingTable.DataBodyRange.Cells(referingRowIndex, referingTableRefNameCo</t>
  </si>
  <si>
    <t>lumn.Index)'
    refNameValue = cellRef.Value
    'TODO here apply CamelCaseUpper instead of just replacing the spaces.
    refNameValue = Replace(refNameValue, " ", "")
    If refNameValue = "" Then
        Application.EnableEvents = False
        ce</t>
  </si>
  <si>
    <t>llRef.formula = OldFormula
        referingTableRefIdColumn.DataBodyRange(referingRowIndex) = ""
        Application.EnableEvents = True
    Else
         'NON GENERIC: Set referingTableRefNameColumn = referingTable.ListColumns("Generalization")
         S</t>
  </si>
  <si>
    <t>et referingTablePackageColumn = referingTable.ListColumns("Package")
         Set referingTableRefNameColumn = referingTable.ListColumns(referingColumnName)
         '
         For Each sht In ActiveWorkbook.Worksheets
             For Each tbl In sht.List</t>
  </si>
  <si>
    <t>umns("ID")
         Set referedTableNameColumn = referedTable.ListColumns(referedColumnName)
         Set referedTableNameQColumn = referedTable.ListColumns(referedColumnName &amp; ":q")
         referingRowPackageValue = referingTable.DataBodyRange.</t>
  </si>
  <si>
    <t>Cells(referingRowIndex, referingTablePackageColumn.Index)
         'TODO: here make the packkage all lower case, accepting only letters and ::
         referingRowPackageValue = Replace(referingRowPackageValue, " ", "")
         refNameQValue = refNameValu</t>
  </si>
  <si>
    <t>e
         If InStr(refNameValue, "::") = 0 Then
            If referingRowPackageValue &lt;&gt; "" Then
                  refNameQValue = referingRowPackageValue &amp; "::" &amp; refNameValue
            End If
         End If
         referedRowIndex = getMatchingRowI</t>
  </si>
  <si>
    <t>ndex(refNameQValue, referedTableNameQColumn)
         If referedRowIndex &lt;&gt; -1 Then
             'if yes: leave the cell in it's current status, update the ID value, replace cell value by formular
             'for that we need the changedSheet s</t>
  </si>
  <si>
    <t xml:space="preserve">o we know which sheet the change was happening
             referingTableRefIdColumn.DataBodyRange(referingRowIndex) = referedTable.DataBodyRange.Cells(referedRowIndex, referedTableIdColumn.Index)
             Else
                'try whether _ ID object </t>
  </si>
  <si>
    <t>exists:
                'TODO here apply CamelCaseUpper instead of just replacing the spaces.
                refNameValue = Replace(refNameValue, " ", "")
                refIDValue = "_" &amp; refNameValue
                Set referedTableIdColumn = referedTa</t>
  </si>
  <si>
    <t xml:space="preserve">ble.ListColumns("ID")
                referedRowIndex = getMatchingRowIndex(refIDValue, referedTableIdColumn)
                If referedRowIndex &lt;&gt; -1 Then
                    referingTableRefIdColumn.DataBodyRange(referingRowIndex) = refIDValue
          </t>
  </si>
  <si>
    <t xml:space="preserve">      End If
         End If
         Application.EnableEvents = False
        cellRef.formula = OldFormula
        Application.EnableEvents = True
   End If
End Sub
</t>
  </si>
  <si>
    <t xml:space="preserve"> Then
            ' return the matching row
            getMatchingRowIndex = cellRowIndex
            Exit Function
        End If
    Next colValue
    ' return -1 if not found
    getMatchingRowIndex = -1
End Function
</t>
  </si>
  <si>
    <t>Sub fixingtable(tbl, strTable As String, id_count As Integer, id_col As String, id_duplicate As Boolean, table_invalid_value As Boolean, table_invalid_formula As Boolean, party As Boolean)
    'tbl - is the listobject (source or target table)
    'strTable</t>
  </si>
  <si>
    <t xml:space="preserve"> - name of the table as string (source or target)
    'id_count - number of ID columns found in validation
    'id_col - which column is the ID column in case there is one (name of column as string)
    'id_duplicate - were duplicate IDs found while valida</t>
  </si>
  <si>
    <t>ting (as boolean)
    'table_invalid_value - are there violations of the value rule (as boolean)
    'table_invalid_formula - are there violations of the formula rule (as boolean)
    'party - 0 -&gt; source, 1 -&gt; target
    MsgBox ("Fix process is starting.</t>
  </si>
  <si>
    <t>")
    'add new tracking columns
'    tbl.ListColumns.Add.Name = "fix transfer ts " &amp; Format(transferTime, "YYYYMMDDHHMM")
'    tbl.ListColumns("fix transfer ts " &amp; Format(transferTime, "YYYYMMDDHHMM")).DataBodyRange = Format(transferTime, "YYYYM</t>
  </si>
  <si>
    <t xml:space="preserve">(transferTime, "YYYYMMDDHHMMSS")).DataBodyRange = ""
    'ID fixing
    If id_count &gt; 1 Then
        MsgBox ("There are multiple ID columns in the table. Automatic fix is not possible. Program terminates")
        End
</t>
  </si>
  <si>
    <t>D"
        id_range = tbl.ListColumns("ID").DataBodyRange
        If Not IsArray(id_range) Then id_range = Array(id_range)
        'Error: Range of object _Global failed
        'id_range_add = tbl.ListColumns("ID").DataBodyRange.Addres</t>
  </si>
  <si>
    <t>.Range.column).Validation.Delete
        i = 1
        For Each cel In id_range
            tbl.ListColumns("ID").DataBodyRange(i) = GUID(1)
            tbl.ListColumns("fix kind " &amp; Format(transferTime, "YYYYMMDDHHMMSS")).DataBodyRange(i) = tbl.ListColu</t>
  </si>
  <si>
    <t>mns("fix kind " &amp; Format(transferTime, "YYYYMMDDHHMMSS")).DataBodyRange(i) &amp; "[ID created]"
            i = i + 1
        Next
    End If
    'handle duplicate IDs
    If id_duplicate = True Then
        id_range = tbl.ListColumns(id_co</t>
  </si>
  <si>
    <t>l).DataBodyRange
        id_range_add = tbl.ListColumns(id_col).DataBodyRange.Address
        If Not IsArray(id_range) Then id_range = Array(id_range)
        j = 1
        For Each cel In id_range
            If (Application.WorksheetFun</t>
  </si>
  <si>
    <t xml:space="preserve">     'find the duplicates of cel
                    If cel1 = cel Then
                        counter = counter + 1
                        If counter &gt; 0 Then
                            tbl.ListColumns(id_col).DataBodyRange(i) = _
    </t>
  </si>
  <si>
    <t xml:space="preserve">                        tbl.ListColumns(id_col).DataBodyRange(i) &amp; "_DUPLICATE_" &amp; Format(counter, "00000")
                            tbl.ListColumns("fix kind " &amp; Format(transferTime, "YYYYMMDDHHMMSS")).DataBodyRange(i) = tbl.ListColumns("fix kind " &amp; F</t>
  </si>
  <si>
    <t>ormat(transferTime, "YYYYMMDDHHMMSS")).DataBodyRange(i) &amp; "[ID duplicate]"
                        End If
                    End If
                    i = i + 1
                Next
            ElseIf IsEmpty(cel) Then
            'row h</t>
  </si>
  <si>
    <t>as no ID -&gt; create ID
                tbl.ListColumns(id_col).DataBodyRange(j) = GUID(1)
                tbl.ListColumns("fix kind " &amp; Format(transferTime, "YYYYMMDDHHMMSS")).DataBodyRange(j) = tbl.ListColumns("fix kind " &amp; Format(transferTime</t>
  </si>
  <si>
    <t>, "YYYYMMDDHHMMSS")).DataBodyRange(j) &amp; "[ID created]"
            End If
            j = j + 1
        Next
    End If
    'fix formulas within value column
    'fix values within formula column -&gt; repeat formula
    If tab</t>
  </si>
  <si>
    <t>le_invalid_value = True Or table_invalid_formula = True Then
        For Each colHeader In tbl.HeaderRowRange
        If tbl.ListColumns(colHeader.Value).DataBodyRange(1).HasFormula And table_invalid_formula = True Then
            'first row</t>
  </si>
  <si>
    <t xml:space="preserve"> is a formula -&gt; check if all rows in the column have same formula
            strFormula = tbl.ListColumns(colHeader.Value).DataBodyRange(1).formula
            i = 1
            For Each cel In tbl.ListColumns(colHeader.Value).D</t>
  </si>
  <si>
    <t>ataBodyRange
                If cel.HasFormula = False Or cel.formula &lt;&gt; strFormula Then
                    tbl.ListColumns(colHeader.Value).DataBodyRange(i) = strFormula
                    tbl.ListColumns("fix kind " &amp; Format(transf</t>
  </si>
  <si>
    <t xml:space="preserve">erTime, "YYYYMMDDHHMMSS")).DataBodyRange(i) = tbl.ListColumns("fix kind " &amp; Format(transferTime, "YYYYMMDDHHMMSS")).DataBodyRange(i) &amp; "[formula overwritten in column " &amp; colHeader.Value &amp; "]"
                End If
                i = i + 1
     </t>
  </si>
  <si>
    <t xml:space="preserve">       Next
        Else
            'first row is a value -&gt; check if all rows have a value
            If table_invalid_value = True Then
                i = 1
                For Each cel In tbl.ListColumns(colHeader.Value).Dat</t>
  </si>
  <si>
    <t>aBodyRange
                    If cel.HasFormula Then
                        strFormula = tbl.ListColumns(colHeader.Value).DataBodyRange(i).formula
                        tbl.ListColumns(colHeader.Value).DataBody</t>
  </si>
  <si>
    <t>Range(i) = "REMOVED_" &amp; strFormula
                        tbl.ListColumns("fix kind " &amp; Format(transferTime, "YYYYMMDDHHMMSS")).DataBodyRange(i) = tbl.ListColumns("fix kind " &amp; Format(transferTime, "YYYYMMDDHHMMSS")).DataBodyRange(i) &amp; "[formula removed i</t>
  </si>
  <si>
    <t>n column " &amp; colHeader.Value &amp; "]"
                    End If
                    i = i + 1
                Next
            End If
        End If
        Next
    End If
    'if formula is rel</t>
  </si>
  <si>
    <t xml:space="preserve">ative -&gt; exclude from fix
    'not done so far
    'set fixed flags to true
    If party = False Then
        sourcevalid = True
    Else
        targetvalid = True
    End If
End Sub
</t>
  </si>
  <si>
    <t xml:space="preserve">Function GUID$(Optional lowercase As Boolean, Optional parens As Boolean)
'function generates a GUID
    Dim k&amp;, h$
    GUID = Space(36)
    For k = 1 To Len(GUID)
        Randomize
        Select Case k
            Case 9, 14, 19, 24: h = "-"
           </t>
  </si>
  <si>
    <t xml:space="preserve"> Case 15:            h = "4"
            Case 20:            h = Hex(Rnd * 3 + 8)
            Case Else:          h = Hex(Rnd * 15)
        End Select
        Mid$(GUID, k, 1) = h
    Next
    If lowercase Then GUID = LCase$(GUID)
    If parens Then G</t>
  </si>
  <si>
    <t>Sub createTargetTable()
    'create the new sheet
    Dim sheetName As String
    Dim i As Integer
    i = 2
    ' Store formatted time strings to avoid repeated calculations
    Dim timeFormat As String
    Dim timeFormatLong As String
    timeF</t>
  </si>
  <si>
    <t>ormat = Format(transferTime, "DDHHMM")
    timeFormatLong = Format(transferTime, "YYYYMMDDHHMMSS")
    'ADDED: trim sheetName due to MS tab name restriction
    sheetName = Right(sourceTable &amp; timeFormat, 31)
    Application.ScreenUpdating = Fals</t>
  </si>
  <si>
    <t xml:space="preserve">olHeader.Value, "transfer ") &gt; 0 Or _
                InStr(colHeader.Value, "fix kind") &gt; 0) Then
            If i &gt; 2 Then
                ttbl.ListColumns.Add
            End If
            ' Copy entire range including header
</t>
  </si>
  <si>
    <t xml:space="preserve"> = i + 1
        End If
    Next colHeader
    targetTable = sheetName
    ' Add tracking columns for source using bulk operations
    Dim sourcePartyCol As ListColumn
    Dim sourceKindCol As ListColumn
    ' Add columns
    Se</t>
  </si>
  <si>
    <t xml:space="preserve">    For j = 1 To rowCount
        partyValues(j, 1) = "source"
        kindValues(j, 1) = "create target"
    Next j
    ' Bulk update source columns
    sourcePartyCol.DataBodyRange.Value = partyValues
    sourceKindCol.DataBodyRange.Value = kindValu</t>
  </si>
  <si>
    <t xml:space="preserve"> 1 To 1)
    ReDim kindValues(1 To rowCount, 1 To 1)
    ' Fill arrays
    For j = 1 To rowCount
        partyValues(j, 1) = "target"
        kindValues(j, 1) = "create target"
    Next j
    ' Bulk update target columns
    targetPartyCol.DataBo</t>
  </si>
  <si>
    <t>Sub validateTarget()
    MsgBox (targetTable &amp; " was selected as target table.")
    Dim target_id_count As Integer
    Dim target_id_col As String
    Dim target_id_duplicate As Boolean
    Dim target_table_invalid_value As Boolean
    Dim target_tab</t>
  </si>
  <si>
    <t>count = 0
    ' Get headers as array for faster processing
    Dim headers As Variant
    headers = ttbl.HeaderRowRange.Value2
    Dim i As Long
    For i = 1 To UBound(headers, 2)
        If UCase$(CStr(headers(1, i))) = "ID" Then
            ta</t>
  </si>
  <si>
    <t xml:space="preserve">rget_id_col = headers(1, i)
            target_id_count = 1
            Exit For
        End If
    Next i
    'check for uniqueness of IDs and existence of ID in every row
    Dim id_range As Range
    Dim id_range_add As String
    Dim cel As Range
</t>
  </si>
  <si>
    <t xml:space="preserve">    
    If target_id_count = 1 Then
        Set id_range = ttbl.ListColumns(target_id_col).DataBodyRange
        id_range_add = ttbl.ListColumns(target_id_col).DataBodyRange.Address
        If Not IsArray(id_range) Then id_range = Array(id_range)</t>
  </si>
  <si>
    <t>ElseIf IsEmpty(cel) Then
                target_id_duplicate = True
                Exit For
            End If
        Next
    End If
    'check if columns are consistent (either only values or only same formula)
    Dim colHeader As Range
    Dim s</t>
  </si>
  <si>
    <t>trFormula As String
    For Each colHeader In ttbl.HeaderRowRange
        If ttbl.ListColumns(colHeader.Value).DataBodyRange(1).HasFormula Then
            'first row is a formula -&gt; check if all rows in the column have same formula
            strFor</t>
  </si>
  <si>
    <t xml:space="preserve">mula = ttbl.ListColumns(colHeader.Value).DataBodyRange(1).formula
            For Each cel In ttbl.ListColumns(colHeader.Value).DataBodyRange
                If Not cel.HasFormula Then
                    target_table_invalid_formula = True
  </t>
  </si>
  <si>
    <t xml:space="preserve">                  Exit For
                ElseIf cel.formula &lt;&gt; strFormula Then
                    target_table_invalid_formula = True
                    Exit For
                End If
            Next
            If target_table_invalid_f</t>
  </si>
  <si>
    <t>ormula Then Exit For
        Else
            'first row is a value -&gt; check if all rows have a value
            For Each cel In ttbl.ListColumns(colHeader.Value).DataBodyRange
                If cel.HasFormula Then
                    target_table_invali</t>
  </si>
  <si>
    <t>d_value = True
                    Exit For
                End If
            Next
            If target_table_invalid_value Then Exit For
        End If
    Next
    Application.Calculation = xlCalculationAutomatic
    Application.Scree</t>
  </si>
  <si>
    <t>nUpdating = True
    If target_id_count = 1 And target_id_duplicate = False And target_table_invalid_value = False And target_table_invalid_formula = False Then
        targetvalid = True
        'MsgBox ("The selected target table is valid.")
    Els</t>
  </si>
  <si>
    <t>UserForm_TransferMode</t>
  </si>
  <si>
    <t xml:space="preserve">Sub CommandButton1_Click()
    transferMode = "normal"
    Unload Me
End Sub
Private </t>
  </si>
  <si>
    <t>Sub UserForm_QueryClose(Cancel As Integer, CloseMode As Integer)
    If CloseMode = vbFormControlMenu Then
        MsgBox "Operation canceled. Program terminates.", vbCritical
        End
    End If
End Sub</t>
  </si>
  <si>
    <t>UserForm_SourceTable</t>
  </si>
  <si>
    <t xml:space="preserve">Sub CommandButton1_Click()
    fulltransfer = True
    Unload Me
End Sub
Private </t>
  </si>
  <si>
    <t xml:space="preserve">Sub ListBox1_DblClick(ByVal Cancel As MSForms.ReturnBoolean)
    sourceTable = Me.ListBox1.Text
    Unload Me
End Sub
Private </t>
  </si>
  <si>
    <t>UserForm_TargetTable</t>
  </si>
  <si>
    <t xml:space="preserve">Sub CommandButton1_Click()
    targetTable = "no selection"
    Unload Me
End Sub
Private </t>
  </si>
  <si>
    <t xml:space="preserve">Sub ListBox1_DblClick(ByVal Cancel As MSForms.ReturnBoolean)
    targetTable = Me.ListBox1.Text
    Unload Me
End Sub
Private </t>
  </si>
  <si>
    <t>UserForm_SourceInvalid</t>
  </si>
  <si>
    <t xml:space="preserve">Sub CommandButton1_Click()
    source_fix = True
    Unload Me
End Sub
Private </t>
  </si>
  <si>
    <t xml:space="preserve">Sub CommandButton2_Click()
    Unload Me
    MsgBox "Program terminates"
    End
End Sub
Private </t>
  </si>
  <si>
    <t>UserForm_TargetInvalid</t>
  </si>
  <si>
    <t xml:space="preserve">Sub CommandButton1_Click()
    target_fix = True
    Unload Me
End Sub
Private </t>
  </si>
  <si>
    <t>::Layer1</t>
  </si>
  <si>
    <t>Function instantiatedSimpleCodePattern(patternSourceTable As String, patternMatchFilterColumnNames As Variant, patternMatchFilterColumnValues As Variant, patternOrderColumnName As String, instantiatedTemplateColumnFromPatternSourceTable As String) As Strin</t>
  </si>
  <si>
    <t>g
    Dim ws As Worksheet
    Dim tbl As ListObject
    Dim wsFound As Boolean
    Dim sheet As Worksheet
    Dim filterCriteria As Collection
    Dim matchedRows As Collection
    Dim orderColumnIndex As Long
    Dim instantiatedColumnIndex As Long
    D</t>
  </si>
  <si>
    <t>im rowIndex As Long
    Dim colIndex As Long
    Dim filterMatched As Boolean
    Dim output As String
    Dim tempArray() As Variant
    Dim i As Long
    ' Search for the table across all worksheets
    wsFound = False
    For Each sheet In ThisWorkbook</t>
  </si>
  <si>
    <t>.Worksheets
        On Error Resume Next
        Set tbl = sheet.ListObjects(patternSourceTable)
        On Error GoTo 0
        If Not tbl Is Nothing Then
            Set ws = sheet
            wsFound = True
            Exit For
        End If
    Next s</t>
  </si>
  <si>
    <t xml:space="preserve">heet
    ' Validate if the table was found
    If Not wsFound Or tbl Is Nothing Then
        MsgBox "Error: Pattern source table '" &amp; patternSourceTable &amp; "' not found in any worksheet.", vbCritical
        Exit Function
    End If
     ' Ensure </t>
  </si>
  <si>
    <t xml:space="preserve">the number of filter columns matches the number of filter values
    If UBound(patternMatchFilterColumnNames) &lt;&gt; UBound(patternMatchFilterColumnValues) Then
        MsgBox "Error: Mismatch between filter column names and filter column values.", vbCritical
</t>
  </si>
  <si>
    <t xml:space="preserve">    If orderColumnIndex = 0 Or instantiatedColumnIndex = 0 Then
        MsgBox "Error: Order column or instantiated template column not found in table.", vbCritical
        Exit Function
    End If
    ' Find matching rows
    Set matchedRows = New Collec</t>
  </si>
  <si>
    <t>tion
    tempArray = tbl.DataBodyRange.Value
    For rowIndex = 1 To UBound(tempArray, 1)
        filterMatched = True
        For i = LBound(patternMatchFilterColumnNames) To UBound(patternMatchFilterColumnNames)
            Dim columnName As String, colu</t>
  </si>
  <si>
    <t xml:space="preserve">mnValue As String
            columnName = patternMatchFilterColumnNames(i)
            columnValue = patternMatchFilterColumnValues(i)
            Dim columnIndex As Long
            columnIndex = 0
            ' Find the column index for the filter
    </t>
  </si>
  <si>
    <t>olumnIndex = 0 Then
                MsgBox "Error: Filter column '" &amp; columnName &amp; "' not found in table.", vbCritical
                Exit Function
            End If
            ' Check if the value matches
            If tempArray(rowIndex, columnIndex</t>
  </si>
  <si>
    <t>) &lt;&gt; columnValue Then
                filterMatched = False
                Exit For
            End If
        Next i
        ' If all criteria match, add to the collection
        If filterMatched Then
            matchedRows.Add Array(tempArray(rowInde</t>
  </si>
  <si>
    <t xml:space="preserve">t &amp; vbNewLine
        End If
    Next i
    instantiatedSimpleCodePattern = output
End Function
</t>
  </si>
  <si>
    <t xml:space="preserve">Sub repopulateTablesAndColumnsMetadata()
    Dim wsTables As Worksheet, wsColumns As Worksheet
    Dim tblTables As ListObject, tblColumns As ListObject
    Dim extractTables As ListObject, extractColumns As ListObject
    Dim currentDateTime As String
   </t>
  </si>
  <si>
    <t>Function createExtract(tableType As String, currentDateTime As String) As ListObject
    If tableType = "Tables" Then
        ' Create 'Tables_Extract' sheet with specific columns
        Set NewSheet = ThisWorkbook.Sheets.Add(After:=ThisWorkbook</t>
  </si>
  <si>
    <t xml:space="preserve">   .Cells(1, 3).Value = "Excel Table - Excel Name"
            .Cells(1, 4).Value = "Name"
            .Cells(1, 5).Value = "Excel Table - Sheet Name"
        End With
        ' Create the 'Tables_Extract' table object
        Set newTable = NewSh</t>
  </si>
  <si>
    <t>Function compareExtract(Target As String, DateTime As String) As ListObject
    Dim wsMain As Worksheet
    Dim wsExtract As Worksheet
    Dim tblMain As ListObject
    Dim tblExtract As ListObject
    Dim tblMainHeaders As Collection
    Dim tblExtractHea</t>
  </si>
  <si>
    <t>ders As Collection
    Dim cell As Range
    Dim columnFound As Boolean
    Dim missingColumns As String
    Dim formulaColumns As String
    Dim mainSheetName As String
    Dim extractSheetName As String
    Dim mainTableName As String
    Dim extractTabl</t>
  </si>
  <si>
    <t xml:space="preserve">eName As String
    ' Determine sheet and table names based on the Target
    If Target = "Tables" Then
        mainSheetName = "Tables"
        extractSheetName = "Tables_Extract" &amp; DateTime
        mainTableName = "meta_Tables"
        extractTableName </t>
  </si>
  <si>
    <t>= "meta_Tables_Extract" &amp; DateTime
    ElseIf Target = "Columns" Then
        mainSheetName = "Columns"
        extractSheetName = "Columns_Extract" &amp; DateTime
        mainTableName = "meta_Columns"
        extractTableName = "meta_Columns_Extract" &amp; DateT</t>
  </si>
  <si>
    <t>ime
    End If
    On Error Resume Next
    ' Get the main worksheet and table
    Set wsMain = ThisWorkbook.Worksheets(mainSheetName)
    Set tblMain = wsMain.ListObjects(mainTableName)
    ' Get the extract worksheet and table
    Set wsExtract = ThisW</t>
  </si>
  <si>
    <t xml:space="preserve">orkbook.Worksheets(extractSheetName)
    Set tblExtract = wsExtract.ListObjects(extractTableName)
    On Error GoTo 0
    ' Validate tables
    If tblMain Is Nothing Then
        MsgBox "Table '" &amp; mainTableName &amp; "' not found in sheet '" &amp; mainSheetName </t>
  </si>
  <si>
    <t>alue = "_rowTemplate_" &amp; mainTableName
        End With
    End If
    ' Create collections for column headers
    Set tblMainHeaders = New Collection
    Set tblExtractHeaders = New Collection
    ' Collect main table headers
    For Each cell In tbl</t>
  </si>
  <si>
    <t>Main.HeaderRowRange
        tblMainHeaders.Add cell.Value, cell.Value
    Next cell
    ' Collect extract table headers
    For Each cell In tblExtract.HeaderRowRange
        tblExtractHeaders.Add cell.Value, cell.Value
    Next cell
    ' Check for miss</t>
  </si>
  <si>
    <t>ing columns in tblMain
    missingColumns = ""
    For Each colName In tblExtractHeaders
        On Error Resume Next
        columnFound = False
        columnFound = Not IsError(tblMainHeaders(colName))
        On Error GoTo 0
        If Not columnFoun</t>
  </si>
  <si>
    <t xml:space="preserve">ext i
    FindColumnIndex = 0 ' Return 0 if not found
End Function
</t>
  </si>
  <si>
    <t xml:space="preserve">Function ExtractIDs(tbl As ListObject) As Collection
    Dim colIDs As New Collection
    Dim idRange As Range
    Dim idArray As Variant
    Dim i As Long
    Dim idColumn As Integer
    ' Find the "ID" column index
    On Error Resume Next
    idColumn </t>
  </si>
  <si>
    <t xml:space="preserve">= Application.Match("ID", tbl.HeaderRowRange, 0)
    On Error GoTo 0
    If idColumn = 0 Then Exit </t>
  </si>
  <si>
    <t xml:space="preserve">Function ' Exit if "ID" column is not found
    ' Define the range containing IDs (excluding the header)
    Set idRange = tbl.ListColumns(idColumn).DataBodyRange
    If idRange Is Nothing Then Exit </t>
  </si>
  <si>
    <t xml:space="preserve">Function ' Exit if there is no data
    ' Load range into an array for performance
    idArray = idRange.Value
    ' Add items to collection (handle both single and multi-row cases)
    If IsArray(idArray) Then
        For i = 1 To UBound(idArray, 1)
   </t>
  </si>
  <si>
    <t xml:space="preserve">         colIDs.Add idArray(i, 1)
        Next i
    Else
        colIDs.Add idArray
    End If
    ' Return the collection
    Set ExtractIDs = colIDs
End Function
</t>
  </si>
  <si>
    <t xml:space="preserve">Function CollectionContains(col As Collection, key As Variant) As Boolean
    Dim item As Variant
    On Error Resume Next
    For Each item In col
        If item = key Then
            CollectionContains = True
            Exit Function
        End If
  </t>
  </si>
  <si>
    <t xml:space="preserve">  Next item
    CollectionContains = False
End Function
</t>
  </si>
  <si>
    <t>Sub ' Exit if the user cancels or enters an invalid value
    End Select
    ' Optimize performance
    Application.Calculation = xlCalculationManual
    Application.ScreenUpdating = False
    Application.EnableEvents = False
    ' Create "Framework_Temp</t>
  </si>
  <si>
    <t>Sub Package")
        Set snippetCol = snippetTable.ListColumns("Snippet")
        On Error GoTo 0
        ' Ensure both columns exist before proceeding
        If Not subPackageCol Is Nothing And Not snippetCol Is Nothing Then
            foundSn</t>
  </si>
  <si>
    <t>ippet = False
            ' Loop through each row in the table
            For Each snippetRow In snippetTable.ListRows
                ' Check if the "</t>
  </si>
  <si>
    <t>Sub Package" column contains "::Layer0"
                If snippetRow.Range.Cells(1, subPackageCol.Index).Value = "::Layer0" Then
                    ' Retrieve the corresponding "Snippet" column value
                    snippetText = snippetRow.Range.Cel</t>
  </si>
  <si>
    <t xml:space="preserve">Exit Function
        End If
    Next i
    FindRow = 0
End Function
' Gets the column index of a column name in the first row
</t>
  </si>
  <si>
    <t xml:space="preserve">n
        End If
    Next i
    GetColumnIndex = 0
End Function
' Checks if a sheet exists
</t>
  </si>
  <si>
    <t xml:space="preserve">Sub transferObject()
    ' Turn off Excel's automatic processes for speed
    Application.ScreenUpdating = False
    Application.EnableEvents = False
    Application.Calculation = xlCalculationManual
    ' Create our custom fast lookup object
    Dim </t>
  </si>
  <si>
    <t>tObjects(targetTable)
    ' Load all data at once
    Dim sourceData As Variant, targetData As Variant
    sourceHeaders = stbl.HeaderRowRange.Value2
    targetHeaders = ttbl.HeaderRowRange.Value2
    ' Load source data
    With stbl.DataBod</t>
  </si>
  <si>
    <t xml:space="preserve">yRange
        sourceData = .Value2
        If Not IsArray(sourceData) Then
            Dim tempArray(1 To 1, 1 To 1) As Variant
            tempArray(1, 1) = sourceData
            sourceData = tempArray
        End If
    End With
    ' Load target </t>
  </si>
  <si>
    <t xml:space="preserve">data
    With ttbl.DataBodyRange
        targetData = .Value2
        If Not IsArray(targetData) Then
            Dim tempTargetArray(1 To 1, 1 To 1) As Variant
            tempTargetArray(1, 1) = targetData
            targetData = tempTargetArray
       </t>
  </si>
  <si>
    <t xml:space="preserve"> End If
    End With
    ' Find ID columns
    Dim sourceIdCol As Long, targetIdCol As Long
    sourceIdCol = GetIdColumnIndex(sourceHeaders)
    targetIdCol = GetIdColumnIndex(targetHeaders)
    ' Build column mapping once
    Dim columnMapping </t>
  </si>
  <si>
    <t>As Collection
    Set columnMapping = BuildColumnMapping(sourceHeaders, targetHeaders, stbl, ttbl)
    ' Preserve formulas
    Dim targetValues As Variant, targetFormulas As Variant
    targetValues = ttbl.DataBodyRange.Value2
    targetFormulas = ttb</t>
  </si>
  <si>
    <t>l.DataBodyRange.formula
    ' Build lookup of target IDs
    Dim i As Long
    For i = 1 To UBound(targetData, 1)
        targetLookup.Add CStr(targetData(i, targetIdCol)), i
    Next i
    ' Prepare arrays for new and updated data
    Dim newRow</t>
  </si>
  <si>
    <t xml:space="preserve">s As Collection, updatedRows As Collection
    Set newRows = New Collection
    Set updatedRows = New Collection
    ' Categorize rows
    For i = 1 To UBound(sourceData, 1)
        If targetLookup.Exists(CStr(sourceData(i, sourceIdCol))) Then
       </t>
  </si>
  <si>
    <t xml:space="preserve">     updatedRows.Add Array(i, targetLookup.item(CStr(sourceData(i, sourceIdCol))))
        Else
            newRows.Add i
        End If
    Next i
    ' Process updates while preserving formulas
    Dim rowIdx As Long, colIdx As Long
    If updatedRo</t>
  </si>
  <si>
    <t>mula(ttbl, CStr(targetHeaders(1, colIdx))) Then
                    targetValues(targetRowIdx, colIdx) = sourceData(sourceRowIdx, mapping(0))
                End If
            Next j
        Next i
        ttbl.DataBodyRange.Value2 = targetValues</t>
  </si>
  <si>
    <t xml:space="preserve">Application.ScreenUpdating = True
    Exit Sub
End Sub
Private </t>
  </si>
  <si>
    <t xml:space="preserve">Function BuildColumnMapping(sourceHeaders As Variant, targetHeaders As Variant, _
                                 stbl As ListObject, ttbl As ListObject) As Collection
    Dim mapping As Collection
    Set mapping = New Collection
    Dim i As Long, </t>
  </si>
  <si>
    <t>j As Long
    Dim sourceCol As String, targetCol As String
    For i = 1 To UBound(sourceHeaders, 2)
        sourceCol = CStr(sourceHeaders(1, i))
        If Not (HasFormula(stbl, sourceCol)) Or _
                InStr(sourceCol, "transfer ")</t>
  </si>
  <si>
    <t xml:space="preserve"> &gt; 0 Or _
                InStr(sourceCol, "fix kind") &gt; 0 Then
                'InStr(sourceCol, "Column") &gt; 0)
            For j = 1 To UBound(targetHeaders, 2)
                targetCol = CStr(targetHeaders(1, j))
         </t>
  </si>
  <si>
    <t xml:space="preserve">       If targetCol = sourceCol Then
                    mapping.Add Array(i, j, HasFormula(ttbl, targetCol))
                    Exit For
                End If
            Next j
        End If
    Next i
    Set BuildColumnMapping = mapping
End Fun</t>
  </si>
  <si>
    <t xml:space="preserve">ction
Private </t>
  </si>
  <si>
    <t>Sub CopyRowToArray(sourceData As Variant, destArray As Variant, _
                         sourceRowIndex As Long, destRowIndex As Long, _
                         columnMapping As Collection)
    Dim mapping As Variant
    Dim i As Long
    For i = 1</t>
  </si>
  <si>
    <t xml:space="preserve">  CStr(sourceHeaders(1, mapping(0))), CStr(targetHeaders(1, mapping(1)))
        Else
            ' Direct copy for non-formula columns
            destArray(destRowIndex, mapping(1)) = sourceData(sourceRowIndex, mapping(0))
        End If
    Next i
End S</t>
  </si>
  <si>
    <t xml:space="preserve">ub
Private </t>
  </si>
  <si>
    <t xml:space="preserve">ount &gt; 0 Then
            HasFormula = col.DataBodyRange(1).HasFormula
        End If
    End If
End Function
Private </t>
  </si>
  <si>
    <t>Sub HandleStoredValue(ByVal sourceTbl As ListObject, ByVal targetTbl As ListObject, _
                            ByVal sourceRow As Long, ByVal targetRow As Long, _
                            ByVal sourceCol As String, ByVal targetCol As String)
    ' Cr</t>
  </si>
  <si>
    <t>eate name for stored value column
    Dim storedColName As String
    storedColName = targetCol &amp; " STORED"
    ' Check if stored column exists, if not create it
    On Error Resume Next
    Dim storedCol As ListColumn
    Set storedCol = targetTbl.Li</t>
  </si>
  <si>
    <t xml:space="preserve">= sourceTbl.ListColumns(sourceCol).DataBodyRange(sourceRow).Value2
End Sub
Private </t>
  </si>
  <si>
    <t>Sub UpdateTransferStatus(sourcePartyCol As ListColumn, sourceKindCol As ListColumn, _
                               targetPartyCol As ListColumn, targetKindCol As ListColumn, _
                               updatedRows As Collection, newRows As Collectio</t>
  </si>
  <si>
    <t>n, _
                               sourceCount As Long, targetCount As Long)
    ' Create arrays for bulk status updates
    Dim sourceStatus() As Variant
    ReDim sourceStatus(1 To sourceCount, 1 To 2)
    Dim targetStatus() As Variant
    ReDim ta</t>
  </si>
  <si>
    <t>"update target"
    Next i
    ' Write status arrays in bulk
    sourcePartyCol.DataBodyRange.Value2 = Application.Transpose(Application.Transpose(GetColumn(sourceStatus, 1)))
    sourceKindCol.DataBodyRange.Value2 = Application.Transpose(Application.</t>
  </si>
  <si>
    <t>Transpose(GetColumn(sourceStatus, 2)))
    targetPartyCol.DataBodyRange.Value2 = Application.Transpose(Application.Transpose(GetColumn(targetStatus, 1)))
    targetKindCol.DataBodyRange.Value2 = Application.Transpose(Application.Transpose(GetColumn(targetS</t>
  </si>
  <si>
    <t xml:space="preserve">tatus, 2)))
End Sub
Private </t>
  </si>
  <si>
    <t>Function GetColumn(arr As Variant, colIndex As Long) As Variant
    Dim result() As Variant
    Dim i As Long
    ReDim result(1 To UBound(arr, 1))
    For i = 1 To UBound(arr, 1)
        result(i) = arr(i, colIndex)
    Next i
    GetColumn = re</t>
  </si>
  <si>
    <t xml:space="preserve">sult
End Function
Private </t>
  </si>
  <si>
    <t>Function GetIdColumnIndex(headers As Variant) As Long
    Dim i As Long
    For i = 1 To UBound(headers, 2)
        If UCase(CStr(headers(1, i))) = "ID" Then
            GetIdColumnIndex = i
            Exit Function
        End If
    Next i
    GetIdColu</t>
  </si>
  <si>
    <t xml:space="preserve">Function to check if a column contains formulas
</t>
  </si>
  <si>
    <t>Function ColumnHasFormula(colRange As Range) As Boolean
    Dim cell As Range
    For Each cell In colRange.Cells
        If cell.HasFormula Then
            ColumnHasFormula = True
            Exit Function
        End If
    Next cell
    ColumnHasFormul</t>
  </si>
  <si>
    <t xml:space="preserve">a = False
End Function
' </t>
  </si>
  <si>
    <t xml:space="preserve">Function to check if a column is in the matched list
</t>
  </si>
  <si>
    <t>Function IsColumnMatched(colIndex As Long, matchedCols As Collection) As Boolean
    Dim item As Variant
    For Each item In matchedCols
        If item = colIndex Then
            IsColumnMatched = True
            Exit Function
        End If
    Next i</t>
  </si>
  <si>
    <t xml:space="preserve">tem
    IsColumnMatched = False
End Function
Private </t>
  </si>
  <si>
    <t>Function MatchID(targetLookup As Variant, searchID As String) As Long
    Dim i As Long
    For i = 1 To UBound(targetLookup)
        If targetLookup(i) = searchID Then
            MatchID = i
            Exit Function
        End If
    Next i
    MatchID</t>
  </si>
  <si>
    <t>::Layer0</t>
  </si>
  <si>
    <t>::CamelCaseAll</t>
  </si>
  <si>
    <t xml:space="preserve">
Public </t>
  </si>
  <si>
    <t xml:space="preserve">Function evaluateExcelFormula(formula As String)
Application.Volatile
evaluateExcelFormula = Application.Caller.Parent.Evaluate(formula)
End Function
' MAIN </t>
  </si>
  <si>
    <t xml:space="preserve">Function 1: Converts string to CamelUpper
Public </t>
  </si>
  <si>
    <t>Function camelCaseUpper(ByVal inputString As String) As String
    On Error GoTo ErrorHandler ' Enable error handling
    inputString = checkAndReplaceFaultyCharacters(inputString)
    camelCaseUpper = businessToCamelCaseUpper(stringToBusiness(in</t>
  </si>
  <si>
    <t xml:space="preserve">putString))
    Exit Function
ErrorHandler:
    ' Error handling logic
    camelCaseUpper = "" ' Return an empty string in case of an error
End Function
' MAIN </t>
  </si>
  <si>
    <t xml:space="preserve">Function 2: Converts string to CamelLower
Public </t>
  </si>
  <si>
    <t>Function camelCaseLower(ByVal inputString As String) As String
    On Error GoTo ErrorHandler ' Enable error handling
    inputString = checkAndReplaceFaultyCharacters(inputString)
    camelCaseLower = businessToCamelCaseLower(stringToBusiness(in</t>
  </si>
  <si>
    <t xml:space="preserve">putString))
    Exit Function
ErrorHandler:
    ' Error handling logic
    camelCaseLower = "" ' Return an empty string in case of an error
End Function
' MAIN </t>
  </si>
  <si>
    <t xml:space="preserve">Function 3: Converts Camel case string to Business
Public </t>
  </si>
  <si>
    <t>Function camelCaseToBusiness(ByVal inputString As String) As String
    On Error GoTo ErrorHandler ' Enable error handling
    inputString = checkAndReplaceFaultyCharacters(inputString)
    Application.Volatile True
    Dim segments As Collection</t>
  </si>
  <si>
    <t xml:space="preserve">   
    inputString = Join(segmentsArray, "")
    inputString = standardizeWhiteSpaceAndCapatilization(inputString)
    camelCaseToBusiness = handleLists(inputString)
    Exit Function
ErrorHandler:
    ' Error handling logic
    camelCaseToBusiness </t>
  </si>
  <si>
    <t xml:space="preserve">= "" ' Return an empty string in case of an error
End Function
' MAIN </t>
  </si>
  <si>
    <t xml:space="preserve">Function 4: Converts a regular string to Business
Public </t>
  </si>
  <si>
    <t xml:space="preserve">Function stringToBusiness(ByVal inputString As String) As String
    On Error GoTo ErrorHandler ' Enable error handling
    inputString = checkAndReplaceFaultyCharacters(inputString)
    Application.Volatile True
    Dim segments As Collection
  </t>
  </si>
  <si>
    <t xml:space="preserve">
    stringToBusiness = Join(segmentsArray, "")
    Exit Function
ErrorHandler:
    ' Error handling logic
    stringToBusiness = "" ' Return an empty string in case of an error
End Function
' MAIN </t>
  </si>
  <si>
    <t xml:space="preserve">Function 5: Converts Business string to CamelUpper
Public </t>
  </si>
  <si>
    <t>Function businessToCamelCaseUpper(ByVal inputString As String) As String
    inputString = checkAndReplaceFaultyCharacters(inputString)
    Dim segments As Collection
    Dim resultString As String
    Dim segment As Variant
    Set segments = busin</t>
  </si>
  <si>
    <t xml:space="preserve">essToCamelSegments(inputString)
    resultString = ""
    For Each segment In segments
        'Debug.Print segment
        resultString = resultString &amp; segment
    Next segment
    'handle additional underscores for visibility
    resultString </t>
  </si>
  <si>
    <t xml:space="preserve">= Replace(resultString, "____", "__")
    businessToCamelCaseUpper = resultString
End Function
' MAIN </t>
  </si>
  <si>
    <t xml:space="preserve">Function 6: Converts Business string to CamelLower, uses businessToCamelCaseUpper
Public </t>
  </si>
  <si>
    <t>Function businessToCamelCaseLower(ByVal inputString As String) As String
    inputString = checkAndReplaceFaultyCharacters(inputString)
    Dim temp As String
    temp = businessToCamelCaseUpper(inputString)
    businessToCamelCaseLower = LCase(Left(</t>
  </si>
  <si>
    <t>Function stringToBusinessSegments(ByVal inputString As String) As Collection
    Dim segments As New Collection
    Dim temp As String
    Dim i As Integer
    Dim segmentArray() As String
    Dim currentSegment As String
    ' Process the string as p</t>
  </si>
  <si>
    <t>er the original function
    temp = separateCamelCaseWords(inputString)
    'Debug.Print temp
    temp = standardizeWhiteSpaceAndCapatilization(temp)
    'Debug.Print temp
    temp = handleLists(temp)
    'Debug.Print temp
    'temp = checkAndReplaceF</t>
  </si>
  <si>
    <t xml:space="preserve"> ' If a space is encountered
            If Len(currentSegment) &gt; 0 Then
                ' Add the current segment (before space) to the collection
                segments.Add currentSegment
                'Debug.Print "Segment " &amp; segments.Count &amp; ": ("</t>
  </si>
  <si>
    <t xml:space="preserve"> &amp; currentSegment &amp; ")"
                currentSegment = "" ' Reset currentSegment
            End If
            ' Add the space itself as a segment
            segments.Add " "
            'Debug.Print "Segment " &amp; segments.Count &amp; ": ( )"
        Else
 </t>
  </si>
  <si>
    <t xml:space="preserve">s.Add currentSegment
        'Debug.Print "Segment " &amp; segments.Count &amp; ": (" &amp; currentSegment &amp; ")"
    End If
    ' Return the Collection
    Set stringToBusinessSegments = segments
End Function
' Entry from Utils
Public </t>
  </si>
  <si>
    <t xml:space="preserve">Function businessToCamelSegments(ByVal inputString As String) As Collection
    Dim segments As New Collection
    Dim i As Integer
    Dim isFirstLine As Boolean
    Dim lineArray() As String
    Dim currentLine As String
    Dim encodedLine As String
   </t>
  </si>
  <si>
    <t xml:space="preserve"> Dim leadingSpaces As Integer
    Dim linePrefix As String
    ' Step 1: Split the input string by lines first
    lineArray = Split(inputString, Chr(10))
    ' Initialize a flag for the first line
    isFirstLine = True
    ' Step 2: Process ea</t>
  </si>
  <si>
    <t>ch line separately
    For i = LBound(lineArray) To UBound(lineArray)
        ' Preserve leading spaces in each line
        leadingSpaces = getLeadingSpaces(lineArray(i))
        linePrefix = ""
        ' Apply "N_" prefix only for the f</t>
  </si>
  <si>
    <t xml:space="preserve">irst line if it starts with a number
        If isFirstLine And Len(Trim(lineArray(i))) &gt; 0 And IsNumeric(Left(Trim(lineArray(i)), 1)) Then
            lineArray(i) = "N" &amp; Trim(lineArray(i))
        ElseIf Not isFirstLine And leadingSpaces &gt; 0 Then
      </t>
  </si>
  <si>
    <t xml:space="preserve">      linePrefix = "_" &amp; leadingSpaces &amp; "s__"
            lineArray(i) = Trim(lineArray(i))
        End If
        currentLine = lineArray(i)
        camelSegment = businessSegmentToCamelSegment(currentLine)
        camelSegment = </t>
  </si>
  <si>
    <t>Replace(camelSegment, " ", "")
        camelSegment = linePrefix &amp; camelSegment
        ' Add the processed line to the collection
        segments.Add camelSegment
        ' Add a new-line-encoding after ea</t>
  </si>
  <si>
    <t xml:space="preserve">ch line except the last one
        If i &lt; UBound(lineArray) Then
            segments.Add "_n__"
        End If
        isFirstLine = False ' Set flag to False after processing the first line
    Next i
    ' Return the collection of camel-case segments
</t>
  </si>
  <si>
    <t xml:space="preserve">    Set businessToCamelSegments = segments
End Function
' </t>
  </si>
  <si>
    <t xml:space="preserve">Function to retrieve the number of leading spaces from a string
Public </t>
  </si>
  <si>
    <t xml:space="preserve">Function businessSegmentToCamelSegment(ByVal inputString As String) As String
    Dim wordArray() As String
    Dim encodedStr As String
    Dim result As String
    Dim word As String
    Dim i As Integer
    wordArray = Split(inputString, " ")
    </t>
  </si>
  <si>
    <t>= encodedStr
        End If
    Next i
    inputString = ""
    For i = LBound(wordArray) To UBound(wordArray)
        inputString = inputString + wordArray(i)
        If i &lt; UBound(wordArray) Then
            inputString = inputString + " "
        E</t>
  </si>
  <si>
    <t>nd If
    Next i
    'Debug.Print inputString
    'encodedStr = replaceUnderscores(encodedStr)
    encodedStr = Replace(inputString, "_", "_u__")
    encodedStr = addUnderscore(encodedStr)
    ' Encode special characters in t</t>
  </si>
  <si>
    <t xml:space="preserve">he segment
    encodedStr = camelEncodeSpecialCharacters(encodedStr)
    ' Return the result
    businessSegmentToCamelSegment = encodedStr
End Function
Public </t>
  </si>
  <si>
    <t xml:space="preserve">Function stringToCamelSegments(ByVal inputString As String) As Collection
'TODO
End Function
Public </t>
  </si>
  <si>
    <t xml:space="preserve">Function camelToBusinessSegments(ByVal inputString As String) As Collection
    Dim segments As New Collection
    Dim lineArray() As String
    Dim i As Integer
    Dim reconstructedLine As String
    Dim line As String
    If Left(inputString, 2) Like </t>
  </si>
  <si>
    <t xml:space="preserve">    ' Step 2: Process each line separately
    For i = LBound(lineArray) To UBound(lineArray)
        line = lineArray(i)
        'Debug.Print line
        ' Check if the string starts with "_" and contains "s__",
        ' and the part between t</t>
  </si>
  <si>
    <t xml:space="preserve">     End If
        ' Decode special characters in each line
        reconstructedLine = camelDecodeSpecialCharacters(line)
        ' Convert each segment in the line
        segments.Add camelSegmentToBusinessSegment(r</t>
  </si>
  <si>
    <t>econstructedLine)
        'Debug.Print camelSegmentToBusinessSegment(reconstructedLine)
        ' Add a vbCrLf after each line except the last one
        If i &lt; UBound(lineArray) Then
            segments.Add Chr(10)
        End</t>
  </si>
  <si>
    <t>ng)
    lineArray = Split(inputString, Chr(10))
    For i = LBound(lineArray) To UBound(lineArray)
        segments.Add lineArray(i)
        If i &lt; UBound(lineArray) Then
            segments.Add Chr(10)
        End If
        Next i
    ' Return the coll</t>
  </si>
  <si>
    <t xml:space="preserve">ection of business-case segments
    Set camelToBusinessSegments = segments
End Function
Public </t>
  </si>
  <si>
    <t>Function camelSegmentToBusinessSegment(ByVal inputString As String) As String
    Dim result As String
    Dim i As Integer
    Dim currentChar As String
    Dim previousChar As String
    ' Initialize result with the first character
    result = Left</t>
  </si>
  <si>
    <t>er indicates a new segment
        If (currentChar Like "[A-Z]" And (previousChar Like "[a-z]" Or previousChar Like "[0-9]")) Or _
           (currentChar Like "[a-z]" And previousChar Like "[0-9]") Or _
           (currentChar Like "[0-9]" And previousCha</t>
  </si>
  <si>
    <t xml:space="preserve">r Like "[A-Za-z]") Then
           'Or _ (Len(result) &gt; 0 And Len(Mid(result, InStrRev(result, " ") + 1)) = 1 And previousChar Like "[A-Z]" And currentChar Like "[A-Z]" And (i = Len(inputString) Or Mid(inputString, i + 1, 1) Like "[a-z]")) Then
  </t>
  </si>
  <si>
    <t xml:space="preserve">          result = result &amp; " "
        End If
        ' Append the current character to the result
        result = result &amp; currentChar
        previousChar = currentChar
    Next i
    'after splitting, handle small words
    result =</t>
  </si>
  <si>
    <t xml:space="preserve"> handleCapitalization(result)
    result = separateCamelCaseWords(result)
    ' Step 2: Return the reconstructed segment
    camelSegmentToBusinessSegment = result
End Function
Public </t>
  </si>
  <si>
    <t xml:space="preserve">Function camelToCamelSegments(ByVal inputString As String) As Collection
'just split Camel segments
End Function
' HELPER FUNCTIONS'
' Helper function: Remove double white spaces and clean up lines
Public </t>
  </si>
  <si>
    <t xml:space="preserve">Function standardizeWhiteSpaceAndCapatilization(ByVal str As String) As String
    Dim lines() As String
    Dim i As Integer
    Dim result As String
    Dim lineContent As String
    Dim firstNonWhitespaceFound As Boolean
    Dim temp As String
    </t>
  </si>
  <si>
    <t xml:space="preserve">n Chr(10)
    lines = Split(str, Chr(10))
    result = ""
    ' per line...
    ' Step 3: remove trailing whitespaces and
    ' Step 4: replace multiple spaces with one
    ' Step 5: add spaces between numbers and words
    ' Step 6: handle </t>
  </si>
  <si>
    <t xml:space="preserve">capitalization with small words list
    For i = LBound(lines) To UBound(lines)
        ' Preserve leading spaces by capturing the leading part of the string
        Dim leadingSpaces As String
        leadingSpaces = ""
        temp = ""
       </t>
  </si>
  <si>
    <t xml:space="preserve">         End If
        Next j
        ' Trim trailing spaces but preserve internal spaces carefully
        lineContent = Trim(lines(i))
        ' Replace multiple spaces within the content (after leading spaces) with a single space
    </t>
  </si>
  <si>
    <t xml:space="preserve">    Do While InStr(lineContent, "  ") &gt; 0
            lineContent = Replace(lineContent, "  ", " ")
        Loop
        ' Iterate through each character in the string
        Dim k As Integer
        For k = 1 To Len(lineContent)</t>
  </si>
  <si>
    <t xml:space="preserve"> current character to result
                temp = temp &amp; currentChar
                ' Check if current character is a number and the next character is a letter
                If IsNumeric(currentChar) And nextChar Like "[A-Za-z]" Then
</t>
  </si>
  <si>
    <t xml:space="preserve">                    temp = temp &amp; " "
                ' Check if current character is a letter and the next character is a number
                ElseIf currentChar Like "[A-Za-z]" And IsNumeric(nextChar) Then
                    temp = temp &amp; " "
        </t>
  </si>
  <si>
    <t xml:space="preserve">        End If
            Else
                ' For the last character, just add it to the result
                temp = temp &amp; currentChar
            End If
        Next k
        lineContent = temp
        'Debug.Print lineContent
  </t>
  </si>
  <si>
    <t xml:space="preserve">      lineContent = handleCapitalization(lineContent)
        ' Rebuild the line with the preserved leading spaces
        result = result &amp; leadingSpaces &amp; lineContent
        ' Add a newline except after the last line
        If i &lt; UB</t>
  </si>
  <si>
    <t xml:space="preserve">ound(lines) Then
            result = result &amp; Chr(10)
        End If
    Next i
    standardizeWhiteSpaceAndCapatilization = result
End Function
' Helper function: Separate words in CamelCase
</t>
  </si>
  <si>
    <t xml:space="preserve">Function separateCamelCaseWords(ByVal str As String) As String
    Dim i As Integer
    Dim result As String
    Dim special As Boolean
    ' Check if the string is empty or only one character long
    If Len(str) &lt;= 1 Then
        separateCamelCaseWords </t>
  </si>
  <si>
    <t>-z0-9 ]" Then
            special = False
        ElseIf currentChar Like " " Then
            special = False
        End If
        ' Check if the current character is uppercase
        If currentChar Like "[A-Z]" Then
            ' Add a space based on</t>
  </si>
  <si>
    <t>en
                result = result &amp; " " &amp; currentChar
            Else
                result = result &amp; currentChar
            End If
        Else
            result = result &amp; currentChar
        End If
    Next i
    separateCamelCaseWords = result
E</t>
  </si>
  <si>
    <t xml:space="preserve">nd Function
' Helper function: add Underscore
</t>
  </si>
  <si>
    <t>Function addUnderscore(ByVal inputString As String) As String
    Dim words() As String
    Dim result As String
    Dim i As Integer
    ' Split the string into words using space as a delimiter
    words = Split(inputString, " ")
    ' Initializ</t>
  </si>
  <si>
    <t>e the result
    result = ""
    ' Process each word
    For i = LBound(words) To UBound(words)
        ' Debug.Print words(i)
        ' After capital words or after strings ending in a digit
        If (i &lt; UBound(words) And words(i) = UCase(words(i</t>
  </si>
  <si>
    <t xml:space="preserve">)) And words(i) Like "[A-Z]*" And Not words(i) Like "*[!A-Z]*" And _
            i + 1 &lt;= UBound(words)) Then
            If (Left(words(i + 1), 1) Like "[A-Za-z0-9]") Then
                result = result &amp; words(i) &amp; "_"
            Else
    </t>
  </si>
  <si>
    <t xml:space="preserve">            result = result &amp; words(i)
            End If
        ' New logic: Add underscore after words that end with a capital letter
        ElseIf (i &lt; UBound(words) And Right(words(i), 1) Like "[A-Z]") Then
            result = result &amp; words(i) &amp; "</t>
  </si>
  <si>
    <t xml:space="preserve">_"
        ' Default behavior: Add the word as is
        Else
            result = result &amp; words(i)
        End If
        ' Add a space if it's not the last word and no underscore was added
        If i &lt; UBound(words) And Right(result, 1) &lt;&gt; </t>
  </si>
  <si>
    <t xml:space="preserve">"_" Then
            result = result &amp; " "
        End If
    Next i
    ' Return the processed string
    addUnderscore = result
End Function
' Helper function: Highlight special signs
</t>
  </si>
  <si>
    <t>Function checkAndReplaceFaultyCharacters(ByVal inputString As String) As String
    Dim allowedChars As String
    Dim faultyChars As String
    Dim i As Integer
    Dim currentChar As String
    Dim resultString As String
    ' Define the allowed cha</t>
  </si>
  <si>
    <t xml:space="preserve">racters: letters, numbers, and the hardcoded special characters
    allowedChars = "ABCDEFGHIJKLMNOPQRSTUVWXYZabcdefghijklmnopqrstuvwxyz0123456789!@#$Ñ%^&amp;*()_-+=[]{}|;:'"",.&lt;&gt;?/\`~ " &amp; Chr(10)
    faultyChars = ""
    resultString = inputString
 </t>
  </si>
  <si>
    <t>Char) = 0 Then
            ' If it's a faulty character, add it to the faultyChars string
            If InStr(faultyChars, currentChar) = 0 Then
                faultyChars = faultyChars &amp; currentChar
            End If
            ' Replace the faulty ch</t>
  </si>
  <si>
    <t>aracter with '#'
            resultString = Replace(resultString, currentChar, "#")
        End If
    Next i
    ' If there are any faulty characters, show a message box
    If Len(faultyChars) &gt; 0 Then
        'MsgBox "The following characters are n</t>
  </si>
  <si>
    <t xml:space="preserve">ot valid: " &amp; Chr(10) &amp; faultyChars &amp; Chr(10) &amp; "They are replaced with '#'", vbExclamation, "Invalid Characters Found and Replaced"
    End If
    ' Return the modified string
    checkAndReplaceFaultyCharacters = resultString
End Function
</t>
  </si>
  <si>
    <t xml:space="preserve">
'Helper Function: split business string while preserving new lines and spaces after new lines.
Public </t>
  </si>
  <si>
    <t>Function splitPreservingNewLines(ByVal str As String) As Variant
    Dim lines() As String
    Dim result() As String
    Dim i As Integer, j As Integer
    Dim currentLine As String
    ' Split the string into lines
    lines = Split(str, Chr(10))
    Re</t>
  </si>
  <si>
    <t xml:space="preserve">Dim result(0)
    ' Process each line separately
    For i = LBound(lines) To UBound(lines)
        currentLine = lines(i)
        ' Handle leading spaces at the beginning of the line
        If Left(currentLine, 1) = " " Then
            j = 1
         </t>
  </si>
  <si>
    <t xml:space="preserve">d If
        ' Split the rest of the line by spaces
        If Len(currentLine) &gt; 0 Then
            Dim words() As String
            words = Split(currentLine, " ")
            For j = LBound(words) To UBound(words)
                If Len(words(j)) &gt; 0 </t>
  </si>
  <si>
    <t xml:space="preserve">Then
                    ReDim Preserve result(UBound(result) + 1)
                    result(UBound(result)) = words(j)
                End If
            Next j
        End If
        ' Add a marker for the end of a line if it's not the last one
       </t>
  </si>
  <si>
    <t xml:space="preserve"> If i &lt; UBound(lines) Then
            ReDim Preserve result(UBound(result) + 1)
            result(UBound(result)) = Chr(10)
        End If
    Next i
    splitPreservingNewLines = result
End Function
' Helper function:  Encode specials
Public </t>
  </si>
  <si>
    <t xml:space="preserve">Function camelEncodeSpecialCharacters(ByVal str As String) As String
    Dim specialCharEncodings As Collection
    Dim key As Variant
    Dim quo As String
    Dim i As Long
    ' Initialize the collection with special character and encoding pairs
  </t>
  </si>
  <si>
    <t xml:space="preserve">  quo = Chr$(34)
    Set specialCharEncodings = New Collection
    With specialCharEncodings
        ' Dot replacements
        .Add Array("_P3__", " . ")
        .Add Array("_P2__", " .")
        .Add Array("_P__", ". ")
        .Add Array("_p__", ".")
  </t>
  </si>
  <si>
    <t xml:space="preserve">      ' Comma replacements
        .Add Array("_C3__", " , ")
        .Add Array("_C2__", " ,")
        .Add Array("_C__", ", ")
        .Add Array("_c__", ",")
        ' Question mark replacements
        .Add Array("_Q3__", " ? ")
        .Add Array("_Q2</t>
  </si>
  <si>
    <t xml:space="preserve">__", " ?")
        .Add Array("_Q__", "? ")
        .Add Array("_q__", "?")
        ' Exclamation mark replacements
        .Add Array("_E3__", " ! ")
        .Add Array("_E2__", " !")
        .Add Array("_E__", "! ")
        .Add Array("_e__", "!")
      </t>
  </si>
  <si>
    <t xml:space="preserve">  ' Semicolon replacements
        .Add Array("_SC3__", " ; ")
        .Add Array("_SC2__", " ;")
        .Add Array("_SC__", "; ")
        .Add Array("_sc__", ";")
        ' Colon replacements
        .Add Array("_D3__", " : ")
        .Add Array("_D2__",</t>
  </si>
  <si>
    <t xml:space="preserve"> " :")
        .Add Array("_D__", ": ")
        .Add Array("_d__", ":")
        ' Percent sign replacements
        .Add Array("_PT3__", " % ")
        .Add Array("_PT2__", " %")
        .Add Array("_PT__", "% ")
        .Add Array("_pt__", "%")
        ' </t>
  </si>
  <si>
    <t>Open parenthesis replacements
        .Add Array("_OP3__", " ( ")
        .Add Array("_OP2__", " (")
        .Add Array("_OP__", "( ")
        .Add Array("_op__", "(")
        ' Close parenthesis replacements
        .Add Array("_CP3__", " ) ")
        .Ad</t>
  </si>
  <si>
    <t>d Array("_CP2__", " )")
        .Add Array("_CP__", ") ")
        .Add Array("_cp__", ")")
        ' Open curly brace replacements
        .Add Array("_OCP3__", " { ")
        .Add Array("_OCP2__", " {")
        .Add Array("_OCP__", "{ ")
        .Add Arra</t>
  </si>
  <si>
    <t xml:space="preserve">y("_ocp__", "{")
        ' Close curly brace replacements
        .Add Array("_CCP3__", " } ")
        .Add Array("_CCP2__", " }")
        .Add Array("_CCP__", "} ")
        .Add Array("_ccp__", "}")
        ' Open square bracket replacements
        .Add </t>
  </si>
  <si>
    <t>Array("_OSP3__", " [ ")
        .Add Array("_OSP2__", " [")
        .Add Array("_OSP__", "[ ")
        .Add Array("_osp__", "[")
        ' Close square bracket replacements
        .Add Array("_CSP3__", " ] ")
        .Add Array("_CSP2__", " ]")
        .A</t>
  </si>
  <si>
    <t xml:space="preserve">dd Array("_CSP__", "] ")
        .Add Array("_csp__", "]")
        ' Tilde replacements
        .Add Array("_T3__", " ~ ")
        .Add Array("_T2__", " ~")
        .Add Array("_T__", "~ ")
        .Add Array("_t__", "~")
        ' Ampersand replacements
 </t>
  </si>
  <si>
    <t xml:space="preserve">       .Add Array("_AMP3__", " &amp; ")
        .Add Array("_AMP2__", " &amp;")
        .Add Array("_AMP__", "&amp; ")
        .Add Array("_amp__", "&amp;")
        ' Plus sign replacements
        .Add Array("_ADD3__", " + ")
        .Add Array("_ADD2__", " +")
        .</t>
  </si>
  <si>
    <t>Add Array("_ADD__", "+ ")
        .Add Array("_add__", "+")
        ' Minus sign replacements
        .Add Array("_MIN3__", " - ")
        .Add Array("_MIN2__", " -")
        .Add Array("_MIN__", "- ")
        .Add Array("_min__", "-")
        ' Division s</t>
  </si>
  <si>
    <t>ign replacements
        .Add Array("_DIV3__", " / ")
        .Add Array("_DIV2__", " /")
        .Add Array("_DIV__", "/ ")
        .Add Array("_div__", "/")
        ' Multiplicator sign replacements
        .Add Array("_MUL3__", " * ")
        .Add Array</t>
  </si>
  <si>
    <t>("_MUL2__", " *")
        .Add Array("_MUL__", "* ")
        .Add Array("_mul__", "*")
        ' Equal sign replacements
        .Add Array("_EQU3__", " = ")
        .Add Array("_EQU2__", " =")
        .Add Array("_EQU__", "= ")
        .Add Array("_equ__"</t>
  </si>
  <si>
    <t>, "=")
        ' Less than sign replacements
        .Add Array("_ST3__", " &lt; ")
        .Add Array("_ST2__", " &lt;")
        .Add Array("_ST__", "&lt; ")
        .Add Array("_st__", "&lt;")
        ' Greater than sign replacements
        .Add Array("_GT3__", " &gt;</t>
  </si>
  <si>
    <t xml:space="preserve"> ")
        .Add Array("_GT2__", " &gt;")
        .Add Array("_GT__", "&gt; ")
        .Add Array("_gt__", "&gt;")
        ' Hash/pound sign replacements
        .Add Array("_NR3__", " # ")
        .Add Array("_NR2__", " #")
        .Add Array("_NR__", "# ")
      </t>
  </si>
  <si>
    <t xml:space="preserve">  .Add Array("_nr__", "#")
        ' Quotation mark replacements
        .Add Array("_QUO3__", " " &amp; quo &amp; " ")
        .Add Array("_QUO2__", " " &amp; quo)
        .Add Array("_QUO__", quo &amp; " ")
        .Add Array("_quo__", quo)
        ' @ replacements
    </t>
  </si>
  <si>
    <t xml:space="preserve">    .Add Array("_AT3__", " @ ")
        .Add Array("_AT2__", " @")
        .Add Array("_AT__", "@ ")
        .Add Array("_at__", "@")
        ' Ñ replacements
        .Add Array("_EUR3__", " Ñ ")
        .Add Array("_EUR2__", " Ñ")
        .Add Array("_EUR</t>
  </si>
  <si>
    <t>__", "Ñ ")
        .Add Array("_eur__", "Ñ")
        ' Ñ replacements
        .Add Array("_USD3__", " $ ")
        .Add Array("_USD2__", " $")
        .Add Array("_USD__", "$ ")
        .Add Array("_usd__", "$")
        ' Apostrophe (')
        .Add Array(</t>
  </si>
  <si>
    <t>"_A3__", " ' ")
        .Add Array("_A2__", " '")
        .Add Array("_A__", "' ")
        .Add Array("_a__", "'")
        ' Backslash (\)
        .Add Array("_BSL3__", " \ ")
        .Add Array("_BSL2__", " \")
        .Add Array("_BSL__", "\ ")
        .</t>
  </si>
  <si>
    <t xml:space="preserve"> ' Handle multiple consecutive special characters with only two underscores separating them
    'str = Replace(str, "____", "__")
    camelEncodeSpecialCharacters = str
End Function
Public </t>
  </si>
  <si>
    <t>Function camelDecodeSpecialCharacters(ByVal str As String) As String
    Dim specialCharEncodings As Collection
    Dim key As Variant
    Dim quo As String
    'str = Replace(str, "__", "____")
    ' Initialize the collection with special charac</t>
  </si>
  <si>
    <t xml:space="preserve">ter and encoding pairs
    quo = Chr$(34)
    Set specialCharDecodings = New Collection
    With specialCharDecodings
        ' Dot replacements
        .Add Array(" . ", "_P3__")
        .Add Array(" .", "_P2__")
        .Add Array(". ", "_P__")
    </t>
  </si>
  <si>
    <t xml:space="preserve">    .Add Array(".", "_p__")
        ' Comma replacements
        .Add Array(" , ", "_C3__")
        .Add Array(" ,", "_C2__")
        .Add Array(", ", "_C__")
        .Add Array(",", "_c__")
        ' Question mark replacements
        .Add Array</t>
  </si>
  <si>
    <t>(" ? ", "_Q3__")
        .Add Array(" ?", "_Q2__")
        .Add Array("? ", "_Q__")
        .Add Array("?", "_q__")
        ' Exclamation mark replacements
        .Add Array(" ! ", "_E3__")
        .Add Array(" !", "_E2__")
        .Add Array("! ", "_E__</t>
  </si>
  <si>
    <t>")
        .Add Array("!", "_e__")
        ' Semicolon replacements
        .Add Array(" ; ", "_SC3__")
        .Add Array(" ;", "_SC2__")
        .Add Array("; ", "_SC__")
        .Add Array(";", "_sc__")
        ' Colon replacements
        .Ad</t>
  </si>
  <si>
    <t>d Array(" : ", "_D3__")
        .Add Array(" :", "_D2__")
        .Add Array(": ", "_D__")
        .Add Array(":", "_d__")
        ' Percent sign replacements
        .Add Array(" % ", "_PT3__")
        .Add Array(" %", "_PT2__")
        .Add Array("%</t>
  </si>
  <si>
    <t xml:space="preserve"> ", "_PT__")
        .Add Array("%", "_pt__")
        ' Open parenthesis replacements
        .Add Array(" ( ", "_OP3__")
        .Add Array(" (", "_OP2__")
        .Add Array("( ", "_OP__")
        .Add Array("(", "_op__")
        ' Close parent</t>
  </si>
  <si>
    <t>hesis replacements
        .Add Array(" ) ", "_CP3__")
        .Add Array(" )", "_CP2__")
        .Add Array(") ", "_CP__")
        .Add Array(")", "_cp__")
        ' Open curly brace replacements
        .Add Array(" { ", "_OCP3__")
        .Add Arra</t>
  </si>
  <si>
    <t>y(" {", "_OCP2__")
        .Add Array("{ ", "_OCP__")
        .Add Array("{", "_ocp__")
        ' Close curly brace replacements
        .Add Array(" } ", "_CCP3__")
        .Add Array(" }", "_CCP2__")
        .Add Array("} ", "_CCP__")
        .Add A</t>
  </si>
  <si>
    <t>rray("}", "_ccp__")
        ' Open square bracket replacements
        .Add Array(" [ ", "_OSP3__")
        .Add Array(" [", "_OSP2__")
        .Add Array("[ ", "_OSP__")
        .Add Array("[", "_osp__")
        ' Close square bracket replacemen</t>
  </si>
  <si>
    <t xml:space="preserve">ts
        .Add Array(" ] ", "_CSP3__")
        .Add Array(" ]", "_CSP2__")
        .Add Array("] ", "_CSP__")
        .Add Array("]", "_csp__")
        ' Tilde replacements
        .Add Array(" ~ ", "_T3__")
        .Add Array(" ~", "_T2__")
        </t>
  </si>
  <si>
    <t>.Add Array("~ ", "_T__")
        .Add Array("~", "_t__")
        ' Ampersand replacements
        .Add Array(" &amp; ", "_AMP3__")
        .Add Array(" &amp;", "_AMP2__")
        .Add Array("&amp; ", "_AMP__")
        .Add Array("&amp;", "_amp__")
        ' Plus</t>
  </si>
  <si>
    <t xml:space="preserve"> sign replacements
        .Add Array(" + ", "_ADD3__")
        .Add Array(" +", "_ADD2__")
        .Add Array("+ ", "_ADD__")
        .Add Array("+", "_add__")
        ' Minus sign replacements
        .Add Array(" - ", "_MIN3__")
        .Add Array(</t>
  </si>
  <si>
    <t>" -", "_MIN2__")
        .Add Array("- ", "_MIN__")
        .Add Array("-", "_min__")
        ' Division sign replacements
        .Add Array(" / ", "_DIV3__")
        .Add Array(" /", "_DIV2__")
        .Add Array("/ ", "_DIV__")
        .Add Array("</t>
  </si>
  <si>
    <t>/", "_div__")
        ' Multiplicator sign replacements
        .Add Array(" * ", "_MUL3__")
        .Add Array(" *", "_MUL2__")
        .Add Array("* ", "_MUL__")
        .Add Array("*", "_mul__")
        ' Equal sign replacements
        .A</t>
  </si>
  <si>
    <t>dd Array(" = ", "_EQU3__")
        .Add Array(" =", "_EQU2__")
        .Add Array("= ", "_EQU__")
        .Add Array("=", "_equ__")
        ' Less than sign replacements
        .Add Array(" &lt; ", "_ST3__")
        .Add Array(" &lt;", "_ST2__")
        .A</t>
  </si>
  <si>
    <t xml:space="preserve">dd Array("&lt; ", "_ST__")
        .Add Array("&lt;", "_st__")
        ' Greater than sign replacements
        .Add Array(" &gt; ", "_GT3__")
        .Add Array(" &gt;", "_GT2__")
        .Add Array("&gt; ", "_GT__")
        .Add Array("&gt;", "_gt__")
        ' </t>
  </si>
  <si>
    <t>Hash/pound sign replacements
        .Add Array(" # ", "_NR3__")
        .Add Array(" #", "_NR2__")
        .Add Array("# ", "_NR__")
        .Add Array("#", "_nr__")
        ' Quotation mark replacements
        .Add Array(" " &amp; quo &amp; " ", "_QUO3__")</t>
  </si>
  <si>
    <t xml:space="preserve">
        .Add Array(" " &amp; quo, "_QUO2__")
        .Add Array(quo &amp; " ", "_QUO__")
        .Add Array(quo, "_quo__")
        ' @ replacements
        .Add Array(" @ ", "_AT3__")
        .Add Array(" @", "_AT2__")
        .Add Array("@ ", "_AT__")
     </t>
  </si>
  <si>
    <t xml:space="preserve">   .Add Array("@", "_at__")
        ' Ñ replacements
        .Add Array(" Ñ ", "_EUR3__")
        .Add Array(" Ñ", "_EUR2__")
        .Add Array("Ñ ", "_EUR__")
        .Add Array("Ñ", "_eur__")
        ' $ replacements
        .Add Array(" $ ", </t>
  </si>
  <si>
    <t xml:space="preserve">"_USD3__")
        .Add Array(" $", "_USD2__")
        .Add Array("$ ", "_USD__")
        .Add Array("$", "_usd__")
        ' Apostrophe (')
        .Add Array(" ' ", "_A3__")
        .Add Array(" '", "_A2__")
        .Add Array("' ", "_A__")
        </t>
  </si>
  <si>
    <t>.Add Array("'", "_a__")
        ' Backslash (\)
        .Add Array(" \ ", "_BSL3__")
        .Add Array(" \", "_BSL2__")
        .Add Array("\ ", "_BSL__")
        .Add Array("\", "_bsl__")
        .Add Array("èèè", "_u__") 'workaround to pre</t>
  </si>
  <si>
    <t>serve underscores from input
        '.add Array("", "__") ' remove remaining double underscores
        .Add Array(" ", "_") 'replaces single underscores used to for abbreviations back to spaces
        .Add Array("_", "èèè")
    En</t>
  </si>
  <si>
    <t>Function replaceUnderscores(ByVal inputStr As String) As String
    Dim resultStr As String
    Dim i As Long
    Dim strLength As Long
    Dim currentChar As String
    Dim previousChar As String
    Dim nextChar As String
    resultStr = ""
    strL</t>
  </si>
  <si>
    <t>aracter is an underscore
        If currentChar = "_" Then
            ' Replace underscore only if the previous character is not a capitalized letter or digit and the next is a character
            ' Replace only the underscores we did not create in "Add</t>
  </si>
  <si>
    <t xml:space="preserve">Underscore"
            If Not ((previousChar Like "[A-Z]") Or (previousChar Like "[0-9]") And nextChar &lt;&gt; "") Then
                resultStr = resultStr &amp; "_u__"
            Else
                resultStr = resultStr &amp; "_"
            End If
        Else
</t>
  </si>
  <si>
    <t xml:space="preserve">            ' Append the current character if it's not an underscore
            resultStr = resultStr &amp; currentChar
        End If
    Next i
    replaceUnderscores = resultStr
    'Debug.Print ReplaceUnderscores
End Function
</t>
  </si>
  <si>
    <t>Function handleLists(inputString As String) As String
    Dim lines() As String
    Dim i As Long
    Dim currentLine As String
    Dim firstWord As String
    Dim romanNumerals As Variant
    Dim needsLowercase As Boolean
    ' Define Roman numeral p</t>
  </si>
  <si>
    <t xml:space="preserve">atterns
    romanNumerals = Array("i", "ii", "iii", "iv", "v", "vi", "vii", "viii", "ix", "x")
    ' Split the input string into lines (using Chr(10) for line breaks)
    lines = Split(inputString, Chr(10))
    ' Loop through each line
    For i </t>
  </si>
  <si>
    <t>= LBound(lines) To UBound(lines)
        currentLine = lines(i)
        needsLowercase = False
        ' Extract the first word of the current line
        If InStr(1, LTrim(currentLine), " ") &gt; 0 Then
            firstWord = Left(LTrim(currentLin</t>
  </si>
  <si>
    <t>e), InStr(1, LTrim(currentLine), " ") - 1)
        Else
            firstWord = LTrim(currentLine)
        End If
        ' Check if the first word is a single letter or a Roman numeral
        If (Len(firstWord) = 1 And firstWord Like "[A-Za-z]")</t>
  </si>
  <si>
    <t xml:space="preserve"> Or _
           Not IsError(Application.Match(LCase(firstWord), romanNumerals, 0)) Then
            ' Check the previous line (ignoring leading spaces)
            If i &gt; LBound(lines) Then
                Dim prevFirstWord As String
                If In</t>
  </si>
  <si>
    <t xml:space="preserve">Str(1, LTrim(lines(i - 1)), " ") &gt; 0 Then
                    prevFirstWord = Left(LTrim(lines(i - 1)), InStr(1, LTrim(lines(i - 1)), " ") - 1)
                Else
                    prevFirstWord = LTrim(lines(i - 1))
                End If
            </t>
  </si>
  <si>
    <t xml:space="preserve">    If (Len(prevFirstWord) = 1 And prevFirstWord Like "[A-Za-z]") Or _
                   Not IsError(Application.Match(LCase(prevFirstWord), romanNumerals, 0)) Then
                    needsLowercase = True
                End If
            End If
      </t>
  </si>
  <si>
    <t xml:space="preserve">      
            ' Check the next line (ignoring leading spaces)
            If i &lt; UBound(lines) Then
                Dim nextFirstWord As String
                If InStr(1, LTrim(lines(i + 1)), " ") &gt; 0 Then
                    nextFirstWord = Left(LTr</t>
  </si>
  <si>
    <t xml:space="preserve">im(lines(i + 1)), InStr(1, LTrim(lines(i + 1)), " ") - 1)
                Else
                    nextFirstWord = LTrim(lines(i + 1))
                End If
                If (Len(nextFirstWord) = 1 And nextFirstWord Like "[A-Za-z]") Or _
               </t>
  </si>
  <si>
    <t xml:space="preserve">    Not IsError(Application.Match(LCase(nextFirstWord), romanNumerals, 0)) Then
                    needsLowercase = True
                End If
            End If
        End If
        ' Check if the first word starts with a single lowercase let</t>
  </si>
  <si>
    <t>ke "[A-Za-z0-9]" Then
            needsLowercase = True
        End If
        ' Apply lowercase to the entire first word if conditions are met
        If needsLowercase Then
            lines(i) = Replace(currentLine, firstWord, LCase(firstWord),</t>
  </si>
  <si>
    <t>Sub tableSelection()
    'On Error GoTo ErrorHandler
    transferTime = Now
    fulltransfer = False
    ' Mode selection
    Dim modeSelection As UserForm_TransferMode
    Set modeSelection = New UserForm_TransferMode
    modeSelection.Show
    If tran</t>
  </si>
  <si>
    <t>sferMode = "" Then
        MsgBox "No transfer mode selected. Program terminates."
        Exit Sub
    End If
    ' Source and target selection
    Dim sourceSelection As UserForm_SourceTable
    Set sourceSelection = New UserForm_SourceTable
    sourceS</t>
  </si>
  <si>
    <t>election.Show
    If fulltransfer = False Then
        Dim targetSelection As UserForm_TargetTable
        Set targetSelection = New UserForm_TargetTable
        targetSelection.Show
        If sourceTable = "" Or targetTable = "" Then
            ' End</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</si>
  <si>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</si>
  <si>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</si>
  <si>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</si>
  <si>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</si>
  <si>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</si>
  <si>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</si>
  <si>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</si>
  <si>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</si>
  <si>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</si>
  <si>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</si>
  <si>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</si>
  <si>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</si>
  <si>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</si>
  <si>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</si>
  <si>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</si>
  <si>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</si>
  <si>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</si>
  <si>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</si>
  <si>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</si>
  <si>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</si>
  <si>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</si>
  <si>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</si>
  <si>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</si>
  <si>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</si>
  <si>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</si>
  <si>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</si>
  <si>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</si>
  <si>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</si>
  <si>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</si>
  <si>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</si>
  <si>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</si>
  <si>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</si>
  <si>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</si>
  <si>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</si>
  <si>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</si>
  <si>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</si>
  <si>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</si>
  <si>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</si>
  <si>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</si>
  <si>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</si>
  <si>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</si>
  <si>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</si>
  <si>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</si>
  <si>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</si>
  <si>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</si>
  <si>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</si>
  <si>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</si>
  <si>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</si>
  <si>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</si>
  <si>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</si>
  <si>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</si>
  <si>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</si>
  <si>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</si>
  <si>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 xml:space="preserve"> 1).Value = "ID"
            .Cells(1, 2).Value = "Kind:src"
            .Cells(1, 3).Value = "Owning Table:src"
            .Cells(1, 4).Value = "Position"
            .Cells(1, 5).Value = "Stored Column Position"
            .Cells(1, 6).Value = "Excel C</t>
  </si>
  <si>
    <t>olumn - Label Overwrite"
            .Cells(1, 7).Value = "Excel Column - Explicit Excel Formula"
        End With
        ' Create the 'Columns_Extract' table object
        Set newTable = NewSheet.ListObjects.Add(xlSrcRange, NewSheet.Range("A1:G</t>
  </si>
  <si>
    <t xml:space="preserve">  If missingColumns &lt;&gt; "" Then
        MsgBox "The following mandatory columns were missing and added to the table '" &amp; mainTableName &amp; "':" &amp; vbNewLine &amp; missingColumns, vbInformation
    Else
        'MsgBox "All required columns already exist in the mai</t>
  </si>
  <si>
    <t xml:space="preserve">n table.", vbInformation
    End If
    Set compareExtract = tblMain
End Function
'Helper
</t>
  </si>
  <si>
    <t xml:space="preserve">Sub Worksheet_Change(ByVal cellRef As Range)
    If cellRef.Cells.CountLarge = 1 Then
        referingTableName = cellRef.ListObject.name
        referingColumnName = Cells(cellRef.ListObject.Range.row, cellRef.column).Value
        referedTableName = ""
 </t>
  </si>
  <si>
    <t>Function createTransferModeForm()
    Dim MyUserForm As VBComponent
    Dim CommandButton1 As MSForms.CommandButton
    Dim CommandButton2 As MSForms.CommandButton
    Dim N As Integer
    ' Check if UserForm_TransferMode already exists
    For N = 1 To T</t>
  </si>
  <si>
    <t>ct.VBComponents.Add(vbext_ct_MSForm)
    MyUserForm.name = "UserForm_TransferMode"
    With MyUserForm
        .Properties("Caption") = "Select Transfer Mode"
        .Properties("Width") = 300
        .Properties("Height") = 200
        .Propert</t>
  </si>
  <si>
    <t xml:space="preserve">ies("BorderStyle") = 1 ' Makes the form resizable
    End With
    ' Add "Normal Transfer" button
    Set CommandButton1 = MyUserForm.Designer.Controls.Add("forms.CommandButton.1")
    With CommandButton1
        .Caption = "Normal Transfer"
   </t>
  </si>
  <si>
    <t xml:space="preserve">     .Height = 30
        .Width = 100
        .Left = 30
        .Top = 50
    End With
    ' Add event handlers for CommandButtons
    With MyUserForm.CodeModule
        .InsertLines .CountOfLines + 1, "Private </t>
  </si>
  <si>
    <t xml:space="preserve">tical"
        .InsertLines .CountOfLines + 1, "        End"
        .InsertLines .CountOfLines + 1, "    End If"
        .InsertLines .CountOfLines + 1, "End Sub"
    End With
End Function
' Subroutine to create UserForm_SourceTable
</t>
  </si>
  <si>
    <t>Function createSourceTableForm()
    Dim MyUserForm As VBComponent
    Dim CommandButton1 As MSForms.CommandButton
    Dim ListBox1 As MSForms.ListBox
    Dim N As Integer
    ' Check if UserForm_SourceTable already exists
    For N = 1 To ThisWorkbook.VB</t>
  </si>
  <si>
    <t>Add(vbext_ct_MSForm)
    With MyUserForm
        .Properties("Caption") = "Select Source Table"
        .Properties("Width") = 300
        .Properties("Height") = 300
        .Properties("BorderStyle") = 1 ' Makes the form resizable
    End With
    MyUse</t>
  </si>
  <si>
    <t xml:space="preserve">rForm.name = "UserForm_SourceTable"
    ' Add ListBox
    Set ListBox1 = MyUserForm.Designer.Controls.Add("Forms.ListBox.1")
    With ListBox1
        .name = "ListBox1"
        .Left = 30
        .Top = 30
        .Width = 240
        .Height = 150
 </t>
  </si>
  <si>
    <t xml:space="preserve">   End With
    ' Add "Full Transfer (all tables)" button
    Set CommandButton1 = MyUserForm.Designer.Controls.Add("forms.CommandButton.1")
    With CommandButton1
        .Caption = "Full Transfer (all tables)"
        .Height = 30
        .Width = 150
</t>
  </si>
  <si>
    <t xml:space="preserve">        .Left = 30
        .Top = 200
    End With
    ' Add event handlers
    With MyUserForm.CodeModule
        ' CommandButton1 Click event
        .InsertLines .CountOfLines + 1, "Private </t>
  </si>
  <si>
    <t xml:space="preserve">tical"
        .InsertLines .CountOfLines + 1, "        End"
        .InsertLines .CountOfLines + 1, "    End If"
        .InsertLines .CountOfLines + 1, "End Sub"
    End With
End Function
' Subroutine to create UserForm_TargetTable
</t>
  </si>
  <si>
    <t>Function createTargetTableForm()
    Dim MyUserForm As VBComponent
    Dim CommandButton1 As MSForms.CommandButton
    Dim ListBox1 As MSForms.ListBox
    Dim N As Integer
    ' Check if UserForm_TargetTable already exists
    For N = 1 To ThisWorkbook.VB</t>
  </si>
  <si>
    <t>Add(vbext_ct_MSForm)
    With MyUserForm
        .Properties("Caption") = "Select Target Table"
        .Properties("Width") = 300
        .Properties("Height") = 300
        .Properties("BorderStyle") = 1 ' Makes the form resizable
    End With
    M</t>
  </si>
  <si>
    <t xml:space="preserve">yUserForm.name = "UserForm_TargetTable"
    ' Add ListBox
    Set ListBox1 = MyUserForm.Designer.Controls.Add("Forms.ListBox.1")
    With ListBox1
        .name = "ListBox1"
        .Left = 30
        .Top = 30
        .Width = 240
        .Height = 150
 </t>
  </si>
  <si>
    <t xml:space="preserve">   End With
    ' Add "Continue without Target" button
    Set CommandButton1 = MyUserForm.Designer.Controls.Add("forms.CommandButton.1")
    With CommandButton1
        .Caption = "Continue without Target"
        .Height = 30
        .Width = 150
      </t>
  </si>
  <si>
    <t xml:space="preserve">  .Left = 30
        .Top = 200
    End With
    ' Add event handlers
    With MyUserForm.CodeModule
        ' CommandButton1 Click event
        .InsertLines .CountOfLines + 1, "Private </t>
  </si>
  <si>
    <t xml:space="preserve">tical"
        .InsertLines .CountOfLines + 1, "        End"
        .InsertLines .CountOfLines + 1, "    End If"
        .InsertLines .CountOfLines + 1, "End Sub"
    End With
End Function
' Subroutine to create UserForm_SourceInvalid
</t>
  </si>
  <si>
    <t xml:space="preserve">Function createSourceInvalidForm()
    Dim MyUserForm As VBComponent
    Dim CommandButton1 As MSForms.CommandButton
    Dim CommandButton2 As MSForms.CommandButton
    Dim Label As MSForms.Label
    Dim N As Integer
    ' Check if UserForm_SourceInvalid </t>
  </si>
  <si>
    <t xml:space="preserve">t MyUserForm = ThisWorkbook.VBProject.VBComponents.Add(vbext_ct_MSForm)
    With MyUserForm
        .Properties("Caption") = "Invalid Source Table"
        .Properties("Width") = 350
        .Properties("Height") = 150
        .Properties("BorderStyle") = </t>
  </si>
  <si>
    <t>1 ' Makes the form resizable
    End With
    MyUserForm.name = "UserForm_SourceInvalid"
    ' Add Label
    Set Label = MyUserForm.Designer.Controls.Add("Forms.Label.1")
    With Label
        .Caption = "The selected source table is invalid. Should</t>
  </si>
  <si>
    <t xml:space="preserve"> the selected table be fixed?"
        .Height = 30
        .Width = 300
        .Left = 25
        .Top = 20
    End With
    ' Add "Yes" button
    Set CommandButton1 = MyUserForm.Designer.Controls.Add("forms.CommandButton.1")
    With CommandButton1
  </t>
  </si>
  <si>
    <t xml:space="preserve">      .Caption = "Yes"
        .Height = 30
        .Width = 80
        .Left = 50
        .Top = 70
    End With
    ' Add "No (end transfer)" button
    Set CommandButton2 = MyUserForm.Designer.Controls.Add("forms.CommandButton.1")
    With CommandButto</t>
  </si>
  <si>
    <t xml:space="preserve">n2
        .Caption = "No (end transfer)"
        .Height = 30
        .Width = 120
        .Left = 150
        .Top = 70
    End With
    ' Add event handlers
    With MyUserForm.CodeModule
        .InsertLines .CountOfLines + 1, "Private </t>
  </si>
  <si>
    <t xml:space="preserve">tical"
        .InsertLines .CountOfLines + 1, "        End"
        .InsertLines .CountOfLines + 1, "    End If"
        .InsertLines .CountOfLines + 1, "End Sub"
    End With
End Function
' Subroutine to create UserForm_TargetInvalid
</t>
  </si>
  <si>
    <t xml:space="preserve">Function createTargetInvalidForm()
    Dim MyUserForm As VBComponent
    Dim CommandButton1 As MSForms.CommandButton
    Dim CommandButton2 As MSForms.CommandButton
    Dim Label As MSForms.Label
    Dim N As Integer
    ' Check if UserForm_TargetInvalid </t>
  </si>
  <si>
    <t xml:space="preserve">t MyUserForm = ThisWorkbook.VBProject.VBComponents.Add(vbext_ct_MSForm)
    With MyUserForm
        .Properties("Caption") = "Invalid Target Table"
        .Properties("Width") = 350
        .Properties("Height") = 150
        .Properties("BorderStyle") = </t>
  </si>
  <si>
    <t>1 ' Makes the form resizable
    End With
    MyUserForm.name = "UserForm_TargetInvalid"
    ' Add Label
    Set Label = MyUserForm.Designer.Controls.Add("Forms.Label.1")
    With Label
        .Caption = "The selected target table is invalid. Should</t>
  </si>
  <si>
    <t xml:space="preserve">tical"
        .InsertLines .CountOfLines + 1, "        End"
        .InsertLines .CountOfLines + 1, "    End If"
        .InsertLines .CountOfLines + 1, "End Sub"
    End With
End Function
' Subroutine to create UserForm_SourceTable
</t>
  </si>
  <si>
    <t xml:space="preserve">ok.VBProject.VBComponents(N).name = "UserForm_BackupTableForm" Then
            Exit Function
        End If
    Next N
    ' Create UserForm_SourceTable
    Set MyUserForm = ThisWorkbook.VBProject.VBComponents.Add(vbext_ct_MSForm)
    With MyUserForm
   </t>
  </si>
  <si>
    <t xml:space="preserve">     .Properties("Caption") = "Select Table for backup via doubleclick.."
        .Properties("Width") = 400
        .Properties("Height") = 400
        .Properties("BorderStyle") = 1 ' Makes the form resizable
    End With
    MyUserForm.name = "UserForm</t>
  </si>
  <si>
    <t>_BackupTable"
    ' Add ListBox
    Set ListBox1 = MyUserForm.Designer.Controls.Add("Forms.ListBox.1")
    With ListBox1
        .name = "ListBox1"
        .Left = 50
        .Top = 50
        .Width = 300
        .Height = 300
    End With
    ' Ad</t>
  </si>
  <si>
    <t xml:space="preserve">d event handlers
    With MyUserForm.CodeModule
        ' ListBox1 Double Click event
        .InsertLines .CountOfLines + 1, "Private </t>
  </si>
  <si>
    <t xml:space="preserve">Sub ListBox1_DblClick(ByVal Cancel As MSForms.ReturnBoolean)"
        .InsertLines .CountOfLines + 1, "    backupTable = Me.ListBox1.Text"
        .InsertLines .CountOfLines + 1, "    Unload Me"
        .InsertLines .CountOfLines + 1, "End Sub"
  </t>
  </si>
  <si>
    <t>Sub UserForm_Initialize()"
        .InsertLines .CountOfLines + 1, "    Dim sh As Worksheet"
        .InsertLines .CountOfLines + 1, "    Dim tbl As ListObject"
        .InsertLines .CountOfLines + 1, "    Dim str As String"
        .InsertLines .CountOfLi</t>
  </si>
  <si>
    <t>nes + 1, "    For Each sh In ThisWorkbook.Worksheets"
        .InsertLines .CountOfLines + 1, "        For Each tbl In sh.ListObjects"
        .InsertLines .CountOfLines + 1, "            str = sh.Name &amp; "" ("" &amp; tbl.Name &amp; "")"""
        .InsertLines .Cou</t>
  </si>
  <si>
    <t>ntOfLines + 1, "            Me.ListBox1.AddItem str"
        .InsertLines .CountOfLines + 1, "        Next tbl"
        .InsertLines .CountOfLines + 1, "    Next sh"
        .InsertLines .CountOfLines + 1, "End Sub"
        ' Handle close button (</t>
  </si>
  <si>
    <t xml:space="preserve">X)
        .InsertLines .CountOfLines + 1, "Private </t>
  </si>
  <si>
    <t xml:space="preserve">tical"
        .InsertLines .CountOfLines + 1, "        End"
        .InsertLines .CountOfLines + 1, "    End If"
        .InsertLines .CountOfLines + 1, "End Sub"
    End With
End Function
</t>
  </si>
  <si>
    <t>Function TestSimplePattern()
    Dim patternMatchFilterColumnNames() As String
    Dim patternMatchFilterColumnValues() As String
    Dim output As String
    ' Define the arrays
    patternMatchFilterColumnNames = Split("Filter1,Filter2", ",")
    pa</t>
  </si>
  <si>
    <t>tternMatchFilterColumnValues = Split("Value1,Value2", ",")
    output = instantiatedSimpleCodePattern("meta_SimpleTestPattern", patternMatchFilterColumnNames, patternMatchFilterColumnValues, "Order", "Template")
    Debug.Print "(" &amp; output &amp; ")"
End Func</t>
  </si>
  <si>
    <t xml:space="preserve">tion
</t>
  </si>
  <si>
    <t>ingTable.ListColumns(referingColumnName &amp; " Q")
         For Each sht In ActiveWorkbook.Worksheets
             For Each tbl In sht.ListObjects
                 If tbl.name = referedTableName Then
                      Set refTbl = tbl
                 End</t>
  </si>
  <si>
    <t>able.ListColumns("Package")
         Set referingTableRefNameColumn = referingTable.ListColumns(referingColumnName)
         '
         For Each sht In ActiveWorkbook.Worksheets
             For Each tbl In sht.ListObjects
                 If tbl.name = re</t>
  </si>
  <si>
    <t>Objects
                 If tbl.name = referedTableName Then
                      Set refTbl = tbl
                 End If
              Next tbl
         Next sht
         Set referedTable = refTbl
         Set referedTableIdColumn = referedTable.ListCol</t>
  </si>
  <si>
    <t xml:space="preserve">Sub UserForm_Initialize()
    Dim sh As Worksheet
    Dim tbl As ListObject
    For Each sh In ThisWorkbook.Worksheets
        For Each tbl In sh.ListObjects
            Me.ListBox1.AddItem tbl.name
        Next tbl
    Next sh
End Sub
Private </t>
  </si>
  <si>
    <t>Sub createTableBackup()
    Dim sheetName As String
    Dim tableName As String
    Dim currentDateTime As String
    Dim backupForm As UserForm_BackupTable
    Set backupForm = New UserForm_BackupTable
    backupForm.Show
    transferTime = Now(</t>
  </si>
  <si>
    <t xml:space="preserve">)
    currentDateTime = Format(transferTime, "yymmddhhmm")
    sheetName = Trim(Left(backupTable, InStr(backupTable, "(") - 1))
    tableName = Trim(Mid(backupTable, InStr(backupTable, "(") + 1, InStr(backupTable, ")") - InStr(backupTable, "(") - 1))
</t>
  </si>
  <si>
    <t xml:space="preserve">    
    Call createBackup(sheetName, tableName, currentDateTime)
    MsgBox "Backup of the Table: " &amp; vbNewLine &amp; tableName &amp; vbNewLine &amp; "in the Sheet:" &amp; vbNewLine &amp; sheetName &amp; vbNewLine &amp; "was created with the following name:" &amp; vbNewLine &amp; sheet</t>
  </si>
  <si>
    <t xml:space="preserve">Name &amp; "_" &amp; currentDateTime, vbInformation
End Sub
</t>
  </si>
  <si>
    <t xml:space="preserve">nOrderColumnName Then
            orderColumnIndex = colIndex
        End If
        If tbl.ListColumns(colIndex).name = instantiatedTemplateColumnFromPatternSourceTable Then
            instantiatedColumnIndex = colIndex
        End If
    Next colIndex
</t>
  </si>
  <si>
    <t>Function createBackup(tabName As String, tableName As String, currentDateTime As String) As ListObject
    Dim NewSheet As Worksheet
    Dim backupNameTable As String
    Set createBackup = Nothing
    Set wsTables = Nothing
    backup</t>
  </si>
  <si>
    <t>eet.ListObjects.Add(xlSrcRange, NewSheet.Range("A1:E1").CurrentRegion, , xlYes)
        newTable.name = "meta_Tables_Extract" &amp; currentDateTime
    ElseIf tableType = "Columns" Then
        ' Create 'Columns_Extract' sheet with specific colum</t>
  </si>
  <si>
    <t xml:space="preserve">1").CurrentRegion, , xlYes)
        newTable.name = "meta_Columns_Extract" &amp; currentDateTime
    End If
    Set createExtract = newTable
End Function
'Helper
</t>
  </si>
  <si>
    <t xml:space="preserve">      NewSheet.Range("A1").PasteSpecial Paste:=xlPasteAll
        Application.CutCopyMode = False
        Set tblMain = NewSheet.ListObjects(1)
        tblMain.name = mainTableName
        With tblMain.ListRows.Add
            .Range.Cells(1, 1).V</t>
  </si>
  <si>
    <t xml:space="preserve">d Then
            ' Column is missing, add it to tblMain
            tblMain.ListColumns.Add.name = colName
            missingColumns = missingColumns &amp; colName &amp; vbNewLine
        End If
    Next colName
    ' Display a message if columns were added
  </t>
  </si>
  <si>
    <t>Function processMetaData(currentDateTime As String)
    Dim wsTables As Worksheet, wsColumns As Worksheet
    Dim wsTablesExtract As Worksheet, wsColumnsExtract As Worksheet
    Dim tblTables As ListObject, tblColumns As ListObject
    Dim tblTablesExtract</t>
  </si>
  <si>
    <t xml:space="preserve"> As ListObject, tblColumnsExtract As ListObject
    Dim sheet As Worksheet, table As ListObject, column As ListColumn
    Dim tableExtractArray() As Variant, columnExtractArray() As Variant
    Dim tableCount As Long, columnCount As Long
    Dim table</t>
  </si>
  <si>
    <t>Index As Long, columnIndex As Long
    Dim id As String, columnID As String, newName As String
    Dim StoredPosition As Long, i As Long
    MsgBox "Processing workbook meta-data and storing it in the temporary _extract tables. This may take some time..",</t>
  </si>
  <si>
    <t xml:space="preserve"> vbInformation
    ' Cache Sheets &amp; Tables
    Set wsTables = ThisWorkbook.Sheets("Tables")
    Set tblTables = wsTables.ListObjects(1)
    Set wsColumns = ThisWorkbook.Sheets("Columns")
    Set tblColumns = wsColumns.ListObjects(1)
    Set </t>
  </si>
  <si>
    <t>wsTablesExtract = ThisWorkbook.Sheets("Tables_Extract" &amp; currentDateTime)
    Set wsColumnsExtract = ThisWorkbook.Sheets("Columns_Extract" &amp; currentDateTime)
    Set tblTablesExtract = wsTablesExtract.ListObjects(1)
    Set tblColumnsExtract = wsColum</t>
  </si>
  <si>
    <t>nsExtract.ListObjects(1)
    ' Load Tables and Columns Data into Arrays for Faster Lookup
    Dim tableData As Variant, columnData As Variant
    If Not tblTables.DataBodyRange Is Nothing Then tableData = tblTables.DataBodyRange.Value
    If Not tblColumn</t>
  </si>
  <si>
    <t>s.DataBodyRange Is Nothing Then columnData = tblColumns.DataBodyRange.Value
    ' Get column indexes
    Dim nameColIndex As Long, idColIndex As Long, owningTableColIndex As Long
    nameColIndex = FindColumnIndex(tblTables, "Name")
    idColIndex = FindC</t>
  </si>
  <si>
    <t>olumnIndex(tblTables, "ID")
    owningTableColIndex = FindColumnIndex(tblColumns, "Owning Table:src")
    ' Store Table IDs in Arrays for Faster Lookup
    Dim tableIDs() As String, tableNames() As String
    If Not IsEmpty(tableData) And nameColIndex &gt; 0</t>
  </si>
  <si>
    <t xml:space="preserve"> And idColIndex &gt; 0 Then
        ReDim tableIDs(1 To UBound(tableData, 1))
        ReDim tableNames(1 To UBound(tableData, 1))
        For i = 1 To UBound(tableData, 1)
            tableIDs(i) = CStr(tableData(i, idColIndex))
            tableName</t>
  </si>
  <si>
    <t xml:space="preserve">s(i) = CStr(tableData(i, nameColIndex))
        Next i
    End If
    ' Store Column IDs in Arrays for Faster Lookup
    Dim columnIDs() As String, columnNames() As String
    If Not IsEmpty(columnData) And idColIndex &gt; 0 And owningTableColIndex &gt; 0 Then
</t>
  </si>
  <si>
    <t xml:space="preserve">        ReDim columnIDs(1 To UBound(columnData, 1))
        ReDim columnNames(1 To UBound(columnData, 1))
        For i = 1 To UBound(columnData, 1)
            columnIDs(i) = CStr(columnData(i, idColIndex))
            columnNames(i) = CStr(colum</t>
  </si>
  <si>
    <t xml:space="preserve">nData(i, owningTableColIndex) &amp; "_" &amp; columnData(i, nameColIndex))
        Next i
    End If
    ' Initialize Counters
    tableCount = 0
    columnCount = 0
    ' **Iterate Once Through Sheets &amp; Tables**
    For Each sheet In ThisWorkbook.Sheets
       </t>
  </si>
  <si>
    <t>Function mergeTables(currentDateTime As String)
    Dim wsTablesExtract As Worksheet, wsColumnsExtract As Worksheet
    Dim wsTables As Worksheet, wsColumns As Worksheet
    Dim tblTablesExtract As ListObject, tblColumnsExtract As ListObject
    Dim tblTab</t>
  </si>
  <si>
    <t>Function deleteUnmatchedRows(targetTable As ListObject, validIDs As Collection)
    Dim idRange As Range
    Dim idArray As Variant
    Dim i As Long
    Dim idColumn As Integer
    Dim deleteRows As Range
    ' Check if table has data
    If targetTable.</t>
  </si>
  <si>
    <t xml:space="preserve">Function ' Exit if "ID" column is not found
    ' Define the range containing IDs (excluding header)
    Set idRange = targetTable.ListColumns(idColumn).DataBodyRange
    If idRange Is Nothing Then Exit </t>
  </si>
  <si>
    <t>Function ' Exit if there is no data
    ' Load IDs into an array for faster processing
    idArray = idRange.Value
    ' Identify rows to delete
    For i = UBound(idArray, 1) To 1 Step -1 ' Loop in reverse to avoid shifting issues
        If Not Collect</t>
  </si>
  <si>
    <t xml:space="preserve">ionContains(validIDs, idArray(i, 1)) Then
            targetTable.ListRows(i).Delete ' Delete row directly
        End If
    Next i
End Function
' Helper function to check if Collection contains an item
</t>
  </si>
  <si>
    <t xml:space="preserve">Function copyDownFormulas(tbl As ListObject)
    Dim colHeader As Range
    Dim colData As Range
    Dim strFormula As String
    ' Loop through all columns in the table
    For Each lc In tbl.ListColumns
        Set colData = lc.DataBodyRange
       </t>
  </si>
  <si>
    <t xml:space="preserve"> 
        ' Ensure column has data and first cell contains a formula
        If Not colData Is Nothing Then
            If colData.Cells(1, 1).HasFormula Then
                strFormula = colData.Cells(1, 1).formula
                colData.formula = strFor</t>
  </si>
  <si>
    <t xml:space="preserve">mula ' Copy formula to entire column range
            End If
        End If
    Next lc
End Function
</t>
  </si>
  <si>
    <t>Sub createTablesAsFiles()
    Dim ws As Worksheet
    Dim tbl As ListObject
    Dim wb As Workbook
    Dim newWs As Worksheet
    Dim rowIndex As Long
    Dim transferTime As String
    Dim currentDateTime As String
    Dim copyMode As String
    Dim sheet</t>
  </si>
  <si>
    <t xml:space="preserve"> As Worksheet
    Dim includeSheet As Boolean
    Dim includeRow As Boolean
    Dim headerRange As Range
    Dim dataRange As Range
    Dim r As Range
    Dim userChoice As Variant
    Dim snippetTable As ListObject
    Dim snippetText As String
    Dim fo</t>
  </si>
  <si>
    <t>undSnippet As Boolean
    ' User selection for export mode
    userChoice = Application.InputBox( _
        "Select export mode:" &amp; vbNewLine &amp; vbNewLine &amp; _
        "1 Full (all tables + content)" &amp; vbNewLine &amp; _
        "2 Model (all meta tables + c</t>
  </si>
  <si>
    <t>late"
    transferTime = Now()
    currentDateTime = Format(transferTime, "yymmddhhmm")
    Set ws = ThisWorkbook.Sheets.Add
    ws.name = copyMode &amp; "_File_" &amp; currentDateTime
    rowIndex = 1
    ws.Cells(rowIndex, 1).Value = copyMode &amp; "_</t>
  </si>
  <si>
    <t>File_" &amp; currentDateTime
    rowIndex = rowIndex + 2
    ' Check if "meta_Snippets" exists and contains a "Layer0" snippet
    On Error Resume Next
    Set snippetTable = ThisWorkbook.Sheets("Snippets").ListObjects(1)
    On Error GoTo 0
    If Not s</t>
  </si>
  <si>
    <t xml:space="preserve">nippetTable Is Nothing Then
        ' Find the correct column indexes
        Dim subPackageCol As ListColumn
        Dim snippetCol As ListColumn
        Dim snippetRow As ListRow ' Correct declaration
        ' Get the column references
        </t>
  </si>
  <si>
    <t>On Error Resume Next
        Set subPackageCol = snippetTable.ListColumns("</t>
  </si>
  <si>
    <t>ls(1, snippetCol.Index).Value
                    foundSnippet = True
                    Exit For
                End If
            Next snippetRow
            ' If found, insert at the top of the template
            If foundSnippet And Not</t>
  </si>
  <si>
    <t xml:space="preserve"> copyMode = "domain" Then
                ws.Cells(rowIndex, 1).Value = "#### Layer 0 snippet for manual copy into VBA project ####"
                rowIndex = rowIndex + 1
                ws.Cells(rowIndex, 1).Value = snippetText
                rowIndex </t>
  </si>
  <si>
    <t>= rowIndex + 2 ' Leave space before next content
            End If
        End If
    End If
    ' Loop through all sheets in the workbook
    For Each sheet In ThisWorkbook.Sheets
        includeSheet = False
        ' Determine if the sheet should</t>
  </si>
  <si>
    <t xml:space="preserve"> be included based on mode
        On Error Resume Next
        Set tbl = sheet.ListObjects(1)
        On Error GoTo 0
        If Not tbl Is Nothing Then
            includeSheet = False ' Reset for each table
            Select Case copy</t>
  </si>
  <si>
    <t xml:space="preserve">Mode
                Case "full"
                    includeSheet = True ' Include all tables
                Case "model"
                    If InStr(1, tbl.name, "meta_", vbTextCompare) &gt; 0 Then includeSheet = True ' Include meta_ tables only
          </t>
  </si>
  <si>
    <t xml:space="preserve">      Case "veri"
                    If InStr(1, tbl.name, "meta_", vbTextCompare) &gt; 0 Then includeSheet = True ' Start by including meta_ tables
                Case "domainVba"
                    If Not InStr(1, tbl.name, "meta_", vbTextCompare) &gt; 0 Or</t>
  </si>
  <si>
    <t xml:space="preserve"> InStr(1, tbl.name, "Snippets", vbTextCompare) &gt; 0 Then includeSheet = True ' Exclude meta_but include snippets
                Case "domain"
                    If Not InStr(1, tbl.name, "meta_", vbTextCompare) &gt; 0 Then includeSheet = True ' Exclude meta_</t>
  </si>
  <si>
    <t xml:space="preserve">
            End Select
            ' If sheet is included, process its tables
            If includeSheet Then
                includeRow = True
                ' Additional filtering for "plain veri.excel" mode
                If copyMo</t>
  </si>
  <si>
    <t>de = "veri" Then
                    If tbl.name = "meta_Tables" Or tbl.name = "meta_Columns" Then
                        ' Only include rows where ID contains "meta_"
                        includeRow = False
                        Dim rowCell As Range</t>
  </si>
  <si>
    <t xml:space="preserve">
                        Dim rowIndexOffset As Long
                        rowIndexOffset = rowIndex ' Start position for filtered rows
                        ' Insert ## (sheetname) ## (tablename) ##
                        ws.Cells(row</t>
  </si>
  <si>
    <t xml:space="preserve">IndexOffset, 1).Value = "## " &amp; sheet.name &amp; " ## " &amp; tbl.name &amp; " ##"
                        rowIndexOffset = rowIndexOffset + 1
                        ' Copy Table Headers
                        tbl.HeaderRowRange.Copy
               </t>
  </si>
  <si>
    <t xml:space="preserve">         ws.Cells(rowIndexOffset, 1).PasteSpecial Paste:=xlPasteValues
                        rowIndexOffset = rowIndexOffset + 1
                        ' Loop through "ID" column to check rows
                        For Each rowCell In</t>
  </si>
  <si>
    <t xml:space="preserve"> tbl.ListColumns("ID").DataBodyRange
                            If InStr(1, rowCell.Value, "meta_", vbTextCompare) &gt; 0 Then
                                rowCell.EntireRow.Copy
                                ws.Cells(rowIndexOffset, 1).PasteSpecial Pas</t>
  </si>
  <si>
    <t xml:space="preserve">te:=xlPasteValues
                                rowIndexOffset = rowIndexOffset + 1
                                includeRow = True ' At least one row was copied
                            End If
                        Next rowCell
 </t>
  </si>
  <si>
    <t xml:space="preserve">                       ' Move to next section only if rows were copied
                        If includeRow Then rowIndex = rowIndexOffset + 2
                        includeRow = False
                    End If
                End If
      </t>
  </si>
  <si>
    <t xml:space="preserve">          ' Export table if it's included
                If includeRow Then
                    ws.Cells(rowIndex, 1).Value = "## " &amp; sheet.name &amp; " ## " &amp; tbl.name &amp; " ##"
                    rowIndex = rowIndex + 1
                    ' Cop</t>
  </si>
  <si>
    <t>y Table Headers
                    tbl.HeaderRowRange.Copy
                    ws.Cells(rowIndex, 1).PasteSpecial Paste:=xlPasteValues
                    rowIndex = rowIndex + 1
                    ' Copy full table for other modes
                    I</t>
  </si>
  <si>
    <t xml:space="preserve">          End If
                End If
            End If
        End If
        Set tbl = Nothing
    Next sheet
    ' Notify user of success
    MsgBox "TablesAsFile created successfully!", vbInformation
    ' Restore application settings
    </t>
  </si>
  <si>
    <t xml:space="preserve">Application.Calculation = xlCalculationAutomatic
    Application.ScreenUpdating = True
    Application.EnableEvents = True
End Sub
</t>
  </si>
  <si>
    <t>Sub importTablesAsFiles()
    Dim wsTemplate As Worksheet
    Dim wb As Workbook
    Dim ws As Worksheet
    Dim rowIndex As Long, lastRow As Long
    Dim sheetName As String, tableName As String
    Dim headerRow As Range, dataStartRow As Long, dataEndRow</t>
  </si>
  <si>
    <t xml:space="preserve"> As Long
    Dim currentLine As String, nextLine As String
    Dim parts() As String
    Dim tblRange As Range, targetSheet As Worksheet
    Dim pasteTopLeft As Range
    Dim tbl As ListObject
    Dim nowStamp As String
    Dim colCount As Long
    Dim exi</t>
  </si>
  <si>
    <t>Function mergeObject()
    ' Optimize for performance
    Application.ScreenUpdating = False
    Application.EnableEvents = False
    Application.Calculation = xlCalculationManual
    Dim ttbl As ListObject
    ' Set references to source and targ</t>
  </si>
  <si>
    <t>et tables
    Set stbl = Worksheets(Range(sourceTable).Parent.name).ListObjects(sourceTable)
    Set ttbl = Worksheets(Range(targetTable).Parent.name).ListObjects(targetTable)
    ' Load headers
    sourceHeaders = stbl.HeaderRowRange.Value2
    targe</t>
  </si>
  <si>
    <t>tHeaders = ttbl.HeaderRowRange.Value2
    ' Load data
    Dim sourceData As Variant, targetData As Variant, targetFormulas As Variant
    sourceData = stbl.DataBodyRange.Value2
    targetData = ttbl.DataBodyRange.Value2
    targetFormulas = ttbl.DataB</t>
  </si>
  <si>
    <t>odyRange.formula ' Store formulas
    ' Find ID columns
    Dim sourceIdCol As Long, targetIdCol As Long
    sourceIdCol = GetIdColumnIndex(sourceHeaders)
    targetIdCol = GetIdColumnIndex(targetHeaders)
    ' Build column mapping
    Dim column</t>
  </si>
  <si>
    <t>Mapping As Collection
    Set columnMapping = New Collection
    Dim matchedColumns As Collection
    Set matchedColumns = New Collection
    Dim i As Long, j As Long
    For i = 1 To UBound(sourceHeaders, 2)
        For j = 1 To UBound(targetHeaders,</t>
  </si>
  <si>
    <t xml:space="preserve"> 2)
            If CStr(sourceHeaders(1, i)) = CStr(targetHeaders(1, j)) Then
                columnMapping.Add Array(i, j) ' Store source and target column indexes
                matchedColumns.Add j ' Track columns that are being updated
               </t>
  </si>
  <si>
    <t>DataBodyRange.Columns(j)) Then
            formulaColumns.Add j
        End If
    Next j
    ' Create an array-based lookup for target IDs
    Dim targetLookup() As String
    Dim targetLookupIndex() As Long
    Dim targetCount As Long
    targetCoun</t>
  </si>
  <si>
    <t xml:space="preserve">t = UBound(targetData, 1)
    ReDim targetLookup(1 To targetCount)
    ReDim targetLookupIndex(1 To targetCount)
    For i = 1 To targetCount
        targetLookup(i) = CStr(targetData(i, targetIdCol))
        targetLookupIndex(i) = i
    Next i
 </t>
  </si>
  <si>
    <t xml:space="preserve">   
    ' Update or insert data
    Dim newRows As Collection
    Set newRows = New Collection
    For i = 1 To UBound(sourceData, 1)
        Dim id As String
        id = CStr(sourceData(i, sourceIdCol))
        Dim foundIndex As Long
        fo</t>
  </si>
  <si>
    <t xml:space="preserve">undIndex = MatchID(targetLookup, id)
        If foundIndex &gt; 0 Then
            ' Update existing row
            Dim targetRowIdx As Long
            targetRowIdx = targetLookupIndex(foundIndex)
            ' Always update matched columns
      </t>
  </si>
  <si>
    <t xml:space="preserve"> mapping(0))
                End If
            Next j
        Else
            ' Collect new row for insertion
            newRows.Add i
        End If
    Next i
    ' Write back updated data while preserving formulas in unmatched columns
    Dim colIn</t>
  </si>
  <si>
    <t>dex As Long, rowIndex As Long
    For rowIndex = 1 To UBound(targetData, 1)
        For colIndex = 1 To UBound(targetData, 2)
            ' If column was not in the matched list, preserve formula
            If Not IsColumnMatched(colIndex, matchedColumns)</t>
  </si>
  <si>
    <t xml:space="preserve"> And ColumnHasFormula(ttbl.DataBodyRange.Columns(colIndex)) Then
                targetData(rowIndex, colIndex) = targetFormulas(rowIndex, colIndex)
            End If
        Next colIndex
    Next rowIndex
    ' Apply updated data
    ttbl.DataBodyR</t>
  </si>
  <si>
    <t xml:space="preserve">   Application.ScreenUpdating = True
    Exit Function
End Function
' </t>
  </si>
  <si>
    <t xml:space="preserve"> = 0
End Function
Private </t>
  </si>
  <si>
    <t xml:space="preserve">temp, 1)) &amp; Mid(temp, 2)
End Function
'TODO without seperator versions/with fixed length versions
' HELPER
' Entry from Utils
Public </t>
  </si>
  <si>
    <t xml:space="preserve">aultyCharacters(temp)
    'Debug.Print temp
    ' Initialize currentSegment as an empty string
    currentSegment = ""
    ' Iterate through the characters in the string
    For i = 1 To Len(temp)
        If Mid(temp, i, 1) = " " Then
           </t>
  </si>
  <si>
    <t xml:space="preserve">           ' If it's not a space, continue building the current segment
            currentSegment = currentSegment &amp; Mid(temp, i, 1)
        End If
    Next i
    ' Add the last segment if it exists
    If Len(currentSegment) &gt; 0 Then
        segment</t>
  </si>
  <si>
    <t xml:space="preserve">Function getLeadingSpaces(ByVal inputLine As String) As Integer
    Dim i As Integer
    For i = 1 To Len(inputLine)
        If Mid(inputLine, i, 1) &lt;&gt; " " Then Exit For
    Next i
    getLeadingSpaces = i - 1
End Function
'NEXT 2
Public </t>
  </si>
  <si>
    <t xml:space="preserve">' Handle Capitalization
    For i = LBound(wordArray) + 1 To UBound(wordArray)
        word = wordArray(i)
        If Len(word) &gt; 0 And Not IsNumeric(Left(word, 1)) Then
            encodedStr = UCase(Left(word, 1)) &amp; Mid(word, 2)
            wordArray(i) </t>
  </si>
  <si>
    <t xml:space="preserve">"N[0-9]" Then
        inputString = Mid(inputString, 2)
    End If
    'inputString = Replace(inputString, "__", "____")
    'Debug.Print inputString
    ' Step 1: Split the input string by lines first
    lineArray = Split(inputString, "_n__")
</t>
  </si>
  <si>
    <t xml:space="preserve">hem is numeric
        If Left(line, 1) = "_" And InStr(line, "s__") &gt; 2 Then
            ' Extract the part between "_" and "s__"
            numStr = Mid(line, 2, InStr(line, "s__") - 2)
            ' Ensure the extracted part is a number
  </t>
  </si>
  <si>
    <t xml:space="preserve">          If IsNumeric(numStr) Then
                numSpaces = CInt(numStr)
                ' Replace the prefix with the appropriate number of spaces
                line = String(numSpaces, " ") &amp; Mid(line, InStr(line, "s__") + 3)
            End If
   </t>
  </si>
  <si>
    <t>(inputString, 1)
    previousChar = Left(inputString, 1)
    ' Step 1: Split based on capitalization and specific characters
    For i = 2 To Len(inputString)
        currentChar = Mid(inputString, i, 1)
        ' Check if the current charact</t>
  </si>
  <si>
    <t>' Step 1: Remove leading whitespaces
    firstNonWhitespaceFound = False
    For i = 1 To Len(str)
        ' Check if the current character is not a space, tab, newline, or carriage return
        If Mid(str, i, 1) &lt;&gt; " " And Asc(Mid(str, i, 1)) &lt;&gt; 9 And A</t>
  </si>
  <si>
    <t xml:space="preserve">sc(Mid(str, i, 1)) &lt;&gt; 10 And Asc(Mid(str, i, 1)) &lt;&gt; 13 Then
            firstNonWhitespaceFound = True
        End If
        ' If non-whitespace found, exit the loop
        If firstNonWhitespaceFound Then
            Exit For
        End If
    </t>
  </si>
  <si>
    <t>Next i
    ' Return the string starting from the first non-whitespace character
    str = Mid(str, i)
    ' Step 2: replace Tabs with three spaces
    str = Replace(str, Chr(9), "   ")
    ' Split the string into lines based o</t>
  </si>
  <si>
    <t xml:space="preserve"> 
        ' Identify and preserve the leading spaces
        Dim j As Integer
        For j = 1 To Len(lines(i))
            If Mid(lines(i), j, 1) = " " Then
                leadingSpaces = leadingSpaces &amp; " "
            Else
                Exit For
   </t>
  </si>
  <si>
    <t xml:space="preserve">
            currentChar = Mid(lineContent, k, 1)
            ' Check if there is a next character to compare
            If k &lt; Len(lineContent) Then
                nextChar = Mid(lineContent, k + 1, 1)
                ' Add</t>
  </si>
  <si>
    <t>= str
        Exit Function
    End If
    result = ""
    special = False ' Initialize special to false
    ' Add the first character (no space needed before the first character)
    result = Mid(str, 1, 1)
    ' Iterate from the second character to th</t>
  </si>
  <si>
    <t>e end of the string
    For i = 2 To Len(str)
        ' Get the current character
        Dim currentChar As String
        currentChar = Mid(str, i, 1)
        ' Check if the current character is a special character
        If Not currentChar Like "[A-Za</t>
  </si>
  <si>
    <t xml:space="preserve"> conditions
            If Mid(str, i - 1, 1) Like "[A-Z]" And (i &lt; Len(str) And Mid(str, i + 1, 1) Like "[a-z]") And Not special Then
                result = result &amp; " " &amp; currentChar
            ElseIf Mid(str, i - 1, 1) Like "[a-z]" And Not special Th</t>
  </si>
  <si>
    <t xml:space="preserve">   ' Iterate through each character in the input string
    For i = 1 To Len(inputString)
        currentChar = Mid(inputString, i, 1)
        ' Check if the current character is not in the allowed characters
        If InStr(allowedChars, current</t>
  </si>
  <si>
    <t xml:space="preserve">   Do While Mid(currentLine, j, 1) = " "
                j = j + 1
            Loop
            ReDim Preserve result(UBound(result) + 1)
            result(UBound(result)) = Left(currentLine, j - 1)
            currentLine = Mid(currentLine, j)
        En</t>
  </si>
  <si>
    <t>ength = Len(inputStr)
    For i = 1 To strLength
        currentChar = Mid(inputStr, i, 1)
        ' Get the previous character (if exists)
        If i &gt; 1 Then
            previousChar = Mid(inputStr, i - 1, 1)
        Else
            prev</t>
  </si>
  <si>
    <t>iousChar = ""
        End If
        ' Get the next character (if exists)
        If i &lt; strLength Then
            nextChar = Mid(inputStr, i + 1, 1)
        Else
            nextChar = ""
        End If
        ' Check if the current ch</t>
  </si>
  <si>
    <t>ter followed by any special character
        'Debug.Print firstWord
        'Debug.Print Mid(firstWord, 1, 1)
        'Debug.Print Mid(firstWord, 2, 1)
        If Len(firstWord) &gt;= 2 And Mid(firstWord, 1, 1) Like "[A-Za-z]" And Not Mid(firstWord, 2, 1) Li</t>
  </si>
  <si>
    <t>::Transfer</t>
  </si>
  <si>
    <t>Public sourceTable As String
Public targetTable As String
Public transferTime As Date
Public sourcevalid As Boolean
Public targetvalid As Boolean
Public fulltransfer As Boolean
Public transferMode As String
'ObjectTransfer
Private stbl As ListObject
Priva</t>
  </si>
  <si>
    <t xml:space="preserve">te ttbl As ListObject
Private sourceHeaders As Variant
Private targetHeaders As Variant
'SourceValidation
Public source_fix As Boolean
'TargertValidation
Public target_fix As Boolean
</t>
  </si>
  <si>
    <t xml:space="preserve"> program if source or target were not selected
            MsgBox "Source or target table was not selected. Program terminates."
            Exit Sub
        End If
        ' Validation
        Call validateSource
        If targetTable &lt;&gt; "no selection"</t>
  </si>
  <si>
    <t xml:space="preserve"> Then
            ' If target table was selected, validate it
            Call validateTarget
        ElseIf sourcevalid = True Then
            ' If not, create new table and begin transfer
            MsgBox "No target table selected. New target table wi</t>
  </si>
  <si>
    <t xml:space="preserve">ll be created."
            Call createTargetTable
        End If
        ' Call transfer if target table was selected and both source and target were fixed
        If targetTable &lt;&gt; "no selection" And sourcevalid = True And targetvalid = True Then
      </t>
  </si>
  <si>
    <t xml:space="preserve">      If transferMode = "normal" Then
                Call transferObject
            End If
        End If
    Else
        MsgBox "Full transfer was selected. All tables will be validated and transferred."
        targetTable = "no selection"
        F</t>
  </si>
  <si>
    <t>or Each sh In ThisWorkbook.Worksheets
            For Each tbl In sh.ListObjects
                sourceTable = tbl.name
                Call validateSource
                MsgBox "New target table for " &amp; sourceTable &amp; " will be created."
                C</t>
  </si>
  <si>
    <t xml:space="preserve">all createTargetTable
                ' Call transfer if target table was selected and both source and target were fixed
                If targetTable &lt;&gt; "no selection" And sourcevalid = True And targetvalid = True Then
                  </t>
  </si>
  <si>
    <t xml:space="preserve">  If transferMode = "normal" Then
                        Call transferObject
                    End If
                End If
            Next tbl
        Next sh
        MsgBox "Full transfer completed."
    End If
    endTime = Now
</t>
  </si>
  <si>
    <t xml:space="preserve">    MsgBox "Transfer successful."
    Exit Sub
'ErrorHandler:
'    MsgBox "An error occurred: " &amp; Err.Description, vbCritical
End Sub
'############# ObjectTransfer code #############
</t>
  </si>
  <si>
    <t>targetLookup As New FastLookup
    ' Set references to source and target tables using the public variables
    Set stbl = Worksheets(Range(sourceTable).Parent.name).ListObjects(sourceTable)
    Set ttbl = Worksheets(Range(targetTable).Parent.name).Lis</t>
  </si>
  <si>
    <t xml:space="preserve">stColumns(storedColName)
    On Error GoTo 0
    If storedCol Is Nothing Then
        Set storedCol = targetTbl.ListColumns.Add
        storedCol.name = storedColName
    End If
    ' Store the value
    storedCol.DataBodyRange(targetRow).Value2 </t>
  </si>
  <si>
    <t xml:space="preserve">mnIndex = 0 ' Return 0 if not found
End Function
'############# SourceValidation code #############
</t>
  </si>
  <si>
    <t>le_invalid_formula As Boolean
    Application.ScreenUpdating = False
    Application.Calculation = xlCalculationManual
    Set stbl = Worksheets(Range(sourceTable).Parent.name).ListObjects(sourceTable)
    'check for ID column
    source_id_</t>
  </si>
  <si>
    <t xml:space="preserve">
        For Each cel In id_range
            If (Application.WorksheetFunction.CountIf(Worksheets(Range(sourceTable).Parent.name).Range(id_range_add), cel) &gt; 1) Then
                source_id_duplicate = True
                Exit For
            </t>
  </si>
  <si>
    <t xml:space="preserve"> = True Then
            'call fix function
            Call fixingtable(stbl, sourceTable, source_id_count, source_id_col, source_id_duplicate, source_table_invalid_value, source_table_invalid_formula, False)
        End If
    End If
End Sub
'#########</t>
  </si>
  <si>
    <t xml:space="preserve">#### TargetValidation code #############
</t>
  </si>
  <si>
    <t>le_invalid_formula As Boolean
    Application.ScreenUpdating = False
    Application.Calculation = xlCalculationManual
    Set ttbl = Worksheets(Range(targetTable).Parent.name).ListObjects(targetTable)
    'check for ID column
    target_id_</t>
  </si>
  <si>
    <t xml:space="preserve">
        For Each cel In id_range
            If (Application.WorksheetFunction.CountIf(Worksheets(Range(targetTable).Parent.name).Range(id_range_add), cel) &gt; 1) Then
                target_id_duplicate = True
                Exit For
            </t>
  </si>
  <si>
    <t>e
        Dim targetInvalid As UserForm_TargetInvalid
        Set targetInvalid = New UserForm_TargetInvalid
        targetInvalid.Show
        If target_fix = True Then
            'call fix function
            Call fixingtable(ttbl, targetTable</t>
  </si>
  <si>
    <t xml:space="preserve">, target_id_count, target_id_col, target_id_duplicate, target_table_invalid_value, target_table_invalid_formula, True)
        End If
    End If
End Sub
'############# TableFix code #############
</t>
  </si>
  <si>
    <t>MDDHHMMSS")
    tbl.ListColumns.Add.name = "fix transfer party " &amp; Format(transferTime, "YYYYMMDDHHMMSS")
    If party = False Then
        tbl.ListColumns("fix transfer party " &amp; Format(transferTime, "YYYYMMDDHHMMSS")).DataBodyRange = "source"
    El</t>
  </si>
  <si>
    <t>se
        tbl.ListColumns("fix transfer party " &amp; Format(transferTime, "YYYYMMDDHHMMSS")).DataBodyRange = "target"
    End If
    tbl.ListColumns.Add.name = "fix kind " &amp; Format(transferTime, "YYYYMMDDHHMMSS")
    tbl.ListColumns("fix kind " &amp; Format</t>
  </si>
  <si>
    <t xml:space="preserve">    ElseIf id_count = 0 Then
    'no ID column -&gt; create ID column and generate GUIDs for each row
        'QUESTION: could this be problematic for any formulas in the table? Should we add ID column to the end?
        tbl.ListColumns.Add(1).name = "I</t>
  </si>
  <si>
    <t>s
        'Worksheets(Range(strTable).Parent.Name).Range(id_range_add).Validation.Delete
        'Worksheets(tbl.Parent.Name).Range(id_range_add).Validation.Delete
       ThisWorkbook.Worksheets(tbl.Parent.name).Columns(tbl.ListColumns("ID")</t>
  </si>
  <si>
    <t xml:space="preserve">ction.CountIf(Worksheets(Range(strTable).Parent.name).Range(id_range_add), cel) &gt; 1) Then
            'cel has duplicates
                counter = -1
                i = 1
                For Each cel1 In id_range
           </t>
  </si>
  <si>
    <t xml:space="preserve">UID = "{" &amp; GUID &amp; "}"
End Function
'############# TargetCreation code #############
</t>
  </si>
  <si>
    <t>t
    Dim ws As Worksheet
    Set ws = ThisWorkbook.Sheets(sheetName)
    ws.ListObjects.Add(xlSrcRange, Range("$B$4:$B$4"), , xlYes).name = sheetName    'B4 is the fixed start point for tables
    Set stbl = Worksheets(Range(sourceTable).Parent.</t>
  </si>
  <si>
    <t>name).ListObjects(sourceTable)
    Set ttbl = ws.ListObjects(sheetName)
    Dim colHeader As Range
    For Each colHeader In stbl.HeaderRowRange
        If Not (stbl.ListColumns(colHeader.Value).DataBodyRange(1).HasFormula Or _
                InStr(c</t>
  </si>
  <si>
    <t xml:space="preserve">            stbl.ListColumns(colHeader.Value).Range.Copy _
                Destination:=Worksheets(Range(sheetName).Parent.name).Range(Worksheets(Range(sheetName).Parent.name).Cells(4, i), Worksheets(Range(sheetName).Parent.name).Cells(4, i))
            i</t>
  </si>
  <si>
    <t xml:space="preserve">t sourcePartyCol = stbl.ListColumns.Add
    sourcePartyCol.name = "transfer party " &amp; timeFormatLong
    Set sourceKindCol = stbl.ListColumns.Add
    sourceKindCol.name = "transfer kind " &amp; timeFormatLong
    ' Prepare arrays for bulk update
    </t>
  </si>
  <si>
    <t>es
    ' Add traceability information for target table using bulk operations
    Dim targetPartyCol As ListColumn
    Dim targetKindCol As ListColumn
    ' Add columns
    Set targetPartyCol = ttbl.ListColumns.Add
    targetPartyCol.name = "trans</t>
  </si>
  <si>
    <t xml:space="preserve">dyRange.Value = partyValues
    targetKindCol.DataBodyRange.Value = kindValues
    Application.EnableEvents = True
    Application.Calculation = xlCalculationAutomatic
    Application.ScreenUpdating = True
End Sub
'currently not used
</t>
  </si>
  <si>
    <t>UserForm_BackupTable</t>
  </si>
  <si>
    <t xml:space="preserve">Sub ListBox1_DblClick(ByVal Cancel As MSForms.ReturnBoolean)
    backupTable = Me.ListBox1.Text
    Unload Me
End Sub
Private </t>
  </si>
  <si>
    <t>Sub UserForm_Initialize()
    Dim sh As Worksheet
    Dim tbl As ListObject
    Dim str As String
    For Each sh In ThisWorkbook.Worksheets
        For Each tbl In sh.ListObjects
            str = sh.name &amp; " (" &amp; tbl.name &amp; ")"
            Me.ListBox1.Ad</t>
  </si>
  <si>
    <t xml:space="preserve">dItem str
        Next tbl
    Next sh
End Sub
Private </t>
  </si>
  <si>
    <t xml:space="preserve"> 1, 1)
        End If
    Next i
    ' Rejoin the lines into a single string
    handleLists = Join(lines, Chr(10))
End Function
</t>
  </si>
  <si>
    <t xml:space="preserve">  Application.ScreenUpdating = True
End Sub
</t>
  </si>
  <si>
    <t>Sub createForms()
    ' Create all forms
    Call createTransferModeForm
    Call createSourceTableForm
    Call createTargetTableForm
    Call createSourceInvalidForm
    Call createTargetInvalidForm
    Call createBackupTableForm
    MsgBox "Forms crea</t>
  </si>
  <si>
    <t xml:space="preserve">ted successfully."
End Sub
' Subroutine to create UserForm_TransferMode
</t>
  </si>
  <si>
    <t>hisWorkbook.VBProject.VBComponents.count
        If ThisWorkbook.VBProject.VBComponents(N).name = "UserForm_TransferMode" Then
            Exit Function
        End If
    Next N
    ' Create UserForm_TransferMode
    Set MyUserForm = ThisWorkbook.VBProje</t>
  </si>
  <si>
    <t>Project.VBComponents.count
        If ThisWorkbook.VBProject.VBComponents(N).name = "UserForm_SourceTable" Then
            Exit Function
        End If
    Next N
    ' Create UserForm_SourceTable
    Set MyUserForm = ThisWorkbook.VBProject.VBComponents.</t>
  </si>
  <si>
    <t>Project.VBComponents.count
        If ThisWorkbook.VBProject.VBComponents(N).name = "UserForm_TargetTable" Then
            Exit Function
        End If
    Next N
    ' Create UserForm_TargetTable
    Set MyUserForm = ThisWorkbook.VBProject.VBComponents.</t>
  </si>
  <si>
    <t>already exists
    For N = 1 To ThisWorkbook.VBProject.VBComponents.count
        If ThisWorkbook.VBProject.VBComponents(N).name = "UserForm_SourceInvalid" Then
            Exit Function
        End If
    Next N
    ' Create UserForm_SourceInvalid
    Se</t>
  </si>
  <si>
    <t>already exists
    For N = 1 To ThisWorkbook.VBProject.VBComponents.count
        If ThisWorkbook.VBProject.VBComponents(N).name = "UserForm_TargetInvalid" Then
            Exit Function
        End If
    Next N
    ' Create UserForm_TargetInvalid
    Se</t>
  </si>
  <si>
    <t>Function createBackupTableForm()
    Dim MyUserForm As VBComponent
    Dim ListBox1 As MSForms.ListBox
    Dim N As Integer
    ' Check if UserForm_SourceTable already exists
    For N = 1 To ThisWorkbook.VBProject.VBComponents.count
        If ThisWorkbo</t>
  </si>
  <si>
    <t xml:space="preserve"> Return empty array if no keys exist
    End If
    AllKeys = result
End Property
Public Property Get count() As Long
    count = keyCount
End Property</t>
  </si>
  <si>
    <t xml:space="preserve">Public backupTable As String
</t>
  </si>
  <si>
    <t xml:space="preserve">Sub createAndComplementTablesAndColums()
    Dim tblTables As ListObject, tblColumns As ListObject
    Dim rowTable As ListRow, rowColumn As ListRow
    Dim wsTarget As Worksheet, tblTarget As ListObject
    Dim sheetName As String, tableName As String
   </t>
  </si>
  <si>
    <t xml:space="preserve"> Dim colLabel As String, colFormula As String
    Dim colPos As Long, existingFormula As String
    Dim mode As String
    Dim rngColumn As Range
    Dim cell As Range
    Dim colCount As Long
    Dim currentDateTime As String
    Dim transferTime As Date
</t>
  </si>
  <si>
    <t xml:space="preserve">    Dim userChoice As Variant
    Dim startTime As Double
    transferTime = Now()
    currentDateTime = Format(transferTime, "yyyymmddhhmmss")
    startTime = Timer
    Application.ScreenUpdating = False
    Application.Calculation = xlCalculationManual</t>
  </si>
  <si>
    <t xml:space="preserve">
    Application.EnableEvents = False
    userChoice = Application.InputBox( _
        "Choose handling of old values/formulas:" &amp; vbNewLine &amp; vbNewLine &amp; _
        "1 - Overwrite (lose old overwritten values/formulas!)" &amp; vbNewLine &amp; _
        "2 - Backu</t>
  </si>
  <si>
    <t xml:space="preserve">pValues (save old overwritten formula-VALUES in '_backup'' column.)" &amp; vbNewLine &amp; _
        "3 - BackupFormulas (save old overwritten formula in '_backup'' column.)", _
        "Select Mode", Type:=1)
    Select Case userChoice
        Case 1
           </t>
  </si>
  <si>
    <t xml:space="preserve"> mode = "overwrite"
        Case 2
            mode = "backupV"
        Case 3
            mode = "backupF"
        Case Else
            MsgBox "Invalid Number. Stopping execution..", vbInformation
            Exit Sub
    End Select
    MsgBox "Attempti</t>
  </si>
  <si>
    <t>ng to create and complement tables and columns based on entries in 'meta_Tables' and 'meta_Columns' ..", vbInformation
    On Error Resume Next
    Set tblTables = ThisWorkbook.Sheets("Tables").ListObjects("meta_Tables")
    Set tblColumns = ThisWorkbook.</t>
  </si>
  <si>
    <t>Sheets("Columns").ListObjects("meta_Columns")
    On Error GoTo 0
    If tblTables Is Nothing Then
        MsgBox "Table 'meta_Tables' in sheet 'Tables' not found. Stopping execution..", vbInformation
        Exit Sub
    End If
    If tblColumns Is Noth</t>
  </si>
  <si>
    <t>ing Then
        MsgBox "Table 'meta_Columns' in sheet 'Columns' not found. Stopping execution..", vbInformation
        Exit Sub
    End If
   ' === STEP 1: Ensure existence and correct alignment of sheets and tables ===
For Each rowTable In tblTables.Li</t>
  </si>
  <si>
    <t>stRows
    sheetName = rowTable.Range(1, tblTables.ListColumns("Excel Table - Sheet Name").Index).Value
    tableName = rowTable.Range(1, tblTables.ListColumns("Excel Table - Excel Name").Index).Value
    Dim wsExpected As Worksheet
    Dim wsActual As Wo</t>
  </si>
  <si>
    <t>rksheet
    Dim tblFound As ListObject
    Dim tableExists As Boolean: tableExists = False
    Dim sheetExists As Boolean: sheetExists = False
    ' Check if sheet with expected name exists
    On Error Resume Next
    Set wsExpected = ThisWorkbook.Sheets</t>
  </si>
  <si>
    <t>(sheetName)
    On Error GoTo 0
    sheetExists = Not wsExpected Is Nothing
    ' Check if table exists anywhere in workbook and track the sheet it's in
    Set tblFound = Nothing
    For Each wsActual In ThisWorkbook.Worksheets
        On Error Resume Ne</t>
  </si>
  <si>
    <t xml:space="preserve">xt
        Set tblFound = wsActual.ListObjects(tableName)
        On Error GoTo 0
        If Not tblFound Is Nothing Then Exit For
    Next wsActual
    tableExists = Not tblFound Is Nothing
    ' === Case 1: Table and Sheet exist but not aligned ===
    </t>
  </si>
  <si>
    <t xml:space="preserve">If tableExists And sheetExists And Not wsActual Is wsExpected Then
        ' Clear expected sheet and move table
            wsExpected.Cells.Clear
            tblFound.Range.Copy Destination:=wsExpected.Range("A1")
            tblFound.Delete
   </t>
  </si>
  <si>
    <t xml:space="preserve">         ' Use existing pasted table instead of adding a new one
            Dim pastedTable As ListObject
            On Error Resume Next
            Set pastedTable = wsExpected.ListObjects(1)
            On Error GoTo 0
            If Not past</t>
  </si>
  <si>
    <t>edTable Is Nothing Then
                pastedTable.name = tableName
                Set tblFound = pastedTable
            Else
                ' Fallback in case paste didn't include a table (just in case)
                Set tblFound = wsExpected.ListOb</t>
  </si>
  <si>
    <t>jects.Add(xlSrcRange, wsExpected.Range("A1").CurrentRegion, , xlYes)
                tblFound.name = tableName
            End If
    ' === Case 2: Sheet exists, Table does not ===
    ElseIf sheetExists And Not tableExists Then
        wsExpected.Cells.C</t>
  </si>
  <si>
    <t>lear
        wsExpected.Cells(1, 1).Value = "ID"
        wsExpected.Cells(2, 1).Value = 1
        Set tblFound = wsExpected.ListObjects.Add(xlSrcRange, wsExpected.Range("A1").CurrentRegion, , xlYes)
        tblFound.name = tableName
    ' === Case 3: Tabl</t>
  </si>
  <si>
    <t>e exists, Sheet does not ===
    ElseIf tableExists And Not sheetExists Then
        wsActual.name = sheetName ' Rename the existing sheet holding the table
    ' === Case 4: Neither exists ===
    ElseIf Not tableExists And Not sheetExists Then
        S</t>
  </si>
  <si>
    <t>et wsExpected = ThisWorkbook.Sheets.Add(After:=Sheets(Sheets.count))
        wsExpected.name = sheetName
        wsExpected.Cells(1, 1).Value = "ID"
        wsExpected.Cells(2, 1).Value = 1
        Set tblFound = wsExpected.ListObjects.Add(xlSrcRange, wsEx</t>
  </si>
  <si>
    <t xml:space="preserve">pected.Range("A1").CurrentRegion, , xlYes)
        tblFound.name = tableName
    End If
    ' Cleanup
    Set wsExpected = Nothing
    Set wsActual = Nothing
    Set tblFound = Nothing
Next rowTable
   ' === STEP 2: Efficiently create, update, position </t>
  </si>
  <si>
    <t>or remove columns ===
    Dim processedTable As String
    Dim tableLabels() As String
    Dim tableRow As ListRow
    Dim count As Long
    ' Get unique table names from meta_Columns
    For Each tableRow In tblColumns.ListRows
        processedTabl</t>
  </si>
  <si>
    <t>e = Trim(tableRow.Range(1, tblColumns.ListColumns("Owning Table Excel Name").Index).Value)
        ' Avoid duplicates (simple array check)
        Dim found As Boolean: found = False
        For i = 1 To count
            If tableLabels(i) = proce</t>
  </si>
  <si>
    <t>ssedTable Then
                found = True
                Exit For
            End If
        Next i
        If Not found Then
            count = count + 1
            ReDim Preserve tableLabels(1 To count)
            tableLabels(count) = processedTabl</t>
  </si>
  <si>
    <t>e
        End If
    Next tableRow
    ' Process each table
    For i = 1 To count
        Call processTableColumns(tableLabels(i), tblColumns, mode, currentDateTime)
    Next i
  ' === STEP 3: Delete sheets not listed in meta_Tables ===
    Dim ws</t>
  </si>
  <si>
    <t xml:space="preserve"> As Worksheet
    Dim keepSheets As String, idx As Long
    ' Build pipe-delimited list of sheet names to keep
    keepSheets = "|Tables|Columns|"
    For Each rowTable In tblTables.ListRows
        keepSheets = keepSheets &amp; rowTable.Range(1, tblTable</t>
  </si>
  <si>
    <t xml:space="preserve">s.ListColumns("Excel Table - Sheet Name").Index).Value &amp; "|"
    Next rowTable
    ' Delete all sheets not in keep list
    Application.DisplayAlerts = False
    For Each ws In ThisWorkbook.Worksheets
        If InStr(keepSheets, "|" &amp; ws.name &amp; "|") </t>
  </si>
  <si>
    <t>= 0 Then ws.Delete
    Next ws
    Application.DisplayAlerts = True
    Application.Calculation = xlCalculationAutomatic
    Application.ScreenUpdating = True
    Application.EnableEvents = True
    MsgBox "Workbook structure update completed in " &amp; For</t>
  </si>
  <si>
    <t xml:space="preserve">mat(Timer - startTime, "0.00") &amp; " seconds.", vbInformation
End Sub
Private </t>
  </si>
  <si>
    <t>Function processTableColumns(ByVal tableName As String, ByRef tblColumns As ListObject, ByVal mode As String, ByVal currentDateTime As String)
    Dim wsTarget As Worksheet, tblTarget As ListObject
    Dim rowColumn As ListRow
    Dim colLabel As String, c</t>
  </si>
  <si>
    <t>olFormula As String, existingFormula As String
    Dim colPos As Long, i As Long
    Dim foundCol As ListColumn, rngColumn As Range
    Dim expectedLabels() As String, labelCount As Long
    Dim backupRequests As Collection
    Set backupRequests = New Col</t>
  </si>
  <si>
    <t xml:space="preserve">lection
    ' Find the table
    For Each wsTarget In ThisWorkbook.Worksheets
        On Error Resume Next
        Set tblTarget = wsTarget.ListObjects(tableName)
        On Error GoTo 0
        If Not tblTarget Is Nothing Then Exit For
    Next wsTarget
</t>
  </si>
  <si>
    <t xml:space="preserve">    If tblTarget Is Nothing Then Exit Function
    ' Prepare expected column list
    labelCount = 0
    For Each rowColumn In tblColumns.ListRows
        If Trim(rowColumn.Range(1, tblColumns.ListColumns("Owning Table Excel Name").Index).Value) = tableNa</t>
  </si>
  <si>
    <t>me Then
            colLabel = rowColumn.Range(1, tblColumns.ListColumns("Excel Column - Label").Index).Value
            colFormula = rowColumn.Range(1, tblColumns.ListColumns("Excel Column - Excel Formula").Index).Value
            colPos = rowColumn.Ran</t>
  </si>
  <si>
    <t>ge(1, tblColumns.ListColumns("Position").Index).Value
            ' Track expected labels
            labelCount = labelCount + 1
            ReDim Preserve expectedLabels(1 To labelCount)
            expectedLabels(labelCount) = colLabel
            ' C</t>
  </si>
  <si>
    <t xml:space="preserve">heck if column exists
            Set foundCol = Nothing
            On Error Resume Next
            Set foundCol = tblTarget.ListColumns(colLabel)
            On Error GoTo 0
            If Not foundCol Is Nothing Then
                ' Move if needed
 </t>
  </si>
  <si>
    <t xml:space="preserve">               If foundCol.Index &lt;&gt; colPos Then
                    foundCol.Range.Cut
                    tblTarget.ListColumns(colPos).Range.Insert Shift:=xlToRight
                End If
                ' Handle formula
                If colFormula &lt;&gt;</t>
  </si>
  <si>
    <t xml:space="preserve"> "" And Left(colFormula, 8) = "Formula:" Then
                    Set rngColumn = tblTarget.ListColumns(colLabel).DataBodyRange
                    existingFormula = ""
                    On Error Resume Next
                    existingFormula = rngColum</t>
  </si>
  <si>
    <t xml:space="preserve">        Exit Function
    End If
    ' Find the order column and instantiated template column indexes
    orderColumnIndex = 0
    instantiatedColumnIndex = 0
    For colIndex = 1 To tbl.ListColumns.count
        If tbl.ListColumns(colIndex).name = patter</t>
  </si>
  <si>
    <t xml:space="preserve">        For colIndex = 1 To tbl.ListColumns.count
                If tbl.ListColumns(colIndex).name = columnName Then
                    columnIndex = colIndex
                    Exit For
                End If
            Next colIndex
            If c</t>
  </si>
  <si>
    <t>x, orderColumnIndex), tempArray(rowIndex, instantiatedColumnIndex))
        End If
    Next rowIndex
    ' Sort matched rows by the order column
    If matchedRows.count &gt; 1 Then
        Dim j As Long, k As Long
        Dim temp As Variant
        For j =</t>
  </si>
  <si>
    <t xml:space="preserve"> 1 To matchedRows.count - 1
            For k = j + 1 To matchedRows.count
                If matchedRows(j)(0) &gt; matchedRows(k)(0) Then
                    temp = matchedRows(j)
                    matchedRows(j) = matchedRows(k)
                    match</t>
  </si>
  <si>
    <t>edRows(k) = temp
                End If
            Next k
        Next j
    End If
    output = ""
    For i = 1 To matchedRows.count
        output = output &amp; matchedRows(i)(1)
        If i &lt; matchedRows.count Then
            output = outpu</t>
  </si>
  <si>
    <t xml:space="preserve">.Sheets(ThisWorkbook.Sheets.count))
        NewSheet.name = "Tables_Extract" &amp; currentDateTime
        ' Add headers to the new sheet
        With NewSheet
            .Cells(1, 1).Value = "ID"
            .Cells(1, 2).Value = "Kind:src"
         </t>
  </si>
  <si>
    <t>ns
        Set NewSheet = ThisWorkbook.Sheets.Add(After:=ThisWorkbook.Sheets(ThisWorkbook.Sheets.count))
        NewSheet.name = "Columns_Extract" &amp; currentDateTime
        ' Add headers to the new sheet
        With NewSheet
            .Cells(1,</t>
  </si>
  <si>
    <t xml:space="preserve">&amp; "'. Creating it..", vbCritical
        Set NewSheet = ThisWorkbook.Sheets.Add(After:=ThisWorkbook.Sheets(ThisWorkbook.Sheets.count))
        NewSheet.name = mainSheetName
        ' Copy the template as base table
        tblExtract.Range.Copy
  </t>
  </si>
  <si>
    <t>Function FindColumnIndex(tbl As ListObject, colName As String) As Long
    Dim i As Long
    For i = 1 To tbl.ListColumns.count
        If tbl.ListColumns(i).name = colName Then
            FindColumnIndex = i
            Exit Function
        End If
    N</t>
  </si>
  <si>
    <t xml:space="preserve">ListRows.count = 0 Then Exit Function
    ' Find the "ID" column index
    On Error Resume Next
    idColumn = Application.Match("ID", targetTable.HeaderRowRange, 0)
    On Error GoTo 0
    If idColumn = 0 Then Exit </t>
  </si>
  <si>
    <t xml:space="preserve">f Not tbl.DataBodyRange Is Nothing Then
                        tbl.DataBodyRange.Copy
                        ws.Cells(rowIndex, 1).PasteSpecial Paste:=xlPasteValues
                        rowIndex = rowIndex + tbl.DataBodyRange.Rows.count + 2
          </t>
  </si>
  <si>
    <t>stsTable As Boolean
    Dim currentDateTime As String
    Set wb = ThisWorkbook
    transferTime = Now()
    currentDateTime = Format(transferTime, "yymmddhhmm")
    ' Find the _File sheet
    For Each ws In wb.Sheets
        If InStr(1, ws.name</t>
  </si>
  <si>
    <t xml:space="preserve">, "_File", vbTextCompare) &gt; 0 Then
            If Not wsTemplate Is Nothing Then
                MsgBox "Multiple ""_File"" sheets found! </t>
  </si>
  <si>
    <t>Sub requires exactly one file. Stopping execution..", vbCritical
                Exit Sub
            End If
            Set wsTemplate = ws
        End If
    Next ws
    If wsTemplate Is Nothing Then
        MsgBox """_File"" sheet not found! Stopping e</t>
  </si>
  <si>
    <t>xecution..", vbCritical
        Exit Sub
    End If
    Application.ScreenUpdating = False
    Application.Calculation = xlCalculationManual
    Application.EnableEvents = False
    rowIndex = 1
    lastRow = wsTemplate.Cells(wsTemplate.Rows.count, 1).En</t>
  </si>
  <si>
    <t xml:space="preserve">d(xlUp).row
    Do While rowIndex &lt;= lastRow
        currentLine = Trim(wsTemplate.Cells(rowIndex, 1).Value)
        If Left(currentLine, 3) = "## " Then
            ' Parse line: ## SheetName ## TableName ##
            parts = Split(currentLine, "##")
</t>
  </si>
  <si>
    <t xml:space="preserve">            If UBound(parts) &lt; 2 Then
                MsgBox "Malformed header at row " &amp; rowIndex, vbExclamation
                Exit Sub
            End If
            sheetName = Trim(parts(1))
            tableName = Trim(parts(2))
            ' Heade</t>
  </si>
  <si>
    <t xml:space="preserve">rs
            rowIndex = rowIndex + 1
            colCount = wsTemplate.Cells(rowIndex, wsTemplate.Columns.count).End(xlToLeft).column
            Set headerRow = wsTemplate.Range(wsTemplate.Cells(rowIndex, 1), wsTemplate.Cells(rowIndex, colCount))
     </t>
  </si>
  <si>
    <t xml:space="preserve">       ' Data starts here
            rowIndex = rowIndex + 1
            dataStartRow = rowIndex
            Do While rowIndex &lt;= lastRow
                nextLine = Trim(wsTemplate.Cells(rowIndex, 1).Value)
                If nextLine = "" Or Left(nextLi</t>
  </si>
  <si>
    <t xml:space="preserve">ne, 2) = "##" Then Exit Do
                rowIndex = rowIndex + 1
            Loop
            dataEndRow = rowIndex - 1
            ' Ensure target sheet exists
            On Error Resume Next
            Set targetSheet = wb.Sheets(sheetName)
        </t>
  </si>
  <si>
    <t xml:space="preserve">    On Error GoTo 0
            If targetSheet Is Nothing Then
                Set targetSheet = wb.Sheets.Add(After:=wb.Sheets(wb.Sheets.count))
                targetSheet.name = sheetName
            End If
            ' Check if table already exists
 </t>
  </si>
  <si>
    <t xml:space="preserve">           existsTable = False
            For Each tbl In targetSheet.ListObjects
                If tbl.name = tableName Then
                    existsTable = True
                    Exit For
                End If
            Next tbl
            If </t>
  </si>
  <si>
    <t xml:space="preserve">existsTable Then
                Call createBackup(sheetName, tableName, currentDateTime)
                MsgBox "Preexisting table '" &amp; tableName &amp; "' on sheet '" &amp; sheetName &amp; "' was backed up and replaced.", vbInformation
                tbl.Delete
    </t>
  </si>
  <si>
    <t xml:space="preserve">        End If
            ' Paste table values
            Set tblRange = wsTemplate.Range(wsTemplate.Cells(headerRow.row, 1), wsTemplate.Cells(dataEndRow, colCount))
            Set pasteTopLeft = targetSheet.Cells(targetSheet.Cells(targetSheet.Rows.cou</t>
  </si>
  <si>
    <t>nt, 1).End(xlUp).row + 2, 1)
            tblRange.Copy
            pasteTopLeft.PasteSpecial Paste:=xlPasteValues
            ' Create new table
            targetSheet.ListObjects.Add(xlSrcRange, _
                pasteTopLeft.Resize(tblRange.Rows.coun</t>
  </si>
  <si>
    <t>t, tblRange.Columns.count), , xlYes).name = tableName
            Set targetSheet = Nothing
        Else
            rowIndex = rowIndex + 1
        End If
    Loop
    Application.ScreenUpdating = True
    Application.Calculation = xlCal</t>
  </si>
  <si>
    <t>culationAutomatic
    Application.EnableEvents = True
    MsgBox "All table data imported and updated." &amp; vbNewLine &amp; "Note: Only calculated values of formulas were stored. Use createAndComplementTablesAndColumns to restore formulas in tables.", vbInforma</t>
  </si>
  <si>
    <t xml:space="preserve">tion
End Sub
' Finds the row where a specific keyword is found in column A
</t>
  </si>
  <si>
    <t xml:space="preserve">Function FindRow(ws As Worksheet, keyword As String) As Long
    Dim lastRow As Long, i As Long
    lastRow = ws.Cells(Rows.count, 1).End(xlUp).row
    For i = 1 To lastRow
        If ws.Cells(i, 1).Value = keyword Then
            FindRow = i
            </t>
  </si>
  <si>
    <t>Function GetColumnIndex(ws As Worksheet, colName As String) As Long
    Dim i As Long
    For i = 1 To ws.Cells(1, ws.Columns.count).End(xlToLeft).column
        If ws.Cells(1, i).Value = colName Then
            GetColumnIndex = i
            Exit Functio</t>
  </si>
  <si>
    <t xml:space="preserve">Function sheetExists(sheetName As String, wb As Workbook) As Boolean
    Dim ws As Worksheet
    On Error Resume Next
    Set ws = wb.Sheets(sheetName)
    sheetExists = Not ws Is Nothing
    On Error GoTo 0
End Function
</t>
  </si>
  <si>
    <t xml:space="preserve"> Exit For
            End If
        Next j
    Next i
    ' Identify formula columns
    Dim formulaColumns As Collection
    Set formulaColumns = New Collection
    For j = 1 To ttbl.DataBodyRange.Columns.count
        If ColumnHasFormula(ttbl.</t>
  </si>
  <si>
    <t xml:space="preserve">      For j = 1 To columnMapping.count
                Dim mapping As Variant
                mapping = columnMapping(j)
                If mapping(1) &gt; 0 And mapping(0) &gt; 0 Then
                    targetData(targetRowIdx, mapping(1)) = sourceData(i,</t>
  </si>
  <si>
    <t xml:space="preserve">ange.Value2 = targetData
    ' Insert new rows
    If newRows.count &gt; 0 Then
        InsertNewRows newRows, sourceData, columnMapping, ttbl
    End If
ExitSub:
    Application.Calculation = xlCalculationAutomatic
    Application.EnableEvents = True
 </t>
  </si>
  <si>
    <t xml:space="preserve">Function InsertNewRows(newRows As Collection, sourceData As Variant, columnMapping As Collection, ttbl As ListObject)
    Dim targetColCount As Long
    targetColCount = ttbl.ListColumns.count ' Ensure we account for dynamically added columns
    Dim </t>
  </si>
  <si>
    <t xml:space="preserve">newRowsArray() As Variant
    ReDim newRowsArray(1 To newRows.count, 1 To targetColCount) ' Resize based on target table columns
    Dim i As Long, j As Long
    For i = 1 To newRows.count
        Dim sourceIdx As Long
        sourceIdx = newRows(i)
 </t>
  </si>
  <si>
    <t xml:space="preserve">       
        For j = 1 To columnMapping.count
            Dim mapping As Variant
            mapping = columnMapping(j)
            If mapping(1) &lt;= targetColCount And mapping(0) &lt;= UBound(sourceData, 2) Then ' Ensure bounds
                newRowsArray</t>
  </si>
  <si>
    <t>(i, mapping(1)) = sourceData(sourceIdx, mapping(0))
            End If
        Next j
    Next i
    Dim newRange As Range
    Set newRange = ttbl.ListRows.Add(AlwaysInsert:=True).Range
    If newRows.count &gt; 1 Then
        Set newRange = newRange.Res</t>
  </si>
  <si>
    <t xml:space="preserve">ize(newRows.count, targetColCount)
    End If
    newRange.Value2 = newRowsArray
End Function
Private </t>
  </si>
  <si>
    <t xml:space="preserve">
    Dim segmentsArray() As String
    Dim i As Integer
    Set segments = camelToBusinessSegments(inputString)
    ReDim segmentsArray(1 To segments.count)
    For i = 1 To segments.count
        segmentsArray(i) = segments(i)
    Next i
 </t>
  </si>
  <si>
    <t xml:space="preserve">  Dim segmentsArray() As String
    Dim i As Integer
    Set segments = stringToBusinessSegments(inputString)
    ReDim segmentsArray(1 To segments.count)
    For i = 1 To segments.count
        segmentsArray(i) = segments(i)
    Next i</t>
  </si>
  <si>
    <t xml:space="preserve"> If
    Next i
    ReDim lineArray(1 To segments.count)
    For i = 1 To segments.count
        lineArray(i) = segments(i)
    Next i
    inputString = Join(lineArray, "")
    Set segments = New Collection
    inputString = handleLists(inputStri</t>
  </si>
  <si>
    <t xml:space="preserve">Add Array("_bsl__", "\")
    End With
    ' Replace each special character with its corresponding encoding
    For i = 1 To specialCharEncodings.count
        key = specialCharEncodings(i)
        str = Replace(str, key(1), key(0))
    Next i
   </t>
  </si>
  <si>
    <t>d With
    ' Replace each encoded string with its corresponding special character
    For i = 1 To specialCharDecodings.count
        key = specialCharDecodings(i)
        str = Replace(str, key(1), key(0))
        'Debug.Print (str)
    N</t>
  </si>
  <si>
    <t>ws.count &gt; 0 Then
        For i = 1 To updatedRows.count
            Dim updateInfo As Variant
            updateInfo = updatedRows(i)
            Dim sourceRowIdx As Long: sourceRowIdx = CLng(updateInfo(0))
            Dim targetRowIdx As Long: targetRowI</t>
  </si>
  <si>
    <t>dx = CLng(updateInfo(1))
            Dim j As Long
            For j = 1 To columnMapping.count
                Dim mapping As Variant
                mapping = columnMapping(j)
                colIdx = mapping(1)
                If Not HasFor</t>
  </si>
  <si>
    <t xml:space="preserve">
        ttbl.DataBodyRange.formula = targetFormulas
    End If
    ' Handle new rows
    If newRows.count &gt; 0 Then
        Dim newRowsArray() As Variant
        ReDim newRowsArray(1 To newRows.count, 1 To UBound(targetData, 2))
        For i</t>
  </si>
  <si>
    <t xml:space="preserve"> = 1 To newRows.count
            CopyRowToArray sourceData, newRowsArray, newRows(i), i, columnMapping
        Next i
        Dim newRange As Range
        Set newRange = ttbl.ListRows.Add(AlwaysInsert:=True).Range
        If newRows.count &gt; 1 Th</t>
  </si>
  <si>
    <t xml:space="preserve">en
            Set newRange = newRange.Resize(newRows.count, UBound(targetData, 2))
        End If
        newRange.Value2 = newRowsArray
    End If
ExitSub:
    Application.Calculation = xlCalculationAutomatic
    Application.EnableEvents = True
    </t>
  </si>
  <si>
    <t xml:space="preserve"> To columnMapping.count
        mapping = columnMapping(i)
        If mapping(2) Then ' Has formula
            ' Handle formula columns with stored values
            HandleStoredValue stbl, ttbl, sourceRowIndex, destRowIndex, _
                          </t>
  </si>
  <si>
    <t>Function HasFormula(tbl As ListObject, columnName As String) As Boolean
    Dim col As ListColumn
    On Error Resume Next
    Set col = tbl.ListColumns(columnName)
    On Error GoTo 0
    If Not col Is Nothing Then
        If col.DataBodyRange.Rows.c</t>
  </si>
  <si>
    <t>rgetStatus(1 To targetCount + newRows.count, 1 To 2)
    ' Fill source status array
    Dim i As Long
    For i = 1 To sourceCount
        sourceStatus(i, 1) = "source"
        sourceStatus(i, 2) = "update target"
    Next i
    ' Update status f</t>
  </si>
  <si>
    <t xml:space="preserve">or new rows
    For i = 1 To newRows.count
        sourceStatus(newRows(i), 2) = "create target"
    Next i
    ' Fill target status array
    For i = 1 To targetCount + newRows.count
        targetStatus(i, 1) = "target"
        targetStatus(i, 2) = </t>
  </si>
  <si>
    <t>e
    Application.Calculation = xlCalculationManual
    Application.EnableEvents = False
    ' Create new sheet
    With ThisWorkbook
        .Sheets.Add(After:=.Sheets(.Sheets.count)).name = sheetName
    End With
    ' Create ListObjec</t>
  </si>
  <si>
    <t xml:space="preserve">Dim rowCount As Long
    rowCount = stbl.ListRows.count
    Dim partyValues() As Variant
    Dim kindValues() As Variant
    ReDim partyValues(1 To rowCount, 1 To 1)
    ReDim kindValues(1 To rowCount, 1 To 1)
    ' Fill arrays
    Dim j As Long
</t>
  </si>
  <si>
    <t>fer party c " &amp; timeFormatLong
    Set targetKindCol = ttbl.ListColumns.Add
    targetKindCol.name = "transfer kind c " &amp; timeFormatLong
    ' Prepare arrays for target table
    rowCount = ttbl.ListRows.count
    ReDim partyValues(1 To rowCount,</t>
  </si>
  <si>
    <t>Sub createBackupTransfer(mode As Boolean)
    Application.ScreenUpdating = False
    If mode = False Then
        Sheets(sourceTable).Copy After:=Sheets(Sheets.count)
        ThisWorkbook.Sheets(Sheets.count).name = "source_backup_bT_" &amp; Format(tran</t>
  </si>
  <si>
    <t xml:space="preserve">sferTime, "YYYYMMDDHHMM")
        If targetTable &lt;&gt; "no selection" Then
            Sheets(targetTable).Copy After:=Sheets(Sheets.count)
            ThisWorkbook.Sheets(Sheets.count).name = "target_backup_bT_" &amp; Format(transferTime, "YYYYMMDDHHMM")
  </t>
  </si>
  <si>
    <t xml:space="preserve">      End If
    ElseIf mode = True Then
        Sheets(sourceTable).Copy After:=Sheets(Sheets.count)
        ThisWorkbook.Sheets(Sheets.count).name = "source_backup_aT_" &amp; Format(transferTime, "YYYYMMDDHHMM")
        If targetTable &lt;&gt; "</t>
  </si>
  <si>
    <t xml:space="preserve">no selection" Then
            Sheets(targetTable).Copy After:=Sheets(Sheets.count)
            ThisWorkbook.Sheets(Sheets.count).name = "target_backup_aT_" &amp; Format(transferTime, "YYYYMMDDHHMM")
        End If
    End If
    Sheets(1).Select
  </t>
  </si>
  <si>
    <t xml:space="preserve">Function TestString2Camel()
    Dim inp As String
    inp = "hello AGO ago Ago Hello"
    Debug.Print "String-Input: (" &amp; inp &amp; ")"
    Debug.Print " "
    Debug.Print "StringToBusiness: (" &amp; stringToBusiness(inp) &amp; ")"
    Debug.Print " "
    Debug.Print </t>
  </si>
  <si>
    <t xml:space="preserve">"camelCaseUpper: (" &amp; camelCaseUpper(inp) &amp; ")"
    Debug.Print " "
End Function
</t>
  </si>
  <si>
    <t xml:space="preserve">Function TestCamel2Business()
    Dim inp As String
    inp = "HelloAgoAgoAgoHello"
    Debug.Print "Camel-Input: (" &amp; inp &amp; ")"
    Debug.Print " "
    Debug.Print "camelCaseToBusiness: (" &amp; camelCaseToBusiness(inp) &amp; ")"
    Debug.Print " "
End Function
</t>
  </si>
  <si>
    <t xml:space="preserve"> Dim foundT As Boolean, foundC As Boolean
    Dim backupName As String
    transferTime = Now()
    currentDateTime = Format(transferTime, "yymmddhhmm")
    startTime = Timer
    Application.ScreenUpdating = False
    Application.Calculation</t>
  </si>
  <si>
    <t xml:space="preserve"> = xlCalculationManual
    Application.EnableEvents = False
    MsgBox "Creating backups of 'meta_Tables' and 'meta_Columns' and creating temporary extract tables..", vbInformation
    ' Step 1: Backup existing Tables and Columns if they exi</t>
  </si>
  <si>
    <t>st
    Set tblTables = createBackup("Tables", "meta_Tables", currentDateTime)
    Set tblColumns = createBackup("Columns", "meta_Columns", currentDateTime)
    ' Step 2: Create Extract Tables
    Set extractTables = createExtract("Tables", currentDateTim</t>
  </si>
  <si>
    <t>e)
    Set extractColumns = createExtract("Columns", currentDateTime)
    ' Step 3: Validate Extract Against Base Tables
    Set tblTables = compareExtract("Tables", currentDateTime)
    Set tblColumns = compareExtract("Columns", currentDate</t>
  </si>
  <si>
    <t xml:space="preserve">Time)
    ' Step 4: Process Metadata from Current Workbook
    processMetaData (currentDateTime)
    ' Step 5: Merge Extract Data into Main Tables
    Call mergeTables(currentDateTime)
    elapsedTime = Timer - startTime
    formattedTime = </t>
  </si>
  <si>
    <t>Format(Int(elapsedTime / 60), "00") &amp; ":" &amp; Format(elapsedTime Mod 60, "00")
    MsgBox "Current sheet-structure successfully documented in meta_Tables and meta_Columns. Duration: " &amp; formattedTime &amp; " minutes.", vbInformation
    Application.Cal</t>
  </si>
  <si>
    <t xml:space="preserve">culation = xlCalculationAutomatic
    Application.ScreenUpdating = True
    Application.StatusBar = False
    Application.EnableEvents = True
End Sub
' Helper
</t>
  </si>
  <si>
    <t xml:space="preserve"> If sheet.name Like "*_Backup*" Or sheet.name Like "*_Extract*" Or _
           sheet.name Like "*_Branch*" Or sheet.name Like "*_Template*" Or _
           sheet.name Like "*_Nonmanaged*" Or InStr(sheet.name, currentDateTime) &gt; 0 Then GoTo NextSheet
    </t>
  </si>
  <si>
    <t xml:space="preserve">    For Each table In sheet.ListObjects
            tableCount = tableCount + 1
            newName = camelCaseToBusiness(table.name)
            ' Lookup Table ID using a simple loop
            id = "_" &amp; table.name
            For i = 1 To </t>
  </si>
  <si>
    <t>UBound(tableNames)
                If tableNames(i) = newName Then
                    id = tableIDs(i)
                    Exit For
                End If
            Next i
            ' Store table data
            ReDim Preserve tableExtractArray(1 To</t>
  </si>
  <si>
    <t xml:space="preserve"> 5, 1 To tableCount)
            tableExtractArray(1, tableCount) = id
            tableExtractArray(2, tableCount) = "_ExcelTable"
            tableExtractArray(3, tableCount) = table.name
            tableExtractArray(4, tableCount) = newName
           </t>
  </si>
  <si>
    <t xml:space="preserve"> tableExtractArray(5, tableCount) = sheet.name
            ' Iterate through table columns
            StoredPosition = 1
            For Each column In table.ListColumns
                If column.name Like "*transfer*" Or column.name Like "*fix kind*" Th</t>
  </si>
  <si>
    <t>en GoTo NextColumn
                columnCount = columnCount + 1
                columnID = "_" &amp; table.name &amp; "_" &amp; column.name
                ' Lookup Column ID using a simple loop
                For i = 1 To UBound(columnNames)
                    I</t>
  </si>
  <si>
    <t>f columnNames(i) = (id &amp; "_" &amp; stringToBusiness(column.name)) Then
                        columnID = columnIDs(i)
                        Exit For
                    End If
                Next i
                ' Store column data
                ReDim</t>
  </si>
  <si>
    <t xml:space="preserve"> Preserve columnExtractArray(1 To 7, 1 To columnCount)
                columnExtractArray(1, columnCount) = columnID
                columnExtractArray(2, columnCount) = "_ExcelColumn"
                columnExtractArray(3, columnCount) = id
               </t>
  </si>
  <si>
    <t xml:space="preserve"> columnExtractArray(4, columnCount) = column.Index
                columnExtractArray(5, columnCount) = IIf(column.DataBodyRange.Cells(1, 1).HasFormula, "", StoredPosition)
                If Not column.DataBodyRange.Cells(1, 1).HasFormula Then StoredPosit</t>
  </si>
  <si>
    <t>ion = StoredPosition + 1
                columnExtractArray(6, columnCount) = column.name
                columnExtractArray(7, columnCount) = IIf(column.DataBodyRange.Cells(1, 1).HasFormula, "Formula:" &amp; column.DataBodyRange.Cells(1, 1).formula, "")
Next</t>
  </si>
  <si>
    <t>Column:
            Next column
        Next table
NextSheet:
    Next sheet
    ' **Write Data in Bulk**
    If tableCount &gt; 0 Then
        tblTablesExtract.ListRows.Add
        tblTablesExtract.DataBodyRange.Resize(UBound(tableExtractArray, 2), 5).Value</t>
  </si>
  <si>
    <t xml:space="preserve">2 = Application.Transpose(tableExtractArray)
    End If
    If columnCount &gt; 0 Then
        tblColumnsExtract.ListRows.Add
        tblColumnsExtract.DataBodyRange.Resize(UBound(columnExtractArray, 2), 7).Value2 = Application.Transpose(columnExtractArray)
 </t>
  </si>
  <si>
    <t xml:space="preserve">   End If
    MsgBox "Workbook meta-data processed and stored in temporary _extract tables.", vbInformation
    Erase tableExtractArray
    Erase columnExtractArray
    Set tblTablesExtract = Nothing
    Set tblColumnsExtract = Nothing
</t>
  </si>
  <si>
    <t xml:space="preserve">    
End Function
' Helper
</t>
  </si>
  <si>
    <t xml:space="preserve">les As ListObject, tblColumns As ListObject
    Dim validIDs As Collection
    MsgBox "Merging updated meta-data into existing meta_Tables and meta_Columns tables. Confirmation about successfull merge will be provided. Please wait..", vbInformation
 </t>
  </si>
  <si>
    <t xml:space="preserve">   ' Cache extract table sheets
    Set wsTablesExtract = ThisWorkbook.Sheets("Tables_Extract" &amp; currentDateTime)
    Set wsColumnsExtract = ThisWorkbook.Sheets("Columns_Extract" &amp; currentDateTime)
    ' Cache target table sheets
    Set wsTables = Th</t>
  </si>
  <si>
    <t>isWorkbook.Sheets("Tables")
    Set wsColumns = ThisWorkbook.Sheets("Columns")
    ' Access extract tables
    Set tblTablesExtract = wsTablesExtract.ListObjects(1)
    Set tblColumnsExtract = wsColumnsExtract.ListObjects(1)
    ' Access target t</t>
  </si>
  <si>
    <t xml:space="preserve">ables
    Set tblTables = wsTables.ListObjects(1)
    Set tblColumns = wsColumns.ListObjects(1)
    ' Step 1: Validate and Merge Tables
    ' Set source and target table names for global transfer variables
    sourceTable = tblTablesExtract.name
    </t>
  </si>
  <si>
    <t>targetTable = tblTables.name
    ' Extract valid IDs after merge
    Set validIDs = ExtractIDs(tblTablesExtract)
    Call mergeObject
    Set tblTablesExtract = Nothing
    ' Delete rows not in validIDs
    Call deleteUnmatchedRows(tblTable</t>
  </si>
  <si>
    <t>s, validIDs)
    Call copyDownFormulas(tblTables)
    ' Step 2: Validate and Merge Columns
    ' Set source and target table names for global transfer variables
    sourceTable = tblColumnsExtract.name
    targetTable = tblColumns.name
    ' Ex</t>
  </si>
  <si>
    <t>tract valid IDs after merge
    Set validIDs = ExtractIDs(tblColumnsExtract)
    Call mergeObject
    Set tblColumnsExtract = Nothing
    ' Delete rows not in validIDs
    Call deleteUnmatchedRows(tblColumns, validIDs)
    Call copyDownForm</t>
  </si>
  <si>
    <t>ulas(tblColumns)
    ' Step 3: remove unneeded sheets
    ' Delete extracts
    Application.DisplayAlerts = False
    wsTablesExtract.Delete
    wsColumnsExtract.Delete
    Application.DisplayAlerts = True
End Function
' He</t>
  </si>
  <si>
    <t xml:space="preserve">lper
</t>
  </si>
  <si>
    <t xml:space="preserve">ontent)" &amp; vbNewLine &amp; _
        "3 Veri.Excel (all meta tables +  only meta content in Tables/Columns)" &amp; vbNewLine &amp; _
        "4 Domain + VBA (all non-meta tables + content + VBA)" &amp; vbNewLine &amp; _
        "5 Domain (all non-meta tables + content)", _
  </t>
  </si>
  <si>
    <t xml:space="preserve">      "Select Export Mode", Type:=1)
    ' Set the copy mode flag based on selection
    Select Case userChoice
        Case 1
            copyMode = "full"
        Case 2
            copyMode = "model"
        Case 3
            copyMode = "veri"
       </t>
  </si>
  <si>
    <t xml:space="preserve"> Case 4
            copyMode = "domainVba"
        Case 5
            copyMode = "domain"
        Case Else
            MsgBox "Invalid Number. Stopping execution..", vbInformation
            Exit </t>
  </si>
  <si>
    <t xml:space="preserve">Sub dataFromCodeDefault()
    Call dataFromCode("Function", 256)
End Sub
Sub dataFromCodeByModule()
    Call dataFromCode("Module", 32767)
End Sub
Sub dataFromCodeByFunctionOrSub()
    Call dataFromCode("Function", 32767)
End Sub
' Helper - Exports all existing VBA Modules and Class Modules from this excel workbook into a table "Snippets" in a excel tab "Snippets"
' If a table "Snippets" already exists, it is deleted and replaced with a new one
Function dataFromCode(splitType As String, snippetSize As Double)
    Dim ws As Worksheet
    Dim tbl As ListObject
    Dim columnNames As Variant
    Dim vbaModule As Object
    Dim vbaContent As String
    Dim chunks() As String
    Dim i As Long, j As Long
    Dim packageName As String, subPackageName As String, kind As String
    Dim snippetID As Long, vbaComponentCounter As Long
    Dim vbaComponentHandledCounter As Long, vbaComponentNonEmptyCounter As Long
    Dim currentLine As Long, chunk As String
    Dim startTime As Double, elapsedTime As Double
    Dim splitTypeBackup As String, snippetSizeBackup As Double
    ' Speed Optimization: Disable events, screen updates, and calculations
    Application.ScreenUpdating = False
    Application.Calculation = xlCalculationManual
    Application.EnableEvents = False
    splitTypeBackup = splitType
    snippetSizeBackup = snippetSize
    startTime = Timer
    ' Check if "Snippets" sheet exists and create if necessary
    On Error Resume Next
    Set ws = ThisWorkbook.Sheets("Snippets")
    If ws Is Nothing Then
        Set ws = ThisWorkbook.Sheets.Add
        ws.name = "Snippets"
    End If
    On Error GoTo 0
    ' Delete existing table if it exists
    On Error Resume Next
    Set tbl = ws.ListObjects("meta_Snippets")
    If Not tbl Is Nothing Then tbl.Delete
    On Error GoTo 0
    ' Create table
    columnNames = Array("ID", "Kind:src", "Kind", "Package", "Sub Package", "Line", "Snippet")
    Set tbl = ws.ListObjects.Add(xlSrcRange, ws.Range("A1:G1"), , xlYes)
    tbl.name = "meta_Snippets"
    ws.Range("A1:G1").Value = columnNames
    Call setTechnicalName(ws, tbl.name)
    snippetID = 1
    vbaComponentCounter = 0
    vbaComponentHandledCounter = 0
    vbaComponentNonEmptyCounter = 0
    ' Loop through all VBA components
    For Each vbaModule In ThisWorkbook.VBProject.VBComponents
        vbaComponentCounter = vbaComponentCounter + 1
        vbaComponentHandledCounter = vbaComponentHandledCounter + 1
        ' Get module content if it has lines of code
        If vbaModule.CodeModule.CountOfLines &gt; 0 Then
            vbaContent = vbaModule.CodeModule.lines(1, vbaModule.CodeModule.CountOfLines)
        Else
            vbaContent = ""
        End If
        ' Process only non-empty modules
        If vbaContent &lt;&gt; "" Then
            vbaComponentNonEmptyCounter = vbaComponentNonEmptyCounter + 1
            ' Determine package, subpackage, and kind
            Dim moduleName As String
            moduleName = vbaModule.CodeModule.name
            Select Case vbaModule.Type
                Case 1: ' vbext_ct_StdModule
                    kind = "_ModuleSnippet"
                    If moduleName = "main" Then
                        packageName = ""
                        subPackageName = ""
                    ElseIf moduleName = "util" Then
                        packageName = "util"
                        subPackageName = ""
                    ElseIf InStr(moduleName, "_") &gt; 0 Then
                        packageName = Split(moduleName, "_")(0)
                        subPackageName = "::" &amp; Replace(Mid(moduleName, Len(packageName) + 2), "_", "::")
                    Else
                        packageName = "util"
                        subPackageName = moduleName
                    End If
                Case 2: ' vbext_ct_ClassModule
                    kind = "_ClassSnippet"
                    Dim classParts() As String
                    classParts = Split(moduleName, "_", 2)
                    packageName = classParts(0)
                    If UBound(classParts) &gt;= 1 Then
                        subPackageName = "::" &amp; Replace(classParts(1), "_", "::")
                    Else
                        subPackageName = ""
                    End If
                Case 100: ' vbext_ct_Document
                    kind = "_ExcelTabSnippet"
                    packageName = moduleName
                    subPackageName = ""
                Case 3: ' vbext_ct_MSForm
                    kind = "_FormSnippet"
                    packageName = moduleName
                    subPackageName = ""
                Case Else
                    GoTo NextModule
            End Select
            ' Force large chunk extraction for "Layer0"
            If InStr(moduleName, "Layer0") &gt; 0 Then
                splitType = "Module"
                snippetSize = 32767
            End If
            ' Split module into chunks
            chunks = splitModuleIntoChunks(vbaContent, splitType, snippetSize)
            splitType = splitTypeBackup
            snippetSize = snippetSizeBackup
            ' Add chunks to the table
            currentLine = 1
            For j = LBound(chunks) To UBound(chunks)
                chunk = chunks(j)
                With tbl.ListRows.Add
                    .Range(1, 1).Value = "_Snippets"
                    .Range(1, 2).Value = kind
                    .Range(1, 3).Value = Replace(kind, "_", "")
                    .Range(1, 4).Value = packageName
                    .Range(1, 5).Value = subPackageName
                    .Range(1, 6).Value = currentLine
                    .Range(1, 7).Value = chunk
                End With
                snippetID = snippetID + 1
                currentLine = currentLine + 1
            Next j
        End If
NextModule:
    Next vbaModule
    ' Restore settings and calculate elapsed time
    Application.ScreenUpdating = True
    Application.Calculation = xlCalculationAutomatic
    Application.EnableEvents = True
    elapsedTime = Timer - startTime
    MsgBox "Export completed in " &amp; Format(elapsedTime, "0.00") &amp; " seconds. " &amp; vbaComponentHandledCounter &amp; " out of " &amp; vbaComponentCounter &amp; " components processed. " &amp; vbaComponentNonEmptyCounter &amp; " non-empty components exported. " &amp; "Total snippets: " &amp; snippetID, vbInformation
End Function
' Helper - Function to split the module content into chunks
Function splitModuleIntoChunks(content As String, splitType As String, snippetSize As Double) As Variant
    Dim result() As String
    Dim position As Long
    Dim start As Long
    Dim length As Long
    Dim part As String
    Dim chunkIndex As Long
    Dim funcPosition As Long
    Dim subPosition As Long
    Dim minPosition As Long
    Dim nextFuncPosition As Long
    Dim nextSubPosition As Long
    Dim nextMinPosition As Long
    position = 1
    chunkIndex = 0
    start = 1
    Do While position &lt;= Len(content)
        If splitType = "Function" Then
            ' Stopword-based splitting logic
            subPosition = InStr(position, content, "Sub ")
            funcPosition = InStr(position, content, "Function ")
            If subPosition &gt; 0 And funcPosition &gt; 0 Then
                minPosition = Application.WorksheetFunction.Min(subPosition, funcPosition)
            ElseIf subPosition &gt; 0 Then
                minPosition = subPosition
            ElseIf funcPosition &gt; 0 Then
                minPosition = funcPosition
            Else
                minPosition = 0
            End If
            If minPosition = start Then
                ' Search for the next occurrence of "Sub" or "Function"
                nextSubPosition = InStr(start + 1, content, "Sub ")
                nextFuncPosition = InStr(start + 1, content, "Function ")
                If nextSubPosition &gt; 0 And nextFuncPosition &gt; 0 Then
                    nextMinPosition = Application.WorksheetFunction.Min(nextSubPosition, nextFuncPosition)
                ElseIf nextSubPosition &gt; 0 Then
                    nextMinPosition = nextSubPosition
                ElseIf nextFuncPosition &gt; 0 Then
                    nextMinPosition = nextFuncPosition
                Else
                    nextMinPosition = 0
                End If
                ' Determine the length based on the next keyword position or snippetSize char limit
                If nextMinPosition = 0 Or (nextMinPosition - start) &gt;= snippetSize Then
                    length = snippetSize
                Else
                    length = nextMinPosition - start
                End If
            Else
                If minPosition = 0 Or (minPosition - start) &gt;= snippetSize Then
                    length = snippetSize
                Else
                    length = minPosition - start
                End If
            End If
        ElseIf splitType = "Module" Then
            ' Split only by snippetSize
            length = snippetSize
        End If
        ' Extract the part of the content for this chunk
        part = Mid(content, start, length)
        ' Add the chunk to the result array
        ReDim Preserve result(chunkIndex)
        result(chunkIndex) = part
        ' Escape chunk if it starts with "=" or a single quote
        If Left(result(chunkIndex), 1) = "=" Then
            result(chunkIndex) = "'" &amp; result(chunkIndex)
        ElseIf Left(result(chunkIndex), 1) = "'" Then
            result(chunkIndex) = "'" &amp; result(chunkIndex)
        End If
        chunkIndex = chunkIndex + 1
        start = start + length
        position = start
    Loop
    splitModuleIntoChunks = result
End Function
'ATTENTION, action is irreversible, make sure to have backup / export / snippets
Sub deleteAllVBA()
    Dim vbComp As VBComponent
    Dim vbProj As VBProject
    ' Ensure the VBA Extensibility reference is enabled
    On Error Resume Next
    Set vbProj = ThisWorkbook.VBProject
    On Error GoTo 0
    For Each vbComp In vbProj.VBComponents
        Select Case vbComp.Type
            ' Delete Class Modules and Standard Modules
            Case vbext_ct_ClassModule, vbext_ct_StdModule, vbext_ct_MSForm
                vbProj.VBComponents.Remove vbComp
            ' Empty all Document modules (e.g., ThisWorkbook, worksheets)
            Case vbext_ct_Document
                With vbComp.CodeModule
                    .DeleteLines 1, .CountOfLines
                End With
        End Select
    Next vbComp
End Sub
'Creates VBA code from Snippets table
'Remark: The following error:
' An error occurred: Method 'Add' of object '_VBComponents' failed
'is handled with -&gt; VBA editor -&gt; "Tools" -&gt; "References" -&gt; activating "Microsoft Visual Basic for Applications Extensibility 5.3"
Sub codeFromData()
    Dim ws As Worksheet
    Dim tbl As ListObject
    Dim row As ListRow
    Dim moduleName As String
    Dim package As String
    Dim subPackage As String
    Dim kindSrc As String
    Dim snippet As String
    Dim vbaComponent As Object
    Dim foundTable As Boolean
    Dim i As Long
    ' Arrays to store module names, types, and their concatenated code snippets
    Dim moduleNames() As String
    Dim moduleTypes() As String
    Dim moduleCode() As String
    Dim moduleCount As Long
    Dim moduleCreatedCount As Long
    Dim moduleFilledCount As Long
    moduleCount = 0
    moduleFilledCount = 0
    moduleCreatedCount = 0
    ' Find the "Snippets" table or a table containing "Snippets" in its name
    foundTable = False
    For Each ws In ThisWorkbook.Worksheets
        For Each tbl In ws.ListObjects
            If tbl.name = "meta_Snippets" Or InStr(1, tbl.name, "meta_Snippets", vbTextCompare) &gt; 0 Then
                foundTable = True
                Exit For
            End If
        Next tbl
        If foundTable Then Exit For
    Next ws
    If Not foundTable Then
        MsgBox "Table 'meta_Snippets' not found. Attempting to create VBA from TablesAsFile."
        Set tbl = createSnippetsFromTemplate()
        If tbl Is Nothing Then
            MsgBox "No TablesAsFile found. VBA code can't be generated. Stopping execution."
            Exit Sub
        End If
    End If
    ' Sort the table by Package, Subpackage, and Line columns
    With tbl.Sort
        .SortFields.Clear
        .SortFields.Add key:=tbl.ListColumns("Package").Range, SortOn:=xlSortOnValues, Order:=xlAscending
        .SortFields.Add key:=tbl.ListColumns("Sub Package").Range, SortOn:=xlSortOnValues, Order:=xlAscending
        .SortFields.Add key:=tbl.ListColumns("Line").Range, SortOn:=xlSortOnValues, Order:=xlAscending
        .Header = xlYes
        .Apply
    End With
    For Each row In tbl.ListRows
        If Not (row.Range(tbl.ListColumns("ID").Index).Value = "_SnippetsRowTemplate") Then
            package = row.Range(tbl.ListColumns("Package").Index).Value
            subPackage = row.Range(tbl.ListColumns("Sub Package").Index).Value
            kindSrc = row.Range(tbl.ListColumns("Kind:src").Index).Value
            snippet = row.Range(tbl.ListColumns("Snippet").Index).Value
            If Left(snippet, 2) = "''" Then
                snippet = Mid(snippet, 2)
            End If
            ' Determine the name of the VBA module/class based on Package and Subpackage
            Select Case True
                Case package = "" And subPackage = ""
                    moduleName = "main"
                Case package = "util" And subPackage = ""
                    moduleName = "util"
                Case package = "util" And Left(subPackage, 2) &lt;&gt; "::"
                    moduleName = subPackage
                Case package &lt;&gt; "" And subPackage Like "::*"
                    moduleName = package &amp; Replace(subPackage, "::", "_")
                Case Else
                    moduleName = package
            End Select
            ' Check if the moduleName already exists in the array
            Dim Exists As Boolean
            Exists = False
            For i = 0 To moduleCount - 1
                If moduleNames(i) = moduleName Then
                    moduleCode(i) = moduleCode(i) &amp; snippet
                    Exists = True
                    Exit For
                End If
            Next i
            If Not Exists Then
                ' Resize the arrays and add the new module name and snippet
                ReDim Preserve moduleNames(moduleCount)
                ReDim Preserve moduleTypes(moduleCount)
                ReDim Preserve moduleCode(moduleCount)
                moduleNames(moduleCount) = moduleName
                moduleCode(moduleCount) = snippet
                moduleTypes(moduleCount) = kindSrc
                Debug.Print moduleNames(moduleCount) &amp; " is stored in position " &amp; moduleCount &amp; " with Type " &amp; moduleTypes(moduleCount)
                moduleCount = moduleCount + 1
            End If
        End If
    Next row
    For i = 0 To moduleCount - 1
        ' DO NOT re-generate Layer0, as this has to be generated manually prior to this code execution
        If moduleNames(i) &lt;&gt; "Layer0" Then
            On Error Resume Next
            Set vbaComponent = ThisWorkbook.VBProject.VBComponents(moduleNames(i))
            On Error GoTo 0
            If vbaComponent Is Nothing Then
                ' Determine the type based on the module name
                If InStr(1, moduleTypes(i), "_ClassSnippet") &gt; 0 Then
                    Set vbaComponent = ThisWorkbook.VBProject.VBComponents.Add(vbext_ct_ClassModule)
                ElseIf InStr(1, moduleTypes(i), "_ModuleSnippet") &gt; 0 Then
                    Set vbaComponent = ThisWorkbook.VBProject.VBComponents.Add(vbext_ct_StdModule)
                ElseIf InStr(1, moduleTypes(i), "_ExcelTabSnippet") &gt; 0 Then
                    'Set vbaComponent = ThisWorkbook.VBProject.VBComponents.Add(vbext_ct_Document)
                    GoTo NextIteration
                ElseIf InStr(1, moduleTypes(i), "_FormSnippet") &gt; 0 Then
                    ' Skip the iteration for "_FormSnippet"
                    GoTo NextIteration
                End If
                vbaComponent.name = moduleNames(i)
                Debug.Print moduleNames(i) &amp; " created!"
                moduleCreatedCount = moduleCreatedCount + 1
            End If
            ' Clear any existing code in the module and insert the concatenated content
            vbaComponent.CodeModule.DeleteLines 1, vbaComponent.CodeModule.CountOfLines
            vbaComponent.CodeModule.InsertLines 1, moduleCode(i)
            moduleFilledCount = moduleFilledCount + 1
            Debug.Print moduleNames(i) &amp; " filled!"
            Set vbaComponent = Nothing
        End If
NextIteration:
    Next i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
End Sub
' Helper - removes all data from tables except for  specified tables / tables-package combinations
Function removeAllButFirstRowAndResizeTables()
    Dim ws As Worksheet
    Dim tbl As ListObject
    Dim tblName As String
    Dim rowTemplateID As String
    Dim dataRange As Range
    Dim cell As Range
    Dim columnPackage As Range
    Dim packageValue As Variant
    Dim excludeTables As Variant
    Dim checkPackageTables As Variant
    Dim rowsToKeep() As Variant
    Dim keepRowCount As Long
    Dim i As Long
    ' Define tables to skip unconditionally
    excludeTables = Array("meta_Tables", "meta_Columns", "meta_NonCapitalizedTitleWords", "meta_TablePatterns", "meta_CodeTemplates", "meta_DocumentVersions", "meta_PackageDocumentation")
    ' Define tables to check for "Package" column
    checkPackageTables = Array("meta_Classifiers", "meta_TypedElements", "meta_Rules", "meta_Literals")
    ' Loop through each worksheet and each table
    For Each ws In ThisWorkbook.Worksheets
        For Each tbl In ws.ListObjects
            tblName = tbl.name
            ' Skip excluded tables
            If isInArray(tblName, excludeTables) Then
                GoTo SkipTable
            End If
            ' Special handling for "checkPackageTables"
            If isInArray(tblName, checkPackageTables) Then
                On Error Resume Next
                Set columnPackage = tbl.ListColumns("Package").DataBodyRange
                On Error GoTo 0
                ' Only proceed if the "Package" column exists
                If Not columnPackage Is Nothing Then
                    ' Initialize the array to store rows to keep
                    ReDim rowsToKeep(1 To tbl.ListRows.count, 1 To tbl.DataBodyRange.Columns.count)
                    keepRowCount = 0
                    ' Collect rows to keep
                    For i = 1 To columnPackage.Rows.count
                        packageValue = columnPackage.Cells(i, 1).Value
                        ' Check the type and value of the package column cell
                        If Not IsError(packageValue) And VarType(packageValue) = vbString Then
                            If packageValue = "meta" Or packageValue = "util" Then
                                keepRowCount = keepRowCount + 1
                                rowsToKeep(keepRowCount, 1) = tbl.DataBodyRange.Rows(i).Value
                            End If
                        End If
                    Next i
                    ' Clear the table entirely
                    If tbl.ListRows.count &gt; 0 Then
                        tbl.DataBodyRange.ClearContents
                    End If
                    ' Add back the rows to keep
                    If keepRowCount &gt; 0 Then
                        tbl.Resize tbl.HeaderRowRange.Resize(1 + keepRowCount, tbl.HeaderRowRange.Columns.count)
                        For i = 1 To keepRowCount
                            tbl.ListRows.Add
                            tbl.DataBodyRange.Rows(i).Value = rowsToKeep(i, 1)
                        Next i
                        ' Resize again to remove any extra rows
                        Dim lastRow As Long
                        On Error Resume Next
                        lastRow = tbl.DataBodyRange.Find("*", SearchOrder:=xlByRows, SearchDirection:=xlPrevious).row
                        On Error GoTo 0
                        If lastRow &gt; tbl.HeaderRowRange.row Then
                            tbl.Resize tbl.HeaderRowRange.Resize(lastRow - tbl.HeaderRowRange.row + 1, tbl.HeaderRowRange.Columns.count)
                        Else
                            tbl.Resize tbl.HeaderRowRange.Resize(2, tbl.HeaderRowRange.Columns.count)
                        End If
                    Else
                        ' If no rows to keep, resize to one empty row
                        If Not tbl.DataBodyRange Is Nothing Then
                            tbl.Resize tbl.HeaderRowRange.Resize(2, tbl.HeaderRowRange.Columns.count)
                            tbl.DataBodyRange.ClearContents
                        End If
                    End If
                    GoTo SkipTable
                End If
            End If
            ' General case: Remove all rows but the first row
            rowTemplateID = "_" &amp; tblName &amp; "RowTemplate"
            'Debug.Print rowTemplateID
            If tbl.ListRows.count &gt; 1 Then
                ' Delete all rows except the first
                tbl.DataBodyRange.Offset(1, 0).Resize(tbl.DataBodyRange.Rows.count - 1).Delete
            ElseIf tbl.ListRows.count = 0 Then
                tbl.ListRows.Add
            End If
            ' Add the row template ID to the first row, column 1
            tbl.ListRows(1).Range.Cells(1, 1).Value = rowTemplateID
            ' Preserve formulas in the first row, clear non-formula cells
            With tbl.ListRows(1).Range
                For Each cell In .Cells
                    If Not cell.HasFormula And cell.column &lt;&gt; tbl.ListColumns(1).Range.column Then
                        cell.ClearContents
                    End If
                Next cell
            End With
            ' Resize table to only the first row
            With tbl
                .Resize tbl.HeaderRowRange.Resize(2, .HeaderRowRange.Columns.count)
            End With
SkipTable:
        Next tbl
    Next ws
End Function
' Helper
Function isInArray(valueToFind As String, arr As Variant) As Boolean
    Dim i As Variant
    For Each i In arr
        If i = valueToFind Then
            isInArray = True
            Exit Function
        End If
    Next i
    isInArray = False
End Function
Sub createVersionWithoutDataAndCode()
    Dim startTime As Single
    Dim elapsedTime As Single
    If MsgBox("Press OK to remove data (meta/util data not removed).", vbOKCancel + vbExclamation, "Continue or Cancel") = vbCancel Then
        Exit Sub ' Exit the macro
    End If
    startTime = Timer
    Application.EnableEvents = False
    ' call RemoveAllButFirstRowAndResizeTables to remove data
   Call removeAllButFirstRowAndResizeTables
    elapsedTime = Timer - startTime
    Dim hours As Long
    Dim minutes As Long
    Dim seconds As Long
    hours = Int(elapsedTime / 3600)
    minutes = Int((elapsedTime Mod 3600) / 60)
    seconds = Int(elapsedTime Mod 60)
    If MsgBox("Successfully removed data in " &amp; Format(hours, "00") &amp; ":" &amp; Format(minutes, "00") &amp; ":" &amp; Format(seconds, "00") &amp; " Press OK to execute dataFromCode and create VBA snippets.", vbOKCancel + vbExclamation, "Continue or Cancel") = vbCancel Then
        Exit Sub ' Exit the macro
    End If
    ' Call dataFromCodeDefault to extract code to snippets table
    Call dataFromCodeDefault
    If MsgBox("Successfully created snippets. Press OK to execute deleteModulesAndEmptyDocuments and remove all VBA content.", vbOKCancel + vbExclamation, "Continue or Cancel") = vbCancel Then
        Exit Sub ' Exit the macro
    End If
    ' Call deleteAllVBA to remove code modules
    Call deleteAllVBA
    'MsgBox "Successfully removed all VBA content. Saving file as .xlsx ..."
    ' Save the modified workbook with "_noDataNoCode" suffix
    'skipping for now, due to error
    'Application.DisplayAlerts = False
    ' Construct the new file name with .xlsx extension
    'newFileName = ThisWorkbook.Path &amp; "/" &amp; Replace(ThisWorkbook.Name, ".xlsm", "_noDataNoCode.xlsx")
    ' Save a copy of the workbook as .xlsx
    'ThisWorkbook.SaveAs FileName:=newFileName, FileFormat:=51
    'Application.DisplayAlerts = True
    elapsedTime = Timer - startTime
    hours = Int(elapsedTime / 3600)
    minutes = Int((elapsedTime Mod 3600) / 60)
    seconds = Int(elapsedTime Mod 60)
    MsgBox "Execution completed in " &amp; Format(hours, "00") &amp; ":" &amp; Format(minutes, "00") &amp; ":" &amp; Format(seconds, "00") &amp; vbCrLf &amp; "Workbook does not contain any data or vba content anymore." &amp; vbCrLf &amp; "Please proceed to save as .xlsx manually."
    Application.EnableEvents = True
End Sub
Sub setAllTechnicalNames()
    Dim ws As Worksheet
    Dim vbComp As VBIDE.VBComponent
    For Each ws In ThisWorkbook.Worksheets
        For Each vbComp In ThisWorkbook.VBProject.VBComponents
            If ws.CodeName = vbComp.name Then
                newName = ws.name
                '(Name) property has to start with letter
                If Not (Mid(newName, 1, 1) Like "[A-Za-z]") Then
                    newName = "A" &amp; newName
                End If
                '(Name) property only allows for max 31 characters
                vbComp.name = Left(newName, 31)
            End If
        Next vbComp
    Next ws
End Sub
Function setTechnicalName(ws As Worksheet, tableName As String)
    Dim vbComp As VBIDE.VBComponent
    Dim backupNameTable As String
    Dim startTime As Double
    backupNameTable = Left(tableName, 30)
    ' Ensure name starts with a letter
    If Not (Mid(backupNameTable, 1, 1) Like "[A-Za-z]") Then
        backupNameTable = "A" &amp; backupNameTable
    End If
    ' Try to get the VBComponent with a short wait loop
    startTime = Timer
    Do
        On Error Resume Next
        Set vbComp = ThisWorkbook.VBProject.VBComponents(ws.CodeName)
        On Error GoTo 0
        If Not vbComp Is Nothing Then Exit Do
        DoEvents
        If Timer - startTime &gt; 2 Then Exit Do ' continue, just skip renaming
    Loop
    ' Rename only if VBComponent was successfully set
    If Not vbComp Is Nothing Then
        On Error Resume Next
        vbComp.name = backupNameTable
        On Error GoTo 0
    End If
End Function
Function createSnippetsFromTemplate() As ListObject
    Dim wsTemplate As Worksheet
    Set wb = ThisWorkbook
    ' Locate the template sheet dynamically
    For Each wsTemplate In wb.Sheets
        If InStr(1, wsTemplate.name, "_File", vbTextCompare) &gt; 0 Then Exit For
    Next wsTemplate
    If wsTemplate Is Nothing Then
        MsgBox "Template sheet not found!", vbCritical
        Set createSnippetsFromtTemplate = Nothing
        Exit Function
    End If
    Set wsSnippets = wb.Sheets.Add
    wsSnippets.name = "Snippets"
    ' Locate and copy VBA Snippets Data
    rowIndex = FindRow(wsTemplate, "## Snippets ## meta_Snippets ##") + 1
    ' Find the end of the Snippets section (next '##' or end of data)
    lastRow = wsTemplate.Cells(wsTemplate.Rows.count, 1).End(xlUp).row
    endRow = lastRow
    For i = rowIndex + 1 To lastRow
        If Left(Trim(wsTemplate.Cells(i, 1).Value), 2) = "##" Then
            endRow = i - 1
            Exit For
        End If
    Next i
    ' Copy header row
    wsTemplate.Rows(rowIndex).Copy
    wsSnippets.Cells(1, 1).PasteSpecial Paste:=xlPasteValues
    ' Copy snippet data (if any)
    If endRow &gt; rowIndex Then
        wsTemplate.Range(wsTemplate.Cells(rowIndex + 1, 1), wsTemplate.Cells(endRow, wsTemplate.UsedRange.Columns.count)).Copy
        wsSnippets.Cells(2, 1).PasteSpecial Paste:=xlPasteValues
    End If
    ' Create Snippets Table
    Set rng = wsSnippets.Range("A1").CurrentRegion
    Set tbl = wsSnippets.ListObjects.Add(xlSrcRange, rng, , xlYes)
    tbl.name = "meta_Snippets"
    Set createSnippetsFromTemplate = tbl
End Function
' Finds the row where a specific keyword is found in column A
Function FindRow(ws As Worksheet, keyword As String) As Long
    Dim lastRow As Long, i As Long
    lastRow = ws.Cells(Rows.count, 1).End(xlUp).row
    For i = 1 To lastRow
        If ws.Cells(i, 1).Value = keyword Then
            FindRow = i
            Exit Function
        End If
    Next i
    FindRow = 0
End Function
</t>
  </si>
  <si>
    <t xml:space="preserve">ext i
    camelDecodeSpecialCharacters = str
End Function
</t>
  </si>
  <si>
    <t>Function handleCapitalization(inputString As String) As String
    Dim ws As Worksheet
    Dim wordList As ListObject
    Dim wordRange As Range
    Dim wordArray() As String
    Dim currentWord As String
    Dim result As String
    Dim separators As Stri</t>
  </si>
  <si>
    <t xml:space="preserve">ng
    Dim isWord As Boolean
    Dim i As Long
    Dim char As String
    Dim hasWordList As Boolean
    Dim word As Variant
    ' Try to set the worksheet and table
    On Error Resume Next
    Set ws = ThisWorkbook.Sheets("Non Capitalized Title Words")
</t>
  </si>
  <si>
    <t xml:space="preserve">    If Not ws Is Nothing Then
        Set wordList = ws.ListObjects("meta_NonCapitalizedTitleWords")
        If Not wordList Is Nothing Then
            hasWordList = True
        End If
    End If
    On Error GoTo 0
    ' If word list is found, load int</t>
  </si>
  <si>
    <t>o array for faster lookup
    If hasWordList Then
        ReDim wordArray(1 To wordList.ListRows.count)
        i = 1
        For Each wordRange In wordList.ListColumns("Word").DataBodyRange
            wordArray(i) = LCase(wordRange.Value)
            i =</t>
  </si>
  <si>
    <t xml:space="preserve"> i + 1
        Next wordRange
    End If
    ' Reset variables for processing
    currentWord = ""
    separators = ""
    isWord = True
    result = ""
    ' Go through each character
    For i = 1 To Len(inputString)
        char = Mid(inputString, i, </t>
  </si>
  <si>
    <t xml:space="preserve">1)
        If char Like "[A-Za-z]" Then
            If Not isWord Then
                result = result &amp; separators
                separators = ""
                isWord = True
            End If
            currentWord = currentWord &amp; char
        Else
</t>
  </si>
  <si>
    <t xml:space="preserve">            If isWord Then
                currentWord = UCase(Left(currentWord, 1)) &amp; Mid(currentWord, 2)
                If hasWordList Then
                    For Each word In wordArray
                        If StrComp(currentWord, word, vbTextCompa</t>
  </si>
  <si>
    <t xml:space="preserve">re) = 0 Then
                            currentWord = LCase(currentWord)
                            Exit For
                        End If
                    Next word
                End If
                result = result &amp; currentWord
              </t>
  </si>
  <si>
    <t xml:space="preserve">  currentWord = ""
                isWord = False
            End If
            separators = separators &amp; char
        End If
    Next i
    ' Process any remaining word
    If currentWord &lt;&gt; "" Then
        currentWord = UCase(Left(currentWord, 1)) &amp; Mi</t>
  </si>
  <si>
    <t>d(currentWord, 2)
        If hasWordList Then
            For Each word In wordArray
                If StrComp(currentWord, word, vbTextCompare) = 0 Then
                    currentWord = LCase(currentWord)
                    Exit For
                En</t>
  </si>
  <si>
    <t xml:space="preserve">d If
            Next word
        End If
        result = result &amp; currentWord
    End If
    ' Add any trailing separators
    If separators &lt;&gt; "" Then
        result = result &amp; separators
    End If
    ' Capitalize first character of final result
  </t>
  </si>
  <si>
    <t xml:space="preserve">  handleCapitalization = UCase(Left(result, 1)) &amp; Mid(result, 2)
End Function
</t>
  </si>
  <si>
    <t xml:space="preserve">n.Cells(1, 1).formula
                    On Error GoTo 0
                    If mode = "overwrite" Then
                        On Error Resume Next
                        Err.Clear
                        rngColumn.formula = Mid(colFormula, 9)
        </t>
  </si>
  <si>
    <t xml:space="preserve">                If Err.Number &lt;&gt; 0 Then
                        MsgBox "Invalid Formula. Skipping this column." &amp; vbCrLf &amp; "Failed to apply formula in column '" &amp; colLabel &amp; "' of table '" &amp; tableName &amp; "'." &amp; vbCrLf &amp; _
                               "For</t>
  </si>
  <si>
    <t xml:space="preserve">mula: " &amp; Mid(colFormula, 9) &amp; vbCrLf &amp; "End.", vbExclamation, "Formula Error - Skipping Column"
                        Err.Clear
                        End If
                        On Error GoTo 0
                    ElseIf </t>
  </si>
  <si>
    <t xml:space="preserve">mode = "backupV" Or mode = "backupF" Then
                        If existingFormula &lt;&gt; Mid(colFormula, 9) Then
                            ' Queue backup request for later
                         </t>
  </si>
  <si>
    <t xml:space="preserve">   Dim valuesArray As Variant
                            valuesArray = rngColumn.Value2
                            Dim firstFormula As String
                            firstFormula = rngColumn.Cells(1, 1).formula
         </t>
  </si>
  <si>
    <t xml:space="preserve">                   backupRequests.Add Array(colLabel, firstFormula, valuesArray)
                            rngColumn.formula = Mid(colFormula, 9)
                        Else
                            rngColumn.formula = Mid(colFormula, 9)
            </t>
  </si>
  <si>
    <t xml:space="preserve">            End If
                    End If
                End If
            Else
                ' Add new column
                Dim newCol As ListColumn
                Set newCol = tblTarget.ListColumns.Add(position:=colPos)
                newCol.</t>
  </si>
  <si>
    <t>name = colLabel
                If colFormula &lt;&gt; "" And Left(colFormula, 8) = "Formula:" Then
                    newCol.DataBodyRange.formula = Mid(colFormula, 9)
                End If
            End If
        End If
    Next rowColumn
    ' === Apply</t>
  </si>
  <si>
    <t xml:space="preserve"> backup columns after all standard columns ===
    Dim b As Variant
    For Each b In backupRequests
        colLabel = b(0)
        existingFormula = b(1)
        Dim storedValues As Variant: storedValues = b(2)
        Dim backupName As String: backupNa</t>
  </si>
  <si>
    <t xml:space="preserve">me = colLabel &amp; "_backup" &amp; currentDateTime
        On Error Resume Next
        tblTarget.ListColumns(backupName).Delete
        On Error GoTo 0
        Dim backupCol As ListColumn
        Set backupCol = tblTarget.ListColumns.Add
        backupCol.name </t>
  </si>
  <si>
    <t>= backupName
        If mode = "backupV" Then
            backupCol.DataBodyRange.Value = storedValues
        ElseIf mode = "backupF" Then
            backupCol.DataBodyRange.formula = existingFormula
        End If
    Next b
    ' === Remove extra co</t>
  </si>
  <si>
    <t>lumns not in meta_Columns ===
    For i = tblTarget.ListColumns.count To 1 Step -1
        Dim currentLabel As String
        currentLabel = tblTarget.ListColumns(i).name
        If Right(currentLabel, 21) = "_backup" &amp; currentDateTime Then GoTo SkipDelete</t>
  </si>
  <si>
    <t xml:space="preserve">
        Dim keep As Boolean: keep = False
        For j = 1 To labelCount
            If expectedLabels(j) = currentLabel Then
                keep = True
                Exit For
            End If
        Next j
        If Not keep Then tblTarget.List</t>
  </si>
  <si>
    <t xml:space="preserve">Columns(i).Delete
SkipDelete:
    Next i
    Set tblTarget = Nothing
    Set wsTarget = Nothing
End Function
</t>
  </si>
  <si>
    <t>NameSheet = tabName &amp; "_Backup" &amp; currentDateTime
    backupNameTable = tableName &amp; "_Backup" &amp; currentDateTime
    On Error Resume Next
    Set wsTables = ThisWorkbook.Sheets(tabName)
    If Not wsTables Is Nothing Then
        Set tblTables = wsTabl</t>
  </si>
  <si>
    <t xml:space="preserve">es.ListObjects(tableName)
        If Not tblTables Is Nothing Then
            Set NewSheet = ThisWorkbook.Sheets.Add(After:=ThisWorkbook.Sheets(ThisWorkbook.Sheets.count))
            NewSheet.name = backupNameSheet
            Set fullRange </t>
  </si>
  <si>
    <t>= tblTables.Range
            fullRange.Copy
            NewSheet.Range("A1").PasteSpecial Paste:=xlPasteAll
            Application.CutCopyMode = False
            Set newTable = NewSheet.ListObjects(1)
            newTable.name = backupNameT</t>
  </si>
  <si>
    <t xml:space="preserve">able
            Call setTechnicalName(NewSheet, backupNameTable)
            Set createBackup = tblTables
        End If
    End If
    On Error GoTo 0
End Function
' Helper
</t>
  </si>
  <si>
    <t xml:space="preserve">mnIndex = 0 ' Return 0 if not found
End Function
</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</si>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</sst>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6">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0" fillId="0" borderId="0" xfId="0" quotePrefix="1" applyAlignment="1">
      <alignment wrapText="1"/>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NumberFormat="1" applyFont="1" applyBorder="1" applyAlignment="1">
      <alignment vertical="top"/>
    </xf>
    <xf numFmtId="0" fontId="20" fillId="11" borderId="1" xfId="0" applyNumberFormat="1" applyFont="1" applyFill="1" applyBorder="1" applyAlignment="1">
      <alignment vertical="top"/>
    </xf>
    <xf numFmtId="0" fontId="20" fillId="4" borderId="1" xfId="0" applyNumberFormat="1" applyFont="1" applyFill="1" applyBorder="1" applyAlignment="1">
      <alignment vertical="top"/>
    </xf>
    <xf numFmtId="0" fontId="20" fillId="11" borderId="1" xfId="0" applyFont="1" applyFill="1" applyBorder="1" applyAlignment="1">
      <alignment vertical="top"/>
    </xf>
    <xf numFmtId="0" fontId="0" fillId="0" borderId="0" xfId="0" applyAlignment="1"/>
    <xf numFmtId="0" fontId="0" fillId="11" borderId="0" xfId="0" applyNumberFormat="1" applyFill="1" applyAlignment="1">
      <alignment vertical="top"/>
    </xf>
    <xf numFmtId="0" fontId="0" fillId="4" borderId="0" xfId="0" applyNumberFormat="1" applyFill="1" applyAlignment="1">
      <alignment vertical="top"/>
    </xf>
    <xf numFmtId="0" fontId="0" fillId="11" borderId="0" xfId="0" applyNumberFormat="1" applyFont="1" applyFill="1" applyAlignment="1">
      <alignment vertical="top"/>
    </xf>
    <xf numFmtId="0" fontId="0" fillId="4" borderId="0" xfId="0" applyNumberFormat="1" applyFont="1" applyFill="1" applyAlignment="1">
      <alignment vertical="top"/>
    </xf>
    <xf numFmtId="0" fontId="20" fillId="11" borderId="0" xfId="0" applyFont="1" applyFill="1" applyAlignment="1">
      <alignment vertical="top"/>
    </xf>
    <xf numFmtId="0" fontId="20" fillId="4" borderId="0" xfId="0" applyNumberFormat="1" applyFont="1" applyFill="1" applyAlignment="1">
      <alignment vertical="top"/>
    </xf>
    <xf numFmtId="0" fontId="20" fillId="0" borderId="0" xfId="0" applyFont="1" applyAlignment="1">
      <alignment vertical="top"/>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26">
    <dxf>
      <numFmt numFmtId="0" formatCode="General"/>
      <fill>
        <patternFill patternType="solid">
          <fgColor indexed="64"/>
          <bgColor rgb="FFFFFFCD"/>
        </patternFill>
      </fill>
      <alignment vertical="top" indent="0" justifyLastLine="0" shrinkToFit="0" readingOrder="0"/>
    </dxf>
    <dxf>
      <font>
        <color rgb="FF006100"/>
      </font>
      <fill>
        <patternFill>
          <bgColor rgb="FFC6EFCE"/>
        </patternFill>
      </fill>
    </dxf>
    <dxf>
      <font>
        <color rgb="FFFF0000"/>
      </font>
    </dxf>
    <dxf>
      <font>
        <color rgb="FFFF0000"/>
      </font>
    </dxf>
    <dxf>
      <font>
        <color rgb="FF006100"/>
      </font>
      <fill>
        <patternFill>
          <bgColor rgb="FFC6EFCE"/>
        </patternFill>
      </fill>
    </dxf>
    <dxf>
      <fill>
        <patternFill>
          <bgColor rgb="FFFF0000"/>
        </patternFill>
      </fill>
    </dxf>
    <dxf>
      <numFmt numFmtId="0" formatCode="General"/>
      <fill>
        <patternFill>
          <fgColor indexed="64"/>
          <bgColor rgb="FFFFFFCD"/>
        </patternFill>
      </fill>
      <alignment horizontal="general" vertical="top" textRotation="0" wrapText="0" indent="0" justifyLastLine="0" shrinkToFit="0" readingOrder="0"/>
    </dxf>
    <dxf>
      <numFmt numFmtId="0" formatCode="General"/>
    </dxf>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25" headerRowBorderDxfId="424" tableBorderDxfId="423">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22">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21" headerRowBorderDxfId="420" tableBorderDxfId="419">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18">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17">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16">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15" headerRowBorderDxfId="414" tableBorderDxfId="413">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12">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11" dataDxfId="410">
  <autoFilter ref="A2:J10" xr:uid="{00000000-0009-0000-0100-00000F000000}"/>
  <tableColumns count="10">
    <tableColumn id="1" xr3:uid="{00000000-0010-0000-0000-000001000000}" name="ID" dataDxfId="409"/>
    <tableColumn id="2" xr3:uid="{00000000-0010-0000-0000-000002000000}" name="Name" dataDxfId="408"/>
    <tableColumn id="3" xr3:uid="{00000000-0010-0000-0000-000003000000}" name="Version" dataDxfId="407"/>
    <tableColumn id="4" xr3:uid="{00000000-0010-0000-0000-000004000000}" name="Date Tag" dataDxfId="406"/>
    <tableColumn id="5" xr3:uid="{00000000-0010-0000-0000-000005000000}" name="File Name" dataDxfId="405">
      <calculatedColumnFormula>meta_DocumentVersions[[#This Row],[Date Tag]]&amp;"_"&amp;meta_DocumentVersions[[#This Row],[Name]]&amp;"_"&amp;meta_DocumentVersions[[#This Row],[Version]]&amp;".xlsm"</calculatedColumnFormula>
    </tableColumn>
    <tableColumn id="6" xr3:uid="{00000000-0010-0000-0000-000006000000}" name="Change Log" dataDxfId="404"/>
    <tableColumn id="9" xr3:uid="{00000000-0010-0000-0000-000009000000}" name="Branch of Document" dataDxfId="403"/>
    <tableColumn id="7" xr3:uid="{00000000-0010-0000-0000-000007000000}" name="Create Branch" dataDxfId="402"/>
    <tableColumn id="8" xr3:uid="{00000000-0010-0000-0000-000008000000}" name="Merge Branch" dataDxfId="401"/>
    <tableColumn id="10" xr3:uid="{00000000-0010-0000-0000-00000A000000}" name="Freeze Version" dataDxfId="400"/>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2345C52-F340-8841-B683-0AC52444DBD0}" name="meta_Snippets" displayName="meta_Snippets" ref="A1:G918" totalsRowShown="0">
  <autoFilter ref="A1:G918" xr:uid="{B2345C52-F340-8841-B683-0AC52444DBD0}"/>
  <tableColumns count="7">
    <tableColumn id="1" xr3:uid="{69B9AC31-F0E8-BC47-AA18-356C43A82883}" name="ID"/>
    <tableColumn id="2" xr3:uid="{E5F6CEA0-213A-E54B-AAF3-5285468EA4C4}" name="Kind:src"/>
    <tableColumn id="3" xr3:uid="{8A99F847-149C-3848-A20C-500C88A05B72}" name="Kind"/>
    <tableColumn id="4" xr3:uid="{44ADD645-CB9E-AD4D-B115-2866AC7A50AE}" name="Package"/>
    <tableColumn id="5" xr3:uid="{EC8094DA-1CFB-1441-BDE7-0BBC204E53AC}" name="Sub Package"/>
    <tableColumn id="6" xr3:uid="{135BE991-7445-F24A-AA4B-450FE6A03875}" name="Line"/>
    <tableColumn id="7" xr3:uid="{F98198AA-6E62-5F42-B9AC-401F7E30DA84}" name="Snippe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8" dataDxfId="366" headerRowBorderDxfId="367" tableBorderDxfId="365" totalsRowBorderDxfId="364">
  <autoFilter ref="A1:BE422" xr:uid="{00000000-0009-0000-0100-00000E000000}"/>
  <tableColumns count="57">
    <tableColumn id="1" xr3:uid="{00000000-0010-0000-0400-000001000000}" name="ID" dataDxfId="363"/>
    <tableColumn id="49" xr3:uid="{6E72B505-24D7-4338-9A65-D70EFDFFC57B}" name="Kind:src" dataDxfId="362"/>
    <tableColumn id="3" xr3:uid="{00000000-0010-0000-0400-000003000000}" name="Kind" dataDxfId="361">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60">
      <calculatedColumnFormula>IF(meta_Columns[[#This Row],[Owning Table:src]]="","",INDEX(meta_Classifiers[Package],MATCH(meta_Columns[[#This Row],[Owning Table Instances Class]],meta_Classifiers[ID],0)))</calculatedColumnFormula>
    </tableColumn>
    <tableColumn id="5" xr3:uid="{00000000-0010-0000-0400-000005000000}" name="Sub Package" dataDxfId="359"/>
    <tableColumn id="14" xr3:uid="{00000000-0010-0000-0400-00000E000000}" name="_Tables" dataDxfId="358">
      <calculatedColumnFormula>INDEX(meta_Tables[Excel Table - Excel Name],MATCH(meta_Columns[[#This Row],[Owning Table:src]],meta_Tables[ID],0))</calculatedColumnFormula>
    </tableColumn>
    <tableColumn id="10" xr3:uid="{00000000-0010-0000-0400-00000A000000}" name="Owning Table Instances Class" dataDxfId="357">
      <calculatedColumnFormula>INDEX(meta_Tables[Instances Class:src],MATCH(meta_Columns[[#This Row],[Owning Table:src]],meta_Tables[ID],0))</calculatedColumnFormula>
    </tableColumn>
    <tableColumn id="40" xr3:uid="{C54BA0C1-D44D-4CFE-B1CA-3F830A4C1A66}" name="Owning Table:src" dataDxfId="356"/>
    <tableColumn id="9" xr3:uid="{00000000-0010-0000-0400-000009000000}" name="Owning Table" dataDxfId="355">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4"/>
    <tableColumn id="45" xr3:uid="{B2BC55F0-4617-47EF-A1AE-AA473E4D6E63}" name="Referenced Table" dataDxfId="353">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2"/>
    <tableColumn id="41" xr3:uid="{B2C65460-A4E0-A340-BFA4-E6287331A5B3}" name="Referenced Table Display and Select Column" dataDxfId="351"/>
    <tableColumn id="52" xr3:uid="{2BF52C4F-C41A-48F9-A0B1-82565B174F58}" name="Changeable" dataDxfId="350">
      <calculatedColumnFormula>IF(meta_Columns[[#This Row],[Excel Column - Excel Formula]]="","x","")</calculatedColumnFormula>
    </tableColumn>
    <tableColumn id="55" xr3:uid="{2BE28D52-EA0C-469A-B592-F2C9E6B6F804}" name="Excel Column - Name Prefix" dataDxfId="349"/>
    <tableColumn id="56" xr3:uid="{A1AFBA24-E5F8-4960-925A-492F12DA3C5C}" name="Referenced Table Instance Class Name" dataDxfId="348">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7">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6"/>
    <tableColumn id="22" xr3:uid="{00000000-0010-0000-0400-000016000000}" name="Property" dataDxfId="345">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4"/>
    <tableColumn id="13" xr3:uid="{00000000-0010-0000-0400-00000D000000}" name="Generalization 6" dataDxfId="343">
      <calculatedColumnFormula>INDEX(meta_Classifiers[Class - Generalization:src], MATCH(meta_Columns[[#This Row],[Generalization 5]],meta_Classifiers[ID],0))</calculatedColumnFormula>
    </tableColumn>
    <tableColumn id="29" xr3:uid="{00000000-0010-0000-0400-00001D000000}" name="Generalization 5" dataDxfId="342">
      <calculatedColumnFormula>INDEX(meta_Classifiers[Class - Generalization:src], MATCH(meta_Columns[[#This Row],[Generalization 4]],meta_Classifiers[ID],0))</calculatedColumnFormula>
    </tableColumn>
    <tableColumn id="28" xr3:uid="{00000000-0010-0000-0400-00001C000000}" name="Generalization 4" dataDxfId="341">
      <calculatedColumnFormula>INDEX(meta_Classifiers[Class - Generalization:src], MATCH(meta_Columns[[#This Row],[Generalization 3]],meta_Classifiers[ID],0))</calculatedColumnFormula>
    </tableColumn>
    <tableColumn id="21" xr3:uid="{00000000-0010-0000-0400-000015000000}" name="Generalization 3" dataDxfId="340">
      <calculatedColumnFormula>INDEX(meta_Classifiers[Class - Generalization:src], MATCH(meta_Columns[[#This Row],[Generalization 2]],meta_Classifiers[ID],0))</calculatedColumnFormula>
    </tableColumn>
    <tableColumn id="20" xr3:uid="{00000000-0010-0000-0400-000014000000}" name="Generalization 2" dataDxfId="339">
      <calculatedColumnFormula>INDEX(meta_Classifiers[Class - Generalization:src], MATCH(meta_Columns[[#This Row],[Generalization 1]],meta_Classifiers[ID],0))</calculatedColumnFormula>
    </tableColumn>
    <tableColumn id="16" xr3:uid="{00000000-0010-0000-0400-000010000000}" name="Generalization 1" dataDxfId="338">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7">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6">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4">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3">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2">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1">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30">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9">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8">
      <calculatedColumnFormula>INDEX(meta_TypedModelElements[Property - Owning Class:src],MATCH(meta_Columns[[#This Row],[Property]],meta_TypedModelElements[ID],0))</calculatedColumnFormula>
    </tableColumn>
    <tableColumn id="12" xr3:uid="{00000000-0010-0000-0400-00000C000000}" name="Property Kind" dataDxfId="327">
      <calculatedColumnFormula>INDEX(meta_TypedModelElements[Kind:src],MATCH(meta_Columns[[#This Row],[Property]],meta_TypedModelElements[ID],0))</calculatedColumnFormula>
    </tableColumn>
    <tableColumn id="19" xr3:uid="{00000000-0010-0000-0400-000013000000}" name="Property Name" dataDxfId="326">
      <calculatedColumnFormula>INDEX(meta_TypedModelElements[Name or Type],MATCH(meta_Columns[[#This Row],[Property]],meta_TypedModelElements[ID],0))</calculatedColumnFormula>
    </tableColumn>
    <tableColumn id="27" xr3:uid="{00000000-0010-0000-0400-00001B000000}" name="Property Changeable" dataDxfId="325">
      <calculatedColumnFormula>INDEX(meta_TypedModelElements[Property - Changeable],MATCH(meta_Columns[[#This Row],[Property]],meta_TypedModelElements[ID],0))</calculatedColumnFormula>
    </tableColumn>
    <tableColumn id="7" xr3:uid="{00000000-0010-0000-0400-000007000000}" name="Position" dataDxfId="324"/>
    <tableColumn id="37" xr3:uid="{00000000-0010-0000-0400-000025000000}" name="Stored Column Position" dataDxfId="323"/>
    <tableColumn id="18" xr3:uid="{00000000-0010-0000-0400-000012000000}" name="Excel Column - Label from Property or Referenced Table" dataDxfId="322">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1">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20">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9">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8">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7">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6">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5">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4"/>
    <tableColumn id="46" xr3:uid="{72F9B8E6-EC9A-4F83-89CF-8F88F28F6218}" name="Display Qualified" dataDxfId="313">
      <calculatedColumnFormula>meta_Columns[[#This Row],[Owning Table]]&amp;"."&amp;meta_Columns[[#This Row],[Excel Column - Label]]</calculatedColumnFormula>
    </tableColumn>
    <tableColumn id="8" xr3:uid="{00000000-0010-0000-0400-000008000000}" name="Excel Column - Label Overwrite" dataDxfId="312"/>
    <tableColumn id="17" xr3:uid="{00000000-0010-0000-0400-000011000000}" name="Excel Column - Label" dataDxfId="311">
      <calculatedColumnFormula>IF(TRIM(meta_Columns[[#This Row],[Excel Column - Label Overwrite]])&lt;&gt;"",meta_Columns[[#This Row],[Excel Column - Label Overwrite]],meta_Columns[[#This Row],[Excel Column - Label from Property or Referenced Table]])</calculatedColumnFormula>
    </tableColumn>
    <tableColumn id="38" xr3:uid="{00000000-0010-0000-0400-000026000000}" name="Excel Column - Explicit Excel Formula" dataDxfId="310"/>
    <tableColumn id="39" xr3:uid="{00000000-0010-0000-0400-000027000000}" name="Excel Column - Excel Formula" dataDxfId="309">
      <calculatedColumnFormula>IF(meta_Columns[[#This Row],[Excel Column - Explicit Excel Formula]]="","",meta_Columns[[#This Row],[Excel Column - Explicit Excel Formula]])</calculatedColumnFormula>
    </tableColumn>
    <tableColumn id="57" xr3:uid="{C2776EE3-610F-C044-84D9-D4ECD4E36C59}" name="Excel Column - Validation Formula" dataDxfId="308"/>
    <tableColumn id="2" xr3:uid="{C6EC425D-35C3-094D-B676-8DF67F65D351}" name="Excel Column - String Type" dataDxfId="307"/>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6" dataDxfId="305">
  <autoFilter ref="A1:J157" xr:uid="{7CD077CE-2522-E54B-8795-DD96B8910310}"/>
  <sortState xmlns:xlrd2="http://schemas.microsoft.com/office/spreadsheetml/2017/richdata2" ref="A2:J2">
    <sortCondition ref="B1:B2"/>
  </sortState>
  <tableColumns count="10">
    <tableColumn id="1" xr3:uid="{039C78D3-8B0F-A241-97FA-094A8046FF0F}" name="ID" dataDxfId="304"/>
    <tableColumn id="2" xr3:uid="{0AD79BEA-8662-8647-AAEF-78F179AB323F}" name="String" dataDxfId="303"/>
    <tableColumn id="3" xr3:uid="{CAA01845-91A3-F149-8742-D365F2921AC7}" name="Business" dataDxfId="302"/>
    <tableColumn id="4" xr3:uid="{C501D843-BE84-B84F-835C-B89F00987244}" name="Camel Upper" dataDxfId="301"/>
    <tableColumn id="5" xr3:uid="{EA94684F-8CB1-4D46-9F91-EEEEB67CE87D}" name="Camel Lower" dataDxfId="300"/>
    <tableColumn id="6" xr3:uid="{349D27A8-7D60-234A-854F-27A2BE2BA59E}" name="Business from Camel" dataDxfId="299"/>
    <tableColumn id="7" xr3:uid="{A3A5C058-B556-A842-AA1C-9CAEFA6CD30B}" name="Camel Upper from Business" dataDxfId="298"/>
    <tableColumn id="8" xr3:uid="{B32416A6-067A-0848-AE3B-CFE4CFA6A267}" name="Camel Lower from Business" dataDxfId="297"/>
    <tableColumn id="9" xr3:uid="{E6DD6C77-BEDD-7845-AE35-F805A41CAFF4}" name="Business =_x000a_Business from Camel" dataDxfId="296">
      <calculatedColumnFormula>meta_Names[[#This Row],[Business]]=meta_Names[[#This Row],[Business from Camel]]</calculatedColumnFormula>
    </tableColumn>
    <tableColumn id="10" xr3:uid="{48C49937-9D72-4E0D-BFD6-B4417D2170FD}" name="Business =_x000a_String" dataDxfId="295">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4" dataDxfId="292" headerRowBorderDxfId="293">
  <autoFilter ref="A2:S65" xr:uid="{00000000-0009-0000-0100-000002000000}">
    <filterColumn colId="10">
      <filters>
        <filter val="Package"/>
        <filter val="Package Documentation"/>
      </filters>
    </filterColumn>
  </autoFilter>
  <tableColumns count="19">
    <tableColumn id="1" xr3:uid="{00000000-0010-0000-0100-000001000000}" name="ID" dataDxfId="291"/>
    <tableColumn id="18" xr3:uid="{2BE72F52-E16A-4A6E-B454-1FDF1FC0AC76}" name="Kind:src" dataDxfId="290"/>
    <tableColumn id="3" xr3:uid="{00000000-0010-0000-0100-000003000000}" name="Kind" dataDxfId="289">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8"/>
    <tableColumn id="6" xr3:uid="{00000000-0010-0000-0100-000006000000}" name="Package" dataDxfId="287"/>
    <tableColumn id="11" xr3:uid="{00000000-0010-0000-0100-00000B000000}" name="Sub Package" dataDxfId="286"/>
    <tableColumn id="8" xr3:uid="{00000000-0010-0000-0100-000008000000}" name="Display Qualified" dataDxfId="285">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4">
      <calculatedColumnFormula>IF(TRIM(meta_Classifiers[[#This Row],[Package]])="","",TRIM(LOWER(meta_Classifiers[[#This Row],[Package]]))&amp;"::")&amp;meta_Classifiers[[#This Row],[Display]]</calculatedColumnFormula>
    </tableColumn>
    <tableColumn id="4" xr3:uid="{1F96AF77-F561-498C-83C6-97508193393F}" name="Class Display Qualified" dataDxfId="283">
      <calculatedColumnFormula>IF(meta_Classifiers[[#This Row],[Kind:src]]="_Class",meta_Classifiers[[#This Row],[Display Qualified]],"")</calculatedColumnFormula>
    </tableColumn>
    <tableColumn id="7" xr3:uid="{00000000-0010-0000-0100-000007000000}" name="Display" dataDxfId="282">
      <calculatedColumnFormula array="1">_xlfn.IFNA(INDEX(meta_Names[Camel Upper], MATCH(meta_Classifiers[[#This Row],[Name]],meta_Names[String],0)),camelCaseUpper(meta_Classifiers[[#This Row],[Name]]))</calculatedColumnFormula>
    </tableColumn>
    <tableColumn id="2" xr3:uid="{00000000-0010-0000-0100-000002000000}" name="Name" dataDxfId="281"/>
    <tableColumn id="10" xr3:uid="{00000000-0010-0000-0100-00000A000000}" name="Class - Abstract" dataDxfId="280"/>
    <tableColumn id="19" xr3:uid="{ED60A2E8-F17C-4073-BE76-82B6FA2B86D4}" name="Class - Generalization:src" dataDxfId="279"/>
    <tableColumn id="9" xr3:uid="{00000000-0010-0000-0100-000009000000}" name="Class - Generalization" dataDxfId="278">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7"/>
    <tableColumn id="15" xr3:uid="{67827286-A0CE-49AE-BFD2-FA4C08880A6B}" name="Class - Display Property:src" dataDxfId="276"/>
    <tableColumn id="13" xr3:uid="{FBD4F397-3D8C-4243-AF74-B11E28814CC7}" name="Class - Display Property" dataDxfId="275">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4">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73" dataDxfId="271" headerRowBorderDxfId="272">
  <autoFilter ref="A1:BK100" xr:uid="{00000000-0009-0000-0100-000003000000}"/>
  <tableColumns count="63">
    <tableColumn id="1" xr3:uid="{00000000-0010-0000-0200-000001000000}" name="ID" dataDxfId="270"/>
    <tableColumn id="60" xr3:uid="{22C14872-E9C6-4C69-AABF-C7FE84BF94C5}" name="Kind:src" dataDxfId="269"/>
    <tableColumn id="3" xr3:uid="{00000000-0010-0000-0200-000003000000}" name="Kind" dataDxfId="268">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7"/>
    <tableColumn id="9" xr3:uid="{00000000-0010-0000-0200-000009000000}" name="Package" dataDxfId="266"/>
    <tableColumn id="49" xr3:uid="{00000000-0010-0000-0200-000031000000}" name="Sub Package" dataDxfId="265"/>
    <tableColumn id="20" xr3:uid="{00000000-0010-0000-0200-000014000000}" name="Containing Class" dataDxfId="264">
      <calculatedColumnFormula>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calculatedColumnFormula>
    </tableColumn>
    <tableColumn id="25" xr3:uid="{00000000-0010-0000-0200-000019000000}" name="Containing Class:display" dataDxfId="263">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62"/>
    <tableColumn id="4" xr3:uid="{00000000-0010-0000-0200-000004000000}" name="Property - Owning Class" dataDxfId="261">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60">
      <calculatedColumnFormula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calculatedColumnFormula>
    </tableColumn>
    <tableColumn id="61" xr3:uid="{4A6FCA08-96F4-4D00-8533-79D4A5CE90B4}" name="Function Display Qualified" dataDxfId="259">
      <calculatedColumnFormula>IF(meta_TypedModelElements[[#This Row],[Kind:src]]="_Function",meta_TypedModelElements[[#This Row],[Display Qualified]],"")</calculatedColumnFormula>
    </tableColumn>
    <tableColumn id="14" xr3:uid="{A39D399D-CE9B-4CED-B0F2-EA4D1F04D511}" name="Attribute Display Qualified" dataDxfId="258">
      <calculatedColumnFormula>IF(meta_TypedModelElements[[#This Row],[Kind:src]]="_Attribute",meta_TypedModelElements[[#This Row],[Display Qualified]],"")</calculatedColumnFormula>
    </tableColumn>
    <tableColumn id="10" xr3:uid="{23E6FB92-8780-4BD5-95CD-5EB986F257A6}" name="Reference Display Qualified" dataDxfId="257">
      <calculatedColumnFormula>IF(meta_TypedModelElements[[#This Row],[Kind:src]]="_Reference",meta_TypedModelElements[[#This Row],[Display Qualified]],"")</calculatedColumnFormula>
    </tableColumn>
    <tableColumn id="67" xr3:uid="{592AD66C-C5D3-4B92-8A96-534BF43FB8E8}" name="Property Display Qualified" dataDxfId="256">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5"/>
    <tableColumn id="46" xr3:uid="{00000000-0010-0000-0200-00002E000000}" name="Function - Parameters in VBA Header" dataDxfId="254"/>
    <tableColumn id="13" xr3:uid="{00000000-0010-0000-0200-00000D000000}" name="Display" dataDxfId="253">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52">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51">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50">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9"/>
    <tableColumn id="35" xr3:uid="{00000000-0010-0000-0200-000023000000}" name="Type Super Type 7" dataDxfId="248">
      <calculatedColumnFormula>INDEX(meta_Classifiers[Class - Generalization:src],MATCH(meta_TypedModelElements[[#This Row],[Type Super Type 6]],meta_Classifiers[ID],0))</calculatedColumnFormula>
    </tableColumn>
    <tableColumn id="34" xr3:uid="{00000000-0010-0000-0200-000022000000}" name="Type Super Type 6" dataDxfId="247">
      <calculatedColumnFormula>INDEX(meta_Classifiers[Class - Generalization:src],MATCH(meta_TypedModelElements[[#This Row],[Type Super Type 5]],meta_Classifiers[ID],0))</calculatedColumnFormula>
    </tableColumn>
    <tableColumn id="33" xr3:uid="{00000000-0010-0000-0200-000021000000}" name="Type Super Type 5" dataDxfId="246">
      <calculatedColumnFormula>INDEX(meta_Classifiers[Class - Generalization:src],MATCH(meta_TypedModelElements[[#This Row],[Type Super Type 4]],meta_Classifiers[ID],0))</calculatedColumnFormula>
    </tableColumn>
    <tableColumn id="32" xr3:uid="{00000000-0010-0000-0200-000020000000}" name="Type Super Type 4" dataDxfId="245">
      <calculatedColumnFormula>INDEX(meta_Classifiers[Class - Generalization:src],MATCH(meta_TypedModelElements[[#This Row],[Type Super Type 3]],meta_Classifiers[ID],0))</calculatedColumnFormula>
    </tableColumn>
    <tableColumn id="31" xr3:uid="{00000000-0010-0000-0200-00001F000000}" name="Type Super Type 3" dataDxfId="244">
      <calculatedColumnFormula>INDEX(meta_Classifiers[Class - Generalization:src],MATCH(meta_TypedModelElements[[#This Row],[Type Super Type 2]],meta_Classifiers[ID],0))</calculatedColumnFormula>
    </tableColumn>
    <tableColumn id="30" xr3:uid="{00000000-0010-0000-0200-00001E000000}" name="Type Super Type 2" dataDxfId="243">
      <calculatedColumnFormula>INDEX(meta_Classifiers[Class - Generalization:src],MATCH(meta_TypedModelElements[[#This Row],[Type Super Type 1]],meta_Classifiers[ID],0))</calculatedColumnFormula>
    </tableColumn>
    <tableColumn id="29" xr3:uid="{00000000-0010-0000-0200-00001D000000}" name="Type Super Type 1" dataDxfId="242">
      <calculatedColumnFormula>INDEX(meta_Classifiers[Class - Generalization:src],MATCH(meta_TypedModelElements[[#This Row],[Type:src]],meta_Classifiers[ID],0))</calculatedColumnFormula>
    </tableColumn>
    <tableColumn id="47" xr3:uid="{00000000-0010-0000-0200-00002F000000}" name="Type Derived:display" dataDxfId="241">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40">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9">
      <calculatedColumnFormula>IF(meta_TypedModelElements[[#This Row],[Type:src]]="","",INDEX(meta_Classifiers[Name],MATCH(meta_TypedModelElements[[#This Row],[Type:src]],meta_Classifiers[ID],0)))</calculatedColumnFormula>
    </tableColumn>
    <tableColumn id="11" xr3:uid="{00000000-0010-0000-0200-00000B000000}" name="Type:src" dataDxfId="238"/>
    <tableColumn id="5" xr3:uid="{00000000-0010-0000-0200-000005000000}" name="Type" dataDxfId="237">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6"/>
    <tableColumn id="50" xr3:uid="{00000000-0010-0000-0200-000032000000}" name="Property - Changeable" dataDxfId="235"/>
    <tableColumn id="58" xr3:uid="{9E7F4ABC-E0DA-4357-9BB2-46A1146750FF}" name="Reference - Opposite:src" dataDxfId="234"/>
    <tableColumn id="57" xr3:uid="{96F48300-C9E1-40B3-805C-02D5E99508F5}" name="Reference - Opposite" dataDxfId="233">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32"/>
    <tableColumn id="43" xr3:uid="{44952ACE-694A-4E95-9E6E-306F3B9D6EA8}" name="Reference - Display and Select Property" dataDxfId="231">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30"/>
    <tableColumn id="26" xr3:uid="{00000000-0010-0000-0200-00001A000000}" name="Function - Owning Property:src"/>
    <tableColumn id="7" xr3:uid="{00000000-0010-0000-0200-000007000000}" name="Function - Owning Property" dataDxfId="229">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8"/>
    <tableColumn id="65" xr3:uid="{B27CF9EB-6CA4-46B8-B3EE-B959D8F16FA4}" name="Parameter - Owning Function:src" dataDxfId="227"/>
    <tableColumn id="8" xr3:uid="{00000000-0010-0000-0200-000008000000}" name="Parameter - Owning Function" dataDxfId="0">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6"/>
    <tableColumn id="23" xr3:uid="{00000000-0010-0000-0200-000017000000}" name="Property - Using Property" dataDxfId="225"/>
    <tableColumn id="28" xr3:uid="{00000000-0010-0000-0200-00001C000000}" name="Reference - Referenced Excel Table" dataDxfId="224">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23">
      <calculatedColumnFormula>"[@["&amp;meta_TypedModelElements[[#This Row],[Name or Type]]&amp;":src]]"</calculatedColumnFormula>
    </tableColumn>
    <tableColumn id="27" xr3:uid="{00000000-0010-0000-0200-00001B000000}" name="Reference - Excel Formula for Display" dataDxfId="222">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21">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20">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9"/>
    <tableColumn id="44" xr3:uid="{00000000-0010-0000-0200-00002C000000}" name="Feature - VBA Type" dataDxfId="218">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7"/>
    <tableColumn id="42" xr3:uid="{00000000-0010-0000-0200-00002A000000}" name="Feature - VBA Header" dataDxfId="216">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5"/>
    <tableColumn id="18" xr3:uid="{00000000-0010-0000-0200-000012000000}" name="Feature - Manual VBA Body" dataDxfId="214"/>
    <tableColumn id="53" xr3:uid="{00000000-0010-0000-0200-000035000000}" name="Feature - VBA Body" dataDxfId="213"/>
    <tableColumn id="51" xr3:uid="{00000000-0010-0000-0200-000033000000}" name="Feature - VBA Code" dataDxfId="212"/>
    <tableColumn id="56" xr3:uid="{308D7EAC-363C-424D-90DD-C718CDAD73DE}" name="Code" dataDxfId="211"/>
    <tableColumn id="12" xr3:uid="{00000000-0010-0000-0200-00000C000000}" name="Description" dataDxfId="210"/>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9" dataDxfId="207" headerRowBorderDxfId="208" tableBorderDxfId="206">
  <autoFilter ref="A1:J31" xr:uid="{00000000-0009-0000-0100-000005000000}"/>
  <tableColumns count="10">
    <tableColumn id="8" xr3:uid="{00000000-0010-0000-0800-000008000000}" name="ID" dataDxfId="205"/>
    <tableColumn id="5" xr3:uid="{00000000-0010-0000-0800-000005000000}" name="Kind:src" dataDxfId="7"/>
    <tableColumn id="2" xr3:uid="{00000000-0010-0000-0800-000002000000}" name="Kind" dataDxfId="204">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203"/>
    <tableColumn id="10" xr3:uid="{00000000-0010-0000-0800-00000A000000}" name="Display:q" dataDxfId="202">
      <calculatedColumnFormula>IF(TRIM(meta_Literals[[#This Row],[Package]])="","",TRIM(LOWER(meta_Literals[[#This Row],[Package]]))&amp;"::")&amp;meta_Literals[[#This Row],[Display]]</calculatedColumnFormula>
    </tableColumn>
    <tableColumn id="9" xr3:uid="{00000000-0010-0000-0800-000009000000}" name="Display" dataDxfId="201">
      <calculatedColumnFormula>TRIM(SUBSTITUTE(meta_Literals[[#This Row],[Name]]," ",""))</calculatedColumnFormula>
    </tableColumn>
    <tableColumn id="3" xr3:uid="{00000000-0010-0000-0800-000003000000}" name="Name" dataDxfId="200"/>
    <tableColumn id="7" xr3:uid="{00000000-0010-0000-0800-000007000000}" name="Parent:src"/>
    <tableColumn id="4" xr3:uid="{00000000-0010-0000-0800-000004000000}" name="Parent" dataDxfId="199">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8" dataDxfId="196" headerRowBorderDxfId="197">
  <autoFilter ref="A1:DD5" xr:uid="{00000000-0009-0000-0100-000001000000}"/>
  <tableColumns count="108">
    <tableColumn id="1" xr3:uid="{00000000-0010-0000-0500-000001000000}" name="ID" dataDxfId="195"/>
    <tableColumn id="32" xr3:uid="{00000000-0010-0000-0500-000020000000}" name="Kind:src" dataDxfId="194"/>
    <tableColumn id="3" xr3:uid="{00000000-0010-0000-0500-000003000000}" name="Kind" dataDxfId="193">
      <calculatedColumnFormula>IF(meta_Rules[[#This Row],[Kind:src]]="","",INDEX(meta_Classifiers[Display Qualified],MATCH(meta_Rules[[#This Row],[Kind:src]],meta_Classifiers[ID],0)))</calculatedColumnFormula>
    </tableColumn>
    <tableColumn id="23" xr3:uid="{00000000-0010-0000-0500-000017000000}" name="Package" dataDxfId="192">
      <calculatedColumnFormula>_xlfn.IFNA(IF(meta_Rules[[#This Row],[Class:src]]="","util",INDEX(meta_Classifiers[Package],MATCH(meta_Rules[[#This Row],[Class:src]],meta_Classifiers[ID],0))),"")</calculatedColumnFormula>
    </tableColumn>
    <tableColumn id="104" xr3:uid="{00000000-0010-0000-0500-000068000000}" name="Sub Package" dataDxfId="191"/>
    <tableColumn id="46" xr3:uid="{00000000-0010-0000-0500-00002E000000}" name="Super Class 6:display:q." dataDxfId="190">
      <calculatedColumnFormula>_xlfn.IFNA(INDEX(meta_Classifiers[Display Qualified],MATCH(meta_Rules[[#This Row],[Super Class 6]],meta_Classifiers[ID],0))&amp;".","")</calculatedColumnFormula>
    </tableColumn>
    <tableColumn id="38" xr3:uid="{00000000-0010-0000-0500-000026000000}" name="Super Class 6" dataDxfId="189">
      <calculatedColumnFormula>_xlfn.IFNA(INDEX(meta_Classifiers[Class - Generalization:src],MATCH(meta_Rules[[#This Row],[Super Class 5]],meta_Classifiers[ID],0)),0)</calculatedColumnFormula>
    </tableColumn>
    <tableColumn id="45" xr3:uid="{00000000-0010-0000-0500-00002D000000}" name="Super Class 5:display:q." dataDxfId="188">
      <calculatedColumnFormula>_xlfn.IFNA(INDEX(meta_Classifiers[Display Qualified],MATCH(meta_Rules[[#This Row],[Super Class 5]],meta_Classifiers[ID],0))&amp;".","")</calculatedColumnFormula>
    </tableColumn>
    <tableColumn id="37" xr3:uid="{00000000-0010-0000-0500-000025000000}" name="Super Class 5" dataDxfId="187">
      <calculatedColumnFormula>_xlfn.IFNA(INDEX(meta_Classifiers[Class - Generalization:src],MATCH(meta_Rules[[#This Row],[Super Class 4]],meta_Classifiers[ID],0)),0)</calculatedColumnFormula>
    </tableColumn>
    <tableColumn id="44" xr3:uid="{00000000-0010-0000-0500-00002C000000}" name="Super Class 4:display:q." dataDxfId="186">
      <calculatedColumnFormula>_xlfn.IFNA(INDEX(meta_Classifiers[Display Qualified],MATCH(meta_Rules[[#This Row],[Super Class 4]],meta_Classifiers[ID],0))&amp;".","")</calculatedColumnFormula>
    </tableColumn>
    <tableColumn id="36" xr3:uid="{00000000-0010-0000-0500-000024000000}" name="Super Class 4" dataDxfId="185">
      <calculatedColumnFormula>_xlfn.IFNA(INDEX(meta_Classifiers[Class - Generalization:src],MATCH(meta_Rules[[#This Row],[Super Class 3]],meta_Classifiers[ID],0)),0)</calculatedColumnFormula>
    </tableColumn>
    <tableColumn id="43" xr3:uid="{00000000-0010-0000-0500-00002B000000}" name="Super Class 3:display:q." dataDxfId="184">
      <calculatedColumnFormula>_xlfn.IFNA(INDEX(meta_Classifiers[Display Qualified],MATCH(meta_Rules[[#This Row],[Super Class 3]],meta_Classifiers[ID],0))&amp;".","")</calculatedColumnFormula>
    </tableColumn>
    <tableColumn id="35" xr3:uid="{00000000-0010-0000-0500-000023000000}" name="Super Class 3" dataDxfId="183">
      <calculatedColumnFormula>_xlfn.IFNA(INDEX(meta_Classifiers[Class - Generalization:src],MATCH(meta_Rules[[#This Row],[Super Class 2]],meta_Classifiers[ID],0)),0)</calculatedColumnFormula>
    </tableColumn>
    <tableColumn id="42" xr3:uid="{00000000-0010-0000-0500-00002A000000}" name="Super Class 2:display:q." dataDxfId="182">
      <calculatedColumnFormula>_xlfn.IFNA(INDEX(meta_Classifiers[Display Qualified],MATCH(meta_Rules[[#This Row],[Super Class 2]],meta_Classifiers[ID],0))&amp;".","")</calculatedColumnFormula>
    </tableColumn>
    <tableColumn id="34" xr3:uid="{00000000-0010-0000-0500-000022000000}" name="Super Class 2" dataDxfId="181">
      <calculatedColumnFormula>_xlfn.IFNA(INDEX(meta_Classifiers[Class - Generalization:src],MATCH(meta_Rules[[#This Row],[Super Class 1]],meta_Classifiers[ID],0)),0)</calculatedColumnFormula>
    </tableColumn>
    <tableColumn id="40" xr3:uid="{00000000-0010-0000-0500-000028000000}" name="Super Class 1:display:q." dataDxfId="180">
      <calculatedColumnFormula>_xlfn.IFNA(INDEX(meta_Classifiers[Display Qualified],MATCH(meta_Rules[[#This Row],[Super Class 1]],meta_Classifiers[ID],0))&amp;".","")</calculatedColumnFormula>
    </tableColumn>
    <tableColumn id="33" xr3:uid="{00000000-0010-0000-0500-000021000000}" name="Super Class 1" dataDxfId="179">
      <calculatedColumnFormula>_xlfn.IFNA(INDEX(meta_Classifiers[Class - Generalization:src],MATCH(meta_Rules[[#This Row],[Class:src]],meta_Classifiers[ID],0)),0)</calculatedColumnFormula>
    </tableColumn>
    <tableColumn id="41" xr3:uid="{00000000-0010-0000-0500-000029000000}" name="Class:display:q." dataDxfId="178">
      <calculatedColumnFormula>INDEX(meta_Classifiers[Display Qualified],MATCH(meta_Rules[[#This Row],[Class:src]],meta_Classifiers[ID],0))&amp;"."</calculatedColumnFormula>
    </tableColumn>
    <tableColumn id="4" xr3:uid="{00000000-0010-0000-0500-000004000000}" name="Class:src" dataDxfId="177"/>
    <tableColumn id="30" xr3:uid="{00000000-0010-0000-0500-00001E000000}" name="Class" dataDxfId="6">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76">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75">
      <calculatedColumnFormula>IF(meta_Rules[[#This Row],[Class:src]]="","_Datatype","_Class")</calculatedColumnFormula>
    </tableColumn>
    <tableColumn id="39" xr3:uid="{00000000-0010-0000-0500-000027000000}" name="Feature:src" dataDxfId="174"/>
    <tableColumn id="5" xr3:uid="{00000000-0010-0000-0500-000005000000}" name="Feature" dataDxfId="173">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72"/>
    <tableColumn id="113" xr3:uid="{48E2B363-37B5-F842-903F-FA77081BCE10}" name="VBA Function Step 2" dataDxfId="171"/>
    <tableColumn id="112" xr3:uid="{28CD41D5-218C-4942-89C9-F94630A9FC92}" name="VBA Function Step 3" dataDxfId="170"/>
    <tableColumn id="111" xr3:uid="{D81BFF57-55DF-E948-A4C2-C4202E263512}" name="Do Action Rule Details" dataDxfId="169"/>
    <tableColumn id="19" xr3:uid="{00000000-0010-0000-0500-000013000000}" name="Line" dataDxfId="168"/>
    <tableColumn id="21" xr3:uid="{00000000-0010-0000-0500-000015000000}" name="Part:src" dataDxfId="167"/>
    <tableColumn id="22" xr3:uid="{00000000-0010-0000-0500-000016000000}" name="Part:displayedChoice" dataDxfId="166"/>
    <tableColumn id="24" xr3:uid="{00000000-0010-0000-0500-000018000000}" name="Part:q" dataDxfId="165">
      <calculatedColumnFormula>IF(TRIM(meta_Rules[[#This Row],[Part]])="","",IF(
  TRIM(meta_Rules[[#This Row],[Package]])="",
          "",
          meta_Rules[[#This Row],[Package]]&amp;"::")
&amp;meta_Rules[[#This Row],[Part]])</calculatedColumnFormula>
    </tableColumn>
    <tableColumn id="97" xr3:uid="{00000000-0010-0000-0500-000061000000}" name="Line As Text" dataDxfId="164">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63"/>
    <tableColumn id="9" xr3:uid="{00000000-0010-0000-0500-000009000000}" name="Rule Code" dataDxfId="162"/>
    <tableColumn id="29" xr3:uid="{00000000-0010-0000-0500-00001D000000}" name="Rule Biz ID Without Line" dataDxfId="161">
      <calculatedColumnFormula>meta_Rules[[#This Row],[Class:src]]&amp;"_"&amp;meta_Rules[[#This Row],[Feature]]&amp;"_"&amp;meta_Rules[[#This Row],[Kind]]</calculatedColumnFormula>
    </tableColumn>
    <tableColumn id="27" xr3:uid="{00000000-0010-0000-0500-00001B000000}" name="Rule Biz ID" dataDxfId="160">
      <calculatedColumnFormula>meta_Rules[[#This Row],[Rule Biz ID Without Line]]&amp;"_"&amp;meta_Rules[[#This Row],[Line]]</calculatedColumnFormula>
    </tableColumn>
    <tableColumn id="31" xr3:uid="{00000000-0010-0000-0500-00001F000000}" name="Part:src At Line - 1" dataDxfId="159">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8">
      <calculatedColumnFormula>IF(TRIM(meta_Rules[[#This Row],[Line]])="","",IF(meta_Rules[[#This Row],[Line]]=1,"",meta_Rules[[#This Row],[Line]]-1))</calculatedColumnFormula>
    </tableColumn>
    <tableColumn id="26" xr3:uid="{00000000-0010-0000-0500-00001A000000}" name="Indent" dataDxfId="157">
      <calculatedColumnFormula>IF(TRIM(meta_Rules[[#This Row],[Line]])="",0,IF(meta_Rules[[#This Row],[Line]]=1,0,
999))</calculatedColumnFormula>
    </tableColumn>
    <tableColumn id="25" xr3:uid="{00000000-0010-0000-0500-000019000000}" name="Generation" dataDxfId="156"/>
    <tableColumn id="17" xr3:uid="{00000000-0010-0000-0500-000011000000}" name="Operator" dataDxfId="155"/>
    <tableColumn id="62" xr3:uid="{00000000-0010-0000-0500-00003E000000}" name="Base Super Class 6:display:q." dataDxfId="154">
      <calculatedColumnFormula>_xlfn.IFNA(INDEX(meta_Classifiers[Display Qualified],MATCH(meta_Rules[[#This Row],[Base Super Class 6]],meta_Classifiers[ID],0))&amp;".","")</calculatedColumnFormula>
    </tableColumn>
    <tableColumn id="61" xr3:uid="{00000000-0010-0000-0500-00003D000000}" name="Base Super Class 6" dataDxfId="153">
      <calculatedColumnFormula>_xlfn.IFNA(INDEX(#REF!,MATCH(meta_Rules[[#This Row],[Base Super Class 5]],meta_Classifiers[ID],0)),0)</calculatedColumnFormula>
    </tableColumn>
    <tableColumn id="60" xr3:uid="{00000000-0010-0000-0500-00003C000000}" name="Base Super Class 5:display:q." dataDxfId="152">
      <calculatedColumnFormula>_xlfn.IFNA(INDEX(meta_Classifiers[Display Qualified],MATCH(meta_Rules[[#This Row],[Base Super Class 5]],meta_Classifiers[ID],0))&amp;".","")</calculatedColumnFormula>
    </tableColumn>
    <tableColumn id="59" xr3:uid="{00000000-0010-0000-0500-00003B000000}" name="Base Super Class 5" dataDxfId="151">
      <calculatedColumnFormula>_xlfn.IFNA(INDEX(#REF!,MATCH(meta_Rules[[#This Row],[Base Super Class 4]],meta_Classifiers[ID],0)),0)</calculatedColumnFormula>
    </tableColumn>
    <tableColumn id="58" xr3:uid="{00000000-0010-0000-0500-00003A000000}" name="Base Super Class 4:display:q." dataDxfId="150">
      <calculatedColumnFormula>_xlfn.IFNA(INDEX(meta_Classifiers[Display Qualified],MATCH(meta_Rules[[#This Row],[Base Super Class 4]],meta_Classifiers[ID],0))&amp;".","")</calculatedColumnFormula>
    </tableColumn>
    <tableColumn id="57" xr3:uid="{00000000-0010-0000-0500-000039000000}" name="Base Super Class 4" dataDxfId="149">
      <calculatedColumnFormula>_xlfn.IFNA(INDEX(#REF!,MATCH(meta_Rules[[#This Row],[Base Super Class 3]],meta_Classifiers[ID],0)),0)</calculatedColumnFormula>
    </tableColumn>
    <tableColumn id="56" xr3:uid="{00000000-0010-0000-0500-000038000000}" name="Base Super Class 3:display:q." dataDxfId="148">
      <calculatedColumnFormula>_xlfn.IFNA(INDEX(meta_Classifiers[Display Qualified],MATCH(meta_Rules[[#This Row],[Base Super Class 3]],meta_Classifiers[ID],0))&amp;".","")</calculatedColumnFormula>
    </tableColumn>
    <tableColumn id="55" xr3:uid="{00000000-0010-0000-0500-000037000000}" name="Base Super Class 3" dataDxfId="147">
      <calculatedColumnFormula>_xlfn.IFNA(INDEX(#REF!,MATCH(meta_Rules[[#This Row],[Base Super Class 2]],meta_Classifiers[ID],0)),0)</calculatedColumnFormula>
    </tableColumn>
    <tableColumn id="54" xr3:uid="{00000000-0010-0000-0500-000036000000}" name="Base Super Class 2:display:q." dataDxfId="146">
      <calculatedColumnFormula>_xlfn.IFNA(INDEX(meta_Classifiers[Display Qualified],MATCH(meta_Rules[[#This Row],[Base Super Class 2]],meta_Classifiers[ID],0))&amp;".","")</calculatedColumnFormula>
    </tableColumn>
    <tableColumn id="53" xr3:uid="{00000000-0010-0000-0500-000035000000}" name="Base Super Class 2" dataDxfId="145">
      <calculatedColumnFormula>_xlfn.IFNA(INDEX(#REF!,MATCH(meta_Rules[[#This Row],[Base Super Class 1]],meta_Classifiers[ID],0)),0)</calculatedColumnFormula>
    </tableColumn>
    <tableColumn id="52" xr3:uid="{00000000-0010-0000-0500-000034000000}" name="Base Super Class 1:display:q." dataDxfId="144">
      <calculatedColumnFormula>_xlfn.IFNA(INDEX(meta_Classifiers[Display Qualified],MATCH(meta_Rules[[#This Row],[Base Super Class 1]],meta_Classifiers[ID],0))&amp;".","")</calculatedColumnFormula>
    </tableColumn>
    <tableColumn id="51" xr3:uid="{00000000-0010-0000-0500-000033000000}" name="Base Super Class 1" dataDxfId="143">
      <calculatedColumnFormula>_xlfn.IFNA(INDEX(#REF!,MATCH(meta_Rules[[#This Row],[Base Type]],meta_Classifiers[ID],0)),0)</calculatedColumnFormula>
    </tableColumn>
    <tableColumn id="50" xr3:uid="{00000000-0010-0000-0500-000032000000}" name="Base Class:display:q." dataDxfId="142">
      <calculatedColumnFormula>INDEX(meta_Classifiers[Display Qualified],MATCH(meta_Rules[[#This Row],[Base Type]],meta_Classifiers[ID],0))&amp;"."</calculatedColumnFormula>
    </tableColumn>
    <tableColumn id="98" xr3:uid="{00000000-0010-0000-0500-000062000000}" name="Base Type Kind" dataDxfId="141">
      <calculatedColumnFormula>INDEX(#REF!,MATCH(meta_Rules[[#This Row],[Base Type]],meta_Classifiers[ID],0))</calculatedColumnFormula>
    </tableColumn>
    <tableColumn id="49" xr3:uid="{00000000-0010-0000-0500-000031000000}" name="Base Type" dataDxfId="140">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9">
      <calculatedColumnFormula>_xlfn.IFNA(INDEX(meta_TypedModelElements[ID],MATCH(meta_Rules[[#This Row],[Feature:src]]&amp;"."&amp;meta_Rules[[#This Row],[Base]],meta_TypedModelElements[ID],0)),"")</calculatedColumnFormula>
    </tableColumn>
    <tableColumn id="15" xr3:uid="{00000000-0010-0000-0500-00000F000000}" name="Base" dataDxfId="138"/>
    <tableColumn id="63" xr3:uid="{00000000-0010-0000-0500-00003F000000}" name="Property 1:src" dataDxfId="137"/>
    <tableColumn id="14" xr3:uid="{00000000-0010-0000-0500-00000E000000}" name="Property 1" dataDxfId="136">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35">
      <calculatedColumnFormula>_xlfn.IFNA(INDEX(meta_Classifiers[Display Qualified],MATCH(meta_Rules[[#This Row],[Property 1 Super Class 6]],meta_Classifiers[ID],0))&amp;".","")</calculatedColumnFormula>
    </tableColumn>
    <tableColumn id="79" xr3:uid="{00000000-0010-0000-0500-00004F000000}" name="Property 1 Super Class 6" dataDxfId="134">
      <calculatedColumnFormula>_xlfn.IFNA(INDEX(#REF!,MATCH(meta_Rules[[#This Row],[Property 1 Super Class 5]],meta_Classifiers[ID],0)),0)</calculatedColumnFormula>
    </tableColumn>
    <tableColumn id="78" xr3:uid="{00000000-0010-0000-0500-00004E000000}" name="Property 1 Super Class 5:display:q." dataDxfId="133">
      <calculatedColumnFormula>_xlfn.IFNA(INDEX(meta_Classifiers[Display Qualified],MATCH(meta_Rules[[#This Row],[Property 1 Super Class 5]],meta_Classifiers[ID],0))&amp;".","")</calculatedColumnFormula>
    </tableColumn>
    <tableColumn id="77" xr3:uid="{00000000-0010-0000-0500-00004D000000}" name="Property 1 Super Class 5" dataDxfId="132">
      <calculatedColumnFormula>_xlfn.IFNA(INDEX(#REF!,MATCH(meta_Rules[[#This Row],[Property 1 Super Class 4]],meta_Classifiers[ID],0)),0)</calculatedColumnFormula>
    </tableColumn>
    <tableColumn id="76" xr3:uid="{00000000-0010-0000-0500-00004C000000}" name="Property 1 Super Class 4:display:q." dataDxfId="131">
      <calculatedColumnFormula>_xlfn.IFNA(INDEX(meta_Classifiers[Display Qualified],MATCH(meta_Rules[[#This Row],[Property 1 Super Class 4]],meta_Classifiers[ID],0))&amp;".","")</calculatedColumnFormula>
    </tableColumn>
    <tableColumn id="75" xr3:uid="{00000000-0010-0000-0500-00004B000000}" name="Property 1 Super Class 4" dataDxfId="130">
      <calculatedColumnFormula>_xlfn.IFNA(INDEX(#REF!,MATCH(meta_Rules[[#This Row],[Property 1 Super Class 3]],meta_Classifiers[ID],0)),0)</calculatedColumnFormula>
    </tableColumn>
    <tableColumn id="74" xr3:uid="{00000000-0010-0000-0500-00004A000000}" name="Property 1 Super Class 3:display:q." dataDxfId="129">
      <calculatedColumnFormula>_xlfn.IFNA(INDEX(meta_Classifiers[Display Qualified],MATCH(meta_Rules[[#This Row],[Property 1 Super Class 3]],meta_Classifiers[ID],0))&amp;".","")</calculatedColumnFormula>
    </tableColumn>
    <tableColumn id="73" xr3:uid="{00000000-0010-0000-0500-000049000000}" name="Property 1 Super Class 3" dataDxfId="128">
      <calculatedColumnFormula>_xlfn.IFNA(INDEX(#REF!,MATCH(meta_Rules[[#This Row],[Property 1 Super Class 2]],meta_Classifiers[ID],0)),0)</calculatedColumnFormula>
    </tableColumn>
    <tableColumn id="72" xr3:uid="{00000000-0010-0000-0500-000048000000}" name="Property 1 Super Class 2:display:q." dataDxfId="127">
      <calculatedColumnFormula>_xlfn.IFNA(INDEX(meta_Classifiers[Display Qualified],MATCH(meta_Rules[[#This Row],[Property 1 Super Class 2]],meta_Classifiers[ID],0))&amp;".","")</calculatedColumnFormula>
    </tableColumn>
    <tableColumn id="71" xr3:uid="{00000000-0010-0000-0500-000047000000}" name="Property 1 Super Class 2" dataDxfId="126">
      <calculatedColumnFormula>_xlfn.IFNA(INDEX(#REF!,MATCH(meta_Rules[[#This Row],[Property 1 Super Class 1]],meta_Classifiers[ID],0)),0)</calculatedColumnFormula>
    </tableColumn>
    <tableColumn id="70" xr3:uid="{00000000-0010-0000-0500-000046000000}" name="Property 1 Super Class 1:display:q." dataDxfId="125">
      <calculatedColumnFormula>_xlfn.IFNA(INDEX(meta_Classifiers[Display Qualified],MATCH(meta_Rules[[#This Row],[Property 1 Super Class 1]],meta_Classifiers[ID],0))&amp;".","")</calculatedColumnFormula>
    </tableColumn>
    <tableColumn id="69" xr3:uid="{00000000-0010-0000-0500-000045000000}" name="Property 1 Super Class 1" dataDxfId="124">
      <calculatedColumnFormula>_xlfn.IFNA(INDEX(#REF!,MATCH(meta_Rules[[#This Row],[Property 1 Type]],meta_Classifiers[ID],0)),0)</calculatedColumnFormula>
    </tableColumn>
    <tableColumn id="68" xr3:uid="{00000000-0010-0000-0500-000044000000}" name="Property 1 Class:display:q." dataDxfId="123">
      <calculatedColumnFormula>_xlfn.IFNA(INDEX(meta_Classifiers[Display Qualified],MATCH(meta_Rules[[#This Row],[Property 1 Type]],meta_Classifiers[ID],0))&amp;".",0)</calculatedColumnFormula>
    </tableColumn>
    <tableColumn id="100" xr3:uid="{00000000-0010-0000-0500-000064000000}" name="Property 1 Type Kind" dataDxfId="122">
      <calculatedColumnFormula>IF(meta_Rules[[#This Row],[Property 1 Type]]="","",INDEX(#REF!,MATCH(meta_Rules[[#This Row],[Property 1 Type]],meta_Classifiers[ID],0)))</calculatedColumnFormula>
    </tableColumn>
    <tableColumn id="67" xr3:uid="{00000000-0010-0000-0500-000043000000}" name="Property 1 Type" dataDxfId="121">
      <calculatedColumnFormula>IF(meta_Rules[[#This Row],[Property 1:src]]="","",INDEX(meta_TypedModelElements[Type:src],MATCH(meta_Rules[[#This Row],[Property 1:src]],meta_TypedModelElements[ID],0)))</calculatedColumnFormula>
    </tableColumn>
    <tableColumn id="66" xr3:uid="{00000000-0010-0000-0500-000042000000}" name="Property 2:src" dataDxfId="120"/>
    <tableColumn id="13" xr3:uid="{00000000-0010-0000-0500-00000D000000}" name="Property 2" dataDxfId="119">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8"/>
    <tableColumn id="12" xr3:uid="{00000000-0010-0000-0500-00000C000000}" name="Cast" dataDxfId="117">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16">
      <calculatedColumnFormula>_xlfn.IFNA(INDEX(meta_Classifiers[Display Qualified],MATCH(meta_Rules[[#This Row],[Property 2 Super Class 6]],meta_Classifiers[ID],0))&amp;".","")</calculatedColumnFormula>
    </tableColumn>
    <tableColumn id="95" xr3:uid="{00000000-0010-0000-0500-00005F000000}" name="Property 2 Super Class 6" dataDxfId="115">
      <calculatedColumnFormula>_xlfn.IFNA(INDEX(#REF!,MATCH(meta_Rules[[#This Row],[Property 2 Super Class 5]],meta_Classifiers[ID],0)),0)</calculatedColumnFormula>
    </tableColumn>
    <tableColumn id="94" xr3:uid="{00000000-0010-0000-0500-00005E000000}" name="Property 2 Super Class 5:display:q." dataDxfId="114">
      <calculatedColumnFormula>_xlfn.IFNA(INDEX(meta_Classifiers[Display Qualified],MATCH(meta_Rules[[#This Row],[Property 2 Super Class 5]],meta_Classifiers[ID],0))&amp;".","")</calculatedColumnFormula>
    </tableColumn>
    <tableColumn id="93" xr3:uid="{00000000-0010-0000-0500-00005D000000}" name="Property 2 Super Class 5" dataDxfId="113">
      <calculatedColumnFormula>_xlfn.IFNA(INDEX(#REF!,MATCH(meta_Rules[[#This Row],[Property 2 Super Class 4]],meta_Classifiers[ID],0)),0)</calculatedColumnFormula>
    </tableColumn>
    <tableColumn id="92" xr3:uid="{00000000-0010-0000-0500-00005C000000}" name="Property 2 Super Class 4:display:q." dataDxfId="112">
      <calculatedColumnFormula>_xlfn.IFNA(INDEX(meta_Classifiers[Display Qualified],MATCH(meta_Rules[[#This Row],[Property 2 Super Class 4]],meta_Classifiers[ID],0))&amp;".","")</calculatedColumnFormula>
    </tableColumn>
    <tableColumn id="91" xr3:uid="{00000000-0010-0000-0500-00005B000000}" name="Property 2 Super Class 4" dataDxfId="111">
      <calculatedColumnFormula>_xlfn.IFNA(INDEX(#REF!,MATCH(meta_Rules[[#This Row],[Property 2 Super Class 3]],meta_Classifiers[ID],0)),0)</calculatedColumnFormula>
    </tableColumn>
    <tableColumn id="90" xr3:uid="{00000000-0010-0000-0500-00005A000000}" name="Property 2 Super Class 3:display:q." dataDxfId="110">
      <calculatedColumnFormula>_xlfn.IFNA(INDEX(meta_Classifiers[Display Qualified],MATCH(meta_Rules[[#This Row],[Property 2 Super Class 3]],meta_Classifiers[ID],0))&amp;".","")</calculatedColumnFormula>
    </tableColumn>
    <tableColumn id="89" xr3:uid="{00000000-0010-0000-0500-000059000000}" name="Property 2 Super Class 3" dataDxfId="109">
      <calculatedColumnFormula>_xlfn.IFNA(INDEX(#REF!,MATCH(meta_Rules[[#This Row],[Property 2 Super Class 2]],meta_Classifiers[ID],0)),0)</calculatedColumnFormula>
    </tableColumn>
    <tableColumn id="88" xr3:uid="{00000000-0010-0000-0500-000058000000}" name="Property 2 Super Class 2:display:q." dataDxfId="108">
      <calculatedColumnFormula>_xlfn.IFNA(INDEX(meta_Classifiers[Display Qualified],MATCH(meta_Rules[[#This Row],[Property 2 Super Class 2]],meta_Classifiers[ID],0))&amp;".","")</calculatedColumnFormula>
    </tableColumn>
    <tableColumn id="87" xr3:uid="{00000000-0010-0000-0500-000057000000}" name="Property 2 Super Class 2" dataDxfId="107">
      <calculatedColumnFormula>_xlfn.IFNA(INDEX(#REF!,MATCH(meta_Rules[[#This Row],[Property 2 Super Class 1]],meta_Classifiers[ID],0)),0)</calculatedColumnFormula>
    </tableColumn>
    <tableColumn id="86" xr3:uid="{00000000-0010-0000-0500-000056000000}" name="Property 2 Super Class 1:display:q." dataDxfId="106">
      <calculatedColumnFormula>_xlfn.IFNA(INDEX(meta_Classifiers[Display Qualified],MATCH(meta_Rules[[#This Row],[Property 2 Super Class 1]],meta_Classifiers[ID],0))&amp;".","")</calculatedColumnFormula>
    </tableColumn>
    <tableColumn id="85" xr3:uid="{00000000-0010-0000-0500-000055000000}" name="Property 2 Super Class 1" dataDxfId="105">
      <calculatedColumnFormula>_xlfn.IFNA(INDEX(#REF!,MATCH(meta_Rules[[#This Row],[Property 2 or Cast Type]],meta_Classifiers[ID],0)),0)</calculatedColumnFormula>
    </tableColumn>
    <tableColumn id="84" xr3:uid="{00000000-0010-0000-0500-000054000000}" name="Property 2 Class:display:q." dataDxfId="104">
      <calculatedColumnFormula>_xlfn.IFNA(INDEX(meta_Classifiers[Display Qualified],MATCH(meta_Rules[[#This Row],[Property 2 or Cast Type]],meta_Classifiers[ID],0))&amp;".",0)</calculatedColumnFormula>
    </tableColumn>
    <tableColumn id="101" xr3:uid="{00000000-0010-0000-0500-000065000000}" name="Property 2 or Cast Type Kind" dataDxfId="103">
      <calculatedColumnFormula>IF(meta_Rules[[#This Row],[Property 2 or Cast Type]]="","",INDEX(#REF!,MATCH(meta_Rules[[#This Row],[Property 2 or Cast Type]],meta_Classifiers[ID],0)))</calculatedColumnFormula>
    </tableColumn>
    <tableColumn id="83" xr3:uid="{00000000-0010-0000-0500-000053000000}" name="Property 2 or Cast Type" dataDxfId="102">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101"/>
    <tableColumn id="11" xr3:uid="{00000000-0010-0000-0500-00000B000000}" name="Property 3" dataDxfId="100">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9"/>
    <tableColumn id="47" xr3:uid="{00000000-0010-0000-0500-00002F000000}" name="Rule" dataDxfId="98">
      <calculatedColumnFormula>+"1"</calculatedColumnFormula>
    </tableColumn>
    <tableColumn id="6" xr3:uid="{00000000-0010-0000-0500-000006000000}" name="Manual VBA Code" dataDxfId="97"/>
    <tableColumn id="102" xr3:uid="{00000000-0010-0000-0500-000066000000}" name="VBA Code" dataDxfId="96">
      <calculatedColumnFormula>IF(meta_Rules[[#This Row],[Manual VBA Code]]&lt;&gt;"",meta_Rules[[#This Row],[Manual VBA Code]],"TODO")</calculatedColumnFormula>
    </tableColumn>
    <tableColumn id="7" xr3:uid="{00000000-0010-0000-0500-000007000000}" name="Manual Excel Formula" dataDxfId="95"/>
    <tableColumn id="103" xr3:uid="{00000000-0010-0000-0500-000067000000}" name="Excel Formula" dataDxfId="94"/>
    <tableColumn id="20" xr3:uid="{00000000-0010-0000-0500-000014000000}" name="Constraint Is Invariant" dataDxfId="93"/>
    <tableColumn id="18" xr3:uid="{00000000-0010-0000-0500-000012000000}" name="Update - Name" dataDxfId="92"/>
    <tableColumn id="64" xr3:uid="{00000000-0010-0000-0500-000040000000}" name="Update LHS - Feature:src" dataDxfId="91"/>
    <tableColumn id="2" xr3:uid="{00000000-0010-0000-0500-000002000000}" name="Update LHS - Feature" dataDxfId="90"/>
    <tableColumn id="8" xr3:uid="{00000000-0010-0000-0500-000008000000}" name="Update LHS - Mode" dataDxfId="89"/>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8" dataDxfId="86" headerRowBorderDxfId="87">
  <autoFilter ref="A2:U4" xr:uid="{00000000-0009-0000-0100-000011000000}"/>
  <tableColumns count="21">
    <tableColumn id="1" xr3:uid="{00000000-0010-0000-0600-000001000000}" name="ID" dataDxfId="85"/>
    <tableColumn id="12" xr3:uid="{00000000-0010-0000-0600-00000C000000}" name="Kind:src" dataDxfId="84"/>
    <tableColumn id="3" xr3:uid="{00000000-0010-0000-0600-000003000000}" name="Kind" dataDxfId="83">
      <calculatedColumnFormula>IF(meta_TablePatterns[[#This Row],[Kind:src]]="","",INDEX(meta_Classifiers[Display Qualified],MATCH(meta_TablePatterns[[#This Row],[Kind:src]],meta_Classifiers[ID],0)))</calculatedColumnFormula>
    </tableColumn>
    <tableColumn id="6" xr3:uid="{00000000-0010-0000-0600-000006000000}" name="Package" dataDxfId="82"/>
    <tableColumn id="11" xr3:uid="{00000000-0010-0000-0600-00000B000000}" name="Sub Package" dataDxfId="81"/>
    <tableColumn id="8" xr3:uid="{00000000-0010-0000-0600-000008000000}" name="Display:q" dataDxfId="80">
      <calculatedColumnFormula>IF(TRIM(meta_TablePatterns[[#This Row],[Package]])="","",TRIM(LOWER(meta_TablePatterns[[#This Row],[Package]]))&amp;"::")&amp;meta_TablePatterns[[#This Row],[Display]]</calculatedColumnFormula>
    </tableColumn>
    <tableColumn id="7" xr3:uid="{00000000-0010-0000-0600-000007000000}" name="Display" dataDxfId="79">
      <calculatedColumnFormula>TRIM(SUBSTITUTE(meta_TablePatterns[[#This Row],[Name]]," ",""))</calculatedColumnFormula>
    </tableColumn>
    <tableColumn id="2" xr3:uid="{00000000-0010-0000-0600-000002000000}" name="Name" dataDxfId="78"/>
    <tableColumn id="18" xr3:uid="{00000000-0010-0000-0600-000012000000}" name="Source Table" dataDxfId="77"/>
    <tableColumn id="4" xr3:uid="{00000000-0010-0000-0600-000004000000}" name="Match Filter Column 1" dataDxfId="76"/>
    <tableColumn id="9" xr3:uid="{00000000-0010-0000-0600-000009000000}" name="Match Filter Column 2" dataDxfId="75"/>
    <tableColumn id="17" xr3:uid="{00000000-0010-0000-0600-000011000000}" name="Match Key Column 1" dataDxfId="74"/>
    <tableColumn id="16" xr3:uid="{00000000-0010-0000-0600-000010000000}" name="Match Key Column 2" dataDxfId="73"/>
    <tableColumn id="15" xr3:uid="{00000000-0010-0000-0600-00000F000000}" name="Match Key Column 3" dataDxfId="72"/>
    <tableColumn id="14" xr3:uid="{00000000-0010-0000-0600-00000E000000}" name="Match Key Column 4" dataDxfId="71"/>
    <tableColumn id="13" xr3:uid="{00000000-0010-0000-0600-00000D000000}" name="Match Key Column 5" dataDxfId="70"/>
    <tableColumn id="19" xr3:uid="{00000000-0010-0000-0600-000013000000}" name="Order Column" dataDxfId="69"/>
    <tableColumn id="22" xr3:uid="{00000000-0010-0000-0600-000016000000}" name="Template Parameter Column 1" dataDxfId="68"/>
    <tableColumn id="21" xr3:uid="{00000000-0010-0000-0600-000015000000}" name="Template Parameter Column 2" dataDxfId="67"/>
    <tableColumn id="20" xr3:uid="{00000000-0010-0000-0600-000014000000}" name="Template Parameter Column 3" dataDxfId="66"/>
    <tableColumn id="5" xr3:uid="{00000000-0010-0000-0600-000005000000}" name="Definition" dataDxfId="65"/>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64" dataDxfId="62" headerRowBorderDxfId="63">
  <autoFilter ref="A2:X5" xr:uid="{00000000-0009-0000-0100-000012000000}"/>
  <tableColumns count="24">
    <tableColumn id="1" xr3:uid="{00000000-0010-0000-0700-000001000000}" name="ID" dataDxfId="61"/>
    <tableColumn id="12" xr3:uid="{00000000-0010-0000-0700-00000C000000}" name="Kind:src" dataDxfId="60"/>
    <tableColumn id="3" xr3:uid="{00000000-0010-0000-0700-000003000000}" name="Kind" dataDxfId="59"/>
    <tableColumn id="6" xr3:uid="{00000000-0010-0000-0700-000006000000}" name="Package" dataDxfId="58"/>
    <tableColumn id="11" xr3:uid="{00000000-0010-0000-0700-00000B000000}" name="Sub Package" dataDxfId="57"/>
    <tableColumn id="8" xr3:uid="{00000000-0010-0000-0700-000008000000}" name="Display:q" dataDxfId="56">
      <calculatedColumnFormula>IF(TRIM(meta_CodeTemplates[[#This Row],[Package]])="","",TRIM(LOWER(meta_CodeTemplates[[#This Row],[Package]]))&amp;"::")&amp;meta_CodeTemplates[[#This Row],[Display]]</calculatedColumnFormula>
    </tableColumn>
    <tableColumn id="7" xr3:uid="{00000000-0010-0000-0700-000007000000}" name="Display" dataDxfId="55">
      <calculatedColumnFormula>TRIM(SUBSTITUTE(meta_CodeTemplates[[#This Row],[Template Begin]]," ",""))</calculatedColumnFormula>
    </tableColumn>
    <tableColumn id="10" xr3:uid="{00000000-0010-0000-0700-00000A000000}" name="Where Clause" dataDxfId="54"/>
    <tableColumn id="2" xr3:uid="{00000000-0010-0000-0700-000002000000}" name="Template Begin" dataDxfId="53"/>
    <tableColumn id="4" xr3:uid="{00000000-0010-0000-0700-000004000000}" name="Matched Patern 1:src" dataDxfId="52"/>
    <tableColumn id="9" xr3:uid="{00000000-0010-0000-0700-000009000000}" name="Matched Pattern 1" dataDxfId="51">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50"/>
    <tableColumn id="20" xr3:uid="{00000000-0010-0000-0700-000014000000}" name="Matched Pattern 1 Filter Value 2" dataDxfId="49"/>
    <tableColumn id="28" xr3:uid="{00000000-0010-0000-0700-00001C000000}" name="Matched Pattern 1 Template Column" dataDxfId="48"/>
    <tableColumn id="18" xr3:uid="{00000000-0010-0000-0700-000012000000}" name="Template Middle" dataDxfId="47"/>
    <tableColumn id="29" xr3:uid="{00000000-0010-0000-0700-00001D000000}" name="Matched Pattern 2:src" dataDxfId="46"/>
    <tableColumn id="27" xr3:uid="{00000000-0010-0000-0700-00001B000000}" name="Matched Pattern2" dataDxfId="45"/>
    <tableColumn id="21" xr3:uid="{00000000-0010-0000-0700-000015000000}" name="Matched Pattern 2 Filter Value 1" dataDxfId="44"/>
    <tableColumn id="22" xr3:uid="{00000000-0010-0000-0700-000016000000}" name="Matched Pattern 2 Filter Value 2" dataDxfId="43"/>
    <tableColumn id="17" xr3:uid="{00000000-0010-0000-0700-000011000000}" name="Matched Pattern 2 Template Column" dataDxfId="42"/>
    <tableColumn id="16" xr3:uid="{00000000-0010-0000-0700-000010000000}" name="Template End" dataDxfId="41"/>
    <tableColumn id="14" xr3:uid="{00000000-0010-0000-0700-00000E000000}" name="Excel Formula - Target Property" dataDxfId="40"/>
    <tableColumn id="13" xr3:uid="{00000000-0010-0000-0700-00000D000000}" name="VBA Code - Target Module" dataDxfId="39"/>
    <tableColumn id="5" xr3:uid="{00000000-0010-0000-0700-000005000000}" name="Definition" dataDxfId="38"/>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37" dataDxfId="35" headerRowBorderDxfId="36">
  <autoFilter ref="B4:Z62" xr:uid="{00000000-0009-0000-0100-000006000000}"/>
  <tableColumns count="25">
    <tableColumn id="1" xr3:uid="{00000000-0010-0000-0900-000001000000}" name="ID" dataDxfId="34"/>
    <tableColumn id="11" xr3:uid="{83728BB8-FD3C-4294-9C12-F0266DF2CCAD}" name="Kind:src" dataDxfId="33"/>
    <tableColumn id="2" xr3:uid="{00000000-0010-0000-0900-000002000000}" name="Kind" dataDxfId="32"/>
    <tableColumn id="7" xr3:uid="{00000000-0010-0000-0900-000007000000}" name="Package" dataDxfId="31"/>
    <tableColumn id="12" xr3:uid="{8A817A20-4F8E-436B-AB4E-461EBA2A8598}" name="Sub Package" dataDxfId="30"/>
    <tableColumn id="6" xr3:uid="{00000000-0010-0000-0900-000006000000}" name="Table 2 Ref:src" dataDxfId="29"/>
    <tableColumn id="3" xr3:uid="{00000000-0010-0000-0900-000003000000}" name="Table 2 Ref" dataDxfId="28">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27"/>
    <tableColumn id="4" xr3:uid="{00000000-0010-0000-0900-000004000000}" name="Test stringToBusiness" dataDxfId="26">
      <calculatedColumnFormula>stringToBusiness(belowred_Table1Rows[[#This Row],[String Value 1]])</calculatedColumnFormula>
    </tableColumn>
    <tableColumn id="10" xr3:uid="{00000000-0010-0000-0900-00000A000000}" name="Test CamelCaseUpper" dataDxfId="25">
      <calculatedColumnFormula>camelCaseUpper(belowred_Table1Rows[[#This Row],[String Value 1]])</calculatedColumnFormula>
    </tableColumn>
    <tableColumn id="16" xr3:uid="{00000000-0010-0000-0900-000010000000}" name="CORRECTION camelCaseUpper" dataDxfId="24"/>
    <tableColumn id="9" xr3:uid="{00000000-0010-0000-0900-000009000000}" name="Test camelCaseToBusiness" dataDxfId="23">
      <calculatedColumnFormula>camelCaseToBusiness(belowred_Table1Rows[[#This Row],[Test CamelCaseUpper]])</calculatedColumnFormula>
    </tableColumn>
    <tableColumn id="17" xr3:uid="{00000000-0010-0000-0900-000011000000}" name="CORRECTIOON camelCaseToBusiness" dataDxfId="22"/>
    <tableColumn id="15" xr3:uid="{00000000-0010-0000-0900-00000F000000}" name="camelCaseLower(s)  = businessToCamelCaseLower(stringToBusiness(s))" dataDxfId="21">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20">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9">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8"/>
    <tableColumn id="21" xr3:uid="{770C2C9A-BBAB-4457-97BD-69E2595153E5}" name="Test stringToBusiness STORED" dataDxfId="17"/>
    <tableColumn id="22" xr3:uid="{17F64D8B-C998-4629-9067-1A50C2BCD590}" name="Test CamelCaseUpper STORED" dataDxfId="16"/>
    <tableColumn id="23" xr3:uid="{15A7580F-85BA-4065-9247-8A85E613DEE3}" name="Test camelCaseToBusiness STORED" dataDxfId="15"/>
    <tableColumn id="24" xr3:uid="{547C9E96-2E99-428A-8AF0-E7784322D1BF}" name="camelCaseLower(s)  = businessToCamelCaseLower(stringToBusiness(s)) STORED" dataDxfId="14"/>
    <tableColumn id="27" xr3:uid="{D00AA065-D27C-44C3-8130-D7F750719136}" name="Test FunctionToBeGenerated STORED" dataDxfId="13"/>
    <tableColumn id="25" xr3:uid="{D9B503A0-FF77-4C18-958A-2830436D071D}" name="camelCaseUpper(s)  = businessToCamelCaseUpper(stringToBusiness(s)),  STORED" dataDxfId="12"/>
    <tableColumn id="26" xr3:uid="{E62907A2-C5FF-4807-BA57-D095283A8E1D}" name="camelCaseToBusiness(_x000a_businessToCamelCaseUpper(_x000a_stringToBusiness(X))) = _x000a_stringToBusiness(X)  STORED" dataDxfId="11"/>
    <tableColumn id="8" xr3:uid="{3B3DCB7E-0556-4E7A-A4F4-5E24D45942E7}" name="Testing of Busines to Camel to Business" dataDxfId="10"/>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9">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8">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5546875" defaultRowHeight="15" outlineLevelCol="1"/>
  <cols>
    <col min="1" max="1" width="22.42578125" bestFit="1" customWidth="1"/>
    <col min="2" max="2" width="12.42578125" customWidth="1" outlineLevel="1"/>
    <col min="3" max="3" width="15.28515625" bestFit="1" customWidth="1"/>
    <col min="4" max="4" width="10.42578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5546875" defaultRowHeight="15" outlineLevelCol="1"/>
  <cols>
    <col min="1" max="1" width="22.42578125" bestFit="1" customWidth="1"/>
    <col min="2" max="2" width="16.140625" bestFit="1" customWidth="1" outlineLevel="1"/>
    <col min="3" max="3" width="14.7109375" bestFit="1" customWidth="1"/>
    <col min="5" max="5" width="8.85546875" outlineLevel="1"/>
    <col min="6" max="6" width="10.42578125" customWidth="1"/>
    <col min="7" max="7" width="10.42578125" customWidth="1" outlineLevel="1"/>
  </cols>
  <sheetData>
    <row r="1" spans="1:10" ht="103.5" customHeight="1">
      <c r="A1" s="68" t="s">
        <v>0</v>
      </c>
      <c r="B1" s="68" t="s">
        <v>230</v>
      </c>
      <c r="C1" s="68" t="s">
        <v>5</v>
      </c>
      <c r="D1" s="68" t="s">
        <v>120</v>
      </c>
      <c r="E1" s="68" t="s">
        <v>2439</v>
      </c>
      <c r="F1" s="68" t="s">
        <v>682</v>
      </c>
      <c r="G1" s="68" t="s">
        <v>1818</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5546875" defaultRowHeight="15" outlineLevelCol="1"/>
  <cols>
    <col min="1" max="1" width="22.42578125" bestFit="1" customWidth="1"/>
    <col min="2" max="2" width="16" bestFit="1" customWidth="1" outlineLevel="1"/>
    <col min="3" max="3" width="16" bestFit="1" customWidth="1"/>
    <col min="5" max="5" width="10.42578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F2" workbookViewId="0">
      <selection activeCell="I16" sqref="I16"/>
    </sheetView>
  </sheetViews>
  <sheetFormatPr defaultColWidth="8.42578125" defaultRowHeight="15"/>
  <cols>
    <col min="1" max="1" width="11.85546875" style="26" bestFit="1" customWidth="1"/>
    <col min="2" max="2" width="8.42578125" style="26"/>
    <col min="3" max="3" width="9.42578125" style="26" customWidth="1"/>
    <col min="4" max="4" width="10.140625" style="26" customWidth="1"/>
    <col min="5" max="5" width="28.42578125" style="26" bestFit="1" customWidth="1"/>
    <col min="6" max="6" width="92.42578125" style="26" customWidth="1"/>
    <col min="7" max="7" width="20.42578125" style="26" bestFit="1" customWidth="1"/>
    <col min="8" max="8" width="16" style="26" customWidth="1"/>
    <col min="9" max="9" width="15.140625" style="26" bestFit="1" customWidth="1"/>
    <col min="10" max="10" width="25.42578125" style="26" customWidth="1"/>
    <col min="11" max="16384" width="8.42578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20">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E7" s="26" t="str">
        <f>meta_DocumentVersions[[#This Row],[Date Tag]]&amp;"_"&amp;meta_DocumentVersions[[#This Row],[Name]]&amp;"_"&amp;meta_DocumentVersions[[#This Row],[Version]]&amp;".xlsm"</f>
        <v>__.xlsm</v>
      </c>
    </row>
    <row r="8" spans="1:10">
      <c r="A8" s="26" t="s">
        <v>597</v>
      </c>
      <c r="E8" s="26" t="str">
        <f>meta_DocumentVersions[[#This Row],[Date Tag]]&amp;"_"&amp;meta_DocumentVersions[[#This Row],[Name]]&amp;"_"&amp;meta_DocumentVersions[[#This Row],[Version]]&amp;".xlsm"</f>
        <v>__.xlsm</v>
      </c>
    </row>
    <row r="9" spans="1:10">
      <c r="A9" s="26" t="s">
        <v>598</v>
      </c>
      <c r="E9" s="26" t="str">
        <f>meta_DocumentVersions[[#This Row],[Date Tag]]&amp;"_"&amp;meta_DocumentVersions[[#This Row],[Name]]&amp;"_"&amp;meta_DocumentVersions[[#This Row],[Version]]&amp;".xlsm"</f>
        <v>__.xlsm</v>
      </c>
    </row>
    <row r="10" spans="1:10">
      <c r="A10" s="26" t="s">
        <v>599</v>
      </c>
      <c r="E10" s="26" t="str">
        <f>meta_DocumentVersions[[#This Row],[Date Tag]]&amp;"_"&amp;meta_DocumentVersions[[#This Row],[Name]]&amp;"_"&amp;meta_DocumentVersions[[#This Row],[Version]]&amp;".xlsm"</f>
        <v>__.xlsm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918"/>
  <sheetViews>
    <sheetView workbookViewId="0">
      <selection activeCell="C2" sqref="C2:C918"/>
    </sheetView>
  </sheetViews>
  <sheetFormatPr defaultColWidth="10.85546875" defaultRowHeight="15" outlineLevelCol="1"/>
  <cols>
    <col min="2" max="2" width="15.42578125" bestFit="1" customWidth="1" outlineLevel="1"/>
    <col min="4" max="4" width="14.42578125" bestFit="1" customWidth="1"/>
  </cols>
  <sheetData>
    <row r="1" spans="1:7">
      <c r="A1" t="s">
        <v>0</v>
      </c>
      <c r="B1" t="s">
        <v>230</v>
      </c>
      <c r="C1" t="s">
        <v>5</v>
      </c>
      <c r="D1" t="s">
        <v>120</v>
      </c>
      <c r="E1" t="s">
        <v>461</v>
      </c>
      <c r="F1" t="s">
        <v>31</v>
      </c>
      <c r="G1" t="s">
        <v>574</v>
      </c>
    </row>
    <row r="2" spans="1:7">
      <c r="A2" t="s">
        <v>584</v>
      </c>
      <c r="B2" t="s">
        <v>594</v>
      </c>
      <c r="C2" t="str">
        <f xml:space="preserve"> IF( TRIM( meta_Snippets[[#This Row],[Kind:src]] ) = "", "",
        INDEX( meta_Classifiers[Display Qualified], MATCH( meta_Snippets[[#This Row],[Kind:src]], meta_Classifiers[ID], 0 ) ) )</f>
        <v>ExcelTabSnippet</v>
      </c>
      <c r="D2" t="s">
        <v>837</v>
      </c>
      <c r="F2">
        <v>1</v>
      </c>
      <c r="G2" t="s">
        <v>849</v>
      </c>
    </row>
    <row r="3" spans="1:7" ht="409.5">
      <c r="A3" t="s">
        <v>584</v>
      </c>
      <c r="B3" t="s">
        <v>594</v>
      </c>
      <c r="C3" t="s">
        <v>834</v>
      </c>
      <c r="D3" t="s">
        <v>837</v>
      </c>
      <c r="F3">
        <v>2</v>
      </c>
      <c r="G3" s="66" t="s">
        <v>1393</v>
      </c>
    </row>
    <row r="4" spans="1:7" ht="405">
      <c r="A4" t="s">
        <v>584</v>
      </c>
      <c r="B4" t="s">
        <v>594</v>
      </c>
      <c r="C4" t="s">
        <v>834</v>
      </c>
      <c r="D4" t="s">
        <v>837</v>
      </c>
      <c r="F4">
        <v>3</v>
      </c>
      <c r="G4" s="66" t="s">
        <v>850</v>
      </c>
    </row>
    <row r="5" spans="1:7" ht="409.5">
      <c r="A5" t="s">
        <v>584</v>
      </c>
      <c r="B5" t="s">
        <v>594</v>
      </c>
      <c r="C5" t="s">
        <v>834</v>
      </c>
      <c r="D5" t="s">
        <v>837</v>
      </c>
      <c r="F5">
        <v>4</v>
      </c>
      <c r="G5" s="66" t="s">
        <v>851</v>
      </c>
    </row>
    <row r="6" spans="1:7" ht="390">
      <c r="A6" t="s">
        <v>584</v>
      </c>
      <c r="B6" t="s">
        <v>594</v>
      </c>
      <c r="C6" t="s">
        <v>834</v>
      </c>
      <c r="D6" t="s">
        <v>837</v>
      </c>
      <c r="F6">
        <v>5</v>
      </c>
      <c r="G6" s="66" t="s">
        <v>852</v>
      </c>
    </row>
    <row r="7" spans="1:7" ht="405">
      <c r="A7" t="s">
        <v>584</v>
      </c>
      <c r="B7" t="s">
        <v>594</v>
      </c>
      <c r="C7" t="s">
        <v>834</v>
      </c>
      <c r="D7" t="s">
        <v>837</v>
      </c>
      <c r="F7">
        <v>6</v>
      </c>
      <c r="G7" s="66" t="s">
        <v>853</v>
      </c>
    </row>
    <row r="8" spans="1:7" ht="409.5">
      <c r="A8" t="s">
        <v>584</v>
      </c>
      <c r="B8" t="s">
        <v>594</v>
      </c>
      <c r="C8" t="s">
        <v>834</v>
      </c>
      <c r="D8" t="s">
        <v>837</v>
      </c>
      <c r="F8">
        <v>7</v>
      </c>
      <c r="G8" s="66" t="s">
        <v>854</v>
      </c>
    </row>
    <row r="9" spans="1:7" ht="409.5">
      <c r="A9" t="s">
        <v>584</v>
      </c>
      <c r="B9" t="s">
        <v>594</v>
      </c>
      <c r="C9" t="s">
        <v>834</v>
      </c>
      <c r="D9" t="s">
        <v>837</v>
      </c>
      <c r="F9">
        <v>8</v>
      </c>
      <c r="G9" s="66" t="s">
        <v>855</v>
      </c>
    </row>
    <row r="10" spans="1:7" ht="105">
      <c r="A10" t="s">
        <v>584</v>
      </c>
      <c r="B10" t="s">
        <v>594</v>
      </c>
      <c r="C10" t="s">
        <v>834</v>
      </c>
      <c r="D10" t="s">
        <v>837</v>
      </c>
      <c r="F10">
        <v>9</v>
      </c>
      <c r="G10" s="66" t="s">
        <v>856</v>
      </c>
    </row>
    <row r="11" spans="1:7">
      <c r="A11" t="s">
        <v>584</v>
      </c>
      <c r="B11" t="s">
        <v>594</v>
      </c>
      <c r="C11" t="s">
        <v>834</v>
      </c>
      <c r="D11" t="s">
        <v>838</v>
      </c>
      <c r="F11">
        <v>1</v>
      </c>
      <c r="G11" s="66" t="s">
        <v>849</v>
      </c>
    </row>
    <row r="12" spans="1:7" ht="409.5">
      <c r="A12" t="s">
        <v>584</v>
      </c>
      <c r="B12" t="s">
        <v>594</v>
      </c>
      <c r="C12" t="s">
        <v>834</v>
      </c>
      <c r="D12" t="s">
        <v>838</v>
      </c>
      <c r="F12">
        <v>2</v>
      </c>
      <c r="G12" s="66" t="s">
        <v>1393</v>
      </c>
    </row>
    <row r="13" spans="1:7" ht="409.5">
      <c r="A13" t="s">
        <v>584</v>
      </c>
      <c r="B13" t="s">
        <v>594</v>
      </c>
      <c r="C13" t="s">
        <v>834</v>
      </c>
      <c r="D13" t="s">
        <v>838</v>
      </c>
      <c r="F13">
        <v>3</v>
      </c>
      <c r="G13" s="66" t="s">
        <v>857</v>
      </c>
    </row>
    <row r="14" spans="1:7" ht="409.5">
      <c r="A14" t="s">
        <v>584</v>
      </c>
      <c r="B14" t="s">
        <v>594</v>
      </c>
      <c r="C14" t="s">
        <v>834</v>
      </c>
      <c r="D14" t="s">
        <v>838</v>
      </c>
      <c r="F14">
        <v>4</v>
      </c>
      <c r="G14" s="66" t="s">
        <v>858</v>
      </c>
    </row>
    <row r="15" spans="1:7" ht="405">
      <c r="A15" t="s">
        <v>584</v>
      </c>
      <c r="B15" t="s">
        <v>594</v>
      </c>
      <c r="C15" t="s">
        <v>834</v>
      </c>
      <c r="D15" t="s">
        <v>838</v>
      </c>
      <c r="F15">
        <v>5</v>
      </c>
      <c r="G15" s="66" t="s">
        <v>859</v>
      </c>
    </row>
    <row r="16" spans="1:7" ht="405">
      <c r="A16" t="s">
        <v>584</v>
      </c>
      <c r="B16" t="s">
        <v>594</v>
      </c>
      <c r="C16" t="s">
        <v>834</v>
      </c>
      <c r="D16" t="s">
        <v>838</v>
      </c>
      <c r="F16">
        <v>6</v>
      </c>
      <c r="G16" s="66" t="s">
        <v>860</v>
      </c>
    </row>
    <row r="17" spans="1:7" ht="409.5">
      <c r="A17" t="s">
        <v>584</v>
      </c>
      <c r="B17" t="s">
        <v>594</v>
      </c>
      <c r="C17" t="s">
        <v>834</v>
      </c>
      <c r="D17" t="s">
        <v>838</v>
      </c>
      <c r="F17">
        <v>7</v>
      </c>
      <c r="G17" s="66" t="s">
        <v>861</v>
      </c>
    </row>
    <row r="18" spans="1:7" ht="409.5">
      <c r="A18" t="s">
        <v>584</v>
      </c>
      <c r="B18" t="s">
        <v>594</v>
      </c>
      <c r="C18" t="s">
        <v>834</v>
      </c>
      <c r="D18" t="s">
        <v>838</v>
      </c>
      <c r="F18">
        <v>8</v>
      </c>
      <c r="G18" s="66" t="s">
        <v>862</v>
      </c>
    </row>
    <row r="19" spans="1:7" ht="409.5">
      <c r="A19" t="s">
        <v>584</v>
      </c>
      <c r="B19" t="s">
        <v>594</v>
      </c>
      <c r="C19" t="s">
        <v>834</v>
      </c>
      <c r="D19" t="s">
        <v>838</v>
      </c>
      <c r="F19">
        <v>9</v>
      </c>
      <c r="G19" s="66" t="s">
        <v>863</v>
      </c>
    </row>
    <row r="20" spans="1:7" ht="409.5">
      <c r="A20" t="s">
        <v>584</v>
      </c>
      <c r="B20" t="s">
        <v>594</v>
      </c>
      <c r="C20" t="s">
        <v>834</v>
      </c>
      <c r="D20" t="s">
        <v>838</v>
      </c>
      <c r="F20">
        <v>10</v>
      </c>
      <c r="G20" s="66" t="s">
        <v>864</v>
      </c>
    </row>
    <row r="21" spans="1:7" ht="409.5">
      <c r="A21" t="s">
        <v>584</v>
      </c>
      <c r="B21" t="s">
        <v>594</v>
      </c>
      <c r="C21" t="s">
        <v>834</v>
      </c>
      <c r="D21" t="s">
        <v>838</v>
      </c>
      <c r="F21">
        <v>11</v>
      </c>
      <c r="G21" s="66" t="s">
        <v>865</v>
      </c>
    </row>
    <row r="22" spans="1:7" ht="409.5">
      <c r="A22" t="s">
        <v>584</v>
      </c>
      <c r="B22" t="s">
        <v>594</v>
      </c>
      <c r="C22" t="s">
        <v>834</v>
      </c>
      <c r="D22" t="s">
        <v>838</v>
      </c>
      <c r="F22">
        <v>12</v>
      </c>
      <c r="G22" s="66" t="s">
        <v>866</v>
      </c>
    </row>
    <row r="23" spans="1:7">
      <c r="A23" t="s">
        <v>584</v>
      </c>
      <c r="B23" t="s">
        <v>594</v>
      </c>
      <c r="C23" t="s">
        <v>834</v>
      </c>
      <c r="D23" t="s">
        <v>839</v>
      </c>
      <c r="F23">
        <v>1</v>
      </c>
      <c r="G23" s="66" t="s">
        <v>849</v>
      </c>
    </row>
    <row r="24" spans="1:7" ht="409.5">
      <c r="A24" t="s">
        <v>584</v>
      </c>
      <c r="B24" t="s">
        <v>594</v>
      </c>
      <c r="C24" t="s">
        <v>834</v>
      </c>
      <c r="D24" t="s">
        <v>839</v>
      </c>
      <c r="F24">
        <v>2</v>
      </c>
      <c r="G24" s="66" t="s">
        <v>1393</v>
      </c>
    </row>
    <row r="25" spans="1:7" ht="409.5">
      <c r="A25" t="s">
        <v>584</v>
      </c>
      <c r="B25" t="s">
        <v>594</v>
      </c>
      <c r="C25" t="s">
        <v>834</v>
      </c>
      <c r="D25" t="s">
        <v>839</v>
      </c>
      <c r="F25">
        <v>3</v>
      </c>
      <c r="G25" s="66" t="s">
        <v>867</v>
      </c>
    </row>
    <row r="26" spans="1:7" ht="375">
      <c r="A26" t="s">
        <v>584</v>
      </c>
      <c r="B26" t="s">
        <v>594</v>
      </c>
      <c r="C26" t="s">
        <v>834</v>
      </c>
      <c r="D26" t="s">
        <v>839</v>
      </c>
      <c r="F26">
        <v>4</v>
      </c>
      <c r="G26" s="66" t="s">
        <v>868</v>
      </c>
    </row>
    <row r="27" spans="1:7" ht="405">
      <c r="A27" t="s">
        <v>584</v>
      </c>
      <c r="B27" t="s">
        <v>594</v>
      </c>
      <c r="C27" t="s">
        <v>834</v>
      </c>
      <c r="D27" t="s">
        <v>839</v>
      </c>
      <c r="F27">
        <v>5</v>
      </c>
      <c r="G27" s="66" t="s">
        <v>869</v>
      </c>
    </row>
    <row r="28" spans="1:7" ht="409.5">
      <c r="A28" t="s">
        <v>584</v>
      </c>
      <c r="B28" t="s">
        <v>594</v>
      </c>
      <c r="C28" t="s">
        <v>834</v>
      </c>
      <c r="D28" t="s">
        <v>839</v>
      </c>
      <c r="F28">
        <v>6</v>
      </c>
      <c r="G28" s="66" t="s">
        <v>870</v>
      </c>
    </row>
    <row r="29" spans="1:7">
      <c r="A29" t="s">
        <v>584</v>
      </c>
      <c r="B29" t="s">
        <v>594</v>
      </c>
      <c r="C29" t="s">
        <v>834</v>
      </c>
      <c r="D29" t="s">
        <v>842</v>
      </c>
      <c r="F29">
        <v>1</v>
      </c>
      <c r="G29" s="66" t="s">
        <v>849</v>
      </c>
    </row>
    <row r="30" spans="1:7" ht="409.5">
      <c r="A30" t="s">
        <v>584</v>
      </c>
      <c r="B30" t="s">
        <v>594</v>
      </c>
      <c r="C30" t="s">
        <v>834</v>
      </c>
      <c r="D30" t="s">
        <v>842</v>
      </c>
      <c r="F30">
        <v>2</v>
      </c>
      <c r="G30" s="66" t="s">
        <v>1393</v>
      </c>
    </row>
    <row r="31" spans="1:7" ht="409.5">
      <c r="A31" t="s">
        <v>584</v>
      </c>
      <c r="B31" t="s">
        <v>594</v>
      </c>
      <c r="C31" t="s">
        <v>834</v>
      </c>
      <c r="D31" t="s">
        <v>842</v>
      </c>
      <c r="F31">
        <v>3</v>
      </c>
      <c r="G31" s="66" t="s">
        <v>871</v>
      </c>
    </row>
    <row r="32" spans="1:7" ht="409.5">
      <c r="A32" t="s">
        <v>584</v>
      </c>
      <c r="B32" t="s">
        <v>594</v>
      </c>
      <c r="C32" t="s">
        <v>834</v>
      </c>
      <c r="D32" t="s">
        <v>842</v>
      </c>
      <c r="F32">
        <v>4</v>
      </c>
      <c r="G32" s="66" t="s">
        <v>872</v>
      </c>
    </row>
    <row r="33" spans="1:7" ht="409.5">
      <c r="A33" t="s">
        <v>584</v>
      </c>
      <c r="B33" t="s">
        <v>594</v>
      </c>
      <c r="C33" t="s">
        <v>834</v>
      </c>
      <c r="D33" t="s">
        <v>842</v>
      </c>
      <c r="F33">
        <v>5</v>
      </c>
      <c r="G33" s="66" t="s">
        <v>873</v>
      </c>
    </row>
    <row r="34" spans="1:7" ht="210">
      <c r="A34" t="s">
        <v>584</v>
      </c>
      <c r="B34" t="s">
        <v>594</v>
      </c>
      <c r="C34" t="s">
        <v>834</v>
      </c>
      <c r="D34" t="s">
        <v>842</v>
      </c>
      <c r="F34">
        <v>6</v>
      </c>
      <c r="G34" s="66" t="s">
        <v>874</v>
      </c>
    </row>
    <row r="35" spans="1:7">
      <c r="A35" t="s">
        <v>584</v>
      </c>
      <c r="B35" t="s">
        <v>594</v>
      </c>
      <c r="C35" t="s">
        <v>834</v>
      </c>
      <c r="D35" t="s">
        <v>846</v>
      </c>
      <c r="F35">
        <v>1</v>
      </c>
      <c r="G35" s="66" t="s">
        <v>849</v>
      </c>
    </row>
    <row r="36" spans="1:7" ht="409.5">
      <c r="A36" t="s">
        <v>584</v>
      </c>
      <c r="B36" t="s">
        <v>594</v>
      </c>
      <c r="C36" t="s">
        <v>834</v>
      </c>
      <c r="D36" t="s">
        <v>846</v>
      </c>
      <c r="F36">
        <v>2</v>
      </c>
      <c r="G36" s="66" t="s">
        <v>1393</v>
      </c>
    </row>
    <row r="37" spans="1:7" ht="409.5">
      <c r="A37" t="s">
        <v>584</v>
      </c>
      <c r="B37" t="s">
        <v>594</v>
      </c>
      <c r="C37" t="s">
        <v>834</v>
      </c>
      <c r="D37" t="s">
        <v>846</v>
      </c>
      <c r="F37">
        <v>3</v>
      </c>
      <c r="G37" s="66" t="s">
        <v>875</v>
      </c>
    </row>
    <row r="38" spans="1:7" ht="409.5">
      <c r="A38" t="s">
        <v>584</v>
      </c>
      <c r="B38" t="s">
        <v>594</v>
      </c>
      <c r="C38" t="s">
        <v>834</v>
      </c>
      <c r="D38" t="s">
        <v>846</v>
      </c>
      <c r="F38">
        <v>4</v>
      </c>
      <c r="G38" s="66" t="s">
        <v>876</v>
      </c>
    </row>
    <row r="39" spans="1:7" ht="390">
      <c r="A39" t="s">
        <v>584</v>
      </c>
      <c r="B39" t="s">
        <v>594</v>
      </c>
      <c r="C39" t="s">
        <v>834</v>
      </c>
      <c r="D39" t="s">
        <v>846</v>
      </c>
      <c r="F39">
        <v>5</v>
      </c>
      <c r="G39" s="66" t="s">
        <v>877</v>
      </c>
    </row>
    <row r="40" spans="1:7" ht="409.5">
      <c r="A40" t="s">
        <v>584</v>
      </c>
      <c r="B40" t="s">
        <v>594</v>
      </c>
      <c r="C40" t="s">
        <v>834</v>
      </c>
      <c r="D40" t="s">
        <v>846</v>
      </c>
      <c r="F40">
        <v>6</v>
      </c>
      <c r="G40" s="66" t="s">
        <v>878</v>
      </c>
    </row>
    <row r="41" spans="1:7" ht="409.5">
      <c r="A41" t="s">
        <v>584</v>
      </c>
      <c r="B41" t="s">
        <v>594</v>
      </c>
      <c r="C41" t="s">
        <v>834</v>
      </c>
      <c r="D41" t="s">
        <v>846</v>
      </c>
      <c r="F41">
        <v>7</v>
      </c>
      <c r="G41" s="66" t="s">
        <v>879</v>
      </c>
    </row>
    <row r="42" spans="1:7" ht="409.5">
      <c r="A42" t="s">
        <v>584</v>
      </c>
      <c r="B42" t="s">
        <v>594</v>
      </c>
      <c r="C42" t="s">
        <v>834</v>
      </c>
      <c r="D42" t="s">
        <v>846</v>
      </c>
      <c r="F42">
        <v>8</v>
      </c>
      <c r="G42" s="66" t="s">
        <v>880</v>
      </c>
    </row>
    <row r="43" spans="1:7" ht="409.5">
      <c r="A43" t="s">
        <v>584</v>
      </c>
      <c r="B43" t="s">
        <v>594</v>
      </c>
      <c r="C43" t="s">
        <v>834</v>
      </c>
      <c r="D43" t="s">
        <v>846</v>
      </c>
      <c r="F43">
        <v>9</v>
      </c>
      <c r="G43" s="66" t="s">
        <v>881</v>
      </c>
    </row>
    <row r="44" spans="1:7" ht="409.5">
      <c r="A44" t="s">
        <v>584</v>
      </c>
      <c r="B44" t="s">
        <v>594</v>
      </c>
      <c r="C44" t="s">
        <v>834</v>
      </c>
      <c r="D44" t="s">
        <v>846</v>
      </c>
      <c r="F44">
        <v>10</v>
      </c>
      <c r="G44" s="66" t="s">
        <v>882</v>
      </c>
    </row>
    <row r="45" spans="1:7" ht="409.5">
      <c r="A45" t="s">
        <v>584</v>
      </c>
      <c r="B45" t="s">
        <v>594</v>
      </c>
      <c r="C45" t="s">
        <v>834</v>
      </c>
      <c r="D45" t="s">
        <v>846</v>
      </c>
      <c r="F45">
        <v>11</v>
      </c>
      <c r="G45" s="66" t="s">
        <v>883</v>
      </c>
    </row>
    <row r="46" spans="1:7" ht="405">
      <c r="A46" t="s">
        <v>584</v>
      </c>
      <c r="B46" t="s">
        <v>594</v>
      </c>
      <c r="C46" t="s">
        <v>834</v>
      </c>
      <c r="D46" t="s">
        <v>846</v>
      </c>
      <c r="F46">
        <v>12</v>
      </c>
      <c r="G46" s="66" t="s">
        <v>884</v>
      </c>
    </row>
    <row r="47" spans="1:7" ht="409.5">
      <c r="A47" t="s">
        <v>584</v>
      </c>
      <c r="B47" t="s">
        <v>594</v>
      </c>
      <c r="C47" t="s">
        <v>834</v>
      </c>
      <c r="D47" t="s">
        <v>846</v>
      </c>
      <c r="F47">
        <v>13</v>
      </c>
      <c r="G47" s="66" t="s">
        <v>885</v>
      </c>
    </row>
    <row r="48" spans="1:7" ht="409.5">
      <c r="A48" t="s">
        <v>584</v>
      </c>
      <c r="B48" t="s">
        <v>594</v>
      </c>
      <c r="C48" t="s">
        <v>834</v>
      </c>
      <c r="D48" t="s">
        <v>846</v>
      </c>
      <c r="F48">
        <v>14</v>
      </c>
      <c r="G48" s="66" t="s">
        <v>886</v>
      </c>
    </row>
    <row r="49" spans="1:7" ht="409.5">
      <c r="A49" t="s">
        <v>584</v>
      </c>
      <c r="B49" t="s">
        <v>594</v>
      </c>
      <c r="C49" t="s">
        <v>834</v>
      </c>
      <c r="D49" t="s">
        <v>846</v>
      </c>
      <c r="F49">
        <v>15</v>
      </c>
      <c r="G49" s="66" t="s">
        <v>887</v>
      </c>
    </row>
    <row r="50" spans="1:7" ht="409.5">
      <c r="A50" t="s">
        <v>584</v>
      </c>
      <c r="B50" t="s">
        <v>594</v>
      </c>
      <c r="C50" t="s">
        <v>834</v>
      </c>
      <c r="D50" t="s">
        <v>846</v>
      </c>
      <c r="F50">
        <v>16</v>
      </c>
      <c r="G50" s="66" t="s">
        <v>888</v>
      </c>
    </row>
    <row r="51" spans="1:7" ht="409.5">
      <c r="A51" t="s">
        <v>584</v>
      </c>
      <c r="B51" t="s">
        <v>594</v>
      </c>
      <c r="C51" t="s">
        <v>834</v>
      </c>
      <c r="D51" t="s">
        <v>846</v>
      </c>
      <c r="F51">
        <v>17</v>
      </c>
      <c r="G51" s="66" t="s">
        <v>889</v>
      </c>
    </row>
    <row r="52" spans="1:7" ht="409.5">
      <c r="A52" t="s">
        <v>584</v>
      </c>
      <c r="B52" t="s">
        <v>594</v>
      </c>
      <c r="C52" t="s">
        <v>834</v>
      </c>
      <c r="D52" t="s">
        <v>846</v>
      </c>
      <c r="F52">
        <v>18</v>
      </c>
      <c r="G52" s="66" t="s">
        <v>890</v>
      </c>
    </row>
    <row r="53" spans="1:7" ht="409.5">
      <c r="A53" t="s">
        <v>584</v>
      </c>
      <c r="B53" t="s">
        <v>594</v>
      </c>
      <c r="C53" t="s">
        <v>834</v>
      </c>
      <c r="D53" t="s">
        <v>846</v>
      </c>
      <c r="F53">
        <v>19</v>
      </c>
      <c r="G53" s="66" t="s">
        <v>891</v>
      </c>
    </row>
    <row r="54" spans="1:7" ht="409.5">
      <c r="A54" t="s">
        <v>584</v>
      </c>
      <c r="B54" t="s">
        <v>594</v>
      </c>
      <c r="C54" t="s">
        <v>834</v>
      </c>
      <c r="D54" t="s">
        <v>846</v>
      </c>
      <c r="F54">
        <v>20</v>
      </c>
      <c r="G54" s="66" t="s">
        <v>892</v>
      </c>
    </row>
    <row r="55" spans="1:7" ht="409.5">
      <c r="A55" t="s">
        <v>584</v>
      </c>
      <c r="B55" t="s">
        <v>594</v>
      </c>
      <c r="C55" t="s">
        <v>834</v>
      </c>
      <c r="D55" t="s">
        <v>846</v>
      </c>
      <c r="F55">
        <v>21</v>
      </c>
      <c r="G55" s="66" t="s">
        <v>893</v>
      </c>
    </row>
    <row r="56" spans="1:7" ht="409.5">
      <c r="A56" t="s">
        <v>584</v>
      </c>
      <c r="B56" t="s">
        <v>594</v>
      </c>
      <c r="C56" t="s">
        <v>834</v>
      </c>
      <c r="D56" t="s">
        <v>846</v>
      </c>
      <c r="F56">
        <v>22</v>
      </c>
      <c r="G56" s="66" t="s">
        <v>894</v>
      </c>
    </row>
    <row r="57" spans="1:7" ht="390">
      <c r="A57" t="s">
        <v>584</v>
      </c>
      <c r="B57" t="s">
        <v>594</v>
      </c>
      <c r="C57" t="s">
        <v>834</v>
      </c>
      <c r="D57" t="s">
        <v>846</v>
      </c>
      <c r="F57">
        <v>23</v>
      </c>
      <c r="G57" s="66" t="s">
        <v>895</v>
      </c>
    </row>
    <row r="58" spans="1:7" ht="409.5">
      <c r="A58" t="s">
        <v>584</v>
      </c>
      <c r="B58" t="s">
        <v>594</v>
      </c>
      <c r="C58" t="s">
        <v>834</v>
      </c>
      <c r="D58" t="s">
        <v>846</v>
      </c>
      <c r="F58">
        <v>24</v>
      </c>
      <c r="G58" s="104" t="s">
        <v>896</v>
      </c>
    </row>
    <row r="59" spans="1:7" ht="409.5">
      <c r="A59" t="s">
        <v>584</v>
      </c>
      <c r="B59" t="s">
        <v>594</v>
      </c>
      <c r="C59" t="s">
        <v>834</v>
      </c>
      <c r="D59" t="s">
        <v>846</v>
      </c>
      <c r="F59">
        <v>25</v>
      </c>
      <c r="G59" s="104" t="s">
        <v>897</v>
      </c>
    </row>
    <row r="60" spans="1:7" ht="409.5">
      <c r="A60" t="s">
        <v>584</v>
      </c>
      <c r="B60" t="s">
        <v>594</v>
      </c>
      <c r="C60" t="s">
        <v>834</v>
      </c>
      <c r="D60" t="s">
        <v>846</v>
      </c>
      <c r="F60">
        <v>26</v>
      </c>
      <c r="G60" s="104" t="s">
        <v>898</v>
      </c>
    </row>
    <row r="61" spans="1:7" ht="409.5">
      <c r="A61" t="s">
        <v>584</v>
      </c>
      <c r="B61" t="s">
        <v>594</v>
      </c>
      <c r="C61" t="s">
        <v>834</v>
      </c>
      <c r="D61" t="s">
        <v>846</v>
      </c>
      <c r="F61">
        <v>27</v>
      </c>
      <c r="G61" s="104" t="s">
        <v>899</v>
      </c>
    </row>
    <row r="62" spans="1:7" ht="75">
      <c r="A62" t="s">
        <v>584</v>
      </c>
      <c r="B62" t="s">
        <v>594</v>
      </c>
      <c r="C62" t="s">
        <v>834</v>
      </c>
      <c r="D62" t="s">
        <v>846</v>
      </c>
      <c r="F62">
        <v>28</v>
      </c>
      <c r="G62" s="104" t="s">
        <v>900</v>
      </c>
    </row>
    <row r="63" spans="1:7">
      <c r="A63" t="s">
        <v>584</v>
      </c>
      <c r="B63" t="s">
        <v>594</v>
      </c>
      <c r="C63" t="s">
        <v>834</v>
      </c>
      <c r="D63" t="s">
        <v>901</v>
      </c>
      <c r="F63">
        <v>1</v>
      </c>
      <c r="G63" s="104" t="s">
        <v>849</v>
      </c>
    </row>
    <row r="64" spans="1:7" ht="409.5">
      <c r="A64" t="s">
        <v>584</v>
      </c>
      <c r="B64" t="s">
        <v>594</v>
      </c>
      <c r="C64" t="s">
        <v>834</v>
      </c>
      <c r="D64" t="s">
        <v>901</v>
      </c>
      <c r="F64">
        <v>2</v>
      </c>
      <c r="G64" s="104" t="s">
        <v>1393</v>
      </c>
    </row>
    <row r="65" spans="1:7" ht="409.5">
      <c r="A65" t="s">
        <v>584</v>
      </c>
      <c r="B65" t="s">
        <v>594</v>
      </c>
      <c r="C65" t="s">
        <v>834</v>
      </c>
      <c r="D65" t="s">
        <v>901</v>
      </c>
      <c r="F65">
        <v>3</v>
      </c>
      <c r="G65" s="104" t="s">
        <v>902</v>
      </c>
    </row>
    <row r="66" spans="1:7" ht="409.5">
      <c r="A66" t="s">
        <v>584</v>
      </c>
      <c r="B66" t="s">
        <v>594</v>
      </c>
      <c r="C66" t="s">
        <v>834</v>
      </c>
      <c r="D66" t="s">
        <v>901</v>
      </c>
      <c r="F66">
        <v>4</v>
      </c>
      <c r="G66" s="104" t="s">
        <v>903</v>
      </c>
    </row>
    <row r="67" spans="1:7" ht="390">
      <c r="A67" t="s">
        <v>584</v>
      </c>
      <c r="B67" t="s">
        <v>594</v>
      </c>
      <c r="C67" t="s">
        <v>834</v>
      </c>
      <c r="D67" t="s">
        <v>901</v>
      </c>
      <c r="F67">
        <v>5</v>
      </c>
      <c r="G67" s="104" t="s">
        <v>904</v>
      </c>
    </row>
    <row r="68" spans="1:7" ht="409.5">
      <c r="A68" t="s">
        <v>584</v>
      </c>
      <c r="B68" t="s">
        <v>594</v>
      </c>
      <c r="C68" t="s">
        <v>834</v>
      </c>
      <c r="D68" t="s">
        <v>901</v>
      </c>
      <c r="F68">
        <v>6</v>
      </c>
      <c r="G68" s="104" t="s">
        <v>905</v>
      </c>
    </row>
    <row r="69" spans="1:7" ht="135">
      <c r="A69" t="s">
        <v>584</v>
      </c>
      <c r="B69" t="s">
        <v>594</v>
      </c>
      <c r="C69" t="s">
        <v>834</v>
      </c>
      <c r="D69" t="s">
        <v>901</v>
      </c>
      <c r="F69">
        <v>7</v>
      </c>
      <c r="G69" s="104" t="s">
        <v>906</v>
      </c>
    </row>
    <row r="70" spans="1:7">
      <c r="A70" t="s">
        <v>584</v>
      </c>
      <c r="B70" t="s">
        <v>594</v>
      </c>
      <c r="C70" t="s">
        <v>834</v>
      </c>
      <c r="D70" t="s">
        <v>907</v>
      </c>
      <c r="F70">
        <v>1</v>
      </c>
      <c r="G70" s="104" t="s">
        <v>849</v>
      </c>
    </row>
    <row r="71" spans="1:7" ht="409.5">
      <c r="A71" t="s">
        <v>584</v>
      </c>
      <c r="B71" t="s">
        <v>594</v>
      </c>
      <c r="C71" t="s">
        <v>834</v>
      </c>
      <c r="D71" t="s">
        <v>907</v>
      </c>
      <c r="F71">
        <v>2</v>
      </c>
      <c r="G71" s="104" t="s">
        <v>1393</v>
      </c>
    </row>
    <row r="72" spans="1:7" ht="409.5">
      <c r="A72" t="s">
        <v>584</v>
      </c>
      <c r="B72" t="s">
        <v>594</v>
      </c>
      <c r="C72" t="s">
        <v>834</v>
      </c>
      <c r="D72" t="s">
        <v>907</v>
      </c>
      <c r="F72">
        <v>3</v>
      </c>
      <c r="G72" s="104" t="s">
        <v>902</v>
      </c>
    </row>
    <row r="73" spans="1:7" ht="409.5">
      <c r="A73" t="s">
        <v>584</v>
      </c>
      <c r="B73" t="s">
        <v>594</v>
      </c>
      <c r="C73" t="s">
        <v>834</v>
      </c>
      <c r="D73" t="s">
        <v>907</v>
      </c>
      <c r="F73">
        <v>4</v>
      </c>
      <c r="G73" s="104" t="s">
        <v>903</v>
      </c>
    </row>
    <row r="74" spans="1:7" ht="390">
      <c r="A74" t="s">
        <v>584</v>
      </c>
      <c r="B74" t="s">
        <v>594</v>
      </c>
      <c r="C74" t="s">
        <v>834</v>
      </c>
      <c r="D74" t="s">
        <v>907</v>
      </c>
      <c r="F74">
        <v>5</v>
      </c>
      <c r="G74" s="104" t="s">
        <v>904</v>
      </c>
    </row>
    <row r="75" spans="1:7" ht="409.5">
      <c r="A75" t="s">
        <v>584</v>
      </c>
      <c r="B75" t="s">
        <v>594</v>
      </c>
      <c r="C75" t="s">
        <v>834</v>
      </c>
      <c r="D75" t="s">
        <v>907</v>
      </c>
      <c r="F75">
        <v>6</v>
      </c>
      <c r="G75" s="104" t="s">
        <v>905</v>
      </c>
    </row>
    <row r="76" spans="1:7" ht="135">
      <c r="A76" t="s">
        <v>584</v>
      </c>
      <c r="B76" t="s">
        <v>594</v>
      </c>
      <c r="C76" t="s">
        <v>834</v>
      </c>
      <c r="D76" t="s">
        <v>907</v>
      </c>
      <c r="F76">
        <v>7</v>
      </c>
      <c r="G76" s="104" t="s">
        <v>906</v>
      </c>
    </row>
    <row r="77" spans="1:7">
      <c r="A77" t="s">
        <v>584</v>
      </c>
      <c r="B77" t="s">
        <v>594</v>
      </c>
      <c r="C77" t="s">
        <v>834</v>
      </c>
      <c r="D77" t="s">
        <v>847</v>
      </c>
      <c r="F77">
        <v>1</v>
      </c>
      <c r="G77" s="104" t="s">
        <v>849</v>
      </c>
    </row>
    <row r="78" spans="1:7" ht="409.5">
      <c r="A78" t="s">
        <v>584</v>
      </c>
      <c r="B78" t="s">
        <v>594</v>
      </c>
      <c r="C78" t="s">
        <v>834</v>
      </c>
      <c r="D78" t="s">
        <v>847</v>
      </c>
      <c r="F78">
        <v>2</v>
      </c>
      <c r="G78" s="104" t="s">
        <v>1393</v>
      </c>
    </row>
    <row r="79" spans="1:7" ht="405">
      <c r="A79" t="s">
        <v>584</v>
      </c>
      <c r="B79" t="s">
        <v>594</v>
      </c>
      <c r="C79" t="s">
        <v>834</v>
      </c>
      <c r="D79" t="s">
        <v>847</v>
      </c>
      <c r="F79">
        <v>3</v>
      </c>
      <c r="G79" s="104" t="s">
        <v>908</v>
      </c>
    </row>
    <row r="80" spans="1:7" ht="375">
      <c r="A80" t="s">
        <v>584</v>
      </c>
      <c r="B80" t="s">
        <v>594</v>
      </c>
      <c r="C80" t="s">
        <v>834</v>
      </c>
      <c r="D80" t="s">
        <v>847</v>
      </c>
      <c r="F80">
        <v>4</v>
      </c>
      <c r="G80" s="104" t="s">
        <v>909</v>
      </c>
    </row>
    <row r="81" spans="1:7" ht="405">
      <c r="A81" t="s">
        <v>584</v>
      </c>
      <c r="B81" t="s">
        <v>594</v>
      </c>
      <c r="C81" t="s">
        <v>834</v>
      </c>
      <c r="D81" t="s">
        <v>847</v>
      </c>
      <c r="F81">
        <v>5</v>
      </c>
      <c r="G81" s="104" t="s">
        <v>910</v>
      </c>
    </row>
    <row r="82" spans="1:7" ht="409.5">
      <c r="A82" t="s">
        <v>584</v>
      </c>
      <c r="B82" t="s">
        <v>594</v>
      </c>
      <c r="C82" t="s">
        <v>834</v>
      </c>
      <c r="D82" t="s">
        <v>847</v>
      </c>
      <c r="F82">
        <v>6</v>
      </c>
      <c r="G82" s="104" t="s">
        <v>911</v>
      </c>
    </row>
    <row r="83" spans="1:7">
      <c r="A83" t="s">
        <v>584</v>
      </c>
      <c r="B83" t="s">
        <v>594</v>
      </c>
      <c r="C83" t="s">
        <v>834</v>
      </c>
      <c r="D83" t="s">
        <v>835</v>
      </c>
      <c r="F83">
        <v>1</v>
      </c>
      <c r="G83" s="104" t="s">
        <v>849</v>
      </c>
    </row>
    <row r="84" spans="1:7" ht="409.5">
      <c r="A84" t="s">
        <v>584</v>
      </c>
      <c r="B84" t="s">
        <v>594</v>
      </c>
      <c r="C84" t="s">
        <v>834</v>
      </c>
      <c r="D84" t="s">
        <v>835</v>
      </c>
      <c r="F84">
        <v>2</v>
      </c>
      <c r="G84" s="104" t="s">
        <v>1393</v>
      </c>
    </row>
    <row r="85" spans="1:7" ht="405">
      <c r="A85" t="s">
        <v>584</v>
      </c>
      <c r="B85" t="s">
        <v>594</v>
      </c>
      <c r="C85" t="s">
        <v>834</v>
      </c>
      <c r="D85" t="s">
        <v>835</v>
      </c>
      <c r="F85">
        <v>3</v>
      </c>
      <c r="G85" s="104" t="s">
        <v>912</v>
      </c>
    </row>
    <row r="86" spans="1:7" ht="405">
      <c r="A86" t="s">
        <v>584</v>
      </c>
      <c r="B86" t="s">
        <v>594</v>
      </c>
      <c r="C86" t="s">
        <v>834</v>
      </c>
      <c r="D86" t="s">
        <v>835</v>
      </c>
      <c r="F86">
        <v>4</v>
      </c>
      <c r="G86" s="104" t="s">
        <v>913</v>
      </c>
    </row>
    <row r="87" spans="1:7" ht="409.5">
      <c r="A87" t="s">
        <v>584</v>
      </c>
      <c r="B87" t="s">
        <v>594</v>
      </c>
      <c r="C87" t="s">
        <v>834</v>
      </c>
      <c r="D87" t="s">
        <v>835</v>
      </c>
      <c r="F87">
        <v>5</v>
      </c>
      <c r="G87" s="104" t="s">
        <v>914</v>
      </c>
    </row>
    <row r="88" spans="1:7" ht="135">
      <c r="A88" t="s">
        <v>584</v>
      </c>
      <c r="B88" t="s">
        <v>594</v>
      </c>
      <c r="C88" t="s">
        <v>834</v>
      </c>
      <c r="D88" t="s">
        <v>835</v>
      </c>
      <c r="F88">
        <v>6</v>
      </c>
      <c r="G88" s="104" t="s">
        <v>915</v>
      </c>
    </row>
    <row r="89" spans="1:7" ht="90">
      <c r="A89" t="s">
        <v>584</v>
      </c>
      <c r="B89" t="s">
        <v>572</v>
      </c>
      <c r="C89" t="s">
        <v>832</v>
      </c>
      <c r="D89" t="s">
        <v>916</v>
      </c>
      <c r="F89">
        <v>1</v>
      </c>
      <c r="G89" s="104" t="s">
        <v>917</v>
      </c>
    </row>
    <row r="90" spans="1:7" ht="60">
      <c r="A90" t="s">
        <v>584</v>
      </c>
      <c r="B90" t="s">
        <v>572</v>
      </c>
      <c r="C90" t="s">
        <v>832</v>
      </c>
      <c r="D90" t="s">
        <v>916</v>
      </c>
      <c r="F90">
        <v>2</v>
      </c>
      <c r="G90" s="104" t="s">
        <v>918</v>
      </c>
    </row>
    <row r="91" spans="1:7" ht="270">
      <c r="A91" t="s">
        <v>584</v>
      </c>
      <c r="B91" t="s">
        <v>572</v>
      </c>
      <c r="C91" t="s">
        <v>832</v>
      </c>
      <c r="D91" t="s">
        <v>916</v>
      </c>
      <c r="F91">
        <v>3</v>
      </c>
      <c r="G91" s="104" t="s">
        <v>919</v>
      </c>
    </row>
    <row r="92" spans="1:7" ht="285">
      <c r="A92" t="s">
        <v>584</v>
      </c>
      <c r="B92" t="s">
        <v>572</v>
      </c>
      <c r="C92" t="s">
        <v>832</v>
      </c>
      <c r="D92" t="s">
        <v>916</v>
      </c>
      <c r="F92">
        <v>4</v>
      </c>
      <c r="G92" s="104" t="s">
        <v>920</v>
      </c>
    </row>
    <row r="93" spans="1:7" ht="270">
      <c r="A93" t="s">
        <v>584</v>
      </c>
      <c r="B93" t="s">
        <v>572</v>
      </c>
      <c r="C93" t="s">
        <v>832</v>
      </c>
      <c r="D93" t="s">
        <v>916</v>
      </c>
      <c r="F93">
        <v>5</v>
      </c>
      <c r="G93" s="104" t="s">
        <v>921</v>
      </c>
    </row>
    <row r="94" spans="1:7" ht="315">
      <c r="A94" t="s">
        <v>584</v>
      </c>
      <c r="B94" t="s">
        <v>572</v>
      </c>
      <c r="C94" t="s">
        <v>832</v>
      </c>
      <c r="D94" t="s">
        <v>916</v>
      </c>
      <c r="F94">
        <v>6</v>
      </c>
      <c r="G94" s="104" t="s">
        <v>922</v>
      </c>
    </row>
    <row r="95" spans="1:7" ht="270">
      <c r="A95" t="s">
        <v>584</v>
      </c>
      <c r="B95" t="s">
        <v>572</v>
      </c>
      <c r="C95" t="s">
        <v>832</v>
      </c>
      <c r="D95" t="s">
        <v>916</v>
      </c>
      <c r="F95">
        <v>7</v>
      </c>
      <c r="G95" s="104" t="s">
        <v>923</v>
      </c>
    </row>
    <row r="96" spans="1:7" ht="90">
      <c r="A96" t="s">
        <v>584</v>
      </c>
      <c r="B96" t="s">
        <v>572</v>
      </c>
      <c r="C96" t="s">
        <v>832</v>
      </c>
      <c r="D96" t="s">
        <v>924</v>
      </c>
      <c r="F96">
        <v>1</v>
      </c>
      <c r="G96" s="104" t="s">
        <v>925</v>
      </c>
    </row>
    <row r="97" spans="1:7" ht="60">
      <c r="A97" t="s">
        <v>584</v>
      </c>
      <c r="B97" t="s">
        <v>572</v>
      </c>
      <c r="C97" t="s">
        <v>832</v>
      </c>
      <c r="D97" t="s">
        <v>924</v>
      </c>
      <c r="F97">
        <v>2</v>
      </c>
      <c r="G97" s="104" t="s">
        <v>918</v>
      </c>
    </row>
    <row r="98" spans="1:7" ht="285">
      <c r="A98" t="s">
        <v>584</v>
      </c>
      <c r="B98" t="s">
        <v>572</v>
      </c>
      <c r="C98" t="s">
        <v>832</v>
      </c>
      <c r="D98" t="s">
        <v>924</v>
      </c>
      <c r="F98">
        <v>3</v>
      </c>
      <c r="G98" s="104" t="s">
        <v>926</v>
      </c>
    </row>
    <row r="99" spans="1:7" ht="300">
      <c r="A99" t="s">
        <v>584</v>
      </c>
      <c r="B99" t="s">
        <v>572</v>
      </c>
      <c r="C99" t="s">
        <v>832</v>
      </c>
      <c r="D99" t="s">
        <v>924</v>
      </c>
      <c r="F99">
        <v>4</v>
      </c>
      <c r="G99" s="104" t="s">
        <v>927</v>
      </c>
    </row>
    <row r="100" spans="1:7" ht="285">
      <c r="A100" t="s">
        <v>584</v>
      </c>
      <c r="B100" t="s">
        <v>572</v>
      </c>
      <c r="C100" t="s">
        <v>832</v>
      </c>
      <c r="D100" t="s">
        <v>924</v>
      </c>
      <c r="F100">
        <v>5</v>
      </c>
      <c r="G100" s="104" t="s">
        <v>928</v>
      </c>
    </row>
    <row r="101" spans="1:7" ht="315">
      <c r="A101" t="s">
        <v>584</v>
      </c>
      <c r="B101" t="s">
        <v>572</v>
      </c>
      <c r="C101" t="s">
        <v>832</v>
      </c>
      <c r="D101" t="s">
        <v>924</v>
      </c>
      <c r="F101">
        <v>6</v>
      </c>
      <c r="G101" s="104" t="s">
        <v>929</v>
      </c>
    </row>
    <row r="102" spans="1:7" ht="270">
      <c r="A102" t="s">
        <v>584</v>
      </c>
      <c r="B102" t="s">
        <v>572</v>
      </c>
      <c r="C102" t="s">
        <v>832</v>
      </c>
      <c r="D102" t="s">
        <v>924</v>
      </c>
      <c r="F102">
        <v>7</v>
      </c>
      <c r="G102" s="104" t="s">
        <v>930</v>
      </c>
    </row>
    <row r="103" spans="1:7" ht="409.5">
      <c r="A103" t="s">
        <v>584</v>
      </c>
      <c r="B103" t="s">
        <v>571</v>
      </c>
      <c r="C103" t="s">
        <v>831</v>
      </c>
      <c r="D103" t="s">
        <v>586</v>
      </c>
      <c r="E103" t="s">
        <v>931</v>
      </c>
      <c r="F103">
        <v>1</v>
      </c>
      <c r="G103" s="104" t="s">
        <v>1574</v>
      </c>
    </row>
    <row r="104" spans="1:7" ht="195">
      <c r="A104" t="s">
        <v>584</v>
      </c>
      <c r="B104" t="s">
        <v>571</v>
      </c>
      <c r="C104" t="s">
        <v>831</v>
      </c>
      <c r="D104" t="s">
        <v>586</v>
      </c>
      <c r="E104" t="s">
        <v>931</v>
      </c>
      <c r="F104">
        <v>2</v>
      </c>
      <c r="G104" s="104" t="s">
        <v>1575</v>
      </c>
    </row>
    <row r="105" spans="1:7" ht="409.5">
      <c r="A105" t="s">
        <v>584</v>
      </c>
      <c r="B105" t="s">
        <v>571</v>
      </c>
      <c r="C105" t="s">
        <v>831</v>
      </c>
      <c r="D105" t="s">
        <v>586</v>
      </c>
      <c r="E105" t="s">
        <v>931</v>
      </c>
      <c r="F105">
        <v>3</v>
      </c>
      <c r="G105" s="104" t="s">
        <v>1394</v>
      </c>
    </row>
    <row r="106" spans="1:7" ht="409.5">
      <c r="A106" t="s">
        <v>584</v>
      </c>
      <c r="B106" t="s">
        <v>571</v>
      </c>
      <c r="C106" t="s">
        <v>831</v>
      </c>
      <c r="D106" t="s">
        <v>586</v>
      </c>
      <c r="E106" t="s">
        <v>931</v>
      </c>
      <c r="F106">
        <v>4</v>
      </c>
      <c r="G106" s="104" t="s">
        <v>1576</v>
      </c>
    </row>
    <row r="107" spans="1:7" ht="409.5">
      <c r="A107" t="s">
        <v>584</v>
      </c>
      <c r="B107" t="s">
        <v>571</v>
      </c>
      <c r="C107" t="s">
        <v>831</v>
      </c>
      <c r="D107" t="s">
        <v>586</v>
      </c>
      <c r="E107" t="s">
        <v>931</v>
      </c>
      <c r="F107">
        <v>5</v>
      </c>
      <c r="G107" s="104" t="s">
        <v>1395</v>
      </c>
    </row>
    <row r="108" spans="1:7" ht="409.5">
      <c r="A108" t="s">
        <v>584</v>
      </c>
      <c r="B108" t="s">
        <v>571</v>
      </c>
      <c r="C108" t="s">
        <v>831</v>
      </c>
      <c r="D108" t="s">
        <v>586</v>
      </c>
      <c r="E108" t="s">
        <v>931</v>
      </c>
      <c r="F108">
        <v>6</v>
      </c>
      <c r="G108" s="104" t="s">
        <v>1396</v>
      </c>
    </row>
    <row r="109" spans="1:7" ht="405">
      <c r="A109" t="s">
        <v>584</v>
      </c>
      <c r="B109" t="s">
        <v>571</v>
      </c>
      <c r="C109" t="s">
        <v>831</v>
      </c>
      <c r="D109" t="s">
        <v>586</v>
      </c>
      <c r="E109" t="s">
        <v>931</v>
      </c>
      <c r="F109">
        <v>7</v>
      </c>
      <c r="G109" s="104" t="s">
        <v>1397</v>
      </c>
    </row>
    <row r="110" spans="1:7" ht="409.5">
      <c r="A110" t="s">
        <v>584</v>
      </c>
      <c r="B110" t="s">
        <v>571</v>
      </c>
      <c r="C110" t="s">
        <v>831</v>
      </c>
      <c r="D110" t="s">
        <v>586</v>
      </c>
      <c r="E110" t="s">
        <v>931</v>
      </c>
      <c r="F110">
        <v>8</v>
      </c>
      <c r="G110" s="104" t="s">
        <v>932</v>
      </c>
    </row>
    <row r="111" spans="1:7" ht="90">
      <c r="A111" t="s">
        <v>584</v>
      </c>
      <c r="B111" t="s">
        <v>571</v>
      </c>
      <c r="C111" t="s">
        <v>831</v>
      </c>
      <c r="D111" t="s">
        <v>586</v>
      </c>
      <c r="E111" t="s">
        <v>931</v>
      </c>
      <c r="F111">
        <v>9</v>
      </c>
      <c r="G111" s="104" t="s">
        <v>933</v>
      </c>
    </row>
    <row r="112" spans="1:7" ht="409.5">
      <c r="A112" t="s">
        <v>584</v>
      </c>
      <c r="B112" t="s">
        <v>571</v>
      </c>
      <c r="C112" t="s">
        <v>831</v>
      </c>
      <c r="D112" t="s">
        <v>586</v>
      </c>
      <c r="E112" t="s">
        <v>931</v>
      </c>
      <c r="F112">
        <v>10</v>
      </c>
      <c r="G112" s="104" t="s">
        <v>934</v>
      </c>
    </row>
    <row r="113" spans="1:7" ht="409.5">
      <c r="A113" t="s">
        <v>584</v>
      </c>
      <c r="B113" t="s">
        <v>571</v>
      </c>
      <c r="C113" t="s">
        <v>831</v>
      </c>
      <c r="D113" t="s">
        <v>586</v>
      </c>
      <c r="E113" t="s">
        <v>931</v>
      </c>
      <c r="F113">
        <v>11</v>
      </c>
      <c r="G113" s="104" t="s">
        <v>1398</v>
      </c>
    </row>
    <row r="114" spans="1:7" ht="409.5">
      <c r="A114" t="s">
        <v>584</v>
      </c>
      <c r="B114" t="s">
        <v>571</v>
      </c>
      <c r="C114" t="s">
        <v>831</v>
      </c>
      <c r="D114" t="s">
        <v>586</v>
      </c>
      <c r="E114" t="s">
        <v>931</v>
      </c>
      <c r="F114">
        <v>12</v>
      </c>
      <c r="G114" s="104" t="s">
        <v>1399</v>
      </c>
    </row>
    <row r="115" spans="1:7" ht="409.5">
      <c r="A115" t="s">
        <v>584</v>
      </c>
      <c r="B115" t="s">
        <v>571</v>
      </c>
      <c r="C115" t="s">
        <v>831</v>
      </c>
      <c r="D115" t="s">
        <v>586</v>
      </c>
      <c r="E115" t="s">
        <v>931</v>
      </c>
      <c r="F115">
        <v>13</v>
      </c>
      <c r="G115" s="104" t="s">
        <v>1577</v>
      </c>
    </row>
    <row r="116" spans="1:7" ht="409.5">
      <c r="A116" t="s">
        <v>584</v>
      </c>
      <c r="B116" t="s">
        <v>571</v>
      </c>
      <c r="C116" t="s">
        <v>831</v>
      </c>
      <c r="D116" t="s">
        <v>586</v>
      </c>
      <c r="E116" t="s">
        <v>931</v>
      </c>
      <c r="F116">
        <v>14</v>
      </c>
      <c r="G116" s="104" t="s">
        <v>1400</v>
      </c>
    </row>
    <row r="117" spans="1:7" ht="409.5">
      <c r="A117" t="s">
        <v>584</v>
      </c>
      <c r="B117" t="s">
        <v>571</v>
      </c>
      <c r="C117" t="s">
        <v>831</v>
      </c>
      <c r="D117" t="s">
        <v>586</v>
      </c>
      <c r="E117" t="s">
        <v>931</v>
      </c>
      <c r="F117">
        <v>15</v>
      </c>
      <c r="G117" s="104" t="s">
        <v>1401</v>
      </c>
    </row>
    <row r="118" spans="1:7" ht="409.5">
      <c r="A118" t="s">
        <v>584</v>
      </c>
      <c r="B118" t="s">
        <v>571</v>
      </c>
      <c r="C118" t="s">
        <v>831</v>
      </c>
      <c r="D118" t="s">
        <v>586</v>
      </c>
      <c r="E118" t="s">
        <v>931</v>
      </c>
      <c r="F118">
        <v>16</v>
      </c>
      <c r="G118" s="104" t="s">
        <v>1402</v>
      </c>
    </row>
    <row r="119" spans="1:7" ht="345">
      <c r="A119" t="s">
        <v>584</v>
      </c>
      <c r="B119" t="s">
        <v>571</v>
      </c>
      <c r="C119" t="s">
        <v>831</v>
      </c>
      <c r="D119" t="s">
        <v>586</v>
      </c>
      <c r="E119" t="s">
        <v>931</v>
      </c>
      <c r="F119">
        <v>17</v>
      </c>
      <c r="G119" s="104" t="s">
        <v>1403</v>
      </c>
    </row>
    <row r="120" spans="1:7" ht="409.5">
      <c r="A120" t="s">
        <v>584</v>
      </c>
      <c r="B120" t="s">
        <v>571</v>
      </c>
      <c r="C120" t="s">
        <v>831</v>
      </c>
      <c r="D120" t="s">
        <v>586</v>
      </c>
      <c r="E120" t="s">
        <v>931</v>
      </c>
      <c r="F120">
        <v>18</v>
      </c>
      <c r="G120" s="104" t="s">
        <v>935</v>
      </c>
    </row>
    <row r="121" spans="1:7" ht="60">
      <c r="A121" t="s">
        <v>584</v>
      </c>
      <c r="B121" t="s">
        <v>571</v>
      </c>
      <c r="C121" t="s">
        <v>831</v>
      </c>
      <c r="D121" t="s">
        <v>586</v>
      </c>
      <c r="E121" t="s">
        <v>931</v>
      </c>
      <c r="F121">
        <v>19</v>
      </c>
      <c r="G121" s="104" t="s">
        <v>936</v>
      </c>
    </row>
    <row r="122" spans="1:7" ht="409.5">
      <c r="A122" t="s">
        <v>584</v>
      </c>
      <c r="B122" t="s">
        <v>571</v>
      </c>
      <c r="C122" t="s">
        <v>831</v>
      </c>
      <c r="D122" t="s">
        <v>586</v>
      </c>
      <c r="E122" t="s">
        <v>931</v>
      </c>
      <c r="F122">
        <v>20</v>
      </c>
      <c r="G122" s="104" t="s">
        <v>937</v>
      </c>
    </row>
    <row r="123" spans="1:7" ht="150">
      <c r="A123" t="s">
        <v>584</v>
      </c>
      <c r="B123" t="s">
        <v>571</v>
      </c>
      <c r="C123" t="s">
        <v>831</v>
      </c>
      <c r="D123" t="s">
        <v>586</v>
      </c>
      <c r="E123" t="s">
        <v>931</v>
      </c>
      <c r="F123">
        <v>21</v>
      </c>
      <c r="G123" s="104" t="s">
        <v>938</v>
      </c>
    </row>
    <row r="124" spans="1:7" ht="409.5">
      <c r="A124" t="s">
        <v>584</v>
      </c>
      <c r="B124" t="s">
        <v>571</v>
      </c>
      <c r="C124" t="s">
        <v>831</v>
      </c>
      <c r="D124" t="s">
        <v>586</v>
      </c>
      <c r="E124" t="s">
        <v>931</v>
      </c>
      <c r="F124">
        <v>22</v>
      </c>
      <c r="G124" s="104" t="s">
        <v>939</v>
      </c>
    </row>
    <row r="125" spans="1:7" ht="390">
      <c r="A125" t="s">
        <v>584</v>
      </c>
      <c r="B125" t="s">
        <v>571</v>
      </c>
      <c r="C125" t="s">
        <v>831</v>
      </c>
      <c r="D125" t="s">
        <v>586</v>
      </c>
      <c r="E125" t="s">
        <v>931</v>
      </c>
      <c r="F125">
        <v>23</v>
      </c>
      <c r="G125" s="104" t="s">
        <v>940</v>
      </c>
    </row>
    <row r="126" spans="1:7" ht="270">
      <c r="A126" t="s">
        <v>584</v>
      </c>
      <c r="B126" t="s">
        <v>571</v>
      </c>
      <c r="C126" t="s">
        <v>831</v>
      </c>
      <c r="D126" t="s">
        <v>586</v>
      </c>
      <c r="E126" t="s">
        <v>931</v>
      </c>
      <c r="F126">
        <v>24</v>
      </c>
      <c r="G126" s="104" t="s">
        <v>941</v>
      </c>
    </row>
    <row r="127" spans="1:7" ht="409.5">
      <c r="A127" t="s">
        <v>584</v>
      </c>
      <c r="B127" t="s">
        <v>571</v>
      </c>
      <c r="C127" t="s">
        <v>831</v>
      </c>
      <c r="D127" t="s">
        <v>586</v>
      </c>
      <c r="E127" t="s">
        <v>931</v>
      </c>
      <c r="F127">
        <v>25</v>
      </c>
      <c r="G127" s="104" t="s">
        <v>934</v>
      </c>
    </row>
    <row r="128" spans="1:7" ht="409.5">
      <c r="A128" t="s">
        <v>584</v>
      </c>
      <c r="B128" t="s">
        <v>571</v>
      </c>
      <c r="C128" t="s">
        <v>831</v>
      </c>
      <c r="D128" t="s">
        <v>586</v>
      </c>
      <c r="E128" t="s">
        <v>931</v>
      </c>
      <c r="F128">
        <v>26</v>
      </c>
      <c r="G128" s="104" t="s">
        <v>1404</v>
      </c>
    </row>
    <row r="129" spans="1:7" ht="409.5">
      <c r="A129" t="s">
        <v>584</v>
      </c>
      <c r="B129" t="s">
        <v>571</v>
      </c>
      <c r="C129" t="s">
        <v>831</v>
      </c>
      <c r="D129" t="s">
        <v>586</v>
      </c>
      <c r="E129" t="s">
        <v>931</v>
      </c>
      <c r="F129">
        <v>27</v>
      </c>
      <c r="G129" s="104" t="s">
        <v>1405</v>
      </c>
    </row>
    <row r="130" spans="1:7" ht="409.5">
      <c r="A130" t="s">
        <v>584</v>
      </c>
      <c r="B130" t="s">
        <v>571</v>
      </c>
      <c r="C130" t="s">
        <v>831</v>
      </c>
      <c r="D130" t="s">
        <v>586</v>
      </c>
      <c r="E130" t="s">
        <v>931</v>
      </c>
      <c r="F130">
        <v>28</v>
      </c>
      <c r="G130" s="104" t="s">
        <v>1578</v>
      </c>
    </row>
    <row r="131" spans="1:7" ht="409.5">
      <c r="A131" t="s">
        <v>584</v>
      </c>
      <c r="B131" t="s">
        <v>571</v>
      </c>
      <c r="C131" t="s">
        <v>831</v>
      </c>
      <c r="D131" t="s">
        <v>586</v>
      </c>
      <c r="E131" t="s">
        <v>931</v>
      </c>
      <c r="F131">
        <v>29</v>
      </c>
      <c r="G131" s="104" t="s">
        <v>1406</v>
      </c>
    </row>
    <row r="132" spans="1:7" ht="409.5">
      <c r="A132" t="s">
        <v>584</v>
      </c>
      <c r="B132" t="s">
        <v>571</v>
      </c>
      <c r="C132" t="s">
        <v>831</v>
      </c>
      <c r="D132" t="s">
        <v>586</v>
      </c>
      <c r="E132" t="s">
        <v>931</v>
      </c>
      <c r="F132">
        <v>30</v>
      </c>
      <c r="G132" s="104" t="s">
        <v>1407</v>
      </c>
    </row>
    <row r="133" spans="1:7" ht="409.5">
      <c r="A133" t="s">
        <v>584</v>
      </c>
      <c r="B133" t="s">
        <v>571</v>
      </c>
      <c r="C133" t="s">
        <v>831</v>
      </c>
      <c r="D133" t="s">
        <v>586</v>
      </c>
      <c r="E133" t="s">
        <v>931</v>
      </c>
      <c r="F133">
        <v>31</v>
      </c>
      <c r="G133" s="104" t="s">
        <v>1408</v>
      </c>
    </row>
    <row r="134" spans="1:7" ht="330">
      <c r="A134" t="s">
        <v>584</v>
      </c>
      <c r="B134" t="s">
        <v>571</v>
      </c>
      <c r="C134" t="s">
        <v>831</v>
      </c>
      <c r="D134" t="s">
        <v>586</v>
      </c>
      <c r="E134" t="s">
        <v>931</v>
      </c>
      <c r="F134">
        <v>32</v>
      </c>
      <c r="G134" s="104" t="s">
        <v>1409</v>
      </c>
    </row>
    <row r="135" spans="1:7" ht="409.5">
      <c r="A135" t="s">
        <v>584</v>
      </c>
      <c r="B135" t="s">
        <v>571</v>
      </c>
      <c r="C135" t="s">
        <v>831</v>
      </c>
      <c r="D135" t="s">
        <v>586</v>
      </c>
      <c r="E135" t="s">
        <v>931</v>
      </c>
      <c r="F135">
        <v>33</v>
      </c>
      <c r="G135" s="104" t="s">
        <v>942</v>
      </c>
    </row>
    <row r="136" spans="1:7" ht="105">
      <c r="A136" t="s">
        <v>584</v>
      </c>
      <c r="B136" t="s">
        <v>571</v>
      </c>
      <c r="C136" t="s">
        <v>831</v>
      </c>
      <c r="D136" t="s">
        <v>586</v>
      </c>
      <c r="E136" t="s">
        <v>931</v>
      </c>
      <c r="F136">
        <v>34</v>
      </c>
      <c r="G136" s="104" t="s">
        <v>943</v>
      </c>
    </row>
    <row r="137" spans="1:7" ht="409.5">
      <c r="A137" t="s">
        <v>584</v>
      </c>
      <c r="B137" t="s">
        <v>571</v>
      </c>
      <c r="C137" t="s">
        <v>831</v>
      </c>
      <c r="D137" t="s">
        <v>586</v>
      </c>
      <c r="E137" t="s">
        <v>931</v>
      </c>
      <c r="F137">
        <v>35</v>
      </c>
      <c r="G137" s="104" t="s">
        <v>944</v>
      </c>
    </row>
    <row r="138" spans="1:7" ht="150">
      <c r="A138" t="s">
        <v>584</v>
      </c>
      <c r="B138" t="s">
        <v>571</v>
      </c>
      <c r="C138" t="s">
        <v>831</v>
      </c>
      <c r="D138" t="s">
        <v>586</v>
      </c>
      <c r="E138" t="s">
        <v>931</v>
      </c>
      <c r="F138">
        <v>36</v>
      </c>
      <c r="G138" s="104" t="s">
        <v>938</v>
      </c>
    </row>
    <row r="139" spans="1:7" ht="409.5">
      <c r="A139" t="s">
        <v>584</v>
      </c>
      <c r="B139" t="s">
        <v>571</v>
      </c>
      <c r="C139" t="s">
        <v>831</v>
      </c>
      <c r="D139" t="s">
        <v>586</v>
      </c>
      <c r="E139" t="s">
        <v>931</v>
      </c>
      <c r="F139">
        <v>37</v>
      </c>
      <c r="G139" s="104" t="s">
        <v>939</v>
      </c>
    </row>
    <row r="140" spans="1:7" ht="390">
      <c r="A140" t="s">
        <v>584</v>
      </c>
      <c r="B140" t="s">
        <v>571</v>
      </c>
      <c r="C140" t="s">
        <v>831</v>
      </c>
      <c r="D140" t="s">
        <v>586</v>
      </c>
      <c r="E140" t="s">
        <v>931</v>
      </c>
      <c r="F140">
        <v>38</v>
      </c>
      <c r="G140" s="104" t="s">
        <v>940</v>
      </c>
    </row>
    <row r="141" spans="1:7" ht="270">
      <c r="A141" t="s">
        <v>584</v>
      </c>
      <c r="B141" t="s">
        <v>571</v>
      </c>
      <c r="C141" t="s">
        <v>831</v>
      </c>
      <c r="D141" t="s">
        <v>586</v>
      </c>
      <c r="E141" t="s">
        <v>931</v>
      </c>
      <c r="F141">
        <v>39</v>
      </c>
      <c r="G141" s="104" t="s">
        <v>941</v>
      </c>
    </row>
    <row r="142" spans="1:7" ht="409.5">
      <c r="A142" t="s">
        <v>584</v>
      </c>
      <c r="B142" t="s">
        <v>571</v>
      </c>
      <c r="C142" t="s">
        <v>831</v>
      </c>
      <c r="D142" t="s">
        <v>586</v>
      </c>
      <c r="E142" t="s">
        <v>931</v>
      </c>
      <c r="F142">
        <v>40</v>
      </c>
      <c r="G142" s="104" t="s">
        <v>934</v>
      </c>
    </row>
    <row r="143" spans="1:7" ht="409.5">
      <c r="A143" t="s">
        <v>584</v>
      </c>
      <c r="B143" t="s">
        <v>571</v>
      </c>
      <c r="C143" t="s">
        <v>831</v>
      </c>
      <c r="D143" t="s">
        <v>586</v>
      </c>
      <c r="E143" t="s">
        <v>931</v>
      </c>
      <c r="F143">
        <v>41</v>
      </c>
      <c r="G143" s="104" t="s">
        <v>1410</v>
      </c>
    </row>
    <row r="144" spans="1:7" ht="409.5">
      <c r="A144" t="s">
        <v>584</v>
      </c>
      <c r="B144" t="s">
        <v>571</v>
      </c>
      <c r="C144" t="s">
        <v>831</v>
      </c>
      <c r="D144" t="s">
        <v>586</v>
      </c>
      <c r="E144" t="s">
        <v>931</v>
      </c>
      <c r="F144">
        <v>42</v>
      </c>
      <c r="G144" s="104" t="s">
        <v>1411</v>
      </c>
    </row>
    <row r="145" spans="1:7" ht="409.5">
      <c r="A145" t="s">
        <v>584</v>
      </c>
      <c r="B145" t="s">
        <v>571</v>
      </c>
      <c r="C145" t="s">
        <v>831</v>
      </c>
      <c r="D145" t="s">
        <v>586</v>
      </c>
      <c r="E145" t="s">
        <v>931</v>
      </c>
      <c r="F145">
        <v>43</v>
      </c>
      <c r="G145" s="104" t="s">
        <v>1579</v>
      </c>
    </row>
    <row r="146" spans="1:7" ht="409.5">
      <c r="A146" t="s">
        <v>584</v>
      </c>
      <c r="B146" t="s">
        <v>571</v>
      </c>
      <c r="C146" t="s">
        <v>831</v>
      </c>
      <c r="D146" t="s">
        <v>586</v>
      </c>
      <c r="E146" t="s">
        <v>931</v>
      </c>
      <c r="F146">
        <v>44</v>
      </c>
      <c r="G146" s="104" t="s">
        <v>1412</v>
      </c>
    </row>
    <row r="147" spans="1:7" ht="409.5">
      <c r="A147" t="s">
        <v>584</v>
      </c>
      <c r="B147" t="s">
        <v>571</v>
      </c>
      <c r="C147" t="s">
        <v>831</v>
      </c>
      <c r="D147" t="s">
        <v>586</v>
      </c>
      <c r="E147" t="s">
        <v>931</v>
      </c>
      <c r="F147">
        <v>45</v>
      </c>
      <c r="G147" s="104" t="s">
        <v>1413</v>
      </c>
    </row>
    <row r="148" spans="1:7" ht="409.5">
      <c r="A148" t="s">
        <v>584</v>
      </c>
      <c r="B148" t="s">
        <v>571</v>
      </c>
      <c r="C148" t="s">
        <v>831</v>
      </c>
      <c r="D148" t="s">
        <v>586</v>
      </c>
      <c r="E148" t="s">
        <v>931</v>
      </c>
      <c r="F148">
        <v>46</v>
      </c>
      <c r="G148" s="104" t="s">
        <v>1414</v>
      </c>
    </row>
    <row r="149" spans="1:7" ht="409.5">
      <c r="A149" t="s">
        <v>584</v>
      </c>
      <c r="B149" t="s">
        <v>571</v>
      </c>
      <c r="C149" t="s">
        <v>831</v>
      </c>
      <c r="D149" t="s">
        <v>586</v>
      </c>
      <c r="E149" t="s">
        <v>931</v>
      </c>
      <c r="F149">
        <v>47</v>
      </c>
      <c r="G149" s="104" t="s">
        <v>1415</v>
      </c>
    </row>
    <row r="150" spans="1:7" ht="409.5">
      <c r="A150" t="s">
        <v>584</v>
      </c>
      <c r="B150" t="s">
        <v>571</v>
      </c>
      <c r="C150" t="s">
        <v>831</v>
      </c>
      <c r="D150" t="s">
        <v>586</v>
      </c>
      <c r="E150" t="s">
        <v>931</v>
      </c>
      <c r="F150">
        <v>48</v>
      </c>
      <c r="G150" s="104" t="s">
        <v>1416</v>
      </c>
    </row>
    <row r="151" spans="1:7" ht="409.5">
      <c r="A151" t="s">
        <v>584</v>
      </c>
      <c r="B151" t="s">
        <v>571</v>
      </c>
      <c r="C151" t="s">
        <v>831</v>
      </c>
      <c r="D151" t="s">
        <v>586</v>
      </c>
      <c r="E151" t="s">
        <v>931</v>
      </c>
      <c r="F151">
        <v>49</v>
      </c>
      <c r="G151" s="104" t="s">
        <v>945</v>
      </c>
    </row>
    <row r="152" spans="1:7" ht="409.5">
      <c r="A152" t="s">
        <v>584</v>
      </c>
      <c r="B152" t="s">
        <v>571</v>
      </c>
      <c r="C152" t="s">
        <v>831</v>
      </c>
      <c r="D152" t="s">
        <v>586</v>
      </c>
      <c r="E152" t="s">
        <v>931</v>
      </c>
      <c r="F152">
        <v>50</v>
      </c>
      <c r="G152" s="104" t="s">
        <v>946</v>
      </c>
    </row>
    <row r="153" spans="1:7" ht="180">
      <c r="A153" t="s">
        <v>584</v>
      </c>
      <c r="B153" t="s">
        <v>571</v>
      </c>
      <c r="C153" t="s">
        <v>831</v>
      </c>
      <c r="D153" t="s">
        <v>586</v>
      </c>
      <c r="E153" t="s">
        <v>931</v>
      </c>
      <c r="F153">
        <v>51</v>
      </c>
      <c r="G153" s="104" t="s">
        <v>947</v>
      </c>
    </row>
    <row r="154" spans="1:7" ht="409.5">
      <c r="A154" t="s">
        <v>584</v>
      </c>
      <c r="B154" t="s">
        <v>571</v>
      </c>
      <c r="C154" t="s">
        <v>831</v>
      </c>
      <c r="D154" t="s">
        <v>586</v>
      </c>
      <c r="E154" t="s">
        <v>931</v>
      </c>
      <c r="F154">
        <v>52</v>
      </c>
      <c r="G154" s="104" t="s">
        <v>934</v>
      </c>
    </row>
    <row r="155" spans="1:7" ht="409.5">
      <c r="A155" t="s">
        <v>584</v>
      </c>
      <c r="B155" t="s">
        <v>571</v>
      </c>
      <c r="C155" t="s">
        <v>831</v>
      </c>
      <c r="D155" t="s">
        <v>586</v>
      </c>
      <c r="E155" t="s">
        <v>931</v>
      </c>
      <c r="F155">
        <v>53</v>
      </c>
      <c r="G155" s="104" t="s">
        <v>1417</v>
      </c>
    </row>
    <row r="156" spans="1:7" ht="409.5">
      <c r="A156" t="s">
        <v>584</v>
      </c>
      <c r="B156" t="s">
        <v>571</v>
      </c>
      <c r="C156" t="s">
        <v>831</v>
      </c>
      <c r="D156" t="s">
        <v>586</v>
      </c>
      <c r="E156" t="s">
        <v>931</v>
      </c>
      <c r="F156">
        <v>54</v>
      </c>
      <c r="G156" s="104" t="s">
        <v>1418</v>
      </c>
    </row>
    <row r="157" spans="1:7" ht="409.5">
      <c r="A157" t="s">
        <v>584</v>
      </c>
      <c r="B157" t="s">
        <v>571</v>
      </c>
      <c r="C157" t="s">
        <v>831</v>
      </c>
      <c r="D157" t="s">
        <v>586</v>
      </c>
      <c r="E157" t="s">
        <v>931</v>
      </c>
      <c r="F157">
        <v>55</v>
      </c>
      <c r="G157" s="104" t="s">
        <v>1580</v>
      </c>
    </row>
    <row r="158" spans="1:7" ht="409.5">
      <c r="A158" t="s">
        <v>584</v>
      </c>
      <c r="B158" t="s">
        <v>571</v>
      </c>
      <c r="C158" t="s">
        <v>831</v>
      </c>
      <c r="D158" t="s">
        <v>586</v>
      </c>
      <c r="E158" t="s">
        <v>931</v>
      </c>
      <c r="F158">
        <v>56</v>
      </c>
      <c r="G158" s="104" t="s">
        <v>1419</v>
      </c>
    </row>
    <row r="159" spans="1:7" ht="409.5">
      <c r="A159" t="s">
        <v>584</v>
      </c>
      <c r="B159" t="s">
        <v>571</v>
      </c>
      <c r="C159" t="s">
        <v>831</v>
      </c>
      <c r="D159" t="s">
        <v>586</v>
      </c>
      <c r="E159" t="s">
        <v>931</v>
      </c>
      <c r="F159">
        <v>57</v>
      </c>
      <c r="G159" s="104" t="s">
        <v>1420</v>
      </c>
    </row>
    <row r="160" spans="1:7" ht="409.5">
      <c r="A160" t="s">
        <v>584</v>
      </c>
      <c r="B160" t="s">
        <v>571</v>
      </c>
      <c r="C160" t="s">
        <v>831</v>
      </c>
      <c r="D160" t="s">
        <v>586</v>
      </c>
      <c r="E160" t="s">
        <v>931</v>
      </c>
      <c r="F160">
        <v>58</v>
      </c>
      <c r="G160" s="104" t="s">
        <v>1414</v>
      </c>
    </row>
    <row r="161" spans="1:7" ht="409.5">
      <c r="A161" t="s">
        <v>584</v>
      </c>
      <c r="B161" t="s">
        <v>571</v>
      </c>
      <c r="C161" t="s">
        <v>831</v>
      </c>
      <c r="D161" t="s">
        <v>586</v>
      </c>
      <c r="E161" t="s">
        <v>931</v>
      </c>
      <c r="F161">
        <v>59</v>
      </c>
      <c r="G161" s="104" t="s">
        <v>1415</v>
      </c>
    </row>
    <row r="162" spans="1:7" ht="409.5">
      <c r="A162" t="s">
        <v>584</v>
      </c>
      <c r="B162" t="s">
        <v>571</v>
      </c>
      <c r="C162" t="s">
        <v>831</v>
      </c>
      <c r="D162" t="s">
        <v>586</v>
      </c>
      <c r="E162" t="s">
        <v>931</v>
      </c>
      <c r="F162">
        <v>60</v>
      </c>
      <c r="G162" s="104" t="s">
        <v>1416</v>
      </c>
    </row>
    <row r="163" spans="1:7" ht="409.5">
      <c r="A163" t="s">
        <v>584</v>
      </c>
      <c r="B163" t="s">
        <v>571</v>
      </c>
      <c r="C163" t="s">
        <v>831</v>
      </c>
      <c r="D163" t="s">
        <v>586</v>
      </c>
      <c r="E163" t="s">
        <v>931</v>
      </c>
      <c r="F163">
        <v>61</v>
      </c>
      <c r="G163" s="104" t="s">
        <v>948</v>
      </c>
    </row>
    <row r="164" spans="1:7" ht="409.5">
      <c r="A164" t="s">
        <v>584</v>
      </c>
      <c r="B164" t="s">
        <v>571</v>
      </c>
      <c r="C164" t="s">
        <v>831</v>
      </c>
      <c r="D164" t="s">
        <v>586</v>
      </c>
      <c r="E164" t="s">
        <v>931</v>
      </c>
      <c r="F164">
        <v>62</v>
      </c>
      <c r="G164" s="104" t="s">
        <v>946</v>
      </c>
    </row>
    <row r="165" spans="1:7" ht="180">
      <c r="A165" t="s">
        <v>584</v>
      </c>
      <c r="B165" t="s">
        <v>571</v>
      </c>
      <c r="C165" t="s">
        <v>831</v>
      </c>
      <c r="D165" t="s">
        <v>586</v>
      </c>
      <c r="E165" t="s">
        <v>931</v>
      </c>
      <c r="F165">
        <v>63</v>
      </c>
      <c r="G165" s="104" t="s">
        <v>947</v>
      </c>
    </row>
    <row r="166" spans="1:7" ht="409.5">
      <c r="A166" t="s">
        <v>584</v>
      </c>
      <c r="B166" t="s">
        <v>571</v>
      </c>
      <c r="C166" t="s">
        <v>831</v>
      </c>
      <c r="D166" t="s">
        <v>586</v>
      </c>
      <c r="E166" t="s">
        <v>931</v>
      </c>
      <c r="F166">
        <v>64</v>
      </c>
      <c r="G166" s="104" t="s">
        <v>934</v>
      </c>
    </row>
    <row r="167" spans="1:7" ht="409.5">
      <c r="A167" t="s">
        <v>584</v>
      </c>
      <c r="B167" t="s">
        <v>571</v>
      </c>
      <c r="C167" t="s">
        <v>831</v>
      </c>
      <c r="D167" t="s">
        <v>586</v>
      </c>
      <c r="E167" t="s">
        <v>931</v>
      </c>
      <c r="F167">
        <v>65</v>
      </c>
      <c r="G167" s="104" t="s">
        <v>1421</v>
      </c>
    </row>
    <row r="168" spans="1:7" ht="409.5">
      <c r="A168" t="s">
        <v>584</v>
      </c>
      <c r="B168" t="s">
        <v>571</v>
      </c>
      <c r="C168" t="s">
        <v>831</v>
      </c>
      <c r="D168" t="s">
        <v>586</v>
      </c>
      <c r="E168" t="s">
        <v>931</v>
      </c>
      <c r="F168">
        <v>66</v>
      </c>
      <c r="G168" s="104" t="s">
        <v>1581</v>
      </c>
    </row>
    <row r="169" spans="1:7" ht="409.5">
      <c r="A169" t="s">
        <v>584</v>
      </c>
      <c r="B169" t="s">
        <v>571</v>
      </c>
      <c r="C169" t="s">
        <v>831</v>
      </c>
      <c r="D169" t="s">
        <v>586</v>
      </c>
      <c r="E169" t="s">
        <v>931</v>
      </c>
      <c r="F169">
        <v>67</v>
      </c>
      <c r="G169" s="104" t="s">
        <v>1422</v>
      </c>
    </row>
    <row r="170" spans="1:7" ht="409.5">
      <c r="A170" t="s">
        <v>584</v>
      </c>
      <c r="B170" t="s">
        <v>571</v>
      </c>
      <c r="C170" t="s">
        <v>831</v>
      </c>
      <c r="D170" t="s">
        <v>586</v>
      </c>
      <c r="E170" t="s">
        <v>931</v>
      </c>
      <c r="F170">
        <v>68</v>
      </c>
      <c r="G170" s="104" t="s">
        <v>1423</v>
      </c>
    </row>
    <row r="171" spans="1:7" ht="409.5">
      <c r="A171" t="s">
        <v>584</v>
      </c>
      <c r="B171" t="s">
        <v>571</v>
      </c>
      <c r="C171" t="s">
        <v>831</v>
      </c>
      <c r="D171" t="s">
        <v>586</v>
      </c>
      <c r="E171" t="s">
        <v>931</v>
      </c>
      <c r="F171">
        <v>69</v>
      </c>
      <c r="G171" s="104" t="s">
        <v>1424</v>
      </c>
    </row>
    <row r="172" spans="1:7" ht="255">
      <c r="A172" t="s">
        <v>584</v>
      </c>
      <c r="B172" t="s">
        <v>571</v>
      </c>
      <c r="C172" t="s">
        <v>831</v>
      </c>
      <c r="D172" t="s">
        <v>586</v>
      </c>
      <c r="E172" t="s">
        <v>931</v>
      </c>
      <c r="F172">
        <v>70</v>
      </c>
      <c r="G172" s="104" t="s">
        <v>1425</v>
      </c>
    </row>
    <row r="173" spans="1:7" ht="409.5">
      <c r="A173" t="s">
        <v>584</v>
      </c>
      <c r="B173" t="s">
        <v>571</v>
      </c>
      <c r="C173" t="s">
        <v>831</v>
      </c>
      <c r="D173" t="s">
        <v>586</v>
      </c>
      <c r="E173" t="s">
        <v>931</v>
      </c>
      <c r="F173">
        <v>71</v>
      </c>
      <c r="G173" s="104" t="s">
        <v>1426</v>
      </c>
    </row>
    <row r="174" spans="1:7" ht="150">
      <c r="A174" t="s">
        <v>584</v>
      </c>
      <c r="B174" t="s">
        <v>571</v>
      </c>
      <c r="C174" t="s">
        <v>831</v>
      </c>
      <c r="D174" t="s">
        <v>586</v>
      </c>
      <c r="E174" t="s">
        <v>931</v>
      </c>
      <c r="F174">
        <v>72</v>
      </c>
      <c r="G174" s="104" t="s">
        <v>938</v>
      </c>
    </row>
    <row r="175" spans="1:7" ht="409.5">
      <c r="A175" t="s">
        <v>584</v>
      </c>
      <c r="B175" t="s">
        <v>571</v>
      </c>
      <c r="C175" t="s">
        <v>831</v>
      </c>
      <c r="D175" t="s">
        <v>586</v>
      </c>
      <c r="E175" t="s">
        <v>931</v>
      </c>
      <c r="F175">
        <v>73</v>
      </c>
      <c r="G175" s="104" t="s">
        <v>1427</v>
      </c>
    </row>
    <row r="176" spans="1:7" ht="409.5">
      <c r="A176" t="s">
        <v>584</v>
      </c>
      <c r="B176" t="s">
        <v>571</v>
      </c>
      <c r="C176" t="s">
        <v>831</v>
      </c>
      <c r="D176" t="s">
        <v>586</v>
      </c>
      <c r="E176" t="s">
        <v>931</v>
      </c>
      <c r="F176">
        <v>74</v>
      </c>
      <c r="G176" s="104" t="s">
        <v>1428</v>
      </c>
    </row>
    <row r="177" spans="1:7" ht="409.5">
      <c r="A177" t="s">
        <v>584</v>
      </c>
      <c r="B177" t="s">
        <v>571</v>
      </c>
      <c r="C177" t="s">
        <v>831</v>
      </c>
      <c r="D177" t="s">
        <v>586</v>
      </c>
      <c r="E177" t="s">
        <v>931</v>
      </c>
      <c r="F177">
        <v>75</v>
      </c>
      <c r="G177" s="104" t="s">
        <v>1429</v>
      </c>
    </row>
    <row r="178" spans="1:7" ht="105">
      <c r="A178" t="s">
        <v>584</v>
      </c>
      <c r="B178" t="s">
        <v>571</v>
      </c>
      <c r="C178" t="s">
        <v>831</v>
      </c>
      <c r="D178" t="s">
        <v>586</v>
      </c>
      <c r="E178" t="s">
        <v>931</v>
      </c>
      <c r="F178">
        <v>76</v>
      </c>
      <c r="G178" s="104" t="s">
        <v>1430</v>
      </c>
    </row>
    <row r="179" spans="1:7" ht="409.5">
      <c r="A179" t="s">
        <v>584</v>
      </c>
      <c r="B179" t="s">
        <v>571</v>
      </c>
      <c r="C179" t="s">
        <v>831</v>
      </c>
      <c r="D179" t="s">
        <v>586</v>
      </c>
      <c r="E179" t="s">
        <v>931</v>
      </c>
      <c r="F179">
        <v>77</v>
      </c>
      <c r="G179" s="104" t="s">
        <v>934</v>
      </c>
    </row>
    <row r="180" spans="1:7" ht="390">
      <c r="A180" t="s">
        <v>584</v>
      </c>
      <c r="B180" t="s">
        <v>571</v>
      </c>
      <c r="C180" t="s">
        <v>831</v>
      </c>
      <c r="D180" t="s">
        <v>586</v>
      </c>
      <c r="E180" t="s">
        <v>931</v>
      </c>
      <c r="F180">
        <v>78</v>
      </c>
      <c r="G180" s="104" t="s">
        <v>1431</v>
      </c>
    </row>
    <row r="181" spans="1:7" ht="30">
      <c r="A181" t="s">
        <v>584</v>
      </c>
      <c r="B181" t="s">
        <v>571</v>
      </c>
      <c r="C181" t="s">
        <v>831</v>
      </c>
      <c r="D181" t="s">
        <v>586</v>
      </c>
      <c r="E181" t="s">
        <v>949</v>
      </c>
      <c r="F181">
        <v>1</v>
      </c>
      <c r="G181" s="104" t="s">
        <v>950</v>
      </c>
    </row>
    <row r="182" spans="1:7" ht="409.5">
      <c r="A182" t="s">
        <v>584</v>
      </c>
      <c r="B182" t="s">
        <v>571</v>
      </c>
      <c r="C182" t="s">
        <v>831</v>
      </c>
      <c r="D182" t="s">
        <v>586</v>
      </c>
      <c r="E182" t="s">
        <v>949</v>
      </c>
      <c r="F182">
        <v>2</v>
      </c>
      <c r="G182" s="104" t="s">
        <v>1682</v>
      </c>
    </row>
    <row r="183" spans="1:7" ht="195">
      <c r="A183" t="s">
        <v>584</v>
      </c>
      <c r="B183" t="s">
        <v>571</v>
      </c>
      <c r="C183" t="s">
        <v>831</v>
      </c>
      <c r="D183" t="s">
        <v>586</v>
      </c>
      <c r="E183" t="s">
        <v>949</v>
      </c>
      <c r="F183">
        <v>3</v>
      </c>
      <c r="G183" s="104" t="s">
        <v>1683</v>
      </c>
    </row>
    <row r="184" spans="1:7" ht="409.5">
      <c r="A184" t="s">
        <v>584</v>
      </c>
      <c r="B184" t="s">
        <v>571</v>
      </c>
      <c r="C184" t="s">
        <v>831</v>
      </c>
      <c r="D184" t="s">
        <v>586</v>
      </c>
      <c r="E184" t="s">
        <v>949</v>
      </c>
      <c r="F184">
        <v>4</v>
      </c>
      <c r="G184" s="104" t="s">
        <v>1684</v>
      </c>
    </row>
    <row r="185" spans="1:7" ht="30">
      <c r="A185" t="s">
        <v>584</v>
      </c>
      <c r="B185" t="s">
        <v>571</v>
      </c>
      <c r="C185" t="s">
        <v>831</v>
      </c>
      <c r="D185" t="s">
        <v>586</v>
      </c>
      <c r="E185" t="s">
        <v>949</v>
      </c>
      <c r="F185">
        <v>5</v>
      </c>
      <c r="G185" s="104" t="s">
        <v>950</v>
      </c>
    </row>
    <row r="186" spans="1:7" ht="409.5">
      <c r="A186" t="s">
        <v>584</v>
      </c>
      <c r="B186" t="s">
        <v>571</v>
      </c>
      <c r="C186" t="s">
        <v>831</v>
      </c>
      <c r="D186" t="s">
        <v>586</v>
      </c>
      <c r="E186" t="s">
        <v>949</v>
      </c>
      <c r="F186">
        <v>6</v>
      </c>
      <c r="G186" s="104" t="s">
        <v>1432</v>
      </c>
    </row>
    <row r="187" spans="1:7" ht="409.5">
      <c r="A187" t="s">
        <v>584</v>
      </c>
      <c r="B187" t="s">
        <v>571</v>
      </c>
      <c r="C187" t="s">
        <v>831</v>
      </c>
      <c r="D187" t="s">
        <v>586</v>
      </c>
      <c r="E187" t="s">
        <v>949</v>
      </c>
      <c r="F187">
        <v>7</v>
      </c>
      <c r="G187" s="104" t="s">
        <v>1433</v>
      </c>
    </row>
    <row r="188" spans="1:7" ht="165">
      <c r="A188" t="s">
        <v>584</v>
      </c>
      <c r="B188" t="s">
        <v>571</v>
      </c>
      <c r="C188" t="s">
        <v>831</v>
      </c>
      <c r="D188" t="s">
        <v>586</v>
      </c>
      <c r="E188" t="s">
        <v>949</v>
      </c>
      <c r="F188">
        <v>8</v>
      </c>
      <c r="G188" s="104" t="s">
        <v>1434</v>
      </c>
    </row>
    <row r="189" spans="1:7" ht="300">
      <c r="A189" t="s">
        <v>584</v>
      </c>
      <c r="B189" t="s">
        <v>572</v>
      </c>
      <c r="C189" t="s">
        <v>832</v>
      </c>
      <c r="D189" t="s">
        <v>951</v>
      </c>
      <c r="F189">
        <v>1</v>
      </c>
      <c r="G189" s="104" t="s">
        <v>952</v>
      </c>
    </row>
    <row r="190" spans="1:7" ht="225">
      <c r="A190" t="s">
        <v>584</v>
      </c>
      <c r="B190" t="s">
        <v>572</v>
      </c>
      <c r="C190" t="s">
        <v>832</v>
      </c>
      <c r="D190" t="s">
        <v>951</v>
      </c>
      <c r="F190">
        <v>2</v>
      </c>
      <c r="G190" s="104" t="s">
        <v>953</v>
      </c>
    </row>
    <row r="191" spans="1:7" ht="409.5">
      <c r="A191" t="s">
        <v>584</v>
      </c>
      <c r="B191" t="s">
        <v>572</v>
      </c>
      <c r="C191" t="s">
        <v>832</v>
      </c>
      <c r="D191" t="s">
        <v>951</v>
      </c>
      <c r="F191">
        <v>3</v>
      </c>
      <c r="G191" s="104" t="s">
        <v>954</v>
      </c>
    </row>
    <row r="192" spans="1:7" ht="360">
      <c r="A192" t="s">
        <v>584</v>
      </c>
      <c r="B192" t="s">
        <v>572</v>
      </c>
      <c r="C192" t="s">
        <v>832</v>
      </c>
      <c r="D192" t="s">
        <v>951</v>
      </c>
      <c r="F192">
        <v>4</v>
      </c>
      <c r="G192" s="104" t="s">
        <v>955</v>
      </c>
    </row>
    <row r="193" spans="1:7" ht="405">
      <c r="A193" t="s">
        <v>584</v>
      </c>
      <c r="B193" t="s">
        <v>572</v>
      </c>
      <c r="C193" t="s">
        <v>832</v>
      </c>
      <c r="D193" t="s">
        <v>951</v>
      </c>
      <c r="F193">
        <v>5</v>
      </c>
      <c r="G193" s="104" t="s">
        <v>956</v>
      </c>
    </row>
    <row r="194" spans="1:7" ht="409.5">
      <c r="A194" t="s">
        <v>584</v>
      </c>
      <c r="B194" t="s">
        <v>572</v>
      </c>
      <c r="C194" t="s">
        <v>832</v>
      </c>
      <c r="D194" t="s">
        <v>951</v>
      </c>
      <c r="F194">
        <v>6</v>
      </c>
      <c r="G194" s="104" t="s">
        <v>957</v>
      </c>
    </row>
    <row r="195" spans="1:7" ht="375">
      <c r="A195" t="s">
        <v>584</v>
      </c>
      <c r="B195" t="s">
        <v>572</v>
      </c>
      <c r="C195" t="s">
        <v>832</v>
      </c>
      <c r="D195" t="s">
        <v>951</v>
      </c>
      <c r="F195">
        <v>7</v>
      </c>
      <c r="G195" s="104" t="s">
        <v>958</v>
      </c>
    </row>
    <row r="196" spans="1:7" ht="285">
      <c r="A196" t="s">
        <v>584</v>
      </c>
      <c r="B196" t="s">
        <v>572</v>
      </c>
      <c r="C196" t="s">
        <v>832</v>
      </c>
      <c r="D196" t="s">
        <v>951</v>
      </c>
      <c r="F196">
        <v>8</v>
      </c>
      <c r="G196" s="104" t="s">
        <v>1582</v>
      </c>
    </row>
    <row r="197" spans="1:7" ht="409.5">
      <c r="A197" t="s">
        <v>584</v>
      </c>
      <c r="B197" t="s">
        <v>571</v>
      </c>
      <c r="C197" t="s">
        <v>831</v>
      </c>
      <c r="D197" t="s">
        <v>586</v>
      </c>
      <c r="E197" t="s">
        <v>959</v>
      </c>
      <c r="F197">
        <v>1</v>
      </c>
      <c r="G197" s="104" t="s">
        <v>960</v>
      </c>
    </row>
    <row r="198" spans="1:7" ht="409.5">
      <c r="A198" t="s">
        <v>584</v>
      </c>
      <c r="B198" t="s">
        <v>571</v>
      </c>
      <c r="C198" t="s">
        <v>831</v>
      </c>
      <c r="D198" t="s">
        <v>586</v>
      </c>
      <c r="E198" t="s">
        <v>959</v>
      </c>
      <c r="F198">
        <v>2</v>
      </c>
      <c r="G198" s="104" t="s">
        <v>961</v>
      </c>
    </row>
    <row r="199" spans="1:7" ht="409.5">
      <c r="A199" t="s">
        <v>584</v>
      </c>
      <c r="B199" t="s">
        <v>571</v>
      </c>
      <c r="C199" t="s">
        <v>831</v>
      </c>
      <c r="D199" t="s">
        <v>586</v>
      </c>
      <c r="E199" t="s">
        <v>959</v>
      </c>
      <c r="F199">
        <v>3</v>
      </c>
      <c r="G199" s="104" t="s">
        <v>962</v>
      </c>
    </row>
    <row r="200" spans="1:7" ht="409.5">
      <c r="A200" t="s">
        <v>584</v>
      </c>
      <c r="B200" t="s">
        <v>571</v>
      </c>
      <c r="C200" t="s">
        <v>831</v>
      </c>
      <c r="D200" t="s">
        <v>586</v>
      </c>
      <c r="E200" t="s">
        <v>959</v>
      </c>
      <c r="F200">
        <v>4</v>
      </c>
      <c r="G200" s="104" t="s">
        <v>963</v>
      </c>
    </row>
    <row r="201" spans="1:7" ht="405">
      <c r="A201" t="s">
        <v>584</v>
      </c>
      <c r="B201" t="s">
        <v>571</v>
      </c>
      <c r="C201" t="s">
        <v>831</v>
      </c>
      <c r="D201" t="s">
        <v>586</v>
      </c>
      <c r="E201" t="s">
        <v>959</v>
      </c>
      <c r="F201">
        <v>5</v>
      </c>
      <c r="G201" s="104" t="s">
        <v>964</v>
      </c>
    </row>
    <row r="202" spans="1:7" ht="360">
      <c r="A202" t="s">
        <v>584</v>
      </c>
      <c r="B202" t="s">
        <v>571</v>
      </c>
      <c r="C202" t="s">
        <v>831</v>
      </c>
      <c r="D202" t="s">
        <v>586</v>
      </c>
      <c r="E202" t="s">
        <v>959</v>
      </c>
      <c r="F202">
        <v>6</v>
      </c>
      <c r="G202" s="104" t="s">
        <v>1435</v>
      </c>
    </row>
    <row r="203" spans="1:7" ht="405">
      <c r="A203" t="s">
        <v>584</v>
      </c>
      <c r="B203" t="s">
        <v>571</v>
      </c>
      <c r="C203" t="s">
        <v>831</v>
      </c>
      <c r="D203" t="s">
        <v>586</v>
      </c>
      <c r="E203" t="s">
        <v>959</v>
      </c>
      <c r="F203">
        <v>7</v>
      </c>
      <c r="G203" s="104" t="s">
        <v>965</v>
      </c>
    </row>
    <row r="204" spans="1:7" ht="150">
      <c r="A204" t="s">
        <v>584</v>
      </c>
      <c r="B204" t="s">
        <v>571</v>
      </c>
      <c r="C204" t="s">
        <v>831</v>
      </c>
      <c r="D204" t="s">
        <v>586</v>
      </c>
      <c r="E204" t="s">
        <v>959</v>
      </c>
      <c r="F204">
        <v>8</v>
      </c>
      <c r="G204" s="104" t="s">
        <v>966</v>
      </c>
    </row>
    <row r="205" spans="1:7" ht="409.5">
      <c r="A205" t="s">
        <v>584</v>
      </c>
      <c r="B205" t="s">
        <v>571</v>
      </c>
      <c r="C205" t="s">
        <v>831</v>
      </c>
      <c r="D205" t="s">
        <v>586</v>
      </c>
      <c r="E205" t="s">
        <v>959</v>
      </c>
      <c r="F205">
        <v>9</v>
      </c>
      <c r="G205" s="104" t="s">
        <v>967</v>
      </c>
    </row>
    <row r="206" spans="1:7" ht="409.5">
      <c r="A206" t="s">
        <v>584</v>
      </c>
      <c r="B206" t="s">
        <v>571</v>
      </c>
      <c r="C206" t="s">
        <v>831</v>
      </c>
      <c r="D206" t="s">
        <v>586</v>
      </c>
      <c r="E206" t="s">
        <v>959</v>
      </c>
      <c r="F206">
        <v>10</v>
      </c>
      <c r="G206" s="104" t="s">
        <v>968</v>
      </c>
    </row>
    <row r="207" spans="1:7" ht="409.5">
      <c r="A207" t="s">
        <v>584</v>
      </c>
      <c r="B207" t="s">
        <v>571</v>
      </c>
      <c r="C207" t="s">
        <v>831</v>
      </c>
      <c r="D207" t="s">
        <v>586</v>
      </c>
      <c r="E207" t="s">
        <v>959</v>
      </c>
      <c r="F207">
        <v>11</v>
      </c>
      <c r="G207" s="104" t="s">
        <v>969</v>
      </c>
    </row>
    <row r="208" spans="1:7" ht="409.5">
      <c r="A208" t="s">
        <v>584</v>
      </c>
      <c r="B208" t="s">
        <v>571</v>
      </c>
      <c r="C208" t="s">
        <v>831</v>
      </c>
      <c r="D208" t="s">
        <v>586</v>
      </c>
      <c r="E208" t="s">
        <v>959</v>
      </c>
      <c r="F208">
        <v>12</v>
      </c>
      <c r="G208" s="104" t="s">
        <v>970</v>
      </c>
    </row>
    <row r="209" spans="1:7" ht="409.5">
      <c r="A209" t="s">
        <v>584</v>
      </c>
      <c r="B209" t="s">
        <v>571</v>
      </c>
      <c r="C209" t="s">
        <v>831</v>
      </c>
      <c r="D209" t="s">
        <v>586</v>
      </c>
      <c r="E209" t="s">
        <v>959</v>
      </c>
      <c r="F209">
        <v>13</v>
      </c>
      <c r="G209" s="104" t="s">
        <v>971</v>
      </c>
    </row>
    <row r="210" spans="1:7" ht="405">
      <c r="A210" t="s">
        <v>584</v>
      </c>
      <c r="B210" t="s">
        <v>571</v>
      </c>
      <c r="C210" t="s">
        <v>831</v>
      </c>
      <c r="D210" t="s">
        <v>586</v>
      </c>
      <c r="E210" t="s">
        <v>959</v>
      </c>
      <c r="F210">
        <v>14</v>
      </c>
      <c r="G210" s="104" t="s">
        <v>972</v>
      </c>
    </row>
    <row r="211" spans="1:7" ht="409.5">
      <c r="A211" t="s">
        <v>584</v>
      </c>
      <c r="B211" t="s">
        <v>571</v>
      </c>
      <c r="C211" t="s">
        <v>831</v>
      </c>
      <c r="D211" t="s">
        <v>586</v>
      </c>
      <c r="E211" t="s">
        <v>959</v>
      </c>
      <c r="F211">
        <v>15</v>
      </c>
      <c r="G211" s="104" t="s">
        <v>973</v>
      </c>
    </row>
    <row r="212" spans="1:7" ht="409.5">
      <c r="A212" t="s">
        <v>584</v>
      </c>
      <c r="B212" t="s">
        <v>571</v>
      </c>
      <c r="C212" t="s">
        <v>831</v>
      </c>
      <c r="D212" t="s">
        <v>586</v>
      </c>
      <c r="E212" t="s">
        <v>959</v>
      </c>
      <c r="F212">
        <v>16</v>
      </c>
      <c r="G212" s="104" t="s">
        <v>974</v>
      </c>
    </row>
    <row r="213" spans="1:7" ht="405">
      <c r="A213" t="s">
        <v>584</v>
      </c>
      <c r="B213" t="s">
        <v>571</v>
      </c>
      <c r="C213" t="s">
        <v>831</v>
      </c>
      <c r="D213" t="s">
        <v>586</v>
      </c>
      <c r="E213" t="s">
        <v>959</v>
      </c>
      <c r="F213">
        <v>17</v>
      </c>
      <c r="G213" s="104" t="s">
        <v>975</v>
      </c>
    </row>
    <row r="214" spans="1:7" ht="409.5">
      <c r="A214" t="s">
        <v>584</v>
      </c>
      <c r="B214" t="s">
        <v>571</v>
      </c>
      <c r="C214" t="s">
        <v>831</v>
      </c>
      <c r="D214" t="s">
        <v>586</v>
      </c>
      <c r="E214" t="s">
        <v>959</v>
      </c>
      <c r="F214">
        <v>18</v>
      </c>
      <c r="G214" s="104" t="s">
        <v>976</v>
      </c>
    </row>
    <row r="215" spans="1:7" ht="360">
      <c r="A215" t="s">
        <v>584</v>
      </c>
      <c r="B215" t="s">
        <v>571</v>
      </c>
      <c r="C215" t="s">
        <v>831</v>
      </c>
      <c r="D215" t="s">
        <v>586</v>
      </c>
      <c r="E215" t="s">
        <v>959</v>
      </c>
      <c r="F215">
        <v>19</v>
      </c>
      <c r="G215" s="104" t="s">
        <v>977</v>
      </c>
    </row>
    <row r="216" spans="1:7" ht="375">
      <c r="A216" t="s">
        <v>584</v>
      </c>
      <c r="B216" t="s">
        <v>571</v>
      </c>
      <c r="C216" t="s">
        <v>831</v>
      </c>
      <c r="D216" t="s">
        <v>586</v>
      </c>
      <c r="E216" t="s">
        <v>959</v>
      </c>
      <c r="F216">
        <v>20</v>
      </c>
      <c r="G216" s="104" t="s">
        <v>978</v>
      </c>
    </row>
    <row r="217" spans="1:7" ht="360">
      <c r="A217" t="s">
        <v>584</v>
      </c>
      <c r="B217" t="s">
        <v>571</v>
      </c>
      <c r="C217" t="s">
        <v>831</v>
      </c>
      <c r="D217" t="s">
        <v>586</v>
      </c>
      <c r="E217" t="s">
        <v>959</v>
      </c>
      <c r="F217">
        <v>21</v>
      </c>
      <c r="G217" s="104" t="s">
        <v>979</v>
      </c>
    </row>
    <row r="218" spans="1:7" ht="330">
      <c r="A218" t="s">
        <v>584</v>
      </c>
      <c r="B218" t="s">
        <v>571</v>
      </c>
      <c r="C218" t="s">
        <v>831</v>
      </c>
      <c r="D218" t="s">
        <v>586</v>
      </c>
      <c r="E218" t="s">
        <v>959</v>
      </c>
      <c r="F218">
        <v>22</v>
      </c>
      <c r="G218" s="104" t="s">
        <v>980</v>
      </c>
    </row>
    <row r="219" spans="1:7" ht="409.5">
      <c r="A219" t="s">
        <v>584</v>
      </c>
      <c r="B219" t="s">
        <v>571</v>
      </c>
      <c r="C219" t="s">
        <v>831</v>
      </c>
      <c r="D219" t="s">
        <v>586</v>
      </c>
      <c r="E219" t="s">
        <v>959</v>
      </c>
      <c r="F219">
        <v>23</v>
      </c>
      <c r="G219" s="104" t="s">
        <v>981</v>
      </c>
    </row>
    <row r="220" spans="1:7" ht="409.5">
      <c r="A220" t="s">
        <v>584</v>
      </c>
      <c r="B220" t="s">
        <v>571</v>
      </c>
      <c r="C220" t="s">
        <v>831</v>
      </c>
      <c r="D220" t="s">
        <v>586</v>
      </c>
      <c r="E220" t="s">
        <v>959</v>
      </c>
      <c r="F220">
        <v>24</v>
      </c>
      <c r="G220" s="104" t="s">
        <v>982</v>
      </c>
    </row>
    <row r="221" spans="1:7" ht="330">
      <c r="A221" t="s">
        <v>584</v>
      </c>
      <c r="B221" t="s">
        <v>571</v>
      </c>
      <c r="C221" t="s">
        <v>831</v>
      </c>
      <c r="D221" t="s">
        <v>586</v>
      </c>
      <c r="E221" t="s">
        <v>959</v>
      </c>
      <c r="F221">
        <v>25</v>
      </c>
      <c r="G221" s="104" t="s">
        <v>983</v>
      </c>
    </row>
    <row r="222" spans="1:7" ht="330">
      <c r="A222" t="s">
        <v>584</v>
      </c>
      <c r="B222" t="s">
        <v>571</v>
      </c>
      <c r="C222" t="s">
        <v>831</v>
      </c>
      <c r="D222" t="s">
        <v>586</v>
      </c>
      <c r="E222" t="s">
        <v>959</v>
      </c>
      <c r="F222">
        <v>26</v>
      </c>
      <c r="G222" s="104" t="s">
        <v>984</v>
      </c>
    </row>
    <row r="223" spans="1:7" ht="409.5">
      <c r="A223" t="s">
        <v>584</v>
      </c>
      <c r="B223" t="s">
        <v>571</v>
      </c>
      <c r="C223" t="s">
        <v>831</v>
      </c>
      <c r="D223" t="s">
        <v>586</v>
      </c>
      <c r="E223" t="s">
        <v>959</v>
      </c>
      <c r="F223">
        <v>27</v>
      </c>
      <c r="G223" s="104" t="s">
        <v>985</v>
      </c>
    </row>
    <row r="224" spans="1:7" ht="405">
      <c r="A224" t="s">
        <v>584</v>
      </c>
      <c r="B224" t="s">
        <v>571</v>
      </c>
      <c r="C224" t="s">
        <v>831</v>
      </c>
      <c r="D224" t="s">
        <v>586</v>
      </c>
      <c r="E224" t="s">
        <v>959</v>
      </c>
      <c r="F224">
        <v>28</v>
      </c>
      <c r="G224" s="104" t="s">
        <v>986</v>
      </c>
    </row>
    <row r="225" spans="1:7" ht="409.5">
      <c r="A225" t="s">
        <v>584</v>
      </c>
      <c r="B225" t="s">
        <v>571</v>
      </c>
      <c r="C225" t="s">
        <v>831</v>
      </c>
      <c r="D225" t="s">
        <v>586</v>
      </c>
      <c r="E225" t="s">
        <v>987</v>
      </c>
      <c r="F225">
        <v>1</v>
      </c>
      <c r="G225" s="104" t="s">
        <v>960</v>
      </c>
    </row>
    <row r="226" spans="1:7" ht="409.5">
      <c r="A226" t="s">
        <v>584</v>
      </c>
      <c r="B226" t="s">
        <v>571</v>
      </c>
      <c r="C226" t="s">
        <v>831</v>
      </c>
      <c r="D226" t="s">
        <v>586</v>
      </c>
      <c r="E226" t="s">
        <v>987</v>
      </c>
      <c r="F226">
        <v>2</v>
      </c>
      <c r="G226" s="104" t="s">
        <v>961</v>
      </c>
    </row>
    <row r="227" spans="1:7" ht="409.5">
      <c r="A227" t="s">
        <v>584</v>
      </c>
      <c r="B227" t="s">
        <v>571</v>
      </c>
      <c r="C227" t="s">
        <v>831</v>
      </c>
      <c r="D227" t="s">
        <v>586</v>
      </c>
      <c r="E227" t="s">
        <v>987</v>
      </c>
      <c r="F227">
        <v>3</v>
      </c>
      <c r="G227" s="104" t="s">
        <v>962</v>
      </c>
    </row>
    <row r="228" spans="1:7" ht="409.5">
      <c r="A228" t="s">
        <v>584</v>
      </c>
      <c r="B228" t="s">
        <v>571</v>
      </c>
      <c r="C228" t="s">
        <v>831</v>
      </c>
      <c r="D228" t="s">
        <v>586</v>
      </c>
      <c r="E228" t="s">
        <v>987</v>
      </c>
      <c r="F228">
        <v>4</v>
      </c>
      <c r="G228" s="104" t="s">
        <v>963</v>
      </c>
    </row>
    <row r="229" spans="1:7" ht="405">
      <c r="A229" t="s">
        <v>584</v>
      </c>
      <c r="B229" t="s">
        <v>571</v>
      </c>
      <c r="C229" t="s">
        <v>831</v>
      </c>
      <c r="D229" t="s">
        <v>586</v>
      </c>
      <c r="E229" t="s">
        <v>987</v>
      </c>
      <c r="F229">
        <v>5</v>
      </c>
      <c r="G229" s="104" t="s">
        <v>964</v>
      </c>
    </row>
    <row r="230" spans="1:7" ht="360">
      <c r="A230" t="s">
        <v>584</v>
      </c>
      <c r="B230" t="s">
        <v>571</v>
      </c>
      <c r="C230" t="s">
        <v>831</v>
      </c>
      <c r="D230" t="s">
        <v>586</v>
      </c>
      <c r="E230" t="s">
        <v>987</v>
      </c>
      <c r="F230">
        <v>6</v>
      </c>
      <c r="G230" s="104" t="s">
        <v>1435</v>
      </c>
    </row>
    <row r="231" spans="1:7" ht="405">
      <c r="A231" t="s">
        <v>584</v>
      </c>
      <c r="B231" t="s">
        <v>571</v>
      </c>
      <c r="C231" t="s">
        <v>831</v>
      </c>
      <c r="D231" t="s">
        <v>586</v>
      </c>
      <c r="E231" t="s">
        <v>987</v>
      </c>
      <c r="F231">
        <v>7</v>
      </c>
      <c r="G231" s="104" t="s">
        <v>965</v>
      </c>
    </row>
    <row r="232" spans="1:7" ht="150">
      <c r="A232" t="s">
        <v>584</v>
      </c>
      <c r="B232" t="s">
        <v>571</v>
      </c>
      <c r="C232" t="s">
        <v>831</v>
      </c>
      <c r="D232" t="s">
        <v>586</v>
      </c>
      <c r="E232" t="s">
        <v>987</v>
      </c>
      <c r="F232">
        <v>8</v>
      </c>
      <c r="G232" s="104" t="s">
        <v>966</v>
      </c>
    </row>
    <row r="233" spans="1:7" ht="409.5">
      <c r="A233" t="s">
        <v>584</v>
      </c>
      <c r="B233" t="s">
        <v>571</v>
      </c>
      <c r="C233" t="s">
        <v>831</v>
      </c>
      <c r="D233" t="s">
        <v>586</v>
      </c>
      <c r="E233" t="s">
        <v>987</v>
      </c>
      <c r="F233">
        <v>9</v>
      </c>
      <c r="G233" s="104" t="s">
        <v>967</v>
      </c>
    </row>
    <row r="234" spans="1:7" ht="409.5">
      <c r="A234" t="s">
        <v>584</v>
      </c>
      <c r="B234" t="s">
        <v>571</v>
      </c>
      <c r="C234" t="s">
        <v>831</v>
      </c>
      <c r="D234" t="s">
        <v>586</v>
      </c>
      <c r="E234" t="s">
        <v>987</v>
      </c>
      <c r="F234">
        <v>10</v>
      </c>
      <c r="G234" s="104" t="s">
        <v>968</v>
      </c>
    </row>
    <row r="235" spans="1:7" ht="409.5">
      <c r="A235" t="s">
        <v>584</v>
      </c>
      <c r="B235" t="s">
        <v>571</v>
      </c>
      <c r="C235" t="s">
        <v>831</v>
      </c>
      <c r="D235" t="s">
        <v>586</v>
      </c>
      <c r="E235" t="s">
        <v>987</v>
      </c>
      <c r="F235">
        <v>11</v>
      </c>
      <c r="G235" s="104" t="s">
        <v>969</v>
      </c>
    </row>
    <row r="236" spans="1:7" ht="409.5">
      <c r="A236" t="s">
        <v>584</v>
      </c>
      <c r="B236" t="s">
        <v>571</v>
      </c>
      <c r="C236" t="s">
        <v>831</v>
      </c>
      <c r="D236" t="s">
        <v>586</v>
      </c>
      <c r="E236" t="s">
        <v>987</v>
      </c>
      <c r="F236">
        <v>12</v>
      </c>
      <c r="G236" s="104" t="s">
        <v>970</v>
      </c>
    </row>
    <row r="237" spans="1:7" ht="409.5">
      <c r="A237" t="s">
        <v>584</v>
      </c>
      <c r="B237" t="s">
        <v>571</v>
      </c>
      <c r="C237" t="s">
        <v>831</v>
      </c>
      <c r="D237" t="s">
        <v>586</v>
      </c>
      <c r="E237" t="s">
        <v>987</v>
      </c>
      <c r="F237">
        <v>13</v>
      </c>
      <c r="G237" s="104" t="s">
        <v>971</v>
      </c>
    </row>
    <row r="238" spans="1:7" ht="405">
      <c r="A238" t="s">
        <v>584</v>
      </c>
      <c r="B238" t="s">
        <v>571</v>
      </c>
      <c r="C238" t="s">
        <v>831</v>
      </c>
      <c r="D238" t="s">
        <v>586</v>
      </c>
      <c r="E238" t="s">
        <v>987</v>
      </c>
      <c r="F238">
        <v>14</v>
      </c>
      <c r="G238" s="104" t="s">
        <v>972</v>
      </c>
    </row>
    <row r="239" spans="1:7" ht="409.5">
      <c r="A239" t="s">
        <v>584</v>
      </c>
      <c r="B239" t="s">
        <v>571</v>
      </c>
      <c r="C239" t="s">
        <v>831</v>
      </c>
      <c r="D239" t="s">
        <v>586</v>
      </c>
      <c r="E239" t="s">
        <v>987</v>
      </c>
      <c r="F239">
        <v>15</v>
      </c>
      <c r="G239" s="104" t="s">
        <v>973</v>
      </c>
    </row>
    <row r="240" spans="1:7" ht="409.5">
      <c r="A240" t="s">
        <v>584</v>
      </c>
      <c r="B240" t="s">
        <v>571</v>
      </c>
      <c r="C240" t="s">
        <v>831</v>
      </c>
      <c r="D240" t="s">
        <v>586</v>
      </c>
      <c r="E240" t="s">
        <v>987</v>
      </c>
      <c r="F240">
        <v>16</v>
      </c>
      <c r="G240" s="104" t="s">
        <v>974</v>
      </c>
    </row>
    <row r="241" spans="1:7" ht="405">
      <c r="A241" t="s">
        <v>584</v>
      </c>
      <c r="B241" t="s">
        <v>571</v>
      </c>
      <c r="C241" t="s">
        <v>831</v>
      </c>
      <c r="D241" t="s">
        <v>586</v>
      </c>
      <c r="E241" t="s">
        <v>987</v>
      </c>
      <c r="F241">
        <v>17</v>
      </c>
      <c r="G241" s="104" t="s">
        <v>975</v>
      </c>
    </row>
    <row r="242" spans="1:7" ht="409.5">
      <c r="A242" t="s">
        <v>584</v>
      </c>
      <c r="B242" t="s">
        <v>571</v>
      </c>
      <c r="C242" t="s">
        <v>831</v>
      </c>
      <c r="D242" t="s">
        <v>586</v>
      </c>
      <c r="E242" t="s">
        <v>987</v>
      </c>
      <c r="F242">
        <v>18</v>
      </c>
      <c r="G242" s="104" t="s">
        <v>976</v>
      </c>
    </row>
    <row r="243" spans="1:7" ht="360">
      <c r="A243" t="s">
        <v>584</v>
      </c>
      <c r="B243" t="s">
        <v>571</v>
      </c>
      <c r="C243" t="s">
        <v>831</v>
      </c>
      <c r="D243" t="s">
        <v>586</v>
      </c>
      <c r="E243" t="s">
        <v>987</v>
      </c>
      <c r="F243">
        <v>19</v>
      </c>
      <c r="G243" s="104" t="s">
        <v>977</v>
      </c>
    </row>
    <row r="244" spans="1:7" ht="375">
      <c r="A244" t="s">
        <v>584</v>
      </c>
      <c r="B244" t="s">
        <v>571</v>
      </c>
      <c r="C244" t="s">
        <v>831</v>
      </c>
      <c r="D244" t="s">
        <v>586</v>
      </c>
      <c r="E244" t="s">
        <v>987</v>
      </c>
      <c r="F244">
        <v>20</v>
      </c>
      <c r="G244" s="104" t="s">
        <v>978</v>
      </c>
    </row>
    <row r="245" spans="1:7" ht="360">
      <c r="A245" t="s">
        <v>584</v>
      </c>
      <c r="B245" t="s">
        <v>571</v>
      </c>
      <c r="C245" t="s">
        <v>831</v>
      </c>
      <c r="D245" t="s">
        <v>586</v>
      </c>
      <c r="E245" t="s">
        <v>987</v>
      </c>
      <c r="F245">
        <v>21</v>
      </c>
      <c r="G245" s="104" t="s">
        <v>979</v>
      </c>
    </row>
    <row r="246" spans="1:7" ht="330">
      <c r="A246" t="s">
        <v>584</v>
      </c>
      <c r="B246" t="s">
        <v>571</v>
      </c>
      <c r="C246" t="s">
        <v>831</v>
      </c>
      <c r="D246" t="s">
        <v>586</v>
      </c>
      <c r="E246" t="s">
        <v>987</v>
      </c>
      <c r="F246">
        <v>22</v>
      </c>
      <c r="G246" s="104" t="s">
        <v>980</v>
      </c>
    </row>
    <row r="247" spans="1:7" ht="409.5">
      <c r="A247" t="s">
        <v>584</v>
      </c>
      <c r="B247" t="s">
        <v>571</v>
      </c>
      <c r="C247" t="s">
        <v>831</v>
      </c>
      <c r="D247" t="s">
        <v>586</v>
      </c>
      <c r="E247" t="s">
        <v>987</v>
      </c>
      <c r="F247">
        <v>23</v>
      </c>
      <c r="G247" s="104" t="s">
        <v>981</v>
      </c>
    </row>
    <row r="248" spans="1:7" ht="409.5">
      <c r="A248" t="s">
        <v>584</v>
      </c>
      <c r="B248" t="s">
        <v>571</v>
      </c>
      <c r="C248" t="s">
        <v>831</v>
      </c>
      <c r="D248" t="s">
        <v>586</v>
      </c>
      <c r="E248" t="s">
        <v>987</v>
      </c>
      <c r="F248">
        <v>24</v>
      </c>
      <c r="G248" s="104" t="s">
        <v>982</v>
      </c>
    </row>
    <row r="249" spans="1:7" ht="330">
      <c r="A249" t="s">
        <v>584</v>
      </c>
      <c r="B249" t="s">
        <v>571</v>
      </c>
      <c r="C249" t="s">
        <v>831</v>
      </c>
      <c r="D249" t="s">
        <v>586</v>
      </c>
      <c r="E249" t="s">
        <v>987</v>
      </c>
      <c r="F249">
        <v>25</v>
      </c>
      <c r="G249" s="104" t="s">
        <v>983</v>
      </c>
    </row>
    <row r="250" spans="1:7" ht="330">
      <c r="A250" t="s">
        <v>584</v>
      </c>
      <c r="B250" t="s">
        <v>571</v>
      </c>
      <c r="C250" t="s">
        <v>831</v>
      </c>
      <c r="D250" t="s">
        <v>586</v>
      </c>
      <c r="E250" t="s">
        <v>987</v>
      </c>
      <c r="F250">
        <v>26</v>
      </c>
      <c r="G250" s="104" t="s">
        <v>984</v>
      </c>
    </row>
    <row r="251" spans="1:7" ht="409.5">
      <c r="A251" t="s">
        <v>584</v>
      </c>
      <c r="B251" t="s">
        <v>571</v>
      </c>
      <c r="C251" t="s">
        <v>831</v>
      </c>
      <c r="D251" t="s">
        <v>586</v>
      </c>
      <c r="E251" t="s">
        <v>987</v>
      </c>
      <c r="F251">
        <v>27</v>
      </c>
      <c r="G251" s="104" t="s">
        <v>985</v>
      </c>
    </row>
    <row r="252" spans="1:7" ht="405">
      <c r="A252" t="s">
        <v>584</v>
      </c>
      <c r="B252" t="s">
        <v>571</v>
      </c>
      <c r="C252" t="s">
        <v>831</v>
      </c>
      <c r="D252" t="s">
        <v>586</v>
      </c>
      <c r="E252" t="s">
        <v>987</v>
      </c>
      <c r="F252">
        <v>28</v>
      </c>
      <c r="G252" s="104" t="s">
        <v>986</v>
      </c>
    </row>
    <row r="253" spans="1:7" ht="409.5">
      <c r="A253" t="s">
        <v>584</v>
      </c>
      <c r="B253" t="s">
        <v>571</v>
      </c>
      <c r="C253" t="s">
        <v>831</v>
      </c>
      <c r="D253" t="s">
        <v>586</v>
      </c>
      <c r="E253" t="s">
        <v>1000</v>
      </c>
      <c r="F253">
        <v>1</v>
      </c>
      <c r="G253" s="104" t="s">
        <v>1001</v>
      </c>
    </row>
    <row r="254" spans="1:7" ht="409.5">
      <c r="A254" t="s">
        <v>584</v>
      </c>
      <c r="B254" t="s">
        <v>571</v>
      </c>
      <c r="C254" t="s">
        <v>831</v>
      </c>
      <c r="D254" t="s">
        <v>586</v>
      </c>
      <c r="E254" t="s">
        <v>1000</v>
      </c>
      <c r="F254">
        <v>2</v>
      </c>
      <c r="G254" s="104" t="s">
        <v>1002</v>
      </c>
    </row>
    <row r="255" spans="1:7" ht="409.5">
      <c r="A255" t="s">
        <v>584</v>
      </c>
      <c r="B255" t="s">
        <v>571</v>
      </c>
      <c r="C255" t="s">
        <v>831</v>
      </c>
      <c r="D255" t="s">
        <v>586</v>
      </c>
      <c r="E255" t="s">
        <v>1000</v>
      </c>
      <c r="F255">
        <v>3</v>
      </c>
      <c r="G255" s="104" t="s">
        <v>1003</v>
      </c>
    </row>
    <row r="256" spans="1:7" ht="409.5">
      <c r="A256" t="s">
        <v>584</v>
      </c>
      <c r="B256" t="s">
        <v>571</v>
      </c>
      <c r="C256" t="s">
        <v>831</v>
      </c>
      <c r="D256" t="s">
        <v>586</v>
      </c>
      <c r="E256" t="s">
        <v>1000</v>
      </c>
      <c r="F256">
        <v>4</v>
      </c>
      <c r="G256" s="104" t="s">
        <v>1004</v>
      </c>
    </row>
    <row r="257" spans="1:7" ht="409.5">
      <c r="A257" t="s">
        <v>584</v>
      </c>
      <c r="B257" t="s">
        <v>571</v>
      </c>
      <c r="C257" t="s">
        <v>831</v>
      </c>
      <c r="D257" t="s">
        <v>586</v>
      </c>
      <c r="E257" t="s">
        <v>1000</v>
      </c>
      <c r="F257">
        <v>5</v>
      </c>
      <c r="G257" s="104" t="s">
        <v>1005</v>
      </c>
    </row>
    <row r="258" spans="1:7" ht="409.5">
      <c r="A258" t="s">
        <v>584</v>
      </c>
      <c r="B258" t="s">
        <v>571</v>
      </c>
      <c r="C258" t="s">
        <v>831</v>
      </c>
      <c r="D258" t="s">
        <v>586</v>
      </c>
      <c r="E258" t="s">
        <v>1000</v>
      </c>
      <c r="F258">
        <v>6</v>
      </c>
      <c r="G258" s="104" t="s">
        <v>1006</v>
      </c>
    </row>
    <row r="259" spans="1:7" ht="409.5">
      <c r="A259" t="s">
        <v>584</v>
      </c>
      <c r="B259" t="s">
        <v>571</v>
      </c>
      <c r="C259" t="s">
        <v>831</v>
      </c>
      <c r="D259" t="s">
        <v>586</v>
      </c>
      <c r="E259" t="s">
        <v>1000</v>
      </c>
      <c r="F259">
        <v>7</v>
      </c>
      <c r="G259" s="104" t="s">
        <v>1007</v>
      </c>
    </row>
    <row r="260" spans="1:7" ht="390">
      <c r="A260" t="s">
        <v>584</v>
      </c>
      <c r="B260" t="s">
        <v>571</v>
      </c>
      <c r="C260" t="s">
        <v>831</v>
      </c>
      <c r="D260" t="s">
        <v>586</v>
      </c>
      <c r="E260" t="s">
        <v>1000</v>
      </c>
      <c r="F260">
        <v>8</v>
      </c>
      <c r="G260" s="104" t="s">
        <v>1436</v>
      </c>
    </row>
    <row r="261" spans="1:7" ht="375">
      <c r="A261" t="s">
        <v>584</v>
      </c>
      <c r="B261" t="s">
        <v>571</v>
      </c>
      <c r="C261" t="s">
        <v>831</v>
      </c>
      <c r="D261" t="s">
        <v>586</v>
      </c>
      <c r="E261" t="s">
        <v>1000</v>
      </c>
      <c r="F261">
        <v>9</v>
      </c>
      <c r="G261" s="104" t="s">
        <v>1008</v>
      </c>
    </row>
    <row r="262" spans="1:7" ht="409.5">
      <c r="A262" t="s">
        <v>584</v>
      </c>
      <c r="B262" t="s">
        <v>571</v>
      </c>
      <c r="C262" t="s">
        <v>831</v>
      </c>
      <c r="D262" t="s">
        <v>586</v>
      </c>
      <c r="E262" t="s">
        <v>1000</v>
      </c>
      <c r="F262">
        <v>10</v>
      </c>
      <c r="G262" s="104" t="s">
        <v>1009</v>
      </c>
    </row>
    <row r="263" spans="1:7" ht="409.5">
      <c r="A263" t="s">
        <v>584</v>
      </c>
      <c r="B263" t="s">
        <v>571</v>
      </c>
      <c r="C263" t="s">
        <v>831</v>
      </c>
      <c r="D263" t="s">
        <v>586</v>
      </c>
      <c r="E263" t="s">
        <v>1000</v>
      </c>
      <c r="F263">
        <v>11</v>
      </c>
      <c r="G263" s="104" t="s">
        <v>1010</v>
      </c>
    </row>
    <row r="264" spans="1:7" ht="409.5">
      <c r="A264" t="s">
        <v>584</v>
      </c>
      <c r="B264" t="s">
        <v>571</v>
      </c>
      <c r="C264" t="s">
        <v>831</v>
      </c>
      <c r="D264" t="s">
        <v>586</v>
      </c>
      <c r="E264" t="s">
        <v>1000</v>
      </c>
      <c r="F264">
        <v>12</v>
      </c>
      <c r="G264" s="104" t="s">
        <v>1011</v>
      </c>
    </row>
    <row r="265" spans="1:7" ht="390">
      <c r="A265" t="s">
        <v>584</v>
      </c>
      <c r="B265" t="s">
        <v>571</v>
      </c>
      <c r="C265" t="s">
        <v>831</v>
      </c>
      <c r="D265" t="s">
        <v>586</v>
      </c>
      <c r="E265" t="s">
        <v>1000</v>
      </c>
      <c r="F265">
        <v>13</v>
      </c>
      <c r="G265" s="104" t="s">
        <v>1012</v>
      </c>
    </row>
    <row r="266" spans="1:7" ht="409.5">
      <c r="A266" t="s">
        <v>584</v>
      </c>
      <c r="B266" t="s">
        <v>571</v>
      </c>
      <c r="C266" t="s">
        <v>831</v>
      </c>
      <c r="D266" t="s">
        <v>586</v>
      </c>
      <c r="E266" t="s">
        <v>1000</v>
      </c>
      <c r="F266">
        <v>14</v>
      </c>
      <c r="G266" s="104" t="s">
        <v>1013</v>
      </c>
    </row>
    <row r="267" spans="1:7" ht="390">
      <c r="A267" t="s">
        <v>584</v>
      </c>
      <c r="B267" t="s">
        <v>571</v>
      </c>
      <c r="C267" t="s">
        <v>831</v>
      </c>
      <c r="D267" t="s">
        <v>586</v>
      </c>
      <c r="E267" t="s">
        <v>1000</v>
      </c>
      <c r="F267">
        <v>15</v>
      </c>
      <c r="G267" s="104" t="s">
        <v>1014</v>
      </c>
    </row>
    <row r="268" spans="1:7" ht="405">
      <c r="A268" t="s">
        <v>584</v>
      </c>
      <c r="B268" t="s">
        <v>571</v>
      </c>
      <c r="C268" t="s">
        <v>831</v>
      </c>
      <c r="D268" t="s">
        <v>586</v>
      </c>
      <c r="E268" t="s">
        <v>1000</v>
      </c>
      <c r="F268">
        <v>16</v>
      </c>
      <c r="G268" s="104" t="s">
        <v>1015</v>
      </c>
    </row>
    <row r="269" spans="1:7" ht="390">
      <c r="A269" t="s">
        <v>584</v>
      </c>
      <c r="B269" t="s">
        <v>571</v>
      </c>
      <c r="C269" t="s">
        <v>831</v>
      </c>
      <c r="D269" t="s">
        <v>586</v>
      </c>
      <c r="E269" t="s">
        <v>1000</v>
      </c>
      <c r="F269">
        <v>17</v>
      </c>
      <c r="G269" s="104" t="s">
        <v>1016</v>
      </c>
    </row>
    <row r="270" spans="1:7" ht="360">
      <c r="A270" t="s">
        <v>584</v>
      </c>
      <c r="B270" t="s">
        <v>571</v>
      </c>
      <c r="C270" t="s">
        <v>831</v>
      </c>
      <c r="D270" t="s">
        <v>586</v>
      </c>
      <c r="E270" t="s">
        <v>1000</v>
      </c>
      <c r="F270">
        <v>18</v>
      </c>
      <c r="G270" s="104" t="s">
        <v>1017</v>
      </c>
    </row>
    <row r="271" spans="1:7" ht="375">
      <c r="A271" t="s">
        <v>584</v>
      </c>
      <c r="B271" t="s">
        <v>571</v>
      </c>
      <c r="C271" t="s">
        <v>831</v>
      </c>
      <c r="D271" t="s">
        <v>586</v>
      </c>
      <c r="E271" t="s">
        <v>1000</v>
      </c>
      <c r="F271">
        <v>19</v>
      </c>
      <c r="G271" s="104" t="s">
        <v>1018</v>
      </c>
    </row>
    <row r="272" spans="1:7" ht="375">
      <c r="A272" t="s">
        <v>584</v>
      </c>
      <c r="B272" t="s">
        <v>571</v>
      </c>
      <c r="C272" t="s">
        <v>831</v>
      </c>
      <c r="D272" t="s">
        <v>586</v>
      </c>
      <c r="E272" t="s">
        <v>1000</v>
      </c>
      <c r="F272">
        <v>20</v>
      </c>
      <c r="G272" s="104" t="s">
        <v>1019</v>
      </c>
    </row>
    <row r="273" spans="1:7" ht="330">
      <c r="A273" t="s">
        <v>584</v>
      </c>
      <c r="B273" t="s">
        <v>571</v>
      </c>
      <c r="C273" t="s">
        <v>831</v>
      </c>
      <c r="D273" t="s">
        <v>586</v>
      </c>
      <c r="E273" t="s">
        <v>1000</v>
      </c>
      <c r="F273">
        <v>21</v>
      </c>
      <c r="G273" s="104" t="s">
        <v>1020</v>
      </c>
    </row>
    <row r="274" spans="1:7" ht="360">
      <c r="A274" t="s">
        <v>584</v>
      </c>
      <c r="B274" t="s">
        <v>571</v>
      </c>
      <c r="C274" t="s">
        <v>831</v>
      </c>
      <c r="D274" t="s">
        <v>586</v>
      </c>
      <c r="E274" t="s">
        <v>1000</v>
      </c>
      <c r="F274">
        <v>22</v>
      </c>
      <c r="G274" s="104" t="s">
        <v>1021</v>
      </c>
    </row>
    <row r="275" spans="1:7" ht="345">
      <c r="A275" t="s">
        <v>584</v>
      </c>
      <c r="B275" t="s">
        <v>571</v>
      </c>
      <c r="C275" t="s">
        <v>831</v>
      </c>
      <c r="D275" t="s">
        <v>586</v>
      </c>
      <c r="E275" t="s">
        <v>1000</v>
      </c>
      <c r="F275">
        <v>23</v>
      </c>
      <c r="G275" s="104" t="s">
        <v>1022</v>
      </c>
    </row>
    <row r="276" spans="1:7" ht="315">
      <c r="A276" t="s">
        <v>584</v>
      </c>
      <c r="B276" t="s">
        <v>571</v>
      </c>
      <c r="C276" t="s">
        <v>831</v>
      </c>
      <c r="D276" t="s">
        <v>586</v>
      </c>
      <c r="E276" t="s">
        <v>1000</v>
      </c>
      <c r="F276">
        <v>24</v>
      </c>
      <c r="G276" s="104" t="s">
        <v>1023</v>
      </c>
    </row>
    <row r="277" spans="1:7" ht="345">
      <c r="A277" t="s">
        <v>584</v>
      </c>
      <c r="B277" t="s">
        <v>571</v>
      </c>
      <c r="C277" t="s">
        <v>831</v>
      </c>
      <c r="D277" t="s">
        <v>586</v>
      </c>
      <c r="E277" t="s">
        <v>1000</v>
      </c>
      <c r="F277">
        <v>25</v>
      </c>
      <c r="G277" s="104" t="s">
        <v>1024</v>
      </c>
    </row>
    <row r="278" spans="1:7" ht="330">
      <c r="A278" t="s">
        <v>584</v>
      </c>
      <c r="B278" t="s">
        <v>571</v>
      </c>
      <c r="C278" t="s">
        <v>831</v>
      </c>
      <c r="D278" t="s">
        <v>586</v>
      </c>
      <c r="E278" t="s">
        <v>1000</v>
      </c>
      <c r="F278">
        <v>26</v>
      </c>
      <c r="G278" s="104" t="s">
        <v>1025</v>
      </c>
    </row>
    <row r="279" spans="1:7" ht="315">
      <c r="A279" t="s">
        <v>584</v>
      </c>
      <c r="B279" t="s">
        <v>571</v>
      </c>
      <c r="C279" t="s">
        <v>831</v>
      </c>
      <c r="D279" t="s">
        <v>586</v>
      </c>
      <c r="E279" t="s">
        <v>1000</v>
      </c>
      <c r="F279">
        <v>27</v>
      </c>
      <c r="G279" s="104" t="s">
        <v>1026</v>
      </c>
    </row>
    <row r="280" spans="1:7" ht="270">
      <c r="A280" t="s">
        <v>584</v>
      </c>
      <c r="B280" t="s">
        <v>571</v>
      </c>
      <c r="C280" t="s">
        <v>831</v>
      </c>
      <c r="D280" t="s">
        <v>586</v>
      </c>
      <c r="E280" t="s">
        <v>1000</v>
      </c>
      <c r="F280">
        <v>28</v>
      </c>
      <c r="G280" s="104" t="s">
        <v>1027</v>
      </c>
    </row>
    <row r="281" spans="1:7" ht="315">
      <c r="A281" t="s">
        <v>584</v>
      </c>
      <c r="B281" t="s">
        <v>571</v>
      </c>
      <c r="C281" t="s">
        <v>831</v>
      </c>
      <c r="D281" t="s">
        <v>586</v>
      </c>
      <c r="E281" t="s">
        <v>1000</v>
      </c>
      <c r="F281">
        <v>29</v>
      </c>
      <c r="G281" s="104" t="s">
        <v>1028</v>
      </c>
    </row>
    <row r="282" spans="1:7" ht="255">
      <c r="A282" t="s">
        <v>584</v>
      </c>
      <c r="B282" t="s">
        <v>571</v>
      </c>
      <c r="C282" t="s">
        <v>831</v>
      </c>
      <c r="D282" t="s">
        <v>586</v>
      </c>
      <c r="E282" t="s">
        <v>1000</v>
      </c>
      <c r="F282">
        <v>30</v>
      </c>
      <c r="G282" s="104" t="s">
        <v>1029</v>
      </c>
    </row>
    <row r="283" spans="1:7" ht="270">
      <c r="A283" t="s">
        <v>584</v>
      </c>
      <c r="B283" t="s">
        <v>571</v>
      </c>
      <c r="C283" t="s">
        <v>831</v>
      </c>
      <c r="D283" t="s">
        <v>586</v>
      </c>
      <c r="E283" t="s">
        <v>1000</v>
      </c>
      <c r="F283">
        <v>31</v>
      </c>
      <c r="G283" s="104" t="s">
        <v>1030</v>
      </c>
    </row>
    <row r="284" spans="1:7" ht="270">
      <c r="A284" t="s">
        <v>584</v>
      </c>
      <c r="B284" t="s">
        <v>571</v>
      </c>
      <c r="C284" t="s">
        <v>831</v>
      </c>
      <c r="D284" t="s">
        <v>586</v>
      </c>
      <c r="E284" t="s">
        <v>1000</v>
      </c>
      <c r="F284">
        <v>32</v>
      </c>
      <c r="G284" s="104" t="s">
        <v>1031</v>
      </c>
    </row>
    <row r="285" spans="1:7" ht="300">
      <c r="A285" t="s">
        <v>584</v>
      </c>
      <c r="B285" t="s">
        <v>571</v>
      </c>
      <c r="C285" t="s">
        <v>831</v>
      </c>
      <c r="D285" t="s">
        <v>586</v>
      </c>
      <c r="E285" t="s">
        <v>1000</v>
      </c>
      <c r="F285">
        <v>33</v>
      </c>
      <c r="G285" s="104" t="s">
        <v>1032</v>
      </c>
    </row>
    <row r="286" spans="1:7" ht="270">
      <c r="A286" t="s">
        <v>584</v>
      </c>
      <c r="B286" t="s">
        <v>571</v>
      </c>
      <c r="C286" t="s">
        <v>831</v>
      </c>
      <c r="D286" t="s">
        <v>586</v>
      </c>
      <c r="E286" t="s">
        <v>1000</v>
      </c>
      <c r="F286">
        <v>34</v>
      </c>
      <c r="G286" s="104" t="s">
        <v>1033</v>
      </c>
    </row>
    <row r="287" spans="1:7" ht="255">
      <c r="A287" t="s">
        <v>584</v>
      </c>
      <c r="B287" t="s">
        <v>571</v>
      </c>
      <c r="C287" t="s">
        <v>831</v>
      </c>
      <c r="D287" t="s">
        <v>586</v>
      </c>
      <c r="E287" t="s">
        <v>1000</v>
      </c>
      <c r="F287">
        <v>35</v>
      </c>
      <c r="G287" s="104" t="s">
        <v>1034</v>
      </c>
    </row>
    <row r="288" spans="1:7" ht="255">
      <c r="A288" t="s">
        <v>584</v>
      </c>
      <c r="B288" t="s">
        <v>571</v>
      </c>
      <c r="C288" t="s">
        <v>831</v>
      </c>
      <c r="D288" t="s">
        <v>586</v>
      </c>
      <c r="E288" t="s">
        <v>1000</v>
      </c>
      <c r="F288">
        <v>36</v>
      </c>
      <c r="G288" s="104" t="s">
        <v>1035</v>
      </c>
    </row>
    <row r="289" spans="1:7" ht="225">
      <c r="A289" t="s">
        <v>584</v>
      </c>
      <c r="B289" t="s">
        <v>571</v>
      </c>
      <c r="C289" t="s">
        <v>831</v>
      </c>
      <c r="D289" t="s">
        <v>586</v>
      </c>
      <c r="E289" t="s">
        <v>1000</v>
      </c>
      <c r="F289">
        <v>37</v>
      </c>
      <c r="G289" s="104" t="s">
        <v>1036</v>
      </c>
    </row>
    <row r="290" spans="1:7" ht="240">
      <c r="A290" t="s">
        <v>584</v>
      </c>
      <c r="B290" t="s">
        <v>571</v>
      </c>
      <c r="C290" t="s">
        <v>831</v>
      </c>
      <c r="D290" t="s">
        <v>586</v>
      </c>
      <c r="E290" t="s">
        <v>1000</v>
      </c>
      <c r="F290">
        <v>38</v>
      </c>
      <c r="G290" s="104" t="s">
        <v>1037</v>
      </c>
    </row>
    <row r="291" spans="1:7" ht="195">
      <c r="A291" t="s">
        <v>584</v>
      </c>
      <c r="B291" t="s">
        <v>571</v>
      </c>
      <c r="C291" t="s">
        <v>831</v>
      </c>
      <c r="D291" t="s">
        <v>586</v>
      </c>
      <c r="E291" t="s">
        <v>1000</v>
      </c>
      <c r="F291">
        <v>39</v>
      </c>
      <c r="G291" s="104" t="s">
        <v>1038</v>
      </c>
    </row>
    <row r="292" spans="1:7" ht="270">
      <c r="A292" t="s">
        <v>584</v>
      </c>
      <c r="B292" t="s">
        <v>571</v>
      </c>
      <c r="C292" t="s">
        <v>831</v>
      </c>
      <c r="D292" t="s">
        <v>586</v>
      </c>
      <c r="E292" t="s">
        <v>1000</v>
      </c>
      <c r="F292">
        <v>40</v>
      </c>
      <c r="G292" s="104" t="s">
        <v>1039</v>
      </c>
    </row>
    <row r="293" spans="1:7" ht="225">
      <c r="A293" t="s">
        <v>584</v>
      </c>
      <c r="B293" t="s">
        <v>571</v>
      </c>
      <c r="C293" t="s">
        <v>831</v>
      </c>
      <c r="D293" t="s">
        <v>586</v>
      </c>
      <c r="E293" t="s">
        <v>1000</v>
      </c>
      <c r="F293">
        <v>41</v>
      </c>
      <c r="G293" s="104" t="s">
        <v>1040</v>
      </c>
    </row>
    <row r="294" spans="1:7" ht="409.5">
      <c r="A294" t="s">
        <v>584</v>
      </c>
      <c r="B294" t="s">
        <v>571</v>
      </c>
      <c r="C294" t="s">
        <v>831</v>
      </c>
      <c r="D294" t="s">
        <v>586</v>
      </c>
      <c r="E294" t="s">
        <v>1000</v>
      </c>
      <c r="F294">
        <v>42</v>
      </c>
      <c r="G294" s="104" t="s">
        <v>960</v>
      </c>
    </row>
    <row r="295" spans="1:7" ht="409.5">
      <c r="A295" t="s">
        <v>584</v>
      </c>
      <c r="B295" t="s">
        <v>571</v>
      </c>
      <c r="C295" t="s">
        <v>831</v>
      </c>
      <c r="D295" t="s">
        <v>586</v>
      </c>
      <c r="E295" t="s">
        <v>1000</v>
      </c>
      <c r="F295">
        <v>43</v>
      </c>
      <c r="G295" s="104" t="s">
        <v>1041</v>
      </c>
    </row>
    <row r="296" spans="1:7" ht="409.5">
      <c r="A296" t="s">
        <v>584</v>
      </c>
      <c r="B296" t="s">
        <v>571</v>
      </c>
      <c r="C296" t="s">
        <v>831</v>
      </c>
      <c r="D296" t="s">
        <v>586</v>
      </c>
      <c r="E296" t="s">
        <v>1000</v>
      </c>
      <c r="F296">
        <v>44</v>
      </c>
      <c r="G296" s="104" t="s">
        <v>1042</v>
      </c>
    </row>
    <row r="297" spans="1:7" ht="409.5">
      <c r="A297" t="s">
        <v>584</v>
      </c>
      <c r="B297" t="s">
        <v>571</v>
      </c>
      <c r="C297" t="s">
        <v>831</v>
      </c>
      <c r="D297" t="s">
        <v>586</v>
      </c>
      <c r="E297" t="s">
        <v>1000</v>
      </c>
      <c r="F297">
        <v>45</v>
      </c>
      <c r="G297" s="104" t="s">
        <v>1043</v>
      </c>
    </row>
    <row r="298" spans="1:7" ht="409.5">
      <c r="A298" t="s">
        <v>584</v>
      </c>
      <c r="B298" t="s">
        <v>571</v>
      </c>
      <c r="C298" t="s">
        <v>831</v>
      </c>
      <c r="D298" t="s">
        <v>586</v>
      </c>
      <c r="E298" t="s">
        <v>1000</v>
      </c>
      <c r="F298">
        <v>46</v>
      </c>
      <c r="G298" s="104" t="s">
        <v>1044</v>
      </c>
    </row>
    <row r="299" spans="1:7" ht="405">
      <c r="A299" t="s">
        <v>584</v>
      </c>
      <c r="B299" t="s">
        <v>571</v>
      </c>
      <c r="C299" t="s">
        <v>831</v>
      </c>
      <c r="D299" t="s">
        <v>586</v>
      </c>
      <c r="E299" t="s">
        <v>1000</v>
      </c>
      <c r="F299">
        <v>47</v>
      </c>
      <c r="G299" s="104" t="s">
        <v>1045</v>
      </c>
    </row>
    <row r="300" spans="1:7" ht="360">
      <c r="A300" t="s">
        <v>584</v>
      </c>
      <c r="B300" t="s">
        <v>571</v>
      </c>
      <c r="C300" t="s">
        <v>831</v>
      </c>
      <c r="D300" t="s">
        <v>586</v>
      </c>
      <c r="E300" t="s">
        <v>1000</v>
      </c>
      <c r="F300">
        <v>48</v>
      </c>
      <c r="G300" s="104" t="s">
        <v>1437</v>
      </c>
    </row>
    <row r="301" spans="1:7" ht="409.5">
      <c r="A301" t="s">
        <v>584</v>
      </c>
      <c r="B301" t="s">
        <v>571</v>
      </c>
      <c r="C301" t="s">
        <v>831</v>
      </c>
      <c r="D301" t="s">
        <v>586</v>
      </c>
      <c r="E301" t="s">
        <v>1000</v>
      </c>
      <c r="F301">
        <v>49</v>
      </c>
      <c r="G301" s="104" t="s">
        <v>1046</v>
      </c>
    </row>
    <row r="302" spans="1:7" ht="409.5">
      <c r="A302" t="s">
        <v>584</v>
      </c>
      <c r="B302" t="s">
        <v>571</v>
      </c>
      <c r="C302" t="s">
        <v>831</v>
      </c>
      <c r="D302" t="s">
        <v>586</v>
      </c>
      <c r="E302" t="s">
        <v>1000</v>
      </c>
      <c r="F302">
        <v>50</v>
      </c>
      <c r="G302" s="104" t="s">
        <v>1047</v>
      </c>
    </row>
    <row r="303" spans="1:7" ht="409.5">
      <c r="A303" t="s">
        <v>584</v>
      </c>
      <c r="B303" t="s">
        <v>571</v>
      </c>
      <c r="C303" t="s">
        <v>831</v>
      </c>
      <c r="D303" t="s">
        <v>586</v>
      </c>
      <c r="E303" t="s">
        <v>1000</v>
      </c>
      <c r="F303">
        <v>51</v>
      </c>
      <c r="G303" s="104" t="s">
        <v>1048</v>
      </c>
    </row>
    <row r="304" spans="1:7" ht="405">
      <c r="A304" t="s">
        <v>584</v>
      </c>
      <c r="B304" t="s">
        <v>571</v>
      </c>
      <c r="C304" t="s">
        <v>831</v>
      </c>
      <c r="D304" t="s">
        <v>586</v>
      </c>
      <c r="E304" t="s">
        <v>1000</v>
      </c>
      <c r="F304">
        <v>52</v>
      </c>
      <c r="G304" s="104" t="s">
        <v>1049</v>
      </c>
    </row>
    <row r="305" spans="1:7" ht="375">
      <c r="A305" t="s">
        <v>584</v>
      </c>
      <c r="B305" t="s">
        <v>571</v>
      </c>
      <c r="C305" t="s">
        <v>831</v>
      </c>
      <c r="D305" t="s">
        <v>586</v>
      </c>
      <c r="E305" t="s">
        <v>1000</v>
      </c>
      <c r="F305">
        <v>53</v>
      </c>
      <c r="G305" s="104" t="s">
        <v>1050</v>
      </c>
    </row>
    <row r="306" spans="1:7" ht="390">
      <c r="A306" t="s">
        <v>584</v>
      </c>
      <c r="B306" t="s">
        <v>571</v>
      </c>
      <c r="C306" t="s">
        <v>831</v>
      </c>
      <c r="D306" t="s">
        <v>586</v>
      </c>
      <c r="E306" t="s">
        <v>1000</v>
      </c>
      <c r="F306">
        <v>54</v>
      </c>
      <c r="G306" s="104" t="s">
        <v>1051</v>
      </c>
    </row>
    <row r="307" spans="1:7" ht="375">
      <c r="A307" t="s">
        <v>584</v>
      </c>
      <c r="B307" t="s">
        <v>571</v>
      </c>
      <c r="C307" t="s">
        <v>831</v>
      </c>
      <c r="D307" t="s">
        <v>586</v>
      </c>
      <c r="E307" t="s">
        <v>1000</v>
      </c>
      <c r="F307">
        <v>55</v>
      </c>
      <c r="G307" s="104" t="s">
        <v>1052</v>
      </c>
    </row>
    <row r="308" spans="1:7" ht="300">
      <c r="A308" t="s">
        <v>584</v>
      </c>
      <c r="B308" t="s">
        <v>571</v>
      </c>
      <c r="C308" t="s">
        <v>831</v>
      </c>
      <c r="D308" t="s">
        <v>586</v>
      </c>
      <c r="E308" t="s">
        <v>1000</v>
      </c>
      <c r="F308">
        <v>56</v>
      </c>
      <c r="G308" s="104" t="s">
        <v>1053</v>
      </c>
    </row>
    <row r="309" spans="1:7" ht="409.5">
      <c r="A309" t="s">
        <v>584</v>
      </c>
      <c r="B309" t="s">
        <v>571</v>
      </c>
      <c r="C309" t="s">
        <v>831</v>
      </c>
      <c r="D309" t="s">
        <v>586</v>
      </c>
      <c r="E309" t="s">
        <v>1000</v>
      </c>
      <c r="F309">
        <v>57</v>
      </c>
      <c r="G309" s="104" t="s">
        <v>981</v>
      </c>
    </row>
    <row r="310" spans="1:7" ht="409.5">
      <c r="A310" t="s">
        <v>584</v>
      </c>
      <c r="B310" t="s">
        <v>571</v>
      </c>
      <c r="C310" t="s">
        <v>831</v>
      </c>
      <c r="D310" t="s">
        <v>586</v>
      </c>
      <c r="E310" t="s">
        <v>1000</v>
      </c>
      <c r="F310">
        <v>58</v>
      </c>
      <c r="G310" s="104" t="s">
        <v>982</v>
      </c>
    </row>
    <row r="311" spans="1:7" ht="330">
      <c r="A311" t="s">
        <v>584</v>
      </c>
      <c r="B311" t="s">
        <v>571</v>
      </c>
      <c r="C311" t="s">
        <v>831</v>
      </c>
      <c r="D311" t="s">
        <v>586</v>
      </c>
      <c r="E311" t="s">
        <v>1000</v>
      </c>
      <c r="F311">
        <v>59</v>
      </c>
      <c r="G311" s="104" t="s">
        <v>983</v>
      </c>
    </row>
    <row r="312" spans="1:7" ht="330">
      <c r="A312" t="s">
        <v>584</v>
      </c>
      <c r="B312" t="s">
        <v>571</v>
      </c>
      <c r="C312" t="s">
        <v>831</v>
      </c>
      <c r="D312" t="s">
        <v>586</v>
      </c>
      <c r="E312" t="s">
        <v>1000</v>
      </c>
      <c r="F312">
        <v>60</v>
      </c>
      <c r="G312" s="104" t="s">
        <v>984</v>
      </c>
    </row>
    <row r="313" spans="1:7" ht="409.5">
      <c r="A313" t="s">
        <v>584</v>
      </c>
      <c r="B313" t="s">
        <v>571</v>
      </c>
      <c r="C313" t="s">
        <v>831</v>
      </c>
      <c r="D313" t="s">
        <v>586</v>
      </c>
      <c r="E313" t="s">
        <v>1000</v>
      </c>
      <c r="F313">
        <v>61</v>
      </c>
      <c r="G313" s="104" t="s">
        <v>985</v>
      </c>
    </row>
    <row r="314" spans="1:7" ht="390">
      <c r="A314" t="s">
        <v>584</v>
      </c>
      <c r="B314" t="s">
        <v>571</v>
      </c>
      <c r="C314" t="s">
        <v>831</v>
      </c>
      <c r="D314" t="s">
        <v>586</v>
      </c>
      <c r="E314" t="s">
        <v>1000</v>
      </c>
      <c r="F314">
        <v>62</v>
      </c>
      <c r="G314" s="104" t="s">
        <v>1054</v>
      </c>
    </row>
    <row r="315" spans="1:7">
      <c r="A315" t="s">
        <v>584</v>
      </c>
      <c r="B315" t="s">
        <v>573</v>
      </c>
      <c r="C315" t="s">
        <v>833</v>
      </c>
      <c r="D315" t="s">
        <v>1097</v>
      </c>
      <c r="F315">
        <v>1</v>
      </c>
      <c r="G315" s="104" t="s">
        <v>849</v>
      </c>
    </row>
    <row r="316" spans="1:7" ht="180">
      <c r="A316" t="s">
        <v>584</v>
      </c>
      <c r="B316" t="s">
        <v>573</v>
      </c>
      <c r="C316" t="s">
        <v>833</v>
      </c>
      <c r="D316" t="s">
        <v>1097</v>
      </c>
      <c r="F316">
        <v>2</v>
      </c>
      <c r="G316" s="104" t="s">
        <v>1098</v>
      </c>
    </row>
    <row r="317" spans="1:7" ht="375">
      <c r="A317" t="s">
        <v>584</v>
      </c>
      <c r="B317" t="s">
        <v>573</v>
      </c>
      <c r="C317" t="s">
        <v>833</v>
      </c>
      <c r="D317" t="s">
        <v>1097</v>
      </c>
      <c r="F317">
        <v>3</v>
      </c>
      <c r="G317" s="104" t="s">
        <v>1099</v>
      </c>
    </row>
    <row r="318" spans="1:7">
      <c r="A318" t="s">
        <v>584</v>
      </c>
      <c r="B318" t="s">
        <v>573</v>
      </c>
      <c r="C318" t="s">
        <v>833</v>
      </c>
      <c r="D318" t="s">
        <v>1100</v>
      </c>
      <c r="F318">
        <v>1</v>
      </c>
      <c r="G318" s="104" t="s">
        <v>849</v>
      </c>
    </row>
    <row r="319" spans="1:7" ht="165">
      <c r="A319" t="s">
        <v>584</v>
      </c>
      <c r="B319" t="s">
        <v>573</v>
      </c>
      <c r="C319" t="s">
        <v>833</v>
      </c>
      <c r="D319" t="s">
        <v>1100</v>
      </c>
      <c r="F319">
        <v>2</v>
      </c>
      <c r="G319" s="104" t="s">
        <v>1101</v>
      </c>
    </row>
    <row r="320" spans="1:7" ht="255">
      <c r="A320" t="s">
        <v>584</v>
      </c>
      <c r="B320" t="s">
        <v>573</v>
      </c>
      <c r="C320" t="s">
        <v>833</v>
      </c>
      <c r="D320" t="s">
        <v>1100</v>
      </c>
      <c r="F320">
        <v>3</v>
      </c>
      <c r="G320" s="104" t="s">
        <v>1102</v>
      </c>
    </row>
    <row r="321" spans="1:7" ht="405">
      <c r="A321" t="s">
        <v>584</v>
      </c>
      <c r="B321" t="s">
        <v>573</v>
      </c>
      <c r="C321" t="s">
        <v>833</v>
      </c>
      <c r="D321" t="s">
        <v>1100</v>
      </c>
      <c r="F321">
        <v>4</v>
      </c>
      <c r="G321" s="104" t="s">
        <v>1438</v>
      </c>
    </row>
    <row r="322" spans="1:7" ht="375">
      <c r="A322" t="s">
        <v>584</v>
      </c>
      <c r="B322" t="s">
        <v>573</v>
      </c>
      <c r="C322" t="s">
        <v>833</v>
      </c>
      <c r="D322" t="s">
        <v>1100</v>
      </c>
      <c r="F322">
        <v>5</v>
      </c>
      <c r="G322" s="104" t="s">
        <v>1099</v>
      </c>
    </row>
    <row r="323" spans="1:7">
      <c r="A323" t="s">
        <v>584</v>
      </c>
      <c r="B323" t="s">
        <v>573</v>
      </c>
      <c r="C323" t="s">
        <v>833</v>
      </c>
      <c r="D323" t="s">
        <v>1103</v>
      </c>
      <c r="F323">
        <v>1</v>
      </c>
      <c r="G323" s="104" t="s">
        <v>849</v>
      </c>
    </row>
    <row r="324" spans="1:7" ht="180">
      <c r="A324" t="s">
        <v>584</v>
      </c>
      <c r="B324" t="s">
        <v>573</v>
      </c>
      <c r="C324" t="s">
        <v>833</v>
      </c>
      <c r="D324" t="s">
        <v>1103</v>
      </c>
      <c r="F324">
        <v>2</v>
      </c>
      <c r="G324" s="104" t="s">
        <v>1104</v>
      </c>
    </row>
    <row r="325" spans="1:7" ht="255">
      <c r="A325" t="s">
        <v>584</v>
      </c>
      <c r="B325" t="s">
        <v>573</v>
      </c>
      <c r="C325" t="s">
        <v>833</v>
      </c>
      <c r="D325" t="s">
        <v>1103</v>
      </c>
      <c r="F325">
        <v>3</v>
      </c>
      <c r="G325" s="104" t="s">
        <v>1105</v>
      </c>
    </row>
    <row r="326" spans="1:7" ht="405">
      <c r="A326" t="s">
        <v>584</v>
      </c>
      <c r="B326" t="s">
        <v>573</v>
      </c>
      <c r="C326" t="s">
        <v>833</v>
      </c>
      <c r="D326" t="s">
        <v>1103</v>
      </c>
      <c r="F326">
        <v>4</v>
      </c>
      <c r="G326" s="104" t="s">
        <v>1438</v>
      </c>
    </row>
    <row r="327" spans="1:7" ht="375">
      <c r="A327" t="s">
        <v>584</v>
      </c>
      <c r="B327" t="s">
        <v>573</v>
      </c>
      <c r="C327" t="s">
        <v>833</v>
      </c>
      <c r="D327" t="s">
        <v>1103</v>
      </c>
      <c r="F327">
        <v>5</v>
      </c>
      <c r="G327" s="104" t="s">
        <v>1099</v>
      </c>
    </row>
    <row r="328" spans="1:7">
      <c r="A328" t="s">
        <v>584</v>
      </c>
      <c r="B328" t="s">
        <v>573</v>
      </c>
      <c r="C328" t="s">
        <v>833</v>
      </c>
      <c r="D328" t="s">
        <v>1106</v>
      </c>
      <c r="F328">
        <v>1</v>
      </c>
      <c r="G328" s="104" t="s">
        <v>849</v>
      </c>
    </row>
    <row r="329" spans="1:7" ht="165">
      <c r="A329" t="s">
        <v>584</v>
      </c>
      <c r="B329" t="s">
        <v>573</v>
      </c>
      <c r="C329" t="s">
        <v>833</v>
      </c>
      <c r="D329" t="s">
        <v>1106</v>
      </c>
      <c r="F329">
        <v>2</v>
      </c>
      <c r="G329" s="104" t="s">
        <v>1107</v>
      </c>
    </row>
    <row r="330" spans="1:7" ht="195">
      <c r="A330" t="s">
        <v>584</v>
      </c>
      <c r="B330" t="s">
        <v>573</v>
      </c>
      <c r="C330" t="s">
        <v>833</v>
      </c>
      <c r="D330" t="s">
        <v>1106</v>
      </c>
      <c r="F330">
        <v>3</v>
      </c>
      <c r="G330" s="104" t="s">
        <v>1108</v>
      </c>
    </row>
    <row r="331" spans="1:7" ht="375">
      <c r="A331" t="s">
        <v>584</v>
      </c>
      <c r="B331" t="s">
        <v>573</v>
      </c>
      <c r="C331" t="s">
        <v>833</v>
      </c>
      <c r="D331" t="s">
        <v>1106</v>
      </c>
      <c r="F331">
        <v>4</v>
      </c>
      <c r="G331" s="104" t="s">
        <v>1099</v>
      </c>
    </row>
    <row r="332" spans="1:7">
      <c r="A332" t="s">
        <v>584</v>
      </c>
      <c r="B332" t="s">
        <v>573</v>
      </c>
      <c r="C332" t="s">
        <v>833</v>
      </c>
      <c r="D332" t="s">
        <v>1109</v>
      </c>
      <c r="F332">
        <v>1</v>
      </c>
      <c r="G332" s="104" t="s">
        <v>849</v>
      </c>
    </row>
    <row r="333" spans="1:7" ht="165">
      <c r="A333" t="s">
        <v>584</v>
      </c>
      <c r="B333" t="s">
        <v>573</v>
      </c>
      <c r="C333" t="s">
        <v>833</v>
      </c>
      <c r="D333" t="s">
        <v>1109</v>
      </c>
      <c r="F333">
        <v>2</v>
      </c>
      <c r="G333" s="104" t="s">
        <v>1110</v>
      </c>
    </row>
    <row r="334" spans="1:7" ht="195">
      <c r="A334" t="s">
        <v>584</v>
      </c>
      <c r="B334" t="s">
        <v>573</v>
      </c>
      <c r="C334" t="s">
        <v>833</v>
      </c>
      <c r="D334" t="s">
        <v>1109</v>
      </c>
      <c r="F334">
        <v>3</v>
      </c>
      <c r="G334" s="104" t="s">
        <v>1108</v>
      </c>
    </row>
    <row r="335" spans="1:7" ht="375">
      <c r="A335" t="s">
        <v>584</v>
      </c>
      <c r="B335" t="s">
        <v>573</v>
      </c>
      <c r="C335" t="s">
        <v>833</v>
      </c>
      <c r="D335" t="s">
        <v>1109</v>
      </c>
      <c r="F335">
        <v>4</v>
      </c>
      <c r="G335" s="104" t="s">
        <v>1099</v>
      </c>
    </row>
    <row r="336" spans="1:7" ht="75">
      <c r="A336" t="s">
        <v>584</v>
      </c>
      <c r="B336" t="s">
        <v>571</v>
      </c>
      <c r="C336" t="s">
        <v>831</v>
      </c>
      <c r="D336" t="s">
        <v>586</v>
      </c>
      <c r="E336" t="s">
        <v>1111</v>
      </c>
      <c r="F336">
        <v>1</v>
      </c>
      <c r="G336" s="104" t="s">
        <v>1583</v>
      </c>
    </row>
    <row r="337" spans="1:7" ht="409.5">
      <c r="A337" t="s">
        <v>584</v>
      </c>
      <c r="B337" t="s">
        <v>571</v>
      </c>
      <c r="C337" t="s">
        <v>831</v>
      </c>
      <c r="D337" t="s">
        <v>586</v>
      </c>
      <c r="E337" t="s">
        <v>1111</v>
      </c>
      <c r="F337">
        <v>2</v>
      </c>
      <c r="G337" s="104" t="s">
        <v>1584</v>
      </c>
    </row>
    <row r="338" spans="1:7" ht="409.5">
      <c r="A338" t="s">
        <v>584</v>
      </c>
      <c r="B338" t="s">
        <v>571</v>
      </c>
      <c r="C338" t="s">
        <v>831</v>
      </c>
      <c r="D338" t="s">
        <v>586</v>
      </c>
      <c r="E338" t="s">
        <v>1111</v>
      </c>
      <c r="F338">
        <v>3</v>
      </c>
      <c r="G338" s="104" t="s">
        <v>1585</v>
      </c>
    </row>
    <row r="339" spans="1:7" ht="409.5">
      <c r="A339" t="s">
        <v>584</v>
      </c>
      <c r="B339" t="s">
        <v>571</v>
      </c>
      <c r="C339" t="s">
        <v>831</v>
      </c>
      <c r="D339" t="s">
        <v>586</v>
      </c>
      <c r="E339" t="s">
        <v>1111</v>
      </c>
      <c r="F339">
        <v>4</v>
      </c>
      <c r="G339" s="104" t="s">
        <v>1586</v>
      </c>
    </row>
    <row r="340" spans="1:7" ht="409.5">
      <c r="A340" t="s">
        <v>584</v>
      </c>
      <c r="B340" t="s">
        <v>571</v>
      </c>
      <c r="C340" t="s">
        <v>831</v>
      </c>
      <c r="D340" t="s">
        <v>586</v>
      </c>
      <c r="E340" t="s">
        <v>1111</v>
      </c>
      <c r="F340">
        <v>5</v>
      </c>
      <c r="G340" s="104" t="s">
        <v>1587</v>
      </c>
    </row>
    <row r="341" spans="1:7" ht="409.5">
      <c r="A341" t="s">
        <v>584</v>
      </c>
      <c r="B341" t="s">
        <v>571</v>
      </c>
      <c r="C341" t="s">
        <v>831</v>
      </c>
      <c r="D341" t="s">
        <v>586</v>
      </c>
      <c r="E341" t="s">
        <v>1111</v>
      </c>
      <c r="F341">
        <v>6</v>
      </c>
      <c r="G341" s="104" t="s">
        <v>1588</v>
      </c>
    </row>
    <row r="342" spans="1:7" ht="409.5">
      <c r="A342" t="s">
        <v>584</v>
      </c>
      <c r="B342" t="s">
        <v>571</v>
      </c>
      <c r="C342" t="s">
        <v>831</v>
      </c>
      <c r="D342" t="s">
        <v>586</v>
      </c>
      <c r="E342" t="s">
        <v>1111</v>
      </c>
      <c r="F342">
        <v>7</v>
      </c>
      <c r="G342" s="104" t="s">
        <v>1589</v>
      </c>
    </row>
    <row r="343" spans="1:7" ht="409.5">
      <c r="A343" t="s">
        <v>584</v>
      </c>
      <c r="B343" t="s">
        <v>571</v>
      </c>
      <c r="C343" t="s">
        <v>831</v>
      </c>
      <c r="D343" t="s">
        <v>586</v>
      </c>
      <c r="E343" t="s">
        <v>1111</v>
      </c>
      <c r="F343">
        <v>8</v>
      </c>
      <c r="G343" s="104" t="s">
        <v>1590</v>
      </c>
    </row>
    <row r="344" spans="1:7" ht="409.5">
      <c r="A344" t="s">
        <v>584</v>
      </c>
      <c r="B344" t="s">
        <v>571</v>
      </c>
      <c r="C344" t="s">
        <v>831</v>
      </c>
      <c r="D344" t="s">
        <v>586</v>
      </c>
      <c r="E344" t="s">
        <v>1111</v>
      </c>
      <c r="F344">
        <v>9</v>
      </c>
      <c r="G344" s="104" t="s">
        <v>1591</v>
      </c>
    </row>
    <row r="345" spans="1:7" ht="409.5">
      <c r="A345" t="s">
        <v>584</v>
      </c>
      <c r="B345" t="s">
        <v>571</v>
      </c>
      <c r="C345" t="s">
        <v>831</v>
      </c>
      <c r="D345" t="s">
        <v>586</v>
      </c>
      <c r="E345" t="s">
        <v>1111</v>
      </c>
      <c r="F345">
        <v>10</v>
      </c>
      <c r="G345" s="104" t="s">
        <v>1592</v>
      </c>
    </row>
    <row r="346" spans="1:7" ht="409.5">
      <c r="A346" t="s">
        <v>584</v>
      </c>
      <c r="B346" t="s">
        <v>571</v>
      </c>
      <c r="C346" t="s">
        <v>831</v>
      </c>
      <c r="D346" t="s">
        <v>586</v>
      </c>
      <c r="E346" t="s">
        <v>1111</v>
      </c>
      <c r="F346">
        <v>11</v>
      </c>
      <c r="G346" s="104" t="s">
        <v>1593</v>
      </c>
    </row>
    <row r="347" spans="1:7" ht="409.5">
      <c r="A347" t="s">
        <v>584</v>
      </c>
      <c r="B347" t="s">
        <v>571</v>
      </c>
      <c r="C347" t="s">
        <v>831</v>
      </c>
      <c r="D347" t="s">
        <v>586</v>
      </c>
      <c r="E347" t="s">
        <v>1111</v>
      </c>
      <c r="F347">
        <v>12</v>
      </c>
      <c r="G347" s="104" t="s">
        <v>1594</v>
      </c>
    </row>
    <row r="348" spans="1:7" ht="409.5">
      <c r="A348" t="s">
        <v>584</v>
      </c>
      <c r="B348" t="s">
        <v>571</v>
      </c>
      <c r="C348" t="s">
        <v>831</v>
      </c>
      <c r="D348" t="s">
        <v>586</v>
      </c>
      <c r="E348" t="s">
        <v>1111</v>
      </c>
      <c r="F348">
        <v>13</v>
      </c>
      <c r="G348" s="104" t="s">
        <v>1595</v>
      </c>
    </row>
    <row r="349" spans="1:7" ht="409.5">
      <c r="A349" t="s">
        <v>584</v>
      </c>
      <c r="B349" t="s">
        <v>571</v>
      </c>
      <c r="C349" t="s">
        <v>831</v>
      </c>
      <c r="D349" t="s">
        <v>586</v>
      </c>
      <c r="E349" t="s">
        <v>1111</v>
      </c>
      <c r="F349">
        <v>14</v>
      </c>
      <c r="G349" s="104" t="s">
        <v>1596</v>
      </c>
    </row>
    <row r="350" spans="1:7" ht="409.5">
      <c r="A350" t="s">
        <v>584</v>
      </c>
      <c r="B350" t="s">
        <v>571</v>
      </c>
      <c r="C350" t="s">
        <v>831</v>
      </c>
      <c r="D350" t="s">
        <v>586</v>
      </c>
      <c r="E350" t="s">
        <v>1111</v>
      </c>
      <c r="F350">
        <v>15</v>
      </c>
      <c r="G350" s="104" t="s">
        <v>1597</v>
      </c>
    </row>
    <row r="351" spans="1:7" ht="405">
      <c r="A351" t="s">
        <v>584</v>
      </c>
      <c r="B351" t="s">
        <v>571</v>
      </c>
      <c r="C351" t="s">
        <v>831</v>
      </c>
      <c r="D351" t="s">
        <v>586</v>
      </c>
      <c r="E351" t="s">
        <v>1111</v>
      </c>
      <c r="F351">
        <v>16</v>
      </c>
      <c r="G351" s="104" t="s">
        <v>1598</v>
      </c>
    </row>
    <row r="352" spans="1:7" ht="345">
      <c r="A352" t="s">
        <v>584</v>
      </c>
      <c r="B352" t="s">
        <v>571</v>
      </c>
      <c r="C352" t="s">
        <v>831</v>
      </c>
      <c r="D352" t="s">
        <v>586</v>
      </c>
      <c r="E352" t="s">
        <v>1111</v>
      </c>
      <c r="F352">
        <v>17</v>
      </c>
      <c r="G352" s="104" t="s">
        <v>1599</v>
      </c>
    </row>
    <row r="353" spans="1:7" ht="409.5">
      <c r="A353" t="s">
        <v>584</v>
      </c>
      <c r="B353" t="s">
        <v>571</v>
      </c>
      <c r="C353" t="s">
        <v>831</v>
      </c>
      <c r="D353" t="s">
        <v>586</v>
      </c>
      <c r="E353" t="s">
        <v>1111</v>
      </c>
      <c r="F353">
        <v>18</v>
      </c>
      <c r="G353" s="104" t="s">
        <v>1600</v>
      </c>
    </row>
    <row r="354" spans="1:7" ht="409.5">
      <c r="A354" t="s">
        <v>584</v>
      </c>
      <c r="B354" t="s">
        <v>571</v>
      </c>
      <c r="C354" t="s">
        <v>831</v>
      </c>
      <c r="D354" t="s">
        <v>586</v>
      </c>
      <c r="E354" t="s">
        <v>1111</v>
      </c>
      <c r="F354">
        <v>19</v>
      </c>
      <c r="G354" s="104" t="s">
        <v>1601</v>
      </c>
    </row>
    <row r="355" spans="1:7" ht="409.5">
      <c r="A355" t="s">
        <v>584</v>
      </c>
      <c r="B355" t="s">
        <v>571</v>
      </c>
      <c r="C355" t="s">
        <v>831</v>
      </c>
      <c r="D355" t="s">
        <v>586</v>
      </c>
      <c r="E355" t="s">
        <v>1111</v>
      </c>
      <c r="F355">
        <v>20</v>
      </c>
      <c r="G355" s="104" t="s">
        <v>1602</v>
      </c>
    </row>
    <row r="356" spans="1:7" ht="409.5">
      <c r="A356" t="s">
        <v>584</v>
      </c>
      <c r="B356" t="s">
        <v>571</v>
      </c>
      <c r="C356" t="s">
        <v>831</v>
      </c>
      <c r="D356" t="s">
        <v>586</v>
      </c>
      <c r="E356" t="s">
        <v>1111</v>
      </c>
      <c r="F356">
        <v>21</v>
      </c>
      <c r="G356" s="104" t="s">
        <v>1603</v>
      </c>
    </row>
    <row r="357" spans="1:7" ht="409.5">
      <c r="A357" t="s">
        <v>584</v>
      </c>
      <c r="B357" t="s">
        <v>571</v>
      </c>
      <c r="C357" t="s">
        <v>831</v>
      </c>
      <c r="D357" t="s">
        <v>586</v>
      </c>
      <c r="E357" t="s">
        <v>1111</v>
      </c>
      <c r="F357">
        <v>22</v>
      </c>
      <c r="G357" s="104" t="s">
        <v>1604</v>
      </c>
    </row>
    <row r="358" spans="1:7" ht="409.5">
      <c r="A358" t="s">
        <v>584</v>
      </c>
      <c r="B358" t="s">
        <v>571</v>
      </c>
      <c r="C358" t="s">
        <v>831</v>
      </c>
      <c r="D358" t="s">
        <v>586</v>
      </c>
      <c r="E358" t="s">
        <v>1111</v>
      </c>
      <c r="F358">
        <v>23</v>
      </c>
      <c r="G358" s="104" t="s">
        <v>1605</v>
      </c>
    </row>
    <row r="359" spans="1:7" ht="409.5">
      <c r="A359" t="s">
        <v>584</v>
      </c>
      <c r="B359" t="s">
        <v>571</v>
      </c>
      <c r="C359" t="s">
        <v>831</v>
      </c>
      <c r="D359" t="s">
        <v>586</v>
      </c>
      <c r="E359" t="s">
        <v>1111</v>
      </c>
      <c r="F359">
        <v>24</v>
      </c>
      <c r="G359" s="104" t="s">
        <v>1606</v>
      </c>
    </row>
    <row r="360" spans="1:7" ht="405">
      <c r="A360" t="s">
        <v>584</v>
      </c>
      <c r="B360" t="s">
        <v>571</v>
      </c>
      <c r="C360" t="s">
        <v>831</v>
      </c>
      <c r="D360" t="s">
        <v>586</v>
      </c>
      <c r="E360" t="s">
        <v>1111</v>
      </c>
      <c r="F360">
        <v>25</v>
      </c>
      <c r="G360" s="104" t="s">
        <v>1607</v>
      </c>
    </row>
    <row r="361" spans="1:7" ht="409.5">
      <c r="A361" t="s">
        <v>584</v>
      </c>
      <c r="B361" t="s">
        <v>571</v>
      </c>
      <c r="C361" t="s">
        <v>831</v>
      </c>
      <c r="D361" t="s">
        <v>586</v>
      </c>
      <c r="E361" t="s">
        <v>1111</v>
      </c>
      <c r="F361">
        <v>26</v>
      </c>
      <c r="G361" s="104" t="s">
        <v>1608</v>
      </c>
    </row>
    <row r="362" spans="1:7" ht="409.5">
      <c r="A362" t="s">
        <v>584</v>
      </c>
      <c r="B362" t="s">
        <v>571</v>
      </c>
      <c r="C362" t="s">
        <v>831</v>
      </c>
      <c r="D362" t="s">
        <v>586</v>
      </c>
      <c r="E362" t="s">
        <v>1111</v>
      </c>
      <c r="F362">
        <v>27</v>
      </c>
      <c r="G362" s="104" t="s">
        <v>1609</v>
      </c>
    </row>
    <row r="363" spans="1:7" ht="409.5">
      <c r="A363" t="s">
        <v>584</v>
      </c>
      <c r="B363" t="s">
        <v>571</v>
      </c>
      <c r="C363" t="s">
        <v>831</v>
      </c>
      <c r="D363" t="s">
        <v>586</v>
      </c>
      <c r="E363" t="s">
        <v>1111</v>
      </c>
      <c r="F363">
        <v>28</v>
      </c>
      <c r="G363" s="104" t="s">
        <v>1610</v>
      </c>
    </row>
    <row r="364" spans="1:7" ht="409.5">
      <c r="A364" t="s">
        <v>584</v>
      </c>
      <c r="B364" t="s">
        <v>571</v>
      </c>
      <c r="C364" t="s">
        <v>831</v>
      </c>
      <c r="D364" t="s">
        <v>586</v>
      </c>
      <c r="E364" t="s">
        <v>1111</v>
      </c>
      <c r="F364">
        <v>29</v>
      </c>
      <c r="G364" s="104" t="s">
        <v>1611</v>
      </c>
    </row>
    <row r="365" spans="1:7" ht="135">
      <c r="A365" t="s">
        <v>584</v>
      </c>
      <c r="B365" t="s">
        <v>571</v>
      </c>
      <c r="C365" t="s">
        <v>831</v>
      </c>
      <c r="D365" t="s">
        <v>586</v>
      </c>
      <c r="E365" t="s">
        <v>1111</v>
      </c>
      <c r="F365">
        <v>30</v>
      </c>
      <c r="G365" s="104" t="s">
        <v>1612</v>
      </c>
    </row>
    <row r="366" spans="1:7" ht="409.5">
      <c r="A366" t="s">
        <v>584</v>
      </c>
      <c r="B366" t="s">
        <v>571</v>
      </c>
      <c r="C366" t="s">
        <v>831</v>
      </c>
      <c r="D366" t="s">
        <v>586</v>
      </c>
      <c r="E366" t="s">
        <v>1111</v>
      </c>
      <c r="F366">
        <v>31</v>
      </c>
      <c r="G366" s="104" t="s">
        <v>1613</v>
      </c>
    </row>
    <row r="367" spans="1:7" ht="409.5">
      <c r="A367" t="s">
        <v>584</v>
      </c>
      <c r="B367" t="s">
        <v>571</v>
      </c>
      <c r="C367" t="s">
        <v>831</v>
      </c>
      <c r="D367" t="s">
        <v>586</v>
      </c>
      <c r="E367" t="s">
        <v>1111</v>
      </c>
      <c r="F367">
        <v>32</v>
      </c>
      <c r="G367" s="104" t="s">
        <v>1614</v>
      </c>
    </row>
    <row r="368" spans="1:7" ht="409.5">
      <c r="A368" t="s">
        <v>584</v>
      </c>
      <c r="B368" t="s">
        <v>571</v>
      </c>
      <c r="C368" t="s">
        <v>831</v>
      </c>
      <c r="D368" t="s">
        <v>586</v>
      </c>
      <c r="E368" t="s">
        <v>1111</v>
      </c>
      <c r="F368">
        <v>33</v>
      </c>
      <c r="G368" s="104" t="s">
        <v>1615</v>
      </c>
    </row>
    <row r="369" spans="1:7" ht="409.5">
      <c r="A369" t="s">
        <v>584</v>
      </c>
      <c r="B369" t="s">
        <v>571</v>
      </c>
      <c r="C369" t="s">
        <v>831</v>
      </c>
      <c r="D369" t="s">
        <v>586</v>
      </c>
      <c r="E369" t="s">
        <v>1111</v>
      </c>
      <c r="F369">
        <v>34</v>
      </c>
      <c r="G369" s="104" t="s">
        <v>1616</v>
      </c>
    </row>
    <row r="370" spans="1:7" ht="409.5">
      <c r="A370" t="s">
        <v>584</v>
      </c>
      <c r="B370" t="s">
        <v>571</v>
      </c>
      <c r="C370" t="s">
        <v>831</v>
      </c>
      <c r="D370" t="s">
        <v>586</v>
      </c>
      <c r="E370" t="s">
        <v>1111</v>
      </c>
      <c r="F370">
        <v>35</v>
      </c>
      <c r="G370" s="104" t="s">
        <v>1617</v>
      </c>
    </row>
    <row r="371" spans="1:7" ht="409.5">
      <c r="A371" t="s">
        <v>584</v>
      </c>
      <c r="B371" t="s">
        <v>571</v>
      </c>
      <c r="C371" t="s">
        <v>831</v>
      </c>
      <c r="D371" t="s">
        <v>586</v>
      </c>
      <c r="E371" t="s">
        <v>1111</v>
      </c>
      <c r="F371">
        <v>36</v>
      </c>
      <c r="G371" s="104" t="s">
        <v>1618</v>
      </c>
    </row>
    <row r="372" spans="1:7" ht="409.5">
      <c r="A372" t="s">
        <v>584</v>
      </c>
      <c r="B372" t="s">
        <v>571</v>
      </c>
      <c r="C372" t="s">
        <v>831</v>
      </c>
      <c r="D372" t="s">
        <v>586</v>
      </c>
      <c r="E372" t="s">
        <v>1111</v>
      </c>
      <c r="F372">
        <v>37</v>
      </c>
      <c r="G372" s="104" t="s">
        <v>1619</v>
      </c>
    </row>
    <row r="373" spans="1:7" ht="360">
      <c r="A373" t="s">
        <v>584</v>
      </c>
      <c r="B373" t="s">
        <v>571</v>
      </c>
      <c r="C373" t="s">
        <v>831</v>
      </c>
      <c r="D373" t="s">
        <v>586</v>
      </c>
      <c r="E373" t="s">
        <v>1111</v>
      </c>
      <c r="F373">
        <v>38</v>
      </c>
      <c r="G373" s="104" t="s">
        <v>1620</v>
      </c>
    </row>
    <row r="374" spans="1:7" ht="375">
      <c r="A374" t="s">
        <v>584</v>
      </c>
      <c r="B374" t="s">
        <v>571</v>
      </c>
      <c r="C374" t="s">
        <v>831</v>
      </c>
      <c r="D374" t="s">
        <v>586</v>
      </c>
      <c r="E374" t="s">
        <v>1111</v>
      </c>
      <c r="F374">
        <v>39</v>
      </c>
      <c r="G374" s="104" t="s">
        <v>1621</v>
      </c>
    </row>
    <row r="375" spans="1:7" ht="330">
      <c r="A375" t="s">
        <v>584</v>
      </c>
      <c r="B375" t="s">
        <v>571</v>
      </c>
      <c r="C375" t="s">
        <v>831</v>
      </c>
      <c r="D375" t="s">
        <v>586</v>
      </c>
      <c r="E375" t="s">
        <v>1111</v>
      </c>
      <c r="F375">
        <v>40</v>
      </c>
      <c r="G375" s="104" t="s">
        <v>1732</v>
      </c>
    </row>
    <row r="376" spans="1:7" ht="345">
      <c r="A376" t="s">
        <v>584</v>
      </c>
      <c r="B376" t="s">
        <v>571</v>
      </c>
      <c r="C376" t="s">
        <v>831</v>
      </c>
      <c r="D376" t="s">
        <v>586</v>
      </c>
      <c r="E376" t="s">
        <v>1111</v>
      </c>
      <c r="F376">
        <v>41</v>
      </c>
      <c r="G376" s="104" t="s">
        <v>1733</v>
      </c>
    </row>
    <row r="377" spans="1:7" ht="345">
      <c r="A377" t="s">
        <v>584</v>
      </c>
      <c r="B377" t="s">
        <v>571</v>
      </c>
      <c r="C377" t="s">
        <v>831</v>
      </c>
      <c r="D377" t="s">
        <v>586</v>
      </c>
      <c r="E377" t="s">
        <v>1111</v>
      </c>
      <c r="F377">
        <v>42</v>
      </c>
      <c r="G377" s="104" t="s">
        <v>1734</v>
      </c>
    </row>
    <row r="378" spans="1:7" ht="300">
      <c r="A378" t="s">
        <v>584</v>
      </c>
      <c r="B378" t="s">
        <v>571</v>
      </c>
      <c r="C378" t="s">
        <v>831</v>
      </c>
      <c r="D378" t="s">
        <v>586</v>
      </c>
      <c r="E378" t="s">
        <v>1111</v>
      </c>
      <c r="F378">
        <v>43</v>
      </c>
      <c r="G378" s="104" t="s">
        <v>1735</v>
      </c>
    </row>
    <row r="379" spans="1:7" ht="330">
      <c r="A379" t="s">
        <v>584</v>
      </c>
      <c r="B379" t="s">
        <v>571</v>
      </c>
      <c r="C379" t="s">
        <v>831</v>
      </c>
      <c r="D379" t="s">
        <v>586</v>
      </c>
      <c r="E379" t="s">
        <v>1111</v>
      </c>
      <c r="F379">
        <v>44</v>
      </c>
      <c r="G379" s="104" t="s">
        <v>1736</v>
      </c>
    </row>
    <row r="380" spans="1:7" ht="330">
      <c r="A380" t="s">
        <v>584</v>
      </c>
      <c r="B380" t="s">
        <v>571</v>
      </c>
      <c r="C380" t="s">
        <v>831</v>
      </c>
      <c r="D380" t="s">
        <v>586</v>
      </c>
      <c r="E380" t="s">
        <v>1111</v>
      </c>
      <c r="F380">
        <v>45</v>
      </c>
      <c r="G380" s="104" t="s">
        <v>1737</v>
      </c>
    </row>
    <row r="381" spans="1:7" ht="345">
      <c r="A381" t="s">
        <v>584</v>
      </c>
      <c r="B381" t="s">
        <v>571</v>
      </c>
      <c r="C381" t="s">
        <v>831</v>
      </c>
      <c r="D381" t="s">
        <v>586</v>
      </c>
      <c r="E381" t="s">
        <v>1111</v>
      </c>
      <c r="F381">
        <v>46</v>
      </c>
      <c r="G381" s="104" t="s">
        <v>1738</v>
      </c>
    </row>
    <row r="382" spans="1:7" ht="405">
      <c r="A382" t="s">
        <v>584</v>
      </c>
      <c r="B382" t="s">
        <v>571</v>
      </c>
      <c r="C382" t="s">
        <v>831</v>
      </c>
      <c r="D382" t="s">
        <v>586</v>
      </c>
      <c r="E382" t="s">
        <v>1111</v>
      </c>
      <c r="F382">
        <v>47</v>
      </c>
      <c r="G382" s="104" t="s">
        <v>1739</v>
      </c>
    </row>
    <row r="383" spans="1:7" ht="409.5">
      <c r="A383" t="s">
        <v>584</v>
      </c>
      <c r="B383" t="s">
        <v>571</v>
      </c>
      <c r="C383" t="s">
        <v>831</v>
      </c>
      <c r="D383" t="s">
        <v>586</v>
      </c>
      <c r="E383" t="s">
        <v>1111</v>
      </c>
      <c r="F383">
        <v>48</v>
      </c>
      <c r="G383" s="104" t="s">
        <v>1740</v>
      </c>
    </row>
    <row r="384" spans="1:7" ht="409.5">
      <c r="A384" t="s">
        <v>584</v>
      </c>
      <c r="B384" t="s">
        <v>571</v>
      </c>
      <c r="C384" t="s">
        <v>831</v>
      </c>
      <c r="D384" t="s">
        <v>586</v>
      </c>
      <c r="E384" t="s">
        <v>1111</v>
      </c>
      <c r="F384">
        <v>49</v>
      </c>
      <c r="G384" s="104" t="s">
        <v>1741</v>
      </c>
    </row>
    <row r="385" spans="1:7" ht="409.5">
      <c r="A385" t="s">
        <v>584</v>
      </c>
      <c r="B385" t="s">
        <v>571</v>
      </c>
      <c r="C385" t="s">
        <v>831</v>
      </c>
      <c r="D385" t="s">
        <v>586</v>
      </c>
      <c r="E385" t="s">
        <v>1111</v>
      </c>
      <c r="F385">
        <v>50</v>
      </c>
      <c r="G385" s="104" t="s">
        <v>1742</v>
      </c>
    </row>
    <row r="386" spans="1:7" ht="409.5">
      <c r="A386" t="s">
        <v>584</v>
      </c>
      <c r="B386" t="s">
        <v>571</v>
      </c>
      <c r="C386" t="s">
        <v>831</v>
      </c>
      <c r="D386" t="s">
        <v>586</v>
      </c>
      <c r="E386" t="s">
        <v>1111</v>
      </c>
      <c r="F386">
        <v>51</v>
      </c>
      <c r="G386" s="104" t="s">
        <v>1743</v>
      </c>
    </row>
    <row r="387" spans="1:7" ht="409.5">
      <c r="A387" t="s">
        <v>584</v>
      </c>
      <c r="B387" t="s">
        <v>571</v>
      </c>
      <c r="C387" t="s">
        <v>831</v>
      </c>
      <c r="D387" t="s">
        <v>586</v>
      </c>
      <c r="E387" t="s">
        <v>1111</v>
      </c>
      <c r="F387">
        <v>52</v>
      </c>
      <c r="G387" s="104" t="s">
        <v>1744</v>
      </c>
    </row>
    <row r="388" spans="1:7" ht="270">
      <c r="A388" t="s">
        <v>584</v>
      </c>
      <c r="B388" t="s">
        <v>571</v>
      </c>
      <c r="C388" t="s">
        <v>831</v>
      </c>
      <c r="D388" t="s">
        <v>586</v>
      </c>
      <c r="E388" t="s">
        <v>1111</v>
      </c>
      <c r="F388">
        <v>53</v>
      </c>
      <c r="G388" s="104" t="s">
        <v>1745</v>
      </c>
    </row>
    <row r="389" spans="1:7" ht="409.5">
      <c r="A389" t="s">
        <v>584</v>
      </c>
      <c r="B389" t="s">
        <v>571</v>
      </c>
      <c r="C389" t="s">
        <v>831</v>
      </c>
      <c r="D389" t="s">
        <v>586</v>
      </c>
      <c r="E389" t="s">
        <v>1111</v>
      </c>
      <c r="F389">
        <v>54</v>
      </c>
      <c r="G389" s="104" t="s">
        <v>1439</v>
      </c>
    </row>
    <row r="390" spans="1:7" ht="409.5">
      <c r="A390" t="s">
        <v>584</v>
      </c>
      <c r="B390" t="s">
        <v>571</v>
      </c>
      <c r="C390" t="s">
        <v>831</v>
      </c>
      <c r="D390" t="s">
        <v>586</v>
      </c>
      <c r="E390" t="s">
        <v>1111</v>
      </c>
      <c r="F390">
        <v>55</v>
      </c>
      <c r="G390" s="104" t="s">
        <v>1440</v>
      </c>
    </row>
    <row r="391" spans="1:7" ht="409.5">
      <c r="A391" t="s">
        <v>584</v>
      </c>
      <c r="B391" t="s">
        <v>571</v>
      </c>
      <c r="C391" t="s">
        <v>831</v>
      </c>
      <c r="D391" t="s">
        <v>586</v>
      </c>
      <c r="E391" t="s">
        <v>1111</v>
      </c>
      <c r="F391">
        <v>56</v>
      </c>
      <c r="G391" s="104" t="s">
        <v>1441</v>
      </c>
    </row>
    <row r="392" spans="1:7" ht="150">
      <c r="A392" t="s">
        <v>584</v>
      </c>
      <c r="B392" t="s">
        <v>571</v>
      </c>
      <c r="C392" t="s">
        <v>831</v>
      </c>
      <c r="D392" t="s">
        <v>586</v>
      </c>
      <c r="E392" t="s">
        <v>1111</v>
      </c>
      <c r="F392">
        <v>57</v>
      </c>
      <c r="G392" s="104" t="s">
        <v>1442</v>
      </c>
    </row>
    <row r="393" spans="1:7" ht="409.5">
      <c r="A393" t="s">
        <v>584</v>
      </c>
      <c r="B393" t="s">
        <v>571</v>
      </c>
      <c r="C393" t="s">
        <v>831</v>
      </c>
      <c r="D393" t="s">
        <v>586</v>
      </c>
      <c r="E393" t="s">
        <v>1111</v>
      </c>
      <c r="F393">
        <v>58</v>
      </c>
      <c r="G393" s="104" t="s">
        <v>1112</v>
      </c>
    </row>
    <row r="394" spans="1:7" ht="409.5">
      <c r="A394" t="s">
        <v>584</v>
      </c>
      <c r="B394" t="s">
        <v>571</v>
      </c>
      <c r="C394" t="s">
        <v>831</v>
      </c>
      <c r="D394" t="s">
        <v>586</v>
      </c>
      <c r="E394" t="s">
        <v>1111</v>
      </c>
      <c r="F394">
        <v>59</v>
      </c>
      <c r="G394" s="104" t="s">
        <v>1113</v>
      </c>
    </row>
    <row r="395" spans="1:7" ht="409.5">
      <c r="A395" t="s">
        <v>584</v>
      </c>
      <c r="B395" t="s">
        <v>571</v>
      </c>
      <c r="C395" t="s">
        <v>831</v>
      </c>
      <c r="D395" t="s">
        <v>586</v>
      </c>
      <c r="E395" t="s">
        <v>1111</v>
      </c>
      <c r="F395">
        <v>60</v>
      </c>
      <c r="G395" s="104" t="s">
        <v>1114</v>
      </c>
    </row>
    <row r="396" spans="1:7" ht="409.5">
      <c r="A396" t="s">
        <v>584</v>
      </c>
      <c r="B396" t="s">
        <v>571</v>
      </c>
      <c r="C396" t="s">
        <v>831</v>
      </c>
      <c r="D396" t="s">
        <v>586</v>
      </c>
      <c r="E396" t="s">
        <v>1111</v>
      </c>
      <c r="F396">
        <v>61</v>
      </c>
      <c r="G396" s="104" t="s">
        <v>1115</v>
      </c>
    </row>
    <row r="397" spans="1:7" ht="409.5">
      <c r="A397" t="s">
        <v>584</v>
      </c>
      <c r="B397" t="s">
        <v>571</v>
      </c>
      <c r="C397" t="s">
        <v>831</v>
      </c>
      <c r="D397" t="s">
        <v>586</v>
      </c>
      <c r="E397" t="s">
        <v>1111</v>
      </c>
      <c r="F397">
        <v>62</v>
      </c>
      <c r="G397" s="104" t="s">
        <v>1116</v>
      </c>
    </row>
    <row r="398" spans="1:7" ht="409.5">
      <c r="A398" t="s">
        <v>584</v>
      </c>
      <c r="B398" t="s">
        <v>571</v>
      </c>
      <c r="C398" t="s">
        <v>831</v>
      </c>
      <c r="D398" t="s">
        <v>586</v>
      </c>
      <c r="E398" t="s">
        <v>1111</v>
      </c>
      <c r="F398">
        <v>63</v>
      </c>
      <c r="G398" s="104" t="s">
        <v>1117</v>
      </c>
    </row>
    <row r="399" spans="1:7" ht="409.5">
      <c r="A399" t="s">
        <v>584</v>
      </c>
      <c r="B399" t="s">
        <v>571</v>
      </c>
      <c r="C399" t="s">
        <v>831</v>
      </c>
      <c r="D399" t="s">
        <v>586</v>
      </c>
      <c r="E399" t="s">
        <v>1111</v>
      </c>
      <c r="F399">
        <v>64</v>
      </c>
      <c r="G399" s="104" t="s">
        <v>1622</v>
      </c>
    </row>
    <row r="400" spans="1:7" ht="409.5">
      <c r="A400" t="s">
        <v>584</v>
      </c>
      <c r="B400" t="s">
        <v>571</v>
      </c>
      <c r="C400" t="s">
        <v>831</v>
      </c>
      <c r="D400" t="s">
        <v>586</v>
      </c>
      <c r="E400" t="s">
        <v>1111</v>
      </c>
      <c r="F400">
        <v>65</v>
      </c>
      <c r="G400" s="104" t="s">
        <v>1443</v>
      </c>
    </row>
    <row r="401" spans="1:7" ht="409.5">
      <c r="A401" t="s">
        <v>584</v>
      </c>
      <c r="B401" t="s">
        <v>571</v>
      </c>
      <c r="C401" t="s">
        <v>831</v>
      </c>
      <c r="D401" t="s">
        <v>586</v>
      </c>
      <c r="E401" t="s">
        <v>1111</v>
      </c>
      <c r="F401">
        <v>66</v>
      </c>
      <c r="G401" s="104" t="s">
        <v>1118</v>
      </c>
    </row>
    <row r="402" spans="1:7" ht="409.5">
      <c r="A402" t="s">
        <v>584</v>
      </c>
      <c r="B402" t="s">
        <v>571</v>
      </c>
      <c r="C402" t="s">
        <v>831</v>
      </c>
      <c r="D402" t="s">
        <v>586</v>
      </c>
      <c r="E402" t="s">
        <v>1111</v>
      </c>
      <c r="F402">
        <v>67</v>
      </c>
      <c r="G402" s="104" t="s">
        <v>1119</v>
      </c>
    </row>
    <row r="403" spans="1:7" ht="409.5">
      <c r="A403" t="s">
        <v>584</v>
      </c>
      <c r="B403" t="s">
        <v>571</v>
      </c>
      <c r="C403" t="s">
        <v>831</v>
      </c>
      <c r="D403" t="s">
        <v>586</v>
      </c>
      <c r="E403" t="s">
        <v>1111</v>
      </c>
      <c r="F403">
        <v>68</v>
      </c>
      <c r="G403" s="104" t="s">
        <v>1120</v>
      </c>
    </row>
    <row r="404" spans="1:7" ht="375">
      <c r="A404" t="s">
        <v>584</v>
      </c>
      <c r="B404" t="s">
        <v>571</v>
      </c>
      <c r="C404" t="s">
        <v>831</v>
      </c>
      <c r="D404" t="s">
        <v>586</v>
      </c>
      <c r="E404" t="s">
        <v>1111</v>
      </c>
      <c r="F404">
        <v>69</v>
      </c>
      <c r="G404" s="104" t="s">
        <v>1623</v>
      </c>
    </row>
    <row r="405" spans="1:7" ht="409.5">
      <c r="A405" t="s">
        <v>584</v>
      </c>
      <c r="B405" t="s">
        <v>571</v>
      </c>
      <c r="C405" t="s">
        <v>831</v>
      </c>
      <c r="D405" t="s">
        <v>586</v>
      </c>
      <c r="E405" t="s">
        <v>1111</v>
      </c>
      <c r="F405">
        <v>70</v>
      </c>
      <c r="G405" s="104" t="s">
        <v>1121</v>
      </c>
    </row>
    <row r="406" spans="1:7" ht="390">
      <c r="A406" t="s">
        <v>584</v>
      </c>
      <c r="B406" t="s">
        <v>571</v>
      </c>
      <c r="C406" t="s">
        <v>831</v>
      </c>
      <c r="D406" t="s">
        <v>586</v>
      </c>
      <c r="E406" t="s">
        <v>1111</v>
      </c>
      <c r="F406">
        <v>71</v>
      </c>
      <c r="G406" s="104" t="s">
        <v>1122</v>
      </c>
    </row>
    <row r="407" spans="1:7" ht="409.5">
      <c r="A407" t="s">
        <v>584</v>
      </c>
      <c r="B407" t="s">
        <v>571</v>
      </c>
      <c r="C407" t="s">
        <v>831</v>
      </c>
      <c r="D407" t="s">
        <v>586</v>
      </c>
      <c r="E407" t="s">
        <v>1111</v>
      </c>
      <c r="F407">
        <v>72</v>
      </c>
      <c r="G407" s="104" t="s">
        <v>1624</v>
      </c>
    </row>
    <row r="408" spans="1:7" ht="375">
      <c r="A408" t="s">
        <v>584</v>
      </c>
      <c r="B408" t="s">
        <v>571</v>
      </c>
      <c r="C408" t="s">
        <v>831</v>
      </c>
      <c r="D408" t="s">
        <v>586</v>
      </c>
      <c r="E408" t="s">
        <v>1111</v>
      </c>
      <c r="F408">
        <v>73</v>
      </c>
      <c r="G408" s="104" t="s">
        <v>1625</v>
      </c>
    </row>
    <row r="409" spans="1:7" ht="409.5">
      <c r="A409" t="s">
        <v>584</v>
      </c>
      <c r="B409" t="s">
        <v>571</v>
      </c>
      <c r="C409" t="s">
        <v>831</v>
      </c>
      <c r="D409" t="s">
        <v>586</v>
      </c>
      <c r="E409" t="s">
        <v>1111</v>
      </c>
      <c r="F409">
        <v>74</v>
      </c>
      <c r="G409" s="104" t="s">
        <v>1626</v>
      </c>
    </row>
    <row r="410" spans="1:7" ht="240">
      <c r="A410" t="s">
        <v>584</v>
      </c>
      <c r="B410" t="s">
        <v>571</v>
      </c>
      <c r="C410" t="s">
        <v>831</v>
      </c>
      <c r="D410" t="s">
        <v>586</v>
      </c>
      <c r="E410" t="s">
        <v>1111</v>
      </c>
      <c r="F410">
        <v>75</v>
      </c>
      <c r="G410" s="104" t="s">
        <v>1123</v>
      </c>
    </row>
    <row r="411" spans="1:7" ht="409.5">
      <c r="A411" t="s">
        <v>584</v>
      </c>
      <c r="B411" t="s">
        <v>571</v>
      </c>
      <c r="C411" t="s">
        <v>831</v>
      </c>
      <c r="D411" t="s">
        <v>586</v>
      </c>
      <c r="E411" t="s">
        <v>1111</v>
      </c>
      <c r="F411">
        <v>76</v>
      </c>
      <c r="G411" s="104" t="s">
        <v>1124</v>
      </c>
    </row>
    <row r="412" spans="1:7" ht="409.5">
      <c r="A412" t="s">
        <v>584</v>
      </c>
      <c r="B412" t="s">
        <v>571</v>
      </c>
      <c r="C412" t="s">
        <v>831</v>
      </c>
      <c r="D412" t="s">
        <v>586</v>
      </c>
      <c r="E412" t="s">
        <v>1111</v>
      </c>
      <c r="F412">
        <v>77</v>
      </c>
      <c r="G412" s="104" t="s">
        <v>1685</v>
      </c>
    </row>
    <row r="413" spans="1:7" ht="409.5">
      <c r="A413" t="s">
        <v>584</v>
      </c>
      <c r="B413" t="s">
        <v>571</v>
      </c>
      <c r="C413" t="s">
        <v>831</v>
      </c>
      <c r="D413" t="s">
        <v>586</v>
      </c>
      <c r="E413" t="s">
        <v>1111</v>
      </c>
      <c r="F413">
        <v>78</v>
      </c>
      <c r="G413" s="104" t="s">
        <v>1686</v>
      </c>
    </row>
    <row r="414" spans="1:7" ht="409.5">
      <c r="A414" t="s">
        <v>584</v>
      </c>
      <c r="B414" t="s">
        <v>571</v>
      </c>
      <c r="C414" t="s">
        <v>831</v>
      </c>
      <c r="D414" t="s">
        <v>586</v>
      </c>
      <c r="E414" t="s">
        <v>1111</v>
      </c>
      <c r="F414">
        <v>79</v>
      </c>
      <c r="G414" s="104" t="s">
        <v>1687</v>
      </c>
    </row>
    <row r="415" spans="1:7" ht="409.5">
      <c r="A415" t="s">
        <v>584</v>
      </c>
      <c r="B415" t="s">
        <v>571</v>
      </c>
      <c r="C415" t="s">
        <v>831</v>
      </c>
      <c r="D415" t="s">
        <v>586</v>
      </c>
      <c r="E415" t="s">
        <v>1111</v>
      </c>
      <c r="F415">
        <v>80</v>
      </c>
      <c r="G415" s="104" t="s">
        <v>1688</v>
      </c>
    </row>
    <row r="416" spans="1:7" ht="409.5">
      <c r="A416" t="s">
        <v>584</v>
      </c>
      <c r="B416" t="s">
        <v>571</v>
      </c>
      <c r="C416" t="s">
        <v>831</v>
      </c>
      <c r="D416" t="s">
        <v>586</v>
      </c>
      <c r="E416" t="s">
        <v>1111</v>
      </c>
      <c r="F416">
        <v>81</v>
      </c>
      <c r="G416" s="104" t="s">
        <v>1689</v>
      </c>
    </row>
    <row r="417" spans="1:7" ht="409.5">
      <c r="A417" t="s">
        <v>584</v>
      </c>
      <c r="B417" t="s">
        <v>571</v>
      </c>
      <c r="C417" t="s">
        <v>831</v>
      </c>
      <c r="D417" t="s">
        <v>586</v>
      </c>
      <c r="E417" t="s">
        <v>1111</v>
      </c>
      <c r="F417">
        <v>82</v>
      </c>
      <c r="G417" s="104" t="s">
        <v>1690</v>
      </c>
    </row>
    <row r="418" spans="1:7" ht="345">
      <c r="A418" t="s">
        <v>584</v>
      </c>
      <c r="B418" t="s">
        <v>571</v>
      </c>
      <c r="C418" t="s">
        <v>831</v>
      </c>
      <c r="D418" t="s">
        <v>586</v>
      </c>
      <c r="E418" t="s">
        <v>1111</v>
      </c>
      <c r="F418">
        <v>83</v>
      </c>
      <c r="G418" s="104" t="s">
        <v>1691</v>
      </c>
    </row>
    <row r="419" spans="1:7" ht="409.5">
      <c r="A419" t="s">
        <v>584</v>
      </c>
      <c r="B419" t="s">
        <v>571</v>
      </c>
      <c r="C419" t="s">
        <v>831</v>
      </c>
      <c r="D419" t="s">
        <v>586</v>
      </c>
      <c r="E419" t="s">
        <v>1111</v>
      </c>
      <c r="F419">
        <v>84</v>
      </c>
      <c r="G419" s="104" t="s">
        <v>1444</v>
      </c>
    </row>
    <row r="420" spans="1:7" ht="409.5">
      <c r="A420" t="s">
        <v>584</v>
      </c>
      <c r="B420" t="s">
        <v>571</v>
      </c>
      <c r="C420" t="s">
        <v>831</v>
      </c>
      <c r="D420" t="s">
        <v>586</v>
      </c>
      <c r="E420" t="s">
        <v>1111</v>
      </c>
      <c r="F420">
        <v>85</v>
      </c>
      <c r="G420" s="104" t="s">
        <v>1746</v>
      </c>
    </row>
    <row r="421" spans="1:7" ht="390">
      <c r="A421" t="s">
        <v>584</v>
      </c>
      <c r="B421" t="s">
        <v>571</v>
      </c>
      <c r="C421" t="s">
        <v>831</v>
      </c>
      <c r="D421" t="s">
        <v>586</v>
      </c>
      <c r="E421" t="s">
        <v>1111</v>
      </c>
      <c r="F421">
        <v>86</v>
      </c>
      <c r="G421" s="104" t="s">
        <v>1747</v>
      </c>
    </row>
    <row r="422" spans="1:7" ht="409.5">
      <c r="A422" t="s">
        <v>584</v>
      </c>
      <c r="B422" t="s">
        <v>571</v>
      </c>
      <c r="C422" t="s">
        <v>831</v>
      </c>
      <c r="D422" t="s">
        <v>586</v>
      </c>
      <c r="E422" t="s">
        <v>1111</v>
      </c>
      <c r="F422">
        <v>87</v>
      </c>
      <c r="G422" s="104" t="s">
        <v>1748</v>
      </c>
    </row>
    <row r="423" spans="1:7" ht="345">
      <c r="A423" t="s">
        <v>584</v>
      </c>
      <c r="B423" t="s">
        <v>571</v>
      </c>
      <c r="C423" t="s">
        <v>831</v>
      </c>
      <c r="D423" t="s">
        <v>586</v>
      </c>
      <c r="E423" t="s">
        <v>1111</v>
      </c>
      <c r="F423">
        <v>88</v>
      </c>
      <c r="G423" s="104" t="s">
        <v>1749</v>
      </c>
    </row>
    <row r="424" spans="1:7" ht="409.5">
      <c r="A424" t="s">
        <v>584</v>
      </c>
      <c r="B424" t="s">
        <v>571</v>
      </c>
      <c r="C424" t="s">
        <v>831</v>
      </c>
      <c r="D424" t="s">
        <v>586</v>
      </c>
      <c r="E424" t="s">
        <v>1111</v>
      </c>
      <c r="F424">
        <v>89</v>
      </c>
      <c r="G424" s="104" t="s">
        <v>1125</v>
      </c>
    </row>
    <row r="425" spans="1:7" ht="405">
      <c r="A425" t="s">
        <v>584</v>
      </c>
      <c r="B425" t="s">
        <v>571</v>
      </c>
      <c r="C425" t="s">
        <v>831</v>
      </c>
      <c r="D425" t="s">
        <v>586</v>
      </c>
      <c r="E425" t="s">
        <v>1111</v>
      </c>
      <c r="F425">
        <v>90</v>
      </c>
      <c r="G425" s="104" t="s">
        <v>1627</v>
      </c>
    </row>
    <row r="426" spans="1:7" ht="409.5">
      <c r="A426" t="s">
        <v>584</v>
      </c>
      <c r="B426" t="s">
        <v>571</v>
      </c>
      <c r="C426" t="s">
        <v>831</v>
      </c>
      <c r="D426" t="s">
        <v>586</v>
      </c>
      <c r="E426" t="s">
        <v>1111</v>
      </c>
      <c r="F426">
        <v>91</v>
      </c>
      <c r="G426" s="104" t="s">
        <v>1126</v>
      </c>
    </row>
    <row r="427" spans="1:7" ht="409.5">
      <c r="A427" t="s">
        <v>584</v>
      </c>
      <c r="B427" t="s">
        <v>571</v>
      </c>
      <c r="C427" t="s">
        <v>831</v>
      </c>
      <c r="D427" t="s">
        <v>586</v>
      </c>
      <c r="E427" t="s">
        <v>1111</v>
      </c>
      <c r="F427">
        <v>92</v>
      </c>
      <c r="G427" s="104" t="s">
        <v>1445</v>
      </c>
    </row>
    <row r="428" spans="1:7" ht="409.5">
      <c r="A428" t="s">
        <v>584</v>
      </c>
      <c r="B428" t="s">
        <v>571</v>
      </c>
      <c r="C428" t="s">
        <v>831</v>
      </c>
      <c r="D428" t="s">
        <v>586</v>
      </c>
      <c r="E428" t="s">
        <v>1111</v>
      </c>
      <c r="F428">
        <v>93</v>
      </c>
      <c r="G428" s="104" t="s">
        <v>1628</v>
      </c>
    </row>
    <row r="429" spans="1:7" ht="375">
      <c r="A429" t="s">
        <v>584</v>
      </c>
      <c r="B429" t="s">
        <v>571</v>
      </c>
      <c r="C429" t="s">
        <v>831</v>
      </c>
      <c r="D429" t="s">
        <v>586</v>
      </c>
      <c r="E429" t="s">
        <v>1111</v>
      </c>
      <c r="F429">
        <v>94</v>
      </c>
      <c r="G429" s="104" t="s">
        <v>1389</v>
      </c>
    </row>
    <row r="430" spans="1:7" ht="409.5">
      <c r="A430" t="s">
        <v>584</v>
      </c>
      <c r="B430" t="s">
        <v>571</v>
      </c>
      <c r="C430" t="s">
        <v>831</v>
      </c>
      <c r="D430" t="s">
        <v>586</v>
      </c>
      <c r="E430" t="s">
        <v>1111</v>
      </c>
      <c r="F430">
        <v>95</v>
      </c>
      <c r="G430" s="104" t="s">
        <v>1390</v>
      </c>
    </row>
    <row r="431" spans="1:7" ht="405">
      <c r="A431" t="s">
        <v>584</v>
      </c>
      <c r="B431" t="s">
        <v>571</v>
      </c>
      <c r="C431" t="s">
        <v>831</v>
      </c>
      <c r="D431" t="s">
        <v>586</v>
      </c>
      <c r="E431" t="s">
        <v>1111</v>
      </c>
      <c r="F431">
        <v>96</v>
      </c>
      <c r="G431" s="104" t="s">
        <v>1446</v>
      </c>
    </row>
    <row r="432" spans="1:7" ht="409.5">
      <c r="A432" t="s">
        <v>584</v>
      </c>
      <c r="B432" t="s">
        <v>571</v>
      </c>
      <c r="C432" t="s">
        <v>831</v>
      </c>
      <c r="D432" t="s">
        <v>586</v>
      </c>
      <c r="E432" t="s">
        <v>1111</v>
      </c>
      <c r="F432">
        <v>97</v>
      </c>
      <c r="G432" s="104" t="s">
        <v>1127</v>
      </c>
    </row>
    <row r="433" spans="1:7" ht="409.5">
      <c r="A433" t="s">
        <v>584</v>
      </c>
      <c r="B433" t="s">
        <v>571</v>
      </c>
      <c r="C433" t="s">
        <v>831</v>
      </c>
      <c r="D433" t="s">
        <v>586</v>
      </c>
      <c r="E433" t="s">
        <v>1111</v>
      </c>
      <c r="F433">
        <v>98</v>
      </c>
      <c r="G433" s="104" t="s">
        <v>1128</v>
      </c>
    </row>
    <row r="434" spans="1:7" ht="409.5">
      <c r="A434" t="s">
        <v>584</v>
      </c>
      <c r="B434" t="s">
        <v>571</v>
      </c>
      <c r="C434" t="s">
        <v>831</v>
      </c>
      <c r="D434" t="s">
        <v>586</v>
      </c>
      <c r="E434" t="s">
        <v>1111</v>
      </c>
      <c r="F434">
        <v>99</v>
      </c>
      <c r="G434" s="104" t="s">
        <v>1129</v>
      </c>
    </row>
    <row r="435" spans="1:7" ht="409.5">
      <c r="A435" t="s">
        <v>584</v>
      </c>
      <c r="B435" t="s">
        <v>571</v>
      </c>
      <c r="C435" t="s">
        <v>831</v>
      </c>
      <c r="D435" t="s">
        <v>586</v>
      </c>
      <c r="E435" t="s">
        <v>1111</v>
      </c>
      <c r="F435">
        <v>100</v>
      </c>
      <c r="G435" s="104" t="s">
        <v>1130</v>
      </c>
    </row>
    <row r="436" spans="1:7" ht="409.5">
      <c r="A436" t="s">
        <v>584</v>
      </c>
      <c r="B436" t="s">
        <v>571</v>
      </c>
      <c r="C436" t="s">
        <v>831</v>
      </c>
      <c r="D436" t="s">
        <v>586</v>
      </c>
      <c r="E436" t="s">
        <v>1111</v>
      </c>
      <c r="F436">
        <v>101</v>
      </c>
      <c r="G436" s="104" t="s">
        <v>1131</v>
      </c>
    </row>
    <row r="437" spans="1:7" ht="409.5">
      <c r="A437" t="s">
        <v>584</v>
      </c>
      <c r="B437" t="s">
        <v>571</v>
      </c>
      <c r="C437" t="s">
        <v>831</v>
      </c>
      <c r="D437" t="s">
        <v>586</v>
      </c>
      <c r="E437" t="s">
        <v>1111</v>
      </c>
      <c r="F437">
        <v>102</v>
      </c>
      <c r="G437" s="104" t="s">
        <v>1132</v>
      </c>
    </row>
    <row r="438" spans="1:7" ht="409.5">
      <c r="A438" t="s">
        <v>584</v>
      </c>
      <c r="B438" t="s">
        <v>571</v>
      </c>
      <c r="C438" t="s">
        <v>831</v>
      </c>
      <c r="D438" t="s">
        <v>586</v>
      </c>
      <c r="E438" t="s">
        <v>1111</v>
      </c>
      <c r="F438">
        <v>103</v>
      </c>
      <c r="G438" s="104" t="s">
        <v>1629</v>
      </c>
    </row>
    <row r="439" spans="1:7" ht="409.5">
      <c r="A439" t="s">
        <v>584</v>
      </c>
      <c r="B439" t="s">
        <v>571</v>
      </c>
      <c r="C439" t="s">
        <v>831</v>
      </c>
      <c r="D439" t="s">
        <v>586</v>
      </c>
      <c r="E439" t="s">
        <v>1111</v>
      </c>
      <c r="F439">
        <v>104</v>
      </c>
      <c r="G439" s="104" t="s">
        <v>1447</v>
      </c>
    </row>
    <row r="440" spans="1:7" ht="409.5">
      <c r="A440" t="s">
        <v>584</v>
      </c>
      <c r="B440" t="s">
        <v>571</v>
      </c>
      <c r="C440" t="s">
        <v>831</v>
      </c>
      <c r="D440" t="s">
        <v>586</v>
      </c>
      <c r="E440" t="s">
        <v>1111</v>
      </c>
      <c r="F440">
        <v>105</v>
      </c>
      <c r="G440" s="104" t="s">
        <v>1133</v>
      </c>
    </row>
    <row r="441" spans="1:7" ht="409.5">
      <c r="A441" t="s">
        <v>584</v>
      </c>
      <c r="B441" t="s">
        <v>571</v>
      </c>
      <c r="C441" t="s">
        <v>831</v>
      </c>
      <c r="D441" t="s">
        <v>586</v>
      </c>
      <c r="E441" t="s">
        <v>1111</v>
      </c>
      <c r="F441">
        <v>106</v>
      </c>
      <c r="G441" s="104" t="s">
        <v>1134</v>
      </c>
    </row>
    <row r="442" spans="1:7" ht="409.5">
      <c r="A442" t="s">
        <v>584</v>
      </c>
      <c r="B442" t="s">
        <v>571</v>
      </c>
      <c r="C442" t="s">
        <v>831</v>
      </c>
      <c r="D442" t="s">
        <v>586</v>
      </c>
      <c r="E442" t="s">
        <v>1111</v>
      </c>
      <c r="F442">
        <v>107</v>
      </c>
      <c r="G442" s="104" t="s">
        <v>1135</v>
      </c>
    </row>
    <row r="443" spans="1:7" ht="409.5">
      <c r="A443" t="s">
        <v>584</v>
      </c>
      <c r="B443" t="s">
        <v>571</v>
      </c>
      <c r="C443" t="s">
        <v>831</v>
      </c>
      <c r="D443" t="s">
        <v>586</v>
      </c>
      <c r="E443" t="s">
        <v>1111</v>
      </c>
      <c r="F443">
        <v>108</v>
      </c>
      <c r="G443" s="104" t="s">
        <v>1448</v>
      </c>
    </row>
    <row r="444" spans="1:7" ht="409.5">
      <c r="A444" t="s">
        <v>584</v>
      </c>
      <c r="B444" t="s">
        <v>571</v>
      </c>
      <c r="C444" t="s">
        <v>831</v>
      </c>
      <c r="D444" t="s">
        <v>586</v>
      </c>
      <c r="E444" t="s">
        <v>1111</v>
      </c>
      <c r="F444">
        <v>109</v>
      </c>
      <c r="G444" s="104" t="s">
        <v>1391</v>
      </c>
    </row>
    <row r="445" spans="1:7" ht="210">
      <c r="A445" t="s">
        <v>584</v>
      </c>
      <c r="B445" t="s">
        <v>571</v>
      </c>
      <c r="C445" t="s">
        <v>831</v>
      </c>
      <c r="D445" t="s">
        <v>586</v>
      </c>
      <c r="E445" t="s">
        <v>1111</v>
      </c>
      <c r="F445">
        <v>110</v>
      </c>
      <c r="G445" s="104" t="s">
        <v>1392</v>
      </c>
    </row>
    <row r="446" spans="1:7" ht="409.5">
      <c r="A446" t="s">
        <v>584</v>
      </c>
      <c r="B446" t="s">
        <v>571</v>
      </c>
      <c r="C446" t="s">
        <v>831</v>
      </c>
      <c r="D446" t="s">
        <v>586</v>
      </c>
      <c r="E446" t="s">
        <v>1111</v>
      </c>
      <c r="F446">
        <v>111</v>
      </c>
      <c r="G446" s="104" t="s">
        <v>1449</v>
      </c>
    </row>
    <row r="447" spans="1:7" ht="409.5">
      <c r="A447" t="s">
        <v>584</v>
      </c>
      <c r="B447" t="s">
        <v>571</v>
      </c>
      <c r="C447" t="s">
        <v>831</v>
      </c>
      <c r="D447" t="s">
        <v>586</v>
      </c>
      <c r="E447" t="s">
        <v>1111</v>
      </c>
      <c r="F447">
        <v>112</v>
      </c>
      <c r="G447" s="104" t="s">
        <v>1450</v>
      </c>
    </row>
    <row r="448" spans="1:7" ht="409.5">
      <c r="A448" t="s">
        <v>584</v>
      </c>
      <c r="B448" t="s">
        <v>571</v>
      </c>
      <c r="C448" t="s">
        <v>831</v>
      </c>
      <c r="D448" t="s">
        <v>586</v>
      </c>
      <c r="E448" t="s">
        <v>1111</v>
      </c>
      <c r="F448">
        <v>113</v>
      </c>
      <c r="G448" s="104" t="s">
        <v>1451</v>
      </c>
    </row>
    <row r="449" spans="1:7" ht="409.5">
      <c r="A449" t="s">
        <v>584</v>
      </c>
      <c r="B449" t="s">
        <v>571</v>
      </c>
      <c r="C449" t="s">
        <v>831</v>
      </c>
      <c r="D449" t="s">
        <v>586</v>
      </c>
      <c r="E449" t="s">
        <v>1111</v>
      </c>
      <c r="F449">
        <v>114</v>
      </c>
      <c r="G449" s="104" t="s">
        <v>1452</v>
      </c>
    </row>
    <row r="450" spans="1:7" ht="409.5">
      <c r="A450" t="s">
        <v>584</v>
      </c>
      <c r="B450" t="s">
        <v>571</v>
      </c>
      <c r="C450" t="s">
        <v>831</v>
      </c>
      <c r="D450" t="s">
        <v>586</v>
      </c>
      <c r="E450" t="s">
        <v>1111</v>
      </c>
      <c r="F450">
        <v>115</v>
      </c>
      <c r="G450" s="104" t="s">
        <v>1453</v>
      </c>
    </row>
    <row r="451" spans="1:7" ht="409.5">
      <c r="A451" t="s">
        <v>584</v>
      </c>
      <c r="B451" t="s">
        <v>571</v>
      </c>
      <c r="C451" t="s">
        <v>831</v>
      </c>
      <c r="D451" t="s">
        <v>586</v>
      </c>
      <c r="E451" t="s">
        <v>1111</v>
      </c>
      <c r="F451">
        <v>116</v>
      </c>
      <c r="G451" s="104" t="s">
        <v>1454</v>
      </c>
    </row>
    <row r="452" spans="1:7" ht="409.5">
      <c r="A452" t="s">
        <v>584</v>
      </c>
      <c r="B452" t="s">
        <v>571</v>
      </c>
      <c r="C452" t="s">
        <v>831</v>
      </c>
      <c r="D452" t="s">
        <v>586</v>
      </c>
      <c r="E452" t="s">
        <v>1111</v>
      </c>
      <c r="F452">
        <v>117</v>
      </c>
      <c r="G452" s="104" t="s">
        <v>1455</v>
      </c>
    </row>
    <row r="453" spans="1:7" ht="409.5">
      <c r="A453" t="s">
        <v>584</v>
      </c>
      <c r="B453" t="s">
        <v>571</v>
      </c>
      <c r="C453" t="s">
        <v>831</v>
      </c>
      <c r="D453" t="s">
        <v>586</v>
      </c>
      <c r="E453" t="s">
        <v>1111</v>
      </c>
      <c r="F453">
        <v>118</v>
      </c>
      <c r="G453" s="104" t="s">
        <v>1456</v>
      </c>
    </row>
    <row r="454" spans="1:7" ht="409.5">
      <c r="A454" t="s">
        <v>584</v>
      </c>
      <c r="B454" t="s">
        <v>571</v>
      </c>
      <c r="C454" t="s">
        <v>831</v>
      </c>
      <c r="D454" t="s">
        <v>586</v>
      </c>
      <c r="E454" t="s">
        <v>1111</v>
      </c>
      <c r="F454">
        <v>119</v>
      </c>
      <c r="G454" s="104" t="s">
        <v>1457</v>
      </c>
    </row>
    <row r="455" spans="1:7" ht="409.5">
      <c r="A455" t="s">
        <v>584</v>
      </c>
      <c r="B455" t="s">
        <v>571</v>
      </c>
      <c r="C455" t="s">
        <v>831</v>
      </c>
      <c r="D455" t="s">
        <v>586</v>
      </c>
      <c r="E455" t="s">
        <v>1111</v>
      </c>
      <c r="F455">
        <v>120</v>
      </c>
      <c r="G455" s="104" t="s">
        <v>1458</v>
      </c>
    </row>
    <row r="456" spans="1:7" ht="409.5">
      <c r="A456" t="s">
        <v>584</v>
      </c>
      <c r="B456" t="s">
        <v>571</v>
      </c>
      <c r="C456" t="s">
        <v>831</v>
      </c>
      <c r="D456" t="s">
        <v>586</v>
      </c>
      <c r="E456" t="s">
        <v>1111</v>
      </c>
      <c r="F456">
        <v>121</v>
      </c>
      <c r="G456" s="104" t="s">
        <v>1459</v>
      </c>
    </row>
    <row r="457" spans="1:7" ht="409.5">
      <c r="A457" t="s">
        <v>584</v>
      </c>
      <c r="B457" t="s">
        <v>571</v>
      </c>
      <c r="C457" t="s">
        <v>831</v>
      </c>
      <c r="D457" t="s">
        <v>586</v>
      </c>
      <c r="E457" t="s">
        <v>1111</v>
      </c>
      <c r="F457">
        <v>122</v>
      </c>
      <c r="G457" s="104" t="s">
        <v>1460</v>
      </c>
    </row>
    <row r="458" spans="1:7" ht="409.5">
      <c r="A458" t="s">
        <v>584</v>
      </c>
      <c r="B458" t="s">
        <v>571</v>
      </c>
      <c r="C458" t="s">
        <v>831</v>
      </c>
      <c r="D458" t="s">
        <v>586</v>
      </c>
      <c r="E458" t="s">
        <v>1111</v>
      </c>
      <c r="F458">
        <v>123</v>
      </c>
      <c r="G458" s="104" t="s">
        <v>1692</v>
      </c>
    </row>
    <row r="459" spans="1:7" ht="409.5">
      <c r="A459" t="s">
        <v>584</v>
      </c>
      <c r="B459" t="s">
        <v>571</v>
      </c>
      <c r="C459" t="s">
        <v>831</v>
      </c>
      <c r="D459" t="s">
        <v>586</v>
      </c>
      <c r="E459" t="s">
        <v>1111</v>
      </c>
      <c r="F459">
        <v>124</v>
      </c>
      <c r="G459" s="104" t="s">
        <v>1693</v>
      </c>
    </row>
    <row r="460" spans="1:7" ht="375">
      <c r="A460" t="s">
        <v>584</v>
      </c>
      <c r="B460" t="s">
        <v>571</v>
      </c>
      <c r="C460" t="s">
        <v>831</v>
      </c>
      <c r="D460" t="s">
        <v>586</v>
      </c>
      <c r="E460" t="s">
        <v>1111</v>
      </c>
      <c r="F460">
        <v>125</v>
      </c>
      <c r="G460" s="104" t="s">
        <v>1694</v>
      </c>
    </row>
    <row r="461" spans="1:7" ht="409.5">
      <c r="A461" t="s">
        <v>584</v>
      </c>
      <c r="B461" t="s">
        <v>571</v>
      </c>
      <c r="C461" t="s">
        <v>831</v>
      </c>
      <c r="D461" t="s">
        <v>586</v>
      </c>
      <c r="E461" t="s">
        <v>1111</v>
      </c>
      <c r="F461">
        <v>126</v>
      </c>
      <c r="G461" s="104" t="s">
        <v>1695</v>
      </c>
    </row>
    <row r="462" spans="1:7" ht="409.5">
      <c r="A462" t="s">
        <v>584</v>
      </c>
      <c r="B462" t="s">
        <v>571</v>
      </c>
      <c r="C462" t="s">
        <v>831</v>
      </c>
      <c r="D462" t="s">
        <v>586</v>
      </c>
      <c r="E462" t="s">
        <v>1111</v>
      </c>
      <c r="F462">
        <v>127</v>
      </c>
      <c r="G462" s="104" t="s">
        <v>1696</v>
      </c>
    </row>
    <row r="463" spans="1:7" ht="409.5">
      <c r="A463" t="s">
        <v>584</v>
      </c>
      <c r="B463" t="s">
        <v>571</v>
      </c>
      <c r="C463" t="s">
        <v>831</v>
      </c>
      <c r="D463" t="s">
        <v>586</v>
      </c>
      <c r="E463" t="s">
        <v>1111</v>
      </c>
      <c r="F463">
        <v>128</v>
      </c>
      <c r="G463" s="104" t="s">
        <v>1697</v>
      </c>
    </row>
    <row r="464" spans="1:7" ht="375">
      <c r="A464" t="s">
        <v>584</v>
      </c>
      <c r="B464" t="s">
        <v>571</v>
      </c>
      <c r="C464" t="s">
        <v>831</v>
      </c>
      <c r="D464" t="s">
        <v>586</v>
      </c>
      <c r="E464" t="s">
        <v>1111</v>
      </c>
      <c r="F464">
        <v>129</v>
      </c>
      <c r="G464" s="104" t="s">
        <v>1698</v>
      </c>
    </row>
    <row r="465" spans="1:7" ht="409.5">
      <c r="A465" t="s">
        <v>584</v>
      </c>
      <c r="B465" t="s">
        <v>571</v>
      </c>
      <c r="C465" t="s">
        <v>831</v>
      </c>
      <c r="D465" t="s">
        <v>586</v>
      </c>
      <c r="E465" t="s">
        <v>1111</v>
      </c>
      <c r="F465">
        <v>130</v>
      </c>
      <c r="G465" s="104" t="s">
        <v>1699</v>
      </c>
    </row>
    <row r="466" spans="1:7" ht="409.5">
      <c r="A466" t="s">
        <v>584</v>
      </c>
      <c r="B466" t="s">
        <v>571</v>
      </c>
      <c r="C466" t="s">
        <v>831</v>
      </c>
      <c r="D466" t="s">
        <v>586</v>
      </c>
      <c r="E466" t="s">
        <v>1111</v>
      </c>
      <c r="F466">
        <v>131</v>
      </c>
      <c r="G466" s="104" t="s">
        <v>1700</v>
      </c>
    </row>
    <row r="467" spans="1:7" ht="409.5">
      <c r="A467" t="s">
        <v>584</v>
      </c>
      <c r="B467" t="s">
        <v>571</v>
      </c>
      <c r="C467" t="s">
        <v>831</v>
      </c>
      <c r="D467" t="s">
        <v>586</v>
      </c>
      <c r="E467" t="s">
        <v>1111</v>
      </c>
      <c r="F467">
        <v>132</v>
      </c>
      <c r="G467" s="104" t="s">
        <v>1701</v>
      </c>
    </row>
    <row r="468" spans="1:7" ht="409.5">
      <c r="A468" t="s">
        <v>584</v>
      </c>
      <c r="B468" t="s">
        <v>571</v>
      </c>
      <c r="C468" t="s">
        <v>831</v>
      </c>
      <c r="D468" t="s">
        <v>586</v>
      </c>
      <c r="E468" t="s">
        <v>1111</v>
      </c>
      <c r="F468">
        <v>133</v>
      </c>
      <c r="G468" s="104" t="s">
        <v>1702</v>
      </c>
    </row>
    <row r="469" spans="1:7" ht="409.5">
      <c r="A469" t="s">
        <v>584</v>
      </c>
      <c r="B469" t="s">
        <v>571</v>
      </c>
      <c r="C469" t="s">
        <v>831</v>
      </c>
      <c r="D469" t="s">
        <v>586</v>
      </c>
      <c r="E469" t="s">
        <v>1111</v>
      </c>
      <c r="F469">
        <v>134</v>
      </c>
      <c r="G469" s="104" t="s">
        <v>1703</v>
      </c>
    </row>
    <row r="470" spans="1:7" ht="409.5">
      <c r="A470" t="s">
        <v>584</v>
      </c>
      <c r="B470" t="s">
        <v>571</v>
      </c>
      <c r="C470" t="s">
        <v>831</v>
      </c>
      <c r="D470" t="s">
        <v>586</v>
      </c>
      <c r="E470" t="s">
        <v>1111</v>
      </c>
      <c r="F470">
        <v>135</v>
      </c>
      <c r="G470" s="104" t="s">
        <v>1704</v>
      </c>
    </row>
    <row r="471" spans="1:7" ht="150">
      <c r="A471" t="s">
        <v>584</v>
      </c>
      <c r="B471" t="s">
        <v>571</v>
      </c>
      <c r="C471" t="s">
        <v>831</v>
      </c>
      <c r="D471" t="s">
        <v>586</v>
      </c>
      <c r="E471" t="s">
        <v>1111</v>
      </c>
      <c r="F471">
        <v>136</v>
      </c>
      <c r="G471" s="104" t="s">
        <v>1705</v>
      </c>
    </row>
    <row r="472" spans="1:7" ht="409.5">
      <c r="A472" t="s">
        <v>584</v>
      </c>
      <c r="B472" t="s">
        <v>571</v>
      </c>
      <c r="C472" t="s">
        <v>831</v>
      </c>
      <c r="D472" t="s">
        <v>586</v>
      </c>
      <c r="E472" t="s">
        <v>1111</v>
      </c>
      <c r="F472">
        <v>137</v>
      </c>
      <c r="G472" s="104" t="s">
        <v>1630</v>
      </c>
    </row>
    <row r="473" spans="1:7" ht="150">
      <c r="A473" t="s">
        <v>584</v>
      </c>
      <c r="B473" t="s">
        <v>571</v>
      </c>
      <c r="C473" t="s">
        <v>831</v>
      </c>
      <c r="D473" t="s">
        <v>586</v>
      </c>
      <c r="E473" t="s">
        <v>1111</v>
      </c>
      <c r="F473">
        <v>138</v>
      </c>
      <c r="G473" s="104" t="s">
        <v>1136</v>
      </c>
    </row>
    <row r="474" spans="1:7" ht="409.5">
      <c r="A474" t="s">
        <v>584</v>
      </c>
      <c r="B474" t="s">
        <v>571</v>
      </c>
      <c r="C474" t="s">
        <v>831</v>
      </c>
      <c r="D474" t="s">
        <v>586</v>
      </c>
      <c r="E474" t="s">
        <v>1111</v>
      </c>
      <c r="F474">
        <v>139</v>
      </c>
      <c r="G474" s="104" t="s">
        <v>1461</v>
      </c>
    </row>
    <row r="475" spans="1:7" ht="409.5">
      <c r="A475" t="s">
        <v>584</v>
      </c>
      <c r="B475" t="s">
        <v>571</v>
      </c>
      <c r="C475" t="s">
        <v>831</v>
      </c>
      <c r="D475" t="s">
        <v>586</v>
      </c>
      <c r="E475" t="s">
        <v>1111</v>
      </c>
      <c r="F475">
        <v>140</v>
      </c>
      <c r="G475" s="104" t="s">
        <v>1706</v>
      </c>
    </row>
    <row r="476" spans="1:7" ht="409.5">
      <c r="A476" t="s">
        <v>584</v>
      </c>
      <c r="B476" t="s">
        <v>571</v>
      </c>
      <c r="C476" t="s">
        <v>831</v>
      </c>
      <c r="D476" t="s">
        <v>586</v>
      </c>
      <c r="E476" t="s">
        <v>1111</v>
      </c>
      <c r="F476">
        <v>141</v>
      </c>
      <c r="G476" s="104" t="s">
        <v>1707</v>
      </c>
    </row>
    <row r="477" spans="1:7" ht="409.5">
      <c r="A477" t="s">
        <v>584</v>
      </c>
      <c r="B477" t="s">
        <v>571</v>
      </c>
      <c r="C477" t="s">
        <v>831</v>
      </c>
      <c r="D477" t="s">
        <v>586</v>
      </c>
      <c r="E477" t="s">
        <v>1111</v>
      </c>
      <c r="F477">
        <v>142</v>
      </c>
      <c r="G477" s="104" t="s">
        <v>1708</v>
      </c>
    </row>
    <row r="478" spans="1:7" ht="409.5">
      <c r="A478" t="s">
        <v>584</v>
      </c>
      <c r="B478" t="s">
        <v>571</v>
      </c>
      <c r="C478" t="s">
        <v>831</v>
      </c>
      <c r="D478" t="s">
        <v>586</v>
      </c>
      <c r="E478" t="s">
        <v>1111</v>
      </c>
      <c r="F478">
        <v>143</v>
      </c>
      <c r="G478" s="104" t="s">
        <v>1709</v>
      </c>
    </row>
    <row r="479" spans="1:7" ht="409.5">
      <c r="A479" t="s">
        <v>584</v>
      </c>
      <c r="B479" t="s">
        <v>571</v>
      </c>
      <c r="C479" t="s">
        <v>831</v>
      </c>
      <c r="D479" t="s">
        <v>586</v>
      </c>
      <c r="E479" t="s">
        <v>1111</v>
      </c>
      <c r="F479">
        <v>144</v>
      </c>
      <c r="G479" s="104" t="s">
        <v>1710</v>
      </c>
    </row>
    <row r="480" spans="1:7" ht="409.5">
      <c r="A480" t="s">
        <v>584</v>
      </c>
      <c r="B480" t="s">
        <v>571</v>
      </c>
      <c r="C480" t="s">
        <v>831</v>
      </c>
      <c r="D480" t="s">
        <v>586</v>
      </c>
      <c r="E480" t="s">
        <v>1111</v>
      </c>
      <c r="F480">
        <v>145</v>
      </c>
      <c r="G480" s="104" t="s">
        <v>1711</v>
      </c>
    </row>
    <row r="481" spans="1:7" ht="409.5">
      <c r="A481" t="s">
        <v>584</v>
      </c>
      <c r="B481" t="s">
        <v>571</v>
      </c>
      <c r="C481" t="s">
        <v>831</v>
      </c>
      <c r="D481" t="s">
        <v>586</v>
      </c>
      <c r="E481" t="s">
        <v>1111</v>
      </c>
      <c r="F481">
        <v>146</v>
      </c>
      <c r="G481" s="104" t="s">
        <v>1712</v>
      </c>
    </row>
    <row r="482" spans="1:7" ht="409.5">
      <c r="A482" t="s">
        <v>584</v>
      </c>
      <c r="B482" t="s">
        <v>571</v>
      </c>
      <c r="C482" t="s">
        <v>831</v>
      </c>
      <c r="D482" t="s">
        <v>586</v>
      </c>
      <c r="E482" t="s">
        <v>1111</v>
      </c>
      <c r="F482">
        <v>147</v>
      </c>
      <c r="G482" s="104" t="s">
        <v>1713</v>
      </c>
    </row>
    <row r="483" spans="1:7" ht="30">
      <c r="A483" t="s">
        <v>584</v>
      </c>
      <c r="B483" t="s">
        <v>571</v>
      </c>
      <c r="C483" t="s">
        <v>831</v>
      </c>
      <c r="D483" t="s">
        <v>586</v>
      </c>
      <c r="E483" t="s">
        <v>1111</v>
      </c>
      <c r="F483">
        <v>148</v>
      </c>
      <c r="G483" s="104" t="s">
        <v>1714</v>
      </c>
    </row>
    <row r="484" spans="1:7" ht="409.5">
      <c r="A484" t="s">
        <v>584</v>
      </c>
      <c r="B484" t="s">
        <v>571</v>
      </c>
      <c r="C484" t="s">
        <v>831</v>
      </c>
      <c r="D484" t="s">
        <v>586</v>
      </c>
      <c r="E484" t="s">
        <v>1111</v>
      </c>
      <c r="F484">
        <v>149</v>
      </c>
      <c r="G484" s="104" t="s">
        <v>1137</v>
      </c>
    </row>
    <row r="485" spans="1:7" ht="210">
      <c r="A485" t="s">
        <v>584</v>
      </c>
      <c r="B485" t="s">
        <v>571</v>
      </c>
      <c r="C485" t="s">
        <v>831</v>
      </c>
      <c r="D485" t="s">
        <v>586</v>
      </c>
      <c r="E485" t="s">
        <v>1111</v>
      </c>
      <c r="F485">
        <v>150</v>
      </c>
      <c r="G485" s="104" t="s">
        <v>1138</v>
      </c>
    </row>
    <row r="486" spans="1:7" ht="330">
      <c r="A486" t="s">
        <v>584</v>
      </c>
      <c r="B486" t="s">
        <v>571</v>
      </c>
      <c r="C486" t="s">
        <v>831</v>
      </c>
      <c r="D486" t="s">
        <v>586</v>
      </c>
      <c r="E486" t="s">
        <v>1111</v>
      </c>
      <c r="F486">
        <v>151</v>
      </c>
      <c r="G486" s="104" t="s">
        <v>1139</v>
      </c>
    </row>
    <row r="487" spans="1:7" ht="409.5">
      <c r="A487" t="s">
        <v>584</v>
      </c>
      <c r="B487" t="s">
        <v>571</v>
      </c>
      <c r="C487" t="s">
        <v>831</v>
      </c>
      <c r="D487" t="s">
        <v>586</v>
      </c>
      <c r="E487" t="s">
        <v>1111</v>
      </c>
      <c r="F487">
        <v>152</v>
      </c>
      <c r="G487" s="104" t="s">
        <v>1140</v>
      </c>
    </row>
    <row r="488" spans="1:7" ht="345">
      <c r="A488" t="s">
        <v>584</v>
      </c>
      <c r="B488" t="s">
        <v>571</v>
      </c>
      <c r="C488" t="s">
        <v>831</v>
      </c>
      <c r="D488" t="s">
        <v>586</v>
      </c>
      <c r="E488" t="s">
        <v>1111</v>
      </c>
      <c r="F488">
        <v>153</v>
      </c>
      <c r="G488" s="104" t="s">
        <v>1141</v>
      </c>
    </row>
    <row r="489" spans="1:7" ht="409.5">
      <c r="A489" t="s">
        <v>584</v>
      </c>
      <c r="B489" t="s">
        <v>571</v>
      </c>
      <c r="C489" t="s">
        <v>831</v>
      </c>
      <c r="D489" t="s">
        <v>586</v>
      </c>
      <c r="E489" t="s">
        <v>1111</v>
      </c>
      <c r="F489">
        <v>154</v>
      </c>
      <c r="G489" s="104" t="s">
        <v>1462</v>
      </c>
    </row>
    <row r="490" spans="1:7" ht="409.5">
      <c r="A490" t="s">
        <v>584</v>
      </c>
      <c r="B490" t="s">
        <v>571</v>
      </c>
      <c r="C490" t="s">
        <v>831</v>
      </c>
      <c r="D490" t="s">
        <v>586</v>
      </c>
      <c r="E490" t="s">
        <v>1111</v>
      </c>
      <c r="F490">
        <v>155</v>
      </c>
      <c r="G490" s="104" t="s">
        <v>1631</v>
      </c>
    </row>
    <row r="491" spans="1:7" ht="330">
      <c r="A491" t="s">
        <v>584</v>
      </c>
      <c r="B491" t="s">
        <v>571</v>
      </c>
      <c r="C491" t="s">
        <v>831</v>
      </c>
      <c r="D491" t="s">
        <v>586</v>
      </c>
      <c r="E491" t="s">
        <v>1111</v>
      </c>
      <c r="F491">
        <v>156</v>
      </c>
      <c r="G491" s="104" t="s">
        <v>1463</v>
      </c>
    </row>
    <row r="492" spans="1:7" ht="409.5">
      <c r="A492" t="s">
        <v>584</v>
      </c>
      <c r="B492" t="s">
        <v>571</v>
      </c>
      <c r="C492" t="s">
        <v>831</v>
      </c>
      <c r="D492" t="s">
        <v>586</v>
      </c>
      <c r="E492" t="s">
        <v>1111</v>
      </c>
      <c r="F492">
        <v>157</v>
      </c>
      <c r="G492" s="104" t="s">
        <v>1464</v>
      </c>
    </row>
    <row r="493" spans="1:7" ht="330">
      <c r="A493" t="s">
        <v>584</v>
      </c>
      <c r="B493" t="s">
        <v>571</v>
      </c>
      <c r="C493" t="s">
        <v>831</v>
      </c>
      <c r="D493" t="s">
        <v>586</v>
      </c>
      <c r="E493" t="s">
        <v>1111</v>
      </c>
      <c r="F493">
        <v>158</v>
      </c>
      <c r="G493" s="104" t="s">
        <v>1465</v>
      </c>
    </row>
    <row r="494" spans="1:7" ht="375">
      <c r="A494" t="s">
        <v>584</v>
      </c>
      <c r="B494" t="s">
        <v>571</v>
      </c>
      <c r="C494" t="s">
        <v>831</v>
      </c>
      <c r="D494" t="s">
        <v>586</v>
      </c>
      <c r="E494" t="s">
        <v>1111</v>
      </c>
      <c r="F494">
        <v>159</v>
      </c>
      <c r="G494" s="104" t="s">
        <v>1142</v>
      </c>
    </row>
    <row r="495" spans="1:7" ht="135">
      <c r="A495" t="s">
        <v>584</v>
      </c>
      <c r="B495" t="s">
        <v>571</v>
      </c>
      <c r="C495" t="s">
        <v>831</v>
      </c>
      <c r="D495" t="s">
        <v>586</v>
      </c>
      <c r="E495" t="s">
        <v>1111</v>
      </c>
      <c r="F495">
        <v>160</v>
      </c>
      <c r="G495" s="104" t="s">
        <v>1143</v>
      </c>
    </row>
    <row r="496" spans="1:7" ht="409.5">
      <c r="A496" t="s">
        <v>584</v>
      </c>
      <c r="B496" t="s">
        <v>571</v>
      </c>
      <c r="C496" t="s">
        <v>831</v>
      </c>
      <c r="D496" t="s">
        <v>586</v>
      </c>
      <c r="E496" t="s">
        <v>1111</v>
      </c>
      <c r="F496">
        <v>161</v>
      </c>
      <c r="G496" s="104" t="s">
        <v>1466</v>
      </c>
    </row>
    <row r="497" spans="1:7" ht="409.5">
      <c r="A497" t="s">
        <v>584</v>
      </c>
      <c r="B497" t="s">
        <v>571</v>
      </c>
      <c r="C497" t="s">
        <v>831</v>
      </c>
      <c r="D497" t="s">
        <v>586</v>
      </c>
      <c r="E497" t="s">
        <v>1111</v>
      </c>
      <c r="F497">
        <v>162</v>
      </c>
      <c r="G497" s="104" t="s">
        <v>1467</v>
      </c>
    </row>
    <row r="498" spans="1:7" ht="210">
      <c r="A498" t="s">
        <v>584</v>
      </c>
      <c r="B498" t="s">
        <v>571</v>
      </c>
      <c r="C498" t="s">
        <v>831</v>
      </c>
      <c r="D498" t="s">
        <v>586</v>
      </c>
      <c r="E498" t="s">
        <v>1111</v>
      </c>
      <c r="F498">
        <v>163</v>
      </c>
      <c r="G498" s="104" t="s">
        <v>1468</v>
      </c>
    </row>
    <row r="499" spans="1:7" ht="409.5">
      <c r="A499" t="s">
        <v>584</v>
      </c>
      <c r="B499" t="s">
        <v>571</v>
      </c>
      <c r="C499" t="s">
        <v>831</v>
      </c>
      <c r="D499" t="s">
        <v>586</v>
      </c>
      <c r="E499" t="s">
        <v>1111</v>
      </c>
      <c r="F499">
        <v>164</v>
      </c>
      <c r="G499" s="104" t="s">
        <v>1469</v>
      </c>
    </row>
    <row r="500" spans="1:7" ht="409.5">
      <c r="A500" t="s">
        <v>584</v>
      </c>
      <c r="B500" t="s">
        <v>571</v>
      </c>
      <c r="C500" t="s">
        <v>831</v>
      </c>
      <c r="D500" t="s">
        <v>586</v>
      </c>
      <c r="E500" t="s">
        <v>1111</v>
      </c>
      <c r="F500">
        <v>165</v>
      </c>
      <c r="G500" s="104" t="s">
        <v>1470</v>
      </c>
    </row>
    <row r="501" spans="1:7" ht="409.5">
      <c r="A501" t="s">
        <v>584</v>
      </c>
      <c r="B501" t="s">
        <v>571</v>
      </c>
      <c r="C501" t="s">
        <v>831</v>
      </c>
      <c r="D501" t="s">
        <v>586</v>
      </c>
      <c r="E501" t="s">
        <v>1111</v>
      </c>
      <c r="F501">
        <v>166</v>
      </c>
      <c r="G501" s="104" t="s">
        <v>1471</v>
      </c>
    </row>
    <row r="502" spans="1:7" ht="409.5">
      <c r="A502" t="s">
        <v>584</v>
      </c>
      <c r="B502" t="s">
        <v>571</v>
      </c>
      <c r="C502" t="s">
        <v>831</v>
      </c>
      <c r="D502" t="s">
        <v>586</v>
      </c>
      <c r="E502" t="s">
        <v>1111</v>
      </c>
      <c r="F502">
        <v>167</v>
      </c>
      <c r="G502" s="104" t="s">
        <v>1715</v>
      </c>
    </row>
    <row r="503" spans="1:7" ht="390">
      <c r="A503" t="s">
        <v>584</v>
      </c>
      <c r="B503" t="s">
        <v>571</v>
      </c>
      <c r="C503" t="s">
        <v>831</v>
      </c>
      <c r="D503" t="s">
        <v>586</v>
      </c>
      <c r="E503" t="s">
        <v>1111</v>
      </c>
      <c r="F503">
        <v>168</v>
      </c>
      <c r="G503" s="104" t="s">
        <v>1716</v>
      </c>
    </row>
    <row r="504" spans="1:7" ht="330">
      <c r="A504" t="s">
        <v>584</v>
      </c>
      <c r="B504" t="s">
        <v>571</v>
      </c>
      <c r="C504" t="s">
        <v>831</v>
      </c>
      <c r="D504" t="s">
        <v>586</v>
      </c>
      <c r="E504" t="s">
        <v>1111</v>
      </c>
      <c r="F504">
        <v>169</v>
      </c>
      <c r="G504" s="104" t="s">
        <v>1717</v>
      </c>
    </row>
    <row r="505" spans="1:7" ht="409.5">
      <c r="A505" t="s">
        <v>584</v>
      </c>
      <c r="B505" t="s">
        <v>571</v>
      </c>
      <c r="C505" t="s">
        <v>831</v>
      </c>
      <c r="D505" t="s">
        <v>586</v>
      </c>
      <c r="E505" t="s">
        <v>1111</v>
      </c>
      <c r="F505">
        <v>170</v>
      </c>
      <c r="G505" s="104" t="s">
        <v>1144</v>
      </c>
    </row>
    <row r="506" spans="1:7" ht="409.5">
      <c r="A506" t="s">
        <v>584</v>
      </c>
      <c r="B506" t="s">
        <v>571</v>
      </c>
      <c r="C506" t="s">
        <v>831</v>
      </c>
      <c r="D506" t="s">
        <v>586</v>
      </c>
      <c r="E506" t="s">
        <v>1111</v>
      </c>
      <c r="F506">
        <v>171</v>
      </c>
      <c r="G506" s="104" t="s">
        <v>1472</v>
      </c>
    </row>
    <row r="507" spans="1:7" ht="409.5">
      <c r="A507" t="s">
        <v>584</v>
      </c>
      <c r="B507" t="s">
        <v>571</v>
      </c>
      <c r="C507" t="s">
        <v>831</v>
      </c>
      <c r="D507" t="s">
        <v>586</v>
      </c>
      <c r="E507" t="s">
        <v>1111</v>
      </c>
      <c r="F507">
        <v>172</v>
      </c>
      <c r="G507" s="104" t="s">
        <v>1473</v>
      </c>
    </row>
    <row r="508" spans="1:7" ht="409.5">
      <c r="A508" t="s">
        <v>584</v>
      </c>
      <c r="B508" t="s">
        <v>571</v>
      </c>
      <c r="C508" t="s">
        <v>831</v>
      </c>
      <c r="D508" t="s">
        <v>586</v>
      </c>
      <c r="E508" t="s">
        <v>1111</v>
      </c>
      <c r="F508">
        <v>173</v>
      </c>
      <c r="G508" s="104" t="s">
        <v>1474</v>
      </c>
    </row>
    <row r="509" spans="1:7" ht="135">
      <c r="A509" t="s">
        <v>584</v>
      </c>
      <c r="B509" t="s">
        <v>571</v>
      </c>
      <c r="C509" t="s">
        <v>831</v>
      </c>
      <c r="D509" t="s">
        <v>586</v>
      </c>
      <c r="E509" t="s">
        <v>1111</v>
      </c>
      <c r="F509">
        <v>174</v>
      </c>
      <c r="G509" s="104" t="s">
        <v>1475</v>
      </c>
    </row>
    <row r="510" spans="1:7" ht="409.5">
      <c r="A510" t="s">
        <v>584</v>
      </c>
      <c r="B510" t="s">
        <v>571</v>
      </c>
      <c r="C510" t="s">
        <v>831</v>
      </c>
      <c r="D510" t="s">
        <v>586</v>
      </c>
      <c r="E510" t="s">
        <v>1111</v>
      </c>
      <c r="F510">
        <v>175</v>
      </c>
      <c r="G510" s="104" t="s">
        <v>1145</v>
      </c>
    </row>
    <row r="511" spans="1:7" ht="285">
      <c r="A511" t="s">
        <v>584</v>
      </c>
      <c r="B511" t="s">
        <v>571</v>
      </c>
      <c r="C511" t="s">
        <v>831</v>
      </c>
      <c r="D511" t="s">
        <v>586</v>
      </c>
      <c r="E511" t="s">
        <v>1111</v>
      </c>
      <c r="F511">
        <v>176</v>
      </c>
      <c r="G511" s="104" t="s">
        <v>1146</v>
      </c>
    </row>
    <row r="512" spans="1:7" ht="409.5">
      <c r="A512" t="s">
        <v>584</v>
      </c>
      <c r="B512" t="s">
        <v>571</v>
      </c>
      <c r="C512" t="s">
        <v>831</v>
      </c>
      <c r="D512" t="s">
        <v>586</v>
      </c>
      <c r="E512" t="s">
        <v>1111</v>
      </c>
      <c r="F512">
        <v>177</v>
      </c>
      <c r="G512" s="104" t="s">
        <v>1147</v>
      </c>
    </row>
    <row r="513" spans="1:7" ht="375">
      <c r="A513" t="s">
        <v>584</v>
      </c>
      <c r="B513" t="s">
        <v>571</v>
      </c>
      <c r="C513" t="s">
        <v>831</v>
      </c>
      <c r="D513" t="s">
        <v>586</v>
      </c>
      <c r="E513" t="s">
        <v>1111</v>
      </c>
      <c r="F513">
        <v>178</v>
      </c>
      <c r="G513" s="104" t="s">
        <v>1476</v>
      </c>
    </row>
    <row r="514" spans="1:7" ht="405">
      <c r="A514" t="s">
        <v>584</v>
      </c>
      <c r="B514" t="s">
        <v>571</v>
      </c>
      <c r="C514" t="s">
        <v>831</v>
      </c>
      <c r="D514" t="s">
        <v>586</v>
      </c>
      <c r="E514" t="s">
        <v>1111</v>
      </c>
      <c r="F514">
        <v>179</v>
      </c>
      <c r="G514" s="104" t="s">
        <v>1477</v>
      </c>
    </row>
    <row r="515" spans="1:7" ht="409.5">
      <c r="A515" t="s">
        <v>584</v>
      </c>
      <c r="B515" t="s">
        <v>571</v>
      </c>
      <c r="C515" t="s">
        <v>831</v>
      </c>
      <c r="D515" t="s">
        <v>586</v>
      </c>
      <c r="E515" t="s">
        <v>1111</v>
      </c>
      <c r="F515">
        <v>180</v>
      </c>
      <c r="G515" s="104" t="s">
        <v>1478</v>
      </c>
    </row>
    <row r="516" spans="1:7" ht="409.5">
      <c r="A516" t="s">
        <v>584</v>
      </c>
      <c r="B516" t="s">
        <v>571</v>
      </c>
      <c r="C516" t="s">
        <v>831</v>
      </c>
      <c r="D516" t="s">
        <v>586</v>
      </c>
      <c r="E516" t="s">
        <v>1111</v>
      </c>
      <c r="F516">
        <v>181</v>
      </c>
      <c r="G516" s="104" t="s">
        <v>1479</v>
      </c>
    </row>
    <row r="517" spans="1:7" ht="360">
      <c r="A517" t="s">
        <v>584</v>
      </c>
      <c r="B517" t="s">
        <v>571</v>
      </c>
      <c r="C517" t="s">
        <v>831</v>
      </c>
      <c r="D517" t="s">
        <v>586</v>
      </c>
      <c r="E517" t="s">
        <v>1111</v>
      </c>
      <c r="F517">
        <v>182</v>
      </c>
      <c r="G517" s="104" t="s">
        <v>1480</v>
      </c>
    </row>
    <row r="518" spans="1:7" ht="405">
      <c r="A518" t="s">
        <v>584</v>
      </c>
      <c r="B518" t="s">
        <v>571</v>
      </c>
      <c r="C518" t="s">
        <v>831</v>
      </c>
      <c r="D518" t="s">
        <v>586</v>
      </c>
      <c r="E518" t="s">
        <v>1111</v>
      </c>
      <c r="F518">
        <v>183</v>
      </c>
      <c r="G518" s="104" t="s">
        <v>1481</v>
      </c>
    </row>
    <row r="519" spans="1:7" ht="409.5">
      <c r="A519" t="s">
        <v>584</v>
      </c>
      <c r="B519" t="s">
        <v>571</v>
      </c>
      <c r="C519" t="s">
        <v>831</v>
      </c>
      <c r="D519" t="s">
        <v>586</v>
      </c>
      <c r="E519" t="s">
        <v>1111</v>
      </c>
      <c r="F519">
        <v>184</v>
      </c>
      <c r="G519" s="104" t="s">
        <v>1482</v>
      </c>
    </row>
    <row r="520" spans="1:7" ht="360">
      <c r="A520" t="s">
        <v>584</v>
      </c>
      <c r="B520" t="s">
        <v>571</v>
      </c>
      <c r="C520" t="s">
        <v>831</v>
      </c>
      <c r="D520" t="s">
        <v>586</v>
      </c>
      <c r="E520" t="s">
        <v>1111</v>
      </c>
      <c r="F520">
        <v>185</v>
      </c>
      <c r="G520" s="104" t="s">
        <v>1483</v>
      </c>
    </row>
    <row r="521" spans="1:7" ht="360">
      <c r="A521" t="s">
        <v>584</v>
      </c>
      <c r="B521" t="s">
        <v>571</v>
      </c>
      <c r="C521" t="s">
        <v>831</v>
      </c>
      <c r="D521" t="s">
        <v>586</v>
      </c>
      <c r="E521" t="s">
        <v>1111</v>
      </c>
      <c r="F521">
        <v>186</v>
      </c>
      <c r="G521" s="104" t="s">
        <v>1484</v>
      </c>
    </row>
    <row r="522" spans="1:7" ht="360">
      <c r="A522" t="s">
        <v>584</v>
      </c>
      <c r="B522" t="s">
        <v>571</v>
      </c>
      <c r="C522" t="s">
        <v>831</v>
      </c>
      <c r="D522" t="s">
        <v>586</v>
      </c>
      <c r="E522" t="s">
        <v>1111</v>
      </c>
      <c r="F522">
        <v>187</v>
      </c>
      <c r="G522" s="104" t="s">
        <v>1485</v>
      </c>
    </row>
    <row r="523" spans="1:7" ht="330">
      <c r="A523" t="s">
        <v>584</v>
      </c>
      <c r="B523" t="s">
        <v>571</v>
      </c>
      <c r="C523" t="s">
        <v>831</v>
      </c>
      <c r="D523" t="s">
        <v>586</v>
      </c>
      <c r="E523" t="s">
        <v>1111</v>
      </c>
      <c r="F523">
        <v>188</v>
      </c>
      <c r="G523" s="104" t="s">
        <v>1486</v>
      </c>
    </row>
    <row r="524" spans="1:7" ht="345">
      <c r="A524" t="s">
        <v>584</v>
      </c>
      <c r="B524" t="s">
        <v>571</v>
      </c>
      <c r="C524" t="s">
        <v>831</v>
      </c>
      <c r="D524" t="s">
        <v>586</v>
      </c>
      <c r="E524" t="s">
        <v>1111</v>
      </c>
      <c r="F524">
        <v>189</v>
      </c>
      <c r="G524" s="104" t="s">
        <v>1487</v>
      </c>
    </row>
    <row r="525" spans="1:7" ht="345">
      <c r="A525" t="s">
        <v>584</v>
      </c>
      <c r="B525" t="s">
        <v>571</v>
      </c>
      <c r="C525" t="s">
        <v>831</v>
      </c>
      <c r="D525" t="s">
        <v>586</v>
      </c>
      <c r="E525" t="s">
        <v>1111</v>
      </c>
      <c r="F525">
        <v>190</v>
      </c>
      <c r="G525" s="104" t="s">
        <v>1488</v>
      </c>
    </row>
    <row r="526" spans="1:7" ht="300">
      <c r="A526" t="s">
        <v>584</v>
      </c>
      <c r="B526" t="s">
        <v>571</v>
      </c>
      <c r="C526" t="s">
        <v>831</v>
      </c>
      <c r="D526" t="s">
        <v>586</v>
      </c>
      <c r="E526" t="s">
        <v>1111</v>
      </c>
      <c r="F526">
        <v>191</v>
      </c>
      <c r="G526" s="104" t="s">
        <v>1489</v>
      </c>
    </row>
    <row r="527" spans="1:7" ht="345">
      <c r="A527" t="s">
        <v>584</v>
      </c>
      <c r="B527" t="s">
        <v>571</v>
      </c>
      <c r="C527" t="s">
        <v>831</v>
      </c>
      <c r="D527" t="s">
        <v>586</v>
      </c>
      <c r="E527" t="s">
        <v>1111</v>
      </c>
      <c r="F527">
        <v>192</v>
      </c>
      <c r="G527" s="104" t="s">
        <v>1490</v>
      </c>
    </row>
    <row r="528" spans="1:7" ht="345">
      <c r="A528" t="s">
        <v>584</v>
      </c>
      <c r="B528" t="s">
        <v>571</v>
      </c>
      <c r="C528" t="s">
        <v>831</v>
      </c>
      <c r="D528" t="s">
        <v>586</v>
      </c>
      <c r="E528" t="s">
        <v>1111</v>
      </c>
      <c r="F528">
        <v>193</v>
      </c>
      <c r="G528" s="104" t="s">
        <v>1491</v>
      </c>
    </row>
    <row r="529" spans="1:7" ht="360">
      <c r="A529" t="s">
        <v>584</v>
      </c>
      <c r="B529" t="s">
        <v>571</v>
      </c>
      <c r="C529" t="s">
        <v>831</v>
      </c>
      <c r="D529" t="s">
        <v>586</v>
      </c>
      <c r="E529" t="s">
        <v>1111</v>
      </c>
      <c r="F529">
        <v>194</v>
      </c>
      <c r="G529" s="104" t="s">
        <v>1492</v>
      </c>
    </row>
    <row r="530" spans="1:7" ht="360">
      <c r="A530" t="s">
        <v>584</v>
      </c>
      <c r="B530" t="s">
        <v>571</v>
      </c>
      <c r="C530" t="s">
        <v>831</v>
      </c>
      <c r="D530" t="s">
        <v>586</v>
      </c>
      <c r="E530" t="s">
        <v>1111</v>
      </c>
      <c r="F530">
        <v>195</v>
      </c>
      <c r="G530" s="104" t="s">
        <v>1632</v>
      </c>
    </row>
    <row r="531" spans="1:7" ht="390">
      <c r="A531" t="s">
        <v>584</v>
      </c>
      <c r="B531" t="s">
        <v>571</v>
      </c>
      <c r="C531" t="s">
        <v>831</v>
      </c>
      <c r="D531" t="s">
        <v>586</v>
      </c>
      <c r="E531" t="s">
        <v>1111</v>
      </c>
      <c r="F531">
        <v>196</v>
      </c>
      <c r="G531" s="104" t="s">
        <v>1493</v>
      </c>
    </row>
    <row r="532" spans="1:7" ht="270">
      <c r="A532" t="s">
        <v>584</v>
      </c>
      <c r="B532" t="s">
        <v>571</v>
      </c>
      <c r="C532" t="s">
        <v>831</v>
      </c>
      <c r="D532" t="s">
        <v>586</v>
      </c>
      <c r="E532" t="s">
        <v>1111</v>
      </c>
      <c r="F532">
        <v>197</v>
      </c>
      <c r="G532" s="104" t="s">
        <v>1494</v>
      </c>
    </row>
    <row r="533" spans="1:7" ht="409.5">
      <c r="A533" t="s">
        <v>584</v>
      </c>
      <c r="B533" t="s">
        <v>571</v>
      </c>
      <c r="C533" t="s">
        <v>831</v>
      </c>
      <c r="D533" t="s">
        <v>586</v>
      </c>
      <c r="E533" t="s">
        <v>1111</v>
      </c>
      <c r="F533">
        <v>198</v>
      </c>
      <c r="G533" s="104" t="s">
        <v>1495</v>
      </c>
    </row>
    <row r="534" spans="1:7" ht="409.5">
      <c r="A534" t="s">
        <v>584</v>
      </c>
      <c r="B534" t="s">
        <v>571</v>
      </c>
      <c r="C534" t="s">
        <v>831</v>
      </c>
      <c r="D534" t="s">
        <v>586</v>
      </c>
      <c r="E534" t="s">
        <v>1111</v>
      </c>
      <c r="F534">
        <v>199</v>
      </c>
      <c r="G534" s="104" t="s">
        <v>1496</v>
      </c>
    </row>
    <row r="535" spans="1:7" ht="409.5">
      <c r="A535" t="s">
        <v>584</v>
      </c>
      <c r="B535" t="s">
        <v>571</v>
      </c>
      <c r="C535" t="s">
        <v>831</v>
      </c>
      <c r="D535" t="s">
        <v>586</v>
      </c>
      <c r="E535" t="s">
        <v>1111</v>
      </c>
      <c r="F535">
        <v>200</v>
      </c>
      <c r="G535" s="104" t="s">
        <v>1633</v>
      </c>
    </row>
    <row r="536" spans="1:7" ht="240">
      <c r="A536" t="s">
        <v>584</v>
      </c>
      <c r="B536" t="s">
        <v>571</v>
      </c>
      <c r="C536" t="s">
        <v>831</v>
      </c>
      <c r="D536" t="s">
        <v>586</v>
      </c>
      <c r="E536" t="s">
        <v>1111</v>
      </c>
      <c r="F536">
        <v>201</v>
      </c>
      <c r="G536" s="104" t="s">
        <v>1634</v>
      </c>
    </row>
    <row r="537" spans="1:7" ht="409.5">
      <c r="A537" t="s">
        <v>584</v>
      </c>
      <c r="B537" t="s">
        <v>571</v>
      </c>
      <c r="C537" t="s">
        <v>831</v>
      </c>
      <c r="D537" t="s">
        <v>586</v>
      </c>
      <c r="E537" t="s">
        <v>1111</v>
      </c>
      <c r="F537">
        <v>202</v>
      </c>
      <c r="G537" s="104" t="s">
        <v>1635</v>
      </c>
    </row>
    <row r="538" spans="1:7" ht="409.5">
      <c r="A538" t="s">
        <v>584</v>
      </c>
      <c r="B538" t="s">
        <v>571</v>
      </c>
      <c r="C538" t="s">
        <v>831</v>
      </c>
      <c r="D538" t="s">
        <v>586</v>
      </c>
      <c r="E538" t="s">
        <v>1111</v>
      </c>
      <c r="F538">
        <v>203</v>
      </c>
      <c r="G538" s="104" t="s">
        <v>1636</v>
      </c>
    </row>
    <row r="539" spans="1:7" ht="409.5">
      <c r="A539" t="s">
        <v>584</v>
      </c>
      <c r="B539" t="s">
        <v>571</v>
      </c>
      <c r="C539" t="s">
        <v>831</v>
      </c>
      <c r="D539" t="s">
        <v>586</v>
      </c>
      <c r="E539" t="s">
        <v>1111</v>
      </c>
      <c r="F539">
        <v>204</v>
      </c>
      <c r="G539" s="104" t="s">
        <v>1637</v>
      </c>
    </row>
    <row r="540" spans="1:7" ht="409.5">
      <c r="A540" t="s">
        <v>584</v>
      </c>
      <c r="B540" t="s">
        <v>571</v>
      </c>
      <c r="C540" t="s">
        <v>831</v>
      </c>
      <c r="D540" t="s">
        <v>586</v>
      </c>
      <c r="E540" t="s">
        <v>1111</v>
      </c>
      <c r="F540">
        <v>205</v>
      </c>
      <c r="G540" s="104" t="s">
        <v>1638</v>
      </c>
    </row>
    <row r="541" spans="1:7" ht="409.5">
      <c r="A541" t="s">
        <v>584</v>
      </c>
      <c r="B541" t="s">
        <v>571</v>
      </c>
      <c r="C541" t="s">
        <v>831</v>
      </c>
      <c r="D541" t="s">
        <v>586</v>
      </c>
      <c r="E541" t="s">
        <v>1111</v>
      </c>
      <c r="F541">
        <v>206</v>
      </c>
      <c r="G541" s="104" t="s">
        <v>1639</v>
      </c>
    </row>
    <row r="542" spans="1:7" ht="390">
      <c r="A542" t="s">
        <v>584</v>
      </c>
      <c r="B542" t="s">
        <v>571</v>
      </c>
      <c r="C542" t="s">
        <v>831</v>
      </c>
      <c r="D542" t="s">
        <v>586</v>
      </c>
      <c r="E542" t="s">
        <v>1111</v>
      </c>
      <c r="F542">
        <v>207</v>
      </c>
      <c r="G542" s="104" t="s">
        <v>1640</v>
      </c>
    </row>
    <row r="543" spans="1:7" ht="409.5">
      <c r="A543" t="s">
        <v>584</v>
      </c>
      <c r="B543" t="s">
        <v>571</v>
      </c>
      <c r="C543" t="s">
        <v>831</v>
      </c>
      <c r="D543" t="s">
        <v>586</v>
      </c>
      <c r="E543" t="s">
        <v>1111</v>
      </c>
      <c r="F543">
        <v>208</v>
      </c>
      <c r="G543" s="104" t="s">
        <v>1641</v>
      </c>
    </row>
    <row r="544" spans="1:7" ht="409.5">
      <c r="A544" t="s">
        <v>584</v>
      </c>
      <c r="B544" t="s">
        <v>571</v>
      </c>
      <c r="C544" t="s">
        <v>831</v>
      </c>
      <c r="D544" t="s">
        <v>586</v>
      </c>
      <c r="E544" t="s">
        <v>1111</v>
      </c>
      <c r="F544">
        <v>209</v>
      </c>
      <c r="G544" s="104" t="s">
        <v>1642</v>
      </c>
    </row>
    <row r="545" spans="1:7" ht="345">
      <c r="A545" t="s">
        <v>584</v>
      </c>
      <c r="B545" t="s">
        <v>571</v>
      </c>
      <c r="C545" t="s">
        <v>831</v>
      </c>
      <c r="D545" t="s">
        <v>586</v>
      </c>
      <c r="E545" t="s">
        <v>1111</v>
      </c>
      <c r="F545">
        <v>210</v>
      </c>
      <c r="G545" s="104" t="s">
        <v>1643</v>
      </c>
    </row>
    <row r="546" spans="1:7" ht="409.5">
      <c r="A546" t="s">
        <v>584</v>
      </c>
      <c r="B546" t="s">
        <v>571</v>
      </c>
      <c r="C546" t="s">
        <v>831</v>
      </c>
      <c r="D546" t="s">
        <v>586</v>
      </c>
      <c r="E546" t="s">
        <v>1111</v>
      </c>
      <c r="F546">
        <v>211</v>
      </c>
      <c r="G546" s="104" t="s">
        <v>1644</v>
      </c>
    </row>
    <row r="547" spans="1:7" ht="390">
      <c r="A547" t="s">
        <v>584</v>
      </c>
      <c r="B547" t="s">
        <v>571</v>
      </c>
      <c r="C547" t="s">
        <v>831</v>
      </c>
      <c r="D547" t="s">
        <v>586</v>
      </c>
      <c r="E547" t="s">
        <v>1111</v>
      </c>
      <c r="F547">
        <v>212</v>
      </c>
      <c r="G547" s="104" t="s">
        <v>1645</v>
      </c>
    </row>
    <row r="548" spans="1:7" ht="409.5">
      <c r="A548" t="s">
        <v>584</v>
      </c>
      <c r="B548" t="s">
        <v>571</v>
      </c>
      <c r="C548" t="s">
        <v>831</v>
      </c>
      <c r="D548" t="s">
        <v>586</v>
      </c>
      <c r="E548" t="s">
        <v>1111</v>
      </c>
      <c r="F548">
        <v>213</v>
      </c>
      <c r="G548" s="104" t="s">
        <v>1646</v>
      </c>
    </row>
    <row r="549" spans="1:7" ht="409.5">
      <c r="A549" t="s">
        <v>584</v>
      </c>
      <c r="B549" t="s">
        <v>571</v>
      </c>
      <c r="C549" t="s">
        <v>831</v>
      </c>
      <c r="D549" t="s">
        <v>586</v>
      </c>
      <c r="E549" t="s">
        <v>1111</v>
      </c>
      <c r="F549">
        <v>214</v>
      </c>
      <c r="G549" s="104" t="s">
        <v>1647</v>
      </c>
    </row>
    <row r="550" spans="1:7" ht="409.5">
      <c r="A550" t="s">
        <v>584</v>
      </c>
      <c r="B550" t="s">
        <v>571</v>
      </c>
      <c r="C550" t="s">
        <v>831</v>
      </c>
      <c r="D550" t="s">
        <v>586</v>
      </c>
      <c r="E550" t="s">
        <v>1111</v>
      </c>
      <c r="F550">
        <v>215</v>
      </c>
      <c r="G550" s="104" t="s">
        <v>1648</v>
      </c>
    </row>
    <row r="551" spans="1:7" ht="165">
      <c r="A551" t="s">
        <v>584</v>
      </c>
      <c r="B551" t="s">
        <v>571</v>
      </c>
      <c r="C551" t="s">
        <v>831</v>
      </c>
      <c r="D551" t="s">
        <v>586</v>
      </c>
      <c r="E551" t="s">
        <v>1111</v>
      </c>
      <c r="F551">
        <v>216</v>
      </c>
      <c r="G551" s="104" t="s">
        <v>1649</v>
      </c>
    </row>
    <row r="552" spans="1:7" ht="409.5">
      <c r="A552" t="s">
        <v>584</v>
      </c>
      <c r="B552" t="s">
        <v>571</v>
      </c>
      <c r="C552" t="s">
        <v>831</v>
      </c>
      <c r="D552" t="s">
        <v>586</v>
      </c>
      <c r="E552" t="s">
        <v>1111</v>
      </c>
      <c r="F552">
        <v>217</v>
      </c>
      <c r="G552" s="104" t="s">
        <v>1650</v>
      </c>
    </row>
    <row r="553" spans="1:7" ht="255">
      <c r="A553" t="s">
        <v>584</v>
      </c>
      <c r="B553" t="s">
        <v>571</v>
      </c>
      <c r="C553" t="s">
        <v>831</v>
      </c>
      <c r="D553" t="s">
        <v>586</v>
      </c>
      <c r="E553" t="s">
        <v>1111</v>
      </c>
      <c r="F553">
        <v>218</v>
      </c>
      <c r="G553" s="104" t="s">
        <v>1148</v>
      </c>
    </row>
    <row r="554" spans="1:7" ht="405">
      <c r="A554" t="s">
        <v>584</v>
      </c>
      <c r="B554" t="s">
        <v>571</v>
      </c>
      <c r="C554" t="s">
        <v>831</v>
      </c>
      <c r="D554" t="s">
        <v>586</v>
      </c>
      <c r="E554" t="s">
        <v>1111</v>
      </c>
      <c r="F554">
        <v>219</v>
      </c>
      <c r="G554" s="104" t="s">
        <v>1651</v>
      </c>
    </row>
    <row r="555" spans="1:7" ht="195">
      <c r="A555" t="s">
        <v>584</v>
      </c>
      <c r="B555" t="s">
        <v>571</v>
      </c>
      <c r="C555" t="s">
        <v>831</v>
      </c>
      <c r="D555" t="s">
        <v>586</v>
      </c>
      <c r="E555" t="s">
        <v>1111</v>
      </c>
      <c r="F555">
        <v>220</v>
      </c>
      <c r="G555" s="104" t="s">
        <v>1149</v>
      </c>
    </row>
    <row r="556" spans="1:7" ht="409.5">
      <c r="A556" t="s">
        <v>584</v>
      </c>
      <c r="B556" t="s">
        <v>571</v>
      </c>
      <c r="C556" t="s">
        <v>831</v>
      </c>
      <c r="D556" t="s">
        <v>586</v>
      </c>
      <c r="E556" t="s">
        <v>1111</v>
      </c>
      <c r="F556">
        <v>221</v>
      </c>
      <c r="G556" s="104" t="s">
        <v>1652</v>
      </c>
    </row>
    <row r="557" spans="1:7" ht="409.5">
      <c r="A557" t="s">
        <v>584</v>
      </c>
      <c r="B557" t="s">
        <v>571</v>
      </c>
      <c r="C557" t="s">
        <v>831</v>
      </c>
      <c r="D557" t="s">
        <v>586</v>
      </c>
      <c r="E557" t="s">
        <v>1111</v>
      </c>
      <c r="F557">
        <v>222</v>
      </c>
      <c r="G557" s="104" t="s">
        <v>1497</v>
      </c>
    </row>
    <row r="558" spans="1:7" ht="405">
      <c r="A558" t="s">
        <v>584</v>
      </c>
      <c r="B558" t="s">
        <v>571</v>
      </c>
      <c r="C558" t="s">
        <v>831</v>
      </c>
      <c r="D558" t="s">
        <v>586</v>
      </c>
      <c r="E558" t="s">
        <v>1111</v>
      </c>
      <c r="F558">
        <v>223</v>
      </c>
      <c r="G558" s="104" t="s">
        <v>1498</v>
      </c>
    </row>
    <row r="559" spans="1:7" ht="409.5">
      <c r="A559" t="s">
        <v>584</v>
      </c>
      <c r="B559" t="s">
        <v>571</v>
      </c>
      <c r="C559" t="s">
        <v>831</v>
      </c>
      <c r="D559" t="s">
        <v>586</v>
      </c>
      <c r="E559" t="s">
        <v>1111</v>
      </c>
      <c r="F559">
        <v>224</v>
      </c>
      <c r="G559" s="104" t="s">
        <v>1499</v>
      </c>
    </row>
    <row r="560" spans="1:7" ht="409.5">
      <c r="A560" t="s">
        <v>584</v>
      </c>
      <c r="B560" t="s">
        <v>571</v>
      </c>
      <c r="C560" t="s">
        <v>831</v>
      </c>
      <c r="D560" t="s">
        <v>586</v>
      </c>
      <c r="E560" t="s">
        <v>1111</v>
      </c>
      <c r="F560">
        <v>225</v>
      </c>
      <c r="G560" s="104" t="s">
        <v>1500</v>
      </c>
    </row>
    <row r="561" spans="1:7" ht="409.5">
      <c r="A561" t="s">
        <v>584</v>
      </c>
      <c r="B561" t="s">
        <v>571</v>
      </c>
      <c r="C561" t="s">
        <v>831</v>
      </c>
      <c r="D561" t="s">
        <v>586</v>
      </c>
      <c r="E561" t="s">
        <v>1111</v>
      </c>
      <c r="F561">
        <v>226</v>
      </c>
      <c r="G561" s="104" t="s">
        <v>1501</v>
      </c>
    </row>
    <row r="562" spans="1:7" ht="390">
      <c r="A562" t="s">
        <v>584</v>
      </c>
      <c r="B562" t="s">
        <v>571</v>
      </c>
      <c r="C562" t="s">
        <v>831</v>
      </c>
      <c r="D562" t="s">
        <v>586</v>
      </c>
      <c r="E562" t="s">
        <v>1111</v>
      </c>
      <c r="F562">
        <v>227</v>
      </c>
      <c r="G562" s="104" t="s">
        <v>1502</v>
      </c>
    </row>
    <row r="563" spans="1:7" ht="409.5">
      <c r="A563" t="s">
        <v>584</v>
      </c>
      <c r="B563" t="s">
        <v>571</v>
      </c>
      <c r="C563" t="s">
        <v>831</v>
      </c>
      <c r="D563" t="s">
        <v>586</v>
      </c>
      <c r="E563" t="s">
        <v>1111</v>
      </c>
      <c r="F563">
        <v>228</v>
      </c>
      <c r="G563" s="104" t="s">
        <v>1653</v>
      </c>
    </row>
    <row r="564" spans="1:7" ht="409.5">
      <c r="A564" t="s">
        <v>584</v>
      </c>
      <c r="B564" t="s">
        <v>571</v>
      </c>
      <c r="C564" t="s">
        <v>831</v>
      </c>
      <c r="D564" t="s">
        <v>586</v>
      </c>
      <c r="E564" t="s">
        <v>1111</v>
      </c>
      <c r="F564">
        <v>229</v>
      </c>
      <c r="G564" s="104" t="s">
        <v>1503</v>
      </c>
    </row>
    <row r="565" spans="1:7" ht="409.5">
      <c r="A565" t="s">
        <v>584</v>
      </c>
      <c r="B565" t="s">
        <v>571</v>
      </c>
      <c r="C565" t="s">
        <v>831</v>
      </c>
      <c r="D565" t="s">
        <v>586</v>
      </c>
      <c r="E565" t="s">
        <v>1111</v>
      </c>
      <c r="F565">
        <v>230</v>
      </c>
      <c r="G565" s="104" t="s">
        <v>1504</v>
      </c>
    </row>
    <row r="566" spans="1:7" ht="409.5">
      <c r="A566" t="s">
        <v>584</v>
      </c>
      <c r="B566" t="s">
        <v>571</v>
      </c>
      <c r="C566" t="s">
        <v>831</v>
      </c>
      <c r="D566" t="s">
        <v>586</v>
      </c>
      <c r="E566" t="s">
        <v>1111</v>
      </c>
      <c r="F566">
        <v>231</v>
      </c>
      <c r="G566" s="104" t="s">
        <v>1505</v>
      </c>
    </row>
    <row r="567" spans="1:7" ht="409.5">
      <c r="A567" t="s">
        <v>584</v>
      </c>
      <c r="B567" t="s">
        <v>571</v>
      </c>
      <c r="C567" t="s">
        <v>831</v>
      </c>
      <c r="D567" t="s">
        <v>586</v>
      </c>
      <c r="E567" t="s">
        <v>1111</v>
      </c>
      <c r="F567">
        <v>232</v>
      </c>
      <c r="G567" s="104" t="s">
        <v>1506</v>
      </c>
    </row>
    <row r="568" spans="1:7" ht="405">
      <c r="A568" t="s">
        <v>584</v>
      </c>
      <c r="B568" t="s">
        <v>571</v>
      </c>
      <c r="C568" t="s">
        <v>831</v>
      </c>
      <c r="D568" t="s">
        <v>586</v>
      </c>
      <c r="E568" t="s">
        <v>1111</v>
      </c>
      <c r="F568">
        <v>233</v>
      </c>
      <c r="G568" s="104" t="s">
        <v>1654</v>
      </c>
    </row>
    <row r="569" spans="1:7" ht="409.5">
      <c r="A569" t="s">
        <v>584</v>
      </c>
      <c r="B569" t="s">
        <v>571</v>
      </c>
      <c r="C569" t="s">
        <v>831</v>
      </c>
      <c r="D569" t="s">
        <v>586</v>
      </c>
      <c r="E569" t="s">
        <v>1111</v>
      </c>
      <c r="F569">
        <v>234</v>
      </c>
      <c r="G569" s="104" t="s">
        <v>1507</v>
      </c>
    </row>
    <row r="570" spans="1:7" ht="409.5">
      <c r="A570" t="s">
        <v>584</v>
      </c>
      <c r="B570" t="s">
        <v>571</v>
      </c>
      <c r="C570" t="s">
        <v>831</v>
      </c>
      <c r="D570" t="s">
        <v>586</v>
      </c>
      <c r="E570" t="s">
        <v>1111</v>
      </c>
      <c r="F570">
        <v>235</v>
      </c>
      <c r="G570" s="104" t="s">
        <v>1508</v>
      </c>
    </row>
    <row r="571" spans="1:7" ht="409.5">
      <c r="A571" t="s">
        <v>584</v>
      </c>
      <c r="B571" t="s">
        <v>571</v>
      </c>
      <c r="C571" t="s">
        <v>831</v>
      </c>
      <c r="D571" t="s">
        <v>586</v>
      </c>
      <c r="E571" t="s">
        <v>1111</v>
      </c>
      <c r="F571">
        <v>236</v>
      </c>
      <c r="G571" s="104" t="s">
        <v>1509</v>
      </c>
    </row>
    <row r="572" spans="1:7" ht="409.5">
      <c r="A572" t="s">
        <v>584</v>
      </c>
      <c r="B572" t="s">
        <v>571</v>
      </c>
      <c r="C572" t="s">
        <v>831</v>
      </c>
      <c r="D572" t="s">
        <v>586</v>
      </c>
      <c r="E572" t="s">
        <v>1111</v>
      </c>
      <c r="F572">
        <v>237</v>
      </c>
      <c r="G572" s="104" t="s">
        <v>1655</v>
      </c>
    </row>
    <row r="573" spans="1:7" ht="165">
      <c r="A573" t="s">
        <v>584</v>
      </c>
      <c r="B573" t="s">
        <v>571</v>
      </c>
      <c r="C573" t="s">
        <v>831</v>
      </c>
      <c r="D573" t="s">
        <v>586</v>
      </c>
      <c r="E573" t="s">
        <v>1111</v>
      </c>
      <c r="F573">
        <v>238</v>
      </c>
      <c r="G573" s="104" t="s">
        <v>1510</v>
      </c>
    </row>
    <row r="574" spans="1:7" ht="90">
      <c r="A574" t="s">
        <v>584</v>
      </c>
      <c r="B574" t="s">
        <v>571</v>
      </c>
      <c r="C574" t="s">
        <v>831</v>
      </c>
      <c r="D574" t="s">
        <v>586</v>
      </c>
      <c r="E574" t="s">
        <v>1111</v>
      </c>
      <c r="F574">
        <v>239</v>
      </c>
      <c r="G574" s="104" t="s">
        <v>1181</v>
      </c>
    </row>
    <row r="575" spans="1:7" ht="390">
      <c r="A575" t="s">
        <v>584</v>
      </c>
      <c r="B575" t="s">
        <v>571</v>
      </c>
      <c r="C575" t="s">
        <v>831</v>
      </c>
      <c r="D575" t="s">
        <v>586</v>
      </c>
      <c r="E575" t="s">
        <v>1111</v>
      </c>
      <c r="F575">
        <v>240</v>
      </c>
      <c r="G575" s="104" t="s">
        <v>1182</v>
      </c>
    </row>
    <row r="576" spans="1:7" ht="75">
      <c r="A576" t="s">
        <v>584</v>
      </c>
      <c r="B576" t="s">
        <v>571</v>
      </c>
      <c r="C576" t="s">
        <v>831</v>
      </c>
      <c r="D576" t="s">
        <v>586</v>
      </c>
      <c r="E576" t="s">
        <v>1111</v>
      </c>
      <c r="F576">
        <v>241</v>
      </c>
      <c r="G576" s="104" t="s">
        <v>1183</v>
      </c>
    </row>
    <row r="577" spans="1:7" ht="105">
      <c r="A577" t="s">
        <v>584</v>
      </c>
      <c r="B577" t="s">
        <v>571</v>
      </c>
      <c r="C577" t="s">
        <v>831</v>
      </c>
      <c r="D577" t="s">
        <v>586</v>
      </c>
      <c r="E577" t="s">
        <v>1111</v>
      </c>
      <c r="F577">
        <v>242</v>
      </c>
      <c r="G577" s="104" t="s">
        <v>1184</v>
      </c>
    </row>
    <row r="578" spans="1:7" ht="390">
      <c r="A578" t="s">
        <v>584</v>
      </c>
      <c r="B578" t="s">
        <v>571</v>
      </c>
      <c r="C578" t="s">
        <v>831</v>
      </c>
      <c r="D578" t="s">
        <v>586</v>
      </c>
      <c r="E578" t="s">
        <v>1111</v>
      </c>
      <c r="F578">
        <v>243</v>
      </c>
      <c r="G578" s="104" t="s">
        <v>1185</v>
      </c>
    </row>
    <row r="579" spans="1:7" ht="135">
      <c r="A579" t="s">
        <v>584</v>
      </c>
      <c r="B579" t="s">
        <v>571</v>
      </c>
      <c r="C579" t="s">
        <v>831</v>
      </c>
      <c r="D579" t="s">
        <v>586</v>
      </c>
      <c r="E579" t="s">
        <v>1111</v>
      </c>
      <c r="F579">
        <v>244</v>
      </c>
      <c r="G579" s="104" t="s">
        <v>1186</v>
      </c>
    </row>
    <row r="580" spans="1:7" ht="409.5">
      <c r="A580" t="s">
        <v>584</v>
      </c>
      <c r="B580" t="s">
        <v>571</v>
      </c>
      <c r="C580" t="s">
        <v>831</v>
      </c>
      <c r="D580" t="s">
        <v>586</v>
      </c>
      <c r="E580" t="s">
        <v>1111</v>
      </c>
      <c r="F580">
        <v>245</v>
      </c>
      <c r="G580" s="104" t="s">
        <v>1656</v>
      </c>
    </row>
    <row r="581" spans="1:7" ht="409.5">
      <c r="A581" t="s">
        <v>584</v>
      </c>
      <c r="B581" t="s">
        <v>571</v>
      </c>
      <c r="C581" t="s">
        <v>831</v>
      </c>
      <c r="D581" t="s">
        <v>586</v>
      </c>
      <c r="E581" t="s">
        <v>1111</v>
      </c>
      <c r="F581">
        <v>246</v>
      </c>
      <c r="G581" s="104" t="s">
        <v>1657</v>
      </c>
    </row>
    <row r="582" spans="1:7" ht="409.5">
      <c r="A582" t="s">
        <v>584</v>
      </c>
      <c r="B582" t="s">
        <v>571</v>
      </c>
      <c r="C582" t="s">
        <v>831</v>
      </c>
      <c r="D582" t="s">
        <v>586</v>
      </c>
      <c r="E582" t="s">
        <v>1111</v>
      </c>
      <c r="F582">
        <v>247</v>
      </c>
      <c r="G582" s="104" t="s">
        <v>1658</v>
      </c>
    </row>
    <row r="583" spans="1:7" ht="409.5">
      <c r="A583" t="s">
        <v>584</v>
      </c>
      <c r="B583" t="s">
        <v>571</v>
      </c>
      <c r="C583" t="s">
        <v>831</v>
      </c>
      <c r="D583" t="s">
        <v>586</v>
      </c>
      <c r="E583" t="s">
        <v>1111</v>
      </c>
      <c r="F583">
        <v>248</v>
      </c>
      <c r="G583" s="104" t="s">
        <v>1659</v>
      </c>
    </row>
    <row r="584" spans="1:7" ht="225">
      <c r="A584" t="s">
        <v>584</v>
      </c>
      <c r="B584" t="s">
        <v>571</v>
      </c>
      <c r="C584" t="s">
        <v>831</v>
      </c>
      <c r="D584" t="s">
        <v>586</v>
      </c>
      <c r="E584" t="s">
        <v>1111</v>
      </c>
      <c r="F584">
        <v>249</v>
      </c>
      <c r="G584" s="104" t="s">
        <v>1660</v>
      </c>
    </row>
    <row r="585" spans="1:7" ht="405">
      <c r="A585" t="s">
        <v>584</v>
      </c>
      <c r="B585" t="s">
        <v>571</v>
      </c>
      <c r="C585" t="s">
        <v>831</v>
      </c>
      <c r="D585" t="s">
        <v>586</v>
      </c>
      <c r="E585" t="s">
        <v>1111</v>
      </c>
      <c r="F585">
        <v>250</v>
      </c>
      <c r="G585" s="104" t="s">
        <v>1187</v>
      </c>
    </row>
    <row r="586" spans="1:7" ht="75">
      <c r="A586" t="s">
        <v>584</v>
      </c>
      <c r="B586" t="s">
        <v>571</v>
      </c>
      <c r="C586" t="s">
        <v>831</v>
      </c>
      <c r="D586" t="s">
        <v>586</v>
      </c>
      <c r="E586" t="s">
        <v>1111</v>
      </c>
      <c r="F586">
        <v>251</v>
      </c>
      <c r="G586" s="104" t="s">
        <v>1511</v>
      </c>
    </row>
    <row r="587" spans="1:7" ht="409.5">
      <c r="A587" t="s">
        <v>584</v>
      </c>
      <c r="B587" t="s">
        <v>571</v>
      </c>
      <c r="C587" t="s">
        <v>831</v>
      </c>
      <c r="D587" t="s">
        <v>586</v>
      </c>
      <c r="E587" t="s">
        <v>1111</v>
      </c>
      <c r="F587">
        <v>252</v>
      </c>
      <c r="G587" s="104" t="s">
        <v>1178</v>
      </c>
    </row>
    <row r="588" spans="1:7" ht="75">
      <c r="A588" t="s">
        <v>584</v>
      </c>
      <c r="B588" t="s">
        <v>571</v>
      </c>
      <c r="C588" t="s">
        <v>831</v>
      </c>
      <c r="D588" t="s">
        <v>586</v>
      </c>
      <c r="E588" t="s">
        <v>1111</v>
      </c>
      <c r="F588">
        <v>253</v>
      </c>
      <c r="G588" s="104" t="s">
        <v>1179</v>
      </c>
    </row>
    <row r="589" spans="1:7" ht="405">
      <c r="A589" t="s">
        <v>584</v>
      </c>
      <c r="B589" t="s">
        <v>571</v>
      </c>
      <c r="C589" t="s">
        <v>831</v>
      </c>
      <c r="D589" t="s">
        <v>586</v>
      </c>
      <c r="E589" t="s">
        <v>1111</v>
      </c>
      <c r="F589">
        <v>254</v>
      </c>
      <c r="G589" s="104" t="s">
        <v>1180</v>
      </c>
    </row>
    <row r="590" spans="1:7" ht="315">
      <c r="A590" t="s">
        <v>584</v>
      </c>
      <c r="B590" t="s">
        <v>571</v>
      </c>
      <c r="C590" t="s">
        <v>831</v>
      </c>
      <c r="D590" t="s">
        <v>586</v>
      </c>
      <c r="E590" t="s">
        <v>1111</v>
      </c>
      <c r="F590">
        <v>255</v>
      </c>
      <c r="G590" s="104" t="s">
        <v>1750</v>
      </c>
    </row>
    <row r="591" spans="1:7" ht="409.5">
      <c r="A591" t="s">
        <v>584</v>
      </c>
      <c r="B591" t="s">
        <v>571</v>
      </c>
      <c r="C591" t="s">
        <v>831</v>
      </c>
      <c r="D591" t="s">
        <v>586</v>
      </c>
      <c r="E591" t="s">
        <v>1188</v>
      </c>
      <c r="F591">
        <v>1</v>
      </c>
      <c r="G591" s="104" t="s">
        <v>1718</v>
      </c>
    </row>
    <row r="592" spans="1:7" ht="45">
      <c r="A592" t="s">
        <v>584</v>
      </c>
      <c r="B592" t="s">
        <v>571</v>
      </c>
      <c r="C592" t="s">
        <v>831</v>
      </c>
      <c r="D592" t="s">
        <v>586</v>
      </c>
      <c r="E592" t="s">
        <v>1189</v>
      </c>
      <c r="F592">
        <v>1</v>
      </c>
      <c r="G592" s="104" t="s">
        <v>1190</v>
      </c>
    </row>
    <row r="593" spans="1:7" ht="300">
      <c r="A593" t="s">
        <v>584</v>
      </c>
      <c r="B593" t="s">
        <v>571</v>
      </c>
      <c r="C593" t="s">
        <v>831</v>
      </c>
      <c r="D593" t="s">
        <v>586</v>
      </c>
      <c r="E593" t="s">
        <v>1189</v>
      </c>
      <c r="F593">
        <v>2</v>
      </c>
      <c r="G593" s="104" t="s">
        <v>1191</v>
      </c>
    </row>
    <row r="594" spans="1:7" ht="90">
      <c r="A594" t="s">
        <v>584</v>
      </c>
      <c r="B594" t="s">
        <v>571</v>
      </c>
      <c r="C594" t="s">
        <v>831</v>
      </c>
      <c r="D594" t="s">
        <v>586</v>
      </c>
      <c r="E594" t="s">
        <v>1189</v>
      </c>
      <c r="F594">
        <v>3</v>
      </c>
      <c r="G594" s="104" t="s">
        <v>1192</v>
      </c>
    </row>
    <row r="595" spans="1:7" ht="409.5">
      <c r="A595" t="s">
        <v>584</v>
      </c>
      <c r="B595" t="s">
        <v>571</v>
      </c>
      <c r="C595" t="s">
        <v>831</v>
      </c>
      <c r="D595" t="s">
        <v>586</v>
      </c>
      <c r="E595" t="s">
        <v>1189</v>
      </c>
      <c r="F595">
        <v>4</v>
      </c>
      <c r="G595" s="104" t="s">
        <v>1193</v>
      </c>
    </row>
    <row r="596" spans="1:7" ht="315">
      <c r="A596" t="s">
        <v>584</v>
      </c>
      <c r="B596" t="s">
        <v>571</v>
      </c>
      <c r="C596" t="s">
        <v>831</v>
      </c>
      <c r="D596" t="s">
        <v>586</v>
      </c>
      <c r="E596" t="s">
        <v>1189</v>
      </c>
      <c r="F596">
        <v>5</v>
      </c>
      <c r="G596" s="104" t="s">
        <v>1194</v>
      </c>
    </row>
    <row r="597" spans="1:7" ht="90">
      <c r="A597" t="s">
        <v>584</v>
      </c>
      <c r="B597" t="s">
        <v>571</v>
      </c>
      <c r="C597" t="s">
        <v>831</v>
      </c>
      <c r="D597" t="s">
        <v>586</v>
      </c>
      <c r="E597" t="s">
        <v>1189</v>
      </c>
      <c r="F597">
        <v>6</v>
      </c>
      <c r="G597" s="104" t="s">
        <v>1195</v>
      </c>
    </row>
    <row r="598" spans="1:7" ht="409.5">
      <c r="A598" t="s">
        <v>584</v>
      </c>
      <c r="B598" t="s">
        <v>571</v>
      </c>
      <c r="C598" t="s">
        <v>831</v>
      </c>
      <c r="D598" t="s">
        <v>586</v>
      </c>
      <c r="E598" t="s">
        <v>1189</v>
      </c>
      <c r="F598">
        <v>7</v>
      </c>
      <c r="G598" s="104" t="s">
        <v>1196</v>
      </c>
    </row>
    <row r="599" spans="1:7" ht="315">
      <c r="A599" t="s">
        <v>584</v>
      </c>
      <c r="B599" t="s">
        <v>571</v>
      </c>
      <c r="C599" t="s">
        <v>831</v>
      </c>
      <c r="D599" t="s">
        <v>586</v>
      </c>
      <c r="E599" t="s">
        <v>1189</v>
      </c>
      <c r="F599">
        <v>8</v>
      </c>
      <c r="G599" s="104" t="s">
        <v>1197</v>
      </c>
    </row>
    <row r="600" spans="1:7" ht="90">
      <c r="A600" t="s">
        <v>584</v>
      </c>
      <c r="B600" t="s">
        <v>571</v>
      </c>
      <c r="C600" t="s">
        <v>831</v>
      </c>
      <c r="D600" t="s">
        <v>586</v>
      </c>
      <c r="E600" t="s">
        <v>1189</v>
      </c>
      <c r="F600">
        <v>9</v>
      </c>
      <c r="G600" s="104" t="s">
        <v>1198</v>
      </c>
    </row>
    <row r="601" spans="1:7" ht="409.5">
      <c r="A601" t="s">
        <v>584</v>
      </c>
      <c r="B601" t="s">
        <v>571</v>
      </c>
      <c r="C601" t="s">
        <v>831</v>
      </c>
      <c r="D601" t="s">
        <v>586</v>
      </c>
      <c r="E601" t="s">
        <v>1189</v>
      </c>
      <c r="F601">
        <v>10</v>
      </c>
      <c r="G601" s="104" t="s">
        <v>1199</v>
      </c>
    </row>
    <row r="602" spans="1:7" ht="409.5">
      <c r="A602" t="s">
        <v>584</v>
      </c>
      <c r="B602" t="s">
        <v>571</v>
      </c>
      <c r="C602" t="s">
        <v>831</v>
      </c>
      <c r="D602" t="s">
        <v>586</v>
      </c>
      <c r="E602" t="s">
        <v>1189</v>
      </c>
      <c r="F602">
        <v>11</v>
      </c>
      <c r="G602" s="104" t="s">
        <v>1661</v>
      </c>
    </row>
    <row r="603" spans="1:7" ht="409.5">
      <c r="A603" t="s">
        <v>584</v>
      </c>
      <c r="B603" t="s">
        <v>571</v>
      </c>
      <c r="C603" t="s">
        <v>831</v>
      </c>
      <c r="D603" t="s">
        <v>586</v>
      </c>
      <c r="E603" t="s">
        <v>1189</v>
      </c>
      <c r="F603">
        <v>12</v>
      </c>
      <c r="G603" s="104" t="s">
        <v>1200</v>
      </c>
    </row>
    <row r="604" spans="1:7" ht="180">
      <c r="A604" t="s">
        <v>584</v>
      </c>
      <c r="B604" t="s">
        <v>571</v>
      </c>
      <c r="C604" t="s">
        <v>831</v>
      </c>
      <c r="D604" t="s">
        <v>586</v>
      </c>
      <c r="E604" t="s">
        <v>1189</v>
      </c>
      <c r="F604">
        <v>13</v>
      </c>
      <c r="G604" s="104" t="s">
        <v>1201</v>
      </c>
    </row>
    <row r="605" spans="1:7" ht="90">
      <c r="A605" t="s">
        <v>584</v>
      </c>
      <c r="B605" t="s">
        <v>571</v>
      </c>
      <c r="C605" t="s">
        <v>831</v>
      </c>
      <c r="D605" t="s">
        <v>586</v>
      </c>
      <c r="E605" t="s">
        <v>1189</v>
      </c>
      <c r="F605">
        <v>14</v>
      </c>
      <c r="G605" s="104" t="s">
        <v>1202</v>
      </c>
    </row>
    <row r="606" spans="1:7" ht="409.5">
      <c r="A606" t="s">
        <v>584</v>
      </c>
      <c r="B606" t="s">
        <v>571</v>
      </c>
      <c r="C606" t="s">
        <v>831</v>
      </c>
      <c r="D606" t="s">
        <v>586</v>
      </c>
      <c r="E606" t="s">
        <v>1189</v>
      </c>
      <c r="F606">
        <v>15</v>
      </c>
      <c r="G606" s="104" t="s">
        <v>1203</v>
      </c>
    </row>
    <row r="607" spans="1:7" ht="409.5">
      <c r="A607" t="s">
        <v>584</v>
      </c>
      <c r="B607" t="s">
        <v>571</v>
      </c>
      <c r="C607" t="s">
        <v>831</v>
      </c>
      <c r="D607" t="s">
        <v>586</v>
      </c>
      <c r="E607" t="s">
        <v>1189</v>
      </c>
      <c r="F607">
        <v>16</v>
      </c>
      <c r="G607" s="104" t="s">
        <v>1662</v>
      </c>
    </row>
    <row r="608" spans="1:7" ht="409.5">
      <c r="A608" t="s">
        <v>584</v>
      </c>
      <c r="B608" t="s">
        <v>571</v>
      </c>
      <c r="C608" t="s">
        <v>831</v>
      </c>
      <c r="D608" t="s">
        <v>586</v>
      </c>
      <c r="E608" t="s">
        <v>1189</v>
      </c>
      <c r="F608">
        <v>17</v>
      </c>
      <c r="G608" s="104" t="s">
        <v>1204</v>
      </c>
    </row>
    <row r="609" spans="1:7" ht="105">
      <c r="A609" t="s">
        <v>584</v>
      </c>
      <c r="B609" t="s">
        <v>571</v>
      </c>
      <c r="C609" t="s">
        <v>831</v>
      </c>
      <c r="D609" t="s">
        <v>586</v>
      </c>
      <c r="E609" t="s">
        <v>1189</v>
      </c>
      <c r="F609">
        <v>18</v>
      </c>
      <c r="G609" s="104" t="s">
        <v>1205</v>
      </c>
    </row>
    <row r="610" spans="1:7" ht="409.5">
      <c r="A610" t="s">
        <v>584</v>
      </c>
      <c r="B610" t="s">
        <v>571</v>
      </c>
      <c r="C610" t="s">
        <v>831</v>
      </c>
      <c r="D610" t="s">
        <v>586</v>
      </c>
      <c r="E610" t="s">
        <v>1189</v>
      </c>
      <c r="F610">
        <v>19</v>
      </c>
      <c r="G610" s="104" t="s">
        <v>1206</v>
      </c>
    </row>
    <row r="611" spans="1:7" ht="409.5">
      <c r="A611" t="s">
        <v>584</v>
      </c>
      <c r="B611" t="s">
        <v>571</v>
      </c>
      <c r="C611" t="s">
        <v>831</v>
      </c>
      <c r="D611" t="s">
        <v>586</v>
      </c>
      <c r="E611" t="s">
        <v>1189</v>
      </c>
      <c r="F611">
        <v>20</v>
      </c>
      <c r="G611" s="104" t="s">
        <v>1207</v>
      </c>
    </row>
    <row r="612" spans="1:7" ht="255">
      <c r="A612" t="s">
        <v>584</v>
      </c>
      <c r="B612" t="s">
        <v>571</v>
      </c>
      <c r="C612" t="s">
        <v>831</v>
      </c>
      <c r="D612" t="s">
        <v>586</v>
      </c>
      <c r="E612" t="s">
        <v>1189</v>
      </c>
      <c r="F612">
        <v>21</v>
      </c>
      <c r="G612" s="104" t="s">
        <v>1208</v>
      </c>
    </row>
    <row r="613" spans="1:7" ht="150">
      <c r="A613" t="s">
        <v>584</v>
      </c>
      <c r="B613" t="s">
        <v>571</v>
      </c>
      <c r="C613" t="s">
        <v>831</v>
      </c>
      <c r="D613" t="s">
        <v>586</v>
      </c>
      <c r="E613" t="s">
        <v>1189</v>
      </c>
      <c r="F613">
        <v>22</v>
      </c>
      <c r="G613" s="104" t="s">
        <v>1209</v>
      </c>
    </row>
    <row r="614" spans="1:7" ht="409.5">
      <c r="A614" t="s">
        <v>584</v>
      </c>
      <c r="B614" t="s">
        <v>571</v>
      </c>
      <c r="C614" t="s">
        <v>831</v>
      </c>
      <c r="D614" t="s">
        <v>586</v>
      </c>
      <c r="E614" t="s">
        <v>1189</v>
      </c>
      <c r="F614">
        <v>23</v>
      </c>
      <c r="G614" s="104" t="s">
        <v>1210</v>
      </c>
    </row>
    <row r="615" spans="1:7" ht="330">
      <c r="A615" t="s">
        <v>584</v>
      </c>
      <c r="B615" t="s">
        <v>571</v>
      </c>
      <c r="C615" t="s">
        <v>831</v>
      </c>
      <c r="D615" t="s">
        <v>586</v>
      </c>
      <c r="E615" t="s">
        <v>1189</v>
      </c>
      <c r="F615">
        <v>24</v>
      </c>
      <c r="G615" s="104" t="s">
        <v>1512</v>
      </c>
    </row>
    <row r="616" spans="1:7" ht="409.5">
      <c r="A616" t="s">
        <v>584</v>
      </c>
      <c r="B616" t="s">
        <v>571</v>
      </c>
      <c r="C616" t="s">
        <v>831</v>
      </c>
      <c r="D616" t="s">
        <v>586</v>
      </c>
      <c r="E616" t="s">
        <v>1189</v>
      </c>
      <c r="F616">
        <v>25</v>
      </c>
      <c r="G616" s="104" t="s">
        <v>1211</v>
      </c>
    </row>
    <row r="617" spans="1:7" ht="409.5">
      <c r="A617" t="s">
        <v>584</v>
      </c>
      <c r="B617" t="s">
        <v>571</v>
      </c>
      <c r="C617" t="s">
        <v>831</v>
      </c>
      <c r="D617" t="s">
        <v>586</v>
      </c>
      <c r="E617" t="s">
        <v>1189</v>
      </c>
      <c r="F617">
        <v>26</v>
      </c>
      <c r="G617" s="104" t="s">
        <v>1212</v>
      </c>
    </row>
    <row r="618" spans="1:7" ht="409.5">
      <c r="A618" t="s">
        <v>584</v>
      </c>
      <c r="B618" t="s">
        <v>571</v>
      </c>
      <c r="C618" t="s">
        <v>831</v>
      </c>
      <c r="D618" t="s">
        <v>586</v>
      </c>
      <c r="E618" t="s">
        <v>1189</v>
      </c>
      <c r="F618">
        <v>27</v>
      </c>
      <c r="G618" s="104" t="s">
        <v>1513</v>
      </c>
    </row>
    <row r="619" spans="1:7" ht="409.5">
      <c r="A619" t="s">
        <v>584</v>
      </c>
      <c r="B619" t="s">
        <v>571</v>
      </c>
      <c r="C619" t="s">
        <v>831</v>
      </c>
      <c r="D619" t="s">
        <v>586</v>
      </c>
      <c r="E619" t="s">
        <v>1189</v>
      </c>
      <c r="F619">
        <v>28</v>
      </c>
      <c r="G619" s="104" t="s">
        <v>1213</v>
      </c>
    </row>
    <row r="620" spans="1:7" ht="409.5">
      <c r="A620" t="s">
        <v>584</v>
      </c>
      <c r="B620" t="s">
        <v>571</v>
      </c>
      <c r="C620" t="s">
        <v>831</v>
      </c>
      <c r="D620" t="s">
        <v>586</v>
      </c>
      <c r="E620" t="s">
        <v>1189</v>
      </c>
      <c r="F620">
        <v>29</v>
      </c>
      <c r="G620" s="104" t="s">
        <v>1214</v>
      </c>
    </row>
    <row r="621" spans="1:7" ht="405">
      <c r="A621" t="s">
        <v>584</v>
      </c>
      <c r="B621" t="s">
        <v>571</v>
      </c>
      <c r="C621" t="s">
        <v>831</v>
      </c>
      <c r="D621" t="s">
        <v>586</v>
      </c>
      <c r="E621" t="s">
        <v>1189</v>
      </c>
      <c r="F621">
        <v>30</v>
      </c>
      <c r="G621" s="104" t="s">
        <v>1514</v>
      </c>
    </row>
    <row r="622" spans="1:7" ht="409.5">
      <c r="A622" t="s">
        <v>584</v>
      </c>
      <c r="B622" t="s">
        <v>571</v>
      </c>
      <c r="C622" t="s">
        <v>831</v>
      </c>
      <c r="D622" t="s">
        <v>586</v>
      </c>
      <c r="E622" t="s">
        <v>1189</v>
      </c>
      <c r="F622">
        <v>31</v>
      </c>
      <c r="G622" s="104" t="s">
        <v>1215</v>
      </c>
    </row>
    <row r="623" spans="1:7" ht="409.5">
      <c r="A623" t="s">
        <v>584</v>
      </c>
      <c r="B623" t="s">
        <v>571</v>
      </c>
      <c r="C623" t="s">
        <v>831</v>
      </c>
      <c r="D623" t="s">
        <v>586</v>
      </c>
      <c r="E623" t="s">
        <v>1189</v>
      </c>
      <c r="F623">
        <v>32</v>
      </c>
      <c r="G623" s="104" t="s">
        <v>1216</v>
      </c>
    </row>
    <row r="624" spans="1:7" ht="409.5">
      <c r="A624" t="s">
        <v>584</v>
      </c>
      <c r="B624" t="s">
        <v>571</v>
      </c>
      <c r="C624" t="s">
        <v>831</v>
      </c>
      <c r="D624" t="s">
        <v>586</v>
      </c>
      <c r="E624" t="s">
        <v>1189</v>
      </c>
      <c r="F624">
        <v>33</v>
      </c>
      <c r="G624" s="104" t="s">
        <v>1217</v>
      </c>
    </row>
    <row r="625" spans="1:7" ht="405">
      <c r="A625" t="s">
        <v>584</v>
      </c>
      <c r="B625" t="s">
        <v>571</v>
      </c>
      <c r="C625" t="s">
        <v>831</v>
      </c>
      <c r="D625" t="s">
        <v>586</v>
      </c>
      <c r="E625" t="s">
        <v>1189</v>
      </c>
      <c r="F625">
        <v>34</v>
      </c>
      <c r="G625" s="104" t="s">
        <v>1218</v>
      </c>
    </row>
    <row r="626" spans="1:7" ht="405">
      <c r="A626" t="s">
        <v>584</v>
      </c>
      <c r="B626" t="s">
        <v>571</v>
      </c>
      <c r="C626" t="s">
        <v>831</v>
      </c>
      <c r="D626" t="s">
        <v>586</v>
      </c>
      <c r="E626" t="s">
        <v>1189</v>
      </c>
      <c r="F626">
        <v>35</v>
      </c>
      <c r="G626" s="104" t="s">
        <v>1219</v>
      </c>
    </row>
    <row r="627" spans="1:7" ht="409.5">
      <c r="A627" t="s">
        <v>584</v>
      </c>
      <c r="B627" t="s">
        <v>571</v>
      </c>
      <c r="C627" t="s">
        <v>831</v>
      </c>
      <c r="D627" t="s">
        <v>586</v>
      </c>
      <c r="E627" t="s">
        <v>1189</v>
      </c>
      <c r="F627">
        <v>36</v>
      </c>
      <c r="G627" s="104" t="s">
        <v>1220</v>
      </c>
    </row>
    <row r="628" spans="1:7" ht="409.5">
      <c r="A628" t="s">
        <v>584</v>
      </c>
      <c r="B628" t="s">
        <v>571</v>
      </c>
      <c r="C628" t="s">
        <v>831</v>
      </c>
      <c r="D628" t="s">
        <v>586</v>
      </c>
      <c r="E628" t="s">
        <v>1189</v>
      </c>
      <c r="F628">
        <v>37</v>
      </c>
      <c r="G628" s="104" t="s">
        <v>1221</v>
      </c>
    </row>
    <row r="629" spans="1:7" ht="409.5">
      <c r="A629" t="s">
        <v>584</v>
      </c>
      <c r="B629" t="s">
        <v>571</v>
      </c>
      <c r="C629" t="s">
        <v>831</v>
      </c>
      <c r="D629" t="s">
        <v>586</v>
      </c>
      <c r="E629" t="s">
        <v>1189</v>
      </c>
      <c r="F629">
        <v>38</v>
      </c>
      <c r="G629" s="104" t="s">
        <v>1222</v>
      </c>
    </row>
    <row r="630" spans="1:7" ht="165">
      <c r="A630" t="s">
        <v>584</v>
      </c>
      <c r="B630" t="s">
        <v>571</v>
      </c>
      <c r="C630" t="s">
        <v>831</v>
      </c>
      <c r="D630" t="s">
        <v>586</v>
      </c>
      <c r="E630" t="s">
        <v>1189</v>
      </c>
      <c r="F630">
        <v>39</v>
      </c>
      <c r="G630" s="104" t="s">
        <v>1223</v>
      </c>
    </row>
    <row r="631" spans="1:7" ht="135">
      <c r="A631" t="s">
        <v>584</v>
      </c>
      <c r="B631" t="s">
        <v>571</v>
      </c>
      <c r="C631" t="s">
        <v>831</v>
      </c>
      <c r="D631" t="s">
        <v>586</v>
      </c>
      <c r="E631" t="s">
        <v>1189</v>
      </c>
      <c r="F631">
        <v>40</v>
      </c>
      <c r="G631" s="104" t="s">
        <v>1224</v>
      </c>
    </row>
    <row r="632" spans="1:7" ht="409.5">
      <c r="A632" t="s">
        <v>584</v>
      </c>
      <c r="B632" t="s">
        <v>571</v>
      </c>
      <c r="C632" t="s">
        <v>831</v>
      </c>
      <c r="D632" t="s">
        <v>586</v>
      </c>
      <c r="E632" t="s">
        <v>1189</v>
      </c>
      <c r="F632">
        <v>41</v>
      </c>
      <c r="G632" s="104" t="s">
        <v>1515</v>
      </c>
    </row>
    <row r="633" spans="1:7" ht="409.5">
      <c r="A633" t="s">
        <v>584</v>
      </c>
      <c r="B633" t="s">
        <v>571</v>
      </c>
      <c r="C633" t="s">
        <v>831</v>
      </c>
      <c r="D633" t="s">
        <v>586</v>
      </c>
      <c r="E633" t="s">
        <v>1189</v>
      </c>
      <c r="F633">
        <v>42</v>
      </c>
      <c r="G633" s="104" t="s">
        <v>1225</v>
      </c>
    </row>
    <row r="634" spans="1:7" ht="409.5">
      <c r="A634" t="s">
        <v>584</v>
      </c>
      <c r="B634" t="s">
        <v>571</v>
      </c>
      <c r="C634" t="s">
        <v>831</v>
      </c>
      <c r="D634" t="s">
        <v>586</v>
      </c>
      <c r="E634" t="s">
        <v>1189</v>
      </c>
      <c r="F634">
        <v>43</v>
      </c>
      <c r="G634" s="104" t="s">
        <v>1516</v>
      </c>
    </row>
    <row r="635" spans="1:7" ht="409.5">
      <c r="A635" t="s">
        <v>584</v>
      </c>
      <c r="B635" t="s">
        <v>571</v>
      </c>
      <c r="C635" t="s">
        <v>831</v>
      </c>
      <c r="D635" t="s">
        <v>586</v>
      </c>
      <c r="E635" t="s">
        <v>1189</v>
      </c>
      <c r="F635">
        <v>44</v>
      </c>
      <c r="G635" s="104" t="s">
        <v>1226</v>
      </c>
    </row>
    <row r="636" spans="1:7" ht="409.5">
      <c r="A636" t="s">
        <v>584</v>
      </c>
      <c r="B636" t="s">
        <v>571</v>
      </c>
      <c r="C636" t="s">
        <v>831</v>
      </c>
      <c r="D636" t="s">
        <v>586</v>
      </c>
      <c r="E636" t="s">
        <v>1189</v>
      </c>
      <c r="F636">
        <v>45</v>
      </c>
      <c r="G636" s="104" t="s">
        <v>1227</v>
      </c>
    </row>
    <row r="637" spans="1:7" ht="390">
      <c r="A637" t="s">
        <v>584</v>
      </c>
      <c r="B637" t="s">
        <v>571</v>
      </c>
      <c r="C637" t="s">
        <v>831</v>
      </c>
      <c r="D637" t="s">
        <v>586</v>
      </c>
      <c r="E637" t="s">
        <v>1189</v>
      </c>
      <c r="F637">
        <v>46</v>
      </c>
      <c r="G637" s="104" t="s">
        <v>1228</v>
      </c>
    </row>
    <row r="638" spans="1:7" ht="210">
      <c r="A638" t="s">
        <v>584</v>
      </c>
      <c r="B638" t="s">
        <v>571</v>
      </c>
      <c r="C638" t="s">
        <v>831</v>
      </c>
      <c r="D638" t="s">
        <v>586</v>
      </c>
      <c r="E638" t="s">
        <v>1189</v>
      </c>
      <c r="F638">
        <v>47</v>
      </c>
      <c r="G638" s="104" t="s">
        <v>1229</v>
      </c>
    </row>
    <row r="639" spans="1:7" ht="409.5">
      <c r="A639" t="s">
        <v>584</v>
      </c>
      <c r="B639" t="s">
        <v>571</v>
      </c>
      <c r="C639" t="s">
        <v>831</v>
      </c>
      <c r="D639" t="s">
        <v>586</v>
      </c>
      <c r="E639" t="s">
        <v>1189</v>
      </c>
      <c r="F639">
        <v>48</v>
      </c>
      <c r="G639" s="104" t="s">
        <v>1230</v>
      </c>
    </row>
    <row r="640" spans="1:7" ht="409.5">
      <c r="A640" t="s">
        <v>584</v>
      </c>
      <c r="B640" t="s">
        <v>571</v>
      </c>
      <c r="C640" t="s">
        <v>831</v>
      </c>
      <c r="D640" t="s">
        <v>586</v>
      </c>
      <c r="E640" t="s">
        <v>1189</v>
      </c>
      <c r="F640">
        <v>49</v>
      </c>
      <c r="G640" s="104" t="s">
        <v>1517</v>
      </c>
    </row>
    <row r="641" spans="1:7" ht="405">
      <c r="A641" t="s">
        <v>584</v>
      </c>
      <c r="B641" t="s">
        <v>571</v>
      </c>
      <c r="C641" t="s">
        <v>831</v>
      </c>
      <c r="D641" t="s">
        <v>586</v>
      </c>
      <c r="E641" t="s">
        <v>1189</v>
      </c>
      <c r="F641">
        <v>50</v>
      </c>
      <c r="G641" s="104" t="s">
        <v>1231</v>
      </c>
    </row>
    <row r="642" spans="1:7" ht="409.5">
      <c r="A642" t="s">
        <v>584</v>
      </c>
      <c r="B642" t="s">
        <v>571</v>
      </c>
      <c r="C642" t="s">
        <v>831</v>
      </c>
      <c r="D642" t="s">
        <v>586</v>
      </c>
      <c r="E642" t="s">
        <v>1189</v>
      </c>
      <c r="F642">
        <v>51</v>
      </c>
      <c r="G642" s="104" t="s">
        <v>1518</v>
      </c>
    </row>
    <row r="643" spans="1:7" ht="405">
      <c r="A643" t="s">
        <v>584</v>
      </c>
      <c r="B643" t="s">
        <v>571</v>
      </c>
      <c r="C643" t="s">
        <v>831</v>
      </c>
      <c r="D643" t="s">
        <v>586</v>
      </c>
      <c r="E643" t="s">
        <v>1189</v>
      </c>
      <c r="F643">
        <v>52</v>
      </c>
      <c r="G643" s="104" t="s">
        <v>1519</v>
      </c>
    </row>
    <row r="644" spans="1:7" ht="409.5">
      <c r="A644" t="s">
        <v>584</v>
      </c>
      <c r="B644" t="s">
        <v>571</v>
      </c>
      <c r="C644" t="s">
        <v>831</v>
      </c>
      <c r="D644" t="s">
        <v>586</v>
      </c>
      <c r="E644" t="s">
        <v>1189</v>
      </c>
      <c r="F644">
        <v>53</v>
      </c>
      <c r="G644" s="104" t="s">
        <v>1232</v>
      </c>
    </row>
    <row r="645" spans="1:7" ht="409.5">
      <c r="A645" t="s">
        <v>584</v>
      </c>
      <c r="B645" t="s">
        <v>571</v>
      </c>
      <c r="C645" t="s">
        <v>831</v>
      </c>
      <c r="D645" t="s">
        <v>586</v>
      </c>
      <c r="E645" t="s">
        <v>1189</v>
      </c>
      <c r="F645">
        <v>54</v>
      </c>
      <c r="G645" s="104" t="s">
        <v>1233</v>
      </c>
    </row>
    <row r="646" spans="1:7" ht="409.5">
      <c r="A646" t="s">
        <v>584</v>
      </c>
      <c r="B646" t="s">
        <v>571</v>
      </c>
      <c r="C646" t="s">
        <v>831</v>
      </c>
      <c r="D646" t="s">
        <v>586</v>
      </c>
      <c r="E646" t="s">
        <v>1189</v>
      </c>
      <c r="F646">
        <v>55</v>
      </c>
      <c r="G646" s="104" t="s">
        <v>1663</v>
      </c>
    </row>
    <row r="647" spans="1:7" ht="409.5">
      <c r="A647" t="s">
        <v>584</v>
      </c>
      <c r="B647" t="s">
        <v>571</v>
      </c>
      <c r="C647" t="s">
        <v>831</v>
      </c>
      <c r="D647" t="s">
        <v>586</v>
      </c>
      <c r="E647" t="s">
        <v>1189</v>
      </c>
      <c r="F647">
        <v>56</v>
      </c>
      <c r="G647" s="104" t="s">
        <v>1234</v>
      </c>
    </row>
    <row r="648" spans="1:7" ht="225">
      <c r="A648" t="s">
        <v>584</v>
      </c>
      <c r="B648" t="s">
        <v>571</v>
      </c>
      <c r="C648" t="s">
        <v>831</v>
      </c>
      <c r="D648" t="s">
        <v>586</v>
      </c>
      <c r="E648" t="s">
        <v>1189</v>
      </c>
      <c r="F648">
        <v>57</v>
      </c>
      <c r="G648" s="104" t="s">
        <v>1235</v>
      </c>
    </row>
    <row r="649" spans="1:7" ht="409.5">
      <c r="A649" t="s">
        <v>584</v>
      </c>
      <c r="B649" t="s">
        <v>571</v>
      </c>
      <c r="C649" t="s">
        <v>831</v>
      </c>
      <c r="D649" t="s">
        <v>586</v>
      </c>
      <c r="E649" t="s">
        <v>1189</v>
      </c>
      <c r="F649">
        <v>58</v>
      </c>
      <c r="G649" s="104" t="s">
        <v>1236</v>
      </c>
    </row>
    <row r="650" spans="1:7" ht="409.5">
      <c r="A650" t="s">
        <v>584</v>
      </c>
      <c r="B650" t="s">
        <v>571</v>
      </c>
      <c r="C650" t="s">
        <v>831</v>
      </c>
      <c r="D650" t="s">
        <v>586</v>
      </c>
      <c r="E650" t="s">
        <v>1189</v>
      </c>
      <c r="F650">
        <v>59</v>
      </c>
      <c r="G650" s="104" t="s">
        <v>1520</v>
      </c>
    </row>
    <row r="651" spans="1:7" ht="405">
      <c r="A651" t="s">
        <v>584</v>
      </c>
      <c r="B651" t="s">
        <v>571</v>
      </c>
      <c r="C651" t="s">
        <v>831</v>
      </c>
      <c r="D651" t="s">
        <v>586</v>
      </c>
      <c r="E651" t="s">
        <v>1189</v>
      </c>
      <c r="F651">
        <v>60</v>
      </c>
      <c r="G651" s="104" t="s">
        <v>1237</v>
      </c>
    </row>
    <row r="652" spans="1:7" ht="390">
      <c r="A652" t="s">
        <v>584</v>
      </c>
      <c r="B652" t="s">
        <v>571</v>
      </c>
      <c r="C652" t="s">
        <v>831</v>
      </c>
      <c r="D652" t="s">
        <v>586</v>
      </c>
      <c r="E652" t="s">
        <v>1189</v>
      </c>
      <c r="F652">
        <v>61</v>
      </c>
      <c r="G652" s="104" t="s">
        <v>1238</v>
      </c>
    </row>
    <row r="653" spans="1:7" ht="409.5">
      <c r="A653" t="s">
        <v>584</v>
      </c>
      <c r="B653" t="s">
        <v>571</v>
      </c>
      <c r="C653" t="s">
        <v>831</v>
      </c>
      <c r="D653" t="s">
        <v>586</v>
      </c>
      <c r="E653" t="s">
        <v>1189</v>
      </c>
      <c r="F653">
        <v>62</v>
      </c>
      <c r="G653" s="104" t="s">
        <v>1239</v>
      </c>
    </row>
    <row r="654" spans="1:7" ht="390">
      <c r="A654" t="s">
        <v>584</v>
      </c>
      <c r="B654" t="s">
        <v>571</v>
      </c>
      <c r="C654" t="s">
        <v>831</v>
      </c>
      <c r="D654" t="s">
        <v>586</v>
      </c>
      <c r="E654" t="s">
        <v>1189</v>
      </c>
      <c r="F654">
        <v>63</v>
      </c>
      <c r="G654" s="104" t="s">
        <v>1240</v>
      </c>
    </row>
    <row r="655" spans="1:7" ht="409.5">
      <c r="A655" t="s">
        <v>584</v>
      </c>
      <c r="B655" t="s">
        <v>571</v>
      </c>
      <c r="C655" t="s">
        <v>831</v>
      </c>
      <c r="D655" t="s">
        <v>586</v>
      </c>
      <c r="E655" t="s">
        <v>1189</v>
      </c>
      <c r="F655">
        <v>64</v>
      </c>
      <c r="G655" s="104" t="s">
        <v>1241</v>
      </c>
    </row>
    <row r="656" spans="1:7" ht="409.5">
      <c r="A656" t="s">
        <v>584</v>
      </c>
      <c r="B656" t="s">
        <v>571</v>
      </c>
      <c r="C656" t="s">
        <v>831</v>
      </c>
      <c r="D656" t="s">
        <v>586</v>
      </c>
      <c r="E656" t="s">
        <v>1189</v>
      </c>
      <c r="F656">
        <v>65</v>
      </c>
      <c r="G656" s="104" t="s">
        <v>1242</v>
      </c>
    </row>
    <row r="657" spans="1:7" ht="409.5">
      <c r="A657" t="s">
        <v>584</v>
      </c>
      <c r="B657" t="s">
        <v>571</v>
      </c>
      <c r="C657" t="s">
        <v>831</v>
      </c>
      <c r="D657" t="s">
        <v>586</v>
      </c>
      <c r="E657" t="s">
        <v>1189</v>
      </c>
      <c r="F657">
        <v>66</v>
      </c>
      <c r="G657" s="104" t="s">
        <v>1521</v>
      </c>
    </row>
    <row r="658" spans="1:7" ht="390">
      <c r="A658" t="s">
        <v>584</v>
      </c>
      <c r="B658" t="s">
        <v>571</v>
      </c>
      <c r="C658" t="s">
        <v>831</v>
      </c>
      <c r="D658" t="s">
        <v>586</v>
      </c>
      <c r="E658" t="s">
        <v>1189</v>
      </c>
      <c r="F658">
        <v>67</v>
      </c>
      <c r="G658" s="104" t="s">
        <v>1522</v>
      </c>
    </row>
    <row r="659" spans="1:7" ht="409.5">
      <c r="A659" t="s">
        <v>584</v>
      </c>
      <c r="B659" t="s">
        <v>571</v>
      </c>
      <c r="C659" t="s">
        <v>831</v>
      </c>
      <c r="D659" t="s">
        <v>586</v>
      </c>
      <c r="E659" t="s">
        <v>1189</v>
      </c>
      <c r="F659">
        <v>68</v>
      </c>
      <c r="G659" s="104" t="s">
        <v>1523</v>
      </c>
    </row>
    <row r="660" spans="1:7" ht="409.5">
      <c r="A660" t="s">
        <v>584</v>
      </c>
      <c r="B660" t="s">
        <v>571</v>
      </c>
      <c r="C660" t="s">
        <v>831</v>
      </c>
      <c r="D660" t="s">
        <v>586</v>
      </c>
      <c r="E660" t="s">
        <v>1189</v>
      </c>
      <c r="F660">
        <v>69</v>
      </c>
      <c r="G660" s="104" t="s">
        <v>1243</v>
      </c>
    </row>
    <row r="661" spans="1:7" ht="409.5">
      <c r="A661" t="s">
        <v>584</v>
      </c>
      <c r="B661" t="s">
        <v>571</v>
      </c>
      <c r="C661" t="s">
        <v>831</v>
      </c>
      <c r="D661" t="s">
        <v>586</v>
      </c>
      <c r="E661" t="s">
        <v>1189</v>
      </c>
      <c r="F661">
        <v>70</v>
      </c>
      <c r="G661" s="104" t="s">
        <v>1244</v>
      </c>
    </row>
    <row r="662" spans="1:7" ht="405">
      <c r="A662" t="s">
        <v>584</v>
      </c>
      <c r="B662" t="s">
        <v>571</v>
      </c>
      <c r="C662" t="s">
        <v>831</v>
      </c>
      <c r="D662" t="s">
        <v>586</v>
      </c>
      <c r="E662" t="s">
        <v>1189</v>
      </c>
      <c r="F662">
        <v>71</v>
      </c>
      <c r="G662" s="104" t="s">
        <v>1524</v>
      </c>
    </row>
    <row r="663" spans="1:7" ht="409.5">
      <c r="A663" t="s">
        <v>584</v>
      </c>
      <c r="B663" t="s">
        <v>571</v>
      </c>
      <c r="C663" t="s">
        <v>831</v>
      </c>
      <c r="D663" t="s">
        <v>586</v>
      </c>
      <c r="E663" t="s">
        <v>1189</v>
      </c>
      <c r="F663">
        <v>72</v>
      </c>
      <c r="G663" s="104" t="s">
        <v>1245</v>
      </c>
    </row>
    <row r="664" spans="1:7" ht="390">
      <c r="A664" t="s">
        <v>584</v>
      </c>
      <c r="B664" t="s">
        <v>571</v>
      </c>
      <c r="C664" t="s">
        <v>831</v>
      </c>
      <c r="D664" t="s">
        <v>586</v>
      </c>
      <c r="E664" t="s">
        <v>1189</v>
      </c>
      <c r="F664">
        <v>73</v>
      </c>
      <c r="G664" s="104" t="s">
        <v>1246</v>
      </c>
    </row>
    <row r="665" spans="1:7" ht="390">
      <c r="A665" t="s">
        <v>584</v>
      </c>
      <c r="B665" t="s">
        <v>571</v>
      </c>
      <c r="C665" t="s">
        <v>831</v>
      </c>
      <c r="D665" t="s">
        <v>586</v>
      </c>
      <c r="E665" t="s">
        <v>1189</v>
      </c>
      <c r="F665">
        <v>74</v>
      </c>
      <c r="G665" s="104" t="s">
        <v>1525</v>
      </c>
    </row>
    <row r="666" spans="1:7" ht="405">
      <c r="A666" t="s">
        <v>584</v>
      </c>
      <c r="B666" t="s">
        <v>571</v>
      </c>
      <c r="C666" t="s">
        <v>831</v>
      </c>
      <c r="D666" t="s">
        <v>586</v>
      </c>
      <c r="E666" t="s">
        <v>1189</v>
      </c>
      <c r="F666">
        <v>75</v>
      </c>
      <c r="G666" s="104" t="s">
        <v>1247</v>
      </c>
    </row>
    <row r="667" spans="1:7" ht="375">
      <c r="A667" t="s">
        <v>584</v>
      </c>
      <c r="B667" t="s">
        <v>571</v>
      </c>
      <c r="C667" t="s">
        <v>831</v>
      </c>
      <c r="D667" t="s">
        <v>586</v>
      </c>
      <c r="E667" t="s">
        <v>1189</v>
      </c>
      <c r="F667">
        <v>76</v>
      </c>
      <c r="G667" s="104" t="s">
        <v>1248</v>
      </c>
    </row>
    <row r="668" spans="1:7" ht="405">
      <c r="A668" t="s">
        <v>584</v>
      </c>
      <c r="B668" t="s">
        <v>571</v>
      </c>
      <c r="C668" t="s">
        <v>831</v>
      </c>
      <c r="D668" t="s">
        <v>586</v>
      </c>
      <c r="E668" t="s">
        <v>1189</v>
      </c>
      <c r="F668">
        <v>77</v>
      </c>
      <c r="G668" s="104" t="s">
        <v>1249</v>
      </c>
    </row>
    <row r="669" spans="1:7" ht="409.5">
      <c r="A669" t="s">
        <v>584</v>
      </c>
      <c r="B669" t="s">
        <v>571</v>
      </c>
      <c r="C669" t="s">
        <v>831</v>
      </c>
      <c r="D669" t="s">
        <v>586</v>
      </c>
      <c r="E669" t="s">
        <v>1189</v>
      </c>
      <c r="F669">
        <v>78</v>
      </c>
      <c r="G669" s="104" t="s">
        <v>1250</v>
      </c>
    </row>
    <row r="670" spans="1:7" ht="409.5">
      <c r="A670" t="s">
        <v>584</v>
      </c>
      <c r="B670" t="s">
        <v>571</v>
      </c>
      <c r="C670" t="s">
        <v>831</v>
      </c>
      <c r="D670" t="s">
        <v>586</v>
      </c>
      <c r="E670" t="s">
        <v>1189</v>
      </c>
      <c r="F670">
        <v>79</v>
      </c>
      <c r="G670" s="104" t="s">
        <v>1251</v>
      </c>
    </row>
    <row r="671" spans="1:7" ht="409.5">
      <c r="A671" t="s">
        <v>584</v>
      </c>
      <c r="B671" t="s">
        <v>571</v>
      </c>
      <c r="C671" t="s">
        <v>831</v>
      </c>
      <c r="D671" t="s">
        <v>586</v>
      </c>
      <c r="E671" t="s">
        <v>1189</v>
      </c>
      <c r="F671">
        <v>80</v>
      </c>
      <c r="G671" s="104" t="s">
        <v>1252</v>
      </c>
    </row>
    <row r="672" spans="1:7" ht="409.5">
      <c r="A672" t="s">
        <v>584</v>
      </c>
      <c r="B672" t="s">
        <v>571</v>
      </c>
      <c r="C672" t="s">
        <v>831</v>
      </c>
      <c r="D672" t="s">
        <v>586</v>
      </c>
      <c r="E672" t="s">
        <v>1189</v>
      </c>
      <c r="F672">
        <v>81</v>
      </c>
      <c r="G672" s="104" t="s">
        <v>1526</v>
      </c>
    </row>
    <row r="673" spans="1:7" ht="375">
      <c r="A673" t="s">
        <v>584</v>
      </c>
      <c r="B673" t="s">
        <v>571</v>
      </c>
      <c r="C673" t="s">
        <v>831</v>
      </c>
      <c r="D673" t="s">
        <v>586</v>
      </c>
      <c r="E673" t="s">
        <v>1189</v>
      </c>
      <c r="F673">
        <v>82</v>
      </c>
      <c r="G673" s="104" t="s">
        <v>1527</v>
      </c>
    </row>
    <row r="674" spans="1:7" ht="405">
      <c r="A674" t="s">
        <v>584</v>
      </c>
      <c r="B674" t="s">
        <v>571</v>
      </c>
      <c r="C674" t="s">
        <v>831</v>
      </c>
      <c r="D674" t="s">
        <v>586</v>
      </c>
      <c r="E674" t="s">
        <v>1189</v>
      </c>
      <c r="F674">
        <v>83</v>
      </c>
      <c r="G674" s="104" t="s">
        <v>1253</v>
      </c>
    </row>
    <row r="675" spans="1:7" ht="405">
      <c r="A675" t="s">
        <v>584</v>
      </c>
      <c r="B675" t="s">
        <v>571</v>
      </c>
      <c r="C675" t="s">
        <v>831</v>
      </c>
      <c r="D675" t="s">
        <v>586</v>
      </c>
      <c r="E675" t="s">
        <v>1189</v>
      </c>
      <c r="F675">
        <v>84</v>
      </c>
      <c r="G675" s="104" t="s">
        <v>1528</v>
      </c>
    </row>
    <row r="676" spans="1:7" ht="409.5">
      <c r="A676" t="s">
        <v>584</v>
      </c>
      <c r="B676" t="s">
        <v>571</v>
      </c>
      <c r="C676" t="s">
        <v>831</v>
      </c>
      <c r="D676" t="s">
        <v>586</v>
      </c>
      <c r="E676" t="s">
        <v>1189</v>
      </c>
      <c r="F676">
        <v>85</v>
      </c>
      <c r="G676" s="104" t="s">
        <v>1254</v>
      </c>
    </row>
    <row r="677" spans="1:7" ht="150">
      <c r="A677" t="s">
        <v>584</v>
      </c>
      <c r="B677" t="s">
        <v>571</v>
      </c>
      <c r="C677" t="s">
        <v>831</v>
      </c>
      <c r="D677" t="s">
        <v>586</v>
      </c>
      <c r="E677" t="s">
        <v>1189</v>
      </c>
      <c r="F677">
        <v>86</v>
      </c>
      <c r="G677" s="104" t="s">
        <v>1255</v>
      </c>
    </row>
    <row r="678" spans="1:7" ht="390">
      <c r="A678" t="s">
        <v>584</v>
      </c>
      <c r="B678" t="s">
        <v>571</v>
      </c>
      <c r="C678" t="s">
        <v>831</v>
      </c>
      <c r="D678" t="s">
        <v>586</v>
      </c>
      <c r="E678" t="s">
        <v>1189</v>
      </c>
      <c r="F678">
        <v>87</v>
      </c>
      <c r="G678" s="104" t="s">
        <v>1256</v>
      </c>
    </row>
    <row r="679" spans="1:7" ht="409.5">
      <c r="A679" t="s">
        <v>584</v>
      </c>
      <c r="B679" t="s">
        <v>571</v>
      </c>
      <c r="C679" t="s">
        <v>831</v>
      </c>
      <c r="D679" t="s">
        <v>586</v>
      </c>
      <c r="E679" t="s">
        <v>1189</v>
      </c>
      <c r="F679">
        <v>88</v>
      </c>
      <c r="G679" s="104" t="s">
        <v>1257</v>
      </c>
    </row>
    <row r="680" spans="1:7" ht="405">
      <c r="A680" t="s">
        <v>584</v>
      </c>
      <c r="B680" t="s">
        <v>571</v>
      </c>
      <c r="C680" t="s">
        <v>831</v>
      </c>
      <c r="D680" t="s">
        <v>586</v>
      </c>
      <c r="E680" t="s">
        <v>1189</v>
      </c>
      <c r="F680">
        <v>89</v>
      </c>
      <c r="G680" s="104" t="s">
        <v>1258</v>
      </c>
    </row>
    <row r="681" spans="1:7" ht="409.5">
      <c r="A681" t="s">
        <v>584</v>
      </c>
      <c r="B681" t="s">
        <v>571</v>
      </c>
      <c r="C681" t="s">
        <v>831</v>
      </c>
      <c r="D681" t="s">
        <v>586</v>
      </c>
      <c r="E681" t="s">
        <v>1189</v>
      </c>
      <c r="F681">
        <v>90</v>
      </c>
      <c r="G681" s="104" t="s">
        <v>1259</v>
      </c>
    </row>
    <row r="682" spans="1:7" ht="405">
      <c r="A682" t="s">
        <v>584</v>
      </c>
      <c r="B682" t="s">
        <v>571</v>
      </c>
      <c r="C682" t="s">
        <v>831</v>
      </c>
      <c r="D682" t="s">
        <v>586</v>
      </c>
      <c r="E682" t="s">
        <v>1189</v>
      </c>
      <c r="F682">
        <v>91</v>
      </c>
      <c r="G682" s="104" t="s">
        <v>1260</v>
      </c>
    </row>
    <row r="683" spans="1:7" ht="409.5">
      <c r="A683" t="s">
        <v>584</v>
      </c>
      <c r="B683" t="s">
        <v>571</v>
      </c>
      <c r="C683" t="s">
        <v>831</v>
      </c>
      <c r="D683" t="s">
        <v>586</v>
      </c>
      <c r="E683" t="s">
        <v>1189</v>
      </c>
      <c r="F683">
        <v>92</v>
      </c>
      <c r="G683" s="104" t="s">
        <v>1261</v>
      </c>
    </row>
    <row r="684" spans="1:7" ht="409.5">
      <c r="A684" t="s">
        <v>584</v>
      </c>
      <c r="B684" t="s">
        <v>571</v>
      </c>
      <c r="C684" t="s">
        <v>831</v>
      </c>
      <c r="D684" t="s">
        <v>586</v>
      </c>
      <c r="E684" t="s">
        <v>1189</v>
      </c>
      <c r="F684">
        <v>93</v>
      </c>
      <c r="G684" s="104" t="s">
        <v>1262</v>
      </c>
    </row>
    <row r="685" spans="1:7" ht="409.5">
      <c r="A685" t="s">
        <v>584</v>
      </c>
      <c r="B685" t="s">
        <v>571</v>
      </c>
      <c r="C685" t="s">
        <v>831</v>
      </c>
      <c r="D685" t="s">
        <v>586</v>
      </c>
      <c r="E685" t="s">
        <v>1189</v>
      </c>
      <c r="F685">
        <v>94</v>
      </c>
      <c r="G685" s="104" t="s">
        <v>1263</v>
      </c>
    </row>
    <row r="686" spans="1:7" ht="409.5">
      <c r="A686" t="s">
        <v>584</v>
      </c>
      <c r="B686" t="s">
        <v>571</v>
      </c>
      <c r="C686" t="s">
        <v>831</v>
      </c>
      <c r="D686" t="s">
        <v>586</v>
      </c>
      <c r="E686" t="s">
        <v>1189</v>
      </c>
      <c r="F686">
        <v>95</v>
      </c>
      <c r="G686" s="104" t="s">
        <v>1529</v>
      </c>
    </row>
    <row r="687" spans="1:7" ht="405">
      <c r="A687" t="s">
        <v>584</v>
      </c>
      <c r="B687" t="s">
        <v>571</v>
      </c>
      <c r="C687" t="s">
        <v>831</v>
      </c>
      <c r="D687" t="s">
        <v>586</v>
      </c>
      <c r="E687" t="s">
        <v>1189</v>
      </c>
      <c r="F687">
        <v>96</v>
      </c>
      <c r="G687" s="104" t="s">
        <v>1264</v>
      </c>
    </row>
    <row r="688" spans="1:7" ht="409.5">
      <c r="A688" t="s">
        <v>584</v>
      </c>
      <c r="B688" t="s">
        <v>571</v>
      </c>
      <c r="C688" t="s">
        <v>831</v>
      </c>
      <c r="D688" t="s">
        <v>586</v>
      </c>
      <c r="E688" t="s">
        <v>1189</v>
      </c>
      <c r="F688">
        <v>97</v>
      </c>
      <c r="G688" s="104" t="s">
        <v>1265</v>
      </c>
    </row>
    <row r="689" spans="1:7" ht="409.5">
      <c r="A689" t="s">
        <v>584</v>
      </c>
      <c r="B689" t="s">
        <v>571</v>
      </c>
      <c r="C689" t="s">
        <v>831</v>
      </c>
      <c r="D689" t="s">
        <v>586</v>
      </c>
      <c r="E689" t="s">
        <v>1189</v>
      </c>
      <c r="F689">
        <v>98</v>
      </c>
      <c r="G689" s="104" t="s">
        <v>1266</v>
      </c>
    </row>
    <row r="690" spans="1:7" ht="240">
      <c r="A690" t="s">
        <v>584</v>
      </c>
      <c r="B690" t="s">
        <v>571</v>
      </c>
      <c r="C690" t="s">
        <v>831</v>
      </c>
      <c r="D690" t="s">
        <v>586</v>
      </c>
      <c r="E690" t="s">
        <v>1189</v>
      </c>
      <c r="F690">
        <v>99</v>
      </c>
      <c r="G690" s="104" t="s">
        <v>1267</v>
      </c>
    </row>
    <row r="691" spans="1:7" ht="405">
      <c r="A691" t="s">
        <v>584</v>
      </c>
      <c r="B691" t="s">
        <v>571</v>
      </c>
      <c r="C691" t="s">
        <v>831</v>
      </c>
      <c r="D691" t="s">
        <v>586</v>
      </c>
      <c r="E691" t="s">
        <v>1189</v>
      </c>
      <c r="F691">
        <v>100</v>
      </c>
      <c r="G691" s="104" t="s">
        <v>1268</v>
      </c>
    </row>
    <row r="692" spans="1:7" ht="409.5">
      <c r="A692" t="s">
        <v>584</v>
      </c>
      <c r="B692" t="s">
        <v>571</v>
      </c>
      <c r="C692" t="s">
        <v>831</v>
      </c>
      <c r="D692" t="s">
        <v>586</v>
      </c>
      <c r="E692" t="s">
        <v>1189</v>
      </c>
      <c r="F692">
        <v>101</v>
      </c>
      <c r="G692" s="104" t="s">
        <v>1269</v>
      </c>
    </row>
    <row r="693" spans="1:7" ht="375">
      <c r="A693" t="s">
        <v>584</v>
      </c>
      <c r="B693" t="s">
        <v>571</v>
      </c>
      <c r="C693" t="s">
        <v>831</v>
      </c>
      <c r="D693" t="s">
        <v>586</v>
      </c>
      <c r="E693" t="s">
        <v>1189</v>
      </c>
      <c r="F693">
        <v>102</v>
      </c>
      <c r="G693" s="104" t="s">
        <v>1530</v>
      </c>
    </row>
    <row r="694" spans="1:7" ht="390">
      <c r="A694" t="s">
        <v>584</v>
      </c>
      <c r="B694" t="s">
        <v>571</v>
      </c>
      <c r="C694" t="s">
        <v>831</v>
      </c>
      <c r="D694" t="s">
        <v>586</v>
      </c>
      <c r="E694" t="s">
        <v>1189</v>
      </c>
      <c r="F694">
        <v>103</v>
      </c>
      <c r="G694" s="104" t="s">
        <v>1270</v>
      </c>
    </row>
    <row r="695" spans="1:7" ht="375">
      <c r="A695" t="s">
        <v>584</v>
      </c>
      <c r="B695" t="s">
        <v>571</v>
      </c>
      <c r="C695" t="s">
        <v>831</v>
      </c>
      <c r="D695" t="s">
        <v>586</v>
      </c>
      <c r="E695" t="s">
        <v>1189</v>
      </c>
      <c r="F695">
        <v>104</v>
      </c>
      <c r="G695" s="104" t="s">
        <v>1271</v>
      </c>
    </row>
    <row r="696" spans="1:7" ht="409.5">
      <c r="A696" t="s">
        <v>584</v>
      </c>
      <c r="B696" t="s">
        <v>571</v>
      </c>
      <c r="C696" t="s">
        <v>831</v>
      </c>
      <c r="D696" t="s">
        <v>586</v>
      </c>
      <c r="E696" t="s">
        <v>1189</v>
      </c>
      <c r="F696">
        <v>105</v>
      </c>
      <c r="G696" s="104" t="s">
        <v>1272</v>
      </c>
    </row>
    <row r="697" spans="1:7" ht="409.5">
      <c r="A697" t="s">
        <v>584</v>
      </c>
      <c r="B697" t="s">
        <v>571</v>
      </c>
      <c r="C697" t="s">
        <v>831</v>
      </c>
      <c r="D697" t="s">
        <v>586</v>
      </c>
      <c r="E697" t="s">
        <v>1189</v>
      </c>
      <c r="F697">
        <v>106</v>
      </c>
      <c r="G697" s="104" t="s">
        <v>1273</v>
      </c>
    </row>
    <row r="698" spans="1:7" ht="390">
      <c r="A698" t="s">
        <v>584</v>
      </c>
      <c r="B698" t="s">
        <v>571</v>
      </c>
      <c r="C698" t="s">
        <v>831</v>
      </c>
      <c r="D698" t="s">
        <v>586</v>
      </c>
      <c r="E698" t="s">
        <v>1189</v>
      </c>
      <c r="F698">
        <v>107</v>
      </c>
      <c r="G698" s="104" t="s">
        <v>1274</v>
      </c>
    </row>
    <row r="699" spans="1:7" ht="390">
      <c r="A699" t="s">
        <v>584</v>
      </c>
      <c r="B699" t="s">
        <v>571</v>
      </c>
      <c r="C699" t="s">
        <v>831</v>
      </c>
      <c r="D699" t="s">
        <v>586</v>
      </c>
      <c r="E699" t="s">
        <v>1189</v>
      </c>
      <c r="F699">
        <v>108</v>
      </c>
      <c r="G699" s="104" t="s">
        <v>1275</v>
      </c>
    </row>
    <row r="700" spans="1:7" ht="375">
      <c r="A700" t="s">
        <v>584</v>
      </c>
      <c r="B700" t="s">
        <v>571</v>
      </c>
      <c r="C700" t="s">
        <v>831</v>
      </c>
      <c r="D700" t="s">
        <v>586</v>
      </c>
      <c r="E700" t="s">
        <v>1189</v>
      </c>
      <c r="F700">
        <v>109</v>
      </c>
      <c r="G700" s="104" t="s">
        <v>1276</v>
      </c>
    </row>
    <row r="701" spans="1:7" ht="375">
      <c r="A701" t="s">
        <v>584</v>
      </c>
      <c r="B701" t="s">
        <v>571</v>
      </c>
      <c r="C701" t="s">
        <v>831</v>
      </c>
      <c r="D701" t="s">
        <v>586</v>
      </c>
      <c r="E701" t="s">
        <v>1189</v>
      </c>
      <c r="F701">
        <v>110</v>
      </c>
      <c r="G701" s="104" t="s">
        <v>1277</v>
      </c>
    </row>
    <row r="702" spans="1:7" ht="375">
      <c r="A702" t="s">
        <v>584</v>
      </c>
      <c r="B702" t="s">
        <v>571</v>
      </c>
      <c r="C702" t="s">
        <v>831</v>
      </c>
      <c r="D702" t="s">
        <v>586</v>
      </c>
      <c r="E702" t="s">
        <v>1189</v>
      </c>
      <c r="F702">
        <v>111</v>
      </c>
      <c r="G702" s="104" t="s">
        <v>1278</v>
      </c>
    </row>
    <row r="703" spans="1:7" ht="390">
      <c r="A703" t="s">
        <v>584</v>
      </c>
      <c r="B703" t="s">
        <v>571</v>
      </c>
      <c r="C703" t="s">
        <v>831</v>
      </c>
      <c r="D703" t="s">
        <v>586</v>
      </c>
      <c r="E703" t="s">
        <v>1189</v>
      </c>
      <c r="F703">
        <v>112</v>
      </c>
      <c r="G703" s="104" t="s">
        <v>1279</v>
      </c>
    </row>
    <row r="704" spans="1:7" ht="375">
      <c r="A704" t="s">
        <v>584</v>
      </c>
      <c r="B704" t="s">
        <v>571</v>
      </c>
      <c r="C704" t="s">
        <v>831</v>
      </c>
      <c r="D704" t="s">
        <v>586</v>
      </c>
      <c r="E704" t="s">
        <v>1189</v>
      </c>
      <c r="F704">
        <v>113</v>
      </c>
      <c r="G704" s="104" t="s">
        <v>1280</v>
      </c>
    </row>
    <row r="705" spans="1:7" ht="375">
      <c r="A705" t="s">
        <v>584</v>
      </c>
      <c r="B705" t="s">
        <v>571</v>
      </c>
      <c r="C705" t="s">
        <v>831</v>
      </c>
      <c r="D705" t="s">
        <v>586</v>
      </c>
      <c r="E705" t="s">
        <v>1189</v>
      </c>
      <c r="F705">
        <v>114</v>
      </c>
      <c r="G705" s="104" t="s">
        <v>1281</v>
      </c>
    </row>
    <row r="706" spans="1:7" ht="375">
      <c r="A706" t="s">
        <v>584</v>
      </c>
      <c r="B706" t="s">
        <v>571</v>
      </c>
      <c r="C706" t="s">
        <v>831</v>
      </c>
      <c r="D706" t="s">
        <v>586</v>
      </c>
      <c r="E706" t="s">
        <v>1189</v>
      </c>
      <c r="F706">
        <v>115</v>
      </c>
      <c r="G706" s="104" t="s">
        <v>1282</v>
      </c>
    </row>
    <row r="707" spans="1:7" ht="405">
      <c r="A707" t="s">
        <v>584</v>
      </c>
      <c r="B707" t="s">
        <v>571</v>
      </c>
      <c r="C707" t="s">
        <v>831</v>
      </c>
      <c r="D707" t="s">
        <v>586</v>
      </c>
      <c r="E707" t="s">
        <v>1189</v>
      </c>
      <c r="F707">
        <v>116</v>
      </c>
      <c r="G707" s="104" t="s">
        <v>1283</v>
      </c>
    </row>
    <row r="708" spans="1:7" ht="409.5">
      <c r="A708" t="s">
        <v>584</v>
      </c>
      <c r="B708" t="s">
        <v>571</v>
      </c>
      <c r="C708" t="s">
        <v>831</v>
      </c>
      <c r="D708" t="s">
        <v>586</v>
      </c>
      <c r="E708" t="s">
        <v>1189</v>
      </c>
      <c r="F708">
        <v>117</v>
      </c>
      <c r="G708" s="104" t="s">
        <v>1284</v>
      </c>
    </row>
    <row r="709" spans="1:7" ht="375">
      <c r="A709" t="s">
        <v>584</v>
      </c>
      <c r="B709" t="s">
        <v>571</v>
      </c>
      <c r="C709" t="s">
        <v>831</v>
      </c>
      <c r="D709" t="s">
        <v>586</v>
      </c>
      <c r="E709" t="s">
        <v>1189</v>
      </c>
      <c r="F709">
        <v>118</v>
      </c>
      <c r="G709" s="104" t="s">
        <v>1285</v>
      </c>
    </row>
    <row r="710" spans="1:7" ht="405">
      <c r="A710" t="s">
        <v>584</v>
      </c>
      <c r="B710" t="s">
        <v>571</v>
      </c>
      <c r="C710" t="s">
        <v>831</v>
      </c>
      <c r="D710" t="s">
        <v>586</v>
      </c>
      <c r="E710" t="s">
        <v>1189</v>
      </c>
      <c r="F710">
        <v>119</v>
      </c>
      <c r="G710" s="104" t="s">
        <v>1286</v>
      </c>
    </row>
    <row r="711" spans="1:7" ht="390">
      <c r="A711" t="s">
        <v>584</v>
      </c>
      <c r="B711" t="s">
        <v>571</v>
      </c>
      <c r="C711" t="s">
        <v>831</v>
      </c>
      <c r="D711" t="s">
        <v>586</v>
      </c>
      <c r="E711" t="s">
        <v>1189</v>
      </c>
      <c r="F711">
        <v>120</v>
      </c>
      <c r="G711" s="104" t="s">
        <v>1287</v>
      </c>
    </row>
    <row r="712" spans="1:7" ht="375">
      <c r="A712" t="s">
        <v>584</v>
      </c>
      <c r="B712" t="s">
        <v>571</v>
      </c>
      <c r="C712" t="s">
        <v>831</v>
      </c>
      <c r="D712" t="s">
        <v>586</v>
      </c>
      <c r="E712" t="s">
        <v>1189</v>
      </c>
      <c r="F712">
        <v>121</v>
      </c>
      <c r="G712" s="104" t="s">
        <v>1288</v>
      </c>
    </row>
    <row r="713" spans="1:7" ht="375">
      <c r="A713" t="s">
        <v>584</v>
      </c>
      <c r="B713" t="s">
        <v>571</v>
      </c>
      <c r="C713" t="s">
        <v>831</v>
      </c>
      <c r="D713" t="s">
        <v>586</v>
      </c>
      <c r="E713" t="s">
        <v>1189</v>
      </c>
      <c r="F713">
        <v>122</v>
      </c>
      <c r="G713" s="104" t="s">
        <v>1289</v>
      </c>
    </row>
    <row r="714" spans="1:7" ht="409.5">
      <c r="A714" t="s">
        <v>584</v>
      </c>
      <c r="B714" t="s">
        <v>571</v>
      </c>
      <c r="C714" t="s">
        <v>831</v>
      </c>
      <c r="D714" t="s">
        <v>586</v>
      </c>
      <c r="E714" t="s">
        <v>1189</v>
      </c>
      <c r="F714">
        <v>123</v>
      </c>
      <c r="G714" s="104" t="s">
        <v>1290</v>
      </c>
    </row>
    <row r="715" spans="1:7" ht="405">
      <c r="A715" t="s">
        <v>584</v>
      </c>
      <c r="B715" t="s">
        <v>571</v>
      </c>
      <c r="C715" t="s">
        <v>831</v>
      </c>
      <c r="D715" t="s">
        <v>586</v>
      </c>
      <c r="E715" t="s">
        <v>1189</v>
      </c>
      <c r="F715">
        <v>124</v>
      </c>
      <c r="G715" s="104" t="s">
        <v>1291</v>
      </c>
    </row>
    <row r="716" spans="1:7" ht="390">
      <c r="A716" t="s">
        <v>584</v>
      </c>
      <c r="B716" t="s">
        <v>571</v>
      </c>
      <c r="C716" t="s">
        <v>831</v>
      </c>
      <c r="D716" t="s">
        <v>586</v>
      </c>
      <c r="E716" t="s">
        <v>1189</v>
      </c>
      <c r="F716">
        <v>125</v>
      </c>
      <c r="G716" s="104" t="s">
        <v>1292</v>
      </c>
    </row>
    <row r="717" spans="1:7" ht="360">
      <c r="A717" t="s">
        <v>584</v>
      </c>
      <c r="B717" t="s">
        <v>571</v>
      </c>
      <c r="C717" t="s">
        <v>831</v>
      </c>
      <c r="D717" t="s">
        <v>586</v>
      </c>
      <c r="E717" t="s">
        <v>1189</v>
      </c>
      <c r="F717">
        <v>126</v>
      </c>
      <c r="G717" s="104" t="s">
        <v>1293</v>
      </c>
    </row>
    <row r="718" spans="1:7" ht="409.5">
      <c r="A718" t="s">
        <v>584</v>
      </c>
      <c r="B718" t="s">
        <v>571</v>
      </c>
      <c r="C718" t="s">
        <v>831</v>
      </c>
      <c r="D718" t="s">
        <v>586</v>
      </c>
      <c r="E718" t="s">
        <v>1189</v>
      </c>
      <c r="F718">
        <v>127</v>
      </c>
      <c r="G718" s="104" t="s">
        <v>1664</v>
      </c>
    </row>
    <row r="719" spans="1:7" ht="390">
      <c r="A719" t="s">
        <v>584</v>
      </c>
      <c r="B719" t="s">
        <v>571</v>
      </c>
      <c r="C719" t="s">
        <v>831</v>
      </c>
      <c r="D719" t="s">
        <v>586</v>
      </c>
      <c r="E719" t="s">
        <v>1189</v>
      </c>
      <c r="F719">
        <v>128</v>
      </c>
      <c r="G719" s="104" t="s">
        <v>1294</v>
      </c>
    </row>
    <row r="720" spans="1:7" ht="409.5">
      <c r="A720" t="s">
        <v>584</v>
      </c>
      <c r="B720" t="s">
        <v>571</v>
      </c>
      <c r="C720" t="s">
        <v>831</v>
      </c>
      <c r="D720" t="s">
        <v>586</v>
      </c>
      <c r="E720" t="s">
        <v>1189</v>
      </c>
      <c r="F720">
        <v>129</v>
      </c>
      <c r="G720" s="104" t="s">
        <v>1295</v>
      </c>
    </row>
    <row r="721" spans="1:7" ht="405">
      <c r="A721" t="s">
        <v>584</v>
      </c>
      <c r="B721" t="s">
        <v>571</v>
      </c>
      <c r="C721" t="s">
        <v>831</v>
      </c>
      <c r="D721" t="s">
        <v>586</v>
      </c>
      <c r="E721" t="s">
        <v>1189</v>
      </c>
      <c r="F721">
        <v>130</v>
      </c>
      <c r="G721" s="104" t="s">
        <v>1296</v>
      </c>
    </row>
    <row r="722" spans="1:7" ht="409.5">
      <c r="A722" t="s">
        <v>584</v>
      </c>
      <c r="B722" t="s">
        <v>571</v>
      </c>
      <c r="C722" t="s">
        <v>831</v>
      </c>
      <c r="D722" t="s">
        <v>586</v>
      </c>
      <c r="E722" t="s">
        <v>1189</v>
      </c>
      <c r="F722">
        <v>131</v>
      </c>
      <c r="G722" s="104" t="s">
        <v>1297</v>
      </c>
    </row>
    <row r="723" spans="1:7" ht="390">
      <c r="A723" t="s">
        <v>584</v>
      </c>
      <c r="B723" t="s">
        <v>571</v>
      </c>
      <c r="C723" t="s">
        <v>831</v>
      </c>
      <c r="D723" t="s">
        <v>586</v>
      </c>
      <c r="E723" t="s">
        <v>1189</v>
      </c>
      <c r="F723">
        <v>132</v>
      </c>
      <c r="G723" s="104" t="s">
        <v>1298</v>
      </c>
    </row>
    <row r="724" spans="1:7" ht="390">
      <c r="A724" t="s">
        <v>584</v>
      </c>
      <c r="B724" t="s">
        <v>571</v>
      </c>
      <c r="C724" t="s">
        <v>831</v>
      </c>
      <c r="D724" t="s">
        <v>586</v>
      </c>
      <c r="E724" t="s">
        <v>1189</v>
      </c>
      <c r="F724">
        <v>133</v>
      </c>
      <c r="G724" s="104" t="s">
        <v>1299</v>
      </c>
    </row>
    <row r="725" spans="1:7" ht="390">
      <c r="A725" t="s">
        <v>584</v>
      </c>
      <c r="B725" t="s">
        <v>571</v>
      </c>
      <c r="C725" t="s">
        <v>831</v>
      </c>
      <c r="D725" t="s">
        <v>586</v>
      </c>
      <c r="E725" t="s">
        <v>1189</v>
      </c>
      <c r="F725">
        <v>134</v>
      </c>
      <c r="G725" s="104" t="s">
        <v>1300</v>
      </c>
    </row>
    <row r="726" spans="1:7" ht="375">
      <c r="A726" t="s">
        <v>584</v>
      </c>
      <c r="B726" t="s">
        <v>571</v>
      </c>
      <c r="C726" t="s">
        <v>831</v>
      </c>
      <c r="D726" t="s">
        <v>586</v>
      </c>
      <c r="E726" t="s">
        <v>1189</v>
      </c>
      <c r="F726">
        <v>135</v>
      </c>
      <c r="G726" s="104" t="s">
        <v>1301</v>
      </c>
    </row>
    <row r="727" spans="1:7" ht="390">
      <c r="A727" t="s">
        <v>584</v>
      </c>
      <c r="B727" t="s">
        <v>571</v>
      </c>
      <c r="C727" t="s">
        <v>831</v>
      </c>
      <c r="D727" t="s">
        <v>586</v>
      </c>
      <c r="E727" t="s">
        <v>1189</v>
      </c>
      <c r="F727">
        <v>136</v>
      </c>
      <c r="G727" s="104" t="s">
        <v>1302</v>
      </c>
    </row>
    <row r="728" spans="1:7" ht="360">
      <c r="A728" t="s">
        <v>584</v>
      </c>
      <c r="B728" t="s">
        <v>571</v>
      </c>
      <c r="C728" t="s">
        <v>831</v>
      </c>
      <c r="D728" t="s">
        <v>586</v>
      </c>
      <c r="E728" t="s">
        <v>1189</v>
      </c>
      <c r="F728">
        <v>137</v>
      </c>
      <c r="G728" s="104" t="s">
        <v>1303</v>
      </c>
    </row>
    <row r="729" spans="1:7" ht="409.5">
      <c r="A729" t="s">
        <v>584</v>
      </c>
      <c r="B729" t="s">
        <v>571</v>
      </c>
      <c r="C729" t="s">
        <v>831</v>
      </c>
      <c r="D729" t="s">
        <v>586</v>
      </c>
      <c r="E729" t="s">
        <v>1189</v>
      </c>
      <c r="F729">
        <v>138</v>
      </c>
      <c r="G729" s="104" t="s">
        <v>1304</v>
      </c>
    </row>
    <row r="730" spans="1:7" ht="360">
      <c r="A730" t="s">
        <v>584</v>
      </c>
      <c r="B730" t="s">
        <v>571</v>
      </c>
      <c r="C730" t="s">
        <v>831</v>
      </c>
      <c r="D730" t="s">
        <v>586</v>
      </c>
      <c r="E730" t="s">
        <v>1189</v>
      </c>
      <c r="F730">
        <v>139</v>
      </c>
      <c r="G730" s="104" t="s">
        <v>1305</v>
      </c>
    </row>
    <row r="731" spans="1:7" ht="409.5">
      <c r="A731" t="s">
        <v>584</v>
      </c>
      <c r="B731" t="s">
        <v>571</v>
      </c>
      <c r="C731" t="s">
        <v>831</v>
      </c>
      <c r="D731" t="s">
        <v>586</v>
      </c>
      <c r="E731" t="s">
        <v>1189</v>
      </c>
      <c r="F731">
        <v>140</v>
      </c>
      <c r="G731" s="104" t="s">
        <v>1306</v>
      </c>
    </row>
    <row r="732" spans="1:7" ht="409.5">
      <c r="A732" t="s">
        <v>584</v>
      </c>
      <c r="B732" t="s">
        <v>571</v>
      </c>
      <c r="C732" t="s">
        <v>831</v>
      </c>
      <c r="D732" t="s">
        <v>586</v>
      </c>
      <c r="E732" t="s">
        <v>1189</v>
      </c>
      <c r="F732">
        <v>141</v>
      </c>
      <c r="G732" s="104" t="s">
        <v>1307</v>
      </c>
    </row>
    <row r="733" spans="1:7" ht="390">
      <c r="A733" t="s">
        <v>584</v>
      </c>
      <c r="B733" t="s">
        <v>571</v>
      </c>
      <c r="C733" t="s">
        <v>831</v>
      </c>
      <c r="D733" t="s">
        <v>586</v>
      </c>
      <c r="E733" t="s">
        <v>1189</v>
      </c>
      <c r="F733">
        <v>142</v>
      </c>
      <c r="G733" s="104" t="s">
        <v>1308</v>
      </c>
    </row>
    <row r="734" spans="1:7" ht="409.5">
      <c r="A734" t="s">
        <v>584</v>
      </c>
      <c r="B734" t="s">
        <v>571</v>
      </c>
      <c r="C734" t="s">
        <v>831</v>
      </c>
      <c r="D734" t="s">
        <v>586</v>
      </c>
      <c r="E734" t="s">
        <v>1189</v>
      </c>
      <c r="F734">
        <v>143</v>
      </c>
      <c r="G734" s="104" t="s">
        <v>1309</v>
      </c>
    </row>
    <row r="735" spans="1:7" ht="390">
      <c r="A735" t="s">
        <v>584</v>
      </c>
      <c r="B735" t="s">
        <v>571</v>
      </c>
      <c r="C735" t="s">
        <v>831</v>
      </c>
      <c r="D735" t="s">
        <v>586</v>
      </c>
      <c r="E735" t="s">
        <v>1189</v>
      </c>
      <c r="F735">
        <v>144</v>
      </c>
      <c r="G735" s="104" t="s">
        <v>1310</v>
      </c>
    </row>
    <row r="736" spans="1:7" ht="390">
      <c r="A736" t="s">
        <v>584</v>
      </c>
      <c r="B736" t="s">
        <v>571</v>
      </c>
      <c r="C736" t="s">
        <v>831</v>
      </c>
      <c r="D736" t="s">
        <v>586</v>
      </c>
      <c r="E736" t="s">
        <v>1189</v>
      </c>
      <c r="F736">
        <v>145</v>
      </c>
      <c r="G736" s="104" t="s">
        <v>1311</v>
      </c>
    </row>
    <row r="737" spans="1:7" ht="405">
      <c r="A737" t="s">
        <v>584</v>
      </c>
      <c r="B737" t="s">
        <v>571</v>
      </c>
      <c r="C737" t="s">
        <v>831</v>
      </c>
      <c r="D737" t="s">
        <v>586</v>
      </c>
      <c r="E737" t="s">
        <v>1189</v>
      </c>
      <c r="F737">
        <v>146</v>
      </c>
      <c r="G737" s="104" t="s">
        <v>1312</v>
      </c>
    </row>
    <row r="738" spans="1:7" ht="409.5">
      <c r="A738" t="s">
        <v>584</v>
      </c>
      <c r="B738" t="s">
        <v>571</v>
      </c>
      <c r="C738" t="s">
        <v>831</v>
      </c>
      <c r="D738" t="s">
        <v>586</v>
      </c>
      <c r="E738" t="s">
        <v>1189</v>
      </c>
      <c r="F738">
        <v>147</v>
      </c>
      <c r="G738" s="104" t="s">
        <v>1313</v>
      </c>
    </row>
    <row r="739" spans="1:7" ht="390">
      <c r="A739" t="s">
        <v>584</v>
      </c>
      <c r="B739" t="s">
        <v>571</v>
      </c>
      <c r="C739" t="s">
        <v>831</v>
      </c>
      <c r="D739" t="s">
        <v>586</v>
      </c>
      <c r="E739" t="s">
        <v>1189</v>
      </c>
      <c r="F739">
        <v>148</v>
      </c>
      <c r="G739" s="104" t="s">
        <v>1314</v>
      </c>
    </row>
    <row r="740" spans="1:7" ht="390">
      <c r="A740" t="s">
        <v>584</v>
      </c>
      <c r="B740" t="s">
        <v>571</v>
      </c>
      <c r="C740" t="s">
        <v>831</v>
      </c>
      <c r="D740" t="s">
        <v>586</v>
      </c>
      <c r="E740" t="s">
        <v>1189</v>
      </c>
      <c r="F740">
        <v>149</v>
      </c>
      <c r="G740" s="104" t="s">
        <v>1315</v>
      </c>
    </row>
    <row r="741" spans="1:7" ht="375">
      <c r="A741" t="s">
        <v>584</v>
      </c>
      <c r="B741" t="s">
        <v>571</v>
      </c>
      <c r="C741" t="s">
        <v>831</v>
      </c>
      <c r="D741" t="s">
        <v>586</v>
      </c>
      <c r="E741" t="s">
        <v>1189</v>
      </c>
      <c r="F741">
        <v>150</v>
      </c>
      <c r="G741" s="104" t="s">
        <v>1316</v>
      </c>
    </row>
    <row r="742" spans="1:7" ht="409.5">
      <c r="A742" t="s">
        <v>584</v>
      </c>
      <c r="B742" t="s">
        <v>571</v>
      </c>
      <c r="C742" t="s">
        <v>831</v>
      </c>
      <c r="D742" t="s">
        <v>586</v>
      </c>
      <c r="E742" t="s">
        <v>1189</v>
      </c>
      <c r="F742">
        <v>151</v>
      </c>
      <c r="G742" s="104" t="s">
        <v>1317</v>
      </c>
    </row>
    <row r="743" spans="1:7" ht="409.5">
      <c r="A743" t="s">
        <v>584</v>
      </c>
      <c r="B743" t="s">
        <v>571</v>
      </c>
      <c r="C743" t="s">
        <v>831</v>
      </c>
      <c r="D743" t="s">
        <v>586</v>
      </c>
      <c r="E743" t="s">
        <v>1189</v>
      </c>
      <c r="F743">
        <v>152</v>
      </c>
      <c r="G743" s="104" t="s">
        <v>1665</v>
      </c>
    </row>
    <row r="744" spans="1:7" ht="180">
      <c r="A744" t="s">
        <v>584</v>
      </c>
      <c r="B744" t="s">
        <v>571</v>
      </c>
      <c r="C744" t="s">
        <v>831</v>
      </c>
      <c r="D744" t="s">
        <v>586</v>
      </c>
      <c r="E744" t="s">
        <v>1189</v>
      </c>
      <c r="F744">
        <v>153</v>
      </c>
      <c r="G744" s="104" t="s">
        <v>1719</v>
      </c>
    </row>
    <row r="745" spans="1:7" ht="409.5">
      <c r="A745" t="s">
        <v>584</v>
      </c>
      <c r="B745" t="s">
        <v>571</v>
      </c>
      <c r="C745" t="s">
        <v>831</v>
      </c>
      <c r="D745" t="s">
        <v>586</v>
      </c>
      <c r="E745" t="s">
        <v>1189</v>
      </c>
      <c r="F745">
        <v>154</v>
      </c>
      <c r="G745" s="104" t="s">
        <v>1720</v>
      </c>
    </row>
    <row r="746" spans="1:7" ht="409.5">
      <c r="A746" t="s">
        <v>584</v>
      </c>
      <c r="B746" t="s">
        <v>571</v>
      </c>
      <c r="C746" t="s">
        <v>831</v>
      </c>
      <c r="D746" t="s">
        <v>586</v>
      </c>
      <c r="E746" t="s">
        <v>1189</v>
      </c>
      <c r="F746">
        <v>155</v>
      </c>
      <c r="G746" s="104" t="s">
        <v>1721</v>
      </c>
    </row>
    <row r="747" spans="1:7" ht="390">
      <c r="A747" t="s">
        <v>584</v>
      </c>
      <c r="B747" t="s">
        <v>571</v>
      </c>
      <c r="C747" t="s">
        <v>831</v>
      </c>
      <c r="D747" t="s">
        <v>586</v>
      </c>
      <c r="E747" t="s">
        <v>1189</v>
      </c>
      <c r="F747">
        <v>156</v>
      </c>
      <c r="G747" s="104" t="s">
        <v>1722</v>
      </c>
    </row>
    <row r="748" spans="1:7" ht="409.5">
      <c r="A748" t="s">
        <v>584</v>
      </c>
      <c r="B748" t="s">
        <v>571</v>
      </c>
      <c r="C748" t="s">
        <v>831</v>
      </c>
      <c r="D748" t="s">
        <v>586</v>
      </c>
      <c r="E748" t="s">
        <v>1189</v>
      </c>
      <c r="F748">
        <v>157</v>
      </c>
      <c r="G748" s="104" t="s">
        <v>1723</v>
      </c>
    </row>
    <row r="749" spans="1:7" ht="409.5">
      <c r="A749" t="s">
        <v>584</v>
      </c>
      <c r="B749" t="s">
        <v>571</v>
      </c>
      <c r="C749" t="s">
        <v>831</v>
      </c>
      <c r="D749" t="s">
        <v>586</v>
      </c>
      <c r="E749" t="s">
        <v>1189</v>
      </c>
      <c r="F749">
        <v>158</v>
      </c>
      <c r="G749" s="104" t="s">
        <v>1724</v>
      </c>
    </row>
    <row r="750" spans="1:7" ht="409.5">
      <c r="A750" t="s">
        <v>584</v>
      </c>
      <c r="B750" t="s">
        <v>571</v>
      </c>
      <c r="C750" t="s">
        <v>831</v>
      </c>
      <c r="D750" t="s">
        <v>586</v>
      </c>
      <c r="E750" t="s">
        <v>1189</v>
      </c>
      <c r="F750">
        <v>159</v>
      </c>
      <c r="G750" s="104" t="s">
        <v>1725</v>
      </c>
    </row>
    <row r="751" spans="1:7" ht="390">
      <c r="A751" t="s">
        <v>584</v>
      </c>
      <c r="B751" t="s">
        <v>571</v>
      </c>
      <c r="C751" t="s">
        <v>831</v>
      </c>
      <c r="D751" t="s">
        <v>586</v>
      </c>
      <c r="E751" t="s">
        <v>1189</v>
      </c>
      <c r="F751">
        <v>160</v>
      </c>
      <c r="G751" s="104" t="s">
        <v>1726</v>
      </c>
    </row>
    <row r="752" spans="1:7" ht="330">
      <c r="A752" t="s">
        <v>584</v>
      </c>
      <c r="B752" t="s">
        <v>571</v>
      </c>
      <c r="C752" t="s">
        <v>831</v>
      </c>
      <c r="D752" t="s">
        <v>586</v>
      </c>
      <c r="E752" t="s">
        <v>1189</v>
      </c>
      <c r="F752">
        <v>161</v>
      </c>
      <c r="G752" s="104" t="s">
        <v>1727</v>
      </c>
    </row>
    <row r="753" spans="1:7" ht="409.5">
      <c r="A753" t="s">
        <v>584</v>
      </c>
      <c r="B753" t="s">
        <v>571</v>
      </c>
      <c r="C753" t="s">
        <v>831</v>
      </c>
      <c r="D753" t="s">
        <v>586</v>
      </c>
      <c r="E753" t="s">
        <v>1189</v>
      </c>
      <c r="F753">
        <v>162</v>
      </c>
      <c r="G753" s="104" t="s">
        <v>1728</v>
      </c>
    </row>
    <row r="754" spans="1:7" ht="375">
      <c r="A754" t="s">
        <v>584</v>
      </c>
      <c r="B754" t="s">
        <v>571</v>
      </c>
      <c r="C754" t="s">
        <v>831</v>
      </c>
      <c r="D754" t="s">
        <v>586</v>
      </c>
      <c r="E754" t="s">
        <v>1189</v>
      </c>
      <c r="F754">
        <v>163</v>
      </c>
      <c r="G754" s="104" t="s">
        <v>1729</v>
      </c>
    </row>
    <row r="755" spans="1:7" ht="409.5">
      <c r="A755" t="s">
        <v>584</v>
      </c>
      <c r="B755" t="s">
        <v>571</v>
      </c>
      <c r="C755" t="s">
        <v>831</v>
      </c>
      <c r="D755" t="s">
        <v>586</v>
      </c>
      <c r="E755" t="s">
        <v>1189</v>
      </c>
      <c r="F755">
        <v>164</v>
      </c>
      <c r="G755" s="104" t="s">
        <v>1730</v>
      </c>
    </row>
    <row r="756" spans="1:7" ht="240">
      <c r="A756" t="s">
        <v>584</v>
      </c>
      <c r="B756" t="s">
        <v>571</v>
      </c>
      <c r="C756" t="s">
        <v>831</v>
      </c>
      <c r="D756" t="s">
        <v>586</v>
      </c>
      <c r="E756" t="s">
        <v>1189</v>
      </c>
      <c r="F756">
        <v>165</v>
      </c>
      <c r="G756" s="104" t="s">
        <v>1731</v>
      </c>
    </row>
    <row r="757" spans="1:7" ht="409.5">
      <c r="A757" t="s">
        <v>584</v>
      </c>
      <c r="B757" t="s">
        <v>571</v>
      </c>
      <c r="C757" t="s">
        <v>831</v>
      </c>
      <c r="D757" t="s">
        <v>586</v>
      </c>
      <c r="E757" t="s">
        <v>1189</v>
      </c>
      <c r="F757">
        <v>166</v>
      </c>
      <c r="G757" s="104" t="s">
        <v>1318</v>
      </c>
    </row>
    <row r="758" spans="1:7" ht="405">
      <c r="A758" t="s">
        <v>584</v>
      </c>
      <c r="B758" t="s">
        <v>571</v>
      </c>
      <c r="C758" t="s">
        <v>831</v>
      </c>
      <c r="D758" t="s">
        <v>586</v>
      </c>
      <c r="E758" t="s">
        <v>1189</v>
      </c>
      <c r="F758">
        <v>167</v>
      </c>
      <c r="G758" s="104" t="s">
        <v>1531</v>
      </c>
    </row>
    <row r="759" spans="1:7" ht="360">
      <c r="A759" t="s">
        <v>584</v>
      </c>
      <c r="B759" t="s">
        <v>571</v>
      </c>
      <c r="C759" t="s">
        <v>831</v>
      </c>
      <c r="D759" t="s">
        <v>586</v>
      </c>
      <c r="E759" t="s">
        <v>1189</v>
      </c>
      <c r="F759">
        <v>168</v>
      </c>
      <c r="G759" s="104" t="s">
        <v>1532</v>
      </c>
    </row>
    <row r="760" spans="1:7" ht="409.5">
      <c r="A760" t="s">
        <v>584</v>
      </c>
      <c r="B760" t="s">
        <v>571</v>
      </c>
      <c r="C760" t="s">
        <v>831</v>
      </c>
      <c r="D760" t="s">
        <v>586</v>
      </c>
      <c r="E760" t="s">
        <v>1189</v>
      </c>
      <c r="F760">
        <v>169</v>
      </c>
      <c r="G760" s="104" t="s">
        <v>1319</v>
      </c>
    </row>
    <row r="761" spans="1:7" ht="375">
      <c r="A761" t="s">
        <v>584</v>
      </c>
      <c r="B761" t="s">
        <v>571</v>
      </c>
      <c r="C761" t="s">
        <v>831</v>
      </c>
      <c r="D761" t="s">
        <v>586</v>
      </c>
      <c r="E761" t="s">
        <v>1189</v>
      </c>
      <c r="F761">
        <v>170</v>
      </c>
      <c r="G761" s="104" t="s">
        <v>1320</v>
      </c>
    </row>
    <row r="762" spans="1:7" ht="409.5">
      <c r="A762" t="s">
        <v>584</v>
      </c>
      <c r="B762" t="s">
        <v>571</v>
      </c>
      <c r="C762" t="s">
        <v>831</v>
      </c>
      <c r="D762" t="s">
        <v>586</v>
      </c>
      <c r="E762" t="s">
        <v>1189</v>
      </c>
      <c r="F762">
        <v>171</v>
      </c>
      <c r="G762" s="104" t="s">
        <v>1321</v>
      </c>
    </row>
    <row r="763" spans="1:7" ht="409.5">
      <c r="A763" t="s">
        <v>584</v>
      </c>
      <c r="B763" t="s">
        <v>571</v>
      </c>
      <c r="C763" t="s">
        <v>831</v>
      </c>
      <c r="D763" t="s">
        <v>586</v>
      </c>
      <c r="E763" t="s">
        <v>1189</v>
      </c>
      <c r="F763">
        <v>172</v>
      </c>
      <c r="G763" s="104" t="s">
        <v>1322</v>
      </c>
    </row>
    <row r="764" spans="1:7" ht="409.5">
      <c r="A764" t="s">
        <v>584</v>
      </c>
      <c r="B764" t="s">
        <v>571</v>
      </c>
      <c r="C764" t="s">
        <v>831</v>
      </c>
      <c r="D764" t="s">
        <v>586</v>
      </c>
      <c r="E764" t="s">
        <v>1189</v>
      </c>
      <c r="F764">
        <v>173</v>
      </c>
      <c r="G764" s="104" t="s">
        <v>1323</v>
      </c>
    </row>
    <row r="765" spans="1:7" ht="409.5">
      <c r="A765" t="s">
        <v>584</v>
      </c>
      <c r="B765" t="s">
        <v>571</v>
      </c>
      <c r="C765" t="s">
        <v>831</v>
      </c>
      <c r="D765" t="s">
        <v>586</v>
      </c>
      <c r="E765" t="s">
        <v>1189</v>
      </c>
      <c r="F765">
        <v>174</v>
      </c>
      <c r="G765" s="104" t="s">
        <v>1324</v>
      </c>
    </row>
    <row r="766" spans="1:7" ht="375">
      <c r="A766" t="s">
        <v>584</v>
      </c>
      <c r="B766" t="s">
        <v>571</v>
      </c>
      <c r="C766" t="s">
        <v>831</v>
      </c>
      <c r="D766" t="s">
        <v>586</v>
      </c>
      <c r="E766" t="s">
        <v>1189</v>
      </c>
      <c r="F766">
        <v>175</v>
      </c>
      <c r="G766" s="104" t="s">
        <v>1325</v>
      </c>
    </row>
    <row r="767" spans="1:7" ht="405">
      <c r="A767" t="s">
        <v>584</v>
      </c>
      <c r="B767" t="s">
        <v>571</v>
      </c>
      <c r="C767" t="s">
        <v>831</v>
      </c>
      <c r="D767" t="s">
        <v>586</v>
      </c>
      <c r="E767" t="s">
        <v>1189</v>
      </c>
      <c r="F767">
        <v>176</v>
      </c>
      <c r="G767" s="104" t="s">
        <v>1326</v>
      </c>
    </row>
    <row r="768" spans="1:7" ht="345">
      <c r="A768" t="s">
        <v>584</v>
      </c>
      <c r="B768" t="s">
        <v>571</v>
      </c>
      <c r="C768" t="s">
        <v>831</v>
      </c>
      <c r="D768" t="s">
        <v>586</v>
      </c>
      <c r="E768" t="s">
        <v>1189</v>
      </c>
      <c r="F768">
        <v>177</v>
      </c>
      <c r="G768" s="104" t="s">
        <v>1327</v>
      </c>
    </row>
    <row r="769" spans="1:7" ht="405">
      <c r="A769" t="s">
        <v>584</v>
      </c>
      <c r="B769" t="s">
        <v>571</v>
      </c>
      <c r="C769" t="s">
        <v>831</v>
      </c>
      <c r="D769" t="s">
        <v>586</v>
      </c>
      <c r="E769" t="s">
        <v>1189</v>
      </c>
      <c r="F769">
        <v>178</v>
      </c>
      <c r="G769" s="104" t="s">
        <v>1328</v>
      </c>
    </row>
    <row r="770" spans="1:7" ht="360">
      <c r="A770" t="s">
        <v>584</v>
      </c>
      <c r="B770" t="s">
        <v>571</v>
      </c>
      <c r="C770" t="s">
        <v>831</v>
      </c>
      <c r="D770" t="s">
        <v>586</v>
      </c>
      <c r="E770" t="s">
        <v>1189</v>
      </c>
      <c r="F770">
        <v>179</v>
      </c>
      <c r="G770" s="104" t="s">
        <v>1329</v>
      </c>
    </row>
    <row r="771" spans="1:7" ht="360">
      <c r="A771" t="s">
        <v>584</v>
      </c>
      <c r="B771" t="s">
        <v>571</v>
      </c>
      <c r="C771" t="s">
        <v>831</v>
      </c>
      <c r="D771" t="s">
        <v>586</v>
      </c>
      <c r="E771" t="s">
        <v>1189</v>
      </c>
      <c r="F771">
        <v>180</v>
      </c>
      <c r="G771" s="104" t="s">
        <v>1330</v>
      </c>
    </row>
    <row r="772" spans="1:7" ht="390">
      <c r="A772" t="s">
        <v>584</v>
      </c>
      <c r="B772" t="s">
        <v>571</v>
      </c>
      <c r="C772" t="s">
        <v>831</v>
      </c>
      <c r="D772" t="s">
        <v>586</v>
      </c>
      <c r="E772" t="s">
        <v>1189</v>
      </c>
      <c r="F772">
        <v>181</v>
      </c>
      <c r="G772" s="104" t="s">
        <v>1331</v>
      </c>
    </row>
    <row r="773" spans="1:7" ht="409.5">
      <c r="A773" t="s">
        <v>584</v>
      </c>
      <c r="B773" t="s">
        <v>571</v>
      </c>
      <c r="C773" t="s">
        <v>831</v>
      </c>
      <c r="D773" t="s">
        <v>586</v>
      </c>
      <c r="E773" t="s">
        <v>1189</v>
      </c>
      <c r="F773">
        <v>182</v>
      </c>
      <c r="G773" s="104" t="s">
        <v>1533</v>
      </c>
    </row>
    <row r="774" spans="1:7" ht="405">
      <c r="A774" t="s">
        <v>584</v>
      </c>
      <c r="B774" t="s">
        <v>571</v>
      </c>
      <c r="C774" t="s">
        <v>831</v>
      </c>
      <c r="D774" t="s">
        <v>586</v>
      </c>
      <c r="E774" t="s">
        <v>1189</v>
      </c>
      <c r="F774">
        <v>183</v>
      </c>
      <c r="G774" s="104" t="s">
        <v>1332</v>
      </c>
    </row>
    <row r="775" spans="1:7" ht="409.5">
      <c r="A775" t="s">
        <v>584</v>
      </c>
      <c r="B775" t="s">
        <v>571</v>
      </c>
      <c r="C775" t="s">
        <v>831</v>
      </c>
      <c r="D775" t="s">
        <v>586</v>
      </c>
      <c r="E775" t="s">
        <v>1189</v>
      </c>
      <c r="F775">
        <v>184</v>
      </c>
      <c r="G775" s="104" t="s">
        <v>1572</v>
      </c>
    </row>
    <row r="776" spans="1:7" ht="409.5">
      <c r="A776" t="s">
        <v>584</v>
      </c>
      <c r="B776" t="s">
        <v>571</v>
      </c>
      <c r="C776" t="s">
        <v>831</v>
      </c>
      <c r="D776" t="s">
        <v>586</v>
      </c>
      <c r="E776" t="s">
        <v>1534</v>
      </c>
      <c r="F776">
        <v>1</v>
      </c>
      <c r="G776" s="104" t="s">
        <v>1535</v>
      </c>
    </row>
    <row r="777" spans="1:7" ht="375">
      <c r="A777" t="s">
        <v>584</v>
      </c>
      <c r="B777" t="s">
        <v>571</v>
      </c>
      <c r="C777" t="s">
        <v>831</v>
      </c>
      <c r="D777" t="s">
        <v>586</v>
      </c>
      <c r="E777" t="s">
        <v>1534</v>
      </c>
      <c r="F777">
        <v>2</v>
      </c>
      <c r="G777" s="104" t="s">
        <v>1536</v>
      </c>
    </row>
    <row r="778" spans="1:7" ht="409.5">
      <c r="A778" t="s">
        <v>584</v>
      </c>
      <c r="B778" t="s">
        <v>571</v>
      </c>
      <c r="C778" t="s">
        <v>831</v>
      </c>
      <c r="D778" t="s">
        <v>586</v>
      </c>
      <c r="E778" t="s">
        <v>1534</v>
      </c>
      <c r="F778">
        <v>3</v>
      </c>
      <c r="G778" s="104" t="s">
        <v>1333</v>
      </c>
    </row>
    <row r="779" spans="1:7" ht="409.5">
      <c r="A779" t="s">
        <v>584</v>
      </c>
      <c r="B779" t="s">
        <v>571</v>
      </c>
      <c r="C779" t="s">
        <v>831</v>
      </c>
      <c r="D779" t="s">
        <v>586</v>
      </c>
      <c r="E779" t="s">
        <v>1534</v>
      </c>
      <c r="F779">
        <v>4</v>
      </c>
      <c r="G779" s="104" t="s">
        <v>1334</v>
      </c>
    </row>
    <row r="780" spans="1:7" ht="409.5">
      <c r="A780" t="s">
        <v>584</v>
      </c>
      <c r="B780" t="s">
        <v>571</v>
      </c>
      <c r="C780" t="s">
        <v>831</v>
      </c>
      <c r="D780" t="s">
        <v>586</v>
      </c>
      <c r="E780" t="s">
        <v>1534</v>
      </c>
      <c r="F780">
        <v>5</v>
      </c>
      <c r="G780" s="104" t="s">
        <v>1335</v>
      </c>
    </row>
    <row r="781" spans="1:7" ht="409.5">
      <c r="A781" t="s">
        <v>584</v>
      </c>
      <c r="B781" t="s">
        <v>571</v>
      </c>
      <c r="C781" t="s">
        <v>831</v>
      </c>
      <c r="D781" t="s">
        <v>586</v>
      </c>
      <c r="E781" t="s">
        <v>1534</v>
      </c>
      <c r="F781">
        <v>6</v>
      </c>
      <c r="G781" s="104" t="s">
        <v>1537</v>
      </c>
    </row>
    <row r="782" spans="1:7" ht="375">
      <c r="A782" t="s">
        <v>584</v>
      </c>
      <c r="B782" t="s">
        <v>571</v>
      </c>
      <c r="C782" t="s">
        <v>831</v>
      </c>
      <c r="D782" t="s">
        <v>586</v>
      </c>
      <c r="E782" t="s">
        <v>1534</v>
      </c>
      <c r="F782">
        <v>7</v>
      </c>
      <c r="G782" s="104" t="s">
        <v>1538</v>
      </c>
    </row>
    <row r="783" spans="1:7" ht="409.5">
      <c r="A783" t="s">
        <v>584</v>
      </c>
      <c r="B783" t="s">
        <v>571</v>
      </c>
      <c r="C783" t="s">
        <v>831</v>
      </c>
      <c r="D783" t="s">
        <v>586</v>
      </c>
      <c r="E783" t="s">
        <v>1534</v>
      </c>
      <c r="F783">
        <v>8</v>
      </c>
      <c r="G783" s="104" t="s">
        <v>1539</v>
      </c>
    </row>
    <row r="784" spans="1:7" ht="409.5">
      <c r="A784" t="s">
        <v>584</v>
      </c>
      <c r="B784" t="s">
        <v>571</v>
      </c>
      <c r="C784" t="s">
        <v>831</v>
      </c>
      <c r="D784" t="s">
        <v>586</v>
      </c>
      <c r="E784" t="s">
        <v>1534</v>
      </c>
      <c r="F784">
        <v>9</v>
      </c>
      <c r="G784" s="104" t="s">
        <v>1540</v>
      </c>
    </row>
    <row r="785" spans="1:7" ht="409.5">
      <c r="A785" t="s">
        <v>584</v>
      </c>
      <c r="B785" t="s">
        <v>571</v>
      </c>
      <c r="C785" t="s">
        <v>831</v>
      </c>
      <c r="D785" t="s">
        <v>586</v>
      </c>
      <c r="E785" t="s">
        <v>1534</v>
      </c>
      <c r="F785">
        <v>10</v>
      </c>
      <c r="G785" s="104" t="s">
        <v>1541</v>
      </c>
    </row>
    <row r="786" spans="1:7" ht="390">
      <c r="A786" t="s">
        <v>584</v>
      </c>
      <c r="B786" t="s">
        <v>571</v>
      </c>
      <c r="C786" t="s">
        <v>831</v>
      </c>
      <c r="D786" t="s">
        <v>586</v>
      </c>
      <c r="E786" t="s">
        <v>1534</v>
      </c>
      <c r="F786">
        <v>11</v>
      </c>
      <c r="G786" s="104" t="s">
        <v>1542</v>
      </c>
    </row>
    <row r="787" spans="1:7" ht="409.5">
      <c r="A787" t="s">
        <v>584</v>
      </c>
      <c r="B787" t="s">
        <v>571</v>
      </c>
      <c r="C787" t="s">
        <v>831</v>
      </c>
      <c r="D787" t="s">
        <v>586</v>
      </c>
      <c r="E787" t="s">
        <v>1534</v>
      </c>
      <c r="F787">
        <v>12</v>
      </c>
      <c r="G787" s="104" t="s">
        <v>1543</v>
      </c>
    </row>
    <row r="788" spans="1:7" ht="409.5">
      <c r="A788" t="s">
        <v>584</v>
      </c>
      <c r="B788" t="s">
        <v>571</v>
      </c>
      <c r="C788" t="s">
        <v>831</v>
      </c>
      <c r="D788" t="s">
        <v>586</v>
      </c>
      <c r="E788" t="s">
        <v>1534</v>
      </c>
      <c r="F788">
        <v>13</v>
      </c>
      <c r="G788" s="104" t="s">
        <v>1544</v>
      </c>
    </row>
    <row r="789" spans="1:7" ht="409.5">
      <c r="A789" t="s">
        <v>584</v>
      </c>
      <c r="B789" t="s">
        <v>571</v>
      </c>
      <c r="C789" t="s">
        <v>831</v>
      </c>
      <c r="D789" t="s">
        <v>586</v>
      </c>
      <c r="E789" t="s">
        <v>1534</v>
      </c>
      <c r="F789">
        <v>14</v>
      </c>
      <c r="G789" s="104" t="s">
        <v>1150</v>
      </c>
    </row>
    <row r="790" spans="1:7" ht="405">
      <c r="A790" t="s">
        <v>584</v>
      </c>
      <c r="B790" t="s">
        <v>571</v>
      </c>
      <c r="C790" t="s">
        <v>831</v>
      </c>
      <c r="D790" t="s">
        <v>586</v>
      </c>
      <c r="E790" t="s">
        <v>1534</v>
      </c>
      <c r="F790">
        <v>15</v>
      </c>
      <c r="G790" s="104" t="s">
        <v>1545</v>
      </c>
    </row>
    <row r="791" spans="1:7" ht="409.5">
      <c r="A791" t="s">
        <v>584</v>
      </c>
      <c r="B791" t="s">
        <v>571</v>
      </c>
      <c r="C791" t="s">
        <v>831</v>
      </c>
      <c r="D791" t="s">
        <v>586</v>
      </c>
      <c r="E791" t="s">
        <v>1534</v>
      </c>
      <c r="F791">
        <v>16</v>
      </c>
      <c r="G791" s="104" t="s">
        <v>1151</v>
      </c>
    </row>
    <row r="792" spans="1:7" ht="390">
      <c r="A792" t="s">
        <v>584</v>
      </c>
      <c r="B792" t="s">
        <v>571</v>
      </c>
      <c r="C792" t="s">
        <v>831</v>
      </c>
      <c r="D792" t="s">
        <v>586</v>
      </c>
      <c r="E792" t="s">
        <v>1534</v>
      </c>
      <c r="F792">
        <v>17</v>
      </c>
      <c r="G792" s="104" t="s">
        <v>1152</v>
      </c>
    </row>
    <row r="793" spans="1:7" ht="405">
      <c r="A793" t="s">
        <v>584</v>
      </c>
      <c r="B793" t="s">
        <v>571</v>
      </c>
      <c r="C793" t="s">
        <v>831</v>
      </c>
      <c r="D793" t="s">
        <v>586</v>
      </c>
      <c r="E793" t="s">
        <v>1534</v>
      </c>
      <c r="F793">
        <v>18</v>
      </c>
      <c r="G793" s="104" t="s">
        <v>1153</v>
      </c>
    </row>
    <row r="794" spans="1:7" ht="409.5">
      <c r="A794" t="s">
        <v>584</v>
      </c>
      <c r="B794" t="s">
        <v>571</v>
      </c>
      <c r="C794" t="s">
        <v>831</v>
      </c>
      <c r="D794" t="s">
        <v>586</v>
      </c>
      <c r="E794" t="s">
        <v>1534</v>
      </c>
      <c r="F794">
        <v>19</v>
      </c>
      <c r="G794" s="104" t="s">
        <v>1154</v>
      </c>
    </row>
    <row r="795" spans="1:7" ht="409.5">
      <c r="A795" t="s">
        <v>584</v>
      </c>
      <c r="B795" t="s">
        <v>571</v>
      </c>
      <c r="C795" t="s">
        <v>831</v>
      </c>
      <c r="D795" t="s">
        <v>586</v>
      </c>
      <c r="E795" t="s">
        <v>1534</v>
      </c>
      <c r="F795">
        <v>20</v>
      </c>
      <c r="G795" s="104" t="s">
        <v>1155</v>
      </c>
    </row>
    <row r="796" spans="1:7" ht="409.5">
      <c r="A796" t="s">
        <v>584</v>
      </c>
      <c r="B796" t="s">
        <v>571</v>
      </c>
      <c r="C796" t="s">
        <v>831</v>
      </c>
      <c r="D796" t="s">
        <v>586</v>
      </c>
      <c r="E796" t="s">
        <v>1534</v>
      </c>
      <c r="F796">
        <v>21</v>
      </c>
      <c r="G796" s="104" t="s">
        <v>1156</v>
      </c>
    </row>
    <row r="797" spans="1:7" ht="409.5">
      <c r="A797" t="s">
        <v>584</v>
      </c>
      <c r="B797" t="s">
        <v>571</v>
      </c>
      <c r="C797" t="s">
        <v>831</v>
      </c>
      <c r="D797" t="s">
        <v>586</v>
      </c>
      <c r="E797" t="s">
        <v>1534</v>
      </c>
      <c r="F797">
        <v>22</v>
      </c>
      <c r="G797" s="104" t="s">
        <v>1157</v>
      </c>
    </row>
    <row r="798" spans="1:7" ht="409.5">
      <c r="A798" t="s">
        <v>584</v>
      </c>
      <c r="B798" t="s">
        <v>571</v>
      </c>
      <c r="C798" t="s">
        <v>831</v>
      </c>
      <c r="D798" t="s">
        <v>586</v>
      </c>
      <c r="E798" t="s">
        <v>1534</v>
      </c>
      <c r="F798">
        <v>23</v>
      </c>
      <c r="G798" s="104" t="s">
        <v>1158</v>
      </c>
    </row>
    <row r="799" spans="1:7" ht="390">
      <c r="A799" t="s">
        <v>584</v>
      </c>
      <c r="B799" t="s">
        <v>571</v>
      </c>
      <c r="C799" t="s">
        <v>831</v>
      </c>
      <c r="D799" t="s">
        <v>586</v>
      </c>
      <c r="E799" t="s">
        <v>1534</v>
      </c>
      <c r="F799">
        <v>24</v>
      </c>
      <c r="G799" s="104" t="s">
        <v>1666</v>
      </c>
    </row>
    <row r="800" spans="1:7" ht="375">
      <c r="A800" t="s">
        <v>584</v>
      </c>
      <c r="B800" t="s">
        <v>571</v>
      </c>
      <c r="C800" t="s">
        <v>831</v>
      </c>
      <c r="D800" t="s">
        <v>586</v>
      </c>
      <c r="E800" t="s">
        <v>1534</v>
      </c>
      <c r="F800">
        <v>25</v>
      </c>
      <c r="G800" s="104" t="s">
        <v>1667</v>
      </c>
    </row>
    <row r="801" spans="1:7" ht="405">
      <c r="A801" t="s">
        <v>584</v>
      </c>
      <c r="B801" t="s">
        <v>571</v>
      </c>
      <c r="C801" t="s">
        <v>831</v>
      </c>
      <c r="D801" t="s">
        <v>586</v>
      </c>
      <c r="E801" t="s">
        <v>1534</v>
      </c>
      <c r="F801">
        <v>26</v>
      </c>
      <c r="G801" s="104" t="s">
        <v>1159</v>
      </c>
    </row>
    <row r="802" spans="1:7" ht="409.5">
      <c r="A802" t="s">
        <v>584</v>
      </c>
      <c r="B802" t="s">
        <v>571</v>
      </c>
      <c r="C802" t="s">
        <v>831</v>
      </c>
      <c r="D802" t="s">
        <v>586</v>
      </c>
      <c r="E802" t="s">
        <v>1534</v>
      </c>
      <c r="F802">
        <v>27</v>
      </c>
      <c r="G802" s="104" t="s">
        <v>1668</v>
      </c>
    </row>
    <row r="803" spans="1:7" ht="409.5">
      <c r="A803" t="s">
        <v>584</v>
      </c>
      <c r="B803" t="s">
        <v>571</v>
      </c>
      <c r="C803" t="s">
        <v>831</v>
      </c>
      <c r="D803" t="s">
        <v>586</v>
      </c>
      <c r="E803" t="s">
        <v>1534</v>
      </c>
      <c r="F803">
        <v>28</v>
      </c>
      <c r="G803" s="104" t="s">
        <v>1669</v>
      </c>
    </row>
    <row r="804" spans="1:7" ht="409.5">
      <c r="A804" t="s">
        <v>584</v>
      </c>
      <c r="B804" t="s">
        <v>571</v>
      </c>
      <c r="C804" t="s">
        <v>831</v>
      </c>
      <c r="D804" t="s">
        <v>586</v>
      </c>
      <c r="E804" t="s">
        <v>1534</v>
      </c>
      <c r="F804">
        <v>29</v>
      </c>
      <c r="G804" s="104" t="s">
        <v>1670</v>
      </c>
    </row>
    <row r="805" spans="1:7" ht="120">
      <c r="A805" t="s">
        <v>584</v>
      </c>
      <c r="B805" t="s">
        <v>571</v>
      </c>
      <c r="C805" t="s">
        <v>831</v>
      </c>
      <c r="D805" t="s">
        <v>586</v>
      </c>
      <c r="E805" t="s">
        <v>1534</v>
      </c>
      <c r="F805">
        <v>30</v>
      </c>
      <c r="G805" s="104" t="s">
        <v>1160</v>
      </c>
    </row>
    <row r="806" spans="1:7" ht="405">
      <c r="A806" t="s">
        <v>584</v>
      </c>
      <c r="B806" t="s">
        <v>571</v>
      </c>
      <c r="C806" t="s">
        <v>831</v>
      </c>
      <c r="D806" t="s">
        <v>586</v>
      </c>
      <c r="E806" t="s">
        <v>1534</v>
      </c>
      <c r="F806">
        <v>31</v>
      </c>
      <c r="G806" s="104" t="s">
        <v>1161</v>
      </c>
    </row>
    <row r="807" spans="1:7" ht="409.5">
      <c r="A807" t="s">
        <v>584</v>
      </c>
      <c r="B807" t="s">
        <v>571</v>
      </c>
      <c r="C807" t="s">
        <v>831</v>
      </c>
      <c r="D807" t="s">
        <v>586</v>
      </c>
      <c r="E807" t="s">
        <v>1534</v>
      </c>
      <c r="F807">
        <v>32</v>
      </c>
      <c r="G807" s="104" t="s">
        <v>1162</v>
      </c>
    </row>
    <row r="808" spans="1:7" ht="360">
      <c r="A808" t="s">
        <v>584</v>
      </c>
      <c r="B808" t="s">
        <v>571</v>
      </c>
      <c r="C808" t="s">
        <v>831</v>
      </c>
      <c r="D808" t="s">
        <v>586</v>
      </c>
      <c r="E808" t="s">
        <v>1534</v>
      </c>
      <c r="F808">
        <v>33</v>
      </c>
      <c r="G808" s="104" t="s">
        <v>1163</v>
      </c>
    </row>
    <row r="809" spans="1:7" ht="390">
      <c r="A809" t="s">
        <v>584</v>
      </c>
      <c r="B809" t="s">
        <v>571</v>
      </c>
      <c r="C809" t="s">
        <v>831</v>
      </c>
      <c r="D809" t="s">
        <v>586</v>
      </c>
      <c r="E809" t="s">
        <v>1534</v>
      </c>
      <c r="F809">
        <v>34</v>
      </c>
      <c r="G809" s="104" t="s">
        <v>1164</v>
      </c>
    </row>
    <row r="810" spans="1:7" ht="45">
      <c r="A810" t="s">
        <v>584</v>
      </c>
      <c r="B810" t="s">
        <v>571</v>
      </c>
      <c r="C810" t="s">
        <v>831</v>
      </c>
      <c r="D810" t="s">
        <v>586</v>
      </c>
      <c r="E810" t="s">
        <v>1534</v>
      </c>
      <c r="F810">
        <v>35</v>
      </c>
      <c r="G810" s="104" t="s">
        <v>1165</v>
      </c>
    </row>
    <row r="811" spans="1:7" ht="390">
      <c r="A811" t="s">
        <v>584</v>
      </c>
      <c r="B811" t="s">
        <v>571</v>
      </c>
      <c r="C811" t="s">
        <v>831</v>
      </c>
      <c r="D811" t="s">
        <v>586</v>
      </c>
      <c r="E811" t="s">
        <v>1534</v>
      </c>
      <c r="F811">
        <v>36</v>
      </c>
      <c r="G811" s="104" t="s">
        <v>1166</v>
      </c>
    </row>
    <row r="812" spans="1:7" ht="409.5">
      <c r="A812" t="s">
        <v>584</v>
      </c>
      <c r="B812" t="s">
        <v>571</v>
      </c>
      <c r="C812" t="s">
        <v>831</v>
      </c>
      <c r="D812" t="s">
        <v>586</v>
      </c>
      <c r="E812" t="s">
        <v>1534</v>
      </c>
      <c r="F812">
        <v>37</v>
      </c>
      <c r="G812" s="104" t="s">
        <v>1671</v>
      </c>
    </row>
    <row r="813" spans="1:7" ht="409.5">
      <c r="A813" t="s">
        <v>584</v>
      </c>
      <c r="B813" t="s">
        <v>571</v>
      </c>
      <c r="C813" t="s">
        <v>831</v>
      </c>
      <c r="D813" t="s">
        <v>586</v>
      </c>
      <c r="E813" t="s">
        <v>1534</v>
      </c>
      <c r="F813">
        <v>38</v>
      </c>
      <c r="G813" s="104" t="s">
        <v>1167</v>
      </c>
    </row>
    <row r="814" spans="1:7" ht="45">
      <c r="A814" t="s">
        <v>584</v>
      </c>
      <c r="B814" t="s">
        <v>571</v>
      </c>
      <c r="C814" t="s">
        <v>831</v>
      </c>
      <c r="D814" t="s">
        <v>586</v>
      </c>
      <c r="E814" t="s">
        <v>1534</v>
      </c>
      <c r="F814">
        <v>39</v>
      </c>
      <c r="G814" s="104" t="s">
        <v>1168</v>
      </c>
    </row>
    <row r="815" spans="1:7" ht="409.5">
      <c r="A815" t="s">
        <v>584</v>
      </c>
      <c r="B815" t="s">
        <v>571</v>
      </c>
      <c r="C815" t="s">
        <v>831</v>
      </c>
      <c r="D815" t="s">
        <v>586</v>
      </c>
      <c r="E815" t="s">
        <v>1534</v>
      </c>
      <c r="F815">
        <v>40</v>
      </c>
      <c r="G815" s="104" t="s">
        <v>1672</v>
      </c>
    </row>
    <row r="816" spans="1:7" ht="225">
      <c r="A816" t="s">
        <v>584</v>
      </c>
      <c r="B816" t="s">
        <v>571</v>
      </c>
      <c r="C816" t="s">
        <v>831</v>
      </c>
      <c r="D816" t="s">
        <v>586</v>
      </c>
      <c r="E816" t="s">
        <v>1534</v>
      </c>
      <c r="F816">
        <v>41</v>
      </c>
      <c r="G816" s="104" t="s">
        <v>1169</v>
      </c>
    </row>
    <row r="817" spans="1:7" ht="405">
      <c r="A817" t="s">
        <v>584</v>
      </c>
      <c r="B817" t="s">
        <v>571</v>
      </c>
      <c r="C817" t="s">
        <v>831</v>
      </c>
      <c r="D817" t="s">
        <v>586</v>
      </c>
      <c r="E817" t="s">
        <v>1534</v>
      </c>
      <c r="F817">
        <v>42</v>
      </c>
      <c r="G817" s="104" t="s">
        <v>1170</v>
      </c>
    </row>
    <row r="818" spans="1:7" ht="409.5">
      <c r="A818" t="s">
        <v>584</v>
      </c>
      <c r="B818" t="s">
        <v>571</v>
      </c>
      <c r="C818" t="s">
        <v>831</v>
      </c>
      <c r="D818" t="s">
        <v>586</v>
      </c>
      <c r="E818" t="s">
        <v>1534</v>
      </c>
      <c r="F818">
        <v>43</v>
      </c>
      <c r="G818" s="104" t="s">
        <v>1171</v>
      </c>
    </row>
    <row r="819" spans="1:7" ht="409.5">
      <c r="A819" t="s">
        <v>584</v>
      </c>
      <c r="B819" t="s">
        <v>571</v>
      </c>
      <c r="C819" t="s">
        <v>831</v>
      </c>
      <c r="D819" t="s">
        <v>586</v>
      </c>
      <c r="E819" t="s">
        <v>1534</v>
      </c>
      <c r="F819">
        <v>44</v>
      </c>
      <c r="G819" s="104" t="s">
        <v>1546</v>
      </c>
    </row>
    <row r="820" spans="1:7" ht="165">
      <c r="A820" t="s">
        <v>584</v>
      </c>
      <c r="B820" t="s">
        <v>571</v>
      </c>
      <c r="C820" t="s">
        <v>831</v>
      </c>
      <c r="D820" t="s">
        <v>586</v>
      </c>
      <c r="E820" t="s">
        <v>1534</v>
      </c>
      <c r="F820">
        <v>45</v>
      </c>
      <c r="G820" s="104" t="s">
        <v>1172</v>
      </c>
    </row>
    <row r="821" spans="1:7" ht="405">
      <c r="A821" t="s">
        <v>584</v>
      </c>
      <c r="B821" t="s">
        <v>571</v>
      </c>
      <c r="C821" t="s">
        <v>831</v>
      </c>
      <c r="D821" t="s">
        <v>586</v>
      </c>
      <c r="E821" t="s">
        <v>1534</v>
      </c>
      <c r="F821">
        <v>46</v>
      </c>
      <c r="G821" s="104" t="s">
        <v>1173</v>
      </c>
    </row>
    <row r="822" spans="1:7" ht="375">
      <c r="A822" t="s">
        <v>584</v>
      </c>
      <c r="B822" t="s">
        <v>571</v>
      </c>
      <c r="C822" t="s">
        <v>831</v>
      </c>
      <c r="D822" t="s">
        <v>586</v>
      </c>
      <c r="E822" t="s">
        <v>1534</v>
      </c>
      <c r="F822">
        <v>47</v>
      </c>
      <c r="G822" s="104" t="s">
        <v>1174</v>
      </c>
    </row>
    <row r="823" spans="1:7" ht="409.5">
      <c r="A823" t="s">
        <v>584</v>
      </c>
      <c r="B823" t="s">
        <v>571</v>
      </c>
      <c r="C823" t="s">
        <v>831</v>
      </c>
      <c r="D823" t="s">
        <v>586</v>
      </c>
      <c r="E823" t="s">
        <v>1534</v>
      </c>
      <c r="F823">
        <v>48</v>
      </c>
      <c r="G823" s="104" t="s">
        <v>1673</v>
      </c>
    </row>
    <row r="824" spans="1:7" ht="409.5">
      <c r="A824" t="s">
        <v>584</v>
      </c>
      <c r="B824" t="s">
        <v>571</v>
      </c>
      <c r="C824" t="s">
        <v>831</v>
      </c>
      <c r="D824" t="s">
        <v>586</v>
      </c>
      <c r="E824" t="s">
        <v>1534</v>
      </c>
      <c r="F824">
        <v>49</v>
      </c>
      <c r="G824" s="104" t="s">
        <v>1674</v>
      </c>
    </row>
    <row r="825" spans="1:7" ht="409.5">
      <c r="A825" t="s">
        <v>584</v>
      </c>
      <c r="B825" t="s">
        <v>571</v>
      </c>
      <c r="C825" t="s">
        <v>831</v>
      </c>
      <c r="D825" t="s">
        <v>586</v>
      </c>
      <c r="E825" t="s">
        <v>1534</v>
      </c>
      <c r="F825">
        <v>50</v>
      </c>
      <c r="G825" s="104" t="s">
        <v>1175</v>
      </c>
    </row>
    <row r="826" spans="1:7" ht="405">
      <c r="A826" t="s">
        <v>584</v>
      </c>
      <c r="B826" t="s">
        <v>571</v>
      </c>
      <c r="C826" t="s">
        <v>831</v>
      </c>
      <c r="D826" t="s">
        <v>586</v>
      </c>
      <c r="E826" t="s">
        <v>1534</v>
      </c>
      <c r="F826">
        <v>51</v>
      </c>
      <c r="G826" s="104" t="s">
        <v>1176</v>
      </c>
    </row>
    <row r="827" spans="1:7" ht="60">
      <c r="A827" t="s">
        <v>584</v>
      </c>
      <c r="B827" t="s">
        <v>571</v>
      </c>
      <c r="C827" t="s">
        <v>831</v>
      </c>
      <c r="D827" t="s">
        <v>586</v>
      </c>
      <c r="E827" t="s">
        <v>1534</v>
      </c>
      <c r="F827">
        <v>52</v>
      </c>
      <c r="G827" s="104" t="s">
        <v>1177</v>
      </c>
    </row>
    <row r="828" spans="1:7" ht="409.5">
      <c r="A828" t="s">
        <v>584</v>
      </c>
      <c r="B828" t="s">
        <v>571</v>
      </c>
      <c r="C828" t="s">
        <v>831</v>
      </c>
      <c r="D828" t="s">
        <v>586</v>
      </c>
      <c r="E828" t="s">
        <v>1534</v>
      </c>
      <c r="F828">
        <v>53</v>
      </c>
      <c r="G828" s="104" t="s">
        <v>1178</v>
      </c>
    </row>
    <row r="829" spans="1:7" ht="75">
      <c r="A829" t="s">
        <v>584</v>
      </c>
      <c r="B829" t="s">
        <v>571</v>
      </c>
      <c r="C829" t="s">
        <v>831</v>
      </c>
      <c r="D829" t="s">
        <v>586</v>
      </c>
      <c r="E829" t="s">
        <v>1534</v>
      </c>
      <c r="F829">
        <v>54</v>
      </c>
      <c r="G829" s="104" t="s">
        <v>1179</v>
      </c>
    </row>
    <row r="830" spans="1:7" ht="405">
      <c r="A830" t="s">
        <v>584</v>
      </c>
      <c r="B830" t="s">
        <v>571</v>
      </c>
      <c r="C830" t="s">
        <v>831</v>
      </c>
      <c r="D830" t="s">
        <v>586</v>
      </c>
      <c r="E830" t="s">
        <v>1534</v>
      </c>
      <c r="F830">
        <v>55</v>
      </c>
      <c r="G830" s="104" t="s">
        <v>1180</v>
      </c>
    </row>
    <row r="831" spans="1:7" ht="315">
      <c r="A831" t="s">
        <v>584</v>
      </c>
      <c r="B831" t="s">
        <v>571</v>
      </c>
      <c r="C831" t="s">
        <v>831</v>
      </c>
      <c r="D831" t="s">
        <v>586</v>
      </c>
      <c r="E831" t="s">
        <v>1534</v>
      </c>
      <c r="F831">
        <v>56</v>
      </c>
      <c r="G831" s="104" t="s">
        <v>1547</v>
      </c>
    </row>
    <row r="832" spans="1:7" ht="409.5">
      <c r="A832" t="s">
        <v>584</v>
      </c>
      <c r="B832" t="s">
        <v>571</v>
      </c>
      <c r="C832" t="s">
        <v>831</v>
      </c>
      <c r="D832" t="s">
        <v>586</v>
      </c>
      <c r="E832" t="s">
        <v>1534</v>
      </c>
      <c r="F832">
        <v>57</v>
      </c>
      <c r="G832" s="104" t="s">
        <v>988</v>
      </c>
    </row>
    <row r="833" spans="1:7" ht="409.5">
      <c r="A833" t="s">
        <v>584</v>
      </c>
      <c r="B833" t="s">
        <v>571</v>
      </c>
      <c r="C833" t="s">
        <v>831</v>
      </c>
      <c r="D833" t="s">
        <v>586</v>
      </c>
      <c r="E833" t="s">
        <v>1534</v>
      </c>
      <c r="F833">
        <v>58</v>
      </c>
      <c r="G833" s="104" t="s">
        <v>1548</v>
      </c>
    </row>
    <row r="834" spans="1:7" ht="409.5">
      <c r="A834" t="s">
        <v>584</v>
      </c>
      <c r="B834" t="s">
        <v>571</v>
      </c>
      <c r="C834" t="s">
        <v>831</v>
      </c>
      <c r="D834" t="s">
        <v>586</v>
      </c>
      <c r="E834" t="s">
        <v>1534</v>
      </c>
      <c r="F834">
        <v>59</v>
      </c>
      <c r="G834" s="104" t="s">
        <v>989</v>
      </c>
    </row>
    <row r="835" spans="1:7" ht="409.5">
      <c r="A835" t="s">
        <v>584</v>
      </c>
      <c r="B835" t="s">
        <v>571</v>
      </c>
      <c r="C835" t="s">
        <v>831</v>
      </c>
      <c r="D835" t="s">
        <v>586</v>
      </c>
      <c r="E835" t="s">
        <v>1534</v>
      </c>
      <c r="F835">
        <v>60</v>
      </c>
      <c r="G835" s="104" t="s">
        <v>990</v>
      </c>
    </row>
    <row r="836" spans="1:7" ht="409.5">
      <c r="A836" t="s">
        <v>584</v>
      </c>
      <c r="B836" t="s">
        <v>571</v>
      </c>
      <c r="C836" t="s">
        <v>831</v>
      </c>
      <c r="D836" t="s">
        <v>586</v>
      </c>
      <c r="E836" t="s">
        <v>1534</v>
      </c>
      <c r="F836">
        <v>61</v>
      </c>
      <c r="G836" s="104" t="s">
        <v>991</v>
      </c>
    </row>
    <row r="837" spans="1:7" ht="375">
      <c r="A837" t="s">
        <v>584</v>
      </c>
      <c r="B837" t="s">
        <v>571</v>
      </c>
      <c r="C837" t="s">
        <v>831</v>
      </c>
      <c r="D837" t="s">
        <v>586</v>
      </c>
      <c r="E837" t="s">
        <v>1534</v>
      </c>
      <c r="F837">
        <v>62</v>
      </c>
      <c r="G837" s="104" t="s">
        <v>1549</v>
      </c>
    </row>
    <row r="838" spans="1:7" ht="405">
      <c r="A838" t="s">
        <v>584</v>
      </c>
      <c r="B838" t="s">
        <v>571</v>
      </c>
      <c r="C838" t="s">
        <v>831</v>
      </c>
      <c r="D838" t="s">
        <v>586</v>
      </c>
      <c r="E838" t="s">
        <v>1534</v>
      </c>
      <c r="F838">
        <v>63</v>
      </c>
      <c r="G838" s="104" t="s">
        <v>992</v>
      </c>
    </row>
    <row r="839" spans="1:7" ht="405">
      <c r="A839" t="s">
        <v>584</v>
      </c>
      <c r="B839" t="s">
        <v>571</v>
      </c>
      <c r="C839" t="s">
        <v>831</v>
      </c>
      <c r="D839" t="s">
        <v>586</v>
      </c>
      <c r="E839" t="s">
        <v>1534</v>
      </c>
      <c r="F839">
        <v>64</v>
      </c>
      <c r="G839" s="104" t="s">
        <v>993</v>
      </c>
    </row>
    <row r="840" spans="1:7" ht="375">
      <c r="A840" t="s">
        <v>584</v>
      </c>
      <c r="B840" t="s">
        <v>571</v>
      </c>
      <c r="C840" t="s">
        <v>831</v>
      </c>
      <c r="D840" t="s">
        <v>586</v>
      </c>
      <c r="E840" t="s">
        <v>1534</v>
      </c>
      <c r="F840">
        <v>65</v>
      </c>
      <c r="G840" s="104" t="s">
        <v>994</v>
      </c>
    </row>
    <row r="841" spans="1:7" ht="345">
      <c r="A841" t="s">
        <v>584</v>
      </c>
      <c r="B841" t="s">
        <v>571</v>
      </c>
      <c r="C841" t="s">
        <v>831</v>
      </c>
      <c r="D841" t="s">
        <v>586</v>
      </c>
      <c r="E841" t="s">
        <v>1534</v>
      </c>
      <c r="F841">
        <v>66</v>
      </c>
      <c r="G841" s="104" t="s">
        <v>995</v>
      </c>
    </row>
    <row r="842" spans="1:7" ht="345">
      <c r="A842" t="s">
        <v>584</v>
      </c>
      <c r="B842" t="s">
        <v>571</v>
      </c>
      <c r="C842" t="s">
        <v>831</v>
      </c>
      <c r="D842" t="s">
        <v>586</v>
      </c>
      <c r="E842" t="s">
        <v>1534</v>
      </c>
      <c r="F842">
        <v>67</v>
      </c>
      <c r="G842" s="104" t="s">
        <v>996</v>
      </c>
    </row>
    <row r="843" spans="1:7" ht="360">
      <c r="A843" t="s">
        <v>584</v>
      </c>
      <c r="B843" t="s">
        <v>571</v>
      </c>
      <c r="C843" t="s">
        <v>831</v>
      </c>
      <c r="D843" t="s">
        <v>586</v>
      </c>
      <c r="E843" t="s">
        <v>1534</v>
      </c>
      <c r="F843">
        <v>68</v>
      </c>
      <c r="G843" s="104" t="s">
        <v>997</v>
      </c>
    </row>
    <row r="844" spans="1:7" ht="409.5">
      <c r="A844" t="s">
        <v>584</v>
      </c>
      <c r="B844" t="s">
        <v>571</v>
      </c>
      <c r="C844" t="s">
        <v>831</v>
      </c>
      <c r="D844" t="s">
        <v>586</v>
      </c>
      <c r="E844" t="s">
        <v>1534</v>
      </c>
      <c r="F844">
        <v>69</v>
      </c>
      <c r="G844" s="104" t="s">
        <v>998</v>
      </c>
    </row>
    <row r="845" spans="1:7" ht="409.5">
      <c r="A845" t="s">
        <v>584</v>
      </c>
      <c r="B845" t="s">
        <v>571</v>
      </c>
      <c r="C845" t="s">
        <v>831</v>
      </c>
      <c r="D845" t="s">
        <v>586</v>
      </c>
      <c r="E845" t="s">
        <v>1534</v>
      </c>
      <c r="F845">
        <v>70</v>
      </c>
      <c r="G845" s="104" t="s">
        <v>999</v>
      </c>
    </row>
    <row r="846" spans="1:7" ht="409.5">
      <c r="A846" t="s">
        <v>584</v>
      </c>
      <c r="B846" t="s">
        <v>571</v>
      </c>
      <c r="C846" t="s">
        <v>831</v>
      </c>
      <c r="D846" t="s">
        <v>586</v>
      </c>
      <c r="E846" t="s">
        <v>1534</v>
      </c>
      <c r="F846">
        <v>71</v>
      </c>
      <c r="G846" s="104" t="s">
        <v>1550</v>
      </c>
    </row>
    <row r="847" spans="1:7" ht="120">
      <c r="A847" t="s">
        <v>584</v>
      </c>
      <c r="B847" t="s">
        <v>571</v>
      </c>
      <c r="C847" t="s">
        <v>831</v>
      </c>
      <c r="D847" t="s">
        <v>586</v>
      </c>
      <c r="E847" t="s">
        <v>1534</v>
      </c>
      <c r="F847">
        <v>72</v>
      </c>
      <c r="G847" s="104" t="s">
        <v>1551</v>
      </c>
    </row>
    <row r="848" spans="1:7" ht="409.5">
      <c r="A848" t="s">
        <v>584</v>
      </c>
      <c r="B848" t="s">
        <v>571</v>
      </c>
      <c r="C848" t="s">
        <v>831</v>
      </c>
      <c r="D848" t="s">
        <v>586</v>
      </c>
      <c r="E848" t="s">
        <v>1534</v>
      </c>
      <c r="F848">
        <v>73</v>
      </c>
      <c r="G848" s="104" t="s">
        <v>1086</v>
      </c>
    </row>
    <row r="849" spans="1:7" ht="409.5">
      <c r="A849" t="s">
        <v>584</v>
      </c>
      <c r="B849" t="s">
        <v>571</v>
      </c>
      <c r="C849" t="s">
        <v>831</v>
      </c>
      <c r="D849" t="s">
        <v>586</v>
      </c>
      <c r="E849" t="s">
        <v>1534</v>
      </c>
      <c r="F849">
        <v>74</v>
      </c>
      <c r="G849" s="104" t="s">
        <v>1552</v>
      </c>
    </row>
    <row r="850" spans="1:7" ht="409.5">
      <c r="A850" t="s">
        <v>584</v>
      </c>
      <c r="B850" t="s">
        <v>571</v>
      </c>
      <c r="C850" t="s">
        <v>831</v>
      </c>
      <c r="D850" t="s">
        <v>586</v>
      </c>
      <c r="E850" t="s">
        <v>1534</v>
      </c>
      <c r="F850">
        <v>75</v>
      </c>
      <c r="G850" s="104" t="s">
        <v>1087</v>
      </c>
    </row>
    <row r="851" spans="1:7" ht="409.5">
      <c r="A851" t="s">
        <v>584</v>
      </c>
      <c r="B851" t="s">
        <v>571</v>
      </c>
      <c r="C851" t="s">
        <v>831</v>
      </c>
      <c r="D851" t="s">
        <v>586</v>
      </c>
      <c r="E851" t="s">
        <v>1534</v>
      </c>
      <c r="F851">
        <v>76</v>
      </c>
      <c r="G851" s="104" t="s">
        <v>1088</v>
      </c>
    </row>
    <row r="852" spans="1:7" ht="409.5">
      <c r="A852" t="s">
        <v>584</v>
      </c>
      <c r="B852" t="s">
        <v>571</v>
      </c>
      <c r="C852" t="s">
        <v>831</v>
      </c>
      <c r="D852" t="s">
        <v>586</v>
      </c>
      <c r="E852" t="s">
        <v>1534</v>
      </c>
      <c r="F852">
        <v>77</v>
      </c>
      <c r="G852" s="104" t="s">
        <v>1089</v>
      </c>
    </row>
    <row r="853" spans="1:7" ht="375">
      <c r="A853" t="s">
        <v>584</v>
      </c>
      <c r="B853" t="s">
        <v>571</v>
      </c>
      <c r="C853" t="s">
        <v>831</v>
      </c>
      <c r="D853" t="s">
        <v>586</v>
      </c>
      <c r="E853" t="s">
        <v>1534</v>
      </c>
      <c r="F853">
        <v>78</v>
      </c>
      <c r="G853" s="104" t="s">
        <v>1553</v>
      </c>
    </row>
    <row r="854" spans="1:7" ht="405">
      <c r="A854" t="s">
        <v>584</v>
      </c>
      <c r="B854" t="s">
        <v>571</v>
      </c>
      <c r="C854" t="s">
        <v>831</v>
      </c>
      <c r="D854" t="s">
        <v>586</v>
      </c>
      <c r="E854" t="s">
        <v>1534</v>
      </c>
      <c r="F854">
        <v>79</v>
      </c>
      <c r="G854" s="104" t="s">
        <v>1090</v>
      </c>
    </row>
    <row r="855" spans="1:7" ht="405">
      <c r="A855" t="s">
        <v>584</v>
      </c>
      <c r="B855" t="s">
        <v>571</v>
      </c>
      <c r="C855" t="s">
        <v>831</v>
      </c>
      <c r="D855" t="s">
        <v>586</v>
      </c>
      <c r="E855" t="s">
        <v>1534</v>
      </c>
      <c r="F855">
        <v>80</v>
      </c>
      <c r="G855" s="104" t="s">
        <v>1091</v>
      </c>
    </row>
    <row r="856" spans="1:7" ht="375">
      <c r="A856" t="s">
        <v>584</v>
      </c>
      <c r="B856" t="s">
        <v>571</v>
      </c>
      <c r="C856" t="s">
        <v>831</v>
      </c>
      <c r="D856" t="s">
        <v>586</v>
      </c>
      <c r="E856" t="s">
        <v>1534</v>
      </c>
      <c r="F856">
        <v>81</v>
      </c>
      <c r="G856" s="104" t="s">
        <v>1092</v>
      </c>
    </row>
    <row r="857" spans="1:7" ht="330">
      <c r="A857" t="s">
        <v>584</v>
      </c>
      <c r="B857" t="s">
        <v>571</v>
      </c>
      <c r="C857" t="s">
        <v>831</v>
      </c>
      <c r="D857" t="s">
        <v>586</v>
      </c>
      <c r="E857" t="s">
        <v>1534</v>
      </c>
      <c r="F857">
        <v>82</v>
      </c>
      <c r="G857" s="104" t="s">
        <v>1093</v>
      </c>
    </row>
    <row r="858" spans="1:7" ht="345">
      <c r="A858" t="s">
        <v>584</v>
      </c>
      <c r="B858" t="s">
        <v>571</v>
      </c>
      <c r="C858" t="s">
        <v>831</v>
      </c>
      <c r="D858" t="s">
        <v>586</v>
      </c>
      <c r="E858" t="s">
        <v>1534</v>
      </c>
      <c r="F858">
        <v>83</v>
      </c>
      <c r="G858" s="104" t="s">
        <v>1094</v>
      </c>
    </row>
    <row r="859" spans="1:7" ht="390">
      <c r="A859" t="s">
        <v>584</v>
      </c>
      <c r="B859" t="s">
        <v>571</v>
      </c>
      <c r="C859" t="s">
        <v>831</v>
      </c>
      <c r="D859" t="s">
        <v>586</v>
      </c>
      <c r="E859" t="s">
        <v>1534</v>
      </c>
      <c r="F859">
        <v>84</v>
      </c>
      <c r="G859" s="104" t="s">
        <v>1095</v>
      </c>
    </row>
    <row r="860" spans="1:7" ht="409.5">
      <c r="A860" t="s">
        <v>584</v>
      </c>
      <c r="B860" t="s">
        <v>571</v>
      </c>
      <c r="C860" t="s">
        <v>831</v>
      </c>
      <c r="D860" t="s">
        <v>586</v>
      </c>
      <c r="E860" t="s">
        <v>1534</v>
      </c>
      <c r="F860">
        <v>85</v>
      </c>
      <c r="G860" s="104" t="s">
        <v>1096</v>
      </c>
    </row>
    <row r="861" spans="1:7" ht="409.5">
      <c r="A861" t="s">
        <v>584</v>
      </c>
      <c r="B861" t="s">
        <v>571</v>
      </c>
      <c r="C861" t="s">
        <v>831</v>
      </c>
      <c r="D861" t="s">
        <v>586</v>
      </c>
      <c r="E861" t="s">
        <v>1534</v>
      </c>
      <c r="F861">
        <v>86</v>
      </c>
      <c r="G861" s="104" t="s">
        <v>1554</v>
      </c>
    </row>
    <row r="862" spans="1:7" ht="409.5">
      <c r="A862" t="s">
        <v>584</v>
      </c>
      <c r="B862" t="s">
        <v>571</v>
      </c>
      <c r="C862" t="s">
        <v>831</v>
      </c>
      <c r="D862" t="s">
        <v>586</v>
      </c>
      <c r="E862" t="s">
        <v>1534</v>
      </c>
      <c r="F862">
        <v>87</v>
      </c>
      <c r="G862" s="104" t="s">
        <v>1555</v>
      </c>
    </row>
    <row r="863" spans="1:7" ht="409.5">
      <c r="A863" t="s">
        <v>584</v>
      </c>
      <c r="B863" t="s">
        <v>571</v>
      </c>
      <c r="C863" t="s">
        <v>831</v>
      </c>
      <c r="D863" t="s">
        <v>586</v>
      </c>
      <c r="E863" t="s">
        <v>1534</v>
      </c>
      <c r="F863">
        <v>88</v>
      </c>
      <c r="G863" s="104" t="s">
        <v>1055</v>
      </c>
    </row>
    <row r="864" spans="1:7" ht="409.5">
      <c r="A864" t="s">
        <v>584</v>
      </c>
      <c r="B864" t="s">
        <v>571</v>
      </c>
      <c r="C864" t="s">
        <v>831</v>
      </c>
      <c r="D864" t="s">
        <v>586</v>
      </c>
      <c r="E864" t="s">
        <v>1534</v>
      </c>
      <c r="F864">
        <v>89</v>
      </c>
      <c r="G864" s="104" t="s">
        <v>1056</v>
      </c>
    </row>
    <row r="865" spans="1:7" ht="409.5">
      <c r="A865" t="s">
        <v>584</v>
      </c>
      <c r="B865" t="s">
        <v>571</v>
      </c>
      <c r="C865" t="s">
        <v>831</v>
      </c>
      <c r="D865" t="s">
        <v>586</v>
      </c>
      <c r="E865" t="s">
        <v>1534</v>
      </c>
      <c r="F865">
        <v>90</v>
      </c>
      <c r="G865" s="104" t="s">
        <v>1057</v>
      </c>
    </row>
    <row r="866" spans="1:7" ht="409.5">
      <c r="A866" t="s">
        <v>584</v>
      </c>
      <c r="B866" t="s">
        <v>571</v>
      </c>
      <c r="C866" t="s">
        <v>831</v>
      </c>
      <c r="D866" t="s">
        <v>586</v>
      </c>
      <c r="E866" t="s">
        <v>1534</v>
      </c>
      <c r="F866">
        <v>91</v>
      </c>
      <c r="G866" s="104" t="s">
        <v>1058</v>
      </c>
    </row>
    <row r="867" spans="1:7" ht="409.5">
      <c r="A867" t="s">
        <v>584</v>
      </c>
      <c r="B867" t="s">
        <v>571</v>
      </c>
      <c r="C867" t="s">
        <v>831</v>
      </c>
      <c r="D867" t="s">
        <v>586</v>
      </c>
      <c r="E867" t="s">
        <v>1534</v>
      </c>
      <c r="F867">
        <v>92</v>
      </c>
      <c r="G867" s="104" t="s">
        <v>1556</v>
      </c>
    </row>
    <row r="868" spans="1:7" ht="409.5">
      <c r="A868" t="s">
        <v>584</v>
      </c>
      <c r="B868" t="s">
        <v>571</v>
      </c>
      <c r="C868" t="s">
        <v>831</v>
      </c>
      <c r="D868" t="s">
        <v>586</v>
      </c>
      <c r="E868" t="s">
        <v>1534</v>
      </c>
      <c r="F868">
        <v>93</v>
      </c>
      <c r="G868" s="104" t="s">
        <v>1557</v>
      </c>
    </row>
    <row r="869" spans="1:7" ht="409.5">
      <c r="A869" t="s">
        <v>584</v>
      </c>
      <c r="B869" t="s">
        <v>571</v>
      </c>
      <c r="C869" t="s">
        <v>831</v>
      </c>
      <c r="D869" t="s">
        <v>586</v>
      </c>
      <c r="E869" t="s">
        <v>1534</v>
      </c>
      <c r="F869">
        <v>94</v>
      </c>
      <c r="G869" s="104" t="s">
        <v>1059</v>
      </c>
    </row>
    <row r="870" spans="1:7" ht="409.5">
      <c r="A870" t="s">
        <v>584</v>
      </c>
      <c r="B870" t="s">
        <v>571</v>
      </c>
      <c r="C870" t="s">
        <v>831</v>
      </c>
      <c r="D870" t="s">
        <v>586</v>
      </c>
      <c r="E870" t="s">
        <v>1534</v>
      </c>
      <c r="F870">
        <v>95</v>
      </c>
      <c r="G870" s="104" t="s">
        <v>1558</v>
      </c>
    </row>
    <row r="871" spans="1:7" ht="409.5">
      <c r="A871" t="s">
        <v>584</v>
      </c>
      <c r="B871" t="s">
        <v>571</v>
      </c>
      <c r="C871" t="s">
        <v>831</v>
      </c>
      <c r="D871" t="s">
        <v>586</v>
      </c>
      <c r="E871" t="s">
        <v>1534</v>
      </c>
      <c r="F871">
        <v>96</v>
      </c>
      <c r="G871" s="104" t="s">
        <v>1060</v>
      </c>
    </row>
    <row r="872" spans="1:7" ht="409.5">
      <c r="A872" t="s">
        <v>584</v>
      </c>
      <c r="B872" t="s">
        <v>571</v>
      </c>
      <c r="C872" t="s">
        <v>831</v>
      </c>
      <c r="D872" t="s">
        <v>586</v>
      </c>
      <c r="E872" t="s">
        <v>1534</v>
      </c>
      <c r="F872">
        <v>97</v>
      </c>
      <c r="G872" s="104" t="s">
        <v>1559</v>
      </c>
    </row>
    <row r="873" spans="1:7" ht="409.5">
      <c r="A873" t="s">
        <v>584</v>
      </c>
      <c r="B873" t="s">
        <v>571</v>
      </c>
      <c r="C873" t="s">
        <v>831</v>
      </c>
      <c r="D873" t="s">
        <v>586</v>
      </c>
      <c r="E873" t="s">
        <v>1534</v>
      </c>
      <c r="F873">
        <v>98</v>
      </c>
      <c r="G873" s="104" t="s">
        <v>1061</v>
      </c>
    </row>
    <row r="874" spans="1:7" ht="409.5">
      <c r="A874" t="s">
        <v>584</v>
      </c>
      <c r="B874" t="s">
        <v>571</v>
      </c>
      <c r="C874" t="s">
        <v>831</v>
      </c>
      <c r="D874" t="s">
        <v>586</v>
      </c>
      <c r="E874" t="s">
        <v>1534</v>
      </c>
      <c r="F874">
        <v>99</v>
      </c>
      <c r="G874" s="104" t="s">
        <v>1062</v>
      </c>
    </row>
    <row r="875" spans="1:7" ht="405">
      <c r="A875" t="s">
        <v>584</v>
      </c>
      <c r="B875" t="s">
        <v>571</v>
      </c>
      <c r="C875" t="s">
        <v>831</v>
      </c>
      <c r="D875" t="s">
        <v>586</v>
      </c>
      <c r="E875" t="s">
        <v>1534</v>
      </c>
      <c r="F875">
        <v>100</v>
      </c>
      <c r="G875" s="104" t="s">
        <v>1063</v>
      </c>
    </row>
    <row r="876" spans="1:7" ht="345">
      <c r="A876" t="s">
        <v>584</v>
      </c>
      <c r="B876" t="s">
        <v>571</v>
      </c>
      <c r="C876" t="s">
        <v>831</v>
      </c>
      <c r="D876" t="s">
        <v>586</v>
      </c>
      <c r="E876" t="s">
        <v>1534</v>
      </c>
      <c r="F876">
        <v>101</v>
      </c>
      <c r="G876" s="104" t="s">
        <v>1560</v>
      </c>
    </row>
    <row r="877" spans="1:7" ht="300">
      <c r="A877" t="s">
        <v>584</v>
      </c>
      <c r="B877" t="s">
        <v>571</v>
      </c>
      <c r="C877" t="s">
        <v>831</v>
      </c>
      <c r="D877" t="s">
        <v>586</v>
      </c>
      <c r="E877" t="s">
        <v>1534</v>
      </c>
      <c r="F877">
        <v>102</v>
      </c>
      <c r="G877" s="104" t="s">
        <v>1064</v>
      </c>
    </row>
    <row r="878" spans="1:7" ht="375">
      <c r="A878" t="s">
        <v>584</v>
      </c>
      <c r="B878" t="s">
        <v>571</v>
      </c>
      <c r="C878" t="s">
        <v>831</v>
      </c>
      <c r="D878" t="s">
        <v>586</v>
      </c>
      <c r="E878" t="s">
        <v>1534</v>
      </c>
      <c r="F878">
        <v>103</v>
      </c>
      <c r="G878" s="104" t="s">
        <v>1065</v>
      </c>
    </row>
    <row r="879" spans="1:7" ht="345">
      <c r="A879" t="s">
        <v>584</v>
      </c>
      <c r="B879" t="s">
        <v>571</v>
      </c>
      <c r="C879" t="s">
        <v>831</v>
      </c>
      <c r="D879" t="s">
        <v>586</v>
      </c>
      <c r="E879" t="s">
        <v>1534</v>
      </c>
      <c r="F879">
        <v>104</v>
      </c>
      <c r="G879" s="104" t="s">
        <v>1066</v>
      </c>
    </row>
    <row r="880" spans="1:7" ht="375">
      <c r="A880" t="s">
        <v>584</v>
      </c>
      <c r="B880" t="s">
        <v>571</v>
      </c>
      <c r="C880" t="s">
        <v>831</v>
      </c>
      <c r="D880" t="s">
        <v>586</v>
      </c>
      <c r="E880" t="s">
        <v>1534</v>
      </c>
      <c r="F880">
        <v>105</v>
      </c>
      <c r="G880" s="104" t="s">
        <v>1067</v>
      </c>
    </row>
    <row r="881" spans="1:7" ht="409.5">
      <c r="A881" t="s">
        <v>584</v>
      </c>
      <c r="B881" t="s">
        <v>571</v>
      </c>
      <c r="C881" t="s">
        <v>831</v>
      </c>
      <c r="D881" t="s">
        <v>586</v>
      </c>
      <c r="E881" t="s">
        <v>1534</v>
      </c>
      <c r="F881">
        <v>106</v>
      </c>
      <c r="G881" s="104" t="s">
        <v>1068</v>
      </c>
    </row>
    <row r="882" spans="1:7" ht="409.5">
      <c r="A882" t="s">
        <v>584</v>
      </c>
      <c r="B882" t="s">
        <v>571</v>
      </c>
      <c r="C882" t="s">
        <v>831</v>
      </c>
      <c r="D882" t="s">
        <v>586</v>
      </c>
      <c r="E882" t="s">
        <v>1534</v>
      </c>
      <c r="F882">
        <v>107</v>
      </c>
      <c r="G882" s="104" t="s">
        <v>1069</v>
      </c>
    </row>
    <row r="883" spans="1:7" ht="375">
      <c r="A883" t="s">
        <v>584</v>
      </c>
      <c r="B883" t="s">
        <v>571</v>
      </c>
      <c r="C883" t="s">
        <v>831</v>
      </c>
      <c r="D883" t="s">
        <v>586</v>
      </c>
      <c r="E883" t="s">
        <v>1534</v>
      </c>
      <c r="F883">
        <v>108</v>
      </c>
      <c r="G883" s="104" t="s">
        <v>1070</v>
      </c>
    </row>
    <row r="884" spans="1:7" ht="360">
      <c r="A884" t="s">
        <v>584</v>
      </c>
      <c r="B884" t="s">
        <v>571</v>
      </c>
      <c r="C884" t="s">
        <v>831</v>
      </c>
      <c r="D884" t="s">
        <v>586</v>
      </c>
      <c r="E884" t="s">
        <v>1534</v>
      </c>
      <c r="F884">
        <v>109</v>
      </c>
      <c r="G884" s="104" t="s">
        <v>1071</v>
      </c>
    </row>
    <row r="885" spans="1:7" ht="409.5">
      <c r="A885" t="s">
        <v>584</v>
      </c>
      <c r="B885" t="s">
        <v>571</v>
      </c>
      <c r="C885" t="s">
        <v>831</v>
      </c>
      <c r="D885" t="s">
        <v>586</v>
      </c>
      <c r="E885" t="s">
        <v>1534</v>
      </c>
      <c r="F885">
        <v>110</v>
      </c>
      <c r="G885" s="104" t="s">
        <v>1072</v>
      </c>
    </row>
    <row r="886" spans="1:7" ht="330">
      <c r="A886" t="s">
        <v>584</v>
      </c>
      <c r="B886" t="s">
        <v>571</v>
      </c>
      <c r="C886" t="s">
        <v>831</v>
      </c>
      <c r="D886" t="s">
        <v>586</v>
      </c>
      <c r="E886" t="s">
        <v>1534</v>
      </c>
      <c r="F886">
        <v>111</v>
      </c>
      <c r="G886" s="104" t="s">
        <v>1073</v>
      </c>
    </row>
    <row r="887" spans="1:7" ht="330">
      <c r="A887" t="s">
        <v>584</v>
      </c>
      <c r="B887" t="s">
        <v>571</v>
      </c>
      <c r="C887" t="s">
        <v>831</v>
      </c>
      <c r="D887" t="s">
        <v>586</v>
      </c>
      <c r="E887" t="s">
        <v>1534</v>
      </c>
      <c r="F887">
        <v>112</v>
      </c>
      <c r="G887" s="104" t="s">
        <v>1074</v>
      </c>
    </row>
    <row r="888" spans="1:7" ht="405">
      <c r="A888" t="s">
        <v>584</v>
      </c>
      <c r="B888" t="s">
        <v>571</v>
      </c>
      <c r="C888" t="s">
        <v>831</v>
      </c>
      <c r="D888" t="s">
        <v>586</v>
      </c>
      <c r="E888" t="s">
        <v>1534</v>
      </c>
      <c r="F888">
        <v>113</v>
      </c>
      <c r="G888" s="104" t="s">
        <v>1075</v>
      </c>
    </row>
    <row r="889" spans="1:7" ht="315">
      <c r="A889" t="s">
        <v>584</v>
      </c>
      <c r="B889" t="s">
        <v>571</v>
      </c>
      <c r="C889" t="s">
        <v>831</v>
      </c>
      <c r="D889" t="s">
        <v>586</v>
      </c>
      <c r="E889" t="s">
        <v>1534</v>
      </c>
      <c r="F889">
        <v>114</v>
      </c>
      <c r="G889" s="104" t="s">
        <v>1076</v>
      </c>
    </row>
    <row r="890" spans="1:7" ht="409.5">
      <c r="A890" t="s">
        <v>584</v>
      </c>
      <c r="B890" t="s">
        <v>571</v>
      </c>
      <c r="C890" t="s">
        <v>831</v>
      </c>
      <c r="D890" t="s">
        <v>586</v>
      </c>
      <c r="E890" t="s">
        <v>1534</v>
      </c>
      <c r="F890">
        <v>115</v>
      </c>
      <c r="G890" s="104" t="s">
        <v>1077</v>
      </c>
    </row>
    <row r="891" spans="1:7" ht="409.5">
      <c r="A891" t="s">
        <v>584</v>
      </c>
      <c r="B891" t="s">
        <v>571</v>
      </c>
      <c r="C891" t="s">
        <v>831</v>
      </c>
      <c r="D891" t="s">
        <v>586</v>
      </c>
      <c r="E891" t="s">
        <v>1534</v>
      </c>
      <c r="F891">
        <v>116</v>
      </c>
      <c r="G891" s="104" t="s">
        <v>1078</v>
      </c>
    </row>
    <row r="892" spans="1:7" ht="375">
      <c r="A892" t="s">
        <v>584</v>
      </c>
      <c r="B892" t="s">
        <v>571</v>
      </c>
      <c r="C892" t="s">
        <v>831</v>
      </c>
      <c r="D892" t="s">
        <v>586</v>
      </c>
      <c r="E892" t="s">
        <v>1534</v>
      </c>
      <c r="F892">
        <v>117</v>
      </c>
      <c r="G892" s="104" t="s">
        <v>1079</v>
      </c>
    </row>
    <row r="893" spans="1:7" ht="240">
      <c r="A893" t="s">
        <v>584</v>
      </c>
      <c r="B893" t="s">
        <v>571</v>
      </c>
      <c r="C893" t="s">
        <v>831</v>
      </c>
      <c r="D893" t="s">
        <v>586</v>
      </c>
      <c r="E893" t="s">
        <v>1534</v>
      </c>
      <c r="F893">
        <v>118</v>
      </c>
      <c r="G893" s="104" t="s">
        <v>1561</v>
      </c>
    </row>
    <row r="894" spans="1:7" ht="409.5">
      <c r="A894" t="s">
        <v>584</v>
      </c>
      <c r="B894" t="s">
        <v>571</v>
      </c>
      <c r="C894" t="s">
        <v>831</v>
      </c>
      <c r="D894" t="s">
        <v>586</v>
      </c>
      <c r="E894" t="s">
        <v>1534</v>
      </c>
      <c r="F894">
        <v>119</v>
      </c>
      <c r="G894" s="104" t="s">
        <v>1080</v>
      </c>
    </row>
    <row r="895" spans="1:7" ht="409.5">
      <c r="A895" t="s">
        <v>584</v>
      </c>
      <c r="B895" t="s">
        <v>571</v>
      </c>
      <c r="C895" t="s">
        <v>831</v>
      </c>
      <c r="D895" t="s">
        <v>586</v>
      </c>
      <c r="E895" t="s">
        <v>1534</v>
      </c>
      <c r="F895">
        <v>120</v>
      </c>
      <c r="G895" s="104" t="s">
        <v>1081</v>
      </c>
    </row>
    <row r="896" spans="1:7" ht="409.5">
      <c r="A896" t="s">
        <v>584</v>
      </c>
      <c r="B896" t="s">
        <v>571</v>
      </c>
      <c r="C896" t="s">
        <v>831</v>
      </c>
      <c r="D896" t="s">
        <v>586</v>
      </c>
      <c r="E896" t="s">
        <v>1534</v>
      </c>
      <c r="F896">
        <v>121</v>
      </c>
      <c r="G896" s="104" t="s">
        <v>1675</v>
      </c>
    </row>
    <row r="897" spans="1:7" ht="409.5">
      <c r="A897" t="s">
        <v>584</v>
      </c>
      <c r="B897" t="s">
        <v>571</v>
      </c>
      <c r="C897" t="s">
        <v>831</v>
      </c>
      <c r="D897" t="s">
        <v>586</v>
      </c>
      <c r="E897" t="s">
        <v>1534</v>
      </c>
      <c r="F897">
        <v>122</v>
      </c>
      <c r="G897" s="104" t="s">
        <v>1562</v>
      </c>
    </row>
    <row r="898" spans="1:7" ht="405">
      <c r="A898" t="s">
        <v>584</v>
      </c>
      <c r="B898" t="s">
        <v>571</v>
      </c>
      <c r="C898" t="s">
        <v>831</v>
      </c>
      <c r="D898" t="s">
        <v>586</v>
      </c>
      <c r="E898" t="s">
        <v>1534</v>
      </c>
      <c r="F898">
        <v>123</v>
      </c>
      <c r="G898" s="104" t="s">
        <v>1563</v>
      </c>
    </row>
    <row r="899" spans="1:7" ht="390">
      <c r="A899" t="s">
        <v>584</v>
      </c>
      <c r="B899" t="s">
        <v>571</v>
      </c>
      <c r="C899" t="s">
        <v>831</v>
      </c>
      <c r="D899" t="s">
        <v>586</v>
      </c>
      <c r="E899" t="s">
        <v>1534</v>
      </c>
      <c r="F899">
        <v>124</v>
      </c>
      <c r="G899" s="104" t="s">
        <v>1082</v>
      </c>
    </row>
    <row r="900" spans="1:7" ht="390">
      <c r="A900" t="s">
        <v>584</v>
      </c>
      <c r="B900" t="s">
        <v>571</v>
      </c>
      <c r="C900" t="s">
        <v>831</v>
      </c>
      <c r="D900" t="s">
        <v>586</v>
      </c>
      <c r="E900" t="s">
        <v>1534</v>
      </c>
      <c r="F900">
        <v>125</v>
      </c>
      <c r="G900" s="104" t="s">
        <v>1564</v>
      </c>
    </row>
    <row r="901" spans="1:7" ht="409.5">
      <c r="A901" t="s">
        <v>584</v>
      </c>
      <c r="B901" t="s">
        <v>571</v>
      </c>
      <c r="C901" t="s">
        <v>831</v>
      </c>
      <c r="D901" t="s">
        <v>586</v>
      </c>
      <c r="E901" t="s">
        <v>1534</v>
      </c>
      <c r="F901">
        <v>126</v>
      </c>
      <c r="G901" s="104" t="s">
        <v>1083</v>
      </c>
    </row>
    <row r="902" spans="1:7" ht="409.5">
      <c r="A902" t="s">
        <v>584</v>
      </c>
      <c r="B902" t="s">
        <v>571</v>
      </c>
      <c r="C902" t="s">
        <v>831</v>
      </c>
      <c r="D902" t="s">
        <v>586</v>
      </c>
      <c r="E902" t="s">
        <v>1534</v>
      </c>
      <c r="F902">
        <v>127</v>
      </c>
      <c r="G902" s="104" t="s">
        <v>1565</v>
      </c>
    </row>
    <row r="903" spans="1:7" ht="409.5">
      <c r="A903" t="s">
        <v>584</v>
      </c>
      <c r="B903" t="s">
        <v>571</v>
      </c>
      <c r="C903" t="s">
        <v>831</v>
      </c>
      <c r="D903" t="s">
        <v>586</v>
      </c>
      <c r="E903" t="s">
        <v>1534</v>
      </c>
      <c r="F903">
        <v>128</v>
      </c>
      <c r="G903" s="104" t="s">
        <v>1676</v>
      </c>
    </row>
    <row r="904" spans="1:7" ht="409.5">
      <c r="A904" t="s">
        <v>584</v>
      </c>
      <c r="B904" t="s">
        <v>571</v>
      </c>
      <c r="C904" t="s">
        <v>831</v>
      </c>
      <c r="D904" t="s">
        <v>586</v>
      </c>
      <c r="E904" t="s">
        <v>1534</v>
      </c>
      <c r="F904">
        <v>129</v>
      </c>
      <c r="G904" s="104" t="s">
        <v>1084</v>
      </c>
    </row>
    <row r="905" spans="1:7" ht="409.5">
      <c r="A905" t="s">
        <v>584</v>
      </c>
      <c r="B905" t="s">
        <v>571</v>
      </c>
      <c r="C905" t="s">
        <v>831</v>
      </c>
      <c r="D905" t="s">
        <v>586</v>
      </c>
      <c r="E905" t="s">
        <v>1534</v>
      </c>
      <c r="F905">
        <v>130</v>
      </c>
      <c r="G905" s="104" t="s">
        <v>1566</v>
      </c>
    </row>
    <row r="906" spans="1:7" ht="409.5">
      <c r="A906" t="s">
        <v>584</v>
      </c>
      <c r="B906" t="s">
        <v>571</v>
      </c>
      <c r="C906" t="s">
        <v>831</v>
      </c>
      <c r="D906" t="s">
        <v>586</v>
      </c>
      <c r="E906" t="s">
        <v>1534</v>
      </c>
      <c r="F906">
        <v>131</v>
      </c>
      <c r="G906" s="104" t="s">
        <v>1677</v>
      </c>
    </row>
    <row r="907" spans="1:7" ht="409.5">
      <c r="A907" t="s">
        <v>584</v>
      </c>
      <c r="B907" t="s">
        <v>571</v>
      </c>
      <c r="C907" t="s">
        <v>831</v>
      </c>
      <c r="D907" t="s">
        <v>586</v>
      </c>
      <c r="E907" t="s">
        <v>1534</v>
      </c>
      <c r="F907">
        <v>132</v>
      </c>
      <c r="G907" s="104" t="s">
        <v>1085</v>
      </c>
    </row>
    <row r="908" spans="1:7" ht="409.5">
      <c r="A908" t="s">
        <v>584</v>
      </c>
      <c r="B908" t="s">
        <v>571</v>
      </c>
      <c r="C908" t="s">
        <v>831</v>
      </c>
      <c r="D908" t="s">
        <v>586</v>
      </c>
      <c r="E908" t="s">
        <v>1534</v>
      </c>
      <c r="F908">
        <v>133</v>
      </c>
      <c r="G908" s="104" t="s">
        <v>1567</v>
      </c>
    </row>
    <row r="909" spans="1:7" ht="409.5">
      <c r="A909" t="s">
        <v>584</v>
      </c>
      <c r="B909" t="s">
        <v>571</v>
      </c>
      <c r="C909" t="s">
        <v>831</v>
      </c>
      <c r="D909" t="s">
        <v>586</v>
      </c>
      <c r="E909" t="s">
        <v>1534</v>
      </c>
      <c r="F909">
        <v>134</v>
      </c>
      <c r="G909" s="104" t="s">
        <v>1678</v>
      </c>
    </row>
    <row r="910" spans="1:7" ht="409.5">
      <c r="A910" t="s">
        <v>584</v>
      </c>
      <c r="B910" t="s">
        <v>571</v>
      </c>
      <c r="C910" t="s">
        <v>831</v>
      </c>
      <c r="D910" t="s">
        <v>586</v>
      </c>
      <c r="E910" t="s">
        <v>1534</v>
      </c>
      <c r="F910">
        <v>135</v>
      </c>
      <c r="G910" s="104" t="s">
        <v>1679</v>
      </c>
    </row>
    <row r="911" spans="1:7" ht="409.5">
      <c r="A911" t="s">
        <v>584</v>
      </c>
      <c r="B911" t="s">
        <v>571</v>
      </c>
      <c r="C911" t="s">
        <v>831</v>
      </c>
      <c r="D911" t="s">
        <v>586</v>
      </c>
      <c r="E911" t="s">
        <v>1534</v>
      </c>
      <c r="F911">
        <v>136</v>
      </c>
      <c r="G911" s="104" t="s">
        <v>1680</v>
      </c>
    </row>
    <row r="912" spans="1:7" ht="409.5">
      <c r="A912" t="s">
        <v>584</v>
      </c>
      <c r="B912" t="s">
        <v>571</v>
      </c>
      <c r="C912" t="s">
        <v>831</v>
      </c>
      <c r="D912" t="s">
        <v>586</v>
      </c>
      <c r="E912" t="s">
        <v>1534</v>
      </c>
      <c r="F912">
        <v>137</v>
      </c>
      <c r="G912" s="104" t="s">
        <v>1681</v>
      </c>
    </row>
    <row r="913" spans="1:7" ht="300">
      <c r="A913" t="s">
        <v>584</v>
      </c>
      <c r="B913" t="s">
        <v>571</v>
      </c>
      <c r="C913" t="s">
        <v>831</v>
      </c>
      <c r="D913" t="s">
        <v>586</v>
      </c>
      <c r="E913" t="s">
        <v>1534</v>
      </c>
      <c r="F913">
        <v>138</v>
      </c>
      <c r="G913" s="104" t="s">
        <v>1573</v>
      </c>
    </row>
    <row r="914" spans="1:7">
      <c r="A914" t="s">
        <v>584</v>
      </c>
      <c r="B914" t="s">
        <v>573</v>
      </c>
      <c r="C914" t="s">
        <v>833</v>
      </c>
      <c r="D914" t="s">
        <v>1568</v>
      </c>
      <c r="F914">
        <v>1</v>
      </c>
      <c r="G914" s="104" t="s">
        <v>849</v>
      </c>
    </row>
    <row r="915" spans="1:7" ht="255">
      <c r="A915" t="s">
        <v>584</v>
      </c>
      <c r="B915" t="s">
        <v>573</v>
      </c>
      <c r="C915" t="s">
        <v>833</v>
      </c>
      <c r="D915" t="s">
        <v>1568</v>
      </c>
      <c r="F915">
        <v>2</v>
      </c>
      <c r="G915" s="104" t="s">
        <v>1569</v>
      </c>
    </row>
    <row r="916" spans="1:7" ht="409.5">
      <c r="A916" t="s">
        <v>584</v>
      </c>
      <c r="B916" t="s">
        <v>573</v>
      </c>
      <c r="C916" t="s">
        <v>833</v>
      </c>
      <c r="D916" t="s">
        <v>1568</v>
      </c>
      <c r="F916">
        <v>3</v>
      </c>
      <c r="G916" s="104" t="s">
        <v>1570</v>
      </c>
    </row>
    <row r="917" spans="1:7" ht="90">
      <c r="A917" t="s">
        <v>584</v>
      </c>
      <c r="B917" t="s">
        <v>573</v>
      </c>
      <c r="C917" t="s">
        <v>833</v>
      </c>
      <c r="D917" t="s">
        <v>1568</v>
      </c>
      <c r="F917">
        <v>4</v>
      </c>
      <c r="G917" s="104" t="s">
        <v>1571</v>
      </c>
    </row>
    <row r="918" spans="1:7" ht="375">
      <c r="A918" t="s">
        <v>584</v>
      </c>
      <c r="B918" t="s">
        <v>573</v>
      </c>
      <c r="C918" t="s">
        <v>833</v>
      </c>
      <c r="D918" t="s">
        <v>1568</v>
      </c>
      <c r="F918">
        <v>5</v>
      </c>
      <c r="G918" s="104" t="s">
        <v>1099</v>
      </c>
    </row>
  </sheetData>
  <dataValidations count="1">
    <dataValidation type="list" allowBlank="1" sqref="C2:C918" xr:uid="{8E5CA3B0-2547-4266-81A9-443801D6EB25}">
      <formula1>INDIRECT("meta_Classifiers[Display Qualified]")</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5546875" defaultRowHeight="15" outlineLevelCol="1"/>
  <cols>
    <col min="1" max="1" width="9.42578125" style="5" customWidth="1" outlineLevel="1"/>
    <col min="2" max="2" width="16.42578125" style="5" customWidth="1" outlineLevel="1"/>
    <col min="3" max="3" width="21.140625" style="5" bestFit="1" customWidth="1"/>
    <col min="4" max="4" width="16.5703125" style="5" customWidth="1"/>
    <col min="5" max="5" width="16.140625" style="5" customWidth="1"/>
    <col min="6" max="6" width="11.85546875" style="5" customWidth="1"/>
    <col min="7" max="7" width="16.85546875" style="5" customWidth="1"/>
    <col min="8" max="8" width="143.42578125" style="5" customWidth="1"/>
    <col min="9" max="16384" width="8.85546875" style="5"/>
  </cols>
  <sheetData>
    <row r="1" spans="1:10">
      <c r="A1" s="81" t="s">
        <v>0</v>
      </c>
      <c r="B1" s="81" t="s">
        <v>230</v>
      </c>
      <c r="C1" s="81" t="s">
        <v>5</v>
      </c>
      <c r="D1" s="64" t="s">
        <v>120</v>
      </c>
      <c r="E1" s="64" t="s">
        <v>461</v>
      </c>
      <c r="F1" s="64" t="s">
        <v>645</v>
      </c>
      <c r="G1" s="64" t="s">
        <v>646</v>
      </c>
      <c r="H1" s="64" t="s">
        <v>84</v>
      </c>
    </row>
    <row r="2" spans="1:10" ht="345">
      <c r="A2" s="82" t="s">
        <v>2641</v>
      </c>
      <c r="B2" s="65" t="s">
        <v>639</v>
      </c>
      <c r="C2" s="87" t="s">
        <v>820</v>
      </c>
      <c r="D2" s="88" t="s">
        <v>792</v>
      </c>
      <c r="E2" s="88"/>
      <c r="F2" s="88">
        <v>1</v>
      </c>
      <c r="G2" s="89" t="s">
        <v>793</v>
      </c>
      <c r="H2" s="90" t="s">
        <v>796</v>
      </c>
    </row>
    <row r="3" spans="1:10" ht="30">
      <c r="A3" s="82" t="s">
        <v>2642</v>
      </c>
      <c r="B3" s="65" t="s">
        <v>639</v>
      </c>
      <c r="C3" s="87" t="s">
        <v>820</v>
      </c>
      <c r="D3" s="88" t="s">
        <v>754</v>
      </c>
      <c r="E3" s="88"/>
      <c r="F3" s="88">
        <v>1</v>
      </c>
      <c r="G3" s="89" t="s">
        <v>648</v>
      </c>
      <c r="H3" s="90" t="s">
        <v>649</v>
      </c>
    </row>
    <row r="4" spans="1:10" ht="270">
      <c r="A4" s="82" t="s">
        <v>2643</v>
      </c>
      <c r="B4" s="65" t="s">
        <v>639</v>
      </c>
      <c r="C4" s="87" t="s">
        <v>820</v>
      </c>
      <c r="D4" s="88" t="s">
        <v>754</v>
      </c>
      <c r="E4" s="91"/>
      <c r="F4" s="91">
        <v>2</v>
      </c>
      <c r="G4" s="89" t="s">
        <v>650</v>
      </c>
      <c r="H4" s="90" t="s">
        <v>651</v>
      </c>
    </row>
    <row r="5" spans="1:10" ht="150">
      <c r="A5" s="82" t="s">
        <v>2644</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5">
      <c r="A6" s="82" t="s">
        <v>2645</v>
      </c>
      <c r="B6" s="65" t="s">
        <v>639</v>
      </c>
      <c r="C6" s="87" t="s">
        <v>820</v>
      </c>
      <c r="D6" s="88" t="s">
        <v>754</v>
      </c>
      <c r="E6" s="89" t="s">
        <v>756</v>
      </c>
      <c r="F6" s="89">
        <v>4</v>
      </c>
      <c r="G6" s="89" t="s">
        <v>654</v>
      </c>
      <c r="H6" s="90" t="s">
        <v>655</v>
      </c>
    </row>
    <row r="7" spans="1:10" ht="195">
      <c r="A7" s="82" t="s">
        <v>2646</v>
      </c>
      <c r="B7" s="65" t="s">
        <v>639</v>
      </c>
      <c r="C7" s="87" t="s">
        <v>820</v>
      </c>
      <c r="D7" s="88" t="s">
        <v>754</v>
      </c>
      <c r="E7" s="89" t="s">
        <v>755</v>
      </c>
      <c r="F7" s="89">
        <v>5</v>
      </c>
      <c r="G7" s="89" t="s">
        <v>656</v>
      </c>
      <c r="H7" s="90" t="s">
        <v>657</v>
      </c>
    </row>
    <row r="8" spans="1:10" ht="270">
      <c r="A8" s="82" t="s">
        <v>2647</v>
      </c>
      <c r="B8" s="65" t="s">
        <v>639</v>
      </c>
      <c r="C8" s="87" t="s">
        <v>820</v>
      </c>
      <c r="D8" s="88" t="s">
        <v>754</v>
      </c>
      <c r="E8" s="89" t="s">
        <v>755</v>
      </c>
      <c r="F8" s="89">
        <v>6</v>
      </c>
      <c r="G8" s="89" t="s">
        <v>658</v>
      </c>
      <c r="H8" s="90" t="s">
        <v>659</v>
      </c>
    </row>
    <row r="9" spans="1:10" ht="75">
      <c r="A9" s="82" t="s">
        <v>2648</v>
      </c>
      <c r="B9" s="65" t="s">
        <v>639</v>
      </c>
      <c r="C9" s="87" t="s">
        <v>820</v>
      </c>
      <c r="D9" s="88" t="s">
        <v>821</v>
      </c>
      <c r="E9" s="88"/>
      <c r="F9" s="88">
        <v>1</v>
      </c>
      <c r="G9" s="89" t="s">
        <v>648</v>
      </c>
      <c r="H9" s="90" t="s">
        <v>826</v>
      </c>
    </row>
    <row r="10" spans="1:10" ht="105">
      <c r="A10" s="82" t="s">
        <v>2649</v>
      </c>
      <c r="B10" s="65" t="s">
        <v>639</v>
      </c>
      <c r="C10" s="87" t="s">
        <v>820</v>
      </c>
      <c r="D10" s="88" t="s">
        <v>821</v>
      </c>
      <c r="E10" s="91"/>
      <c r="F10" s="91">
        <v>2</v>
      </c>
      <c r="G10" s="89" t="s">
        <v>650</v>
      </c>
      <c r="H10" s="90" t="s">
        <v>827</v>
      </c>
    </row>
    <row r="11" spans="1:10">
      <c r="A11" s="82" t="s">
        <v>2650</v>
      </c>
      <c r="B11" s="65" t="s">
        <v>639</v>
      </c>
      <c r="C11" s="87" t="s">
        <v>820</v>
      </c>
      <c r="D11" s="88" t="s">
        <v>821</v>
      </c>
      <c r="E11" s="89" t="s">
        <v>757</v>
      </c>
      <c r="F11" s="89">
        <v>3</v>
      </c>
      <c r="G11" s="89" t="s">
        <v>652</v>
      </c>
      <c r="H11" s="90"/>
    </row>
    <row r="12" spans="1:10">
      <c r="A12" s="82" t="s">
        <v>2651</v>
      </c>
      <c r="B12" s="65" t="s">
        <v>639</v>
      </c>
      <c r="C12" s="87" t="s">
        <v>820</v>
      </c>
      <c r="D12" s="103" t="s">
        <v>821</v>
      </c>
      <c r="E12" s="89" t="s">
        <v>756</v>
      </c>
      <c r="F12" s="89">
        <v>4</v>
      </c>
      <c r="G12" s="89" t="s">
        <v>654</v>
      </c>
      <c r="H12" s="90"/>
    </row>
    <row r="13" spans="1:10" ht="240">
      <c r="A13" s="82" t="s">
        <v>2652</v>
      </c>
      <c r="B13" s="65" t="s">
        <v>639</v>
      </c>
      <c r="C13" s="87" t="s">
        <v>820</v>
      </c>
      <c r="D13" s="103" t="s">
        <v>821</v>
      </c>
      <c r="E13" s="89" t="s">
        <v>755</v>
      </c>
      <c r="F13" s="89">
        <v>5</v>
      </c>
      <c r="G13" s="89" t="s">
        <v>822</v>
      </c>
      <c r="H13" s="90" t="s">
        <v>824</v>
      </c>
      <c r="J13" s="7"/>
    </row>
    <row r="14" spans="1:10" ht="409.5">
      <c r="A14" s="82" t="s">
        <v>2653</v>
      </c>
      <c r="B14" s="65" t="s">
        <v>639</v>
      </c>
      <c r="C14" s="87" t="s">
        <v>820</v>
      </c>
      <c r="D14" s="103" t="s">
        <v>821</v>
      </c>
      <c r="E14" s="89" t="s">
        <v>755</v>
      </c>
      <c r="F14" s="89">
        <v>6</v>
      </c>
      <c r="G14" s="89" t="s">
        <v>823</v>
      </c>
      <c r="H14" s="90" t="s">
        <v>825</v>
      </c>
    </row>
    <row r="15" spans="1:10">
      <c r="A15" s="82" t="s">
        <v>2654</v>
      </c>
      <c r="B15" s="65" t="s">
        <v>639</v>
      </c>
      <c r="C15" s="87"/>
      <c r="D15" s="123" t="s">
        <v>2665</v>
      </c>
      <c r="E15" s="89" t="s">
        <v>2666</v>
      </c>
      <c r="F15" s="89">
        <v>1</v>
      </c>
      <c r="G15" s="89" t="s">
        <v>2667</v>
      </c>
      <c r="H15" s="90"/>
    </row>
    <row r="16" spans="1:10">
      <c r="A16" s="82" t="s">
        <v>2655</v>
      </c>
      <c r="B16" s="65" t="s">
        <v>639</v>
      </c>
      <c r="C16" s="87"/>
      <c r="D16" s="123" t="s">
        <v>2665</v>
      </c>
      <c r="E16" s="89" t="s">
        <v>2666</v>
      </c>
      <c r="F16" s="89"/>
      <c r="G16" s="89" t="s">
        <v>2668</v>
      </c>
      <c r="H16" s="90"/>
    </row>
    <row r="17" spans="1:8">
      <c r="A17" s="82" t="s">
        <v>2656</v>
      </c>
      <c r="B17" s="65" t="s">
        <v>639</v>
      </c>
      <c r="C17" s="87"/>
      <c r="D17" s="123" t="s">
        <v>2665</v>
      </c>
      <c r="E17" s="89" t="s">
        <v>2666</v>
      </c>
      <c r="F17" s="89"/>
      <c r="G17" s="89" t="s">
        <v>2669</v>
      </c>
      <c r="H17" s="90"/>
    </row>
    <row r="18" spans="1:8">
      <c r="A18" s="82" t="s">
        <v>2657</v>
      </c>
      <c r="B18" s="65" t="s">
        <v>639</v>
      </c>
      <c r="C18" s="87"/>
      <c r="D18" s="123" t="s">
        <v>2665</v>
      </c>
      <c r="E18" s="89" t="s">
        <v>2666</v>
      </c>
      <c r="F18" s="89"/>
      <c r="G18" s="89" t="s">
        <v>2670</v>
      </c>
      <c r="H18" s="90"/>
    </row>
    <row r="19" spans="1:8">
      <c r="A19" s="82" t="s">
        <v>2658</v>
      </c>
      <c r="B19" s="65" t="s">
        <v>639</v>
      </c>
      <c r="C19" s="87"/>
      <c r="D19" s="123" t="s">
        <v>2665</v>
      </c>
      <c r="E19" s="89" t="s">
        <v>2666</v>
      </c>
      <c r="F19" s="89"/>
      <c r="G19" s="89" t="s">
        <v>2671</v>
      </c>
      <c r="H19" s="90"/>
    </row>
    <row r="20" spans="1:8">
      <c r="A20" s="82" t="s">
        <v>2659</v>
      </c>
      <c r="B20" s="65" t="s">
        <v>639</v>
      </c>
      <c r="C20" s="87"/>
      <c r="D20" s="123" t="s">
        <v>2665</v>
      </c>
      <c r="E20" s="89" t="s">
        <v>2666</v>
      </c>
      <c r="F20" s="89"/>
      <c r="G20" s="89" t="s">
        <v>2672</v>
      </c>
      <c r="H20" s="90"/>
    </row>
    <row r="21" spans="1:8">
      <c r="A21" s="82" t="s">
        <v>2660</v>
      </c>
      <c r="B21" s="65" t="s">
        <v>647</v>
      </c>
      <c r="C21" s="87" t="s">
        <v>820</v>
      </c>
      <c r="D21" s="89" t="s">
        <v>660</v>
      </c>
      <c r="E21" s="89"/>
      <c r="F21" s="89"/>
      <c r="G21" s="89" t="s">
        <v>661</v>
      </c>
      <c r="H21" s="90" t="s">
        <v>662</v>
      </c>
    </row>
    <row r="22" spans="1:8" ht="165">
      <c r="A22" s="82" t="s">
        <v>2661</v>
      </c>
      <c r="B22" s="65" t="s">
        <v>647</v>
      </c>
      <c r="C22" s="87" t="s">
        <v>820</v>
      </c>
      <c r="D22" s="89" t="s">
        <v>748</v>
      </c>
      <c r="E22" s="89"/>
      <c r="F22" s="89"/>
      <c r="G22" s="89" t="s">
        <v>661</v>
      </c>
      <c r="H22" s="90" t="s">
        <v>758</v>
      </c>
    </row>
    <row r="23" spans="1:8" ht="30">
      <c r="A23" s="82" t="s">
        <v>2662</v>
      </c>
      <c r="B23" s="65" t="s">
        <v>647</v>
      </c>
      <c r="C23" s="87" t="s">
        <v>820</v>
      </c>
      <c r="D23" s="89" t="s">
        <v>780</v>
      </c>
      <c r="E23" s="89"/>
      <c r="F23" s="89">
        <v>1</v>
      </c>
      <c r="G23" s="89" t="s">
        <v>648</v>
      </c>
      <c r="H23" s="90" t="s">
        <v>781</v>
      </c>
    </row>
    <row r="24" spans="1:8" ht="75">
      <c r="A24" s="82" t="s">
        <v>2663</v>
      </c>
      <c r="C24" s="87" t="s">
        <v>820</v>
      </c>
      <c r="D24" s="89" t="s">
        <v>780</v>
      </c>
      <c r="E24" s="89"/>
      <c r="F24" s="89">
        <v>2</v>
      </c>
      <c r="G24" s="89" t="s">
        <v>650</v>
      </c>
      <c r="H24" s="90" t="s">
        <v>782</v>
      </c>
    </row>
    <row r="25" spans="1:8" ht="30">
      <c r="A25" s="82" t="s">
        <v>2664</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2578125" defaultRowHeight="13.5" customHeight="1" outlineLevelCol="1"/>
  <cols>
    <col min="1" max="1" width="21.42578125" customWidth="1"/>
    <col min="2" max="2" width="16.42578125" customWidth="1" outlineLevel="1"/>
    <col min="3" max="3" width="18.42578125" customWidth="1"/>
    <col min="4" max="4" width="13.42578125" bestFit="1" customWidth="1"/>
    <col min="5" max="5" width="6.85546875" bestFit="1" customWidth="1"/>
    <col min="6" max="6" width="20.42578125" customWidth="1"/>
    <col min="7" max="8" width="43.42578125" customWidth="1" outlineLevel="1"/>
    <col min="9" max="9" width="14.42578125" customWidth="1"/>
    <col min="10" max="10" width="44.140625" customWidth="1" outlineLevel="1"/>
    <col min="11" max="11" width="28.140625" bestFit="1" customWidth="1"/>
    <col min="12" max="12" width="24.42578125" customWidth="1" outlineLevel="1"/>
    <col min="13" max="13" width="26.140625" bestFit="1" customWidth="1"/>
    <col min="14" max="14" width="9.42578125" customWidth="1"/>
    <col min="15" max="15" width="107.85546875" style="63" customWidth="1"/>
  </cols>
  <sheetData>
    <row r="1" spans="1:15" s="17" customFormat="1" ht="112.5" customHeight="1">
      <c r="A1" s="107" t="s">
        <v>0</v>
      </c>
      <c r="B1" s="16" t="s">
        <v>230</v>
      </c>
      <c r="C1" s="107" t="s">
        <v>5</v>
      </c>
      <c r="D1" s="16" t="s">
        <v>120</v>
      </c>
      <c r="E1" s="16" t="s">
        <v>461</v>
      </c>
      <c r="F1" s="107" t="s">
        <v>543</v>
      </c>
      <c r="G1" s="16" t="s">
        <v>806</v>
      </c>
      <c r="H1" s="16" t="s">
        <v>32</v>
      </c>
      <c r="I1" s="107" t="s">
        <v>1</v>
      </c>
      <c r="J1" s="16" t="s">
        <v>1829</v>
      </c>
      <c r="K1" s="16" t="s">
        <v>471</v>
      </c>
      <c r="L1" s="107" t="s">
        <v>545</v>
      </c>
      <c r="M1" s="16" t="s">
        <v>751</v>
      </c>
      <c r="N1" s="21" t="s">
        <v>2633</v>
      </c>
      <c r="O1" s="62" t="s">
        <v>2632</v>
      </c>
    </row>
    <row r="2" spans="1:15" ht="13.5" customHeight="1">
      <c r="A2" s="118" t="s">
        <v>2280</v>
      </c>
      <c r="B2" t="s">
        <v>541</v>
      </c>
      <c r="C2" s="24" t="str">
        <f xml:space="preserve"> IF( TRIM( meta_Tables[[#This Row],[Kind:src]] ) = "", "",
        INDEX( meta_Classifiers[Display Qualified], MATCH( meta_Tables[[#This Row],[Kind:src]], meta_Classifiers[ID], 0 ) ) )</f>
        <v>ExcelTable</v>
      </c>
      <c r="D2" s="24" t="s">
        <v>142</v>
      </c>
      <c r="E2" s="24"/>
      <c r="F2" s="110"/>
      <c r="G2" s="110" t="str">
        <f>IF(meta_Tables[[#This Row],[Package]]="","",meta_Tables[[#This Row],[Package]]&amp;"::")&amp;meta_Tables[[#This Row],[Display]]</f>
        <v>meta::TablesRowTemplate</v>
      </c>
      <c r="H2" s="110" t="str" cm="1">
        <f t="array" ref="H2">_xlfn.IFNA(INDEX(meta_Names[Camel Upper], MATCH(meta_Tables[[#This Row],[Name]],meta_Names[String],0)),camelCaseUpper(meta_Tables[[#This Row],[Name]]))</f>
        <v>TablesRowTemplate</v>
      </c>
      <c r="I2" s="24" t="s">
        <v>2435</v>
      </c>
      <c r="K2" s="24" t="str">
        <f xml:space="preserve"> IF( TRIM( meta_Tables[[#This Row],[Instances Class:src]] ) = "", "",
        INDEX( meta_Classifiers[Display Qualified], MATCH( meta_Tables[[#This Row],[Instances Class:src]], meta_Classifiers[ID], 0 ) ) )</f>
        <v/>
      </c>
      <c r="L2" s="80"/>
      <c r="M2" s="111"/>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1841</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10" t="s">
        <v>837</v>
      </c>
      <c r="G3" t="str">
        <f>IF(meta_Tables[[#This Row],[Package]]="","",meta_Tables[[#This Row],[Package]]&amp;"::")&amp;meta_Tables[[#This Row],[Display]]</f>
        <v>meta::Classifiers</v>
      </c>
      <c r="H3" s="110"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1"/>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1849</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907</v>
      </c>
      <c r="G4" t="str">
        <f>IF(meta_Tables[[#This Row],[Package]]="","",meta_Tables[[#This Row],[Package]]&amp;"::")&amp;meta_Tables[[#This Row],[Display]]</f>
        <v>meta::CodeTemplates</v>
      </c>
      <c r="H4" s="110" t="str" cm="1">
        <f t="array" ref="H4">_xlfn.IFNA(INDEX(meta_Names[Camel Upper], MATCH(meta_Tables[[#This Row],[Name]],meta_Names[String],0)),camelCaseUpper(meta_Tables[[#This Row],[Name]]))</f>
        <v>CodeTemplates</v>
      </c>
      <c r="I4" s="24" t="s">
        <v>1340</v>
      </c>
      <c r="J4" t="s">
        <v>160</v>
      </c>
      <c r="K4" s="24" t="str">
        <f xml:space="preserve"> IF( TRIM( meta_Tables[[#This Row],[Instances Class:src]] ) = "", "",
        INDEX( meta_Classifiers[Display Qualified], MATCH( meta_Tables[[#This Row],[Instances Class:src]], meta_Classifiers[ID], 0 ) ) )</f>
        <v>Object</v>
      </c>
      <c r="L4" s="80" t="s">
        <v>1340</v>
      </c>
      <c r="M4" s="111"/>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1844</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10" t="s">
        <v>842</v>
      </c>
      <c r="G5" t="str">
        <f>IF(meta_Tables[[#This Row],[Package]]="","",meta_Tables[[#This Row],[Package]]&amp;"::")&amp;meta_Tables[[#This Row],[Display]]</f>
        <v>meta::Columns</v>
      </c>
      <c r="H5" s="110"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1"/>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1847</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10" t="s">
        <v>1337</v>
      </c>
      <c r="G6" t="str">
        <f>IF(meta_Tables[[#This Row],[Package]]="","",meta_Tables[[#This Row],[Package]]&amp;"::")&amp;meta_Tables[[#This Row],[Display]]</f>
        <v>meta::DocumentVersions</v>
      </c>
      <c r="H6" s="110" t="str" cm="1">
        <f t="array" ref="H6">_xlfn.IFNA(INDEX(meta_Names[Camel Upper], MATCH(meta_Tables[[#This Row],[Name]],meta_Names[String],0)),camelCaseUpper(meta_Tables[[#This Row],[Name]]))</f>
        <v>DocumentVersions</v>
      </c>
      <c r="I6" s="24" t="s">
        <v>1774</v>
      </c>
      <c r="K6" s="24" t="str">
        <f xml:space="preserve"> IF( TRIM( meta_Tables[[#This Row],[Instances Class:src]] ) = "", "",
        INDEX( meta_Classifiers[Display Qualified], MATCH( meta_Tables[[#This Row],[Instances Class:src]], meta_Classifiers[ID], 0 ) ) )</f>
        <v/>
      </c>
      <c r="L6" s="80" t="s">
        <v>1338</v>
      </c>
      <c r="M6" s="111"/>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1846</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10" t="s">
        <v>847</v>
      </c>
      <c r="G7" t="str">
        <f>IF(meta_Tables[[#This Row],[Package]]="","",meta_Tables[[#This Row],[Package]]&amp;"::")&amp;meta_Tables[[#This Row],[Display]]</f>
        <v>meta::Literals</v>
      </c>
      <c r="H7" s="110"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1"/>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2312</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10" t="s">
        <v>2313</v>
      </c>
      <c r="G8" t="str">
        <f>IF(meta_Tables[[#This Row],[Package]]="","",meta_Tables[[#This Row],[Package]]&amp;"::")&amp;meta_Tables[[#This Row],[Display]]</f>
        <v>meta::Names</v>
      </c>
      <c r="H8" s="110" t="str" cm="1">
        <f t="array" ref="H8">_xlfn.IFNA(INDEX(meta_Names[Camel Upper], MATCH(meta_Tables[[#This Row],[Name]],meta_Names[String],0)),camelCaseUpper(meta_Tables[[#This Row],[Name]]))</f>
        <v>Names</v>
      </c>
      <c r="I8" s="24" t="s">
        <v>2314</v>
      </c>
      <c r="K8" s="24" t="str">
        <f xml:space="preserve"> IF( TRIM( meta_Tables[[#This Row],[Instances Class:src]] ) = "", "",
        INDEX( meta_Classifiers[Display Qualified], MATCH( meta_Tables[[#This Row],[Instances Class:src]], meta_Classifiers[ID], 0 ) ) )</f>
        <v/>
      </c>
      <c r="L8" s="80" t="s">
        <v>2314</v>
      </c>
      <c r="M8" s="111"/>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1839</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10" t="s">
        <v>841</v>
      </c>
      <c r="G9" s="110" t="str">
        <f>IF(meta_Tables[[#This Row],[Package]]="","",meta_Tables[[#This Row],[Package]]&amp;"::")&amp;meta_Tables[[#This Row],[Display]]</f>
        <v>meta::PackageDocumentation</v>
      </c>
      <c r="H9" s="110"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1"/>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1845</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10" t="s">
        <v>846</v>
      </c>
      <c r="G10" t="str">
        <f>IF(meta_Tables[[#This Row],[Package]]="","",meta_Tables[[#This Row],[Package]]&amp;"::")&amp;meta_Tables[[#This Row],[Display]]</f>
        <v>meta::Rules</v>
      </c>
      <c r="H10" s="110"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1"/>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1850</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1341</v>
      </c>
      <c r="G11" t="str">
        <f>IF(meta_Tables[[#This Row],[Package]]="","",meta_Tables[[#This Row],[Package]]&amp;"::")&amp;meta_Tables[[#This Row],[Display]]</f>
        <v>meta::SimpleTestPattern</v>
      </c>
      <c r="H11" s="110" t="str" cm="1">
        <f t="array" ref="H11">_xlfn.IFNA(INDEX(meta_Names[Camel Upper], MATCH(meta_Tables[[#This Row],[Name]],meta_Names[String],0)),camelCaseUpper(meta_Tables[[#This Row],[Name]]))</f>
        <v>SimpleTestPattern</v>
      </c>
      <c r="I11" s="24" t="s">
        <v>1342</v>
      </c>
      <c r="K11" s="24" t="str">
        <f xml:space="preserve"> IF( TRIM( meta_Tables[[#This Row],[Instances Class:src]] ) = "", "",
        INDEX( meta_Classifiers[Display Qualified], MATCH( meta_Tables[[#This Row],[Instances Class:src]], meta_Classifiers[ID], 0 ) ) )</f>
        <v/>
      </c>
      <c r="L11" s="80" t="s">
        <v>1342</v>
      </c>
      <c r="M11" s="111"/>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1840</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10" t="s">
        <v>840</v>
      </c>
      <c r="G12" t="str">
        <f>IF(meta_Tables[[#This Row],[Package]]="","",meta_Tables[[#This Row],[Package]]&amp;"::")&amp;meta_Tables[[#This Row],[Display]]</f>
        <v>meta::Snippets</v>
      </c>
      <c r="H12" s="110"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1"/>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1848</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901</v>
      </c>
      <c r="G13" t="str">
        <f>IF(meta_Tables[[#This Row],[Package]]="","",meta_Tables[[#This Row],[Package]]&amp;"::")&amp;meta_Tables[[#This Row],[Display]]</f>
        <v>meta::TablePatterns</v>
      </c>
      <c r="H13" s="110" t="str" cm="1">
        <f t="array" ref="H13">_xlfn.IFNA(INDEX(meta_Names[Camel Upper], MATCH(meta_Tables[[#This Row],[Name]],meta_Names[String],0)),camelCaseUpper(meta_Tables[[#This Row],[Name]]))</f>
        <v>TablePatterns</v>
      </c>
      <c r="I13" s="24" t="s">
        <v>1339</v>
      </c>
      <c r="K13" s="24" t="str">
        <f xml:space="preserve"> IF( TRIM( meta_Tables[[#This Row],[Instances Class:src]] ) = "", "",
        INDEX( meta_Classifiers[Display Qualified], MATCH( meta_Tables[[#This Row],[Instances Class:src]], meta_Classifiers[ID], 0 ) ) )</f>
        <v/>
      </c>
      <c r="L13" s="80" t="s">
        <v>1339</v>
      </c>
      <c r="M13" s="111"/>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1843</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10" t="s">
        <v>839</v>
      </c>
      <c r="G14" t="str">
        <f>IF(meta_Tables[[#This Row],[Package]]="","",meta_Tables[[#This Row],[Package]]&amp;"::")&amp;meta_Tables[[#This Row],[Display]]</f>
        <v>meta::Tables</v>
      </c>
      <c r="H14" s="110"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1"/>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1842</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10" t="s">
        <v>838</v>
      </c>
      <c r="G15" t="str">
        <f>IF(meta_Tables[[#This Row],[Package]]="","",meta_Tables[[#This Row],[Package]]&amp;"::")&amp;meta_Tables[[#This Row],[Display]]</f>
        <v>meta::TypedModelElements</v>
      </c>
      <c r="H15" s="110" t="str" cm="1">
        <f t="array" ref="H15">_xlfn.IFNA(INDEX(meta_Names[Camel Upper], MATCH(meta_Tables[[#This Row],[Name]],meta_Names[String],0)),camelCaseUpper(meta_Tables[[#This Row],[Name]]))</f>
        <v>TypedModelElements</v>
      </c>
      <c r="I15" s="24" t="s">
        <v>1772</v>
      </c>
      <c r="J15" t="s">
        <v>791</v>
      </c>
      <c r="K15" s="24" t="str">
        <f xml:space="preserve"> IF( TRIM( meta_Tables[[#This Row],[Instances Class:src]] ) = "", "",
        INDEX( meta_Classifiers[Display Qualified], MATCH( meta_Tables[[#This Row],[Instances Class:src]], meta_Classifiers[ID], 0 ) ) )</f>
        <v>TypedModelElement</v>
      </c>
      <c r="L15" s="80" t="s">
        <v>140</v>
      </c>
      <c r="M15" s="111"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1775</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10" t="s">
        <v>835</v>
      </c>
      <c r="G16" t="str">
        <f>IF(meta_Tables[[#This Row],[Package]]="","",meta_Tables[[#This Row],[Package]]&amp;"::")&amp;meta_Tables[[#This Row],[Display]]</f>
        <v>belowred::Table1Rows</v>
      </c>
      <c r="H16" s="110"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1"/>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1779</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10" t="s">
        <v>836</v>
      </c>
      <c r="G17" t="str">
        <f>IF(meta_Tables[[#This Row],[Package]]="","",meta_Tables[[#This Row],[Package]]&amp;"::")&amp;meta_Tables[[#This Row],[Display]]</f>
        <v>belowred::Table2Rows</v>
      </c>
      <c r="H17" s="110"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1"/>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1776</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10" t="s">
        <v>843</v>
      </c>
      <c r="G18" t="str">
        <f>IF(meta_Tables[[#This Row],[Package]]="","",meta_Tables[[#This Row],[Package]]&amp;"::")&amp;meta_Tables[[#This Row],[Display]]</f>
        <v>finance::Portfolios</v>
      </c>
      <c r="H18" s="110"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1"/>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1777</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10" t="s">
        <v>844</v>
      </c>
      <c r="G19" t="str">
        <f>IF(meta_Tables[[#This Row],[Package]]="","",meta_Tables[[#This Row],[Package]]&amp;"::")&amp;meta_Tables[[#This Row],[Display]]</f>
        <v>finance::Positions</v>
      </c>
      <c r="H19" s="110"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1"/>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1778</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10" t="s">
        <v>845</v>
      </c>
      <c r="G20" t="str">
        <f>IF(meta_Tables[[#This Row],[Package]]="","",meta_Tables[[#This Row],[Package]]&amp;"::")&amp;meta_Tables[[#This Row],[Display]]</f>
        <v>finance::Securities</v>
      </c>
      <c r="H20" s="110"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1"/>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1820</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10" t="s">
        <v>848</v>
      </c>
      <c r="G21" t="str">
        <f>IF(meta_Tables[[#This Row],[Package]]="","",meta_Tables[[#This Row],[Package]]&amp;"::")&amp;meta_Tables[[#This Row],[Display]]</f>
        <v>myxyzpackage::MyXYZ_Objects</v>
      </c>
      <c r="H21" s="110" t="str" cm="1">
        <f t="array" ref="H21">_xlfn.IFNA(INDEX(meta_Names[Camel Upper], MATCH(meta_Tables[[#This Row],[Name]],meta_Names[String],0)),camelCaseUpper(meta_Tables[[#This Row],[Name]]))</f>
        <v>MyXYZ_Objects</v>
      </c>
      <c r="I21" s="119" t="s">
        <v>1773</v>
      </c>
      <c r="J21" t="s">
        <v>750</v>
      </c>
      <c r="K21" s="24" t="str">
        <f xml:space="preserve"> IF( TRIM( meta_Tables[[#This Row],[Instances Class:src]] ) = "", "",
        INDEX( meta_Classifiers[Display Qualified], MATCH( meta_Tables[[#This Row],[Instances Class:src]], meta_Classifiers[ID], 0 ) ) )</f>
        <v>myxyzpackage::MyXYZ_Object</v>
      </c>
      <c r="L21" s="80" t="s">
        <v>774</v>
      </c>
      <c r="M21" s="119"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2284</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10" t="s">
        <v>2285</v>
      </c>
      <c r="G22" t="str">
        <f>IF(meta_Tables[[#This Row],[Package]]="","",meta_Tables[[#This Row],[Package]]&amp;"::")&amp;meta_Tables[[#This Row],[Display]]</f>
        <v>test::NewTable</v>
      </c>
      <c r="H22" s="110" t="str" cm="1">
        <f t="array" ref="H22">_xlfn.IFNA(INDEX(meta_Names[Camel Upper], MATCH(meta_Tables[[#This Row],[Name]],meta_Names[String],0)),camelCaseUpper(meta_Tables[[#This Row],[Name]]))</f>
        <v>NewTable</v>
      </c>
      <c r="I22" s="24" t="s">
        <v>2286</v>
      </c>
      <c r="J22" t="s">
        <v>750</v>
      </c>
      <c r="K22" s="24" t="str">
        <f xml:space="preserve"> IF( TRIM( meta_Tables[[#This Row],[Instances Class:src]] ) = "", "",
        INDEX( meta_Classifiers[Display Qualified], MATCH( meta_Tables[[#This Row],[Instances Class:src]], meta_Classifiers[ID], 0 ) ) )</f>
        <v>myxyzpackage::MyXYZ_Object</v>
      </c>
      <c r="L22" s="80" t="s">
        <v>2286</v>
      </c>
      <c r="M22" s="111"/>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opLeftCell="I1" zoomScaleNormal="100" workbookViewId="0">
      <pane ySplit="1" topLeftCell="A381" activePane="bottomLeft" state="frozen"/>
      <selection activeCell="C28" sqref="C28"/>
      <selection pane="bottomLeft" activeCell="K392" sqref="A392:XFD392"/>
    </sheetView>
  </sheetViews>
  <sheetFormatPr defaultColWidth="8.85546875" defaultRowHeight="15" outlineLevelCol="2"/>
  <cols>
    <col min="1" max="1" width="73.42578125" customWidth="1"/>
    <col min="2" max="2" width="14.42578125" hidden="1" customWidth="1" outlineLevel="1"/>
    <col min="3" max="3" width="17" bestFit="1" customWidth="1" collapsed="1"/>
    <col min="4" max="4" width="9.42578125" customWidth="1"/>
    <col min="5" max="5" width="13.140625" customWidth="1"/>
    <col min="6" max="6" width="25" hidden="1" customWidth="1" outlineLevel="1"/>
    <col min="7" max="7" width="18.42578125" hidden="1" customWidth="1" outlineLevel="1"/>
    <col min="8" max="8" width="25.42578125" hidden="1" customWidth="1" outlineLevel="1"/>
    <col min="9" max="9" width="26.140625" bestFit="1" customWidth="1" collapsed="1"/>
    <col min="10" max="10" width="37" hidden="1" customWidth="1" outlineLevel="1"/>
    <col min="11" max="11" width="14.42578125" customWidth="1" collapsed="1"/>
    <col min="12" max="12" width="37" style="80" hidden="1" customWidth="1" outlineLevel="1"/>
    <col min="13" max="13" width="19.28515625" customWidth="1" collapsed="1"/>
    <col min="14" max="14" width="7.85546875" bestFit="1" customWidth="1"/>
    <col min="15" max="16" width="7.85546875" customWidth="1"/>
    <col min="17" max="17" width="50.42578125" hidden="1" customWidth="1" outlineLevel="1"/>
    <col min="18" max="18" width="43" hidden="1" customWidth="1" outlineLevel="1"/>
    <col min="19" max="19" width="28.42578125" customWidth="1" collapsed="1"/>
    <col min="20" max="20" width="8.85546875" customWidth="1"/>
    <col min="21" max="25" width="23.85546875" hidden="1" customWidth="1" outlineLevel="1"/>
    <col min="26" max="26" width="22.42578125" hidden="1" customWidth="1" outlineLevel="1" collapsed="1"/>
    <col min="27" max="32" width="22.42578125" hidden="1" customWidth="1" outlineLevel="2"/>
    <col min="33" max="35" width="22.42578125" hidden="1" customWidth="1" outlineLevel="1"/>
    <col min="36" max="36" width="10.140625" hidden="1" customWidth="1" outlineLevel="1"/>
    <col min="37" max="37" width="14.85546875" hidden="1" customWidth="1" outlineLevel="1"/>
    <col min="38" max="38" width="9.140625" hidden="1" customWidth="1" outlineLevel="1"/>
    <col min="39" max="39" width="7.42578125" hidden="1" customWidth="1" outlineLevel="1"/>
    <col min="40" max="40" width="7.42578125" customWidth="1" collapsed="1"/>
    <col min="41" max="41" width="36.42578125" hidden="1" customWidth="1" outlineLevel="1"/>
    <col min="42" max="48" width="33.140625" hidden="1" customWidth="1" outlineLevel="1"/>
    <col min="49" max="49" width="23.85546875" customWidth="1" collapsed="1"/>
    <col min="50" max="50" width="37.140625" bestFit="1" customWidth="1"/>
    <col min="51" max="51" width="37.140625" hidden="1" customWidth="1" outlineLevel="1"/>
    <col min="52" max="52" width="40.42578125" bestFit="1" customWidth="1" collapsed="1"/>
    <col min="53" max="53" width="40.42578125" bestFit="1" customWidth="1"/>
    <col min="54" max="54" width="20.42578125" customWidth="1"/>
  </cols>
  <sheetData>
    <row r="1" spans="1:57" ht="206.25" customHeight="1" thickTop="1" thickBot="1">
      <c r="A1" s="106" t="s">
        <v>0</v>
      </c>
      <c r="B1" s="45" t="s">
        <v>230</v>
      </c>
      <c r="C1" s="106" t="s">
        <v>5</v>
      </c>
      <c r="D1" s="45" t="s">
        <v>120</v>
      </c>
      <c r="E1" s="45" t="s">
        <v>461</v>
      </c>
      <c r="F1" s="45" t="s">
        <v>2302</v>
      </c>
      <c r="G1" s="45" t="s">
        <v>470</v>
      </c>
      <c r="H1" s="45" t="s">
        <v>1819</v>
      </c>
      <c r="I1" s="106" t="s">
        <v>463</v>
      </c>
      <c r="J1" s="45" t="s">
        <v>1821</v>
      </c>
      <c r="K1" s="45" t="s">
        <v>1388</v>
      </c>
      <c r="L1" s="45" t="s">
        <v>1822</v>
      </c>
      <c r="M1" s="45" t="s">
        <v>1751</v>
      </c>
      <c r="N1" s="45" t="s">
        <v>481</v>
      </c>
      <c r="O1" s="45" t="s">
        <v>1827</v>
      </c>
      <c r="P1" s="45" t="s">
        <v>1828</v>
      </c>
      <c r="Q1" s="45" t="s">
        <v>2627</v>
      </c>
      <c r="R1" s="45" t="s">
        <v>1823</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6" t="s">
        <v>465</v>
      </c>
      <c r="AO1" s="106" t="s">
        <v>551</v>
      </c>
      <c r="AP1" s="45" t="s">
        <v>1831</v>
      </c>
      <c r="AQ1" s="45" t="s">
        <v>1826</v>
      </c>
      <c r="AR1" s="45" t="s">
        <v>1825</v>
      </c>
      <c r="AS1" s="45" t="s">
        <v>2630</v>
      </c>
      <c r="AT1" s="45" t="s">
        <v>2631</v>
      </c>
      <c r="AU1" s="45" t="s">
        <v>2629</v>
      </c>
      <c r="AV1" s="45" t="s">
        <v>2628</v>
      </c>
      <c r="AW1" s="122" t="s">
        <v>2634</v>
      </c>
      <c r="AX1" s="45" t="s">
        <v>468</v>
      </c>
      <c r="AY1" s="45" t="s">
        <v>806</v>
      </c>
      <c r="AZ1" s="106" t="s">
        <v>548</v>
      </c>
      <c r="BA1" s="45" t="s">
        <v>549</v>
      </c>
      <c r="BB1" s="105" t="s">
        <v>1336</v>
      </c>
      <c r="BC1" s="48" t="s">
        <v>552</v>
      </c>
      <c r="BD1" s="48" t="s">
        <v>2291</v>
      </c>
      <c r="BE1" s="48" t="s">
        <v>2303</v>
      </c>
    </row>
    <row r="2" spans="1:57" ht="15.75" thickTop="1">
      <c r="A2" s="108" t="s">
        <v>2279</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2280</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Overwrite]])&lt;&gt;"",meta_Columns[[#This Row],[Excel Column - Label Overwrite]],meta_Columns[[#This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1851</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1775</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Overwrite]])&lt;&gt;"",meta_Columns[[#This Row],[Excel Column - Label Overwrite]],meta_Columns[[#This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1852</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1775</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Overwrite]])&lt;&gt;"",meta_Columns[[#This Row],[Excel Column - Label Overwrite]],meta_Columns[[#This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1853</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1775</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Overwrite]])&lt;&gt;"",meta_Columns[[#This Row],[Excel Column - Label Overwrite]],meta_Columns[[#This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1854</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1775</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Overwrite]])&lt;&gt;"",meta_Columns[[#This Row],[Excel Column - Label Overwrite]],meta_Columns[[#This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1855</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1775</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Overwrite]])&lt;&gt;"",meta_Columns[[#This Row],[Excel Column - Label Overwrite]],meta_Columns[[#This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2674</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1775</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2673</v>
      </c>
      <c r="BA8" s="44" t="str">
        <f>IF(TRIM(meta_Columns[[#This Row],[Excel Column - Label Overwrite]])&lt;&gt;"",meta_Columns[[#This Row],[Excel Column - Label Overwrite]],meta_Columns[[#This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1856</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1775</v>
      </c>
      <c r="I9" s="43" t="str">
        <f xml:space="preserve"> IF( TRIM( meta_Columns[[#This Row],[Owning Table:src]] ) = "", "",
        INDEX( meta_Tables[Display Qualified], MATCH( meta_Columns[[#This Row],[Owning Table:src]], meta_Tables[ID], 0 ) ) )</f>
        <v>belowred::Table1Rows</v>
      </c>
      <c r="J9" t="s">
        <v>1779</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Overwrite]])&lt;&gt;"",meta_Columns[[#This Row],[Excel Column - Label Overwrite]],meta_Columns[[#This Row],[Excel Column - Label from Property or Referenced Table]])</f>
        <v>Table 2 Ref</v>
      </c>
      <c r="BB9" s="43"/>
      <c r="BC9" s="44" t="str">
        <f>IF(meta_Columns[[#This Row],[Excel Column - Explicit Excel Formula]]="","",meta_Columns[[#This Row],[Excel Column - Explicit Excel Formula]])</f>
        <v/>
      </c>
      <c r="BD9" s="5" t="s">
        <v>2297</v>
      </c>
      <c r="BE9" s="5"/>
    </row>
    <row r="10" spans="1:57">
      <c r="A10" s="10" t="s">
        <v>1857</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1775</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Overwrite]])&lt;&gt;"",meta_Columns[[#This Row],[Excel Column - Label Overwrite]],meta_Columns[[#This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1858</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1775</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Overwrite]])&lt;&gt;"",meta_Columns[[#This Row],[Excel Column - Label Overwrite]],meta_Columns[[#This Row],[Excel Column - Label from Property or Referenced Table]])</f>
        <v>Test stringToBusiness</v>
      </c>
      <c r="BB11" s="43" t="s">
        <v>1381</v>
      </c>
      <c r="BC11" s="44" t="str">
        <f>IF(meta_Columns[[#This Row],[Excel Column - Explicit Excel Formula]]="","",meta_Columns[[#This Row],[Excel Column - Explicit Excel Formula]])</f>
        <v>Formula:=stringToBusiness([@[String Value 1]])</v>
      </c>
      <c r="BD11" s="5"/>
      <c r="BE11" s="5"/>
    </row>
    <row r="12" spans="1:57">
      <c r="A12" s="10" t="s">
        <v>1859</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1775</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Overwrite]])&lt;&gt;"",meta_Columns[[#This Row],[Excel Column - Label Overwrite]],meta_Columns[[#This Row],[Excel Column - Label from Property or Referenced Table]])</f>
        <v>Test CamelCaseUpper</v>
      </c>
      <c r="BB12" s="43" t="s">
        <v>1382</v>
      </c>
      <c r="BC12" s="44" t="str">
        <f>IF(meta_Columns[[#This Row],[Excel Column - Explicit Excel Formula]]="","",meta_Columns[[#This Row],[Excel Column - Explicit Excel Formula]])</f>
        <v>Formula:=camelCaseUpper([@[String Value 1]])</v>
      </c>
      <c r="BD12" s="5"/>
      <c r="BE12" s="5"/>
    </row>
    <row r="13" spans="1:57">
      <c r="A13" s="10" t="s">
        <v>1860</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1775</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Overwrite]])&lt;&gt;"",meta_Columns[[#This Row],[Excel Column - Label Overwrite]],meta_Columns[[#This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1861</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1775</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Overwrite]])&lt;&gt;"",meta_Columns[[#This Row],[Excel Column - Label Overwrite]],meta_Columns[[#This Row],[Excel Column - Label from Property or Referenced Table]])</f>
        <v>Test camelCaseToBusiness</v>
      </c>
      <c r="BB14" s="43" t="s">
        <v>1383</v>
      </c>
      <c r="BC14" s="44" t="str">
        <f>IF(meta_Columns[[#This Row],[Excel Column - Explicit Excel Formula]]="","",meta_Columns[[#This Row],[Excel Column - Explicit Excel Formula]])</f>
        <v>Formula:=camelCaseToBusiness([@[Test CamelCaseUpper]])</v>
      </c>
      <c r="BD14" s="5"/>
      <c r="BE14" s="5"/>
    </row>
    <row r="15" spans="1:57">
      <c r="A15" s="10" t="s">
        <v>1862</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1775</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Overwrite]])&lt;&gt;"",meta_Columns[[#This Row],[Excel Column - Label Overwrite]],meta_Columns[[#This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1863</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1775</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Overwrite]])&lt;&gt;"",meta_Columns[[#This Row],[Excel Column - Label Overwrite]],meta_Columns[[#This Row],[Excel Column - Label from Property or Referenced Table]])</f>
        <v>camelCaseLower(s)  = businessToCamelCaseLower(stringToBusiness(s))</v>
      </c>
      <c r="BB16" s="43" t="s">
        <v>1384</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1864</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1775</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Overwrite]])&lt;&gt;"",meta_Columns[[#This Row],[Excel Column - Label Overwrite]],meta_Columns[[#This Row],[Excel Column - Label from Property or Referenced Table]])</f>
        <v>camelCaseUpper(s)  = businessToCamelCaseUpper(stringToBusiness(s)), </v>
      </c>
      <c r="BB17" s="43" t="s">
        <v>1385</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1865</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1775</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Overwrite]])&lt;&gt;"",meta_Columns[[#This Row],[Excel Column - Label Overwrite]],meta_Columns[[#This Row],[Excel Column - Label from Property or Referenced Table]])</f>
        <v xml:space="preserve">camelCaseToBusiness(
businessToCamelCaseUpper(
stringToBusiness(X))) = 
stringToBusiness(X) </v>
      </c>
      <c r="BB18" s="43" t="s">
        <v>1386</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1866</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1775</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Overwrite]])&lt;&gt;"",meta_Columns[[#This Row],[Excel Column - Label Overwrite]],meta_Columns[[#This Row],[Excel Column - Label from Property or Referenced Table]])</f>
        <v>Table 2 Ref STORED</v>
      </c>
      <c r="BB19" s="43"/>
      <c r="BC19" s="44" t="str">
        <f>IF(meta_Columns[[#This Row],[Excel Column - Explicit Excel Formula]]="","",meta_Columns[[#This Row],[Excel Column - Explicit Excel Formula]])</f>
        <v/>
      </c>
      <c r="BD19" s="5" t="s">
        <v>2298</v>
      </c>
      <c r="BE19" s="5"/>
    </row>
    <row r="20" spans="1:57">
      <c r="A20" s="10" t="s">
        <v>1867</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1775</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Overwrite]])&lt;&gt;"",meta_Columns[[#This Row],[Excel Column - Label Overwrite]],meta_Columns[[#This Row],[Excel Column - Label from Property or Referenced Table]])</f>
        <v>Test stringToBusiness STORED</v>
      </c>
      <c r="BB20" s="43"/>
      <c r="BC20" s="44" t="str">
        <f>IF(meta_Columns[[#This Row],[Excel Column - Explicit Excel Formula]]="","",meta_Columns[[#This Row],[Excel Column - Explicit Excel Formula]])</f>
        <v/>
      </c>
      <c r="BD20" s="5" t="s">
        <v>2298</v>
      </c>
      <c r="BE20" s="5"/>
    </row>
    <row r="21" spans="1:57">
      <c r="A21" s="10" t="s">
        <v>1868</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1775</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Overwrite]])&lt;&gt;"",meta_Columns[[#This Row],[Excel Column - Label Overwrite]],meta_Columns[[#This Row],[Excel Column - Label from Property or Referenced Table]])</f>
        <v>Test CamelCaseUpper STORED</v>
      </c>
      <c r="BB21" s="43"/>
      <c r="BC21" s="44" t="str">
        <f>IF(meta_Columns[[#This Row],[Excel Column - Explicit Excel Formula]]="","",meta_Columns[[#This Row],[Excel Column - Explicit Excel Formula]])</f>
        <v/>
      </c>
      <c r="BD21" s="5" t="s">
        <v>2298</v>
      </c>
      <c r="BE21" s="5"/>
    </row>
    <row r="22" spans="1:57">
      <c r="A22" s="10" t="s">
        <v>1869</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1775</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Overwrite]])&lt;&gt;"",meta_Columns[[#This Row],[Excel Column - Label Overwrite]],meta_Columns[[#This Row],[Excel Column - Label from Property or Referenced Table]])</f>
        <v>Test camelCaseToBusiness STORED</v>
      </c>
      <c r="BB22" s="43"/>
      <c r="BC22" s="44" t="str">
        <f>IF(meta_Columns[[#This Row],[Excel Column - Explicit Excel Formula]]="","",meta_Columns[[#This Row],[Excel Column - Explicit Excel Formula]])</f>
        <v/>
      </c>
      <c r="BD22" s="5" t="s">
        <v>2298</v>
      </c>
      <c r="BE22" s="5"/>
    </row>
    <row r="23" spans="1:57">
      <c r="A23" s="10" t="s">
        <v>1870</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1775</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Overwrite]])&lt;&gt;"",meta_Columns[[#This Row],[Excel Column - Label Overwrite]],meta_Columns[[#This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2298</v>
      </c>
      <c r="BE23" s="5"/>
    </row>
    <row r="24" spans="1:57">
      <c r="A24" s="10" t="s">
        <v>1871</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1775</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Overwrite]])&lt;&gt;"",meta_Columns[[#This Row],[Excel Column - Label Overwrite]],meta_Columns[[#This Row],[Excel Column - Label from Property or Referenced Table]])</f>
        <v>Test FunctionToBeGenerated STORED</v>
      </c>
      <c r="BB24" s="43"/>
      <c r="BC24" s="44" t="str">
        <f>IF(meta_Columns[[#This Row],[Excel Column - Explicit Excel Formula]]="","",meta_Columns[[#This Row],[Excel Column - Explicit Excel Formula]])</f>
        <v/>
      </c>
      <c r="BD24" s="5" t="s">
        <v>2298</v>
      </c>
      <c r="BE24" s="5"/>
    </row>
    <row r="25" spans="1:57">
      <c r="A25" s="10" t="s">
        <v>1872</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1775</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Overwrite]])&lt;&gt;"",meta_Columns[[#This Row],[Excel Column - Label Overwrite]],meta_Columns[[#This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2298</v>
      </c>
      <c r="BE25" s="5"/>
    </row>
    <row r="26" spans="1:57">
      <c r="A26" s="10" t="s">
        <v>1873</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1775</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Overwrite]])&lt;&gt;"",meta_Columns[[#This Row],[Excel Column - Label Overwrite]],meta_Columns[[#This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2298</v>
      </c>
      <c r="BE26" s="5"/>
    </row>
    <row r="27" spans="1:57">
      <c r="A27" s="10" t="s">
        <v>1874</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1775</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Overwrite]])&lt;&gt;"",meta_Columns[[#This Row],[Excel Column - Label Overwrite]],meta_Columns[[#This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2298</v>
      </c>
      <c r="BE27" s="5"/>
    </row>
    <row r="28" spans="1:57">
      <c r="A28" s="10" t="s">
        <v>1875</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1779</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Overwrite]])&lt;&gt;"",meta_Columns[[#This Row],[Excel Column - Label Overwrite]],meta_Columns[[#This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1876</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1779</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Overwrite]])&lt;&gt;"",meta_Columns[[#This Row],[Excel Column - Label Overwrite]],meta_Columns[[#This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1877</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1779</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Overwrite]])&lt;&gt;"",meta_Columns[[#This Row],[Excel Column - Label Overwrite]],meta_Columns[[#This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1878</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1779</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Overwrite]])&lt;&gt;"",meta_Columns[[#This Row],[Excel Column - Label Overwrite]],meta_Columns[[#This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1879</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1779</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Overwrite]])&lt;&gt;"",meta_Columns[[#This Row],[Excel Column - Label Overwrite]],meta_Columns[[#This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1880</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1779</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Overwrite]])&lt;&gt;"",meta_Columns[[#This Row],[Excel Column - Label Overwrite]],meta_Columns[[#This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1881</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1779</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Overwrite]])&lt;&gt;"",meta_Columns[[#This Row],[Excel Column - Label Overwrite]],meta_Columns[[#This Row],[Excel Column - Label from Property or Referenced Table]])</f>
        <v>T2 Name:q</v>
      </c>
      <c r="BB34" s="43" t="s">
        <v>1387</v>
      </c>
      <c r="BC34" s="44" t="str">
        <f>IF(meta_Columns[[#This Row],[Excel Column - Explicit Excel Formula]]="","",meta_Columns[[#This Row],[Excel Column - Explicit Excel Formula]])</f>
        <v>Formula:=IF(
  TRIM([@Package])="",
          "",
          [@Package]&amp;"::")
&amp;[@[T2 Name]]</v>
      </c>
      <c r="BD34" s="5"/>
      <c r="BE34" s="5"/>
    </row>
    <row r="35" spans="1:57">
      <c r="A35" s="10" t="s">
        <v>1882</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1779</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Overwrite]])&lt;&gt;"",meta_Columns[[#This Row],[Excel Column - Label Overwrite]],meta_Columns[[#This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1883</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1779</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Overwrite]])&lt;&gt;"",meta_Columns[[#This Row],[Excel Column - Label Overwrite]],meta_Columns[[#This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1884</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1779</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Overwrite]])&lt;&gt;"",meta_Columns[[#This Row],[Excel Column - Label Overwrite]],meta_Columns[[#This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1885</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1776</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Overwrite]])&lt;&gt;"",meta_Columns[[#This Row],[Excel Column - Label Overwrite]],meta_Columns[[#This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2173</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1776</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Overwrite]])&lt;&gt;"",meta_Columns[[#This Row],[Excel Column - Label Overwrite]],meta_Columns[[#This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2175</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1776</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Overwrite]])&lt;&gt;"",meta_Columns[[#This Row],[Excel Column - Label Overwrite]],meta_Columns[[#This Row],[Excel Column - Label from Property or Referenced Table]])</f>
        <v>Kind</v>
      </c>
      <c r="BB40" s="43" t="s">
        <v>2315</v>
      </c>
      <c r="BC40" s="44" t="str">
        <f>IF(meta_Columns[[#This Row],[Excel Column - Explicit Excel Formula]]="","",meta_Columns[[#This Row],[Excel Column - Explicit Excel Formula]])</f>
        <v>Formula:= IF( TRIM( [@[Kind:src]] ) = "", "",
        INDEX( meta_Classifiers[Display Qualified], MATCH( [@[Kind:src]], meta_Classifiers[ID], 0 ) ) )</v>
      </c>
      <c r="BD40" s="5" t="s">
        <v>2292</v>
      </c>
      <c r="BE40" s="5"/>
    </row>
    <row r="41" spans="1:57">
      <c r="A41" s="10" t="s">
        <v>2176</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1776</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Overwrite]])&lt;&gt;"",meta_Columns[[#This Row],[Excel Column - Label Overwrite]],meta_Columns[[#This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2177</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1776</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Overwrite]])&lt;&gt;"",meta_Columns[[#This Row],[Excel Column - Label Overwrite]],meta_Columns[[#This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1886</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1776</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Overwrite]])&lt;&gt;"",meta_Columns[[#This Row],[Excel Column - Label Overwrite]],meta_Columns[[#This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1887</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1777</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Overwrite]])&lt;&gt;"",meta_Columns[[#This Row],[Excel Column - Label Overwrite]],meta_Columns[[#This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2178</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1777</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Overwrite]])&lt;&gt;"",meta_Columns[[#This Row],[Excel Column - Label Overwrite]],meta_Columns[[#This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2179</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1777</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Overwrite]])&lt;&gt;"",meta_Columns[[#This Row],[Excel Column - Label Overwrite]],meta_Columns[[#This Row],[Excel Column - Label from Property or Referenced Table]])</f>
        <v>Kind</v>
      </c>
      <c r="BB46" s="43" t="s">
        <v>2315</v>
      </c>
      <c r="BC46" s="44" t="str">
        <f>IF(meta_Columns[[#This Row],[Excel Column - Explicit Excel Formula]]="","",meta_Columns[[#This Row],[Excel Column - Explicit Excel Formula]])</f>
        <v>Formula:= IF( TRIM( [@[Kind:src]] ) = "", "",
        INDEX( meta_Classifiers[Display Qualified], MATCH( [@[Kind:src]], meta_Classifiers[ID], 0 ) ) )</v>
      </c>
      <c r="BD46" s="5" t="s">
        <v>2292</v>
      </c>
      <c r="BE46" s="5"/>
    </row>
    <row r="47" spans="1:57">
      <c r="A47" s="10" t="s">
        <v>2180</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1777</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Overwrite]])&lt;&gt;"",meta_Columns[[#This Row],[Excel Column - Label Overwrite]],meta_Columns[[#This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2181</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1777</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1817</v>
      </c>
      <c r="BA48" s="44" t="str">
        <f>IF(TRIM(meta_Columns[[#This Row],[Excel Column - Label Overwrite]])&lt;&gt;"",meta_Columns[[#This Row],[Excel Column - Label Overwrite]],meta_Columns[[#This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2182</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1777</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Overwrite]])&lt;&gt;"",meta_Columns[[#This Row],[Excel Column - Label Overwrite]],meta_Columns[[#This Row],[Excel Column - Label from Property or Referenced Table]])</f>
        <v>Portfolio</v>
      </c>
      <c r="BB49" s="43" t="s">
        <v>2316</v>
      </c>
      <c r="BC49" s="44" t="str">
        <f>IF(meta_Columns[[#This Row],[Excel Column - Explicit Excel Formula]]="","",meta_Columns[[#This Row],[Excel Column - Explicit Excel Formula]])</f>
        <v>Formula:= IF( TRIM( [@[Porfolio:src]] ) = "", "",
        INDEX( finance_Portfolios[Owner], MATCH( [@[Porfolio:src]], finance_Portfolios[ID], 0 ) ) )</v>
      </c>
      <c r="BD49" s="5" t="s">
        <v>2317</v>
      </c>
      <c r="BE49" s="5"/>
    </row>
    <row r="50" spans="1:57">
      <c r="A50" s="10" t="s">
        <v>2183</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1777</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1818</v>
      </c>
      <c r="BA50" s="44" t="str">
        <f>IF(TRIM(meta_Columns[[#This Row],[Excel Column - Label Overwrite]])&lt;&gt;"",meta_Columns[[#This Row],[Excel Column - Label Overwrite]],meta_Columns[[#This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2184</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1777</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Overwrite]])&lt;&gt;"",meta_Columns[[#This Row],[Excel Column - Label Overwrite]],meta_Columns[[#This Row],[Excel Column - Label from Property or Referenced Table]])</f>
        <v>Security</v>
      </c>
      <c r="BB51" s="43" t="s">
        <v>2318</v>
      </c>
      <c r="BC51" s="44" t="str">
        <f>IF(meta_Columns[[#This Row],[Excel Column - Explicit Excel Formula]]="","",meta_Columns[[#This Row],[Excel Column - Explicit Excel Formula]])</f>
        <v>Formula:= IF( TRIM( [@[Security:src]] ) = "", "",
        INDEX( finance_Securities[Trading Symbol], MATCH( [@[Security:src]], finance_Securities[ID], 0 ) ) )</v>
      </c>
      <c r="BD51" s="5" t="s">
        <v>2319</v>
      </c>
      <c r="BE51" s="5"/>
    </row>
    <row r="52" spans="1:57">
      <c r="A52" s="10" t="s">
        <v>1888</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1777</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Overwrite]])&lt;&gt;"",meta_Columns[[#This Row],[Excel Column - Label Overwrite]],meta_Columns[[#This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1889</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1777</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Overwrite]])&lt;&gt;"",meta_Columns[[#This Row],[Excel Column - Label Overwrite]],meta_Columns[[#This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1890</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1778</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Overwrite]])&lt;&gt;"",meta_Columns[[#This Row],[Excel Column - Label Overwrite]],meta_Columns[[#This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2185</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1778</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Overwrite]])&lt;&gt;"",meta_Columns[[#This Row],[Excel Column - Label Overwrite]],meta_Columns[[#This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2186</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1778</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Overwrite]])&lt;&gt;"",meta_Columns[[#This Row],[Excel Column - Label Overwrite]],meta_Columns[[#This Row],[Excel Column - Label from Property or Referenced Table]])</f>
        <v>Kind</v>
      </c>
      <c r="BB56" s="43" t="s">
        <v>2315</v>
      </c>
      <c r="BC56" s="44" t="str">
        <f>IF(meta_Columns[[#This Row],[Excel Column - Explicit Excel Formula]]="","",meta_Columns[[#This Row],[Excel Column - Explicit Excel Formula]])</f>
        <v>Formula:= IF( TRIM( [@[Kind:src]] ) = "", "",
        INDEX( meta_Classifiers[Display Qualified], MATCH( [@[Kind:src]], meta_Classifiers[ID], 0 ) ) )</v>
      </c>
      <c r="BD56" s="5" t="s">
        <v>2292</v>
      </c>
      <c r="BE56" s="5"/>
    </row>
    <row r="57" spans="1:57">
      <c r="A57" s="10" t="s">
        <v>2187</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1778</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Overwrite]])&lt;&gt;"",meta_Columns[[#This Row],[Excel Column - Label Overwrite]],meta_Columns[[#This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1891</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1778</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Overwrite]])&lt;&gt;"",meta_Columns[[#This Row],[Excel Column - Label Overwrite]],meta_Columns[[#This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1892</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1778</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Overwrite]])&lt;&gt;"",meta_Columns[[#This Row],[Excel Column - Label Overwrite]],meta_Columns[[#This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1893</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1841</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Overwrite]])&lt;&gt;"",meta_Columns[[#This Row],[Excel Column - Label Overwrite]],meta_Columns[[#This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2217</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1841</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Overwrite]])&lt;&gt;"",meta_Columns[[#This Row],[Excel Column - Label Overwrite]],meta_Columns[[#This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2218</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1841</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Overwrite]])&lt;&gt;"",meta_Columns[[#This Row],[Excel Column - Label Overwrite]],meta_Columns[[#This Row],[Excel Column - Label from Property or Referenced Table]])</f>
        <v>Kind</v>
      </c>
      <c r="BB62" s="43" t="s">
        <v>2351</v>
      </c>
      <c r="BC62" s="44" t="str">
        <f>IF(meta_Columns[[#This Row],[Excel Column - Explicit Excel Formula]]="","",meta_Columns[[#This Row],[Excel Column - Explicit Excel Formula]])</f>
        <v>Formula:= IF( TRIM( [@[Kind:src]] ) = "", "",
        INDEX( [Display Qualified], MATCH( [@[Kind:src]], [ID], 0 ) ) )</v>
      </c>
      <c r="BD62" s="5" t="s">
        <v>2292</v>
      </c>
      <c r="BE62" s="5"/>
    </row>
    <row r="63" spans="1:57">
      <c r="A63" s="10" t="s">
        <v>1894</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1841</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Overwrite]])&lt;&gt;"",meta_Columns[[#This Row],[Excel Column - Label Overwrite]],meta_Columns[[#This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2219</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1841</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Overwrite]])&lt;&gt;"",meta_Columns[[#This Row],[Excel Column - Label Overwrite]],meta_Columns[[#This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1895</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1841</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Overwrite]])&lt;&gt;"",meta_Columns[[#This Row],[Excel Column - Label Overwrite]],meta_Columns[[#This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1896</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1841</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Overwrite]])&lt;&gt;"",meta_Columns[[#This Row],[Excel Column - Label Overwrite]],meta_Columns[[#This Row],[Excel Column - Label from Property or Referenced Table]])</f>
        <v>Display Qualified</v>
      </c>
      <c r="BB66" s="43" t="s">
        <v>1783</v>
      </c>
      <c r="BC66" s="44" t="str">
        <f>IF(meta_Columns[[#This Row],[Excel Column - Explicit Excel Formula]]="","",meta_Columns[[#This Row],[Excel Column - Explicit Excel Formula]])</f>
        <v>Formula:=IF(LEFT([@ID],1)="_",RIGHT([@ID],LEN([@ID])-1),IF(TRIM([@Package])="","",TRIM(LOWER([@Package]))&amp;"::")&amp;[@Display])</v>
      </c>
      <c r="BD66" s="5"/>
      <c r="BE66" s="5"/>
    </row>
    <row r="67" spans="1:57">
      <c r="A67" s="10" t="s">
        <v>1897</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1841</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Overwrite]])&lt;&gt;"",meta_Columns[[#This Row],[Excel Column - Label Overwrite]],meta_Columns[[#This Row],[Excel Column - Label from Property or Referenced Table]])</f>
        <v>Display</v>
      </c>
      <c r="BB67" s="43" t="s">
        <v>2220</v>
      </c>
      <c r="BC67" s="44" t="str">
        <f>IF(meta_Columns[[#This Row],[Excel Column - Explicit Excel Formula]]="","",meta_Columns[[#This Row],[Excel Column - Explicit Excel Formula]])</f>
        <v>Formula:=camelCaseUpper([@Name])</v>
      </c>
      <c r="BD67" s="5"/>
      <c r="BE67" s="5"/>
    </row>
    <row r="68" spans="1:57">
      <c r="A68" s="10" t="s">
        <v>1898</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1841</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Overwrite]])&lt;&gt;"",meta_Columns[[#This Row],[Excel Column - Label Overwrite]],meta_Columns[[#This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1899</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1841</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Overwrite]])&lt;&gt;"",meta_Columns[[#This Row],[Excel Column - Label Overwrite]],meta_Columns[[#This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2221</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1841</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1832</v>
      </c>
      <c r="BA70" s="44" t="str">
        <f>IF(TRIM(meta_Columns[[#This Row],[Excel Column - Label Overwrite]])&lt;&gt;"",meta_Columns[[#This Row],[Excel Column - Label Overwrite]],meta_Columns[[#This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2222</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1841</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Overwrite]])&lt;&gt;"",meta_Columns[[#This Row],[Excel Column - Label Overwrite]],meta_Columns[[#This Row],[Excel Column - Label from Property or Referenced Table]])</f>
        <v>Class - Generalization</v>
      </c>
      <c r="BB71" s="43" t="s">
        <v>2352</v>
      </c>
      <c r="BC71" s="44" t="str">
        <f>IF(meta_Columns[[#This Row],[Excel Column - Explicit Excel Formula]]="","",meta_Columns[[#This Row],[Excel Column - Explicit Excel Formula]])</f>
        <v>Formula:= IF( TRIM( [@[Class - Generalization:src]] ) = "", "",
        INDEX( [Display Qualified], MATCH( [@[Class - Generalization:src]], [ID], 0 ) ) )</v>
      </c>
      <c r="BD71" s="5" t="s">
        <v>2292</v>
      </c>
      <c r="BE71" s="5"/>
    </row>
    <row r="72" spans="1:57">
      <c r="A72" s="10" t="s">
        <v>2223</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1841</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Overwrite]])&lt;&gt;"",meta_Columns[[#This Row],[Excel Column - Label Overwrite]],meta_Columns[[#This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2224</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1841</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1833</v>
      </c>
      <c r="BA73" s="44" t="str">
        <f>IF(TRIM(meta_Columns[[#This Row],[Excel Column - Label Overwrite]])&lt;&gt;"",meta_Columns[[#This Row],[Excel Column - Label Overwrite]],meta_Columns[[#This Row],[Excel Column - Label from Property or Referenced Table]])</f>
        <v>Class - Display Property:src</v>
      </c>
      <c r="BB73" s="43" t="s">
        <v>2225</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2226</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1841</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Overwrite]])&lt;&gt;"",meta_Columns[[#This Row],[Excel Column - Label Overwrite]],meta_Columns[[#This Row],[Excel Column - Label from Property or Referenced Table]])</f>
        <v>Class - Display Property</v>
      </c>
      <c r="BB74" s="43"/>
      <c r="BC74" s="44" t="str">
        <f>IF(meta_Columns[[#This Row],[Excel Column - Explicit Excel Formula]]="","",meta_Columns[[#This Row],[Excel Column - Explicit Excel Formula]])</f>
        <v/>
      </c>
      <c r="BD74" s="5" t="s">
        <v>2295</v>
      </c>
      <c r="BE74" s="5"/>
    </row>
    <row r="75" spans="1:57">
      <c r="A75" s="10" t="s">
        <v>2227</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1841</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Overwrite]])&lt;&gt;"",meta_Columns[[#This Row],[Excel Column - Label Overwrite]],meta_Columns[[#This Row],[Excel Column - Label from Property or Referenced Table]])</f>
        <v>Class - Business ID Property:src</v>
      </c>
      <c r="BB75" s="43" t="s">
        <v>2228</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2229</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1841</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Overwrite]])&lt;&gt;"",meta_Columns[[#This Row],[Excel Column - Label Overwrite]],meta_Columns[[#This Row],[Excel Column - Label from Property or Referenced Table]])</f>
        <v>Class - Business ID Property</v>
      </c>
      <c r="BB76" s="43"/>
      <c r="BC76" s="44" t="str">
        <f>IF(meta_Columns[[#This Row],[Excel Column - Explicit Excel Formula]]="","",meta_Columns[[#This Row],[Excel Column - Explicit Excel Formula]])</f>
        <v/>
      </c>
      <c r="BD76" s="5" t="s">
        <v>2295</v>
      </c>
      <c r="BE76" s="5"/>
    </row>
    <row r="77" spans="1:57">
      <c r="A77" s="10" t="s">
        <v>1900</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1849</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Overwrite]])&lt;&gt;"",meta_Columns[[#This Row],[Excel Column - Label Overwrite]],meta_Columns[[#This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1901</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1849</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Overwrite]])&lt;&gt;"",meta_Columns[[#This Row],[Excel Column - Label Overwrite]],meta_Columns[[#This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1902</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1849</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Overwrite]])&lt;&gt;"",meta_Columns[[#This Row],[Excel Column - Label Overwrite]],meta_Columns[[#This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1903</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1849</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Overwrite]])&lt;&gt;"",meta_Columns[[#This Row],[Excel Column - Label Overwrite]],meta_Columns[[#This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1904</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1849</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Overwrite]])&lt;&gt;"",meta_Columns[[#This Row],[Excel Column - Label Overwrite]],meta_Columns[[#This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1905</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1849</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Overwrite]])&lt;&gt;"",meta_Columns[[#This Row],[Excel Column - Label Overwrite]],meta_Columns[[#This Row],[Excel Column - Label from Property or Referenced Table]])</f>
        <v>Display:q</v>
      </c>
      <c r="BB82" s="43" t="s">
        <v>1344</v>
      </c>
      <c r="BC82" s="44" t="str">
        <f>IF(meta_Columns[[#This Row],[Excel Column - Explicit Excel Formula]]="","",meta_Columns[[#This Row],[Excel Column - Explicit Excel Formula]])</f>
        <v>Formula:=IF(TRIM([@Package])="","",TRIM(LOWER([@Package]))&amp;"::")&amp;[@Display]</v>
      </c>
      <c r="BD82" s="5"/>
      <c r="BE82" s="5"/>
    </row>
    <row r="83" spans="1:57">
      <c r="A83" s="10" t="s">
        <v>1906</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1849</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Overwrite]])&lt;&gt;"",meta_Columns[[#This Row],[Excel Column - Label Overwrite]],meta_Columns[[#This Row],[Excel Column - Label from Property or Referenced Table]])</f>
        <v>Display</v>
      </c>
      <c r="BB83" s="43" t="s">
        <v>1379</v>
      </c>
      <c r="BC83" s="44" t="str">
        <f>IF(meta_Columns[[#This Row],[Excel Column - Explicit Excel Formula]]="","",meta_Columns[[#This Row],[Excel Column - Explicit Excel Formula]])</f>
        <v>Formula:=TRIM(SUBSTITUTE([@[Template Begin]]," ",""))</v>
      </c>
      <c r="BD83" s="5"/>
      <c r="BE83" s="5"/>
    </row>
    <row r="84" spans="1:57">
      <c r="A84" s="10" t="s">
        <v>1907</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1849</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Overwrite]])&lt;&gt;"",meta_Columns[[#This Row],[Excel Column - Label Overwrite]],meta_Columns[[#This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1908</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1849</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Overwrite]])&lt;&gt;"",meta_Columns[[#This Row],[Excel Column - Label Overwrite]],meta_Columns[[#This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1909</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1849</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Overwrite]])&lt;&gt;"",meta_Columns[[#This Row],[Excel Column - Label Overwrite]],meta_Columns[[#This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1910</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1849</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Overwrite]])&lt;&gt;"",meta_Columns[[#This Row],[Excel Column - Label Overwrite]],meta_Columns[[#This Row],[Excel Column - Label from Property or Referenced Table]])</f>
        <v>Matched Pattern 1</v>
      </c>
      <c r="BB87" s="43" t="s">
        <v>1380</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1911</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1849</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Overwrite]])&lt;&gt;"",meta_Columns[[#This Row],[Excel Column - Label Overwrite]],meta_Columns[[#This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1912</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1849</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Overwrite]])&lt;&gt;"",meta_Columns[[#This Row],[Excel Column - Label Overwrite]],meta_Columns[[#This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1913</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1849</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Overwrite]])&lt;&gt;"",meta_Columns[[#This Row],[Excel Column - Label Overwrite]],meta_Columns[[#This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1914</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1849</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Overwrite]])&lt;&gt;"",meta_Columns[[#This Row],[Excel Column - Label Overwrite]],meta_Columns[[#This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1915</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1849</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Overwrite]])&lt;&gt;"",meta_Columns[[#This Row],[Excel Column - Label Overwrite]],meta_Columns[[#This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1916</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1849</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Overwrite]])&lt;&gt;"",meta_Columns[[#This Row],[Excel Column - Label Overwrite]],meta_Columns[[#This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1917</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1849</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Overwrite]])&lt;&gt;"",meta_Columns[[#This Row],[Excel Column - Label Overwrite]],meta_Columns[[#This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1918</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1849</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Overwrite]])&lt;&gt;"",meta_Columns[[#This Row],[Excel Column - Label Overwrite]],meta_Columns[[#This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1919</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1849</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Overwrite]])&lt;&gt;"",meta_Columns[[#This Row],[Excel Column - Label Overwrite]],meta_Columns[[#This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1920</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1849</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Overwrite]])&lt;&gt;"",meta_Columns[[#This Row],[Excel Column - Label Overwrite]],meta_Columns[[#This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1921</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1849</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Overwrite]])&lt;&gt;"",meta_Columns[[#This Row],[Excel Column - Label Overwrite]],meta_Columns[[#This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1922</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1849</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Overwrite]])&lt;&gt;"",meta_Columns[[#This Row],[Excel Column - Label Overwrite]],meta_Columns[[#This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1923</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1849</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Overwrite]])&lt;&gt;"",meta_Columns[[#This Row],[Excel Column - Label Overwrite]],meta_Columns[[#This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1924</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1844</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Overwrite]])&lt;&gt;"",meta_Columns[[#This Row],[Excel Column - Label Overwrite]],meta_Columns[[#This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1925</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1844</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Overwrite]])&lt;&gt;"",meta_Columns[[#This Row],[Excel Column - Label Overwrite]],meta_Columns[[#This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1926</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1844</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1830</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Overwrite]])&lt;&gt;"",meta_Columns[[#This Row],[Excel Column - Label Overwrite]],meta_Columns[[#This Row],[Excel Column - Label from Property or Referenced Table]])</f>
        <v>Kind</v>
      </c>
      <c r="BB103" s="43" t="s">
        <v>2315</v>
      </c>
      <c r="BC103" s="44" t="str">
        <f>IF(meta_Columns[[#This Row],[Excel Column - Explicit Excel Formula]]="","",meta_Columns[[#This Row],[Excel Column - Explicit Excel Formula]])</f>
        <v>Formula:= IF( TRIM( [@[Kind:src]] ) = "", "",
        INDEX( meta_Classifiers[Display Qualified], MATCH( [@[Kind:src]], meta_Classifiers[ID], 0 ) ) )</v>
      </c>
      <c r="BD103" s="5" t="s">
        <v>2292</v>
      </c>
      <c r="BE103" s="5"/>
    </row>
    <row r="104" spans="1:57">
      <c r="A104" s="10" t="s">
        <v>1927</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1844</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Overwrite]])&lt;&gt;"",meta_Columns[[#This Row],[Excel Column - Label Overwrite]],meta_Columns[[#This Row],[Excel Column - Label from Property or Referenced Table]])</f>
        <v>Package</v>
      </c>
      <c r="BB104" s="43" t="s">
        <v>2262</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1928</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1844</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Overwrite]])&lt;&gt;"",meta_Columns[[#This Row],[Excel Column - Label Overwrite]],meta_Columns[[#This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2" t="s">
        <v>2322</v>
      </c>
      <c r="B106" s="11"/>
      <c r="C106" s="22" t="str">
        <f xml:space="preserve"> IF( TRIM( meta_Columns[[#This Row],[Kind:src]] ) = "", "",
        INDEX( meta_Classifiers[Display Qualified], MATCH( meta_Columns[[#This Row],[Kind:src]], meta_Classifiers[ID], 0 ) ) )</f>
        <v/>
      </c>
      <c r="D106" s="114" t="str">
        <f>IF(meta_Columns[[#This Row],[Owning Table:src]]="","",INDEX(meta_Classifiers[Package],MATCH(meta_Columns[[#This Row],[Owning Table Instances Class]],meta_Classifiers[ID],0)))</f>
        <v/>
      </c>
      <c r="E106" s="113"/>
      <c r="F106" s="116" t="e">
        <f>INDEX(meta_Tables[Excel Table - Excel Name],MATCH(meta_Columns[[#This Row],[Owning Table:src]],meta_Tables[ID],0))</f>
        <v>#N/A</v>
      </c>
      <c r="G106" s="114"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5" t="str">
        <f xml:space="preserve"> IF( TRIM( meta_Columns[[#This Row],[Property:src]] ) = "", "",
        INDEX( meta_TypedModelElements[Display Qualified], MATCH( meta_Columns[[#This Row],[Property:src]], meta_TypedModelElements[ID], 0 ) ) )</f>
        <v/>
      </c>
      <c r="T106" s="115"/>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6" t="e">
        <f>INDEX(meta_TypedModelElements[Name or Type],MATCH(meta_Columns[[#This Row],[Property]],meta_TypedModelElements[ID],0))</f>
        <v>#N/A</v>
      </c>
      <c r="AM106" s="116" t="e">
        <f>INDEX(meta_TypedModelElements[Property - Changeable],MATCH(meta_Columns[[#This Row],[Property]],meta_TypedModelElements[ID],0))</f>
        <v>#N/A</v>
      </c>
      <c r="AN106" s="113">
        <v>6</v>
      </c>
      <c r="AO106" s="22"/>
      <c r="AP106"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5"/>
      <c r="AY106" s="8" t="str">
        <f>meta_Columns[[#This Row],[Owning Table]]&amp;"."&amp;meta_Columns[[#This Row],[Excel Column - Label]]</f>
        <v>._Tables</v>
      </c>
      <c r="AZ106" s="115" t="s">
        <v>2302</v>
      </c>
      <c r="BA106" s="114" t="str">
        <f>IF(TRIM(meta_Columns[[#This Row],[Excel Column - Label Overwrite]])&lt;&gt;"",meta_Columns[[#This Row],[Excel Column - Label Overwrite]],meta_Columns[[#This Row],[Excel Column - Label from Property or Referenced Table]])</f>
        <v>_Tables</v>
      </c>
      <c r="BB106" s="113" t="s">
        <v>2263</v>
      </c>
      <c r="BC106" s="114" t="str">
        <f>IF(meta_Columns[[#This Row],[Excel Column - Explicit Excel Formula]]="","",meta_Columns[[#This Row],[Excel Column - Explicit Excel Formula]])</f>
        <v>Formula:=INDEX(meta_Tables[Excel Table - Excel Name],MATCH([@[Owning Table:src]],meta_Tables[ID],0))</v>
      </c>
      <c r="BD106" s="116"/>
      <c r="BE106" s="117"/>
    </row>
    <row r="107" spans="1:57">
      <c r="A107" s="10" t="s">
        <v>1929</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1844</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Overwrite]])&lt;&gt;"",meta_Columns[[#This Row],[Excel Column - Label Overwrite]],meta_Columns[[#This Row],[Excel Column - Label from Property or Referenced Table]])</f>
        <v>Owning Table Instances Class</v>
      </c>
      <c r="BB107" s="43" t="s">
        <v>2264</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2201</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1844</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1819</v>
      </c>
      <c r="BA108" s="8" t="str">
        <f>IF(TRIM(meta_Columns[[#This Row],[Excel Column - Label Overwrite]])&lt;&gt;"",meta_Columns[[#This Row],[Excel Column - Label Overwrite]],meta_Columns[[#This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1930</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1844</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Overwrite]])&lt;&gt;"",meta_Columns[[#This Row],[Excel Column - Label Overwrite]],meta_Columns[[#This Row],[Excel Column - Label from Property or Referenced Table]])</f>
        <v>Owning Table</v>
      </c>
      <c r="BB109" s="43" t="s">
        <v>2323</v>
      </c>
      <c r="BC109" s="44" t="str">
        <f>IF(meta_Columns[[#This Row],[Excel Column - Explicit Excel Formula]]="","",meta_Columns[[#This Row],[Excel Column - Explicit Excel Formula]])</f>
        <v>Formula:=IF(TRIM([@[Owning Table:src]])="","",
    INDEX(meta_Tables[Display Qualified],MATCH([@[Owning Table:src]],meta_Tables[ID],0)))</v>
      </c>
      <c r="BD109" s="5" t="s">
        <v>2293</v>
      </c>
      <c r="BE109" s="5"/>
    </row>
    <row r="110" spans="1:57">
      <c r="A110" s="10" t="s">
        <v>2202</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1844</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1821</v>
      </c>
      <c r="BA110" s="8" t="str">
        <f>IF(TRIM(meta_Columns[[#This Row],[Excel Column - Label Overwrite]])&lt;&gt;"",meta_Columns[[#This Row],[Excel Column - Label Overwrite]],meta_Columns[[#This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1931</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1844</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1388</v>
      </c>
      <c r="BA111" s="8" t="str">
        <f>IF(TRIM(meta_Columns[[#This Row],[Excel Column - Label Overwrite]])&lt;&gt;"",meta_Columns[[#This Row],[Excel Column - Label Overwrite]],meta_Columns[[#This Row],[Excel Column - Label from Property or Referenced Table]])</f>
        <v>Referenced Table</v>
      </c>
      <c r="BB111" s="43" t="s">
        <v>2324</v>
      </c>
      <c r="BC111" s="44" t="str">
        <f>IF(meta_Columns[[#This Row],[Excel Column - Explicit Excel Formula]]="","",meta_Columns[[#This Row],[Excel Column - Explicit Excel Formula]])</f>
        <v>Formula:=IF(TRIM([@[Referenced Table:src]])="","",
    INDEX(meta_Tables[Display Qualified],MATCH([@[Referenced Table:src]],meta_Tables[ID],0)))</v>
      </c>
      <c r="BD111" s="5" t="s">
        <v>2293</v>
      </c>
      <c r="BE111" s="5"/>
    </row>
    <row r="112" spans="1:57">
      <c r="A112" s="10" t="s">
        <v>2203</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1844</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1822</v>
      </c>
      <c r="BA112" s="8" t="str">
        <f>IF(TRIM(meta_Columns[[#This Row],[Excel Column - Label Overwrite]])&lt;&gt;"",meta_Columns[[#This Row],[Excel Column - Label Overwrite]],meta_Columns[[#This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1932</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1844</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1751</v>
      </c>
      <c r="BA113" s="8" t="str">
        <f>IF(TRIM(meta_Columns[[#This Row],[Excel Column - Label Overwrite]])&lt;&gt;"",meta_Columns[[#This Row],[Excel Column - Label Overwrite]],meta_Columns[[#This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2294</v>
      </c>
      <c r="BE113" s="5"/>
    </row>
    <row r="114" spans="1:57">
      <c r="A114" s="10" t="s">
        <v>2204</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1844</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Overwrite]])&lt;&gt;"",meta_Columns[[#This Row],[Excel Column - Label Overwrite]],meta_Columns[[#This Row],[Excel Column - Label from Property or Referenced Table]])</f>
        <v>Changeable</v>
      </c>
      <c r="BB114" s="43" t="s">
        <v>2205</v>
      </c>
      <c r="BC114" s="44" t="str">
        <f>IF(meta_Columns[[#This Row],[Excel Column - Explicit Excel Formula]]="","",meta_Columns[[#This Row],[Excel Column - Explicit Excel Formula]])</f>
        <v>Formula:=IF([@[Excel Column - Excel Formula]]="","x","")</v>
      </c>
      <c r="BD114" s="5"/>
      <c r="BE114" s="5"/>
    </row>
    <row r="115" spans="1:57">
      <c r="A115" s="10" t="s">
        <v>2206</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1844</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1827</v>
      </c>
      <c r="BA115" s="8" t="str">
        <f>IF(TRIM(meta_Columns[[#This Row],[Excel Column - Label Overwrite]])&lt;&gt;"",meta_Columns[[#This Row],[Excel Column - Label Overwrite]],meta_Columns[[#This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2207</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1844</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1828</v>
      </c>
      <c r="BA116" s="8" t="str">
        <f>IF(TRIM(meta_Columns[[#This Row],[Excel Column - Label Overwrite]])&lt;&gt;"",meta_Columns[[#This Row],[Excel Column - Label Overwrite]],meta_Columns[[#This Row],[Excel Column - Label from Property or Referenced Table]])</f>
        <v>Referenced Table Instance Class Name</v>
      </c>
      <c r="BB116" s="43" t="s">
        <v>2208</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1933</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1844</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Overwrite]])&lt;&gt;"",meta_Columns[[#This Row],[Excel Column - Label Overwrite]],meta_Columns[[#This Row],[Excel Column - Label from Property or Referenced Table]])</f>
        <v>Property ID from Column Label</v>
      </c>
      <c r="BB117" s="43" t="s">
        <v>1371</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2209</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1844</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1823</v>
      </c>
      <c r="BA118" s="8" t="str">
        <f>IF(TRIM(meta_Columns[[#This Row],[Excel Column - Label Overwrite]])&lt;&gt;"",meta_Columns[[#This Row],[Excel Column - Label Overwrite]],meta_Columns[[#This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1934</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1844</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Overwrite]])&lt;&gt;"",meta_Columns[[#This Row],[Excel Column - Label Overwrite]],meta_Columns[[#This Row],[Excel Column - Label from Property or Referenced Table]])</f>
        <v>Property</v>
      </c>
      <c r="BB119" s="43" t="s">
        <v>2325</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2295</v>
      </c>
      <c r="BE119" s="5"/>
    </row>
    <row r="120" spans="1:57">
      <c r="A120" s="10" t="s">
        <v>1935</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1844</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Overwrite]])&lt;&gt;"",meta_Columns[[#This Row],[Excel Column - Label Overwrite]],meta_Columns[[#This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1936</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1844</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Overwrite]])&lt;&gt;"",meta_Columns[[#This Row],[Excel Column - Label Overwrite]],meta_Columns[[#This Row],[Excel Column - Label from Property or Referenced Table]])</f>
        <v>Generalization 6</v>
      </c>
      <c r="BB121" s="43" t="s">
        <v>2326</v>
      </c>
      <c r="BC121" s="44" t="str">
        <f>IF(meta_Columns[[#This Row],[Excel Column - Explicit Excel Formula]]="","",meta_Columns[[#This Row],[Excel Column - Explicit Excel Formula]])</f>
        <v>Formula:=INDEX(#REF!, MATCH([@[Generalization 5]],meta_Classifiers[ID],0))</v>
      </c>
      <c r="BD121" s="5"/>
      <c r="BE121" s="5"/>
    </row>
    <row r="122" spans="1:57">
      <c r="A122" s="10" t="s">
        <v>1937</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1844</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Overwrite]])&lt;&gt;"",meta_Columns[[#This Row],[Excel Column - Label Overwrite]],meta_Columns[[#This Row],[Excel Column - Label from Property or Referenced Table]])</f>
        <v>Generalization 5</v>
      </c>
      <c r="BB122" s="43" t="s">
        <v>2327</v>
      </c>
      <c r="BC122" s="44" t="str">
        <f>IF(meta_Columns[[#This Row],[Excel Column - Explicit Excel Formula]]="","",meta_Columns[[#This Row],[Excel Column - Explicit Excel Formula]])</f>
        <v>Formula:=INDEX(#REF!, MATCH([@[Generalization 4]],meta_Classifiers[ID],0))</v>
      </c>
      <c r="BD122" s="5"/>
      <c r="BE122" s="5"/>
    </row>
    <row r="123" spans="1:57">
      <c r="A123" s="10" t="s">
        <v>1938</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1844</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Overwrite]])&lt;&gt;"",meta_Columns[[#This Row],[Excel Column - Label Overwrite]],meta_Columns[[#This Row],[Excel Column - Label from Property or Referenced Table]])</f>
        <v>Generalization 4</v>
      </c>
      <c r="BB123" s="43" t="s">
        <v>2328</v>
      </c>
      <c r="BC123" s="44" t="str">
        <f>IF(meta_Columns[[#This Row],[Excel Column - Explicit Excel Formula]]="","",meta_Columns[[#This Row],[Excel Column - Explicit Excel Formula]])</f>
        <v>Formula:=INDEX(#REF!, MATCH([@[Generalization 3]],meta_Classifiers[ID],0))</v>
      </c>
      <c r="BD123" s="5"/>
      <c r="BE123" s="5"/>
    </row>
    <row r="124" spans="1:57">
      <c r="A124" s="10" t="s">
        <v>1939</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1844</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Overwrite]])&lt;&gt;"",meta_Columns[[#This Row],[Excel Column - Label Overwrite]],meta_Columns[[#This Row],[Excel Column - Label from Property or Referenced Table]])</f>
        <v>Generalization 3</v>
      </c>
      <c r="BB124" s="43" t="s">
        <v>2329</v>
      </c>
      <c r="BC124" s="44" t="str">
        <f>IF(meta_Columns[[#This Row],[Excel Column - Explicit Excel Formula]]="","",meta_Columns[[#This Row],[Excel Column - Explicit Excel Formula]])</f>
        <v>Formula:=INDEX(#REF!, MATCH([@[Generalization 2]],meta_Classifiers[ID],0))</v>
      </c>
      <c r="BD124" s="5"/>
      <c r="BE124" s="5"/>
    </row>
    <row r="125" spans="1:57">
      <c r="A125" s="10" t="s">
        <v>1940</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1844</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Overwrite]])&lt;&gt;"",meta_Columns[[#This Row],[Excel Column - Label Overwrite]],meta_Columns[[#This Row],[Excel Column - Label from Property or Referenced Table]])</f>
        <v>Generalization 2</v>
      </c>
      <c r="BB125" s="43" t="s">
        <v>2330</v>
      </c>
      <c r="BC125" s="44" t="str">
        <f>IF(meta_Columns[[#This Row],[Excel Column - Explicit Excel Formula]]="","",meta_Columns[[#This Row],[Excel Column - Explicit Excel Formula]])</f>
        <v>Formula:=INDEX(#REF!, MATCH([@[Generalization 1]],meta_Classifiers[ID],0))</v>
      </c>
      <c r="BD125" s="5"/>
      <c r="BE125" s="5"/>
    </row>
    <row r="126" spans="1:57">
      <c r="A126" s="10" t="s">
        <v>1941</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1844</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Overwrite]])&lt;&gt;"",meta_Columns[[#This Row],[Excel Column - Label Overwrite]],meta_Columns[[#This Row],[Excel Column - Label from Property or Referenced Table]])</f>
        <v>Generalization 1</v>
      </c>
      <c r="BB126" s="43" t="s">
        <v>2331</v>
      </c>
      <c r="BC126" s="44" t="str">
        <f>IF(meta_Columns[[#This Row],[Excel Column - Explicit Excel Formula]]="","",meta_Columns[[#This Row],[Excel Column - Explicit Excel Formula]])</f>
        <v>Formula:=INDEX(#REF!, MATCH([@[Owning Table Instances Class]],meta_Classifiers[ID],0))</v>
      </c>
      <c r="BD126" s="5"/>
      <c r="BE126" s="5"/>
    </row>
    <row r="127" spans="1:57">
      <c r="A127" s="10" t="s">
        <v>1942</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1844</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Overwrite]])&lt;&gt;"",meta_Columns[[#This Row],[Excel Column - Label Overwrite]],meta_Columns[[#This Row],[Excel Column - Label from Property or Referenced Table]])</f>
        <v>Property Owning Class is Instance Class or Generalization</v>
      </c>
      <c r="BB127" s="43" t="s">
        <v>1372</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1943</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1844</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Overwrite]])&lt;&gt;"",meta_Columns[[#This Row],[Excel Column - Label Overwrite]],meta_Columns[[#This Row],[Excel Column - Label from Property or Referenced Table]])</f>
        <v>Is From Specialization 6</v>
      </c>
      <c r="BB128" s="43" t="s">
        <v>2332</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1944</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1844</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Overwrite]])&lt;&gt;"",meta_Columns[[#This Row],[Excel Column - Label Overwrite]],meta_Columns[[#This Row],[Excel Column - Label from Property or Referenced Table]])</f>
        <v>Is From Specialization 5</v>
      </c>
      <c r="BB129" s="43" t="s">
        <v>2333</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1945</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1844</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Overwrite]])&lt;&gt;"",meta_Columns[[#This Row],[Excel Column - Label Overwrite]],meta_Columns[[#This Row],[Excel Column - Label from Property or Referenced Table]])</f>
        <v>Is From Specialization 4</v>
      </c>
      <c r="BB130" s="43" t="s">
        <v>2334</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1946</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1844</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Overwrite]])&lt;&gt;"",meta_Columns[[#This Row],[Excel Column - Label Overwrite]],meta_Columns[[#This Row],[Excel Column - Label from Property or Referenced Table]])</f>
        <v>Is From Specialization 3</v>
      </c>
      <c r="BB131" s="43" t="s">
        <v>2335</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1947</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1844</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Overwrite]])&lt;&gt;"",meta_Columns[[#This Row],[Excel Column - Label Overwrite]],meta_Columns[[#This Row],[Excel Column - Label from Property or Referenced Table]])</f>
        <v>Is From Specialization 2</v>
      </c>
      <c r="BB132" s="43" t="s">
        <v>2336</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1948</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1844</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Overwrite]])&lt;&gt;"",meta_Columns[[#This Row],[Excel Column - Label Overwrite]],meta_Columns[[#This Row],[Excel Column - Label from Property or Referenced Table]])</f>
        <v>Is From Specialization 1</v>
      </c>
      <c r="BB133" s="43" t="s">
        <v>2337</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1949</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1844</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Overwrite]])&lt;&gt;"",meta_Columns[[#This Row],[Excel Column - Label Overwrite]],meta_Columns[[#This Row],[Excel Column - Label from Property or Referenced Table]])</f>
        <v>Property Owning Class is Specialization of Instance Class</v>
      </c>
      <c r="BB134" s="43" t="s">
        <v>1373</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1950</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1844</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Overwrite]])&lt;&gt;"",meta_Columns[[#This Row],[Excel Column - Label Overwrite]],meta_Columns[[#This Row],[Excel Column - Label from Property or Referenced Table]])</f>
        <v>Property Owning Class Name</v>
      </c>
      <c r="BB135" s="43" t="s">
        <v>1780</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1951</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1844</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Overwrite]])&lt;&gt;"",meta_Columns[[#This Row],[Excel Column - Label Overwrite]],meta_Columns[[#This Row],[Excel Column - Label from Property or Referenced Table]])</f>
        <v>Property Owning Class</v>
      </c>
      <c r="BB136" s="43" t="s">
        <v>1781</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1952</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1844</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Overwrite]])&lt;&gt;"",meta_Columns[[#This Row],[Excel Column - Label Overwrite]],meta_Columns[[#This Row],[Excel Column - Label from Property or Referenced Table]])</f>
        <v>Property Kind</v>
      </c>
      <c r="BB137" s="43" t="s">
        <v>1782</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1953</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1844</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Overwrite]])&lt;&gt;"",meta_Columns[[#This Row],[Excel Column - Label Overwrite]],meta_Columns[[#This Row],[Excel Column - Label from Property or Referenced Table]])</f>
        <v>Property Name</v>
      </c>
      <c r="BB138" s="43" t="s">
        <v>1374</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1954</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1844</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Overwrite]])&lt;&gt;"",meta_Columns[[#This Row],[Excel Column - Label Overwrite]],meta_Columns[[#This Row],[Excel Column - Label from Property or Referenced Table]])</f>
        <v>Property Changeable</v>
      </c>
      <c r="BB139" s="43" t="s">
        <v>1375</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1955</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1844</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Overwrite]])&lt;&gt;"",meta_Columns[[#This Row],[Excel Column - Label Overwrite]],meta_Columns[[#This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1956</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1844</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Overwrite]])&lt;&gt;"",meta_Columns[[#This Row],[Excel Column - Label Overwrite]],meta_Columns[[#This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2210</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1844</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1831</v>
      </c>
      <c r="BA142" s="8" t="str">
        <f>IF(TRIM(meta_Columns[[#This Row],[Excel Column - Label Overwrite]])&lt;&gt;"",meta_Columns[[#This Row],[Excel Column - Label Overwrite]],meta_Columns[[#This Row],[Excel Column - Label from Property or Referenced Table]])</f>
        <v>Excel Column - Label from Property or Referenced Table</v>
      </c>
      <c r="BB142" s="43" t="s">
        <v>2211</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2212</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1844</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1826</v>
      </c>
      <c r="BA143" s="8" t="str">
        <f>IF(TRIM(meta_Columns[[#This Row],[Excel Column - Label Overwrite]])&lt;&gt;"",meta_Columns[[#This Row],[Excel Column - Label Overwrite]],meta_Columns[[#This Row],[Excel Column - Label from Property or Referenced Table]])</f>
        <v>Excel Column - Label Subtype Prefix</v>
      </c>
      <c r="BB143" s="43" t="s">
        <v>2213</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2214</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1844</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1825</v>
      </c>
      <c r="BA144" s="8" t="str">
        <f>IF(TRIM(meta_Columns[[#This Row],[Excel Column - Label Overwrite]])&lt;&gt;"",meta_Columns[[#This Row],[Excel Column - Label Overwrite]],meta_Columns[[#This Row],[Excel Column - Label from Property or Referenced Table]])</f>
        <v>Excel Column - Label from Property OLD Formula</v>
      </c>
      <c r="BB144" s="43" t="s">
        <v>1376</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1957</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1844</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Overwrite]])&lt;&gt;"",meta_Columns[[#This Row],[Excel Column - Label Overwrite]],meta_Columns[[#This Row],[Excel Column - Label from Property or Referenced Table]])</f>
        <v>Excel Column - Label Actual</v>
      </c>
      <c r="BB145" s="43" t="s">
        <v>2338</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1958</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1844</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Overwrite]])&lt;&gt;"",meta_Columns[[#This Row],[Excel Column - Label Overwrite]],meta_Columns[[#This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1959</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1844</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Overwrite]])&lt;&gt;"",meta_Columns[[#This Row],[Excel Column - Label Overwrite]],meta_Columns[[#This Row],[Excel Column - Label from Property or Referenced Table]])</f>
        <v>Display Qualified</v>
      </c>
      <c r="BB147" s="43" t="s">
        <v>2339</v>
      </c>
      <c r="BC147" s="44" t="str">
        <f>IF(meta_Columns[[#This Row],[Excel Column - Explicit Excel Formula]]="","",meta_Columns[[#This Row],[Excel Column - Explicit Excel Formula]])</f>
        <v>Formula:=[@[Owning Table]]&amp;"."&amp;[@[Excel Column - Label]]</v>
      </c>
      <c r="BD147" s="5"/>
      <c r="BE147" s="5"/>
    </row>
    <row r="148" spans="1:57">
      <c r="A148" s="10" t="s">
        <v>1960</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1844</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Overwrite]])&lt;&gt;"",meta_Columns[[#This Row],[Excel Column - Label Overwrite]],meta_Columns[[#This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1961</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1844</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Overwrite]])&lt;&gt;"",meta_Columns[[#This Row],[Excel Column - Label Overwrite]],meta_Columns[[#This Row],[Excel Column - Label from Property or Referenced Table]])</f>
        <v>Excel Column - Label</v>
      </c>
      <c r="BB149" s="43" t="s">
        <v>2215</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1962</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1844</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1336</v>
      </c>
      <c r="BA150" s="8" t="str">
        <f>IF(TRIM(meta_Columns[[#This Row],[Excel Column - Label Overwrite]])&lt;&gt;"",meta_Columns[[#This Row],[Excel Column - Label Overwrite]],meta_Columns[[#This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1963</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1844</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Overwrite]])&lt;&gt;"",meta_Columns[[#This Row],[Excel Column - Label Overwrite]],meta_Columns[[#This Row],[Excel Column - Label from Property or Referenced Table]])</f>
        <v>Excel Column - Excel Formula</v>
      </c>
      <c r="BB151" s="43" t="s">
        <v>2216</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2296</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1844</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2291</v>
      </c>
      <c r="BA152" s="8" t="str">
        <f>IF(TRIM(meta_Columns[[#This Row],[Excel Column - Label Overwrite]])&lt;&gt;"",meta_Columns[[#This Row],[Excel Column - Label Overwrite]],meta_Columns[[#This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2" t="s">
        <v>2340</v>
      </c>
      <c r="B153" s="5"/>
      <c r="C153" s="22" t="str">
        <f xml:space="preserve"> IF( TRIM( meta_Columns[[#This Row],[Kind:src]] ) = "", "",
        INDEX( meta_Classifiers[Display Qualified], MATCH( meta_Columns[[#This Row],[Kind:src]], meta_Classifiers[ID], 0 ) ) )</f>
        <v/>
      </c>
      <c r="D153" s="114" t="str">
        <f>IF(meta_Columns[[#This Row],[Owning Table:src]]="","",INDEX(meta_Classifiers[Package],MATCH(meta_Columns[[#This Row],[Owning Table Instances Class]],meta_Classifiers[ID],0)))</f>
        <v/>
      </c>
      <c r="E153" s="113"/>
      <c r="F153" s="116" t="e">
        <f>INDEX(meta_Tables[Excel Table - Excel Name],MATCH(meta_Columns[[#This Row],[Owning Table:src]],meta_Tables[ID],0))</f>
        <v>#N/A</v>
      </c>
      <c r="G153" s="114"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5" t="str">
        <f xml:space="preserve"> IF( TRIM( meta_Columns[[#This Row],[Property:src]] ) = "", "",
        INDEX( meta_TypedModelElements[Display Qualified], MATCH( meta_Columns[[#This Row],[Property:src]], meta_TypedModelElements[ID], 0 ) ) )</f>
        <v/>
      </c>
      <c r="T153" s="115"/>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6" t="e">
        <f>INDEX(meta_TypedModelElements[Name or Type],MATCH(meta_Columns[[#This Row],[Property]],meta_TypedModelElements[ID],0))</f>
        <v>#N/A</v>
      </c>
      <c r="AM153" s="116" t="e">
        <f>INDEX(meta_TypedModelElements[Property - Changeable],MATCH(meta_Columns[[#This Row],[Property]],meta_TypedModelElements[ID],0))</f>
        <v>#N/A</v>
      </c>
      <c r="AN153" s="113">
        <v>53</v>
      </c>
      <c r="AO153" s="22">
        <v>17</v>
      </c>
      <c r="AP153"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5"/>
      <c r="AY153" s="8" t="str">
        <f>meta_Columns[[#This Row],[Owning Table]]&amp;"."&amp;meta_Columns[[#This Row],[Excel Column - Label]]</f>
        <v>.Excel Column - String Type</v>
      </c>
      <c r="AZ153" s="115" t="s">
        <v>2303</v>
      </c>
      <c r="BA153" s="116" t="str">
        <f>IF(TRIM(meta_Columns[[#This Row],[Excel Column - Label Overwrite]])&lt;&gt;"",meta_Columns[[#This Row],[Excel Column - Label Overwrite]],meta_Columns[[#This Row],[Excel Column - Label from Property or Referenced Table]])</f>
        <v>Excel Column - String Type</v>
      </c>
      <c r="BB153" s="113"/>
      <c r="BC153" s="114" t="str">
        <f>IF(meta_Columns[[#This Row],[Excel Column - Explicit Excel Formula]]="","",meta_Columns[[#This Row],[Excel Column - Explicit Excel Formula]])</f>
        <v/>
      </c>
      <c r="BD153" s="117"/>
      <c r="BE153" s="117"/>
    </row>
    <row r="154" spans="1:57">
      <c r="A154" s="10" t="s">
        <v>1964</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1847</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Overwrite]])&lt;&gt;"",meta_Columns[[#This Row],[Excel Column - Label Overwrite]],meta_Columns[[#This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1965</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1847</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Overwrite]])&lt;&gt;"",meta_Columns[[#This Row],[Excel Column - Label Overwrite]],meta_Columns[[#This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1966</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1847</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Overwrite]])&lt;&gt;"",meta_Columns[[#This Row],[Excel Column - Label Overwrite]],meta_Columns[[#This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1967</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1847</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Overwrite]])&lt;&gt;"",meta_Columns[[#This Row],[Excel Column - Label Overwrite]],meta_Columns[[#This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1968</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1847</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Overwrite]])&lt;&gt;"",meta_Columns[[#This Row],[Excel Column - Label Overwrite]],meta_Columns[[#This Row],[Excel Column - Label from Property or Referenced Table]])</f>
        <v>File Name</v>
      </c>
      <c r="BB158" s="43" t="s">
        <v>1343</v>
      </c>
      <c r="BC158" s="44" t="str">
        <f>IF(meta_Columns[[#This Row],[Excel Column - Explicit Excel Formula]]="","",meta_Columns[[#This Row],[Excel Column - Explicit Excel Formula]])</f>
        <v>Formula:=[@[Date Tag]]&amp;"_"&amp;[@Name]&amp;"_"&amp;[@Version]&amp;".xlsm"</v>
      </c>
      <c r="BD158" s="5"/>
      <c r="BE158" s="5"/>
    </row>
    <row r="159" spans="1:57">
      <c r="A159" s="10" t="s">
        <v>1969</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1847</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Overwrite]])&lt;&gt;"",meta_Columns[[#This Row],[Excel Column - Label Overwrite]],meta_Columns[[#This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1970</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1847</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Overwrite]])&lt;&gt;"",meta_Columns[[#This Row],[Excel Column - Label Overwrite]],meta_Columns[[#This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1971</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1847</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Overwrite]])&lt;&gt;"",meta_Columns[[#This Row],[Excel Column - Label Overwrite]],meta_Columns[[#This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1972</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1847</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Overwrite]])&lt;&gt;"",meta_Columns[[#This Row],[Excel Column - Label Overwrite]],meta_Columns[[#This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1973</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1847</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Overwrite]])&lt;&gt;"",meta_Columns[[#This Row],[Excel Column - Label Overwrite]],meta_Columns[[#This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1974</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1846</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Overwrite]])&lt;&gt;"",meta_Columns[[#This Row],[Excel Column - Label Overwrite]],meta_Columns[[#This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2675</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1846</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Overwrite]])&lt;&gt;"",meta_Columns[[#This Row],[Excel Column - Label Overwrite]],meta_Columns[[#This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1975</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1846</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Overwrite]])&lt;&gt;"",meta_Columns[[#This Row],[Excel Column - Label Overwrite]],meta_Columns[[#This Row],[Excel Column - Label from Property or Referenced Table]])</f>
        <v>Kind</v>
      </c>
      <c r="BB166" s="43"/>
      <c r="BC166" s="44" t="str">
        <f>IF(meta_Columns[[#This Row],[Excel Column - Explicit Excel Formula]]="","",meta_Columns[[#This Row],[Excel Column - Explicit Excel Formula]])</f>
        <v/>
      </c>
      <c r="BD166" s="5" t="s">
        <v>2292</v>
      </c>
      <c r="BE166" s="5"/>
    </row>
    <row r="167" spans="1:57">
      <c r="A167" s="10" t="s">
        <v>1976</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1846</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Overwrite]])&lt;&gt;"",meta_Columns[[#This Row],[Excel Column - Label Overwrite]],meta_Columns[[#This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1977</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1846</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Overwrite]])&lt;&gt;"",meta_Columns[[#This Row],[Excel Column - Label Overwrite]],meta_Columns[[#This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1978</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1846</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Overwrite]])&lt;&gt;"",meta_Columns[[#This Row],[Excel Column - Label Overwrite]],meta_Columns[[#This Row],[Excel Column - Label from Property or Referenced Table]])</f>
        <v>Display:q</v>
      </c>
      <c r="BB169" s="43" t="s">
        <v>1344</v>
      </c>
      <c r="BC169" s="44" t="str">
        <f>IF(meta_Columns[[#This Row],[Excel Column - Explicit Excel Formula]]="","",meta_Columns[[#This Row],[Excel Column - Explicit Excel Formula]])</f>
        <v>Formula:=IF(TRIM([@Package])="","",TRIM(LOWER([@Package]))&amp;"::")&amp;[@Display]</v>
      </c>
      <c r="BD169" s="5"/>
      <c r="BE169" s="5"/>
    </row>
    <row r="170" spans="1:57">
      <c r="A170" s="10" t="s">
        <v>1979</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1846</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Overwrite]])&lt;&gt;"",meta_Columns[[#This Row],[Excel Column - Label Overwrite]],meta_Columns[[#This Row],[Excel Column - Label from Property or Referenced Table]])</f>
        <v>Display</v>
      </c>
      <c r="BB170" s="43" t="s">
        <v>1349</v>
      </c>
      <c r="BC170" s="44" t="str">
        <f>IF(meta_Columns[[#This Row],[Excel Column - Explicit Excel Formula]]="","",meta_Columns[[#This Row],[Excel Column - Explicit Excel Formula]])</f>
        <v>Formula:=TRIM(SUBSTITUTE([@Name]," ",""))</v>
      </c>
      <c r="BD170" s="5"/>
      <c r="BE170" s="5"/>
    </row>
    <row r="171" spans="1:57">
      <c r="A171" s="10" t="s">
        <v>1980</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1846</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Overwrite]])&lt;&gt;"",meta_Columns[[#This Row],[Excel Column - Label Overwrite]],meta_Columns[[#This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1981</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1846</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Overwrite]])&lt;&gt;"",meta_Columns[[#This Row],[Excel Column - Label Overwrite]],meta_Columns[[#This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1982</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1846</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Overwrite]])&lt;&gt;"",meta_Columns[[#This Row],[Excel Column - Label Overwrite]],meta_Columns[[#This Row],[Excel Column - Label from Property or Referenced Table]])</f>
        <v>Parent</v>
      </c>
      <c r="BB173" s="43" t="s">
        <v>1350</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2" t="s">
        <v>2341</v>
      </c>
      <c r="B174" s="5"/>
      <c r="C174" s="22" t="str">
        <f xml:space="preserve"> IF( TRIM( meta_Columns[[#This Row],[Kind:src]] ) = "", "",
        INDEX( meta_Classifiers[Display Qualified], MATCH( meta_Columns[[#This Row],[Kind:src]], meta_Classifiers[ID], 0 ) ) )</f>
        <v/>
      </c>
      <c r="D174" s="114" t="str">
        <f>IF(meta_Columns[[#This Row],[Owning Table:src]]="","",INDEX(meta_Classifiers[Package],MATCH(meta_Columns[[#This Row],[Owning Table Instances Class]],meta_Classifiers[ID],0)))</f>
        <v/>
      </c>
      <c r="E174" s="113"/>
      <c r="F174" s="116" t="e">
        <f>INDEX(meta_Tables[Excel Table - Excel Name],MATCH(meta_Columns[[#This Row],[Owning Table:src]],meta_Tables[ID],0))</f>
        <v>#N/A</v>
      </c>
      <c r="G174" s="114"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5" t="str">
        <f xml:space="preserve"> IF( TRIM( meta_Columns[[#This Row],[Property:src]] ) = "", "",
        INDEX( meta_TypedModelElements[Display Qualified], MATCH( meta_Columns[[#This Row],[Property:src]], meta_TypedModelElements[ID], 0 ) ) )</f>
        <v/>
      </c>
      <c r="T174" s="115"/>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6" t="e">
        <f>INDEX(meta_TypedModelElements[Name or Type],MATCH(meta_Columns[[#This Row],[Property]],meta_TypedModelElements[ID],0))</f>
        <v>#N/A</v>
      </c>
      <c r="AM174" s="116" t="e">
        <f>INDEX(meta_TypedModelElements[Property - Changeable],MATCH(meta_Columns[[#This Row],[Property]],meta_TypedModelElements[ID],0))</f>
        <v>#N/A</v>
      </c>
      <c r="AN174" s="113">
        <v>1</v>
      </c>
      <c r="AO174" s="22">
        <v>1</v>
      </c>
      <c r="AP174"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5"/>
      <c r="AY174" s="8" t="str">
        <f>meta_Columns[[#This Row],[Owning Table]]&amp;"."&amp;meta_Columns[[#This Row],[Excel Column - Label]]</f>
        <v>.ID</v>
      </c>
      <c r="AZ174" s="115" t="s">
        <v>0</v>
      </c>
      <c r="BA174" s="116" t="str">
        <f>IF(TRIM(meta_Columns[[#This Row],[Excel Column - Label Overwrite]])&lt;&gt;"",meta_Columns[[#This Row],[Excel Column - Label Overwrite]],meta_Columns[[#This Row],[Excel Column - Label from Property or Referenced Table]])</f>
        <v>ID</v>
      </c>
      <c r="BB174" s="113"/>
      <c r="BC174" s="114" t="str">
        <f>IF(meta_Columns[[#This Row],[Excel Column - Explicit Excel Formula]]="","",meta_Columns[[#This Row],[Excel Column - Explicit Excel Formula]])</f>
        <v/>
      </c>
      <c r="BD174" s="117"/>
      <c r="BE174" s="117"/>
    </row>
    <row r="175" spans="1:57">
      <c r="A175" s="112" t="s">
        <v>2342</v>
      </c>
      <c r="B175" s="5"/>
      <c r="C175" s="22" t="str">
        <f xml:space="preserve"> IF( TRIM( meta_Columns[[#This Row],[Kind:src]] ) = "", "",
        INDEX( meta_Classifiers[Display Qualified], MATCH( meta_Columns[[#This Row],[Kind:src]], meta_Classifiers[ID], 0 ) ) )</f>
        <v/>
      </c>
      <c r="D175" s="114" t="str">
        <f>IF(meta_Columns[[#This Row],[Owning Table:src]]="","",INDEX(meta_Classifiers[Package],MATCH(meta_Columns[[#This Row],[Owning Table Instances Class]],meta_Classifiers[ID],0)))</f>
        <v/>
      </c>
      <c r="E175" s="113"/>
      <c r="F175" s="116" t="e">
        <f>INDEX(meta_Tables[Excel Table - Excel Name],MATCH(meta_Columns[[#This Row],[Owning Table:src]],meta_Tables[ID],0))</f>
        <v>#N/A</v>
      </c>
      <c r="G175" s="114"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5" t="str">
        <f xml:space="preserve"> IF( TRIM( meta_Columns[[#This Row],[Property:src]] ) = "", "",
        INDEX( meta_TypedModelElements[Display Qualified], MATCH( meta_Columns[[#This Row],[Property:src]], meta_TypedModelElements[ID], 0 ) ) )</f>
        <v/>
      </c>
      <c r="T175" s="115"/>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6" t="e">
        <f>INDEX(meta_TypedModelElements[Name or Type],MATCH(meta_Columns[[#This Row],[Property]],meta_TypedModelElements[ID],0))</f>
        <v>#N/A</v>
      </c>
      <c r="AM175" s="116" t="e">
        <f>INDEX(meta_TypedModelElements[Property - Changeable],MATCH(meta_Columns[[#This Row],[Property]],meta_TypedModelElements[ID],0))</f>
        <v>#N/A</v>
      </c>
      <c r="AN175" s="113">
        <v>2</v>
      </c>
      <c r="AO175" s="22">
        <v>2</v>
      </c>
      <c r="AP175"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5"/>
      <c r="AY175" s="8" t="str">
        <f>meta_Columns[[#This Row],[Owning Table]]&amp;"."&amp;meta_Columns[[#This Row],[Excel Column - Label]]</f>
        <v>.String</v>
      </c>
      <c r="AZ175" s="115" t="s">
        <v>18</v>
      </c>
      <c r="BA175" s="116" t="str">
        <f>IF(TRIM(meta_Columns[[#This Row],[Excel Column - Label Overwrite]])&lt;&gt;"",meta_Columns[[#This Row],[Excel Column - Label Overwrite]],meta_Columns[[#This Row],[Excel Column - Label from Property or Referenced Table]])</f>
        <v>String</v>
      </c>
      <c r="BB175" s="113"/>
      <c r="BC175" s="114" t="str">
        <f>IF(meta_Columns[[#This Row],[Excel Column - Explicit Excel Formula]]="","",meta_Columns[[#This Row],[Excel Column - Explicit Excel Formula]])</f>
        <v/>
      </c>
      <c r="BD175" s="117"/>
      <c r="BE175" s="117"/>
    </row>
    <row r="176" spans="1:57">
      <c r="A176" s="112" t="s">
        <v>2343</v>
      </c>
      <c r="B176" s="5"/>
      <c r="C176" s="22" t="str">
        <f xml:space="preserve"> IF( TRIM( meta_Columns[[#This Row],[Kind:src]] ) = "", "",
        INDEX( meta_Classifiers[Display Qualified], MATCH( meta_Columns[[#This Row],[Kind:src]], meta_Classifiers[ID], 0 ) ) )</f>
        <v/>
      </c>
      <c r="D176" s="114" t="str">
        <f>IF(meta_Columns[[#This Row],[Owning Table:src]]="","",INDEX(meta_Classifiers[Package],MATCH(meta_Columns[[#This Row],[Owning Table Instances Class]],meta_Classifiers[ID],0)))</f>
        <v/>
      </c>
      <c r="E176" s="113"/>
      <c r="F176" s="116" t="e">
        <f>INDEX(meta_Tables[Excel Table - Excel Name],MATCH(meta_Columns[[#This Row],[Owning Table:src]],meta_Tables[ID],0))</f>
        <v>#N/A</v>
      </c>
      <c r="G176" s="114"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5" t="str">
        <f xml:space="preserve"> IF( TRIM( meta_Columns[[#This Row],[Property:src]] ) = "", "",
        INDEX( meta_TypedModelElements[Display Qualified], MATCH( meta_Columns[[#This Row],[Property:src]], meta_TypedModelElements[ID], 0 ) ) )</f>
        <v/>
      </c>
      <c r="T176" s="115"/>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6" t="e">
        <f>INDEX(meta_TypedModelElements[Name or Type],MATCH(meta_Columns[[#This Row],[Property]],meta_TypedModelElements[ID],0))</f>
        <v>#N/A</v>
      </c>
      <c r="AM176" s="116" t="e">
        <f>INDEX(meta_TypedModelElements[Property - Changeable],MATCH(meta_Columns[[#This Row],[Property]],meta_TypedModelElements[ID],0))</f>
        <v>#N/A</v>
      </c>
      <c r="AN176" s="113">
        <v>3</v>
      </c>
      <c r="AO176" s="22">
        <v>3</v>
      </c>
      <c r="AP176"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5"/>
      <c r="AY176" s="8" t="str">
        <f>meta_Columns[[#This Row],[Owning Table]]&amp;"."&amp;meta_Columns[[#This Row],[Excel Column - Label]]</f>
        <v>.Business</v>
      </c>
      <c r="AZ176" s="115" t="s">
        <v>2304</v>
      </c>
      <c r="BA176" s="116" t="str">
        <f>IF(TRIM(meta_Columns[[#This Row],[Excel Column - Label Overwrite]])&lt;&gt;"",meta_Columns[[#This Row],[Excel Column - Label Overwrite]],meta_Columns[[#This Row],[Excel Column - Label from Property or Referenced Table]])</f>
        <v>Business</v>
      </c>
      <c r="BB176" s="113"/>
      <c r="BC176" s="114" t="str">
        <f>IF(meta_Columns[[#This Row],[Excel Column - Explicit Excel Formula]]="","",meta_Columns[[#This Row],[Excel Column - Explicit Excel Formula]])</f>
        <v/>
      </c>
      <c r="BD176" s="117"/>
      <c r="BE176" s="117"/>
    </row>
    <row r="177" spans="1:57">
      <c r="A177" s="112" t="s">
        <v>2344</v>
      </c>
      <c r="B177" s="5"/>
      <c r="C177" s="22" t="str">
        <f xml:space="preserve"> IF( TRIM( meta_Columns[[#This Row],[Kind:src]] ) = "", "",
        INDEX( meta_Classifiers[Display Qualified], MATCH( meta_Columns[[#This Row],[Kind:src]], meta_Classifiers[ID], 0 ) ) )</f>
        <v/>
      </c>
      <c r="D177" s="114" t="str">
        <f>IF(meta_Columns[[#This Row],[Owning Table:src]]="","",INDEX(meta_Classifiers[Package],MATCH(meta_Columns[[#This Row],[Owning Table Instances Class]],meta_Classifiers[ID],0)))</f>
        <v/>
      </c>
      <c r="E177" s="113"/>
      <c r="F177" s="116" t="e">
        <f>INDEX(meta_Tables[Excel Table - Excel Name],MATCH(meta_Columns[[#This Row],[Owning Table:src]],meta_Tables[ID],0))</f>
        <v>#N/A</v>
      </c>
      <c r="G177" s="114"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5" t="str">
        <f xml:space="preserve"> IF( TRIM( meta_Columns[[#This Row],[Property:src]] ) = "", "",
        INDEX( meta_TypedModelElements[Display Qualified], MATCH( meta_Columns[[#This Row],[Property:src]], meta_TypedModelElements[ID], 0 ) ) )</f>
        <v/>
      </c>
      <c r="T177" s="115"/>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6" t="e">
        <f>INDEX(meta_TypedModelElements[Name or Type],MATCH(meta_Columns[[#This Row],[Property]],meta_TypedModelElements[ID],0))</f>
        <v>#N/A</v>
      </c>
      <c r="AM177" s="116" t="e">
        <f>INDEX(meta_TypedModelElements[Property - Changeable],MATCH(meta_Columns[[#This Row],[Property]],meta_TypedModelElements[ID],0))</f>
        <v>#N/A</v>
      </c>
      <c r="AN177" s="113">
        <v>4</v>
      </c>
      <c r="AO177" s="22">
        <v>4</v>
      </c>
      <c r="AP177"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5"/>
      <c r="AY177" s="8" t="str">
        <f>meta_Columns[[#This Row],[Owning Table]]&amp;"."&amp;meta_Columns[[#This Row],[Excel Column - Label]]</f>
        <v>.Camel Upper</v>
      </c>
      <c r="AZ177" s="115" t="s">
        <v>2305</v>
      </c>
      <c r="BA177" s="116" t="str">
        <f>IF(TRIM(meta_Columns[[#This Row],[Excel Column - Label Overwrite]])&lt;&gt;"",meta_Columns[[#This Row],[Excel Column - Label Overwrite]],meta_Columns[[#This Row],[Excel Column - Label from Property or Referenced Table]])</f>
        <v>Camel Upper</v>
      </c>
      <c r="BB177" s="113"/>
      <c r="BC177" s="114" t="str">
        <f>IF(meta_Columns[[#This Row],[Excel Column - Explicit Excel Formula]]="","",meta_Columns[[#This Row],[Excel Column - Explicit Excel Formula]])</f>
        <v/>
      </c>
      <c r="BD177" s="117"/>
      <c r="BE177" s="117"/>
    </row>
    <row r="178" spans="1:57">
      <c r="A178" s="112" t="s">
        <v>2345</v>
      </c>
      <c r="B178" s="5"/>
      <c r="C178" s="22" t="str">
        <f xml:space="preserve"> IF( TRIM( meta_Columns[[#This Row],[Kind:src]] ) = "", "",
        INDEX( meta_Classifiers[Display Qualified], MATCH( meta_Columns[[#This Row],[Kind:src]], meta_Classifiers[ID], 0 ) ) )</f>
        <v/>
      </c>
      <c r="D178" s="114" t="str">
        <f>IF(meta_Columns[[#This Row],[Owning Table:src]]="","",INDEX(meta_Classifiers[Package],MATCH(meta_Columns[[#This Row],[Owning Table Instances Class]],meta_Classifiers[ID],0)))</f>
        <v/>
      </c>
      <c r="E178" s="113"/>
      <c r="F178" s="116" t="e">
        <f>INDEX(meta_Tables[Excel Table - Excel Name],MATCH(meta_Columns[[#This Row],[Owning Table:src]],meta_Tables[ID],0))</f>
        <v>#N/A</v>
      </c>
      <c r="G178" s="114"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5" t="str">
        <f xml:space="preserve"> IF( TRIM( meta_Columns[[#This Row],[Property:src]] ) = "", "",
        INDEX( meta_TypedModelElements[Display Qualified], MATCH( meta_Columns[[#This Row],[Property:src]], meta_TypedModelElements[ID], 0 ) ) )</f>
        <v/>
      </c>
      <c r="T178" s="115"/>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6" t="e">
        <f>INDEX(meta_TypedModelElements[Name or Type],MATCH(meta_Columns[[#This Row],[Property]],meta_TypedModelElements[ID],0))</f>
        <v>#N/A</v>
      </c>
      <c r="AM178" s="116" t="e">
        <f>INDEX(meta_TypedModelElements[Property - Changeable],MATCH(meta_Columns[[#This Row],[Property]],meta_TypedModelElements[ID],0))</f>
        <v>#N/A</v>
      </c>
      <c r="AN178" s="113">
        <v>5</v>
      </c>
      <c r="AO178" s="22">
        <v>5</v>
      </c>
      <c r="AP178"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5"/>
      <c r="AY178" s="8" t="str">
        <f>meta_Columns[[#This Row],[Owning Table]]&amp;"."&amp;meta_Columns[[#This Row],[Excel Column - Label]]</f>
        <v>.Camel Lower</v>
      </c>
      <c r="AZ178" s="115" t="s">
        <v>2306</v>
      </c>
      <c r="BA178" s="116" t="str">
        <f>IF(TRIM(meta_Columns[[#This Row],[Excel Column - Label Overwrite]])&lt;&gt;"",meta_Columns[[#This Row],[Excel Column - Label Overwrite]],meta_Columns[[#This Row],[Excel Column - Label from Property or Referenced Table]])</f>
        <v>Camel Lower</v>
      </c>
      <c r="BB178" s="113"/>
      <c r="BC178" s="114" t="str">
        <f>IF(meta_Columns[[#This Row],[Excel Column - Explicit Excel Formula]]="","",meta_Columns[[#This Row],[Excel Column - Explicit Excel Formula]])</f>
        <v/>
      </c>
      <c r="BD178" s="117"/>
      <c r="BE178" s="117"/>
    </row>
    <row r="179" spans="1:57">
      <c r="A179" s="112" t="s">
        <v>2346</v>
      </c>
      <c r="B179" s="5"/>
      <c r="C179" s="22" t="str">
        <f xml:space="preserve"> IF( TRIM( meta_Columns[[#This Row],[Kind:src]] ) = "", "",
        INDEX( meta_Classifiers[Display Qualified], MATCH( meta_Columns[[#This Row],[Kind:src]], meta_Classifiers[ID], 0 ) ) )</f>
        <v/>
      </c>
      <c r="D179" s="114" t="str">
        <f>IF(meta_Columns[[#This Row],[Owning Table:src]]="","",INDEX(meta_Classifiers[Package],MATCH(meta_Columns[[#This Row],[Owning Table Instances Class]],meta_Classifiers[ID],0)))</f>
        <v/>
      </c>
      <c r="E179" s="113"/>
      <c r="F179" s="116" t="e">
        <f>INDEX(meta_Tables[Excel Table - Excel Name],MATCH(meta_Columns[[#This Row],[Owning Table:src]],meta_Tables[ID],0))</f>
        <v>#N/A</v>
      </c>
      <c r="G179" s="114"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5" t="str">
        <f xml:space="preserve"> IF( TRIM( meta_Columns[[#This Row],[Property:src]] ) = "", "",
        INDEX( meta_TypedModelElements[Display Qualified], MATCH( meta_Columns[[#This Row],[Property:src]], meta_TypedModelElements[ID], 0 ) ) )</f>
        <v/>
      </c>
      <c r="T179" s="115"/>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6" t="e">
        <f>INDEX(meta_TypedModelElements[Name or Type],MATCH(meta_Columns[[#This Row],[Property]],meta_TypedModelElements[ID],0))</f>
        <v>#N/A</v>
      </c>
      <c r="AM179" s="116" t="e">
        <f>INDEX(meta_TypedModelElements[Property - Changeable],MATCH(meta_Columns[[#This Row],[Property]],meta_TypedModelElements[ID],0))</f>
        <v>#N/A</v>
      </c>
      <c r="AN179" s="113">
        <v>6</v>
      </c>
      <c r="AO179" s="22">
        <v>6</v>
      </c>
      <c r="AP179"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5"/>
      <c r="AY179" s="8" t="str">
        <f>meta_Columns[[#This Row],[Owning Table]]&amp;"."&amp;meta_Columns[[#This Row],[Excel Column - Label]]</f>
        <v>.Business from Camel</v>
      </c>
      <c r="AZ179" s="115" t="s">
        <v>2307</v>
      </c>
      <c r="BA179" s="116" t="str">
        <f>IF(TRIM(meta_Columns[[#This Row],[Excel Column - Label Overwrite]])&lt;&gt;"",meta_Columns[[#This Row],[Excel Column - Label Overwrite]],meta_Columns[[#This Row],[Excel Column - Label from Property or Referenced Table]])</f>
        <v>Business from Camel</v>
      </c>
      <c r="BB179" s="113"/>
      <c r="BC179" s="114" t="str">
        <f>IF(meta_Columns[[#This Row],[Excel Column - Explicit Excel Formula]]="","",meta_Columns[[#This Row],[Excel Column - Explicit Excel Formula]])</f>
        <v/>
      </c>
      <c r="BD179" s="117"/>
      <c r="BE179" s="117"/>
    </row>
    <row r="180" spans="1:57">
      <c r="A180" s="112" t="s">
        <v>2347</v>
      </c>
      <c r="B180" s="5"/>
      <c r="C180" s="22" t="str">
        <f xml:space="preserve"> IF( TRIM( meta_Columns[[#This Row],[Kind:src]] ) = "", "",
        INDEX( meta_Classifiers[Display Qualified], MATCH( meta_Columns[[#This Row],[Kind:src]], meta_Classifiers[ID], 0 ) ) )</f>
        <v/>
      </c>
      <c r="D180" s="114" t="str">
        <f>IF(meta_Columns[[#This Row],[Owning Table:src]]="","",INDEX(meta_Classifiers[Package],MATCH(meta_Columns[[#This Row],[Owning Table Instances Class]],meta_Classifiers[ID],0)))</f>
        <v/>
      </c>
      <c r="E180" s="113"/>
      <c r="F180" s="116" t="e">
        <f>INDEX(meta_Tables[Excel Table - Excel Name],MATCH(meta_Columns[[#This Row],[Owning Table:src]],meta_Tables[ID],0))</f>
        <v>#N/A</v>
      </c>
      <c r="G180" s="114"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5" t="str">
        <f xml:space="preserve"> IF( TRIM( meta_Columns[[#This Row],[Property:src]] ) = "", "",
        INDEX( meta_TypedModelElements[Display Qualified], MATCH( meta_Columns[[#This Row],[Property:src]], meta_TypedModelElements[ID], 0 ) ) )</f>
        <v/>
      </c>
      <c r="T180" s="115"/>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6" t="e">
        <f>INDEX(meta_TypedModelElements[Name or Type],MATCH(meta_Columns[[#This Row],[Property]],meta_TypedModelElements[ID],0))</f>
        <v>#N/A</v>
      </c>
      <c r="AM180" s="116" t="e">
        <f>INDEX(meta_TypedModelElements[Property - Changeable],MATCH(meta_Columns[[#This Row],[Property]],meta_TypedModelElements[ID],0))</f>
        <v>#N/A</v>
      </c>
      <c r="AN180" s="113">
        <v>7</v>
      </c>
      <c r="AO180" s="22">
        <v>7</v>
      </c>
      <c r="AP180"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5"/>
      <c r="AY180" s="8" t="str">
        <f>meta_Columns[[#This Row],[Owning Table]]&amp;"."&amp;meta_Columns[[#This Row],[Excel Column - Label]]</f>
        <v>.Camel Upper from Business</v>
      </c>
      <c r="AZ180" s="115" t="s">
        <v>2308</v>
      </c>
      <c r="BA180" s="116" t="str">
        <f>IF(TRIM(meta_Columns[[#This Row],[Excel Column - Label Overwrite]])&lt;&gt;"",meta_Columns[[#This Row],[Excel Column - Label Overwrite]],meta_Columns[[#This Row],[Excel Column - Label from Property or Referenced Table]])</f>
        <v>Camel Upper from Business</v>
      </c>
      <c r="BB180" s="113"/>
      <c r="BC180" s="114" t="str">
        <f>IF(meta_Columns[[#This Row],[Excel Column - Explicit Excel Formula]]="","",meta_Columns[[#This Row],[Excel Column - Explicit Excel Formula]])</f>
        <v/>
      </c>
      <c r="BD180" s="117"/>
      <c r="BE180" s="117"/>
    </row>
    <row r="181" spans="1:57">
      <c r="A181" s="112" t="s">
        <v>2348</v>
      </c>
      <c r="B181" s="5"/>
      <c r="C181" s="22" t="str">
        <f xml:space="preserve"> IF( TRIM( meta_Columns[[#This Row],[Kind:src]] ) = "", "",
        INDEX( meta_Classifiers[Display Qualified], MATCH( meta_Columns[[#This Row],[Kind:src]], meta_Classifiers[ID], 0 ) ) )</f>
        <v/>
      </c>
      <c r="D181" s="114" t="str">
        <f>IF(meta_Columns[[#This Row],[Owning Table:src]]="","",INDEX(meta_Classifiers[Package],MATCH(meta_Columns[[#This Row],[Owning Table Instances Class]],meta_Classifiers[ID],0)))</f>
        <v/>
      </c>
      <c r="E181" s="113"/>
      <c r="F181" s="116" t="e">
        <f>INDEX(meta_Tables[Excel Table - Excel Name],MATCH(meta_Columns[[#This Row],[Owning Table:src]],meta_Tables[ID],0))</f>
        <v>#N/A</v>
      </c>
      <c r="G181" s="114"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5" t="str">
        <f xml:space="preserve"> IF( TRIM( meta_Columns[[#This Row],[Property:src]] ) = "", "",
        INDEX( meta_TypedModelElements[Display Qualified], MATCH( meta_Columns[[#This Row],[Property:src]], meta_TypedModelElements[ID], 0 ) ) )</f>
        <v/>
      </c>
      <c r="T181" s="115"/>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6" t="e">
        <f>INDEX(meta_TypedModelElements[Name or Type],MATCH(meta_Columns[[#This Row],[Property]],meta_TypedModelElements[ID],0))</f>
        <v>#N/A</v>
      </c>
      <c r="AM181" s="116" t="e">
        <f>INDEX(meta_TypedModelElements[Property - Changeable],MATCH(meta_Columns[[#This Row],[Property]],meta_TypedModelElements[ID],0))</f>
        <v>#N/A</v>
      </c>
      <c r="AN181" s="113">
        <v>8</v>
      </c>
      <c r="AO181" s="22">
        <v>8</v>
      </c>
      <c r="AP181"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5"/>
      <c r="AY181" s="8" t="str">
        <f>meta_Columns[[#This Row],[Owning Table]]&amp;"."&amp;meta_Columns[[#This Row],[Excel Column - Label]]</f>
        <v>.Camel Lower from Business</v>
      </c>
      <c r="AZ181" s="115" t="s">
        <v>2309</v>
      </c>
      <c r="BA181" s="116" t="str">
        <f>IF(TRIM(meta_Columns[[#This Row],[Excel Column - Label Overwrite]])&lt;&gt;"",meta_Columns[[#This Row],[Excel Column - Label Overwrite]],meta_Columns[[#This Row],[Excel Column - Label from Property or Referenced Table]])</f>
        <v>Camel Lower from Business</v>
      </c>
      <c r="BB181" s="113"/>
      <c r="BC181" s="114" t="str">
        <f>IF(meta_Columns[[#This Row],[Excel Column - Explicit Excel Formula]]="","",meta_Columns[[#This Row],[Excel Column - Explicit Excel Formula]])</f>
        <v/>
      </c>
      <c r="BD181" s="117"/>
      <c r="BE181" s="117"/>
    </row>
    <row r="182" spans="1:57">
      <c r="A182" s="112" t="s">
        <v>2349</v>
      </c>
      <c r="B182" s="5"/>
      <c r="C182" s="22" t="str">
        <f xml:space="preserve"> IF( TRIM( meta_Columns[[#This Row],[Kind:src]] ) = "", "",
        INDEX( meta_Classifiers[Display Qualified], MATCH( meta_Columns[[#This Row],[Kind:src]], meta_Classifiers[ID], 0 ) ) )</f>
        <v/>
      </c>
      <c r="D182" s="114" t="str">
        <f>IF(meta_Columns[[#This Row],[Owning Table:src]]="","",INDEX(meta_Classifiers[Package],MATCH(meta_Columns[[#This Row],[Owning Table Instances Class]],meta_Classifiers[ID],0)))</f>
        <v/>
      </c>
      <c r="E182" s="113"/>
      <c r="F182" s="116" t="e">
        <f>INDEX(meta_Tables[Excel Table - Excel Name],MATCH(meta_Columns[[#This Row],[Owning Table:src]],meta_Tables[ID],0))</f>
        <v>#N/A</v>
      </c>
      <c r="G182" s="114"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5" t="str">
        <f xml:space="preserve"> IF( TRIM( meta_Columns[[#This Row],[Property:src]] ) = "", "",
        INDEX( meta_TypedModelElements[Display Qualified], MATCH( meta_Columns[[#This Row],[Property:src]], meta_TypedModelElements[ID], 0 ) ) )</f>
        <v/>
      </c>
      <c r="T182" s="115"/>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6"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6"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6" t="e">
        <f>INDEX(meta_TypedModelElements[Name or Type],MATCH(meta_Columns[[#This Row],[Property]],meta_TypedModelElements[ID],0))</f>
        <v>#N/A</v>
      </c>
      <c r="AM182" s="116" t="e">
        <f>INDEX(meta_TypedModelElements[Property - Changeable],MATCH(meta_Columns[[#This Row],[Property]],meta_TypedModelElements[ID],0))</f>
        <v>#N/A</v>
      </c>
      <c r="AN182" s="113">
        <v>9</v>
      </c>
      <c r="AO182" s="22"/>
      <c r="AP182" s="116"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5"/>
      <c r="AY182" s="8" t="str">
        <f>meta_Columns[[#This Row],[Owning Table]]&amp;"."&amp;meta_Columns[[#This Row],[Excel Column - Label]]</f>
        <v>.Conversion Check</v>
      </c>
      <c r="AZ182" s="115" t="s">
        <v>2311</v>
      </c>
      <c r="BA182" s="116" t="str">
        <f>IF(TRIM(meta_Columns[[#This Row],[Excel Column - Label Overwrite]])&lt;&gt;"",meta_Columns[[#This Row],[Excel Column - Label Overwrite]],meta_Columns[[#This Row],[Excel Column - Label from Property or Referenced Table]])</f>
        <v>Conversion Check</v>
      </c>
      <c r="BB182" s="113" t="s">
        <v>2350</v>
      </c>
      <c r="BC182" s="114" t="str">
        <f>IF(meta_Columns[[#This Row],[Excel Column - Explicit Excel Formula]]="","",meta_Columns[[#This Row],[Excel Column - Explicit Excel Formula]])</f>
        <v>Formula:=[@Business]=[@[Business from Camel]]</v>
      </c>
      <c r="BD182" s="117"/>
      <c r="BE182" s="117"/>
    </row>
    <row r="183" spans="1:57">
      <c r="A183" s="10" t="s">
        <v>1983</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1839</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Overwrite]])&lt;&gt;"",meta_Columns[[#This Row],[Excel Column - Label Overwrite]],meta_Columns[[#This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2192</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1839</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Overwrite]])&lt;&gt;"",meta_Columns[[#This Row],[Excel Column - Label Overwrite]],meta_Columns[[#This Row],[Excel Column - Label from Property or Referenced Table]])</f>
        <v>Kind:src</v>
      </c>
      <c r="BB184" s="43" t="s">
        <v>2174</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2193</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1839</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Overwrite]])&lt;&gt;"",meta_Columns[[#This Row],[Excel Column - Label Overwrite]],meta_Columns[[#This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2194</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1839</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Overwrite]])&lt;&gt;"",meta_Columns[[#This Row],[Excel Column - Label Overwrite]],meta_Columns[[#This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1984</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1839</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Overwrite]])&lt;&gt;"",meta_Columns[[#This Row],[Excel Column - Label Overwrite]],meta_Columns[[#This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1985</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1839</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Overwrite]])&lt;&gt;"",meta_Columns[[#This Row],[Excel Column - Label Overwrite]],meta_Columns[[#This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1986</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1839</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Overwrite]])&lt;&gt;"",meta_Columns[[#This Row],[Excel Column - Label Overwrite]],meta_Columns[[#This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2195</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1839</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Overwrite]])&lt;&gt;"",meta_Columns[[#This Row],[Excel Column - Label Overwrite]],meta_Columns[[#This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1987</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1845</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Overwrite]])&lt;&gt;"",meta_Columns[[#This Row],[Excel Column - Label Overwrite]],meta_Columns[[#This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2676</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1845</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Overwrite]])&lt;&gt;"",meta_Columns[[#This Row],[Excel Column - Label Overwrite]],meta_Columns[[#This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1988</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1845</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Overwrite]])&lt;&gt;"",meta_Columns[[#This Row],[Excel Column - Label Overwrite]],meta_Columns[[#This Row],[Excel Column - Label from Property or Referenced Table]])</f>
        <v>Kind</v>
      </c>
      <c r="BB193" s="43"/>
      <c r="BC193" s="44" t="str">
        <f>IF(meta_Columns[[#This Row],[Excel Column - Explicit Excel Formula]]="","",meta_Columns[[#This Row],[Excel Column - Explicit Excel Formula]])</f>
        <v/>
      </c>
      <c r="BD193" s="5" t="s">
        <v>2292</v>
      </c>
      <c r="BE193" s="5"/>
    </row>
    <row r="194" spans="1:57">
      <c r="A194" s="10" t="s">
        <v>1989</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1845</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Overwrite]])&lt;&gt;"",meta_Columns[[#This Row],[Excel Column - Label Overwrite]],meta_Columns[[#This Row],[Excel Column - Label from Property or Referenced Table]])</f>
        <v>Package</v>
      </c>
      <c r="BB194" s="43" t="s">
        <v>1351</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1990</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1845</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Overwrite]])&lt;&gt;"",meta_Columns[[#This Row],[Excel Column - Label Overwrite]],meta_Columns[[#This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1991</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1845</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Overwrite]])&lt;&gt;"",meta_Columns[[#This Row],[Excel Column - Label Overwrite]],meta_Columns[[#This Row],[Excel Column - Label from Property or Referenced Table]])</f>
        <v>Super Class 6:display:q.</v>
      </c>
      <c r="BB196" s="43" t="s">
        <v>1789</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1992</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1845</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Overwrite]])&lt;&gt;"",meta_Columns[[#This Row],[Excel Column - Label Overwrite]],meta_Columns[[#This Row],[Excel Column - Label from Property or Referenced Table]])</f>
        <v>Super Class 6</v>
      </c>
      <c r="BB197" s="43" t="s">
        <v>2360</v>
      </c>
      <c r="BC197" s="44" t="str">
        <f>IF(meta_Columns[[#This Row],[Excel Column - Explicit Excel Formula]]="","",meta_Columns[[#This Row],[Excel Column - Explicit Excel Formula]])</f>
        <v>Formula:=IFNA(INDEX(#REF!,MATCH([@[Super Class 5]],meta_Classifiers[ID],0)),0)</v>
      </c>
      <c r="BD197" s="5"/>
      <c r="BE197" s="5"/>
    </row>
    <row r="198" spans="1:57">
      <c r="A198" s="10" t="s">
        <v>1993</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1845</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Overwrite]])&lt;&gt;"",meta_Columns[[#This Row],[Excel Column - Label Overwrite]],meta_Columns[[#This Row],[Excel Column - Label from Property or Referenced Table]])</f>
        <v>Super Class 5:display:q.</v>
      </c>
      <c r="BB198" s="43" t="s">
        <v>1790</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1994</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1845</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Overwrite]])&lt;&gt;"",meta_Columns[[#This Row],[Excel Column - Label Overwrite]],meta_Columns[[#This Row],[Excel Column - Label from Property or Referenced Table]])</f>
        <v>Super Class 5</v>
      </c>
      <c r="BB199" s="43" t="s">
        <v>2361</v>
      </c>
      <c r="BC199" s="44" t="str">
        <f>IF(meta_Columns[[#This Row],[Excel Column - Explicit Excel Formula]]="","",meta_Columns[[#This Row],[Excel Column - Explicit Excel Formula]])</f>
        <v>Formula:=IFNA(INDEX(#REF!,MATCH([@[Super Class 4]],meta_Classifiers[ID],0)),0)</v>
      </c>
      <c r="BD199" s="5"/>
      <c r="BE199" s="5"/>
    </row>
    <row r="200" spans="1:57">
      <c r="A200" s="10" t="s">
        <v>1995</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1845</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Overwrite]])&lt;&gt;"",meta_Columns[[#This Row],[Excel Column - Label Overwrite]],meta_Columns[[#This Row],[Excel Column - Label from Property or Referenced Table]])</f>
        <v>Super Class 4:display:q.</v>
      </c>
      <c r="BB200" s="43" t="s">
        <v>1791</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1996</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1845</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Overwrite]])&lt;&gt;"",meta_Columns[[#This Row],[Excel Column - Label Overwrite]],meta_Columns[[#This Row],[Excel Column - Label from Property or Referenced Table]])</f>
        <v>Super Class 4</v>
      </c>
      <c r="BB201" s="43" t="s">
        <v>2362</v>
      </c>
      <c r="BC201" s="44" t="str">
        <f>IF(meta_Columns[[#This Row],[Excel Column - Explicit Excel Formula]]="","",meta_Columns[[#This Row],[Excel Column - Explicit Excel Formula]])</f>
        <v>Formula:=IFNA(INDEX(#REF!,MATCH([@[Super Class 3]],meta_Classifiers[ID],0)),0)</v>
      </c>
      <c r="BD201" s="5"/>
      <c r="BE201" s="5"/>
    </row>
    <row r="202" spans="1:57">
      <c r="A202" s="10" t="s">
        <v>1997</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1845</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Overwrite]])&lt;&gt;"",meta_Columns[[#This Row],[Excel Column - Label Overwrite]],meta_Columns[[#This Row],[Excel Column - Label from Property or Referenced Table]])</f>
        <v>Super Class 3:display:q.</v>
      </c>
      <c r="BB202" s="43" t="s">
        <v>1792</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1998</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1845</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Overwrite]])&lt;&gt;"",meta_Columns[[#This Row],[Excel Column - Label Overwrite]],meta_Columns[[#This Row],[Excel Column - Label from Property or Referenced Table]])</f>
        <v>Super Class 3</v>
      </c>
      <c r="BB203" s="43" t="s">
        <v>2363</v>
      </c>
      <c r="BC203" s="44" t="str">
        <f>IF(meta_Columns[[#This Row],[Excel Column - Explicit Excel Formula]]="","",meta_Columns[[#This Row],[Excel Column - Explicit Excel Formula]])</f>
        <v>Formula:=IFNA(INDEX(#REF!,MATCH([@[Super Class 2]],meta_Classifiers[ID],0)),0)</v>
      </c>
      <c r="BD203" s="5"/>
      <c r="BE203" s="5"/>
    </row>
    <row r="204" spans="1:57">
      <c r="A204" s="10" t="s">
        <v>1999</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1845</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Overwrite]])&lt;&gt;"",meta_Columns[[#This Row],[Excel Column - Label Overwrite]],meta_Columns[[#This Row],[Excel Column - Label from Property or Referenced Table]])</f>
        <v>Super Class 2:display:q.</v>
      </c>
      <c r="BB204" s="43" t="s">
        <v>1793</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2000</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1845</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Overwrite]])&lt;&gt;"",meta_Columns[[#This Row],[Excel Column - Label Overwrite]],meta_Columns[[#This Row],[Excel Column - Label from Property or Referenced Table]])</f>
        <v>Super Class 2</v>
      </c>
      <c r="BB205" s="43" t="s">
        <v>2364</v>
      </c>
      <c r="BC205" s="44" t="str">
        <f>IF(meta_Columns[[#This Row],[Excel Column - Explicit Excel Formula]]="","",meta_Columns[[#This Row],[Excel Column - Explicit Excel Formula]])</f>
        <v>Formula:=IFNA(INDEX(#REF!,MATCH([@[Super Class 1]],meta_Classifiers[ID],0)),0)</v>
      </c>
      <c r="BD205" s="5"/>
      <c r="BE205" s="5"/>
    </row>
    <row r="206" spans="1:57">
      <c r="A206" s="10" t="s">
        <v>2001</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1845</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Overwrite]])&lt;&gt;"",meta_Columns[[#This Row],[Excel Column - Label Overwrite]],meta_Columns[[#This Row],[Excel Column - Label from Property or Referenced Table]])</f>
        <v>Super Class 1:display:q.</v>
      </c>
      <c r="BB206" s="43" t="s">
        <v>1794</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2002</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1845</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Overwrite]])&lt;&gt;"",meta_Columns[[#This Row],[Excel Column - Label Overwrite]],meta_Columns[[#This Row],[Excel Column - Label from Property or Referenced Table]])</f>
        <v>Super Class 1</v>
      </c>
      <c r="BB207" s="43" t="s">
        <v>2365</v>
      </c>
      <c r="BC207" s="44" t="str">
        <f>IF(meta_Columns[[#This Row],[Excel Column - Explicit Excel Formula]]="","",meta_Columns[[#This Row],[Excel Column - Explicit Excel Formula]])</f>
        <v>Formula:=IFNA(INDEX(#REF!,MATCH([@[Class:src]],meta_Classifiers[ID],0)),0)</v>
      </c>
      <c r="BD207" s="5"/>
      <c r="BE207" s="5"/>
    </row>
    <row r="208" spans="1:57">
      <c r="A208" s="10" t="s">
        <v>2003</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1845</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Overwrite]])&lt;&gt;"",meta_Columns[[#This Row],[Excel Column - Label Overwrite]],meta_Columns[[#This Row],[Excel Column - Label from Property or Referenced Table]])</f>
        <v>Class:display:q.</v>
      </c>
      <c r="BB208" s="43" t="s">
        <v>1795</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2004</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1845</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Overwrite]])&lt;&gt;"",meta_Columns[[#This Row],[Excel Column - Label Overwrite]],meta_Columns[[#This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2005</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1845</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Overwrite]])&lt;&gt;"",meta_Columns[[#This Row],[Excel Column - Label Overwrite]],meta_Columns[[#This Row],[Excel Column - Label from Property or Referenced Table]])</f>
        <v>Class</v>
      </c>
      <c r="BB210" s="43" t="s">
        <v>1352</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2006</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1845</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Overwrite]])&lt;&gt;"",meta_Columns[[#This Row],[Excel Column - Label Overwrite]],meta_Columns[[#This Row],[Excel Column - Label from Property or Referenced Table]])</f>
        <v>Feature Type</v>
      </c>
      <c r="BB211" s="43" t="s">
        <v>1353</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2007</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1845</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Overwrite]])&lt;&gt;"",meta_Columns[[#This Row],[Excel Column - Label Overwrite]],meta_Columns[[#This Row],[Excel Column - Label from Property or Referenced Table]])</f>
        <v>Feature Base Type Kind</v>
      </c>
      <c r="BB212" s="43" t="s">
        <v>1354</v>
      </c>
      <c r="BC212" s="44" t="str">
        <f>IF(meta_Columns[[#This Row],[Excel Column - Explicit Excel Formula]]="","",meta_Columns[[#This Row],[Excel Column - Explicit Excel Formula]])</f>
        <v>Formula:=IF([@[Class:src]]="","_Datatype","_Class")</v>
      </c>
      <c r="BD212" s="5"/>
      <c r="BE212" s="5"/>
    </row>
    <row r="213" spans="1:57">
      <c r="A213" s="10" t="s">
        <v>2008</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1845</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Overwrite]])&lt;&gt;"",meta_Columns[[#This Row],[Excel Column - Label Overwrite]],meta_Columns[[#This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2009</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1845</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Overwrite]])&lt;&gt;"",meta_Columns[[#This Row],[Excel Column - Label Overwrite]],meta_Columns[[#This Row],[Excel Column - Label from Property or Referenced Table]])</f>
        <v>Feature</v>
      </c>
      <c r="BB214" s="43" t="s">
        <v>1355</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2010</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1845</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Overwrite]])&lt;&gt;"",meta_Columns[[#This Row],[Excel Column - Label Overwrite]],meta_Columns[[#This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2011</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1845</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Overwrite]])&lt;&gt;"",meta_Columns[[#This Row],[Excel Column - Label Overwrite]],meta_Columns[[#This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2012</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1845</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Overwrite]])&lt;&gt;"",meta_Columns[[#This Row],[Excel Column - Label Overwrite]],meta_Columns[[#This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2013</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1845</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Overwrite]])&lt;&gt;"",meta_Columns[[#This Row],[Excel Column - Label Overwrite]],meta_Columns[[#This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2014</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1845</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Overwrite]])&lt;&gt;"",meta_Columns[[#This Row],[Excel Column - Label Overwrite]],meta_Columns[[#This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2015</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1845</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Overwrite]])&lt;&gt;"",meta_Columns[[#This Row],[Excel Column - Label Overwrite]],meta_Columns[[#This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2016</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1845</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Overwrite]])&lt;&gt;"",meta_Columns[[#This Row],[Excel Column - Label Overwrite]],meta_Columns[[#This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2017</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1845</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Overwrite]])&lt;&gt;"",meta_Columns[[#This Row],[Excel Column - Label Overwrite]],meta_Columns[[#This Row],[Excel Column - Label from Property or Referenced Table]])</f>
        <v>Part:q</v>
      </c>
      <c r="BB222" s="43" t="s">
        <v>1356</v>
      </c>
      <c r="BC222" s="44" t="str">
        <f>IF(meta_Columns[[#This Row],[Excel Column - Explicit Excel Formula]]="","",meta_Columns[[#This Row],[Excel Column - Explicit Excel Formula]])</f>
        <v>Formula:=IF(TRIM([@Part])="","",IF(
  TRIM([@Package])="",
          "",
          [@Package]&amp;"::")
&amp;[@Part])</v>
      </c>
      <c r="BD222" s="5"/>
      <c r="BE222" s="5"/>
    </row>
    <row r="223" spans="1:57">
      <c r="A223" s="10" t="s">
        <v>2018</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1845</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Overwrite]])&lt;&gt;"",meta_Columns[[#This Row],[Excel Column - Label Overwrite]],meta_Columns[[#This Row],[Excel Column - Label from Property or Referenced Table]])</f>
        <v>Line As Text</v>
      </c>
      <c r="BB223" s="43" t="s">
        <v>1357</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2019</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1845</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Overwrite]])&lt;&gt;"",meta_Columns[[#This Row],[Excel Column - Label Overwrite]],meta_Columns[[#This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2020</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1845</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Overwrite]])&lt;&gt;"",meta_Columns[[#This Row],[Excel Column - Label Overwrite]],meta_Columns[[#This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2021</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1845</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Overwrite]])&lt;&gt;"",meta_Columns[[#This Row],[Excel Column - Label Overwrite]],meta_Columns[[#This Row],[Excel Column - Label from Property or Referenced Table]])</f>
        <v>Rule Biz ID Without Line</v>
      </c>
      <c r="BB226" s="43" t="s">
        <v>1358</v>
      </c>
      <c r="BC226" s="44" t="str">
        <f>IF(meta_Columns[[#This Row],[Excel Column - Explicit Excel Formula]]="","",meta_Columns[[#This Row],[Excel Column - Explicit Excel Formula]])</f>
        <v>Formula:=[@[Class:src]]&amp;"_"&amp;[@Feature]&amp;"_"&amp;[@Kind]</v>
      </c>
      <c r="BD226" s="5"/>
      <c r="BE226" s="5"/>
    </row>
    <row r="227" spans="1:57">
      <c r="A227" s="10" t="s">
        <v>2022</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1845</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Overwrite]])&lt;&gt;"",meta_Columns[[#This Row],[Excel Column - Label Overwrite]],meta_Columns[[#This Row],[Excel Column - Label from Property or Referenced Table]])</f>
        <v>Rule Biz ID</v>
      </c>
      <c r="BB227" s="43" t="s">
        <v>1359</v>
      </c>
      <c r="BC227" s="44" t="str">
        <f>IF(meta_Columns[[#This Row],[Excel Column - Explicit Excel Formula]]="","",meta_Columns[[#This Row],[Excel Column - Explicit Excel Formula]])</f>
        <v>Formula:=[@[Rule Biz ID Without Line]]&amp;"_"&amp;[@Line]</v>
      </c>
      <c r="BD227" s="5"/>
      <c r="BE227" s="5"/>
    </row>
    <row r="228" spans="1:57">
      <c r="A228" s="10" t="s">
        <v>2023</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1845</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Overwrite]])&lt;&gt;"",meta_Columns[[#This Row],[Excel Column - Label Overwrite]],meta_Columns[[#This Row],[Excel Column - Label from Property or Referenced Table]])</f>
        <v>Part:src At Line - 1</v>
      </c>
      <c r="BB228" s="43" t="s">
        <v>1360</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2024</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1845</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Overwrite]])&lt;&gt;"",meta_Columns[[#This Row],[Excel Column - Label Overwrite]],meta_Columns[[#This Row],[Excel Column - Label from Property or Referenced Table]])</f>
        <v>Line-1</v>
      </c>
      <c r="BB229" s="43" t="s">
        <v>1361</v>
      </c>
      <c r="BC229" s="44" t="str">
        <f>IF(meta_Columns[[#This Row],[Excel Column - Explicit Excel Formula]]="","",meta_Columns[[#This Row],[Excel Column - Explicit Excel Formula]])</f>
        <v>Formula:=IF(TRIM([@Line])="","",IF([@Line]=1,"",[@Line]-1))</v>
      </c>
      <c r="BD229" s="5"/>
      <c r="BE229" s="5"/>
    </row>
    <row r="230" spans="1:57">
      <c r="A230" s="10" t="s">
        <v>2025</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1845</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Overwrite]])&lt;&gt;"",meta_Columns[[#This Row],[Excel Column - Label Overwrite]],meta_Columns[[#This Row],[Excel Column - Label from Property or Referenced Table]])</f>
        <v>Indent</v>
      </c>
      <c r="BB230" s="43" t="s">
        <v>1362</v>
      </c>
      <c r="BC230" s="44" t="str">
        <f>IF(meta_Columns[[#This Row],[Excel Column - Explicit Excel Formula]]="","",meta_Columns[[#This Row],[Excel Column - Explicit Excel Formula]])</f>
        <v>Formula:=IF(TRIM([@Line])="",0,IF([@Line]=1,0,
999))</v>
      </c>
      <c r="BD230" s="5"/>
      <c r="BE230" s="5"/>
    </row>
    <row r="231" spans="1:57">
      <c r="A231" s="10" t="s">
        <v>2026</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1845</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Overwrite]])&lt;&gt;"",meta_Columns[[#This Row],[Excel Column - Label Overwrite]],meta_Columns[[#This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2027</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1845</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Overwrite]])&lt;&gt;"",meta_Columns[[#This Row],[Excel Column - Label Overwrite]],meta_Columns[[#This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2028</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1845</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Overwrite]])&lt;&gt;"",meta_Columns[[#This Row],[Excel Column - Label Overwrite]],meta_Columns[[#This Row],[Excel Column - Label from Property or Referenced Table]])</f>
        <v>Base Super Class 6:display:q.</v>
      </c>
      <c r="BB233" s="43" t="s">
        <v>1796</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2029</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1845</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Overwrite]])&lt;&gt;"",meta_Columns[[#This Row],[Excel Column - Label Overwrite]],meta_Columns[[#This Row],[Excel Column - Label from Property or Referenced Table]])</f>
        <v>Base Super Class 6</v>
      </c>
      <c r="BB234" s="43" t="s">
        <v>2366</v>
      </c>
      <c r="BC234" s="44" t="str">
        <f>IF(meta_Columns[[#This Row],[Excel Column - Explicit Excel Formula]]="","",meta_Columns[[#This Row],[Excel Column - Explicit Excel Formula]])</f>
        <v>Formula:=IFNA(INDEX(#REF!,MATCH([@[Base Super Class 5]],meta_Classifiers[ID],0)),0)</v>
      </c>
      <c r="BD234" s="5"/>
      <c r="BE234" s="5"/>
    </row>
    <row r="235" spans="1:57">
      <c r="A235" s="10" t="s">
        <v>2030</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1845</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Overwrite]])&lt;&gt;"",meta_Columns[[#This Row],[Excel Column - Label Overwrite]],meta_Columns[[#This Row],[Excel Column - Label from Property or Referenced Table]])</f>
        <v>Base Super Class 5:display:q.</v>
      </c>
      <c r="BB235" s="43" t="s">
        <v>1797</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2031</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1845</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Overwrite]])&lt;&gt;"",meta_Columns[[#This Row],[Excel Column - Label Overwrite]],meta_Columns[[#This Row],[Excel Column - Label from Property or Referenced Table]])</f>
        <v>Base Super Class 5</v>
      </c>
      <c r="BB236" s="43" t="s">
        <v>2367</v>
      </c>
      <c r="BC236" s="44" t="str">
        <f>IF(meta_Columns[[#This Row],[Excel Column - Explicit Excel Formula]]="","",meta_Columns[[#This Row],[Excel Column - Explicit Excel Formula]])</f>
        <v>Formula:=IFNA(INDEX(#REF!,MATCH([@[Base Super Class 4]],meta_Classifiers[ID],0)),0)</v>
      </c>
      <c r="BD236" s="5"/>
      <c r="BE236" s="5"/>
    </row>
    <row r="237" spans="1:57">
      <c r="A237" s="10" t="s">
        <v>2032</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1845</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Overwrite]])&lt;&gt;"",meta_Columns[[#This Row],[Excel Column - Label Overwrite]],meta_Columns[[#This Row],[Excel Column - Label from Property or Referenced Table]])</f>
        <v>Base Super Class 4:display:q.</v>
      </c>
      <c r="BB237" s="43" t="s">
        <v>1798</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2033</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1845</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Overwrite]])&lt;&gt;"",meta_Columns[[#This Row],[Excel Column - Label Overwrite]],meta_Columns[[#This Row],[Excel Column - Label from Property or Referenced Table]])</f>
        <v>Base Super Class 4</v>
      </c>
      <c r="BB238" s="43" t="s">
        <v>2368</v>
      </c>
      <c r="BC238" s="44" t="str">
        <f>IF(meta_Columns[[#This Row],[Excel Column - Explicit Excel Formula]]="","",meta_Columns[[#This Row],[Excel Column - Explicit Excel Formula]])</f>
        <v>Formula:=IFNA(INDEX(#REF!,MATCH([@[Base Super Class 3]],meta_Classifiers[ID],0)),0)</v>
      </c>
      <c r="BD238" s="5"/>
      <c r="BE238" s="5"/>
    </row>
    <row r="239" spans="1:57">
      <c r="A239" s="10" t="s">
        <v>2034</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1845</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Overwrite]])&lt;&gt;"",meta_Columns[[#This Row],[Excel Column - Label Overwrite]],meta_Columns[[#This Row],[Excel Column - Label from Property or Referenced Table]])</f>
        <v>Base Super Class 3:display:q.</v>
      </c>
      <c r="BB239" s="43" t="s">
        <v>1799</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2035</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1845</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Overwrite]])&lt;&gt;"",meta_Columns[[#This Row],[Excel Column - Label Overwrite]],meta_Columns[[#This Row],[Excel Column - Label from Property or Referenced Table]])</f>
        <v>Base Super Class 3</v>
      </c>
      <c r="BB240" s="43" t="s">
        <v>2369</v>
      </c>
      <c r="BC240" s="44" t="str">
        <f>IF(meta_Columns[[#This Row],[Excel Column - Explicit Excel Formula]]="","",meta_Columns[[#This Row],[Excel Column - Explicit Excel Formula]])</f>
        <v>Formula:=IFNA(INDEX(#REF!,MATCH([@[Base Super Class 2]],meta_Classifiers[ID],0)),0)</v>
      </c>
      <c r="BD240" s="5"/>
      <c r="BE240" s="5"/>
    </row>
    <row r="241" spans="1:57">
      <c r="A241" s="10" t="s">
        <v>2036</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1845</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Overwrite]])&lt;&gt;"",meta_Columns[[#This Row],[Excel Column - Label Overwrite]],meta_Columns[[#This Row],[Excel Column - Label from Property or Referenced Table]])</f>
        <v>Base Super Class 2:display:q.</v>
      </c>
      <c r="BB241" s="43" t="s">
        <v>1800</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2037</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1845</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Overwrite]])&lt;&gt;"",meta_Columns[[#This Row],[Excel Column - Label Overwrite]],meta_Columns[[#This Row],[Excel Column - Label from Property or Referenced Table]])</f>
        <v>Base Super Class 2</v>
      </c>
      <c r="BB242" s="43" t="s">
        <v>2370</v>
      </c>
      <c r="BC242" s="44" t="str">
        <f>IF(meta_Columns[[#This Row],[Excel Column - Explicit Excel Formula]]="","",meta_Columns[[#This Row],[Excel Column - Explicit Excel Formula]])</f>
        <v>Formula:=IFNA(INDEX(#REF!,MATCH([@[Base Super Class 1]],meta_Classifiers[ID],0)),0)</v>
      </c>
      <c r="BD242" s="5"/>
      <c r="BE242" s="5"/>
    </row>
    <row r="243" spans="1:57">
      <c r="A243" s="10" t="s">
        <v>2038</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1845</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Overwrite]])&lt;&gt;"",meta_Columns[[#This Row],[Excel Column - Label Overwrite]],meta_Columns[[#This Row],[Excel Column - Label from Property or Referenced Table]])</f>
        <v>Base Super Class 1:display:q.</v>
      </c>
      <c r="BB243" s="43" t="s">
        <v>1801</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2039</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1845</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Overwrite]])&lt;&gt;"",meta_Columns[[#This Row],[Excel Column - Label Overwrite]],meta_Columns[[#This Row],[Excel Column - Label from Property or Referenced Table]])</f>
        <v>Base Super Class 1</v>
      </c>
      <c r="BB244" s="43" t="s">
        <v>2371</v>
      </c>
      <c r="BC244" s="44" t="str">
        <f>IF(meta_Columns[[#This Row],[Excel Column - Explicit Excel Formula]]="","",meta_Columns[[#This Row],[Excel Column - Explicit Excel Formula]])</f>
        <v>Formula:=IFNA(INDEX(#REF!,MATCH([@[Base Type]],meta_Classifiers[ID],0)),0)</v>
      </c>
      <c r="BD244" s="5"/>
      <c r="BE244" s="5"/>
    </row>
    <row r="245" spans="1:57">
      <c r="A245" s="10" t="s">
        <v>2040</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1845</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Overwrite]])&lt;&gt;"",meta_Columns[[#This Row],[Excel Column - Label Overwrite]],meta_Columns[[#This Row],[Excel Column - Label from Property or Referenced Table]])</f>
        <v>Base Class:display:q.</v>
      </c>
      <c r="BB245" s="43" t="s">
        <v>1802</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2041</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1845</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Overwrite]])&lt;&gt;"",meta_Columns[[#This Row],[Excel Column - Label Overwrite]],meta_Columns[[#This Row],[Excel Column - Label from Property or Referenced Table]])</f>
        <v>Base Type Kind</v>
      </c>
      <c r="BB246" s="43" t="s">
        <v>2372</v>
      </c>
      <c r="BC246" s="44" t="str">
        <f>IF(meta_Columns[[#This Row],[Excel Column - Explicit Excel Formula]]="","",meta_Columns[[#This Row],[Excel Column - Explicit Excel Formula]])</f>
        <v>Formula:=INDEX(#REF!,MATCH([@[Base Type]],meta_Classifiers[ID],0))</v>
      </c>
      <c r="BD246" s="5"/>
      <c r="BE246" s="5"/>
    </row>
    <row r="247" spans="1:57">
      <c r="A247" s="10" t="s">
        <v>2042</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1845</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Overwrite]])&lt;&gt;"",meta_Columns[[#This Row],[Excel Column - Label Overwrite]],meta_Columns[[#This Row],[Excel Column - Label from Property or Referenced Table]])</f>
        <v>Base Type</v>
      </c>
      <c r="BB247" s="43" t="s">
        <v>1363</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2043</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1845</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Overwrite]])&lt;&gt;"",meta_Columns[[#This Row],[Excel Column - Label Overwrite]],meta_Columns[[#This Row],[Excel Column - Label from Property or Referenced Table]])</f>
        <v>Base as Parameter</v>
      </c>
      <c r="BB248" s="43" t="s">
        <v>1364</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2044</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1845</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Overwrite]])&lt;&gt;"",meta_Columns[[#This Row],[Excel Column - Label Overwrite]],meta_Columns[[#This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2045</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1845</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Overwrite]])&lt;&gt;"",meta_Columns[[#This Row],[Excel Column - Label Overwrite]],meta_Columns[[#This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2046</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1845</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Overwrite]])&lt;&gt;"",meta_Columns[[#This Row],[Excel Column - Label Overwrite]],meta_Columns[[#This Row],[Excel Column - Label from Property or Referenced Table]])</f>
        <v>Property 1</v>
      </c>
      <c r="BB251" s="43" t="s">
        <v>1365</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2047</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1845</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Overwrite]])&lt;&gt;"",meta_Columns[[#This Row],[Excel Column - Label Overwrite]],meta_Columns[[#This Row],[Excel Column - Label from Property or Referenced Table]])</f>
        <v>Property 1 Super Class 6:display:q.</v>
      </c>
      <c r="BB252" s="43" t="s">
        <v>1803</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2048</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1845</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Overwrite]])&lt;&gt;"",meta_Columns[[#This Row],[Excel Column - Label Overwrite]],meta_Columns[[#This Row],[Excel Column - Label from Property or Referenced Table]])</f>
        <v>Property 1 Super Class 6</v>
      </c>
      <c r="BB253" s="43" t="s">
        <v>2373</v>
      </c>
      <c r="BC253" s="44" t="str">
        <f>IF(meta_Columns[[#This Row],[Excel Column - Explicit Excel Formula]]="","",meta_Columns[[#This Row],[Excel Column - Explicit Excel Formula]])</f>
        <v>Formula:=IFNA(INDEX(#REF!,MATCH([@[Property 1 Super Class 5]],meta_Classifiers[ID],0)),0)</v>
      </c>
      <c r="BD253" s="5"/>
      <c r="BE253" s="5"/>
    </row>
    <row r="254" spans="1:57">
      <c r="A254" s="10" t="s">
        <v>2049</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1845</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Overwrite]])&lt;&gt;"",meta_Columns[[#This Row],[Excel Column - Label Overwrite]],meta_Columns[[#This Row],[Excel Column - Label from Property or Referenced Table]])</f>
        <v>Property 1 Super Class 5:display:q.</v>
      </c>
      <c r="BB254" s="43" t="s">
        <v>1804</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2050</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1845</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Overwrite]])&lt;&gt;"",meta_Columns[[#This Row],[Excel Column - Label Overwrite]],meta_Columns[[#This Row],[Excel Column - Label from Property or Referenced Table]])</f>
        <v>Property 1 Super Class 5</v>
      </c>
      <c r="BB255" s="43" t="s">
        <v>2374</v>
      </c>
      <c r="BC255" s="44" t="str">
        <f>IF(meta_Columns[[#This Row],[Excel Column - Explicit Excel Formula]]="","",meta_Columns[[#This Row],[Excel Column - Explicit Excel Formula]])</f>
        <v>Formula:=IFNA(INDEX(#REF!,MATCH([@[Property 1 Super Class 4]],meta_Classifiers[ID],0)),0)</v>
      </c>
      <c r="BD255" s="5"/>
      <c r="BE255" s="5"/>
    </row>
    <row r="256" spans="1:57">
      <c r="A256" s="10" t="s">
        <v>2051</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1845</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Overwrite]])&lt;&gt;"",meta_Columns[[#This Row],[Excel Column - Label Overwrite]],meta_Columns[[#This Row],[Excel Column - Label from Property or Referenced Table]])</f>
        <v>Property 1 Super Class 4:display:q.</v>
      </c>
      <c r="BB256" s="43" t="s">
        <v>1805</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2052</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1845</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Overwrite]])&lt;&gt;"",meta_Columns[[#This Row],[Excel Column - Label Overwrite]],meta_Columns[[#This Row],[Excel Column - Label from Property or Referenced Table]])</f>
        <v>Property 1 Super Class 4</v>
      </c>
      <c r="BB257" s="43" t="s">
        <v>2375</v>
      </c>
      <c r="BC257" s="44" t="str">
        <f>IF(meta_Columns[[#This Row],[Excel Column - Explicit Excel Formula]]="","",meta_Columns[[#This Row],[Excel Column - Explicit Excel Formula]])</f>
        <v>Formula:=IFNA(INDEX(#REF!,MATCH([@[Property 1 Super Class 3]],meta_Classifiers[ID],0)),0)</v>
      </c>
      <c r="BD257" s="5"/>
      <c r="BE257" s="5"/>
    </row>
    <row r="258" spans="1:57">
      <c r="A258" s="10" t="s">
        <v>2053</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1845</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Overwrite]])&lt;&gt;"",meta_Columns[[#This Row],[Excel Column - Label Overwrite]],meta_Columns[[#This Row],[Excel Column - Label from Property or Referenced Table]])</f>
        <v>Property 1 Super Class 3:display:q.</v>
      </c>
      <c r="BB258" s="43" t="s">
        <v>1806</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2054</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1845</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Overwrite]])&lt;&gt;"",meta_Columns[[#This Row],[Excel Column - Label Overwrite]],meta_Columns[[#This Row],[Excel Column - Label from Property or Referenced Table]])</f>
        <v>Property 1 Super Class 3</v>
      </c>
      <c r="BB259" s="43" t="s">
        <v>2376</v>
      </c>
      <c r="BC259" s="44" t="str">
        <f>IF(meta_Columns[[#This Row],[Excel Column - Explicit Excel Formula]]="","",meta_Columns[[#This Row],[Excel Column - Explicit Excel Formula]])</f>
        <v>Formula:=IFNA(INDEX(#REF!,MATCH([@[Property 1 Super Class 2]],meta_Classifiers[ID],0)),0)</v>
      </c>
      <c r="BD259" s="5"/>
      <c r="BE259" s="5"/>
    </row>
    <row r="260" spans="1:57">
      <c r="A260" s="10" t="s">
        <v>2055</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1845</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Overwrite]])&lt;&gt;"",meta_Columns[[#This Row],[Excel Column - Label Overwrite]],meta_Columns[[#This Row],[Excel Column - Label from Property or Referenced Table]])</f>
        <v>Property 1 Super Class 2:display:q.</v>
      </c>
      <c r="BB260" s="43" t="s">
        <v>1807</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2056</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1845</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Overwrite]])&lt;&gt;"",meta_Columns[[#This Row],[Excel Column - Label Overwrite]],meta_Columns[[#This Row],[Excel Column - Label from Property or Referenced Table]])</f>
        <v>Property 1 Super Class 2</v>
      </c>
      <c r="BB261" s="43" t="s">
        <v>2377</v>
      </c>
      <c r="BC261" s="44" t="str">
        <f>IF(meta_Columns[[#This Row],[Excel Column - Explicit Excel Formula]]="","",meta_Columns[[#This Row],[Excel Column - Explicit Excel Formula]])</f>
        <v>Formula:=IFNA(INDEX(#REF!,MATCH([@[Property 1 Super Class 1]],meta_Classifiers[ID],0)),0)</v>
      </c>
      <c r="BD261" s="5"/>
      <c r="BE261" s="5"/>
    </row>
    <row r="262" spans="1:57">
      <c r="A262" s="10" t="s">
        <v>2057</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1845</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Overwrite]])&lt;&gt;"",meta_Columns[[#This Row],[Excel Column - Label Overwrite]],meta_Columns[[#This Row],[Excel Column - Label from Property or Referenced Table]])</f>
        <v>Property 1 Super Class 1:display:q.</v>
      </c>
      <c r="BB262" s="43" t="s">
        <v>1808</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2058</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1845</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Overwrite]])&lt;&gt;"",meta_Columns[[#This Row],[Excel Column - Label Overwrite]],meta_Columns[[#This Row],[Excel Column - Label from Property or Referenced Table]])</f>
        <v>Property 1 Super Class 1</v>
      </c>
      <c r="BB263" s="43" t="s">
        <v>2378</v>
      </c>
      <c r="BC263" s="44" t="str">
        <f>IF(meta_Columns[[#This Row],[Excel Column - Explicit Excel Formula]]="","",meta_Columns[[#This Row],[Excel Column - Explicit Excel Formula]])</f>
        <v>Formula:=IFNA(INDEX(#REF!,MATCH([@[Property 1 Type]],meta_Classifiers[ID],0)),0)</v>
      </c>
      <c r="BD263" s="5"/>
      <c r="BE263" s="5"/>
    </row>
    <row r="264" spans="1:57">
      <c r="A264" s="10" t="s">
        <v>2059</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1845</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Overwrite]])&lt;&gt;"",meta_Columns[[#This Row],[Excel Column - Label Overwrite]],meta_Columns[[#This Row],[Excel Column - Label from Property or Referenced Table]])</f>
        <v>Property 1 Class:display:q.</v>
      </c>
      <c r="BB264" s="43" t="s">
        <v>1809</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2060</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1845</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Overwrite]])&lt;&gt;"",meta_Columns[[#This Row],[Excel Column - Label Overwrite]],meta_Columns[[#This Row],[Excel Column - Label from Property or Referenced Table]])</f>
        <v>Property 1 Type Kind</v>
      </c>
      <c r="BB265" s="43" t="s">
        <v>2379</v>
      </c>
      <c r="BC265" s="44" t="str">
        <f>IF(meta_Columns[[#This Row],[Excel Column - Explicit Excel Formula]]="","",meta_Columns[[#This Row],[Excel Column - Explicit Excel Formula]])</f>
        <v>Formula:=IF([@[Property 1 Type]]="","",INDEX(#REF!,MATCH([@[Property 1 Type]],meta_Classifiers[ID],0)))</v>
      </c>
      <c r="BD265" s="5"/>
      <c r="BE265" s="5"/>
    </row>
    <row r="266" spans="1:57">
      <c r="A266" s="10" t="s">
        <v>2061</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1845</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Overwrite]])&lt;&gt;"",meta_Columns[[#This Row],[Excel Column - Label Overwrite]],meta_Columns[[#This Row],[Excel Column - Label from Property or Referenced Table]])</f>
        <v>Property 1 Type</v>
      </c>
      <c r="BB266" s="43" t="s">
        <v>2260</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2062</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1845</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Overwrite]])&lt;&gt;"",meta_Columns[[#This Row],[Excel Column - Label Overwrite]],meta_Columns[[#This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2063</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1845</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Overwrite]])&lt;&gt;"",meta_Columns[[#This Row],[Excel Column - Label Overwrite]],meta_Columns[[#This Row],[Excel Column - Label from Property or Referenced Table]])</f>
        <v>Property 2</v>
      </c>
      <c r="BB268" s="43" t="s">
        <v>1366</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2064</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1845</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Overwrite]])&lt;&gt;"",meta_Columns[[#This Row],[Excel Column - Label Overwrite]],meta_Columns[[#This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2065</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1845</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Overwrite]])&lt;&gt;"",meta_Columns[[#This Row],[Excel Column - Label Overwrite]],meta_Columns[[#This Row],[Excel Column - Label from Property or Referenced Table]])</f>
        <v>Cast</v>
      </c>
      <c r="BB270" s="43" t="s">
        <v>1367</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2066</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1845</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Overwrite]])&lt;&gt;"",meta_Columns[[#This Row],[Excel Column - Label Overwrite]],meta_Columns[[#This Row],[Excel Column - Label from Property or Referenced Table]])</f>
        <v>Property 2 Super Class 6:display:q.</v>
      </c>
      <c r="BB271" s="43" t="s">
        <v>1810</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2067</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1845</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Overwrite]])&lt;&gt;"",meta_Columns[[#This Row],[Excel Column - Label Overwrite]],meta_Columns[[#This Row],[Excel Column - Label from Property or Referenced Table]])</f>
        <v>Property 2 Super Class 6</v>
      </c>
      <c r="BB272" s="43" t="s">
        <v>2380</v>
      </c>
      <c r="BC272" s="44" t="str">
        <f>IF(meta_Columns[[#This Row],[Excel Column - Explicit Excel Formula]]="","",meta_Columns[[#This Row],[Excel Column - Explicit Excel Formula]])</f>
        <v>Formula:=IFNA(INDEX(#REF!,MATCH([@[Property 2 Super Class 5]],meta_Classifiers[ID],0)),0)</v>
      </c>
      <c r="BD272" s="5"/>
      <c r="BE272" s="5"/>
    </row>
    <row r="273" spans="1:57">
      <c r="A273" s="10" t="s">
        <v>2068</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1845</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Overwrite]])&lt;&gt;"",meta_Columns[[#This Row],[Excel Column - Label Overwrite]],meta_Columns[[#This Row],[Excel Column - Label from Property or Referenced Table]])</f>
        <v>Property 2 Super Class 5:display:q.</v>
      </c>
      <c r="BB273" s="43" t="s">
        <v>1811</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2069</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1845</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Overwrite]])&lt;&gt;"",meta_Columns[[#This Row],[Excel Column - Label Overwrite]],meta_Columns[[#This Row],[Excel Column - Label from Property or Referenced Table]])</f>
        <v>Property 2 Super Class 5</v>
      </c>
      <c r="BB274" s="43" t="s">
        <v>2381</v>
      </c>
      <c r="BC274" s="44" t="str">
        <f>IF(meta_Columns[[#This Row],[Excel Column - Explicit Excel Formula]]="","",meta_Columns[[#This Row],[Excel Column - Explicit Excel Formula]])</f>
        <v>Formula:=IFNA(INDEX(#REF!,MATCH([@[Property 2 Super Class 4]],meta_Classifiers[ID],0)),0)</v>
      </c>
      <c r="BD274" s="5"/>
      <c r="BE274" s="5"/>
    </row>
    <row r="275" spans="1:57">
      <c r="A275" s="10" t="s">
        <v>2070</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1845</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Overwrite]])&lt;&gt;"",meta_Columns[[#This Row],[Excel Column - Label Overwrite]],meta_Columns[[#This Row],[Excel Column - Label from Property or Referenced Table]])</f>
        <v>Property 2 Super Class 4:display:q.</v>
      </c>
      <c r="BB275" s="43" t="s">
        <v>1812</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2071</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1845</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Overwrite]])&lt;&gt;"",meta_Columns[[#This Row],[Excel Column - Label Overwrite]],meta_Columns[[#This Row],[Excel Column - Label from Property or Referenced Table]])</f>
        <v>Property 2 Super Class 4</v>
      </c>
      <c r="BB276" s="43" t="s">
        <v>2382</v>
      </c>
      <c r="BC276" s="44" t="str">
        <f>IF(meta_Columns[[#This Row],[Excel Column - Explicit Excel Formula]]="","",meta_Columns[[#This Row],[Excel Column - Explicit Excel Formula]])</f>
        <v>Formula:=IFNA(INDEX(#REF!,MATCH([@[Property 2 Super Class 3]],meta_Classifiers[ID],0)),0)</v>
      </c>
      <c r="BD276" s="5"/>
      <c r="BE276" s="5"/>
    </row>
    <row r="277" spans="1:57">
      <c r="A277" s="10" t="s">
        <v>2072</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1845</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Overwrite]])&lt;&gt;"",meta_Columns[[#This Row],[Excel Column - Label Overwrite]],meta_Columns[[#This Row],[Excel Column - Label from Property or Referenced Table]])</f>
        <v>Property 2 Super Class 3:display:q.</v>
      </c>
      <c r="BB277" s="43" t="s">
        <v>1813</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2073</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1845</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Overwrite]])&lt;&gt;"",meta_Columns[[#This Row],[Excel Column - Label Overwrite]],meta_Columns[[#This Row],[Excel Column - Label from Property or Referenced Table]])</f>
        <v>Property 2 Super Class 3</v>
      </c>
      <c r="BB278" s="43" t="s">
        <v>2383</v>
      </c>
      <c r="BC278" s="44" t="str">
        <f>IF(meta_Columns[[#This Row],[Excel Column - Explicit Excel Formula]]="","",meta_Columns[[#This Row],[Excel Column - Explicit Excel Formula]])</f>
        <v>Formula:=IFNA(INDEX(#REF!,MATCH([@[Property 2 Super Class 2]],meta_Classifiers[ID],0)),0)</v>
      </c>
      <c r="BD278" s="5"/>
      <c r="BE278" s="5"/>
    </row>
    <row r="279" spans="1:57">
      <c r="A279" s="10" t="s">
        <v>2074</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1845</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Overwrite]])&lt;&gt;"",meta_Columns[[#This Row],[Excel Column - Label Overwrite]],meta_Columns[[#This Row],[Excel Column - Label from Property or Referenced Table]])</f>
        <v>Property 2 Super Class 2:display:q.</v>
      </c>
      <c r="BB279" s="43" t="s">
        <v>1814</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2075</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1845</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Overwrite]])&lt;&gt;"",meta_Columns[[#This Row],[Excel Column - Label Overwrite]],meta_Columns[[#This Row],[Excel Column - Label from Property or Referenced Table]])</f>
        <v>Property 2 Super Class 2</v>
      </c>
      <c r="BB280" s="43" t="s">
        <v>2384</v>
      </c>
      <c r="BC280" s="44" t="str">
        <f>IF(meta_Columns[[#This Row],[Excel Column - Explicit Excel Formula]]="","",meta_Columns[[#This Row],[Excel Column - Explicit Excel Formula]])</f>
        <v>Formula:=IFNA(INDEX(#REF!,MATCH([@[Property 2 Super Class 1]],meta_Classifiers[ID],0)),0)</v>
      </c>
      <c r="BD280" s="5"/>
      <c r="BE280" s="5"/>
    </row>
    <row r="281" spans="1:57">
      <c r="A281" s="10" t="s">
        <v>2076</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1845</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Overwrite]])&lt;&gt;"",meta_Columns[[#This Row],[Excel Column - Label Overwrite]],meta_Columns[[#This Row],[Excel Column - Label from Property or Referenced Table]])</f>
        <v>Property 2 Super Class 1:display:q.</v>
      </c>
      <c r="BB281" s="43" t="s">
        <v>1815</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2077</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1845</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Overwrite]])&lt;&gt;"",meta_Columns[[#This Row],[Excel Column - Label Overwrite]],meta_Columns[[#This Row],[Excel Column - Label from Property or Referenced Table]])</f>
        <v>Property 2 Super Class 1</v>
      </c>
      <c r="BB282" s="43" t="s">
        <v>2385</v>
      </c>
      <c r="BC282" s="44" t="str">
        <f>IF(meta_Columns[[#This Row],[Excel Column - Explicit Excel Formula]]="","",meta_Columns[[#This Row],[Excel Column - Explicit Excel Formula]])</f>
        <v>Formula:=IFNA(INDEX(#REF!,MATCH([@[Property 2 or Cast Type]],meta_Classifiers[ID],0)),0)</v>
      </c>
      <c r="BD282" s="5"/>
      <c r="BE282" s="5"/>
    </row>
    <row r="283" spans="1:57">
      <c r="A283" s="10" t="s">
        <v>2078</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1845</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Overwrite]])&lt;&gt;"",meta_Columns[[#This Row],[Excel Column - Label Overwrite]],meta_Columns[[#This Row],[Excel Column - Label from Property or Referenced Table]])</f>
        <v>Property 2 Class:display:q.</v>
      </c>
      <c r="BB283" s="43" t="s">
        <v>1816</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2079</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1845</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Overwrite]])&lt;&gt;"",meta_Columns[[#This Row],[Excel Column - Label Overwrite]],meta_Columns[[#This Row],[Excel Column - Label from Property or Referenced Table]])</f>
        <v>Property 2 or Cast Type Kind</v>
      </c>
      <c r="BB284" s="43" t="s">
        <v>2386</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2080</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1845</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Overwrite]])&lt;&gt;"",meta_Columns[[#This Row],[Excel Column - Label Overwrite]],meta_Columns[[#This Row],[Excel Column - Label from Property or Referenced Table]])</f>
        <v>Property 2 or Cast Type</v>
      </c>
      <c r="BB285" s="43" t="s">
        <v>2261</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2081</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1845</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Overwrite]])&lt;&gt;"",meta_Columns[[#This Row],[Excel Column - Label Overwrite]],meta_Columns[[#This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2082</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1845</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Overwrite]])&lt;&gt;"",meta_Columns[[#This Row],[Excel Column - Label Overwrite]],meta_Columns[[#This Row],[Excel Column - Label from Property or Referenced Table]])</f>
        <v>Property 3</v>
      </c>
      <c r="BB287" s="43" t="s">
        <v>1368</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2083</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1845</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Overwrite]])&lt;&gt;"",meta_Columns[[#This Row],[Excel Column - Label Overwrite]],meta_Columns[[#This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2084</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1845</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Overwrite]])&lt;&gt;"",meta_Columns[[#This Row],[Excel Column - Label Overwrite]],meta_Columns[[#This Row],[Excel Column - Label from Property or Referenced Table]])</f>
        <v>Rule</v>
      </c>
      <c r="BB289" s="43" t="s">
        <v>1369</v>
      </c>
      <c r="BC289" s="8" t="str">
        <f>IF(meta_Columns[[#This Row],[Excel Column - Explicit Excel Formula]]="","",meta_Columns[[#This Row],[Excel Column - Explicit Excel Formula]])</f>
        <v>Formula:=+"1"</v>
      </c>
      <c r="BD289" s="5"/>
      <c r="BE289" s="5"/>
    </row>
    <row r="290" spans="1:57">
      <c r="A290" s="10" t="s">
        <v>2085</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1845</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Overwrite]])&lt;&gt;"",meta_Columns[[#This Row],[Excel Column - Label Overwrite]],meta_Columns[[#This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2086</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1845</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Overwrite]])&lt;&gt;"",meta_Columns[[#This Row],[Excel Column - Label Overwrite]],meta_Columns[[#This Row],[Excel Column - Label from Property or Referenced Table]])</f>
        <v>VBA Code</v>
      </c>
      <c r="BB291" s="43" t="s">
        <v>1370</v>
      </c>
      <c r="BC291" s="8" t="str">
        <f>IF(meta_Columns[[#This Row],[Excel Column - Explicit Excel Formula]]="","",meta_Columns[[#This Row],[Excel Column - Explicit Excel Formula]])</f>
        <v>Formula:=IF([@[Manual VBA Code]]&lt;&gt;"",[@[Manual VBA Code]],"TODO")</v>
      </c>
      <c r="BD291" s="5"/>
      <c r="BE291" s="5"/>
    </row>
    <row r="292" spans="1:57">
      <c r="A292" s="10" t="s">
        <v>2087</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1845</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Overwrite]])&lt;&gt;"",meta_Columns[[#This Row],[Excel Column - Label Overwrite]],meta_Columns[[#This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2088</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1845</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Overwrite]])&lt;&gt;"",meta_Columns[[#This Row],[Excel Column - Label Overwrite]],meta_Columns[[#This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2089</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1845</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Overwrite]])&lt;&gt;"",meta_Columns[[#This Row],[Excel Column - Label Overwrite]],meta_Columns[[#This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2090</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1845</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Overwrite]])&lt;&gt;"",meta_Columns[[#This Row],[Excel Column - Label Overwrite]],meta_Columns[[#This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2091</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1845</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Overwrite]])&lt;&gt;"",meta_Columns[[#This Row],[Excel Column - Label Overwrite]],meta_Columns[[#This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2092</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1845</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Overwrite]])&lt;&gt;"",meta_Columns[[#This Row],[Excel Column - Label Overwrite]],meta_Columns[[#This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2093</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1845</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Overwrite]])&lt;&gt;"",meta_Columns[[#This Row],[Excel Column - Label Overwrite]],meta_Columns[[#This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2094</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1850</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Overwrite]])&lt;&gt;"",meta_Columns[[#This Row],[Excel Column - Label Overwrite]],meta_Columns[[#This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2095</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1850</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Overwrite]])&lt;&gt;"",meta_Columns[[#This Row],[Excel Column - Label Overwrite]],meta_Columns[[#This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2096</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1850</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Overwrite]])&lt;&gt;"",meta_Columns[[#This Row],[Excel Column - Label Overwrite]],meta_Columns[[#This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2097</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1850</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Overwrite]])&lt;&gt;"",meta_Columns[[#This Row],[Excel Column - Label Overwrite]],meta_Columns[[#This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2098</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1850</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Overwrite]])&lt;&gt;"",meta_Columns[[#This Row],[Excel Column - Label Overwrite]],meta_Columns[[#This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2099</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1850</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Overwrite]])&lt;&gt;"",meta_Columns[[#This Row],[Excel Column - Label Overwrite]],meta_Columns[[#This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2100</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1840</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05" s="8" t="str">
        <f>IFERROR(LEFT(meta_Columns[[#This Row],[Excel Column - Label Actual without Semantic Case]],FIND("-",
meta_Columns[[#This Row],[Excel Column - Label Actual without Semantic Case]])-2),"")</f>
        <v/>
      </c>
      <c r="AU3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05" s="22"/>
      <c r="AY305" s="8" t="str">
        <f>meta_Columns[[#This Row],[Owning Table]]&amp;"."&amp;meta_Columns[[#This Row],[Excel Column - Label]]</f>
        <v>meta::Snippets.ID</v>
      </c>
      <c r="AZ305" s="43" t="s">
        <v>0</v>
      </c>
      <c r="BA305" s="44" t="str">
        <f>IF(TRIM(meta_Columns[[#This Row],[Excel Column - Label Overwrite]])&lt;&gt;"",meta_Columns[[#This Row],[Excel Column - Label Overwrite]],meta_Columns[[#This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2188</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1840</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6" s="8" t="str">
        <f>IFERROR(LEFT(meta_Columns[[#This Row],[Excel Column - Label Actual without Semantic Case]],FIND("-",
meta_Columns[[#This Row],[Excel Column - Label Actual without Semantic Case]])-2),"")</f>
        <v/>
      </c>
      <c r="AU3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06" s="22"/>
      <c r="AY306" s="8" t="str">
        <f>meta_Columns[[#This Row],[Owning Table]]&amp;"."&amp;meta_Columns[[#This Row],[Excel Column - Label]]</f>
        <v>meta::Snippets.Kind:src</v>
      </c>
      <c r="AZ306" s="43" t="s">
        <v>230</v>
      </c>
      <c r="BA306" s="44" t="str">
        <f>IF(TRIM(meta_Columns[[#This Row],[Excel Column - Label Overwrite]])&lt;&gt;"",meta_Columns[[#This Row],[Excel Column - Label Overwrite]],meta_Columns[[#This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2189</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1840</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7" s="8" t="str">
        <f>IFERROR(LEFT(meta_Columns[[#This Row],[Excel Column - Label Actual without Semantic Case]],FIND("-",
meta_Columns[[#This Row],[Excel Column - Label Actual without Semantic Case]])-2),"")</f>
        <v/>
      </c>
      <c r="AU3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7" s="22"/>
      <c r="AY307" s="8" t="str">
        <f>meta_Columns[[#This Row],[Owning Table]]&amp;"."&amp;meta_Columns[[#This Row],[Excel Column - Label]]</f>
        <v>meta::Snippets.Kind</v>
      </c>
      <c r="AZ307" s="43" t="s">
        <v>5</v>
      </c>
      <c r="BA307" s="44" t="str">
        <f>IF(TRIM(meta_Columns[[#This Row],[Excel Column - Label Overwrite]])&lt;&gt;"",meta_Columns[[#This Row],[Excel Column - Label Overwrite]],meta_Columns[[#This Row],[Excel Column - Label from Property or Referenced Table]])</f>
        <v>Kind</v>
      </c>
      <c r="BB307" s="43" t="s">
        <v>2315</v>
      </c>
      <c r="BC307" s="8" t="str">
        <f>IF(meta_Columns[[#This Row],[Excel Column - Explicit Excel Formula]]="","",meta_Columns[[#This Row],[Excel Column - Explicit Excel Formula]])</f>
        <v>Formula:= IF( TRIM( [@[Kind:src]] ) = "", "",
        INDEX( meta_Classifiers[Display Qualified], MATCH( [@[Kind:src]], meta_Classifiers[ID], 0 ) ) )</v>
      </c>
      <c r="BD307" s="5" t="s">
        <v>2292</v>
      </c>
      <c r="BE307" s="5"/>
    </row>
    <row r="308" spans="1:57">
      <c r="A308" s="10" t="s">
        <v>2190</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1840</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08" s="8" t="str">
        <f>IFERROR(LEFT(meta_Columns[[#This Row],[Excel Column - Label Actual without Semantic Case]],FIND("-",
meta_Columns[[#This Row],[Excel Column - Label Actual without Semantic Case]])-2),"")</f>
        <v/>
      </c>
      <c r="AU3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08" s="22"/>
      <c r="AY308" s="8" t="str">
        <f>meta_Columns[[#This Row],[Owning Table]]&amp;"."&amp;meta_Columns[[#This Row],[Excel Column - Label]]</f>
        <v>meta::Snippets.Package</v>
      </c>
      <c r="AZ308" s="43" t="s">
        <v>120</v>
      </c>
      <c r="BA308" s="44" t="str">
        <f>IF(TRIM(meta_Columns[[#This Row],[Excel Column - Label Overwrite]])&lt;&gt;"",meta_Columns[[#This Row],[Excel Column - Label Overwrite]],meta_Columns[[#This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2101</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1840</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09" s="8" t="str">
        <f>IFERROR(LEFT(meta_Columns[[#This Row],[Excel Column - Label Actual without Semantic Case]],FIND("-",
meta_Columns[[#This Row],[Excel Column - Label Actual without Semantic Case]])-2),"")</f>
        <v/>
      </c>
      <c r="AU3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09" s="22"/>
      <c r="AY309" s="8" t="str">
        <f>meta_Columns[[#This Row],[Owning Table]]&amp;"."&amp;meta_Columns[[#This Row],[Excel Column - Label]]</f>
        <v>meta::Snippets.Sub Package</v>
      </c>
      <c r="AZ309" s="43" t="s">
        <v>461</v>
      </c>
      <c r="BA309" s="44" t="str">
        <f>IF(TRIM(meta_Columns[[#This Row],[Excel Column - Label Overwrite]])&lt;&gt;"",meta_Columns[[#This Row],[Excel Column - Label Overwrite]],meta_Columns[[#This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2191</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1840</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310" s="8" t="str">
        <f>IFERROR(LEFT(meta_Columns[[#This Row],[Excel Column - Label Actual without Semantic Case]],FIND("-",
meta_Columns[[#This Row],[Excel Column - Label Actual without Semantic Case]])-2),"")</f>
        <v/>
      </c>
      <c r="AU3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310" s="22"/>
      <c r="AY310" s="8" t="str">
        <f>meta_Columns[[#This Row],[Owning Table]]&amp;"."&amp;meta_Columns[[#This Row],[Excel Column - Label]]</f>
        <v>meta::Snippets.Line</v>
      </c>
      <c r="AZ310" s="43" t="s">
        <v>31</v>
      </c>
      <c r="BA310" s="44" t="str">
        <f>IF(TRIM(meta_Columns[[#This Row],[Excel Column - Label Overwrite]])&lt;&gt;"",meta_Columns[[#This Row],[Excel Column - Label Overwrite]],meta_Columns[[#This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2102</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1840</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Snippet</v>
      </c>
      <c r="AT311" s="8" t="str">
        <f>IFERROR(LEFT(meta_Columns[[#This Row],[Excel Column - Label Actual without Semantic Case]],FIND("-",
meta_Columns[[#This Row],[Excel Column - Label Actual without Semantic Case]])-2),"")</f>
        <v/>
      </c>
      <c r="AU3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Snippet</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Snippet</v>
      </c>
      <c r="AX311" s="22"/>
      <c r="AY311" s="8" t="str">
        <f>meta_Columns[[#This Row],[Owning Table]]&amp;"."&amp;meta_Columns[[#This Row],[Excel Column - Label]]</f>
        <v>meta::Snippets.Snippet</v>
      </c>
      <c r="AZ311" s="43" t="s">
        <v>574</v>
      </c>
      <c r="BA311" s="44" t="str">
        <f>IF(TRIM(meta_Columns[[#This Row],[Excel Column - Label Overwrite]])&lt;&gt;"",meta_Columns[[#This Row],[Excel Column - Label Overwrite]],meta_Columns[[#This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2103</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1848</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Overwrite]])&lt;&gt;"",meta_Columns[[#This Row],[Excel Column - Label Overwrite]],meta_Columns[[#This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2104</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1848</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1752</v>
      </c>
      <c r="BA313" s="44" t="str">
        <f>IF(TRIM(meta_Columns[[#This Row],[Excel Column - Label Overwrite]])&lt;&gt;"",meta_Columns[[#This Row],[Excel Column - Label Overwrite]],meta_Columns[[#This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2105</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1848</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Overwrite]])&lt;&gt;"",meta_Columns[[#This Row],[Excel Column - Label Overwrite]],meta_Columns[[#This Row],[Excel Column - Label from Property or Referenced Table]])</f>
        <v>Kind</v>
      </c>
      <c r="BB314" s="43"/>
      <c r="BC314" s="8" t="str">
        <f>IF(meta_Columns[[#This Row],[Excel Column - Explicit Excel Formula]]="","",meta_Columns[[#This Row],[Excel Column - Explicit Excel Formula]])</f>
        <v/>
      </c>
      <c r="BD314" s="5" t="s">
        <v>2292</v>
      </c>
      <c r="BE314" s="5"/>
    </row>
    <row r="315" spans="1:57">
      <c r="A315" s="10" t="s">
        <v>2106</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1848</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Overwrite]])&lt;&gt;"",meta_Columns[[#This Row],[Excel Column - Label Overwrite]],meta_Columns[[#This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2107</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1848</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Overwrite]])&lt;&gt;"",meta_Columns[[#This Row],[Excel Column - Label Overwrite]],meta_Columns[[#This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2108</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1848</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Overwrite]])&lt;&gt;"",meta_Columns[[#This Row],[Excel Column - Label Overwrite]],meta_Columns[[#This Row],[Excel Column - Label from Property or Referenced Table]])</f>
        <v>Display:q</v>
      </c>
      <c r="BB317" s="43" t="s">
        <v>1344</v>
      </c>
      <c r="BC317" s="8" t="str">
        <f>IF(meta_Columns[[#This Row],[Excel Column - Explicit Excel Formula]]="","",meta_Columns[[#This Row],[Excel Column - Explicit Excel Formula]])</f>
        <v>Formula:=IF(TRIM([@Package])="","",TRIM(LOWER([@Package]))&amp;"::")&amp;[@Display]</v>
      </c>
      <c r="BD317" s="5"/>
      <c r="BE317" s="5"/>
    </row>
    <row r="318" spans="1:57">
      <c r="A318" s="10" t="s">
        <v>2109</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1848</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Overwrite]])&lt;&gt;"",meta_Columns[[#This Row],[Excel Column - Label Overwrite]],meta_Columns[[#This Row],[Excel Column - Label from Property or Referenced Table]])</f>
        <v>Display</v>
      </c>
      <c r="BB318" s="43" t="s">
        <v>1349</v>
      </c>
      <c r="BC318" s="8" t="str">
        <f>IF(meta_Columns[[#This Row],[Excel Column - Explicit Excel Formula]]="","",meta_Columns[[#This Row],[Excel Column - Explicit Excel Formula]])</f>
        <v>Formula:=TRIM(SUBSTITUTE([@Name]," ",""))</v>
      </c>
      <c r="BD318" s="5"/>
      <c r="BE318" s="5"/>
    </row>
    <row r="319" spans="1:57">
      <c r="A319" s="10" t="s">
        <v>2110</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1848</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Overwrite]])&lt;&gt;"",meta_Columns[[#This Row],[Excel Column - Label Overwrite]],meta_Columns[[#This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2111</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1848</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Overwrite]])&lt;&gt;"",meta_Columns[[#This Row],[Excel Column - Label Overwrite]],meta_Columns[[#This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2112</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1848</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Overwrite]])&lt;&gt;"",meta_Columns[[#This Row],[Excel Column - Label Overwrite]],meta_Columns[[#This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2113</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1848</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Overwrite]])&lt;&gt;"",meta_Columns[[#This Row],[Excel Column - Label Overwrite]],meta_Columns[[#This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2114</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1848</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Overwrite]])&lt;&gt;"",meta_Columns[[#This Row],[Excel Column - Label Overwrite]],meta_Columns[[#This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2115</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1848</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Overwrite]])&lt;&gt;"",meta_Columns[[#This Row],[Excel Column - Label Overwrite]],meta_Columns[[#This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2116</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1848</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Overwrite]])&lt;&gt;"",meta_Columns[[#This Row],[Excel Column - Label Overwrite]],meta_Columns[[#This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2117</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1848</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Overwrite]])&lt;&gt;"",meta_Columns[[#This Row],[Excel Column - Label Overwrite]],meta_Columns[[#This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2118</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1848</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Overwrite]])&lt;&gt;"",meta_Columns[[#This Row],[Excel Column - Label Overwrite]],meta_Columns[[#This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2119</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1848</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Overwrite]])&lt;&gt;"",meta_Columns[[#This Row],[Excel Column - Label Overwrite]],meta_Columns[[#This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2120</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1848</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Overwrite]])&lt;&gt;"",meta_Columns[[#This Row],[Excel Column - Label Overwrite]],meta_Columns[[#This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2121</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1848</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Overwrite]])&lt;&gt;"",meta_Columns[[#This Row],[Excel Column - Label Overwrite]],meta_Columns[[#This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2122</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1848</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Overwrite]])&lt;&gt;"",meta_Columns[[#This Row],[Excel Column - Label Overwrite]],meta_Columns[[#This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2123</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1848</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Overwrite]])&lt;&gt;"",meta_Columns[[#This Row],[Excel Column - Label Overwrite]],meta_Columns[[#This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2124</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1843</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Overwrite]])&lt;&gt;"",meta_Columns[[#This Row],[Excel Column - Label Overwrite]],meta_Columns[[#This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2196</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1843</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Overwrite]])&lt;&gt;"",meta_Columns[[#This Row],[Excel Column - Label Overwrite]],meta_Columns[[#This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2198</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1843</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Overwrite]])&lt;&gt;"",meta_Columns[[#This Row],[Excel Column - Label Overwrite]],meta_Columns[[#This Row],[Excel Column - Label from Property or Referenced Table]])</f>
        <v>Kind</v>
      </c>
      <c r="BB335" s="43" t="s">
        <v>2315</v>
      </c>
      <c r="BC335" s="44" t="str">
        <f>IF(meta_Columns[[#This Row],[Excel Column - Explicit Excel Formula]]="","",meta_Columns[[#This Row],[Excel Column - Explicit Excel Formula]])</f>
        <v>Formula:= IF( TRIM( [@[Kind:src]] ) = "", "",
        INDEX( meta_Classifiers[Display Qualified], MATCH( [@[Kind:src]], meta_Classifiers[ID], 0 ) ) )</v>
      </c>
      <c r="BD335" s="5" t="s">
        <v>2292</v>
      </c>
      <c r="BE335" s="5"/>
    </row>
    <row r="336" spans="1:57">
      <c r="A336" s="10" t="s">
        <v>2199</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1843</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Overwrite]])&lt;&gt;"",meta_Columns[[#This Row],[Excel Column - Label Overwrite]],meta_Columns[[#This Row],[Excel Column - Label from Property or Referenced Table]])</f>
        <v>Package</v>
      </c>
      <c r="BB336" s="43" t="s">
        <v>2281</v>
      </c>
      <c r="BC336" s="44" t="str">
        <f>IF(meta_Columns[[#This Row],[Excel Column - Explicit Excel Formula]]="","",meta_Columns[[#This Row],[Excel Column - Explicit Excel Formula]])</f>
        <v>Formula:=IFERROR(LEFT([@[Excel Table - Excel Name]],FIND("_",[@[Excel Table - Excel Name]])-1),"")</v>
      </c>
      <c r="BD336" s="5"/>
      <c r="BE336" s="5"/>
    </row>
    <row r="337" spans="1:57">
      <c r="A337" s="10" t="s">
        <v>2126</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1843</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Overwrite]])&lt;&gt;"",meta_Columns[[#This Row],[Excel Column - Label Overwrite]],meta_Columns[[#This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2127</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1843</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Overwrite]])&lt;&gt;"",meta_Columns[[#This Row],[Excel Column - Label Overwrite]],meta_Columns[[#This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2128</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1843</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Overwrite]])&lt;&gt;"",meta_Columns[[#This Row],[Excel Column - Label Overwrite]],meta_Columns[[#This Row],[Excel Column - Label from Property or Referenced Table]])</f>
        <v>Display Qualified</v>
      </c>
      <c r="BB339" s="43" t="s">
        <v>1377</v>
      </c>
      <c r="BC339" s="44" t="str">
        <f>IF(meta_Columns[[#This Row],[Excel Column - Explicit Excel Formula]]="","",meta_Columns[[#This Row],[Excel Column - Explicit Excel Formula]])</f>
        <v>Formula:=IF([@Package]="","",[@Package]&amp;"::")&amp;[@Display]</v>
      </c>
      <c r="BD339" s="5"/>
      <c r="BE339" s="5"/>
    </row>
    <row r="340" spans="1:57">
      <c r="A340" s="10" t="s">
        <v>2129</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1843</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Overwrite]])&lt;&gt;"",meta_Columns[[#This Row],[Excel Column - Label Overwrite]],meta_Columns[[#This Row],[Excel Column - Label from Property or Referenced Table]])</f>
        <v>Display</v>
      </c>
      <c r="BB340" s="43" t="s">
        <v>2220</v>
      </c>
      <c r="BC340" s="44" t="str">
        <f>IF(meta_Columns[[#This Row],[Excel Column - Explicit Excel Formula]]="","",meta_Columns[[#This Row],[Excel Column - Explicit Excel Formula]])</f>
        <v>Formula:=camelCaseUpper([@Name])</v>
      </c>
      <c r="BD340" s="5"/>
      <c r="BE340" s="5"/>
    </row>
    <row r="341" spans="1:57">
      <c r="A341" s="10" t="s">
        <v>2130</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1843</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Overwrite]])&lt;&gt;"",meta_Columns[[#This Row],[Excel Column - Label Overwrite]],meta_Columns[[#This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2200</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1843</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1829</v>
      </c>
      <c r="BA342" s="44" t="str">
        <f>IF(TRIM(meta_Columns[[#This Row],[Excel Column - Label Overwrite]])&lt;&gt;"",meta_Columns[[#This Row],[Excel Column - Label Overwrite]],meta_Columns[[#This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2131</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1843</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Overwrite]])&lt;&gt;"",meta_Columns[[#This Row],[Excel Column - Label Overwrite]],meta_Columns[[#This Row],[Excel Column - Label from Property or Referenced Table]])</f>
        <v>Instances Class</v>
      </c>
      <c r="BB343" s="43" t="s">
        <v>2320</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2292</v>
      </c>
      <c r="BE343" s="5"/>
    </row>
    <row r="344" spans="1:57">
      <c r="A344" s="10" t="s">
        <v>2132</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1843</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Overwrite]])&lt;&gt;"",meta_Columns[[#This Row],[Excel Column - Label Overwrite]],meta_Columns[[#This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2133</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1843</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Overwrite]])&lt;&gt;"",meta_Columns[[#This Row],[Excel Column - Label Overwrite]],meta_Columns[[#This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2134</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1843</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Overwrite]])&lt;&gt;"",meta_Columns[[#This Row],[Excel Column - Label Overwrite]],meta_Columns[[#This Row],[Excel Column - Label from Property or Referenced Table]])</f>
        <v xml:space="preserve">ExceFormula Previous Line </v>
      </c>
      <c r="BB346" s="43" t="s">
        <v>1378</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2135</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1843</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Overwrite]])&lt;&gt;"",meta_Columns[[#This Row],[Excel Column - Label Overwrite]],meta_Columns[[#This Row],[Excel Column - Label from Property or Referenced Table]])</f>
        <v>Excel Formula for Column "Excel Column - Label Actual" of Table Columns</v>
      </c>
      <c r="BB347" s="43" t="s">
        <v>2321</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2136</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1842</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Overwrite]])&lt;&gt;"",meta_Columns[[#This Row],[Excel Column - Label Overwrite]],meta_Columns[[#This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2230</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1842</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Overwrite]])&lt;&gt;"",meta_Columns[[#This Row],[Excel Column - Label Overwrite]],meta_Columns[[#This Row],[Excel Column - Label from Property or Referenced Table]])</f>
        <v>Kind:src</v>
      </c>
      <c r="BB349" s="43" t="s">
        <v>2197</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2125</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1842</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Overwrite]])&lt;&gt;"",meta_Columns[[#This Row],[Excel Column - Label Overwrite]],meta_Columns[[#This Row],[Excel Column - Label from Property or Referenced Table]])</f>
        <v>Kind</v>
      </c>
      <c r="BB350" s="43"/>
      <c r="BC350" s="44" t="str">
        <f>IF(meta_Columns[[#This Row],[Excel Column - Explicit Excel Formula]]="","",meta_Columns[[#This Row],[Excel Column - Explicit Excel Formula]])</f>
        <v/>
      </c>
      <c r="BD350" s="5" t="s">
        <v>2292</v>
      </c>
      <c r="BE350" s="5"/>
    </row>
    <row r="351" spans="1:57">
      <c r="A351" s="10" t="s">
        <v>2137</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1842</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Overwrite]])&lt;&gt;"",meta_Columns[[#This Row],[Excel Column - Label Overwrite]],meta_Columns[[#This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2231</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1842</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Overwrite]])&lt;&gt;"",meta_Columns[[#This Row],[Excel Column - Label Overwrite]],meta_Columns[[#This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2138</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1842</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Overwrite]])&lt;&gt;"",meta_Columns[[#This Row],[Excel Column - Label Overwrite]],meta_Columns[[#This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2232</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1842</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Overwrite]])&lt;&gt;"",meta_Columns[[#This Row],[Excel Column - Label Overwrite]],meta_Columns[[#This Row],[Excel Column - Label from Property or Referenced Table]])</f>
        <v>Containing Class</v>
      </c>
      <c r="BB354" s="43" t="s">
        <v>2233</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2234</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1842</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Overwrite]])&lt;&gt;"",meta_Columns[[#This Row],[Excel Column - Label Overwrite]],meta_Columns[[#This Row],[Excel Column - Label from Property or Referenced Table]])</f>
        <v>Containing Class:display</v>
      </c>
      <c r="BB355" s="43" t="s">
        <v>1345</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2235</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1842</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1824</v>
      </c>
      <c r="BA356" s="44" t="str">
        <f>IF(TRIM(meta_Columns[[#This Row],[Excel Column - Label Overwrite]])&lt;&gt;"",meta_Columns[[#This Row],[Excel Column - Label Overwrite]],meta_Columns[[#This Row],[Excel Column - Label from Property or Referenced Table]])</f>
        <v>Property - Owning Class:src</v>
      </c>
      <c r="BB356" s="43" t="s">
        <v>2236</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2237</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1842</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Overwrite]])&lt;&gt;"",meta_Columns[[#This Row],[Excel Column - Label Overwrite]],meta_Columns[[#This Row],[Excel Column - Label from Property or Referenced Table]])</f>
        <v>Property - Owning Class</v>
      </c>
      <c r="BB357" s="43"/>
      <c r="BC357" s="44" t="str">
        <f>IF(meta_Columns[[#This Row],[Excel Column - Explicit Excel Formula]]="","",meta_Columns[[#This Row],[Excel Column - Explicit Excel Formula]])</f>
        <v/>
      </c>
      <c r="BD357" s="5" t="s">
        <v>2292</v>
      </c>
      <c r="BE357" s="5"/>
    </row>
    <row r="358" spans="1:57">
      <c r="A358" s="10" t="s">
        <v>2238</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1842</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Overwrite]])&lt;&gt;"",meta_Columns[[#This Row],[Excel Column - Label Overwrite]],meta_Columns[[#This Row],[Excel Column - Label from Property or Referenced Table]])</f>
        <v>Display Qualified</v>
      </c>
      <c r="BB358" s="43" t="s">
        <v>2266</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4"/>
      <c r="B359" s="5" t="s">
        <v>546</v>
      </c>
      <c r="C359" s="125" t="str">
        <f xml:space="preserve"> IF( TRIM( meta_Columns[[#This Row],[Kind:src]] ) = "", "",
        INDEX( meta_Classifiers[Display Qualified], MATCH( meta_Columns[[#This Row],[Kind:src]], meta_Classifiers[ID], 0 ) ) )</f>
        <v>ExcelColumn</v>
      </c>
      <c r="D359" s="126" t="str">
        <f>IF(meta_Columns[[#This Row],[Owning Table:src]]="","",INDEX(meta_Classifiers[Package],MATCH(meta_Columns[[#This Row],[Owning Table Instances Class]],meta_Classifiers[ID],0)))</f>
        <v>meta</v>
      </c>
      <c r="E359" s="127"/>
      <c r="F359" s="126" t="str">
        <f>INDEX(meta_Tables[Excel Table - Excel Name],MATCH(meta_Columns[[#This Row],[Owning Table:src]],meta_Tables[ID],0))</f>
        <v>meta_TypedModelElements</v>
      </c>
      <c r="G359" s="126" t="str">
        <f>INDEX(meta_Tables[Instances Class:src],MATCH(meta_Columns[[#This Row],[Owning Table:src]],meta_Tables[ID],0))</f>
        <v>_TypedModelElement</v>
      </c>
      <c r="H359" s="11" t="s">
        <v>1842</v>
      </c>
      <c r="I359" s="127" t="str">
        <f xml:space="preserve"> IF( TRIM( meta_Columns[[#This Row],[Owning Table:src]] ) = "", "",
        INDEX( meta_Tables[Display Qualified], MATCH( meta_Columns[[#This Row],[Owning Table:src]], meta_Tables[ID], 0 ) ) )</f>
        <v>meta::TypedModelElements</v>
      </c>
      <c r="J359" s="128"/>
      <c r="K359" s="129" t="str">
        <f>IF(TRIM(meta_Columns[[#This Row],[Referenced Table:src]])="","",
    INDEX(meta_Tables[Display Qualified],MATCH(meta_Columns[[#This Row],[Referenced Table:src]],meta_Tables[ID],0)))</f>
        <v/>
      </c>
      <c r="L359" s="130"/>
      <c r="M359" s="131"/>
      <c r="N359" s="130" t="str">
        <f>IF(meta_Columns[[#This Row],[Excel Column - Excel Formula]]="","x","")</f>
        <v>x</v>
      </c>
      <c r="O359" s="22"/>
      <c r="P359" s="130" t="str">
        <f>IF(meta_Columns[[#This Row],[Referenced Table:src]]="","",INDEX(meta_Tables[Instances Class],MATCH(meta_Columns[[#This Row],[Referenced Table:src]],meta_Tables[ID],0)))</f>
        <v/>
      </c>
      <c r="Q359" s="132"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130"/>
      <c r="S359" s="133" t="str">
        <f xml:space="preserve"> IF( TRIM( meta_Columns[[#This Row],[Property:src]] ) = "", "",
        INDEX( meta_TypedModelElements[Display Qualified], MATCH( meta_Columns[[#This Row],[Property:src]], meta_TypedModelElements[ID], 0 ) ) )</f>
        <v/>
      </c>
      <c r="T359" s="133"/>
      <c r="U359" s="130" t="e">
        <f>INDEX(meta_Classifiers[Class - Generalization:src], MATCH(meta_Columns[[#This Row],[Generalization 5]],meta_Classifiers[ID],0))</f>
        <v>#N/A</v>
      </c>
      <c r="V359" s="130" t="e">
        <f>INDEX(meta_Classifiers[Class - Generalization:src], MATCH(meta_Columns[[#This Row],[Generalization 4]],meta_Classifiers[ID],0))</f>
        <v>#N/A</v>
      </c>
      <c r="W359" s="130" t="e">
        <f>INDEX(meta_Classifiers[Class - Generalization:src], MATCH(meta_Columns[[#This Row],[Generalization 3]],meta_Classifiers[ID],0))</f>
        <v>#N/A</v>
      </c>
      <c r="X359" s="130" t="str">
        <f>INDEX(meta_Classifiers[Class - Generalization:src], MATCH(meta_Columns[[#This Row],[Generalization 2]],meta_Classifiers[ID],0))</f>
        <v/>
      </c>
      <c r="Y359" s="130" t="str">
        <f>INDEX(meta_Classifiers[Class - Generalization:src], MATCH(meta_Columns[[#This Row],[Generalization 1]],meta_Classifiers[ID],0))</f>
        <v>_Object</v>
      </c>
      <c r="Z359" s="130" t="str">
        <f>INDEX(meta_Classifiers[Class - Generalization:src], MATCH(meta_Columns[[#This Row],[Owning Table Instances Class]],meta_Classifiers[ID],0))</f>
        <v>_NamedElement</v>
      </c>
      <c r="AA359" s="13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130"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130"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3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130" t="e">
        <f>INDEX(meta_Classifiers[Name],MATCH(INDEX(meta_TypedModelElements[Property - Owning Class:src],MATCH(meta_Columns[[#This Row],[Property]],meta_TypedModelElements[ID],0)),meta_Classifiers[ID],0))</f>
        <v>#N/A</v>
      </c>
      <c r="AJ359" s="134" t="e">
        <f>INDEX(meta_TypedModelElements[Property - Owning Class:src],MATCH(meta_Columns[[#This Row],[Property]],meta_TypedModelElements[ID],0))</f>
        <v>#N/A</v>
      </c>
      <c r="AK359" s="130" t="e">
        <f>INDEX(meta_TypedModelElements[Kind:src],MATCH(meta_Columns[[#This Row],[Property]],meta_TypedModelElements[ID],0))</f>
        <v>#N/A</v>
      </c>
      <c r="AL359" s="134" t="e">
        <f>INDEX(meta_TypedModelElements[Name or Type],MATCH(meta_Columns[[#This Row],[Property]],meta_TypedModelElements[ID],0))</f>
        <v>#N/A</v>
      </c>
      <c r="AM359" s="134" t="e">
        <f>INDEX(meta_TypedModelElements[Property - Changeable],MATCH(meta_Columns[[#This Row],[Property]],meta_TypedModelElements[ID],0))</f>
        <v>#N/A</v>
      </c>
      <c r="AN359" s="43">
        <v>12</v>
      </c>
      <c r="AO359" s="22"/>
      <c r="AP359" s="13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130" t="str">
        <f xml:space="preserve"> IF(meta_Columns[[#This Row],[Property Owning Class is Specialization of Instance Class]],meta_Columns[[#This Row],[Property Owning Class Name]]&amp;" - ","")</f>
        <v/>
      </c>
      <c r="AR359" s="130"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130"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130" t="str">
        <f>IFERROR(LEFT(meta_Columns[[#This Row],[Excel Column - Label Actual without Semantic Case]],FIND("-",
meta_Columns[[#This Row],[Excel Column - Label Actual without Semantic Case]])-2),"")</f>
        <v/>
      </c>
      <c r="AU359" s="130"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130"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33"/>
      <c r="AY359" s="130" t="e">
        <f>meta_Columns[[#This Row],[Owning Table]]&amp;"."&amp;meta_Columns[[#This Row],[Excel Column - Label]]</f>
        <v>#N/A</v>
      </c>
      <c r="AZ359" s="127"/>
      <c r="BA359" s="126" t="e">
        <f>IF(TRIM(meta_Columns[[#This Row],[Excel Column - Label Overwrite]])&lt;&gt;"",meta_Columns[[#This Row],[Excel Column - Label Overwrite]],meta_Columns[[#This Row],[Excel Column - Label from Property or Referenced Table]])</f>
        <v>#N/A</v>
      </c>
      <c r="BB359" s="125"/>
      <c r="BC359" s="126" t="str">
        <f>IF(meta_Columns[[#This Row],[Excel Column - Explicit Excel Formula]]="","",meta_Columns[[#This Row],[Excel Column - Explicit Excel Formula]])</f>
        <v/>
      </c>
      <c r="BD359" s="135"/>
      <c r="BE359" s="135"/>
    </row>
    <row r="360" spans="1:57">
      <c r="A360" s="124"/>
      <c r="B360" s="5" t="s">
        <v>546</v>
      </c>
      <c r="C360" s="125" t="str">
        <f xml:space="preserve"> IF( TRIM( meta_Columns[[#This Row],[Kind:src]] ) = "", "",
        INDEX( meta_Classifiers[Display Qualified], MATCH( meta_Columns[[#This Row],[Kind:src]], meta_Classifiers[ID], 0 ) ) )</f>
        <v>ExcelColumn</v>
      </c>
      <c r="D360" s="126" t="str">
        <f>IF(meta_Columns[[#This Row],[Owning Table:src]]="","",INDEX(meta_Classifiers[Package],MATCH(meta_Columns[[#This Row],[Owning Table Instances Class]],meta_Classifiers[ID],0)))</f>
        <v>meta</v>
      </c>
      <c r="E360" s="127"/>
      <c r="F360" s="126" t="str">
        <f>INDEX(meta_Tables[Excel Table - Excel Name],MATCH(meta_Columns[[#This Row],[Owning Table:src]],meta_Tables[ID],0))</f>
        <v>meta_TypedModelElements</v>
      </c>
      <c r="G360" s="126" t="str">
        <f>INDEX(meta_Tables[Instances Class:src],MATCH(meta_Columns[[#This Row],[Owning Table:src]],meta_Tables[ID],0))</f>
        <v>_TypedModelElement</v>
      </c>
      <c r="H360" s="11" t="s">
        <v>1842</v>
      </c>
      <c r="I360" s="127" t="str">
        <f xml:space="preserve"> IF( TRIM( meta_Columns[[#This Row],[Owning Table:src]] ) = "", "",
        INDEX( meta_Tables[Display Qualified], MATCH( meta_Columns[[#This Row],[Owning Table:src]], meta_Tables[ID], 0 ) ) )</f>
        <v>meta::TypedModelElements</v>
      </c>
      <c r="J360" s="128"/>
      <c r="K360" s="129" t="str">
        <f>IF(TRIM(meta_Columns[[#This Row],[Referenced Table:src]])="","",
    INDEX(meta_Tables[Display Qualified],MATCH(meta_Columns[[#This Row],[Referenced Table:src]],meta_Tables[ID],0)))</f>
        <v/>
      </c>
      <c r="L360" s="130"/>
      <c r="M360" s="131"/>
      <c r="N360" s="130" t="str">
        <f>IF(meta_Columns[[#This Row],[Excel Column - Excel Formula]]="","x","")</f>
        <v>x</v>
      </c>
      <c r="O360" s="22"/>
      <c r="P360" s="130" t="str">
        <f>IF(meta_Columns[[#This Row],[Referenced Table:src]]="","",INDEX(meta_Tables[Instances Class],MATCH(meta_Columns[[#This Row],[Referenced Table:src]],meta_Tables[ID],0)))</f>
        <v/>
      </c>
      <c r="Q360" s="132"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130"/>
      <c r="S360" s="133" t="str">
        <f xml:space="preserve"> IF( TRIM( meta_Columns[[#This Row],[Property:src]] ) = "", "",
        INDEX( meta_TypedModelElements[Display Qualified], MATCH( meta_Columns[[#This Row],[Property:src]], meta_TypedModelElements[ID], 0 ) ) )</f>
        <v/>
      </c>
      <c r="T360" s="133"/>
      <c r="U360" s="130" t="e">
        <f>INDEX(meta_Classifiers[Class - Generalization:src], MATCH(meta_Columns[[#This Row],[Generalization 5]],meta_Classifiers[ID],0))</f>
        <v>#N/A</v>
      </c>
      <c r="V360" s="130" t="e">
        <f>INDEX(meta_Classifiers[Class - Generalization:src], MATCH(meta_Columns[[#This Row],[Generalization 4]],meta_Classifiers[ID],0))</f>
        <v>#N/A</v>
      </c>
      <c r="W360" s="130" t="e">
        <f>INDEX(meta_Classifiers[Class - Generalization:src], MATCH(meta_Columns[[#This Row],[Generalization 3]],meta_Classifiers[ID],0))</f>
        <v>#N/A</v>
      </c>
      <c r="X360" s="130" t="str">
        <f>INDEX(meta_Classifiers[Class - Generalization:src], MATCH(meta_Columns[[#This Row],[Generalization 2]],meta_Classifiers[ID],0))</f>
        <v/>
      </c>
      <c r="Y360" s="130" t="str">
        <f>INDEX(meta_Classifiers[Class - Generalization:src], MATCH(meta_Columns[[#This Row],[Generalization 1]],meta_Classifiers[ID],0))</f>
        <v>_Object</v>
      </c>
      <c r="Z360" s="130" t="str">
        <f>INDEX(meta_Classifiers[Class - Generalization:src], MATCH(meta_Columns[[#This Row],[Owning Table Instances Class]],meta_Classifiers[ID],0))</f>
        <v>_NamedElement</v>
      </c>
      <c r="AA360" s="13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130"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130"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3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130" t="e">
        <f>INDEX(meta_Classifiers[Name],MATCH(INDEX(meta_TypedModelElements[Property - Owning Class:src],MATCH(meta_Columns[[#This Row],[Property]],meta_TypedModelElements[ID],0)),meta_Classifiers[ID],0))</f>
        <v>#N/A</v>
      </c>
      <c r="AJ360" s="134" t="e">
        <f>INDEX(meta_TypedModelElements[Property - Owning Class:src],MATCH(meta_Columns[[#This Row],[Property]],meta_TypedModelElements[ID],0))</f>
        <v>#N/A</v>
      </c>
      <c r="AK360" s="130" t="e">
        <f>INDEX(meta_TypedModelElements[Kind:src],MATCH(meta_Columns[[#This Row],[Property]],meta_TypedModelElements[ID],0))</f>
        <v>#N/A</v>
      </c>
      <c r="AL360" s="134" t="e">
        <f>INDEX(meta_TypedModelElements[Name or Type],MATCH(meta_Columns[[#This Row],[Property]],meta_TypedModelElements[ID],0))</f>
        <v>#N/A</v>
      </c>
      <c r="AM360" s="134" t="e">
        <f>INDEX(meta_TypedModelElements[Property - Changeable],MATCH(meta_Columns[[#This Row],[Property]],meta_TypedModelElements[ID],0))</f>
        <v>#N/A</v>
      </c>
      <c r="AN360" s="43">
        <v>13</v>
      </c>
      <c r="AO360" s="22"/>
      <c r="AP360" s="13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130" t="str">
        <f xml:space="preserve"> IF(meta_Columns[[#This Row],[Property Owning Class is Specialization of Instance Class]],meta_Columns[[#This Row],[Property Owning Class Name]]&amp;" - ","")</f>
        <v/>
      </c>
      <c r="AR360" s="130"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130"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130" t="str">
        <f>IFERROR(LEFT(meta_Columns[[#This Row],[Excel Column - Label Actual without Semantic Case]],FIND("-",
meta_Columns[[#This Row],[Excel Column - Label Actual without Semantic Case]])-2),"")</f>
        <v/>
      </c>
      <c r="AU360" s="130"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130"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33"/>
      <c r="AY360" s="130" t="e">
        <f>meta_Columns[[#This Row],[Owning Table]]&amp;"."&amp;meta_Columns[[#This Row],[Excel Column - Label]]</f>
        <v>#N/A</v>
      </c>
      <c r="AZ360" s="127"/>
      <c r="BA360" s="126" t="e">
        <f>IF(TRIM(meta_Columns[[#This Row],[Excel Column - Label Overwrite]])&lt;&gt;"",meta_Columns[[#This Row],[Excel Column - Label Overwrite]],meta_Columns[[#This Row],[Excel Column - Label from Property or Referenced Table]])</f>
        <v>#N/A</v>
      </c>
      <c r="BB360" s="125"/>
      <c r="BC360" s="126" t="str">
        <f>IF(meta_Columns[[#This Row],[Excel Column - Explicit Excel Formula]]="","",meta_Columns[[#This Row],[Excel Column - Explicit Excel Formula]])</f>
        <v/>
      </c>
      <c r="BD360" s="135"/>
      <c r="BE360" s="135"/>
    </row>
    <row r="361" spans="1:57">
      <c r="A361" s="124"/>
      <c r="B361" s="5" t="s">
        <v>546</v>
      </c>
      <c r="C361" s="125" t="str">
        <f xml:space="preserve"> IF( TRIM( meta_Columns[[#This Row],[Kind:src]] ) = "", "",
        INDEX( meta_Classifiers[Display Qualified], MATCH( meta_Columns[[#This Row],[Kind:src]], meta_Classifiers[ID], 0 ) ) )</f>
        <v>ExcelColumn</v>
      </c>
      <c r="D361" s="126" t="str">
        <f>IF(meta_Columns[[#This Row],[Owning Table:src]]="","",INDEX(meta_Classifiers[Package],MATCH(meta_Columns[[#This Row],[Owning Table Instances Class]],meta_Classifiers[ID],0)))</f>
        <v>meta</v>
      </c>
      <c r="E361" s="127"/>
      <c r="F361" s="126" t="str">
        <f>INDEX(meta_Tables[Excel Table - Excel Name],MATCH(meta_Columns[[#This Row],[Owning Table:src]],meta_Tables[ID],0))</f>
        <v>meta_TypedModelElements</v>
      </c>
      <c r="G361" s="126" t="str">
        <f>INDEX(meta_Tables[Instances Class:src],MATCH(meta_Columns[[#This Row],[Owning Table:src]],meta_Tables[ID],0))</f>
        <v>_TypedModelElement</v>
      </c>
      <c r="H361" s="11" t="s">
        <v>1842</v>
      </c>
      <c r="I361" s="127" t="str">
        <f xml:space="preserve"> IF( TRIM( meta_Columns[[#This Row],[Owning Table:src]] ) = "", "",
        INDEX( meta_Tables[Display Qualified], MATCH( meta_Columns[[#This Row],[Owning Table:src]], meta_Tables[ID], 0 ) ) )</f>
        <v>meta::TypedModelElements</v>
      </c>
      <c r="J361" s="128"/>
      <c r="K361" s="129" t="str">
        <f>IF(TRIM(meta_Columns[[#This Row],[Referenced Table:src]])="","",
    INDEX(meta_Tables[Display Qualified],MATCH(meta_Columns[[#This Row],[Referenced Table:src]],meta_Tables[ID],0)))</f>
        <v/>
      </c>
      <c r="L361" s="130"/>
      <c r="M361" s="131"/>
      <c r="N361" s="130" t="str">
        <f>IF(meta_Columns[[#This Row],[Excel Column - Excel Formula]]="","x","")</f>
        <v>x</v>
      </c>
      <c r="O361" s="22"/>
      <c r="P361" s="130" t="str">
        <f>IF(meta_Columns[[#This Row],[Referenced Table:src]]="","",INDEX(meta_Tables[Instances Class],MATCH(meta_Columns[[#This Row],[Referenced Table:src]],meta_Tables[ID],0)))</f>
        <v/>
      </c>
      <c r="Q361" s="132"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130"/>
      <c r="S361" s="133" t="str">
        <f xml:space="preserve"> IF( TRIM( meta_Columns[[#This Row],[Property:src]] ) = "", "",
        INDEX( meta_TypedModelElements[Display Qualified], MATCH( meta_Columns[[#This Row],[Property:src]], meta_TypedModelElements[ID], 0 ) ) )</f>
        <v/>
      </c>
      <c r="T361" s="133"/>
      <c r="U361" s="130" t="e">
        <f>INDEX(meta_Classifiers[Class - Generalization:src], MATCH(meta_Columns[[#This Row],[Generalization 5]],meta_Classifiers[ID],0))</f>
        <v>#N/A</v>
      </c>
      <c r="V361" s="130" t="e">
        <f>INDEX(meta_Classifiers[Class - Generalization:src], MATCH(meta_Columns[[#This Row],[Generalization 4]],meta_Classifiers[ID],0))</f>
        <v>#N/A</v>
      </c>
      <c r="W361" s="130" t="e">
        <f>INDEX(meta_Classifiers[Class - Generalization:src], MATCH(meta_Columns[[#This Row],[Generalization 3]],meta_Classifiers[ID],0))</f>
        <v>#N/A</v>
      </c>
      <c r="X361" s="130" t="str">
        <f>INDEX(meta_Classifiers[Class - Generalization:src], MATCH(meta_Columns[[#This Row],[Generalization 2]],meta_Classifiers[ID],0))</f>
        <v/>
      </c>
      <c r="Y361" s="130" t="str">
        <f>INDEX(meta_Classifiers[Class - Generalization:src], MATCH(meta_Columns[[#This Row],[Generalization 1]],meta_Classifiers[ID],0))</f>
        <v>_Object</v>
      </c>
      <c r="Z361" s="130" t="str">
        <f>INDEX(meta_Classifiers[Class - Generalization:src], MATCH(meta_Columns[[#This Row],[Owning Table Instances Class]],meta_Classifiers[ID],0))</f>
        <v>_NamedElement</v>
      </c>
      <c r="AA361" s="13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130"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130"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3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130" t="e">
        <f>INDEX(meta_Classifiers[Name],MATCH(INDEX(meta_TypedModelElements[Property - Owning Class:src],MATCH(meta_Columns[[#This Row],[Property]],meta_TypedModelElements[ID],0)),meta_Classifiers[ID],0))</f>
        <v>#N/A</v>
      </c>
      <c r="AJ361" s="134" t="e">
        <f>INDEX(meta_TypedModelElements[Property - Owning Class:src],MATCH(meta_Columns[[#This Row],[Property]],meta_TypedModelElements[ID],0))</f>
        <v>#N/A</v>
      </c>
      <c r="AK361" s="130" t="e">
        <f>INDEX(meta_TypedModelElements[Kind:src],MATCH(meta_Columns[[#This Row],[Property]],meta_TypedModelElements[ID],0))</f>
        <v>#N/A</v>
      </c>
      <c r="AL361" s="134" t="e">
        <f>INDEX(meta_TypedModelElements[Name or Type],MATCH(meta_Columns[[#This Row],[Property]],meta_TypedModelElements[ID],0))</f>
        <v>#N/A</v>
      </c>
      <c r="AM361" s="134" t="e">
        <f>INDEX(meta_TypedModelElements[Property - Changeable],MATCH(meta_Columns[[#This Row],[Property]],meta_TypedModelElements[ID],0))</f>
        <v>#N/A</v>
      </c>
      <c r="AN361" s="43">
        <v>14</v>
      </c>
      <c r="AO361" s="22"/>
      <c r="AP361" s="13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130" t="str">
        <f xml:space="preserve"> IF(meta_Columns[[#This Row],[Property Owning Class is Specialization of Instance Class]],meta_Columns[[#This Row],[Property Owning Class Name]]&amp;" - ","")</f>
        <v/>
      </c>
      <c r="AR361" s="130"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130"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130" t="str">
        <f>IFERROR(LEFT(meta_Columns[[#This Row],[Excel Column - Label Actual without Semantic Case]],FIND("-",
meta_Columns[[#This Row],[Excel Column - Label Actual without Semantic Case]])-2),"")</f>
        <v/>
      </c>
      <c r="AU361" s="130"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130"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33"/>
      <c r="AY361" s="130" t="e">
        <f>meta_Columns[[#This Row],[Owning Table]]&amp;"."&amp;meta_Columns[[#This Row],[Excel Column - Label]]</f>
        <v>#N/A</v>
      </c>
      <c r="AZ361" s="127"/>
      <c r="BA361" s="126" t="e">
        <f>IF(TRIM(meta_Columns[[#This Row],[Excel Column - Label Overwrite]])&lt;&gt;"",meta_Columns[[#This Row],[Excel Column - Label Overwrite]],meta_Columns[[#This Row],[Excel Column - Label from Property or Referenced Table]])</f>
        <v>#N/A</v>
      </c>
      <c r="BB361" s="125"/>
      <c r="BC361" s="126" t="str">
        <f>IF(meta_Columns[[#This Row],[Excel Column - Explicit Excel Formula]]="","",meta_Columns[[#This Row],[Excel Column - Explicit Excel Formula]])</f>
        <v/>
      </c>
      <c r="BD361" s="135"/>
      <c r="BE361" s="135"/>
    </row>
    <row r="362" spans="1:57">
      <c r="A362" s="124"/>
      <c r="B362" s="5" t="s">
        <v>546</v>
      </c>
      <c r="C362" s="125" t="str">
        <f xml:space="preserve"> IF( TRIM( meta_Columns[[#This Row],[Kind:src]] ) = "", "",
        INDEX( meta_Classifiers[Display Qualified], MATCH( meta_Columns[[#This Row],[Kind:src]], meta_Classifiers[ID], 0 ) ) )</f>
        <v>ExcelColumn</v>
      </c>
      <c r="D362" s="126" t="str">
        <f>IF(meta_Columns[[#This Row],[Owning Table:src]]="","",INDEX(meta_Classifiers[Package],MATCH(meta_Columns[[#This Row],[Owning Table Instances Class]],meta_Classifiers[ID],0)))</f>
        <v>meta</v>
      </c>
      <c r="E362" s="127"/>
      <c r="F362" s="126" t="str">
        <f>INDEX(meta_Tables[Excel Table - Excel Name],MATCH(meta_Columns[[#This Row],[Owning Table:src]],meta_Tables[ID],0))</f>
        <v>meta_TypedModelElements</v>
      </c>
      <c r="G362" s="126" t="str">
        <f>INDEX(meta_Tables[Instances Class:src],MATCH(meta_Columns[[#This Row],[Owning Table:src]],meta_Tables[ID],0))</f>
        <v>_TypedModelElement</v>
      </c>
      <c r="H362" s="11" t="s">
        <v>1842</v>
      </c>
      <c r="I362" s="127" t="str">
        <f xml:space="preserve"> IF( TRIM( meta_Columns[[#This Row],[Owning Table:src]] ) = "", "",
        INDEX( meta_Tables[Display Qualified], MATCH( meta_Columns[[#This Row],[Owning Table:src]], meta_Tables[ID], 0 ) ) )</f>
        <v>meta::TypedModelElements</v>
      </c>
      <c r="J362" s="128"/>
      <c r="K362" s="129" t="str">
        <f>IF(TRIM(meta_Columns[[#This Row],[Referenced Table:src]])="","",
    INDEX(meta_Tables[Display Qualified],MATCH(meta_Columns[[#This Row],[Referenced Table:src]],meta_Tables[ID],0)))</f>
        <v/>
      </c>
      <c r="L362" s="130"/>
      <c r="M362" s="131"/>
      <c r="N362" s="130" t="str">
        <f>IF(meta_Columns[[#This Row],[Excel Column - Excel Formula]]="","x","")</f>
        <v>x</v>
      </c>
      <c r="O362" s="22"/>
      <c r="P362" s="130" t="str">
        <f>IF(meta_Columns[[#This Row],[Referenced Table:src]]="","",INDEX(meta_Tables[Instances Class],MATCH(meta_Columns[[#This Row],[Referenced Table:src]],meta_Tables[ID],0)))</f>
        <v/>
      </c>
      <c r="Q362" s="132"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130"/>
      <c r="S362" s="133" t="str">
        <f xml:space="preserve"> IF( TRIM( meta_Columns[[#This Row],[Property:src]] ) = "", "",
        INDEX( meta_TypedModelElements[Display Qualified], MATCH( meta_Columns[[#This Row],[Property:src]], meta_TypedModelElements[ID], 0 ) ) )</f>
        <v/>
      </c>
      <c r="T362" s="133"/>
      <c r="U362" s="130" t="e">
        <f>INDEX(meta_Classifiers[Class - Generalization:src], MATCH(meta_Columns[[#This Row],[Generalization 5]],meta_Classifiers[ID],0))</f>
        <v>#N/A</v>
      </c>
      <c r="V362" s="130" t="e">
        <f>INDEX(meta_Classifiers[Class - Generalization:src], MATCH(meta_Columns[[#This Row],[Generalization 4]],meta_Classifiers[ID],0))</f>
        <v>#N/A</v>
      </c>
      <c r="W362" s="130" t="e">
        <f>INDEX(meta_Classifiers[Class - Generalization:src], MATCH(meta_Columns[[#This Row],[Generalization 3]],meta_Classifiers[ID],0))</f>
        <v>#N/A</v>
      </c>
      <c r="X362" s="130" t="str">
        <f>INDEX(meta_Classifiers[Class - Generalization:src], MATCH(meta_Columns[[#This Row],[Generalization 2]],meta_Classifiers[ID],0))</f>
        <v/>
      </c>
      <c r="Y362" s="130" t="str">
        <f>INDEX(meta_Classifiers[Class - Generalization:src], MATCH(meta_Columns[[#This Row],[Generalization 1]],meta_Classifiers[ID],0))</f>
        <v>_Object</v>
      </c>
      <c r="Z362" s="130" t="str">
        <f>INDEX(meta_Classifiers[Class - Generalization:src], MATCH(meta_Columns[[#This Row],[Owning Table Instances Class]],meta_Classifiers[ID],0))</f>
        <v>_NamedElement</v>
      </c>
      <c r="AA362" s="134"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130"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130"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34"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130" t="e">
        <f>INDEX(meta_Classifiers[Name],MATCH(INDEX(meta_TypedModelElements[Property - Owning Class:src],MATCH(meta_Columns[[#This Row],[Property]],meta_TypedModelElements[ID],0)),meta_Classifiers[ID],0))</f>
        <v>#N/A</v>
      </c>
      <c r="AJ362" s="134" t="e">
        <f>INDEX(meta_TypedModelElements[Property - Owning Class:src],MATCH(meta_Columns[[#This Row],[Property]],meta_TypedModelElements[ID],0))</f>
        <v>#N/A</v>
      </c>
      <c r="AK362" s="130" t="e">
        <f>INDEX(meta_TypedModelElements[Kind:src],MATCH(meta_Columns[[#This Row],[Property]],meta_TypedModelElements[ID],0))</f>
        <v>#N/A</v>
      </c>
      <c r="AL362" s="134" t="e">
        <f>INDEX(meta_TypedModelElements[Name or Type],MATCH(meta_Columns[[#This Row],[Property]],meta_TypedModelElements[ID],0))</f>
        <v>#N/A</v>
      </c>
      <c r="AM362" s="134" t="e">
        <f>INDEX(meta_TypedModelElements[Property - Changeable],MATCH(meta_Columns[[#This Row],[Property]],meta_TypedModelElements[ID],0))</f>
        <v>#N/A</v>
      </c>
      <c r="AN362" s="43">
        <v>15</v>
      </c>
      <c r="AO362" s="22"/>
      <c r="AP362" s="134"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130" t="str">
        <f xml:space="preserve"> IF(meta_Columns[[#This Row],[Property Owning Class is Specialization of Instance Class]],meta_Columns[[#This Row],[Property Owning Class Name]]&amp;" - ","")</f>
        <v/>
      </c>
      <c r="AR362" s="130"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130"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130" t="str">
        <f>IFERROR(LEFT(meta_Columns[[#This Row],[Excel Column - Label Actual without Semantic Case]],FIND("-",
meta_Columns[[#This Row],[Excel Column - Label Actual without Semantic Case]])-2),"")</f>
        <v/>
      </c>
      <c r="AU362" s="130"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130"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33"/>
      <c r="AY362" s="130" t="e">
        <f>meta_Columns[[#This Row],[Owning Table]]&amp;"."&amp;meta_Columns[[#This Row],[Excel Column - Label]]</f>
        <v>#N/A</v>
      </c>
      <c r="AZ362" s="127"/>
      <c r="BA362" s="126" t="e">
        <f>IF(TRIM(meta_Columns[[#This Row],[Excel Column - Label Overwrite]])&lt;&gt;"",meta_Columns[[#This Row],[Excel Column - Label Overwrite]],meta_Columns[[#This Row],[Excel Column - Label from Property or Referenced Table]])</f>
        <v>#N/A</v>
      </c>
      <c r="BB362" s="125"/>
      <c r="BC362" s="126" t="str">
        <f>IF(meta_Columns[[#This Row],[Excel Column - Explicit Excel Formula]]="","",meta_Columns[[#This Row],[Excel Column - Explicit Excel Formula]])</f>
        <v/>
      </c>
      <c r="BD362" s="135"/>
      <c r="BE362" s="135"/>
    </row>
    <row r="363" spans="1:57">
      <c r="A363" s="10" t="s">
        <v>2239</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1842</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Overwrite]])&lt;&gt;"",meta_Columns[[#This Row],[Excel Column - Label Overwrite]],meta_Columns[[#This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2240</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1842</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Overwrite]])&lt;&gt;"",meta_Columns[[#This Row],[Excel Column - Label Overwrite]],meta_Columns[[#This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2139</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1842</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Overwrite]])&lt;&gt;"",meta_Columns[[#This Row],[Excel Column - Label Overwrite]],meta_Columns[[#This Row],[Excel Column - Label from Property or Referenced Table]])</f>
        <v>Display</v>
      </c>
      <c r="BB365" s="43" t="s">
        <v>1346</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2140</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1842</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Overwrite]])&lt;&gt;"",meta_Columns[[#This Row],[Excel Column - Label Overwrite]],meta_Columns[[#This Row],[Excel Column - Label from Property or Referenced Table]])</f>
        <v>Name or Type Camel Case Lower</v>
      </c>
      <c r="BB366" s="43" t="s">
        <v>2241</v>
      </c>
      <c r="BC366" s="44" t="str">
        <f>IF(meta_Columns[[#This Row],[Excel Column - Explicit Excel Formula]]="","",meta_Columns[[#This Row],[Excel Column - Explicit Excel Formula]])</f>
        <v>Formula:=camelCaseLower([@[Name or Type]])</v>
      </c>
      <c r="BD366" s="5"/>
      <c r="BE366" s="5"/>
    </row>
    <row r="367" spans="1:57">
      <c r="A367" s="10" t="s">
        <v>2141</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1842</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Overwrite]])&lt;&gt;"",meta_Columns[[#This Row],[Excel Column - Label Overwrite]],meta_Columns[[#This Row],[Excel Column - Label from Property or Referenced Table]])</f>
        <v>Display without Class</v>
      </c>
      <c r="BB367" s="43" t="s">
        <v>1784</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2142</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1842</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Overwrite]])&lt;&gt;"",meta_Columns[[#This Row],[Excel Column - Label Overwrite]],meta_Columns[[#This Row],[Excel Column - Label from Property or Referenced Table]])</f>
        <v>Name or Type</v>
      </c>
      <c r="BB368" s="43" t="s">
        <v>2267</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2143</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1842</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Overwrite]])&lt;&gt;"",meta_Columns[[#This Row],[Excel Column - Label Overwrite]],meta_Columns[[#This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2144</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1842</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Overwrite]])&lt;&gt;"",meta_Columns[[#This Row],[Excel Column - Label Overwrite]],meta_Columns[[#This Row],[Excel Column - Label from Property or Referenced Table]])</f>
        <v>Type Super Type 7</v>
      </c>
      <c r="BB370" s="43" t="s">
        <v>2353</v>
      </c>
      <c r="BC370" s="44" t="str">
        <f>IF(meta_Columns[[#This Row],[Excel Column - Explicit Excel Formula]]="","",meta_Columns[[#This Row],[Excel Column - Explicit Excel Formula]])</f>
        <v>Formula:=INDEX(#REF!,MATCH([@[Type Super Type 6]],meta_Classifiers[ID],0))</v>
      </c>
      <c r="BD370" s="5"/>
      <c r="BE370" s="5"/>
    </row>
    <row r="371" spans="1:57">
      <c r="A371" s="10" t="s">
        <v>2145</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1842</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Overwrite]])&lt;&gt;"",meta_Columns[[#This Row],[Excel Column - Label Overwrite]],meta_Columns[[#This Row],[Excel Column - Label from Property or Referenced Table]])</f>
        <v>Type Super Type 6</v>
      </c>
      <c r="BB371" s="43" t="s">
        <v>2354</v>
      </c>
      <c r="BC371" s="44" t="str">
        <f>IF(meta_Columns[[#This Row],[Excel Column - Explicit Excel Formula]]="","",meta_Columns[[#This Row],[Excel Column - Explicit Excel Formula]])</f>
        <v>Formula:=INDEX(#REF!,MATCH([@[Type Super Type 5]],meta_Classifiers[ID],0))</v>
      </c>
      <c r="BD371" s="5"/>
      <c r="BE371" s="5"/>
    </row>
    <row r="372" spans="1:57">
      <c r="A372" s="10" t="s">
        <v>2146</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1842</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Overwrite]])&lt;&gt;"",meta_Columns[[#This Row],[Excel Column - Label Overwrite]],meta_Columns[[#This Row],[Excel Column - Label from Property or Referenced Table]])</f>
        <v>Type Super Type 5</v>
      </c>
      <c r="BB372" s="43" t="s">
        <v>2355</v>
      </c>
      <c r="BC372" s="44" t="str">
        <f>IF(meta_Columns[[#This Row],[Excel Column - Explicit Excel Formula]]="","",meta_Columns[[#This Row],[Excel Column - Explicit Excel Formula]])</f>
        <v>Formula:=INDEX(#REF!,MATCH([@[Type Super Type 4]],meta_Classifiers[ID],0))</v>
      </c>
      <c r="BD372" s="5"/>
      <c r="BE372" s="5"/>
    </row>
    <row r="373" spans="1:57">
      <c r="A373" s="10" t="s">
        <v>2147</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1842</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Overwrite]])&lt;&gt;"",meta_Columns[[#This Row],[Excel Column - Label Overwrite]],meta_Columns[[#This Row],[Excel Column - Label from Property or Referenced Table]])</f>
        <v>Type Super Type 4</v>
      </c>
      <c r="BB373" s="43" t="s">
        <v>2356</v>
      </c>
      <c r="BC373" s="44" t="str">
        <f>IF(meta_Columns[[#This Row],[Excel Column - Explicit Excel Formula]]="","",meta_Columns[[#This Row],[Excel Column - Explicit Excel Formula]])</f>
        <v>Formula:=INDEX(#REF!,MATCH([@[Type Super Type 3]],meta_Classifiers[ID],0))</v>
      </c>
      <c r="BD373" s="5"/>
      <c r="BE373" s="5"/>
    </row>
    <row r="374" spans="1:57">
      <c r="A374" s="10" t="s">
        <v>2148</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1842</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Overwrite]])&lt;&gt;"",meta_Columns[[#This Row],[Excel Column - Label Overwrite]],meta_Columns[[#This Row],[Excel Column - Label from Property or Referenced Table]])</f>
        <v>Type Super Type 3</v>
      </c>
      <c r="BB374" s="43" t="s">
        <v>2357</v>
      </c>
      <c r="BC374" s="44" t="str">
        <f>IF(meta_Columns[[#This Row],[Excel Column - Explicit Excel Formula]]="","",meta_Columns[[#This Row],[Excel Column - Explicit Excel Formula]])</f>
        <v>Formula:=INDEX(#REF!,MATCH([@[Type Super Type 2]],meta_Classifiers[ID],0))</v>
      </c>
      <c r="BD374" s="5"/>
      <c r="BE374" s="5"/>
    </row>
    <row r="375" spans="1:57">
      <c r="A375" s="10" t="s">
        <v>2149</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1842</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Overwrite]])&lt;&gt;"",meta_Columns[[#This Row],[Excel Column - Label Overwrite]],meta_Columns[[#This Row],[Excel Column - Label from Property or Referenced Table]])</f>
        <v>Type Super Type 2</v>
      </c>
      <c r="BB375" s="43" t="s">
        <v>2358</v>
      </c>
      <c r="BC375" s="44" t="str">
        <f>IF(meta_Columns[[#This Row],[Excel Column - Explicit Excel Formula]]="","",meta_Columns[[#This Row],[Excel Column - Explicit Excel Formula]])</f>
        <v>Formula:=INDEX(#REF!,MATCH([@[Type Super Type 1]],meta_Classifiers[ID],0))</v>
      </c>
      <c r="BD375" s="5"/>
      <c r="BE375" s="5"/>
    </row>
    <row r="376" spans="1:57">
      <c r="A376" s="10" t="s">
        <v>2150</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1842</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Overwrite]])&lt;&gt;"",meta_Columns[[#This Row],[Excel Column - Label Overwrite]],meta_Columns[[#This Row],[Excel Column - Label from Property or Referenced Table]])</f>
        <v>Type Super Type 1</v>
      </c>
      <c r="BB376" s="43" t="s">
        <v>2359</v>
      </c>
      <c r="BC376" s="44" t="str">
        <f>IF(meta_Columns[[#This Row],[Excel Column - Explicit Excel Formula]]="","",meta_Columns[[#This Row],[Excel Column - Explicit Excel Formula]])</f>
        <v>Formula:=INDEX(#REF!,MATCH([@[Type:src]],meta_Classifiers[ID],0))</v>
      </c>
      <c r="BD376" s="5"/>
      <c r="BE376" s="5"/>
    </row>
    <row r="377" spans="1:57">
      <c r="A377" s="10" t="s">
        <v>2151</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1842</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Overwrite]])&lt;&gt;"",meta_Columns[[#This Row],[Excel Column - Label Overwrite]],meta_Columns[[#This Row],[Excel Column - Label from Property or Referenced Table]])</f>
        <v>Type Derived:display</v>
      </c>
      <c r="BB377" s="43" t="s">
        <v>2242</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2152</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1842</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Overwrite]])&lt;&gt;"",meta_Columns[[#This Row],[Excel Column - Label Overwrite]],meta_Columns[[#This Row],[Excel Column - Label from Property or Referenced Table]])</f>
        <v>Type Derived</v>
      </c>
      <c r="BB378" s="43" t="s">
        <v>2243</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2268</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1842</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2265</v>
      </c>
      <c r="BA379" s="44" t="str">
        <f>IF(TRIM(meta_Columns[[#This Row],[Excel Column - Label Overwrite]])&lt;&gt;"",meta_Columns[[#This Row],[Excel Column - Label Overwrite]],meta_Columns[[#This Row],[Excel Column - Label from Property or Referenced Table]])</f>
        <v>Type Name</v>
      </c>
      <c r="BB379" s="43" t="s">
        <v>2269</v>
      </c>
      <c r="BC379" s="44" t="str">
        <f>IF(meta_Columns[[#This Row],[Excel Column - Explicit Excel Formula]]="","",meta_Columns[[#This Row],[Excel Column - Explicit Excel Formula]])</f>
        <v>Formula:=IF([@[Type:src]]="","",INDEX(meta_Classifiers[Name],MATCH([@[Type:src]],meta_Classifiers[ID],0)))</v>
      </c>
      <c r="BD379" s="5"/>
      <c r="BE379" s="5"/>
    </row>
    <row r="380" spans="1:57">
      <c r="A380" s="10" t="s">
        <v>2244</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1842</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1835</v>
      </c>
      <c r="BA380" s="44" t="str">
        <f>IF(TRIM(meta_Columns[[#This Row],[Excel Column - Label Overwrite]])&lt;&gt;"",meta_Columns[[#This Row],[Excel Column - Label Overwrite]],meta_Columns[[#This Row],[Excel Column - Label from Property or Referenced Table]])</f>
        <v>Type:src</v>
      </c>
      <c r="BB380" s="43" t="s">
        <v>2245</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2246</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1842</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Overwrite]])&lt;&gt;"",meta_Columns[[#This Row],[Excel Column - Label Overwrite]],meta_Columns[[#This Row],[Excel Column - Label from Property or Referenced Table]])</f>
        <v>Type</v>
      </c>
      <c r="BB381" s="43"/>
      <c r="BC381" s="44" t="str">
        <f>IF(meta_Columns[[#This Row],[Excel Column - Explicit Excel Formula]]="","",meta_Columns[[#This Row],[Excel Column - Explicit Excel Formula]])</f>
        <v/>
      </c>
      <c r="BD381" s="5" t="s">
        <v>2292</v>
      </c>
      <c r="BE381" s="5"/>
    </row>
    <row r="382" spans="1:57">
      <c r="A382" s="10" t="s">
        <v>2247</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1842</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Overwrite]])&lt;&gt;"",meta_Columns[[#This Row],[Excel Column - Label Overwrite]],meta_Columns[[#This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2248</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1842</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Overwrite]])&lt;&gt;"",meta_Columns[[#This Row],[Excel Column - Label Overwrite]],meta_Columns[[#This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2249</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1842</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1834</v>
      </c>
      <c r="BA384" s="44" t="str">
        <f>IF(TRIM(meta_Columns[[#This Row],[Excel Column - Label Overwrite]])&lt;&gt;"",meta_Columns[[#This Row],[Excel Column - Label Overwrite]],meta_Columns[[#This Row],[Excel Column - Label from Property or Referenced Table]])</f>
        <v>Reference - Opposite:src</v>
      </c>
      <c r="BB384" s="43" t="s">
        <v>2250</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2153</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1842</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Overwrite]])&lt;&gt;"",meta_Columns[[#This Row],[Excel Column - Label Overwrite]],meta_Columns[[#This Row],[Excel Column - Label from Property or Referenced Table]])</f>
        <v>Reference - Opposite</v>
      </c>
      <c r="BB385" s="43"/>
      <c r="BC385" s="44" t="str">
        <f>IF(meta_Columns[[#This Row],[Excel Column - Explicit Excel Formula]]="","",meta_Columns[[#This Row],[Excel Column - Explicit Excel Formula]])</f>
        <v/>
      </c>
      <c r="BD385" s="5" t="s">
        <v>2295</v>
      </c>
      <c r="BE385" s="5"/>
    </row>
    <row r="386" spans="1:57">
      <c r="A386" s="10" t="s">
        <v>2251</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1842</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1837</v>
      </c>
      <c r="BA386" s="44" t="str">
        <f>IF(TRIM(meta_Columns[[#This Row],[Excel Column - Label Overwrite]])&lt;&gt;"",meta_Columns[[#This Row],[Excel Column - Label Overwrite]],meta_Columns[[#This Row],[Excel Column - Label from Property or Referenced Table]])</f>
        <v>Reference - Display and Select Property:src</v>
      </c>
      <c r="BB386" s="43" t="s">
        <v>2252</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2154</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1842</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Overwrite]])&lt;&gt;"",meta_Columns[[#This Row],[Excel Column - Label Overwrite]],meta_Columns[[#This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2295</v>
      </c>
      <c r="BE387" s="5"/>
    </row>
    <row r="388" spans="1:57">
      <c r="A388" s="10" t="s">
        <v>2253</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1842</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Overwrite]])&lt;&gt;"",meta_Columns[[#This Row],[Excel Column - Label Overwrite]],meta_Columns[[#This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2254</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1842</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1836</v>
      </c>
      <c r="BA389" s="44" t="str">
        <f>IF(TRIM(meta_Columns[[#This Row],[Excel Column - Label Overwrite]])&lt;&gt;"",meta_Columns[[#This Row],[Excel Column - Label Overwrite]],meta_Columns[[#This Row],[Excel Column - Label from Property or Referenced Table]])</f>
        <v>Function - Owning Property:src</v>
      </c>
      <c r="BB389" s="43" t="s">
        <v>2255</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2256</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1842</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Overwrite]])&lt;&gt;"",meta_Columns[[#This Row],[Excel Column - Label Overwrite]],meta_Columns[[#This Row],[Excel Column - Label from Property or Referenced Table]])</f>
        <v>Function - Owning Property</v>
      </c>
      <c r="BB390" s="43"/>
      <c r="BC390" s="44" t="str">
        <f>IF(meta_Columns[[#This Row],[Excel Column - Explicit Excel Formula]]="","",meta_Columns[[#This Row],[Excel Column - Explicit Excel Formula]])</f>
        <v/>
      </c>
      <c r="BD390" s="5" t="s">
        <v>2295</v>
      </c>
      <c r="BE390" s="5"/>
    </row>
    <row r="391" spans="1:57">
      <c r="A391" s="10" t="s">
        <v>2155</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1842</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Overwrite]])&lt;&gt;"",meta_Columns[[#This Row],[Excel Column - Label Overwrite]],meta_Columns[[#This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2257</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1842</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1838</v>
      </c>
      <c r="BA392" s="44" t="str">
        <f>IF(TRIM(meta_Columns[[#This Row],[Excel Column - Label Overwrite]])&lt;&gt;"",meta_Columns[[#This Row],[Excel Column - Label Overwrite]],meta_Columns[[#This Row],[Excel Column - Label from Property or Referenced Table]])</f>
        <v>Parameter - Owning Function:src</v>
      </c>
      <c r="BB392" s="43" t="s">
        <v>2258</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2156</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1842</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Overwrite]])&lt;&gt;"",meta_Columns[[#This Row],[Excel Column - Label Overwrite]],meta_Columns[[#This Row],[Excel Column - Label from Property or Referenced Table]])</f>
        <v>Parameter - Owning Function</v>
      </c>
      <c r="BB393" s="43"/>
      <c r="BC393" s="44" t="str">
        <f>IF(meta_Columns[[#This Row],[Excel Column - Explicit Excel Formula]]="","",meta_Columns[[#This Row],[Excel Column - Explicit Excel Formula]])</f>
        <v/>
      </c>
      <c r="BD393" s="5" t="s">
        <v>2295</v>
      </c>
      <c r="BE393" s="5"/>
    </row>
    <row r="394" spans="1:57">
      <c r="A394" s="10" t="s">
        <v>2677</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1842</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2678</v>
      </c>
      <c r="BA394" s="44" t="str">
        <f>IF(TRIM(meta_Columns[[#This Row],[Excel Column - Label Overwrite]])&lt;&gt;"",meta_Columns[[#This Row],[Excel Column - Label Overwrite]],meta_Columns[[#This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2157</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1842</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Overwrite]])&lt;&gt;"",meta_Columns[[#This Row],[Excel Column - Label Overwrite]],meta_Columns[[#This Row],[Excel Column - Label from Property or Referenced Table]])</f>
        <v>Property - Using Property</v>
      </c>
      <c r="BB395" s="43"/>
      <c r="BC395" s="44" t="str">
        <f>IF(meta_Columns[[#This Row],[Excel Column - Explicit Excel Formula]]="","",meta_Columns[[#This Row],[Excel Column - Explicit Excel Formula]])</f>
        <v/>
      </c>
      <c r="BD395" s="5" t="s">
        <v>2295</v>
      </c>
      <c r="BE395" s="5"/>
    </row>
    <row r="396" spans="1:57">
      <c r="A396" s="10" t="s">
        <v>2158</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1842</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Overwrite]])&lt;&gt;"",meta_Columns[[#This Row],[Excel Column - Label Overwrite]],meta_Columns[[#This Row],[Excel Column - Label from Property or Referenced Table]])</f>
        <v>Reference - Referenced Excel Table</v>
      </c>
      <c r="BB396" s="43" t="s">
        <v>2259</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2159</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1842</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Overwrite]])&lt;&gt;"",meta_Columns[[#This Row],[Excel Column - Label Overwrite]],meta_Columns[[#This Row],[Excel Column - Label from Property or Referenced Table]])</f>
        <v>Reference - Refering Column in Excel</v>
      </c>
      <c r="BB397" s="43" t="s">
        <v>1347</v>
      </c>
      <c r="BC397" s="44" t="str">
        <f>IF(meta_Columns[[#This Row],[Excel Column - Explicit Excel Formula]]="","",meta_Columns[[#This Row],[Excel Column - Explicit Excel Formula]])</f>
        <v>Formula:="[@["&amp;[@[Name or Type]]&amp;":src]]"</v>
      </c>
      <c r="BD397" s="5"/>
      <c r="BE397" s="5"/>
    </row>
    <row r="398" spans="1:57">
      <c r="A398" s="10" t="s">
        <v>2160</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1842</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Overwrite]])&lt;&gt;"",meta_Columns[[#This Row],[Excel Column - Label Overwrite]],meta_Columns[[#This Row],[Excel Column - Label from Property or Referenced Table]])</f>
        <v>Reference - Excel Formula for Display</v>
      </c>
      <c r="BB398" s="43" t="s">
        <v>1785</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2161</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1842</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Overwrite]])&lt;&gt;"",meta_Columns[[#This Row],[Excel Column - Label Overwrite]],meta_Columns[[#This Row],[Excel Column - Label from Property or Referenced Table]])</f>
        <v>Reference - VBA for Id Change in Supertype</v>
      </c>
      <c r="BB399" s="43" t="s">
        <v>1786</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2162</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1842</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Overwrite]])&lt;&gt;"",meta_Columns[[#This Row],[Excel Column - Label Overwrite]],meta_Columns[[#This Row],[Excel Column - Label from Property or Referenced Table]])</f>
        <v>Referencce - VBA for Id Change in Subtype</v>
      </c>
      <c r="BB400" s="43" t="s">
        <v>1787</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2163</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1842</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Overwrite]])&lt;&gt;"",meta_Columns[[#This Row],[Excel Column - Label Overwrite]],meta_Columns[[#This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2164</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1842</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Overwrite]])&lt;&gt;"",meta_Columns[[#This Row],[Excel Column - Label Overwrite]],meta_Columns[[#This Row],[Excel Column - Label from Property or Referenced Table]])</f>
        <v>Feature - VBA Type</v>
      </c>
      <c r="BB402" s="43" t="s">
        <v>1788</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2165</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1842</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Overwrite]])&lt;&gt;"",meta_Columns[[#This Row],[Excel Column - Label Overwrite]],meta_Columns[[#This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2166</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1842</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Overwrite]])&lt;&gt;"",meta_Columns[[#This Row],[Excel Column - Label Overwrite]],meta_Columns[[#This Row],[Excel Column - Label from Property or Referenced Table]])</f>
        <v>Feature - VBA Header</v>
      </c>
      <c r="BB404" s="43" t="s">
        <v>1348</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2167</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1842</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Overwrite]])&lt;&gt;"",meta_Columns[[#This Row],[Excel Column - Label Overwrite]],meta_Columns[[#This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2168</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1842</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Overwrite]])&lt;&gt;"",meta_Columns[[#This Row],[Excel Column - Label Overwrite]],meta_Columns[[#This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2169</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1842</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Overwrite]])&lt;&gt;"",meta_Columns[[#This Row],[Excel Column - Label Overwrite]],meta_Columns[[#This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2170</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1842</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Overwrite]])&lt;&gt;"",meta_Columns[[#This Row],[Excel Column - Label Overwrite]],meta_Columns[[#This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2171</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1842</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1771</v>
      </c>
      <c r="BA409" s="44" t="str">
        <f>IF(TRIM(meta_Columns[[#This Row],[Excel Column - Label Overwrite]])&lt;&gt;"",meta_Columns[[#This Row],[Excel Column - Label Overwrite]],meta_Columns[[#This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2172</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1842</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Overwrite]])&lt;&gt;"",meta_Columns[[#This Row],[Excel Column - Label Overwrite]],meta_Columns[[#This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2270</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1820</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Overwrite]])&lt;&gt;"",meta_Columns[[#This Row],[Excel Column - Label Overwrite]],meta_Columns[[#This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2271</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1820</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Overwrite]])&lt;&gt;"",meta_Columns[[#This Row],[Excel Column - Label Overwrite]],meta_Columns[[#This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2272</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1820</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Overwrite]])&lt;&gt;"",meta_Columns[[#This Row],[Excel Column - Label Overwrite]],meta_Columns[[#This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2273</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1820</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Overwrite]])&lt;&gt;"",meta_Columns[[#This Row],[Excel Column - Label Overwrite]],meta_Columns[[#This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2274</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1820</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Overwrite]])&lt;&gt;"",meta_Columns[[#This Row],[Excel Column - Label Overwrite]],meta_Columns[[#This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2275</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1820</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Overwrite]])&lt;&gt;"",meta_Columns[[#This Row],[Excel Column - Label Overwrite]],meta_Columns[[#This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2276</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1820</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Overwrite]])&lt;&gt;"",meta_Columns[[#This Row],[Excel Column - Label Overwrite]],meta_Columns[[#This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2277</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1820</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Overwrite]])&lt;&gt;"",meta_Columns[[#This Row],[Excel Column - Label Overwrite]],meta_Columns[[#This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2278</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1820</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Overwrite]])&lt;&gt;"",meta_Columns[[#This Row],[Excel Column - Label Overwrite]],meta_Columns[[#This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2287</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2284</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Overwrite]])&lt;&gt;"",meta_Columns[[#This Row],[Excel Column - Label Overwrite]],meta_Columns[[#This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2288</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2284</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2282</v>
      </c>
      <c r="BA421" s="44" t="str">
        <f>IF(TRIM(meta_Columns[[#This Row],[Excel Column - Label Overwrite]])&lt;&gt;"",meta_Columns[[#This Row],[Excel Column - Label Overwrite]],meta_Columns[[#This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2289</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2284</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Table:src]]="_meta::Snippets",INDEX(meta_Snippets[#Headers],meta_Columns[[#This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2283</v>
      </c>
      <c r="BA422" s="44" t="str">
        <f>IF(TRIM(meta_Columns[[#This Row],[Excel Column - Label Overwrite]])&lt;&gt;"",meta_Columns[[#This Row],[Excel Column - Label Overwrite]],meta_Columns[[#This Row],[Excel Column - Label from Property or Referenced Table]])</f>
        <v>Test 2</v>
      </c>
      <c r="BB422" s="43"/>
      <c r="BC422" s="44" t="str">
        <f>IF(meta_Columns[[#This Row],[Excel Column - Explicit Excel Formula]]="","",meta_Columns[[#This Row],[Excel Column - Explicit Excel Formula]])</f>
        <v/>
      </c>
      <c r="BD422" s="8" t="s">
        <v>2292</v>
      </c>
      <c r="BE422" s="5"/>
    </row>
    <row r="423" spans="1:57">
      <c r="R423" s="8"/>
    </row>
  </sheetData>
  <phoneticPr fontId="2" type="noConversion"/>
  <conditionalFormatting sqref="BA2:BA422">
    <cfRule type="expression" dxfId="5"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5546875" defaultRowHeight="15"/>
  <cols>
    <col min="1" max="1" width="26.7109375" style="5" bestFit="1" customWidth="1"/>
    <col min="2" max="3" width="21.140625" style="5" bestFit="1" customWidth="1"/>
    <col min="4" max="5" width="13.85546875" style="5" bestFit="1" customWidth="1"/>
    <col min="6" max="6" width="20.7109375" style="5" bestFit="1" customWidth="1"/>
    <col min="7" max="10" width="24.28515625" style="5" customWidth="1"/>
    <col min="11" max="16384" width="10.85546875" style="5"/>
  </cols>
  <sheetData>
    <row r="1" spans="1:10" ht="30">
      <c r="A1" s="5" t="s">
        <v>0</v>
      </c>
      <c r="B1" s="5" t="s">
        <v>18</v>
      </c>
      <c r="C1" s="5" t="s">
        <v>2304</v>
      </c>
      <c r="D1" s="5" t="s">
        <v>2305</v>
      </c>
      <c r="E1" s="5" t="s">
        <v>2306</v>
      </c>
      <c r="F1" s="5" t="s">
        <v>2307</v>
      </c>
      <c r="G1" s="5" t="s">
        <v>2308</v>
      </c>
      <c r="H1" s="5" t="s">
        <v>2309</v>
      </c>
      <c r="I1" s="7" t="s">
        <v>2387</v>
      </c>
      <c r="J1" s="7" t="s">
        <v>2388</v>
      </c>
    </row>
    <row r="2" spans="1:10">
      <c r="A2" s="5" t="s">
        <v>2310</v>
      </c>
      <c r="I2" s="7" t="b">
        <f>meta_Names[[#This Row],[Business]]=meta_Names[[#This Row],[Business from Camel]]</f>
        <v>1</v>
      </c>
      <c r="J2" s="7" t="b">
        <f>meta_Names[[#This Row],[Business]]=meta_Names[[#This Row],[String]]</f>
        <v>1</v>
      </c>
    </row>
    <row r="3" spans="1:10">
      <c r="B3" s="121" t="s">
        <v>231</v>
      </c>
      <c r="C3" s="121" t="s">
        <v>231</v>
      </c>
      <c r="D3" s="5" t="s">
        <v>231</v>
      </c>
      <c r="E3" s="5" t="s">
        <v>2523</v>
      </c>
      <c r="F3" s="121" t="s">
        <v>231</v>
      </c>
      <c r="G3" s="5" t="s">
        <v>231</v>
      </c>
      <c r="H3" s="5" t="s">
        <v>2523</v>
      </c>
      <c r="I3" s="7"/>
      <c r="J3" s="7"/>
    </row>
    <row r="4" spans="1:10">
      <c r="B4" s="121" t="s">
        <v>777</v>
      </c>
      <c r="C4" s="121" t="s">
        <v>777</v>
      </c>
      <c r="D4" s="5" t="s">
        <v>777</v>
      </c>
      <c r="E4" s="5" t="s">
        <v>2524</v>
      </c>
      <c r="F4" s="121" t="s">
        <v>777</v>
      </c>
      <c r="G4" s="5" t="s">
        <v>777</v>
      </c>
      <c r="H4" s="5" t="s">
        <v>2524</v>
      </c>
      <c r="I4" s="7"/>
      <c r="J4" s="7"/>
    </row>
    <row r="5" spans="1:10">
      <c r="B5" s="121" t="s">
        <v>120</v>
      </c>
      <c r="C5" s="121" t="s">
        <v>120</v>
      </c>
      <c r="D5" s="5" t="s">
        <v>120</v>
      </c>
      <c r="E5" s="5" t="s">
        <v>2442</v>
      </c>
      <c r="F5" s="121" t="s">
        <v>120</v>
      </c>
      <c r="G5" s="5" t="s">
        <v>120</v>
      </c>
      <c r="H5" s="5" t="s">
        <v>2442</v>
      </c>
      <c r="I5" s="7"/>
      <c r="J5" s="7"/>
    </row>
    <row r="6" spans="1:10">
      <c r="B6" s="121" t="s">
        <v>640</v>
      </c>
      <c r="C6" s="121" t="s">
        <v>640</v>
      </c>
      <c r="D6" s="5" t="s">
        <v>820</v>
      </c>
      <c r="E6" s="5" t="s">
        <v>2525</v>
      </c>
      <c r="F6" s="121" t="s">
        <v>640</v>
      </c>
      <c r="G6" s="5" t="s">
        <v>820</v>
      </c>
      <c r="H6" s="5" t="s">
        <v>2525</v>
      </c>
      <c r="I6" s="7"/>
      <c r="J6" s="7"/>
    </row>
    <row r="7" spans="1:10">
      <c r="B7" s="121" t="s">
        <v>574</v>
      </c>
      <c r="C7" s="121" t="s">
        <v>574</v>
      </c>
      <c r="D7" s="5" t="s">
        <v>574</v>
      </c>
      <c r="E7" s="5" t="s">
        <v>2449</v>
      </c>
      <c r="F7" s="121" t="s">
        <v>574</v>
      </c>
      <c r="G7" s="5" t="s">
        <v>574</v>
      </c>
      <c r="H7" s="5" t="s">
        <v>2449</v>
      </c>
      <c r="I7" s="7"/>
      <c r="J7" s="7"/>
    </row>
    <row r="8" spans="1:10">
      <c r="B8" s="121" t="s">
        <v>575</v>
      </c>
      <c r="C8" s="121" t="s">
        <v>575</v>
      </c>
      <c r="D8" s="5" t="s">
        <v>831</v>
      </c>
      <c r="E8" s="5" t="s">
        <v>2526</v>
      </c>
      <c r="F8" s="121" t="s">
        <v>575</v>
      </c>
      <c r="G8" s="5" t="s">
        <v>831</v>
      </c>
      <c r="H8" s="5" t="s">
        <v>2526</v>
      </c>
      <c r="I8" s="7"/>
      <c r="J8" s="7"/>
    </row>
    <row r="9" spans="1:10">
      <c r="B9" s="121" t="s">
        <v>576</v>
      </c>
      <c r="C9" s="121" t="s">
        <v>576</v>
      </c>
      <c r="D9" s="5" t="s">
        <v>832</v>
      </c>
      <c r="E9" s="5" t="s">
        <v>2527</v>
      </c>
      <c r="F9" s="121" t="s">
        <v>576</v>
      </c>
      <c r="G9" s="5" t="s">
        <v>832</v>
      </c>
      <c r="H9" s="5" t="s">
        <v>2527</v>
      </c>
      <c r="I9" s="7"/>
      <c r="J9" s="7"/>
    </row>
    <row r="10" spans="1:10">
      <c r="B10" s="121" t="s">
        <v>577</v>
      </c>
      <c r="C10" s="121" t="s">
        <v>577</v>
      </c>
      <c r="D10" s="5" t="s">
        <v>833</v>
      </c>
      <c r="E10" s="5" t="s">
        <v>2528</v>
      </c>
      <c r="F10" s="121" t="s">
        <v>577</v>
      </c>
      <c r="G10" s="5" t="s">
        <v>833</v>
      </c>
      <c r="H10" s="5" t="s">
        <v>2528</v>
      </c>
      <c r="I10" s="7"/>
      <c r="J10" s="7"/>
    </row>
    <row r="11" spans="1:10">
      <c r="B11" s="121" t="s">
        <v>637</v>
      </c>
      <c r="C11" s="121" t="s">
        <v>637</v>
      </c>
      <c r="D11" s="5" t="s">
        <v>834</v>
      </c>
      <c r="E11" s="5" t="s">
        <v>2529</v>
      </c>
      <c r="F11" s="121" t="s">
        <v>637</v>
      </c>
      <c r="G11" s="5" t="s">
        <v>834</v>
      </c>
      <c r="H11" s="5" t="s">
        <v>2529</v>
      </c>
      <c r="I11" s="7"/>
      <c r="J11" s="7"/>
    </row>
    <row r="12" spans="1:10">
      <c r="B12" s="121" t="s">
        <v>20</v>
      </c>
      <c r="C12" s="121" t="s">
        <v>20</v>
      </c>
      <c r="D12" s="5" t="s">
        <v>2530</v>
      </c>
      <c r="E12" s="5" t="s">
        <v>2531</v>
      </c>
      <c r="F12" s="121" t="s">
        <v>20</v>
      </c>
      <c r="G12" s="5" t="s">
        <v>2530</v>
      </c>
      <c r="H12" s="5" t="s">
        <v>2531</v>
      </c>
      <c r="I12" s="7"/>
      <c r="J12" s="7"/>
    </row>
    <row r="13" spans="1:10">
      <c r="B13" s="121" t="s">
        <v>790</v>
      </c>
      <c r="C13" s="121" t="s">
        <v>790</v>
      </c>
      <c r="D13" s="5" t="s">
        <v>2532</v>
      </c>
      <c r="E13" s="5" t="s">
        <v>2533</v>
      </c>
      <c r="F13" s="121" t="s">
        <v>790</v>
      </c>
      <c r="G13" s="5" t="s">
        <v>2532</v>
      </c>
      <c r="H13" s="5" t="s">
        <v>2533</v>
      </c>
      <c r="I13" s="7"/>
      <c r="J13" s="7"/>
    </row>
    <row r="14" spans="1:10">
      <c r="B14" s="121" t="s">
        <v>10</v>
      </c>
      <c r="C14" s="121" t="s">
        <v>10</v>
      </c>
      <c r="D14" s="5" t="s">
        <v>10</v>
      </c>
      <c r="E14" s="5" t="s">
        <v>2534</v>
      </c>
      <c r="F14" s="121" t="s">
        <v>10</v>
      </c>
      <c r="G14" s="5" t="s">
        <v>10</v>
      </c>
      <c r="H14" s="5" t="s">
        <v>2534</v>
      </c>
      <c r="I14" s="7"/>
      <c r="J14" s="7"/>
    </row>
    <row r="15" spans="1:10">
      <c r="B15" s="121" t="s">
        <v>6</v>
      </c>
      <c r="C15" s="121" t="s">
        <v>6</v>
      </c>
      <c r="D15" s="5" t="s">
        <v>6</v>
      </c>
      <c r="E15" s="5" t="s">
        <v>2535</v>
      </c>
      <c r="F15" s="121" t="s">
        <v>6</v>
      </c>
      <c r="G15" s="5" t="s">
        <v>6</v>
      </c>
      <c r="H15" s="5" t="s">
        <v>2535</v>
      </c>
      <c r="I15" s="7"/>
      <c r="J15" s="7"/>
    </row>
    <row r="16" spans="1:10">
      <c r="B16" s="121" t="s">
        <v>47</v>
      </c>
      <c r="C16" s="121" t="s">
        <v>47</v>
      </c>
      <c r="D16" s="5" t="s">
        <v>47</v>
      </c>
      <c r="E16" s="5" t="s">
        <v>2536</v>
      </c>
      <c r="F16" s="121" t="s">
        <v>47</v>
      </c>
      <c r="G16" s="5" t="s">
        <v>47</v>
      </c>
      <c r="H16" s="5" t="s">
        <v>2536</v>
      </c>
      <c r="I16" s="7"/>
      <c r="J16" s="7"/>
    </row>
    <row r="17" spans="2:10">
      <c r="B17" s="121" t="s">
        <v>12</v>
      </c>
      <c r="C17" s="121" t="s">
        <v>12</v>
      </c>
      <c r="D17" s="5" t="s">
        <v>12</v>
      </c>
      <c r="E17" s="5" t="s">
        <v>2499</v>
      </c>
      <c r="F17" s="121" t="s">
        <v>12</v>
      </c>
      <c r="G17" s="5" t="s">
        <v>12</v>
      </c>
      <c r="H17" s="5" t="s">
        <v>2499</v>
      </c>
      <c r="I17" s="7"/>
      <c r="J17" s="7"/>
    </row>
    <row r="18" spans="2:10">
      <c r="B18" s="121" t="s">
        <v>87</v>
      </c>
      <c r="C18" s="121" t="s">
        <v>87</v>
      </c>
      <c r="D18" s="5" t="s">
        <v>87</v>
      </c>
      <c r="E18" s="5" t="s">
        <v>2537</v>
      </c>
      <c r="F18" s="121" t="s">
        <v>87</v>
      </c>
      <c r="G18" s="5" t="s">
        <v>87</v>
      </c>
      <c r="H18" s="5" t="s">
        <v>2537</v>
      </c>
      <c r="I18" s="7"/>
      <c r="J18" s="7"/>
    </row>
    <row r="19" spans="2:10">
      <c r="B19" s="121" t="s">
        <v>88</v>
      </c>
      <c r="C19" s="121" t="s">
        <v>88</v>
      </c>
      <c r="D19" s="5" t="s">
        <v>88</v>
      </c>
      <c r="E19" s="5" t="s">
        <v>2538</v>
      </c>
      <c r="F19" s="121" t="s">
        <v>88</v>
      </c>
      <c r="G19" s="5" t="s">
        <v>88</v>
      </c>
      <c r="H19" s="5" t="s">
        <v>2538</v>
      </c>
      <c r="I19" s="7"/>
      <c r="J19" s="7"/>
    </row>
    <row r="20" spans="2:10">
      <c r="B20" s="121" t="s">
        <v>7</v>
      </c>
      <c r="C20" s="121" t="s">
        <v>7</v>
      </c>
      <c r="D20" s="5" t="s">
        <v>7</v>
      </c>
      <c r="E20" s="5" t="s">
        <v>2539</v>
      </c>
      <c r="F20" s="121" t="s">
        <v>7</v>
      </c>
      <c r="G20" s="5" t="s">
        <v>7</v>
      </c>
      <c r="H20" s="5" t="s">
        <v>2539</v>
      </c>
      <c r="I20" s="7"/>
      <c r="J20" s="7"/>
    </row>
    <row r="21" spans="2:10">
      <c r="B21" s="121" t="s">
        <v>14</v>
      </c>
      <c r="C21" s="121" t="s">
        <v>14</v>
      </c>
      <c r="D21" s="5" t="s">
        <v>14</v>
      </c>
      <c r="E21" s="5" t="s">
        <v>2467</v>
      </c>
      <c r="F21" s="121" t="s">
        <v>14</v>
      </c>
      <c r="G21" s="5" t="s">
        <v>14</v>
      </c>
      <c r="H21" s="5" t="s">
        <v>2467</v>
      </c>
      <c r="I21" s="7"/>
      <c r="J21" s="7"/>
    </row>
    <row r="22" spans="2:10">
      <c r="B22" s="121" t="s">
        <v>15</v>
      </c>
      <c r="C22" s="121" t="s">
        <v>15</v>
      </c>
      <c r="D22" s="5" t="s">
        <v>15</v>
      </c>
      <c r="E22" s="5" t="s">
        <v>2540</v>
      </c>
      <c r="F22" s="121" t="s">
        <v>15</v>
      </c>
      <c r="G22" s="5" t="s">
        <v>15</v>
      </c>
      <c r="H22" s="5" t="s">
        <v>2540</v>
      </c>
      <c r="I22" s="7"/>
      <c r="J22" s="7"/>
    </row>
    <row r="23" spans="2:10">
      <c r="B23" s="121" t="s">
        <v>16</v>
      </c>
      <c r="C23" s="121" t="s">
        <v>16</v>
      </c>
      <c r="D23" s="5" t="s">
        <v>16</v>
      </c>
      <c r="E23" s="5" t="s">
        <v>2541</v>
      </c>
      <c r="F23" s="121" t="s">
        <v>16</v>
      </c>
      <c r="G23" s="5" t="s">
        <v>16</v>
      </c>
      <c r="H23" s="5" t="s">
        <v>2541</v>
      </c>
      <c r="I23" s="7"/>
      <c r="J23" s="7"/>
    </row>
    <row r="24" spans="2:10">
      <c r="B24" s="121" t="s">
        <v>687</v>
      </c>
      <c r="C24" s="121" t="s">
        <v>687</v>
      </c>
      <c r="D24" s="5" t="s">
        <v>2542</v>
      </c>
      <c r="E24" s="5" t="s">
        <v>2543</v>
      </c>
      <c r="F24" s="121" t="s">
        <v>687</v>
      </c>
      <c r="G24" s="5" t="s">
        <v>2542</v>
      </c>
      <c r="H24" s="5" t="s">
        <v>2543</v>
      </c>
      <c r="I24" s="7"/>
      <c r="J24" s="7"/>
    </row>
    <row r="25" spans="2:10">
      <c r="B25" s="121" t="s">
        <v>688</v>
      </c>
      <c r="C25" s="121" t="s">
        <v>688</v>
      </c>
      <c r="D25" s="5" t="s">
        <v>2544</v>
      </c>
      <c r="E25" s="5" t="s">
        <v>2545</v>
      </c>
      <c r="F25" s="121" t="s">
        <v>688</v>
      </c>
      <c r="G25" s="5" t="s">
        <v>2544</v>
      </c>
      <c r="H25" s="5" t="s">
        <v>2545</v>
      </c>
      <c r="I25" s="7"/>
      <c r="J25" s="7"/>
    </row>
    <row r="26" spans="2:10">
      <c r="B26" s="121" t="s">
        <v>86</v>
      </c>
      <c r="C26" s="121" t="s">
        <v>86</v>
      </c>
      <c r="D26" s="5" t="s">
        <v>2546</v>
      </c>
      <c r="E26" s="5" t="s">
        <v>2547</v>
      </c>
      <c r="F26" s="121" t="s">
        <v>86</v>
      </c>
      <c r="G26" s="5" t="s">
        <v>2546</v>
      </c>
      <c r="H26" s="5" t="s">
        <v>2547</v>
      </c>
      <c r="I26" s="7"/>
      <c r="J26" s="7"/>
    </row>
    <row r="27" spans="2:10">
      <c r="B27" s="121" t="s">
        <v>8</v>
      </c>
      <c r="C27" s="121" t="s">
        <v>8</v>
      </c>
      <c r="D27" s="5" t="s">
        <v>8</v>
      </c>
      <c r="E27" s="5" t="s">
        <v>2548</v>
      </c>
      <c r="F27" s="121" t="s">
        <v>8</v>
      </c>
      <c r="G27" s="5" t="s">
        <v>8</v>
      </c>
      <c r="H27" s="5" t="s">
        <v>2548</v>
      </c>
      <c r="I27" s="7"/>
      <c r="J27" s="7"/>
    </row>
    <row r="28" spans="2:10">
      <c r="B28" s="121" t="s">
        <v>542</v>
      </c>
      <c r="C28" s="121" t="s">
        <v>542</v>
      </c>
      <c r="D28" s="5" t="s">
        <v>2549</v>
      </c>
      <c r="E28" s="5" t="s">
        <v>2550</v>
      </c>
      <c r="F28" s="121" t="s">
        <v>542</v>
      </c>
      <c r="G28" s="5" t="s">
        <v>2549</v>
      </c>
      <c r="H28" s="5" t="s">
        <v>2550</v>
      </c>
      <c r="I28" s="7"/>
      <c r="J28" s="7"/>
    </row>
    <row r="29" spans="2:10">
      <c r="B29" s="121" t="s">
        <v>458</v>
      </c>
      <c r="C29" s="121" t="s">
        <v>458</v>
      </c>
      <c r="D29" s="5" t="s">
        <v>458</v>
      </c>
      <c r="E29" s="5" t="s">
        <v>2551</v>
      </c>
      <c r="F29" s="121" t="s">
        <v>458</v>
      </c>
      <c r="G29" s="5" t="s">
        <v>458</v>
      </c>
      <c r="H29" s="5" t="s">
        <v>2551</v>
      </c>
      <c r="I29" s="7"/>
      <c r="J29" s="7"/>
    </row>
    <row r="30" spans="2:10">
      <c r="B30" s="121" t="s">
        <v>547</v>
      </c>
      <c r="C30" s="121" t="s">
        <v>547</v>
      </c>
      <c r="D30" s="5" t="s">
        <v>2552</v>
      </c>
      <c r="E30" s="5" t="s">
        <v>2553</v>
      </c>
      <c r="F30" s="121" t="s">
        <v>547</v>
      </c>
      <c r="G30" s="5" t="s">
        <v>2552</v>
      </c>
      <c r="H30" s="5" t="s">
        <v>2553</v>
      </c>
      <c r="I30" s="7"/>
      <c r="J30" s="7"/>
    </row>
    <row r="31" spans="2:10">
      <c r="B31" s="121" t="s">
        <v>46</v>
      </c>
      <c r="C31" s="121" t="s">
        <v>46</v>
      </c>
      <c r="D31" s="5" t="s">
        <v>46</v>
      </c>
      <c r="E31" s="5" t="s">
        <v>2554</v>
      </c>
      <c r="F31" s="121" t="s">
        <v>46</v>
      </c>
      <c r="G31" s="5" t="s">
        <v>46</v>
      </c>
      <c r="H31" s="5" t="s">
        <v>2554</v>
      </c>
      <c r="I31" s="7"/>
      <c r="J31" s="7"/>
    </row>
    <row r="32" spans="2:10">
      <c r="B32" s="121" t="s">
        <v>44</v>
      </c>
      <c r="C32" s="121" t="s">
        <v>44</v>
      </c>
      <c r="D32" s="5" t="s">
        <v>1754</v>
      </c>
      <c r="E32" s="5" t="s">
        <v>2555</v>
      </c>
      <c r="F32" s="121" t="s">
        <v>44</v>
      </c>
      <c r="G32" s="5" t="s">
        <v>1754</v>
      </c>
      <c r="H32" s="5" t="s">
        <v>2555</v>
      </c>
      <c r="I32" s="7"/>
      <c r="J32" s="7"/>
    </row>
    <row r="33" spans="2:10">
      <c r="B33" s="121" t="s">
        <v>45</v>
      </c>
      <c r="C33" s="121" t="s">
        <v>45</v>
      </c>
      <c r="D33" s="5" t="s">
        <v>1755</v>
      </c>
      <c r="E33" s="5" t="s">
        <v>2556</v>
      </c>
      <c r="F33" s="121" t="s">
        <v>45</v>
      </c>
      <c r="G33" s="5" t="s">
        <v>1755</v>
      </c>
      <c r="H33" s="5" t="s">
        <v>2556</v>
      </c>
      <c r="I33" s="7"/>
      <c r="J33" s="7"/>
    </row>
    <row r="34" spans="2:10">
      <c r="B34" s="121" t="s">
        <v>98</v>
      </c>
      <c r="C34" s="121" t="s">
        <v>98</v>
      </c>
      <c r="D34" s="5" t="s">
        <v>1758</v>
      </c>
      <c r="E34" s="5" t="s">
        <v>2557</v>
      </c>
      <c r="F34" s="121" t="s">
        <v>98</v>
      </c>
      <c r="G34" s="5" t="s">
        <v>1758</v>
      </c>
      <c r="H34" s="5" t="s">
        <v>2557</v>
      </c>
      <c r="I34" s="7"/>
      <c r="J34" s="7"/>
    </row>
    <row r="35" spans="2:10">
      <c r="B35" s="121" t="s">
        <v>29</v>
      </c>
      <c r="C35" s="121" t="s">
        <v>29</v>
      </c>
      <c r="D35" s="5" t="s">
        <v>29</v>
      </c>
      <c r="E35" s="5" t="s">
        <v>2501</v>
      </c>
      <c r="F35" s="121" t="s">
        <v>29</v>
      </c>
      <c r="G35" s="5" t="s">
        <v>29</v>
      </c>
      <c r="H35" s="5" t="s">
        <v>2501</v>
      </c>
      <c r="I35" s="7"/>
      <c r="J35" s="7"/>
    </row>
    <row r="36" spans="2:10">
      <c r="B36" s="121" t="s">
        <v>28</v>
      </c>
      <c r="C36" s="121" t="s">
        <v>28</v>
      </c>
      <c r="D36" s="5" t="s">
        <v>28</v>
      </c>
      <c r="E36" s="5" t="s">
        <v>2510</v>
      </c>
      <c r="F36" s="121" t="s">
        <v>28</v>
      </c>
      <c r="G36" s="5" t="s">
        <v>28</v>
      </c>
      <c r="H36" s="5" t="s">
        <v>2510</v>
      </c>
      <c r="I36" s="7"/>
      <c r="J36" s="7"/>
    </row>
    <row r="37" spans="2:10">
      <c r="B37" s="121" t="s">
        <v>9</v>
      </c>
      <c r="C37" s="121" t="s">
        <v>9</v>
      </c>
      <c r="D37" s="5" t="s">
        <v>9</v>
      </c>
      <c r="E37" s="5" t="s">
        <v>2558</v>
      </c>
      <c r="F37" s="121" t="s">
        <v>9</v>
      </c>
      <c r="G37" s="5" t="s">
        <v>9</v>
      </c>
      <c r="H37" s="5" t="s">
        <v>2558</v>
      </c>
      <c r="I37" s="7"/>
      <c r="J37" s="7"/>
    </row>
    <row r="38" spans="2:10">
      <c r="B38" s="121" t="s">
        <v>32</v>
      </c>
      <c r="C38" s="121" t="s">
        <v>32</v>
      </c>
      <c r="D38" s="5" t="s">
        <v>32</v>
      </c>
      <c r="E38" s="5" t="s">
        <v>476</v>
      </c>
      <c r="F38" s="121" t="s">
        <v>32</v>
      </c>
      <c r="G38" s="5" t="s">
        <v>32</v>
      </c>
      <c r="H38" s="5" t="s">
        <v>476</v>
      </c>
      <c r="I38" s="7"/>
      <c r="J38" s="7"/>
    </row>
    <row r="39" spans="2:10">
      <c r="B39" s="121" t="s">
        <v>95</v>
      </c>
      <c r="C39" s="121" t="s">
        <v>95</v>
      </c>
      <c r="D39" s="5" t="s">
        <v>95</v>
      </c>
      <c r="E39" s="5" t="s">
        <v>2559</v>
      </c>
      <c r="F39" s="121" t="s">
        <v>95</v>
      </c>
      <c r="G39" s="5" t="s">
        <v>95</v>
      </c>
      <c r="H39" s="5" t="s">
        <v>2559</v>
      </c>
      <c r="I39" s="7"/>
      <c r="J39" s="7"/>
    </row>
    <row r="40" spans="2:10">
      <c r="B40" s="121" t="s">
        <v>2522</v>
      </c>
      <c r="C40" s="121" t="s">
        <v>2522</v>
      </c>
      <c r="D40" s="5" t="s">
        <v>2560</v>
      </c>
      <c r="E40" s="5" t="s">
        <v>2561</v>
      </c>
      <c r="F40" s="121" t="s">
        <v>2522</v>
      </c>
      <c r="G40" s="5" t="s">
        <v>2560</v>
      </c>
      <c r="H40" s="5" t="s">
        <v>2561</v>
      </c>
      <c r="I40" s="7"/>
      <c r="J40" s="7"/>
    </row>
    <row r="41" spans="2:10">
      <c r="B41" s="121" t="s">
        <v>33</v>
      </c>
      <c r="C41" s="121" t="s">
        <v>33</v>
      </c>
      <c r="D41" s="5" t="s">
        <v>33</v>
      </c>
      <c r="E41" s="5" t="s">
        <v>477</v>
      </c>
      <c r="F41" s="121" t="s">
        <v>33</v>
      </c>
      <c r="G41" s="5" t="s">
        <v>33</v>
      </c>
      <c r="H41" s="5" t="s">
        <v>477</v>
      </c>
      <c r="I41" s="7"/>
      <c r="J41" s="7"/>
    </row>
    <row r="42" spans="2:10">
      <c r="B42" s="121" t="s">
        <v>34</v>
      </c>
      <c r="C42" s="121" t="s">
        <v>34</v>
      </c>
      <c r="D42" s="5" t="s">
        <v>34</v>
      </c>
      <c r="E42" s="5" t="s">
        <v>2562</v>
      </c>
      <c r="F42" s="121" t="s">
        <v>34</v>
      </c>
      <c r="G42" s="5" t="s">
        <v>34</v>
      </c>
      <c r="H42" s="5" t="s">
        <v>2562</v>
      </c>
      <c r="I42" s="7"/>
      <c r="J42" s="7"/>
    </row>
    <row r="43" spans="2:10">
      <c r="B43" s="121" t="s">
        <v>35</v>
      </c>
      <c r="C43" s="121" t="s">
        <v>35</v>
      </c>
      <c r="D43" s="5" t="s">
        <v>35</v>
      </c>
      <c r="E43" s="5" t="s">
        <v>2563</v>
      </c>
      <c r="F43" s="121" t="s">
        <v>35</v>
      </c>
      <c r="G43" s="5" t="s">
        <v>35</v>
      </c>
      <c r="H43" s="5" t="s">
        <v>2563</v>
      </c>
      <c r="I43" s="7"/>
      <c r="J43" s="7"/>
    </row>
    <row r="44" spans="2:10">
      <c r="B44" s="121" t="s">
        <v>234</v>
      </c>
      <c r="C44" s="121" t="s">
        <v>234</v>
      </c>
      <c r="D44" s="5" t="s">
        <v>1757</v>
      </c>
      <c r="E44" s="5" t="s">
        <v>2564</v>
      </c>
      <c r="F44" s="121" t="s">
        <v>234</v>
      </c>
      <c r="G44" s="5" t="s">
        <v>1757</v>
      </c>
      <c r="H44" s="5" t="s">
        <v>2564</v>
      </c>
      <c r="I44" s="7"/>
      <c r="J44" s="7"/>
    </row>
    <row r="45" spans="2:10">
      <c r="B45" s="121" t="s">
        <v>36</v>
      </c>
      <c r="C45" s="121" t="s">
        <v>36</v>
      </c>
      <c r="D45" s="5" t="s">
        <v>2565</v>
      </c>
      <c r="E45" s="5" t="s">
        <v>2566</v>
      </c>
      <c r="F45" s="121" t="s">
        <v>36</v>
      </c>
      <c r="G45" s="5" t="s">
        <v>2565</v>
      </c>
      <c r="H45" s="5" t="s">
        <v>2566</v>
      </c>
      <c r="I45" s="7"/>
      <c r="J45" s="7"/>
    </row>
    <row r="46" spans="2:10">
      <c r="B46" s="121" t="s">
        <v>108</v>
      </c>
      <c r="C46" s="121" t="s">
        <v>108</v>
      </c>
      <c r="D46" s="5" t="s">
        <v>2567</v>
      </c>
      <c r="E46" s="5" t="s">
        <v>2568</v>
      </c>
      <c r="F46" s="121" t="s">
        <v>108</v>
      </c>
      <c r="G46" s="5" t="s">
        <v>2567</v>
      </c>
      <c r="H46" s="5" t="s">
        <v>2568</v>
      </c>
      <c r="I46" s="7"/>
      <c r="J46" s="7"/>
    </row>
    <row r="47" spans="2:10">
      <c r="B47" s="121" t="s">
        <v>37</v>
      </c>
      <c r="C47" s="121" t="s">
        <v>37</v>
      </c>
      <c r="D47" s="5" t="s">
        <v>2569</v>
      </c>
      <c r="E47" s="5" t="s">
        <v>2570</v>
      </c>
      <c r="F47" s="121" t="s">
        <v>37</v>
      </c>
      <c r="G47" s="5" t="s">
        <v>2569</v>
      </c>
      <c r="H47" s="5" t="s">
        <v>2570</v>
      </c>
      <c r="I47" s="7"/>
      <c r="J47" s="7"/>
    </row>
    <row r="48" spans="2:10">
      <c r="B48" s="121" t="s">
        <v>809</v>
      </c>
      <c r="C48" s="121" t="s">
        <v>809</v>
      </c>
      <c r="D48" s="5" t="s">
        <v>2571</v>
      </c>
      <c r="E48" s="5" t="s">
        <v>2572</v>
      </c>
      <c r="F48" s="121" t="s">
        <v>809</v>
      </c>
      <c r="G48" s="5" t="s">
        <v>2571</v>
      </c>
      <c r="H48" s="5" t="s">
        <v>2572</v>
      </c>
      <c r="I48" s="7"/>
      <c r="J48" s="7"/>
    </row>
    <row r="49" spans="2:10">
      <c r="B49" s="121" t="s">
        <v>38</v>
      </c>
      <c r="C49" s="121" t="s">
        <v>38</v>
      </c>
      <c r="D49" s="5" t="s">
        <v>38</v>
      </c>
      <c r="E49" s="5" t="s">
        <v>2573</v>
      </c>
      <c r="F49" s="121" t="s">
        <v>38</v>
      </c>
      <c r="G49" s="5" t="s">
        <v>38</v>
      </c>
      <c r="H49" s="5" t="s">
        <v>2573</v>
      </c>
      <c r="I49" s="7"/>
      <c r="J49" s="7"/>
    </row>
    <row r="50" spans="2:10">
      <c r="B50" s="121" t="s">
        <v>522</v>
      </c>
      <c r="C50" s="121" t="s">
        <v>522</v>
      </c>
      <c r="D50" s="5" t="s">
        <v>1756</v>
      </c>
      <c r="E50" s="5" t="s">
        <v>2574</v>
      </c>
      <c r="F50" s="121" t="s">
        <v>522</v>
      </c>
      <c r="G50" s="5" t="s">
        <v>1756</v>
      </c>
      <c r="H50" s="5" t="s">
        <v>2574</v>
      </c>
      <c r="I50" s="7"/>
      <c r="J50" s="7"/>
    </row>
    <row r="51" spans="2:10">
      <c r="B51" s="121" t="s">
        <v>523</v>
      </c>
      <c r="C51" s="121" t="s">
        <v>523</v>
      </c>
      <c r="D51" s="5" t="s">
        <v>2575</v>
      </c>
      <c r="E51" s="5" t="s">
        <v>2576</v>
      </c>
      <c r="F51" s="121" t="s">
        <v>523</v>
      </c>
      <c r="G51" s="5" t="s">
        <v>2575</v>
      </c>
      <c r="H51" s="5" t="s">
        <v>2576</v>
      </c>
      <c r="I51" s="7"/>
      <c r="J51" s="7"/>
    </row>
    <row r="52" spans="2:10">
      <c r="B52" s="121" t="s">
        <v>527</v>
      </c>
      <c r="C52" s="121" t="s">
        <v>527</v>
      </c>
      <c r="D52" s="5" t="s">
        <v>2577</v>
      </c>
      <c r="E52" s="5" t="s">
        <v>2578</v>
      </c>
      <c r="F52" s="121" t="s">
        <v>527</v>
      </c>
      <c r="G52" s="5" t="s">
        <v>2577</v>
      </c>
      <c r="H52" s="5" t="s">
        <v>2578</v>
      </c>
      <c r="I52" s="7"/>
      <c r="J52" s="7"/>
    </row>
    <row r="53" spans="2:10">
      <c r="B53" s="121" t="s">
        <v>451</v>
      </c>
      <c r="C53" s="121" t="s">
        <v>451</v>
      </c>
      <c r="D53" s="5" t="s">
        <v>2579</v>
      </c>
      <c r="E53" s="5" t="s">
        <v>2580</v>
      </c>
      <c r="F53" s="121" t="s">
        <v>451</v>
      </c>
      <c r="G53" s="5" t="s">
        <v>2579</v>
      </c>
      <c r="H53" s="5" t="s">
        <v>2580</v>
      </c>
      <c r="I53" s="7"/>
      <c r="J53" s="7"/>
    </row>
    <row r="54" spans="2:10">
      <c r="B54" s="121" t="s">
        <v>48</v>
      </c>
      <c r="C54" s="121" t="s">
        <v>48</v>
      </c>
      <c r="D54" s="5" t="s">
        <v>48</v>
      </c>
      <c r="E54" s="5" t="s">
        <v>2581</v>
      </c>
      <c r="F54" s="121" t="s">
        <v>48</v>
      </c>
      <c r="G54" s="5" t="s">
        <v>48</v>
      </c>
      <c r="H54" s="5" t="s">
        <v>2581</v>
      </c>
      <c r="I54" s="7"/>
      <c r="J54" s="7"/>
    </row>
    <row r="55" spans="2:10">
      <c r="B55" s="121" t="s">
        <v>186</v>
      </c>
      <c r="C55" s="121" t="s">
        <v>186</v>
      </c>
      <c r="D55" s="5" t="s">
        <v>186</v>
      </c>
      <c r="E55" s="5" t="s">
        <v>2582</v>
      </c>
      <c r="F55" s="121" t="s">
        <v>186</v>
      </c>
      <c r="G55" s="5" t="s">
        <v>186</v>
      </c>
      <c r="H55" s="5" t="s">
        <v>2582</v>
      </c>
      <c r="I55" s="7"/>
      <c r="J55" s="7"/>
    </row>
    <row r="56" spans="2:10">
      <c r="B56" s="121" t="s">
        <v>187</v>
      </c>
      <c r="C56" s="121" t="s">
        <v>187</v>
      </c>
      <c r="D56" s="5" t="s">
        <v>187</v>
      </c>
      <c r="E56" s="5" t="s">
        <v>2583</v>
      </c>
      <c r="F56" s="121" t="s">
        <v>187</v>
      </c>
      <c r="G56" s="5" t="s">
        <v>187</v>
      </c>
      <c r="H56" s="5" t="s">
        <v>2583</v>
      </c>
      <c r="I56" s="7"/>
      <c r="J56" s="7"/>
    </row>
    <row r="57" spans="2:10">
      <c r="B57" s="121" t="s">
        <v>183</v>
      </c>
      <c r="C57" s="121" t="s">
        <v>2584</v>
      </c>
      <c r="D57" s="5" t="s">
        <v>2585</v>
      </c>
      <c r="E57" s="5" t="s">
        <v>2586</v>
      </c>
      <c r="F57" s="121" t="s">
        <v>2584</v>
      </c>
      <c r="G57" s="5" t="s">
        <v>2585</v>
      </c>
      <c r="H57" s="5" t="s">
        <v>2586</v>
      </c>
      <c r="I57" s="7"/>
      <c r="J57" s="7"/>
    </row>
    <row r="58" spans="2:10">
      <c r="B58" s="121" t="s">
        <v>18</v>
      </c>
      <c r="C58" s="121" t="s">
        <v>18</v>
      </c>
      <c r="D58" s="5" t="s">
        <v>18</v>
      </c>
      <c r="E58" s="5" t="s">
        <v>2587</v>
      </c>
      <c r="F58" s="121" t="s">
        <v>18</v>
      </c>
      <c r="G58" s="5" t="s">
        <v>18</v>
      </c>
      <c r="H58" s="5" t="s">
        <v>2587</v>
      </c>
      <c r="I58" s="7"/>
      <c r="J58" s="7"/>
    </row>
    <row r="59" spans="2:10">
      <c r="B59" s="121" t="s">
        <v>128</v>
      </c>
      <c r="C59" s="121" t="s">
        <v>128</v>
      </c>
      <c r="D59" s="5" t="s">
        <v>2588</v>
      </c>
      <c r="E59" s="5" t="s">
        <v>2589</v>
      </c>
      <c r="F59" s="121" t="s">
        <v>128</v>
      </c>
      <c r="G59" s="5" t="s">
        <v>2588</v>
      </c>
      <c r="H59" s="5" t="s">
        <v>2589</v>
      </c>
      <c r="I59" s="7"/>
      <c r="J59" s="7"/>
    </row>
    <row r="60" spans="2:10">
      <c r="B60" s="121" t="s">
        <v>129</v>
      </c>
      <c r="C60" s="121" t="s">
        <v>129</v>
      </c>
      <c r="D60" s="5" t="s">
        <v>2590</v>
      </c>
      <c r="E60" s="5" t="s">
        <v>2591</v>
      </c>
      <c r="F60" s="121" t="s">
        <v>129</v>
      </c>
      <c r="G60" s="5" t="s">
        <v>2590</v>
      </c>
      <c r="H60" s="5" t="s">
        <v>2591</v>
      </c>
      <c r="I60" s="7"/>
      <c r="J60" s="7"/>
    </row>
    <row r="61" spans="2:10">
      <c r="B61" s="121" t="s">
        <v>682</v>
      </c>
      <c r="C61" s="121" t="s">
        <v>682</v>
      </c>
      <c r="D61" s="5" t="s">
        <v>682</v>
      </c>
      <c r="E61" s="5" t="s">
        <v>2592</v>
      </c>
      <c r="F61" s="121" t="s">
        <v>682</v>
      </c>
      <c r="G61" s="5" t="s">
        <v>682</v>
      </c>
      <c r="H61" s="5" t="s">
        <v>2592</v>
      </c>
      <c r="I61" s="7"/>
      <c r="J61" s="7"/>
    </row>
    <row r="62" spans="2:10">
      <c r="B62" s="121" t="s">
        <v>465</v>
      </c>
      <c r="C62" s="121" t="s">
        <v>465</v>
      </c>
      <c r="D62" s="5" t="s">
        <v>465</v>
      </c>
      <c r="E62" s="5" t="s">
        <v>2480</v>
      </c>
      <c r="F62" s="121" t="s">
        <v>465</v>
      </c>
      <c r="G62" s="5" t="s">
        <v>465</v>
      </c>
      <c r="H62" s="5" t="s">
        <v>2480</v>
      </c>
      <c r="I62" s="7"/>
      <c r="J62" s="7"/>
    </row>
    <row r="63" spans="2:10">
      <c r="B63" s="121" t="s">
        <v>664</v>
      </c>
      <c r="C63" s="121" t="s">
        <v>664</v>
      </c>
      <c r="D63" s="5" t="s">
        <v>664</v>
      </c>
      <c r="E63" s="5" t="s">
        <v>2593</v>
      </c>
      <c r="F63" s="121" t="s">
        <v>664</v>
      </c>
      <c r="G63" s="5" t="s">
        <v>664</v>
      </c>
      <c r="H63" s="5" t="s">
        <v>2593</v>
      </c>
      <c r="I63" s="7"/>
      <c r="J63" s="7"/>
    </row>
    <row r="64" spans="2:10">
      <c r="B64" s="121" t="s">
        <v>749</v>
      </c>
      <c r="C64" s="121" t="s">
        <v>749</v>
      </c>
      <c r="D64" s="5" t="s">
        <v>2594</v>
      </c>
      <c r="E64" s="5" t="s">
        <v>2595</v>
      </c>
      <c r="F64" s="121" t="s">
        <v>749</v>
      </c>
      <c r="G64" s="5" t="s">
        <v>2594</v>
      </c>
      <c r="H64" s="5" t="s">
        <v>2595</v>
      </c>
      <c r="I64" s="7"/>
      <c r="J64" s="7"/>
    </row>
    <row r="65" spans="2:10">
      <c r="B65" s="121" t="s">
        <v>151</v>
      </c>
      <c r="C65" s="121" t="s">
        <v>151</v>
      </c>
      <c r="D65" s="5" t="s">
        <v>151</v>
      </c>
      <c r="E65" s="5" t="s">
        <v>2391</v>
      </c>
      <c r="F65" s="121" t="s">
        <v>151</v>
      </c>
      <c r="G65" s="5" t="s">
        <v>151</v>
      </c>
      <c r="H65" s="5" t="s">
        <v>2391</v>
      </c>
      <c r="I65" s="7"/>
      <c r="J65" s="7"/>
    </row>
    <row r="66" spans="2:10">
      <c r="B66" s="121" t="s">
        <v>155</v>
      </c>
      <c r="C66" s="121" t="s">
        <v>155</v>
      </c>
      <c r="D66" s="5" t="s">
        <v>155</v>
      </c>
      <c r="E66" s="5" t="s">
        <v>2392</v>
      </c>
      <c r="F66" s="121" t="s">
        <v>155</v>
      </c>
      <c r="G66" s="5" t="s">
        <v>155</v>
      </c>
      <c r="H66" s="5" t="s">
        <v>2392</v>
      </c>
      <c r="I66" s="7"/>
      <c r="J66" s="7"/>
    </row>
    <row r="67" spans="2:10">
      <c r="B67" s="121" t="s">
        <v>156</v>
      </c>
      <c r="C67" s="121" t="s">
        <v>156</v>
      </c>
      <c r="D67" s="5" t="s">
        <v>156</v>
      </c>
      <c r="E67" s="5" t="s">
        <v>2393</v>
      </c>
      <c r="F67" s="121" t="s">
        <v>156</v>
      </c>
      <c r="G67" s="5" t="s">
        <v>156</v>
      </c>
      <c r="H67" s="5" t="s">
        <v>2393</v>
      </c>
      <c r="I67" s="7"/>
      <c r="J67" s="7"/>
    </row>
    <row r="68" spans="2:10">
      <c r="B68" s="121" t="s">
        <v>154</v>
      </c>
      <c r="C68" s="121" t="s">
        <v>154</v>
      </c>
      <c r="D68" s="5" t="s">
        <v>154</v>
      </c>
      <c r="E68" s="5" t="s">
        <v>2394</v>
      </c>
      <c r="F68" s="121" t="s">
        <v>154</v>
      </c>
      <c r="G68" s="5" t="s">
        <v>154</v>
      </c>
      <c r="H68" s="5" t="s">
        <v>2394</v>
      </c>
      <c r="I68" s="7"/>
      <c r="J68" s="7"/>
    </row>
    <row r="69" spans="2:10">
      <c r="B69" s="121" t="s">
        <v>152</v>
      </c>
      <c r="C69" s="121" t="s">
        <v>2395</v>
      </c>
      <c r="D69" s="5" t="s">
        <v>2395</v>
      </c>
      <c r="E69" s="5" t="s">
        <v>2395</v>
      </c>
      <c r="F69" s="121" t="s">
        <v>2395</v>
      </c>
      <c r="G69" s="5" t="s">
        <v>2395</v>
      </c>
      <c r="H69" s="5" t="s">
        <v>2395</v>
      </c>
      <c r="I69" s="7"/>
      <c r="J69" s="7"/>
    </row>
    <row r="70" spans="2:10">
      <c r="B70" s="121" t="s">
        <v>157</v>
      </c>
      <c r="C70" s="121" t="s">
        <v>2396</v>
      </c>
      <c r="D70" s="5" t="s">
        <v>2396</v>
      </c>
      <c r="E70" s="5" t="s">
        <v>2396</v>
      </c>
      <c r="F70" s="121" t="s">
        <v>2396</v>
      </c>
      <c r="G70" s="5" t="s">
        <v>2396</v>
      </c>
      <c r="H70" s="5" t="s">
        <v>2396</v>
      </c>
      <c r="I70" s="7"/>
      <c r="J70" s="7"/>
    </row>
    <row r="71" spans="2:10">
      <c r="B71" s="121" t="s">
        <v>158</v>
      </c>
      <c r="C71" s="121" t="s">
        <v>158</v>
      </c>
      <c r="D71" s="5" t="s">
        <v>158</v>
      </c>
      <c r="E71" s="5" t="s">
        <v>2397</v>
      </c>
      <c r="F71" s="121" t="s">
        <v>158</v>
      </c>
      <c r="G71" s="5" t="s">
        <v>158</v>
      </c>
      <c r="H71" s="5" t="s">
        <v>2397</v>
      </c>
      <c r="I71" s="7"/>
      <c r="J71" s="7"/>
    </row>
    <row r="72" spans="2:10">
      <c r="B72" s="121" t="s">
        <v>153</v>
      </c>
      <c r="C72" s="121" t="s">
        <v>153</v>
      </c>
      <c r="D72" s="5" t="s">
        <v>153</v>
      </c>
      <c r="E72" s="5" t="s">
        <v>2398</v>
      </c>
      <c r="F72" s="121" t="s">
        <v>153</v>
      </c>
      <c r="G72" s="5" t="s">
        <v>153</v>
      </c>
      <c r="H72" s="5" t="s">
        <v>2398</v>
      </c>
      <c r="I72" s="7"/>
      <c r="J72" s="7"/>
    </row>
    <row r="73" spans="2:10">
      <c r="B73" s="121" t="s">
        <v>159</v>
      </c>
      <c r="C73" s="121" t="s">
        <v>159</v>
      </c>
      <c r="D73" s="5" t="s">
        <v>159</v>
      </c>
      <c r="E73" s="5" t="s">
        <v>2399</v>
      </c>
      <c r="F73" s="121" t="s">
        <v>159</v>
      </c>
      <c r="G73" s="5" t="s">
        <v>159</v>
      </c>
      <c r="H73" s="5" t="s">
        <v>2399</v>
      </c>
      <c r="I73" s="7"/>
      <c r="J73" s="7"/>
    </row>
    <row r="74" spans="2:10">
      <c r="B74" s="121" t="s">
        <v>39</v>
      </c>
      <c r="C74" s="121" t="s">
        <v>2400</v>
      </c>
      <c r="D74" s="5" t="s">
        <v>2400</v>
      </c>
      <c r="E74" s="5" t="s">
        <v>39</v>
      </c>
      <c r="F74" s="121" t="s">
        <v>2400</v>
      </c>
      <c r="G74" s="5" t="s">
        <v>2400</v>
      </c>
      <c r="H74" s="5" t="s">
        <v>39</v>
      </c>
      <c r="I74" s="7"/>
      <c r="J74" s="7"/>
    </row>
    <row r="75" spans="2:10">
      <c r="B75" s="121" t="s">
        <v>40</v>
      </c>
      <c r="C75" s="121" t="s">
        <v>2401</v>
      </c>
      <c r="D75" s="5" t="s">
        <v>2401</v>
      </c>
      <c r="E75" s="5" t="s">
        <v>40</v>
      </c>
      <c r="F75" s="121" t="s">
        <v>2401</v>
      </c>
      <c r="G75" s="5" t="s">
        <v>2401</v>
      </c>
      <c r="H75" s="5" t="s">
        <v>40</v>
      </c>
      <c r="I75" s="7"/>
      <c r="J75" s="7"/>
    </row>
    <row r="76" spans="2:10">
      <c r="B76" s="121" t="s">
        <v>41</v>
      </c>
      <c r="C76" s="121" t="s">
        <v>2402</v>
      </c>
      <c r="D76" s="5" t="s">
        <v>2402</v>
      </c>
      <c r="E76" s="5" t="s">
        <v>41</v>
      </c>
      <c r="F76" s="121" t="s">
        <v>2402</v>
      </c>
      <c r="G76" s="5" t="s">
        <v>2402</v>
      </c>
      <c r="H76" s="5" t="s">
        <v>41</v>
      </c>
      <c r="I76" s="7"/>
      <c r="J76" s="7"/>
    </row>
    <row r="77" spans="2:10">
      <c r="B77" s="121" t="s">
        <v>42</v>
      </c>
      <c r="C77" s="121" t="s">
        <v>2403</v>
      </c>
      <c r="D77" s="5" t="s">
        <v>2403</v>
      </c>
      <c r="E77" s="5" t="s">
        <v>42</v>
      </c>
      <c r="F77" s="121" t="s">
        <v>2403</v>
      </c>
      <c r="G77" s="5" t="s">
        <v>2403</v>
      </c>
      <c r="H77" s="5" t="s">
        <v>42</v>
      </c>
      <c r="I77" s="7"/>
      <c r="J77" s="7"/>
    </row>
    <row r="78" spans="2:10">
      <c r="B78" s="121" t="s">
        <v>43</v>
      </c>
      <c r="C78" s="121" t="s">
        <v>2404</v>
      </c>
      <c r="D78" s="5" t="s">
        <v>2404</v>
      </c>
      <c r="E78" s="5" t="s">
        <v>43</v>
      </c>
      <c r="F78" s="121" t="s">
        <v>2404</v>
      </c>
      <c r="G78" s="5" t="s">
        <v>2404</v>
      </c>
      <c r="H78" s="5" t="s">
        <v>43</v>
      </c>
      <c r="I78" s="7"/>
      <c r="J78" s="7"/>
    </row>
    <row r="79" spans="2:10">
      <c r="B79" s="121" t="s">
        <v>82</v>
      </c>
      <c r="C79" s="121" t="s">
        <v>2405</v>
      </c>
      <c r="D79" s="5" t="s">
        <v>2406</v>
      </c>
      <c r="E79" s="5" t="s">
        <v>82</v>
      </c>
      <c r="F79" s="121" t="s">
        <v>2405</v>
      </c>
      <c r="G79" s="5" t="s">
        <v>2406</v>
      </c>
      <c r="H79" s="5" t="s">
        <v>82</v>
      </c>
      <c r="I79" s="7"/>
      <c r="J79" s="7"/>
    </row>
    <row r="80" spans="2:10">
      <c r="B80" s="121" t="s">
        <v>21</v>
      </c>
      <c r="C80" s="121" t="s">
        <v>21</v>
      </c>
      <c r="D80" s="5" t="s">
        <v>2407</v>
      </c>
      <c r="E80" s="5" t="s">
        <v>2408</v>
      </c>
      <c r="F80" s="121" t="s">
        <v>21</v>
      </c>
      <c r="G80" s="5" t="s">
        <v>2407</v>
      </c>
      <c r="H80" s="5" t="s">
        <v>2408</v>
      </c>
      <c r="I80" s="7"/>
      <c r="J80" s="7"/>
    </row>
    <row r="81" spans="2:10">
      <c r="B81" s="121" t="s">
        <v>19</v>
      </c>
      <c r="C81" s="121" t="s">
        <v>19</v>
      </c>
      <c r="D81" s="5" t="s">
        <v>2409</v>
      </c>
      <c r="E81" s="5" t="s">
        <v>2410</v>
      </c>
      <c r="F81" s="121" t="s">
        <v>19</v>
      </c>
      <c r="G81" s="5" t="s">
        <v>2409</v>
      </c>
      <c r="H81" s="5" t="s">
        <v>2410</v>
      </c>
      <c r="I81" s="7"/>
      <c r="J81" s="7"/>
    </row>
    <row r="82" spans="2:10">
      <c r="B82" s="121" t="s">
        <v>22</v>
      </c>
      <c r="C82" s="121" t="s">
        <v>22</v>
      </c>
      <c r="D82" s="5" t="s">
        <v>2411</v>
      </c>
      <c r="E82" s="5" t="s">
        <v>2412</v>
      </c>
      <c r="F82" s="121" t="s">
        <v>22</v>
      </c>
      <c r="G82" s="5" t="s">
        <v>2411</v>
      </c>
      <c r="H82" s="5" t="s">
        <v>2412</v>
      </c>
      <c r="I82" s="7"/>
      <c r="J82" s="7"/>
    </row>
    <row r="83" spans="2:10">
      <c r="B83" s="121" t="s">
        <v>50</v>
      </c>
      <c r="C83" s="121" t="s">
        <v>50</v>
      </c>
      <c r="D83" s="5" t="s">
        <v>2413</v>
      </c>
      <c r="E83" s="5" t="s">
        <v>2414</v>
      </c>
      <c r="F83" s="121" t="s">
        <v>50</v>
      </c>
      <c r="G83" s="5" t="s">
        <v>2413</v>
      </c>
      <c r="H83" s="5" t="s">
        <v>2414</v>
      </c>
      <c r="I83" s="7"/>
      <c r="J83" s="7"/>
    </row>
    <row r="84" spans="2:10">
      <c r="B84" s="121" t="s">
        <v>79</v>
      </c>
      <c r="C84" s="121" t="s">
        <v>79</v>
      </c>
      <c r="D84" s="5" t="s">
        <v>79</v>
      </c>
      <c r="E84" s="5" t="s">
        <v>2415</v>
      </c>
      <c r="F84" s="121" t="s">
        <v>79</v>
      </c>
      <c r="G84" s="5" t="s">
        <v>79</v>
      </c>
      <c r="H84" s="5" t="s">
        <v>2415</v>
      </c>
      <c r="I84" s="7"/>
      <c r="J84" s="7"/>
    </row>
    <row r="85" spans="2:10">
      <c r="B85" s="121" t="s">
        <v>134</v>
      </c>
      <c r="C85" s="121" t="s">
        <v>134</v>
      </c>
      <c r="D85" s="5" t="s">
        <v>2416</v>
      </c>
      <c r="E85" s="5" t="s">
        <v>2416</v>
      </c>
      <c r="F85" s="121" t="s">
        <v>134</v>
      </c>
      <c r="G85" s="5" t="s">
        <v>2416</v>
      </c>
      <c r="H85" s="5" t="s">
        <v>2416</v>
      </c>
      <c r="I85" s="7"/>
      <c r="J85" s="7"/>
    </row>
    <row r="86" spans="2:10">
      <c r="B86" s="121" t="s">
        <v>135</v>
      </c>
      <c r="C86" s="121" t="s">
        <v>135</v>
      </c>
      <c r="D86" s="5" t="s">
        <v>2417</v>
      </c>
      <c r="E86" s="5" t="s">
        <v>2417</v>
      </c>
      <c r="F86" s="121" t="s">
        <v>135</v>
      </c>
      <c r="G86" s="5" t="s">
        <v>2417</v>
      </c>
      <c r="H86" s="5" t="s">
        <v>2417</v>
      </c>
      <c r="I86" s="7"/>
      <c r="J86" s="7"/>
    </row>
    <row r="87" spans="2:10">
      <c r="B87" s="121" t="s">
        <v>226</v>
      </c>
      <c r="C87" s="121" t="s">
        <v>2418</v>
      </c>
      <c r="D87" s="5" t="s">
        <v>2419</v>
      </c>
      <c r="E87" s="5" t="s">
        <v>2419</v>
      </c>
      <c r="F87" s="121" t="s">
        <v>2418</v>
      </c>
      <c r="G87" s="5" t="s">
        <v>2419</v>
      </c>
      <c r="H87" s="5" t="s">
        <v>2419</v>
      </c>
      <c r="I87" s="7"/>
      <c r="J87" s="7"/>
    </row>
    <row r="88" spans="2:10">
      <c r="B88" s="121" t="s">
        <v>80</v>
      </c>
      <c r="C88" s="121" t="s">
        <v>2420</v>
      </c>
      <c r="D88" s="5" t="s">
        <v>2421</v>
      </c>
      <c r="E88" s="5" t="s">
        <v>2422</v>
      </c>
      <c r="F88" s="121" t="s">
        <v>2420</v>
      </c>
      <c r="G88" s="5" t="s">
        <v>2421</v>
      </c>
      <c r="H88" s="5" t="s">
        <v>2422</v>
      </c>
      <c r="I88" s="7"/>
      <c r="J88" s="7"/>
    </row>
    <row r="89" spans="2:10">
      <c r="B89" s="121" t="s">
        <v>2389</v>
      </c>
      <c r="C89" s="121" t="s">
        <v>2431</v>
      </c>
      <c r="D89" s="5" t="s">
        <v>2423</v>
      </c>
      <c r="E89" s="5" t="s">
        <v>2423</v>
      </c>
      <c r="F89" s="121" t="s">
        <v>2431</v>
      </c>
      <c r="G89" s="5" t="s">
        <v>2423</v>
      </c>
      <c r="H89" s="5" t="s">
        <v>2423</v>
      </c>
      <c r="I89" s="7"/>
      <c r="J89" s="7"/>
    </row>
    <row r="90" spans="2:10">
      <c r="B90" s="121" t="s">
        <v>227</v>
      </c>
      <c r="C90" s="121" t="s">
        <v>2424</v>
      </c>
      <c r="D90" s="5" t="s">
        <v>2425</v>
      </c>
      <c r="E90" s="5" t="s">
        <v>2426</v>
      </c>
      <c r="F90" s="121" t="s">
        <v>2424</v>
      </c>
      <c r="G90" s="5" t="s">
        <v>2425</v>
      </c>
      <c r="H90" s="5" t="s">
        <v>2426</v>
      </c>
      <c r="I90" s="7"/>
      <c r="J90" s="7"/>
    </row>
    <row r="91" spans="2:10">
      <c r="B91" s="121" t="s">
        <v>2390</v>
      </c>
      <c r="C91" s="121" t="s">
        <v>2432</v>
      </c>
      <c r="D91" s="5" t="s">
        <v>2427</v>
      </c>
      <c r="E91" s="5" t="s">
        <v>2427</v>
      </c>
      <c r="F91" s="121" t="s">
        <v>2432</v>
      </c>
      <c r="G91" s="5" t="s">
        <v>2427</v>
      </c>
      <c r="H91" s="5" t="s">
        <v>2427</v>
      </c>
      <c r="I91" s="7"/>
      <c r="J91" s="7"/>
    </row>
    <row r="92" spans="2:10">
      <c r="B92" s="121" t="s">
        <v>228</v>
      </c>
      <c r="C92" s="121" t="s">
        <v>2433</v>
      </c>
      <c r="D92" s="5" t="s">
        <v>2428</v>
      </c>
      <c r="E92" s="5" t="s">
        <v>2428</v>
      </c>
      <c r="F92" s="121" t="s">
        <v>2433</v>
      </c>
      <c r="G92" s="5" t="s">
        <v>2428</v>
      </c>
      <c r="H92" s="5" t="s">
        <v>2428</v>
      </c>
      <c r="I92" s="7"/>
      <c r="J92" s="7"/>
    </row>
    <row r="93" spans="2:10">
      <c r="B93" s="121" t="s">
        <v>225</v>
      </c>
      <c r="C93" s="121" t="s">
        <v>2429</v>
      </c>
      <c r="D93" s="5" t="s">
        <v>2430</v>
      </c>
      <c r="E93" s="5" t="s">
        <v>2430</v>
      </c>
      <c r="F93" s="121" t="s">
        <v>2429</v>
      </c>
      <c r="G93" s="5" t="s">
        <v>2430</v>
      </c>
      <c r="H93" s="5" t="s">
        <v>2430</v>
      </c>
      <c r="I93" s="7"/>
      <c r="J93" s="7"/>
    </row>
    <row r="94" spans="2:10">
      <c r="B94" s="121" t="s">
        <v>2435</v>
      </c>
      <c r="C94" s="121" t="s">
        <v>2435</v>
      </c>
      <c r="D94" s="5" t="s">
        <v>2596</v>
      </c>
      <c r="E94" s="5" t="s">
        <v>2597</v>
      </c>
      <c r="F94" s="121" t="s">
        <v>2435</v>
      </c>
      <c r="G94" s="5" t="s">
        <v>2596</v>
      </c>
      <c r="H94" s="5" t="s">
        <v>2597</v>
      </c>
      <c r="I94" s="7"/>
      <c r="J94" s="7"/>
    </row>
    <row r="95" spans="2:10">
      <c r="B95" s="121" t="s">
        <v>2</v>
      </c>
      <c r="C95" s="121" t="s">
        <v>2</v>
      </c>
      <c r="D95" s="5" t="s">
        <v>2</v>
      </c>
      <c r="E95" s="5" t="s">
        <v>2598</v>
      </c>
      <c r="F95" s="121" t="s">
        <v>2</v>
      </c>
      <c r="G95" s="5" t="s">
        <v>2</v>
      </c>
      <c r="H95" s="5" t="s">
        <v>2598</v>
      </c>
      <c r="I95" s="7"/>
      <c r="J95" s="7"/>
    </row>
    <row r="96" spans="2:10">
      <c r="B96" s="121" t="s">
        <v>1340</v>
      </c>
      <c r="C96" s="121" t="s">
        <v>1340</v>
      </c>
      <c r="D96" s="5" t="s">
        <v>2599</v>
      </c>
      <c r="E96" s="5" t="s">
        <v>2600</v>
      </c>
      <c r="F96" s="121" t="s">
        <v>1340</v>
      </c>
      <c r="G96" s="5" t="s">
        <v>2599</v>
      </c>
      <c r="H96" s="5" t="s">
        <v>2600</v>
      </c>
      <c r="I96" s="7"/>
      <c r="J96" s="7"/>
    </row>
    <row r="97" spans="2:10">
      <c r="B97" s="121" t="s">
        <v>456</v>
      </c>
      <c r="C97" s="121" t="s">
        <v>456</v>
      </c>
      <c r="D97" s="5" t="s">
        <v>456</v>
      </c>
      <c r="E97" s="5" t="s">
        <v>2601</v>
      </c>
      <c r="F97" s="121" t="s">
        <v>456</v>
      </c>
      <c r="G97" s="5" t="s">
        <v>456</v>
      </c>
      <c r="H97" s="5" t="s">
        <v>2601</v>
      </c>
      <c r="I97" s="7"/>
      <c r="J97" s="7"/>
    </row>
    <row r="98" spans="2:10">
      <c r="B98" s="121" t="s">
        <v>1774</v>
      </c>
      <c r="C98" s="121" t="s">
        <v>1774</v>
      </c>
      <c r="D98" s="5" t="s">
        <v>2602</v>
      </c>
      <c r="E98" s="5" t="s">
        <v>2603</v>
      </c>
      <c r="F98" s="121" t="s">
        <v>1774</v>
      </c>
      <c r="G98" s="5" t="s">
        <v>2602</v>
      </c>
      <c r="H98" s="5" t="s">
        <v>2603</v>
      </c>
      <c r="I98" s="7"/>
      <c r="J98" s="7"/>
    </row>
    <row r="99" spans="2:10">
      <c r="B99" s="121" t="s">
        <v>73</v>
      </c>
      <c r="C99" s="121" t="s">
        <v>73</v>
      </c>
      <c r="D99" s="5" t="s">
        <v>73</v>
      </c>
      <c r="E99" s="5" t="s">
        <v>2604</v>
      </c>
      <c r="F99" s="121" t="s">
        <v>73</v>
      </c>
      <c r="G99" s="5" t="s">
        <v>73</v>
      </c>
      <c r="H99" s="5" t="s">
        <v>2604</v>
      </c>
      <c r="I99" s="7"/>
      <c r="J99" s="7"/>
    </row>
    <row r="100" spans="2:10">
      <c r="B100" s="121" t="s">
        <v>2314</v>
      </c>
      <c r="C100" s="121" t="s">
        <v>2314</v>
      </c>
      <c r="D100" s="5" t="s">
        <v>2314</v>
      </c>
      <c r="E100" s="5" t="s">
        <v>2605</v>
      </c>
      <c r="F100" s="121" t="s">
        <v>2314</v>
      </c>
      <c r="G100" s="5" t="s">
        <v>2314</v>
      </c>
      <c r="H100" s="5" t="s">
        <v>2605</v>
      </c>
      <c r="I100" s="7"/>
      <c r="J100" s="7"/>
    </row>
    <row r="101" spans="2:10">
      <c r="B101" s="121" t="s">
        <v>3</v>
      </c>
      <c r="C101" s="121" t="s">
        <v>3</v>
      </c>
      <c r="D101" s="5" t="s">
        <v>3</v>
      </c>
      <c r="E101" s="5" t="s">
        <v>2606</v>
      </c>
      <c r="F101" s="121" t="s">
        <v>3</v>
      </c>
      <c r="G101" s="5" t="s">
        <v>3</v>
      </c>
      <c r="H101" s="5" t="s">
        <v>2606</v>
      </c>
      <c r="I101" s="7"/>
      <c r="J101" s="7"/>
    </row>
    <row r="102" spans="2:10">
      <c r="B102" s="121" t="s">
        <v>1342</v>
      </c>
      <c r="C102" s="121" t="s">
        <v>1342</v>
      </c>
      <c r="D102" s="5" t="s">
        <v>2607</v>
      </c>
      <c r="E102" s="5" t="s">
        <v>2608</v>
      </c>
      <c r="F102" s="121" t="s">
        <v>1342</v>
      </c>
      <c r="G102" s="5" t="s">
        <v>2607</v>
      </c>
      <c r="H102" s="5" t="s">
        <v>2608</v>
      </c>
      <c r="I102" s="7"/>
      <c r="J102" s="7"/>
    </row>
    <row r="103" spans="2:10">
      <c r="B103" s="121" t="s">
        <v>585</v>
      </c>
      <c r="C103" s="121" t="s">
        <v>585</v>
      </c>
      <c r="D103" s="5" t="s">
        <v>585</v>
      </c>
      <c r="E103" s="5" t="s">
        <v>2609</v>
      </c>
      <c r="F103" s="121" t="s">
        <v>585</v>
      </c>
      <c r="G103" s="5" t="s">
        <v>585</v>
      </c>
      <c r="H103" s="5" t="s">
        <v>2609</v>
      </c>
      <c r="I103" s="7"/>
      <c r="J103" s="7"/>
    </row>
    <row r="104" spans="2:10">
      <c r="B104" s="121" t="s">
        <v>1339</v>
      </c>
      <c r="C104" s="121" t="s">
        <v>1339</v>
      </c>
      <c r="D104" s="5" t="s">
        <v>2610</v>
      </c>
      <c r="E104" s="5" t="s">
        <v>2611</v>
      </c>
      <c r="F104" s="121" t="s">
        <v>1339</v>
      </c>
      <c r="G104" s="5" t="s">
        <v>2610</v>
      </c>
      <c r="H104" s="5" t="s">
        <v>2611</v>
      </c>
      <c r="I104" s="7"/>
      <c r="J104" s="7"/>
    </row>
    <row r="105" spans="2:10">
      <c r="B105" s="121" t="s">
        <v>237</v>
      </c>
      <c r="C105" s="121" t="s">
        <v>237</v>
      </c>
      <c r="D105" s="5" t="s">
        <v>237</v>
      </c>
      <c r="E105" s="5" t="s">
        <v>2612</v>
      </c>
      <c r="F105" s="121" t="s">
        <v>237</v>
      </c>
      <c r="G105" s="5" t="s">
        <v>237</v>
      </c>
      <c r="H105" s="5" t="s">
        <v>2612</v>
      </c>
      <c r="I105" s="7"/>
      <c r="J105" s="7"/>
    </row>
    <row r="106" spans="2:10">
      <c r="B106" s="121" t="s">
        <v>1772</v>
      </c>
      <c r="C106" s="121" t="s">
        <v>1772</v>
      </c>
      <c r="D106" s="5" t="s">
        <v>2613</v>
      </c>
      <c r="E106" s="5" t="s">
        <v>2614</v>
      </c>
      <c r="F106" s="121" t="s">
        <v>1772</v>
      </c>
      <c r="G106" s="5" t="s">
        <v>2613</v>
      </c>
      <c r="H106" s="5" t="s">
        <v>2614</v>
      </c>
      <c r="I106" s="7"/>
      <c r="J106" s="7"/>
    </row>
    <row r="107" spans="2:10">
      <c r="B107" s="121" t="s">
        <v>124</v>
      </c>
      <c r="C107" s="121" t="s">
        <v>124</v>
      </c>
      <c r="D107" s="5" t="s">
        <v>2615</v>
      </c>
      <c r="E107" s="5" t="s">
        <v>2616</v>
      </c>
      <c r="F107" s="121" t="s">
        <v>124</v>
      </c>
      <c r="G107" s="5" t="s">
        <v>2615</v>
      </c>
      <c r="H107" s="5" t="s">
        <v>2616</v>
      </c>
      <c r="I107" s="7"/>
      <c r="J107" s="7"/>
    </row>
    <row r="108" spans="2:10">
      <c r="B108" s="121" t="s">
        <v>125</v>
      </c>
      <c r="C108" s="121" t="s">
        <v>125</v>
      </c>
      <c r="D108" s="5" t="s">
        <v>2617</v>
      </c>
      <c r="E108" s="5" t="s">
        <v>2618</v>
      </c>
      <c r="F108" s="121" t="s">
        <v>125</v>
      </c>
      <c r="G108" s="5" t="s">
        <v>2617</v>
      </c>
      <c r="H108" s="5" t="s">
        <v>2618</v>
      </c>
      <c r="I108" s="7"/>
      <c r="J108" s="7"/>
    </row>
    <row r="109" spans="2:10">
      <c r="B109" s="121" t="s">
        <v>701</v>
      </c>
      <c r="C109" s="121" t="s">
        <v>701</v>
      </c>
      <c r="D109" s="5" t="s">
        <v>701</v>
      </c>
      <c r="E109" s="5" t="s">
        <v>2619</v>
      </c>
      <c r="F109" s="121" t="s">
        <v>701</v>
      </c>
      <c r="G109" s="5" t="s">
        <v>701</v>
      </c>
      <c r="H109" s="5" t="s">
        <v>2619</v>
      </c>
      <c r="I109" s="7"/>
      <c r="J109" s="7"/>
    </row>
    <row r="110" spans="2:10">
      <c r="B110" s="121" t="s">
        <v>699</v>
      </c>
      <c r="C110" s="121" t="s">
        <v>699</v>
      </c>
      <c r="D110" s="5" t="s">
        <v>699</v>
      </c>
      <c r="E110" s="5" t="s">
        <v>2620</v>
      </c>
      <c r="F110" s="121" t="s">
        <v>699</v>
      </c>
      <c r="G110" s="5" t="s">
        <v>699</v>
      </c>
      <c r="H110" s="5" t="s">
        <v>2620</v>
      </c>
      <c r="I110" s="7"/>
      <c r="J110" s="7"/>
    </row>
    <row r="111" spans="2:10">
      <c r="B111" s="121" t="s">
        <v>700</v>
      </c>
      <c r="C111" s="121" t="s">
        <v>700</v>
      </c>
      <c r="D111" s="5" t="s">
        <v>700</v>
      </c>
      <c r="E111" s="5" t="s">
        <v>2621</v>
      </c>
      <c r="F111" s="121" t="s">
        <v>700</v>
      </c>
      <c r="G111" s="5" t="s">
        <v>700</v>
      </c>
      <c r="H111" s="5" t="s">
        <v>2621</v>
      </c>
      <c r="I111" s="7"/>
      <c r="J111" s="7"/>
    </row>
    <row r="112" spans="2:10">
      <c r="B112" s="121" t="s">
        <v>1773</v>
      </c>
      <c r="C112" s="121" t="s">
        <v>1773</v>
      </c>
      <c r="D112" s="5" t="s">
        <v>2622</v>
      </c>
      <c r="E112" s="5" t="s">
        <v>2623</v>
      </c>
      <c r="F112" s="121" t="s">
        <v>1773</v>
      </c>
      <c r="G112" s="5" t="s">
        <v>2622</v>
      </c>
      <c r="H112" s="5" t="s">
        <v>2623</v>
      </c>
      <c r="I112" s="7"/>
      <c r="J112" s="7"/>
    </row>
    <row r="113" spans="2:10">
      <c r="B113" s="121" t="s">
        <v>2286</v>
      </c>
      <c r="C113" s="121" t="s">
        <v>2286</v>
      </c>
      <c r="D113" s="5" t="s">
        <v>2624</v>
      </c>
      <c r="E113" s="5" t="s">
        <v>2625</v>
      </c>
      <c r="F113" s="121" t="s">
        <v>2286</v>
      </c>
      <c r="G113" s="5" t="s">
        <v>2624</v>
      </c>
      <c r="H113" s="5" t="s">
        <v>2625</v>
      </c>
      <c r="I113" s="7"/>
      <c r="J113" s="7"/>
    </row>
    <row r="114" spans="2:10">
      <c r="B114" s="121" t="s">
        <v>0</v>
      </c>
      <c r="C114" s="121" t="s">
        <v>0</v>
      </c>
      <c r="D114" s="5" t="s">
        <v>0</v>
      </c>
      <c r="E114" s="5" t="s">
        <v>2440</v>
      </c>
      <c r="F114" s="121" t="s">
        <v>0</v>
      </c>
      <c r="G114" s="5" t="s">
        <v>0</v>
      </c>
      <c r="H114" s="5" t="s">
        <v>2440</v>
      </c>
      <c r="I114" s="7"/>
      <c r="J114" s="7"/>
    </row>
    <row r="115" spans="2:10">
      <c r="B115" s="121" t="s">
        <v>5</v>
      </c>
      <c r="C115" s="121" t="s">
        <v>5</v>
      </c>
      <c r="D115" s="5" t="s">
        <v>5</v>
      </c>
      <c r="E115" s="5" t="s">
        <v>2441</v>
      </c>
      <c r="F115" s="121" t="s">
        <v>5</v>
      </c>
      <c r="G115" s="5" t="s">
        <v>5</v>
      </c>
      <c r="H115" s="5" t="s">
        <v>2441</v>
      </c>
      <c r="I115" s="7"/>
      <c r="J115" s="7"/>
    </row>
    <row r="116" spans="2:10">
      <c r="B116" s="121" t="s">
        <v>461</v>
      </c>
      <c r="C116" s="121" t="s">
        <v>2443</v>
      </c>
      <c r="D116" s="5" t="s">
        <v>2444</v>
      </c>
      <c r="E116" s="5" t="s">
        <v>2444</v>
      </c>
      <c r="F116" s="121" t="s">
        <v>2443</v>
      </c>
      <c r="G116" s="5" t="s">
        <v>2444</v>
      </c>
      <c r="H116" s="5" t="s">
        <v>2444</v>
      </c>
      <c r="I116" s="7"/>
      <c r="J116" s="7"/>
    </row>
    <row r="117" spans="2:10">
      <c r="B117" s="121" t="s">
        <v>806</v>
      </c>
      <c r="C117" s="121" t="s">
        <v>806</v>
      </c>
      <c r="D117" s="5" t="s">
        <v>2445</v>
      </c>
      <c r="E117" s="5" t="s">
        <v>2446</v>
      </c>
      <c r="F117" s="121" t="s">
        <v>806</v>
      </c>
      <c r="G117" s="5" t="s">
        <v>2445</v>
      </c>
      <c r="H117" s="5" t="s">
        <v>2446</v>
      </c>
      <c r="I117" s="7"/>
      <c r="J117" s="7"/>
    </row>
    <row r="118" spans="2:10">
      <c r="B118" s="121" t="s">
        <v>84</v>
      </c>
      <c r="C118" s="121" t="s">
        <v>84</v>
      </c>
      <c r="D118" s="5" t="s">
        <v>84</v>
      </c>
      <c r="E118" s="5" t="s">
        <v>2447</v>
      </c>
      <c r="F118" s="121" t="s">
        <v>84</v>
      </c>
      <c r="G118" s="5" t="s">
        <v>84</v>
      </c>
      <c r="H118" s="5" t="s">
        <v>2447</v>
      </c>
      <c r="I118" s="7"/>
      <c r="J118" s="7"/>
    </row>
    <row r="119" spans="2:10">
      <c r="B119" s="121" t="s">
        <v>31</v>
      </c>
      <c r="C119" s="121" t="s">
        <v>31</v>
      </c>
      <c r="D119" s="5" t="s">
        <v>31</v>
      </c>
      <c r="E119" s="5" t="s">
        <v>2448</v>
      </c>
      <c r="F119" s="121" t="s">
        <v>31</v>
      </c>
      <c r="G119" s="5" t="s">
        <v>31</v>
      </c>
      <c r="H119" s="5" t="s">
        <v>2448</v>
      </c>
      <c r="I119" s="7"/>
      <c r="J119" s="7"/>
    </row>
    <row r="120" spans="2:10">
      <c r="B120" s="121" t="s">
        <v>1</v>
      </c>
      <c r="C120" s="121" t="s">
        <v>1</v>
      </c>
      <c r="D120" s="5" t="s">
        <v>1</v>
      </c>
      <c r="E120" s="5" t="s">
        <v>2450</v>
      </c>
      <c r="F120" s="121" t="s">
        <v>1</v>
      </c>
      <c r="G120" s="5" t="s">
        <v>1</v>
      </c>
      <c r="H120" s="5" t="s">
        <v>2450</v>
      </c>
      <c r="I120" s="7"/>
      <c r="J120" s="7"/>
    </row>
    <row r="121" spans="2:10">
      <c r="B121" s="121" t="s">
        <v>224</v>
      </c>
      <c r="C121" s="121" t="s">
        <v>224</v>
      </c>
      <c r="D121" s="5" t="s">
        <v>224</v>
      </c>
      <c r="E121" s="5" t="s">
        <v>2451</v>
      </c>
      <c r="F121" s="121" t="s">
        <v>224</v>
      </c>
      <c r="G121" s="5" t="s">
        <v>224</v>
      </c>
      <c r="H121" s="5" t="s">
        <v>2451</v>
      </c>
      <c r="I121" s="7"/>
      <c r="J121" s="7"/>
    </row>
    <row r="122" spans="2:10">
      <c r="B122" s="121" t="s">
        <v>11</v>
      </c>
      <c r="C122" s="121" t="s">
        <v>11</v>
      </c>
      <c r="D122" s="5" t="s">
        <v>11</v>
      </c>
      <c r="E122" s="5" t="s">
        <v>2452</v>
      </c>
      <c r="F122" s="121" t="s">
        <v>11</v>
      </c>
      <c r="G122" s="5" t="s">
        <v>11</v>
      </c>
      <c r="H122" s="5" t="s">
        <v>2452</v>
      </c>
      <c r="I122" s="7"/>
      <c r="J122" s="7"/>
    </row>
    <row r="123" spans="2:10">
      <c r="B123" s="121" t="s">
        <v>75</v>
      </c>
      <c r="C123" s="121" t="s">
        <v>75</v>
      </c>
      <c r="D123" s="5" t="s">
        <v>2453</v>
      </c>
      <c r="E123" s="5" t="s">
        <v>2454</v>
      </c>
      <c r="F123" s="121" t="s">
        <v>75</v>
      </c>
      <c r="G123" s="5" t="s">
        <v>2453</v>
      </c>
      <c r="H123" s="5" t="s">
        <v>2454</v>
      </c>
      <c r="I123" s="7"/>
      <c r="J123" s="7"/>
    </row>
    <row r="124" spans="2:10">
      <c r="B124" s="121" t="s">
        <v>78</v>
      </c>
      <c r="C124" s="121" t="s">
        <v>2455</v>
      </c>
      <c r="D124" s="5" t="s">
        <v>2456</v>
      </c>
      <c r="E124" s="5" t="s">
        <v>2457</v>
      </c>
      <c r="F124" s="121" t="s">
        <v>2455</v>
      </c>
      <c r="G124" s="5" t="s">
        <v>2456</v>
      </c>
      <c r="H124" s="5" t="s">
        <v>2457</v>
      </c>
      <c r="I124" s="7"/>
      <c r="J124" s="7"/>
    </row>
    <row r="125" spans="2:10">
      <c r="B125" s="121" t="s">
        <v>81</v>
      </c>
      <c r="C125" s="121" t="s">
        <v>81</v>
      </c>
      <c r="D125" s="5" t="s">
        <v>2458</v>
      </c>
      <c r="E125" s="5" t="s">
        <v>2459</v>
      </c>
      <c r="F125" s="121" t="s">
        <v>81</v>
      </c>
      <c r="G125" s="5" t="s">
        <v>2458</v>
      </c>
      <c r="H125" s="5" t="s">
        <v>2459</v>
      </c>
      <c r="I125" s="7"/>
      <c r="J125" s="7"/>
    </row>
    <row r="126" spans="2:10">
      <c r="B126" s="121" t="s">
        <v>801</v>
      </c>
      <c r="C126" s="121" t="s">
        <v>801</v>
      </c>
      <c r="D126" s="5" t="s">
        <v>2460</v>
      </c>
      <c r="E126" s="5" t="s">
        <v>2461</v>
      </c>
      <c r="F126" s="121" t="s">
        <v>801</v>
      </c>
      <c r="G126" s="5" t="s">
        <v>2460</v>
      </c>
      <c r="H126" s="5" t="s">
        <v>2461</v>
      </c>
      <c r="I126" s="7"/>
      <c r="J126" s="7"/>
    </row>
    <row r="127" spans="2:10">
      <c r="B127" s="121" t="s">
        <v>802</v>
      </c>
      <c r="C127" s="121" t="s">
        <v>802</v>
      </c>
      <c r="D127" s="5" t="s">
        <v>2462</v>
      </c>
      <c r="E127" s="5" t="s">
        <v>2463</v>
      </c>
      <c r="F127" s="121" t="s">
        <v>802</v>
      </c>
      <c r="G127" s="5" t="s">
        <v>2462</v>
      </c>
      <c r="H127" s="5" t="s">
        <v>2463</v>
      </c>
      <c r="I127" s="7"/>
      <c r="J127" s="7"/>
    </row>
    <row r="128" spans="2:10">
      <c r="B128" s="121" t="s">
        <v>4</v>
      </c>
      <c r="C128" s="121" t="s">
        <v>4</v>
      </c>
      <c r="D128" s="5" t="s">
        <v>4</v>
      </c>
      <c r="E128" s="5" t="s">
        <v>2464</v>
      </c>
      <c r="F128" s="121" t="s">
        <v>4</v>
      </c>
      <c r="G128" s="5" t="s">
        <v>4</v>
      </c>
      <c r="H128" s="5" t="s">
        <v>2464</v>
      </c>
      <c r="I128" s="7"/>
      <c r="J128" s="7"/>
    </row>
    <row r="129" spans="2:10">
      <c r="B129" s="121" t="s">
        <v>365</v>
      </c>
      <c r="C129" s="121" t="s">
        <v>365</v>
      </c>
      <c r="D129" s="5" t="s">
        <v>2465</v>
      </c>
      <c r="E129" s="5" t="s">
        <v>2466</v>
      </c>
      <c r="F129" s="121" t="s">
        <v>365</v>
      </c>
      <c r="G129" s="5" t="s">
        <v>2465</v>
      </c>
      <c r="H129" s="5" t="s">
        <v>2466</v>
      </c>
      <c r="I129" s="7"/>
      <c r="J129" s="7"/>
    </row>
    <row r="130" spans="2:10">
      <c r="B130" s="121" t="s">
        <v>13</v>
      </c>
      <c r="C130" s="121" t="s">
        <v>13</v>
      </c>
      <c r="D130" s="5" t="s">
        <v>2468</v>
      </c>
      <c r="E130" s="5" t="s">
        <v>2469</v>
      </c>
      <c r="F130" s="121" t="s">
        <v>13</v>
      </c>
      <c r="G130" s="5" t="s">
        <v>2468</v>
      </c>
      <c r="H130" s="5" t="s">
        <v>2469</v>
      </c>
      <c r="I130" s="7"/>
      <c r="J130" s="7"/>
    </row>
    <row r="131" spans="2:10">
      <c r="B131" s="121" t="s">
        <v>481</v>
      </c>
      <c r="C131" s="121" t="s">
        <v>481</v>
      </c>
      <c r="D131" s="5" t="s">
        <v>481</v>
      </c>
      <c r="E131" s="5" t="s">
        <v>2470</v>
      </c>
      <c r="F131" s="121" t="s">
        <v>481</v>
      </c>
      <c r="G131" s="5" t="s">
        <v>481</v>
      </c>
      <c r="H131" s="5" t="s">
        <v>2470</v>
      </c>
      <c r="I131" s="7"/>
      <c r="J131" s="7"/>
    </row>
    <row r="132" spans="2:10">
      <c r="B132" s="121" t="s">
        <v>693</v>
      </c>
      <c r="C132" s="121" t="s">
        <v>2471</v>
      </c>
      <c r="D132" s="5" t="s">
        <v>2471</v>
      </c>
      <c r="E132" s="5" t="s">
        <v>2471</v>
      </c>
      <c r="F132" s="121" t="s">
        <v>2471</v>
      </c>
      <c r="G132" s="5" t="s">
        <v>2471</v>
      </c>
      <c r="H132" s="5" t="s">
        <v>2471</v>
      </c>
      <c r="I132" s="7"/>
      <c r="J132" s="7"/>
    </row>
    <row r="133" spans="2:10">
      <c r="B133" s="121" t="s">
        <v>829</v>
      </c>
      <c r="C133" s="121" t="s">
        <v>829</v>
      </c>
      <c r="D133" s="5" t="s">
        <v>2472</v>
      </c>
      <c r="E133" s="5" t="s">
        <v>2473</v>
      </c>
      <c r="F133" s="121" t="s">
        <v>829</v>
      </c>
      <c r="G133" s="5" t="s">
        <v>2472</v>
      </c>
      <c r="H133" s="5" t="s">
        <v>2473</v>
      </c>
      <c r="I133" s="7"/>
      <c r="J133" s="7"/>
    </row>
    <row r="134" spans="2:10">
      <c r="B134" s="121" t="s">
        <v>91</v>
      </c>
      <c r="C134" s="121" t="s">
        <v>91</v>
      </c>
      <c r="D134" s="5" t="s">
        <v>2474</v>
      </c>
      <c r="E134" s="5" t="s">
        <v>2475</v>
      </c>
      <c r="F134" s="121" t="s">
        <v>91</v>
      </c>
      <c r="G134" s="5" t="s">
        <v>2474</v>
      </c>
      <c r="H134" s="5" t="s">
        <v>2475</v>
      </c>
      <c r="I134" s="7"/>
      <c r="J134" s="7"/>
    </row>
    <row r="135" spans="2:10">
      <c r="B135" s="121" t="s">
        <v>558</v>
      </c>
      <c r="C135" s="121" t="s">
        <v>558</v>
      </c>
      <c r="D135" s="5" t="s">
        <v>2476</v>
      </c>
      <c r="E135" s="5" t="s">
        <v>2477</v>
      </c>
      <c r="F135" s="121" t="s">
        <v>558</v>
      </c>
      <c r="G135" s="5" t="s">
        <v>2476</v>
      </c>
      <c r="H135" s="5" t="s">
        <v>2477</v>
      </c>
      <c r="I135" s="7"/>
      <c r="J135" s="7"/>
    </row>
    <row r="136" spans="2:10">
      <c r="B136" s="121" t="s">
        <v>559</v>
      </c>
      <c r="C136" s="121" t="s">
        <v>559</v>
      </c>
      <c r="D136" s="5" t="s">
        <v>2478</v>
      </c>
      <c r="E136" s="5" t="s">
        <v>2479</v>
      </c>
      <c r="F136" s="121" t="s">
        <v>559</v>
      </c>
      <c r="G136" s="5" t="s">
        <v>2478</v>
      </c>
      <c r="H136" s="5" t="s">
        <v>2479</v>
      </c>
      <c r="I136" s="7"/>
      <c r="J136" s="7"/>
    </row>
    <row r="137" spans="2:10">
      <c r="B137" s="121" t="s">
        <v>562</v>
      </c>
      <c r="C137" s="121" t="s">
        <v>562</v>
      </c>
      <c r="D137" s="5" t="s">
        <v>2481</v>
      </c>
      <c r="E137" s="5" t="s">
        <v>2482</v>
      </c>
      <c r="F137" s="121" t="s">
        <v>562</v>
      </c>
      <c r="G137" s="5" t="s">
        <v>2481</v>
      </c>
      <c r="H137" s="5" t="s">
        <v>2482</v>
      </c>
      <c r="I137" s="7"/>
      <c r="J137" s="7"/>
    </row>
    <row r="138" spans="2:10">
      <c r="B138" s="121" t="s">
        <v>83</v>
      </c>
      <c r="C138" s="121" t="s">
        <v>83</v>
      </c>
      <c r="D138" s="5" t="s">
        <v>2483</v>
      </c>
      <c r="E138" s="5" t="s">
        <v>2484</v>
      </c>
      <c r="F138" s="121" t="s">
        <v>83</v>
      </c>
      <c r="G138" s="5" t="s">
        <v>2483</v>
      </c>
      <c r="H138" s="5" t="s">
        <v>2484</v>
      </c>
      <c r="I138" s="7"/>
      <c r="J138" s="7"/>
    </row>
    <row r="139" spans="2:10">
      <c r="B139" s="121" t="s">
        <v>471</v>
      </c>
      <c r="C139" s="121" t="s">
        <v>471</v>
      </c>
      <c r="D139" s="5" t="s">
        <v>2485</v>
      </c>
      <c r="E139" s="5" t="s">
        <v>2486</v>
      </c>
      <c r="F139" s="121" t="s">
        <v>471</v>
      </c>
      <c r="G139" s="5" t="s">
        <v>2485</v>
      </c>
      <c r="H139" s="5" t="s">
        <v>2486</v>
      </c>
      <c r="I139" s="7"/>
      <c r="J139" s="7"/>
    </row>
    <row r="140" spans="2:10">
      <c r="B140" s="121" t="s">
        <v>74</v>
      </c>
      <c r="C140" s="121" t="s">
        <v>74</v>
      </c>
      <c r="D140" s="5" t="s">
        <v>2487</v>
      </c>
      <c r="E140" s="5" t="s">
        <v>2488</v>
      </c>
      <c r="F140" s="121" t="s">
        <v>74</v>
      </c>
      <c r="G140" s="5" t="s">
        <v>2487</v>
      </c>
      <c r="H140" s="5" t="s">
        <v>2488</v>
      </c>
      <c r="I140" s="7"/>
      <c r="J140" s="7"/>
    </row>
    <row r="141" spans="2:10">
      <c r="B141" s="121" t="s">
        <v>735</v>
      </c>
      <c r="C141" s="121" t="s">
        <v>735</v>
      </c>
      <c r="D141" s="5" t="s">
        <v>2489</v>
      </c>
      <c r="E141" s="5" t="s">
        <v>2490</v>
      </c>
      <c r="F141" s="121" t="s">
        <v>735</v>
      </c>
      <c r="G141" s="5" t="s">
        <v>2489</v>
      </c>
      <c r="H141" s="5" t="s">
        <v>2490</v>
      </c>
      <c r="I141" s="7"/>
      <c r="J141" s="7"/>
    </row>
    <row r="142" spans="2:10">
      <c r="B142" s="121" t="s">
        <v>318</v>
      </c>
      <c r="C142" s="121" t="s">
        <v>318</v>
      </c>
      <c r="D142" s="5" t="s">
        <v>2491</v>
      </c>
      <c r="E142" s="5" t="s">
        <v>2492</v>
      </c>
      <c r="F142" s="121" t="s">
        <v>318</v>
      </c>
      <c r="G142" s="5" t="s">
        <v>2491</v>
      </c>
      <c r="H142" s="5" t="s">
        <v>2492</v>
      </c>
      <c r="I142" s="7"/>
      <c r="J142" s="7"/>
    </row>
    <row r="143" spans="2:10">
      <c r="B143" s="121" t="s">
        <v>320</v>
      </c>
      <c r="C143" s="121" t="s">
        <v>320</v>
      </c>
      <c r="D143" s="5" t="s">
        <v>2493</v>
      </c>
      <c r="E143" s="5" t="s">
        <v>2494</v>
      </c>
      <c r="F143" s="121" t="s">
        <v>320</v>
      </c>
      <c r="G143" s="5" t="s">
        <v>2493</v>
      </c>
      <c r="H143" s="5" t="s">
        <v>2494</v>
      </c>
      <c r="I143" s="7"/>
      <c r="J143" s="7"/>
    </row>
    <row r="144" spans="2:10">
      <c r="B144" s="121" t="s">
        <v>321</v>
      </c>
      <c r="C144" s="121" t="s">
        <v>321</v>
      </c>
      <c r="D144" s="5" t="s">
        <v>2495</v>
      </c>
      <c r="E144" s="5" t="s">
        <v>2496</v>
      </c>
      <c r="F144" s="121" t="s">
        <v>321</v>
      </c>
      <c r="G144" s="5" t="s">
        <v>2495</v>
      </c>
      <c r="H144" s="5" t="s">
        <v>2496</v>
      </c>
      <c r="I144" s="7"/>
      <c r="J144" s="7"/>
    </row>
    <row r="145" spans="2:10">
      <c r="B145" s="121" t="s">
        <v>17</v>
      </c>
      <c r="C145" s="121" t="s">
        <v>17</v>
      </c>
      <c r="D145" s="5" t="s">
        <v>2497</v>
      </c>
      <c r="E145" s="5" t="s">
        <v>2498</v>
      </c>
      <c r="F145" s="121" t="s">
        <v>17</v>
      </c>
      <c r="G145" s="5" t="s">
        <v>2497</v>
      </c>
      <c r="H145" s="5" t="s">
        <v>2498</v>
      </c>
      <c r="I145" s="7"/>
      <c r="J145" s="7"/>
    </row>
    <row r="146" spans="2:10">
      <c r="B146" s="121" t="s">
        <v>30</v>
      </c>
      <c r="C146" s="121" t="s">
        <v>30</v>
      </c>
      <c r="D146" s="5" t="s">
        <v>30</v>
      </c>
      <c r="E146" s="5" t="s">
        <v>2500</v>
      </c>
      <c r="F146" s="121" t="s">
        <v>30</v>
      </c>
      <c r="G146" s="5" t="s">
        <v>30</v>
      </c>
      <c r="H146" s="5" t="s">
        <v>2500</v>
      </c>
      <c r="I146" s="7"/>
      <c r="J146" s="7"/>
    </row>
    <row r="147" spans="2:10">
      <c r="B147" s="121" t="s">
        <v>23</v>
      </c>
      <c r="C147" s="121" t="s">
        <v>23</v>
      </c>
      <c r="D147" s="5" t="s">
        <v>23</v>
      </c>
      <c r="E147" s="5" t="s">
        <v>2502</v>
      </c>
      <c r="F147" s="121" t="s">
        <v>23</v>
      </c>
      <c r="G147" s="5" t="s">
        <v>23</v>
      </c>
      <c r="H147" s="5" t="s">
        <v>2502</v>
      </c>
      <c r="I147" s="7"/>
      <c r="J147" s="7"/>
    </row>
    <row r="148" spans="2:10">
      <c r="B148" s="121" t="s">
        <v>24</v>
      </c>
      <c r="C148" s="121" t="s">
        <v>24</v>
      </c>
      <c r="D148" s="5" t="s">
        <v>2503</v>
      </c>
      <c r="E148" s="5" t="s">
        <v>2504</v>
      </c>
      <c r="F148" s="121" t="s">
        <v>24</v>
      </c>
      <c r="G148" s="5" t="s">
        <v>2503</v>
      </c>
      <c r="H148" s="5" t="s">
        <v>2504</v>
      </c>
      <c r="I148" s="7"/>
      <c r="J148" s="7"/>
    </row>
    <row r="149" spans="2:10">
      <c r="B149" s="121" t="s">
        <v>25</v>
      </c>
      <c r="C149" s="121" t="s">
        <v>25</v>
      </c>
      <c r="D149" s="5" t="s">
        <v>2505</v>
      </c>
      <c r="E149" s="5" t="s">
        <v>2506</v>
      </c>
      <c r="F149" s="121" t="s">
        <v>25</v>
      </c>
      <c r="G149" s="5" t="s">
        <v>2505</v>
      </c>
      <c r="H149" s="5" t="s">
        <v>2506</v>
      </c>
      <c r="I149" s="7"/>
      <c r="J149" s="7"/>
    </row>
    <row r="150" spans="2:10">
      <c r="B150" s="121" t="s">
        <v>26</v>
      </c>
      <c r="C150" s="121" t="s">
        <v>26</v>
      </c>
      <c r="D150" s="5" t="s">
        <v>26</v>
      </c>
      <c r="E150" s="5" t="s">
        <v>2507</v>
      </c>
      <c r="F150" s="121" t="s">
        <v>26</v>
      </c>
      <c r="G150" s="5" t="s">
        <v>26</v>
      </c>
      <c r="H150" s="5" t="s">
        <v>2507</v>
      </c>
      <c r="I150" s="7"/>
      <c r="J150" s="7"/>
    </row>
    <row r="151" spans="2:10">
      <c r="B151" s="121" t="s">
        <v>27</v>
      </c>
      <c r="C151" s="121" t="s">
        <v>27</v>
      </c>
      <c r="D151" s="5" t="s">
        <v>2508</v>
      </c>
      <c r="E151" s="5" t="s">
        <v>2509</v>
      </c>
      <c r="F151" s="121" t="s">
        <v>27</v>
      </c>
      <c r="G151" s="5" t="s">
        <v>2508</v>
      </c>
      <c r="H151" s="5" t="s">
        <v>2509</v>
      </c>
      <c r="I151" s="7"/>
      <c r="J151" s="7"/>
    </row>
    <row r="152" spans="2:10">
      <c r="B152" s="121" t="s">
        <v>76</v>
      </c>
      <c r="C152" s="121" t="s">
        <v>76</v>
      </c>
      <c r="D152" s="5" t="s">
        <v>2511</v>
      </c>
      <c r="E152" s="5" t="s">
        <v>2512</v>
      </c>
      <c r="F152" s="121" t="s">
        <v>76</v>
      </c>
      <c r="G152" s="5" t="s">
        <v>2511</v>
      </c>
      <c r="H152" s="5" t="s">
        <v>2512</v>
      </c>
      <c r="I152" s="7"/>
      <c r="J152" s="7"/>
    </row>
    <row r="153" spans="2:10">
      <c r="B153" s="121" t="s">
        <v>77</v>
      </c>
      <c r="C153" s="121" t="s">
        <v>77</v>
      </c>
      <c r="D153" s="5" t="s">
        <v>2513</v>
      </c>
      <c r="E153" s="5" t="s">
        <v>2514</v>
      </c>
      <c r="F153" s="121" t="s">
        <v>77</v>
      </c>
      <c r="G153" s="5" t="s">
        <v>2513</v>
      </c>
      <c r="H153" s="5" t="s">
        <v>2514</v>
      </c>
      <c r="I153" s="7"/>
      <c r="J153" s="7"/>
    </row>
    <row r="154" spans="2:10">
      <c r="B154" s="121" t="s">
        <v>101</v>
      </c>
      <c r="C154" s="121" t="s">
        <v>101</v>
      </c>
      <c r="D154" s="5" t="s">
        <v>2515</v>
      </c>
      <c r="E154" s="5" t="s">
        <v>2516</v>
      </c>
      <c r="F154" s="121" t="s">
        <v>101</v>
      </c>
      <c r="G154" s="5" t="s">
        <v>2515</v>
      </c>
      <c r="H154" s="5" t="s">
        <v>2516</v>
      </c>
      <c r="I154" s="7"/>
      <c r="J154" s="7"/>
    </row>
    <row r="155" spans="2:10">
      <c r="B155" s="121" t="s">
        <v>107</v>
      </c>
      <c r="C155" s="121" t="s">
        <v>107</v>
      </c>
      <c r="D155" s="5" t="s">
        <v>2517</v>
      </c>
      <c r="E155" s="5" t="s">
        <v>2518</v>
      </c>
      <c r="F155" s="121" t="s">
        <v>107</v>
      </c>
      <c r="G155" s="5" t="s">
        <v>2517</v>
      </c>
      <c r="H155" s="5" t="s">
        <v>2518</v>
      </c>
      <c r="I155" s="7"/>
      <c r="J155" s="7"/>
    </row>
    <row r="156" spans="2:10">
      <c r="B156" s="121" t="s">
        <v>103</v>
      </c>
      <c r="C156" s="121" t="s">
        <v>103</v>
      </c>
      <c r="D156" s="5" t="s">
        <v>103</v>
      </c>
      <c r="E156" s="5" t="s">
        <v>2519</v>
      </c>
      <c r="F156" s="121" t="s">
        <v>103</v>
      </c>
      <c r="G156" s="5" t="s">
        <v>103</v>
      </c>
      <c r="H156" s="5" t="s">
        <v>2519</v>
      </c>
      <c r="I156" s="7"/>
      <c r="J156" s="7"/>
    </row>
    <row r="157" spans="2:10">
      <c r="B157" s="121" t="s">
        <v>784</v>
      </c>
      <c r="C157" s="121" t="s">
        <v>784</v>
      </c>
      <c r="D157" s="5" t="s">
        <v>2520</v>
      </c>
      <c r="E157" s="5" t="s">
        <v>2521</v>
      </c>
      <c r="F157" s="121" t="s">
        <v>784</v>
      </c>
      <c r="G157" s="5" t="s">
        <v>2520</v>
      </c>
      <c r="H157" s="5" t="s">
        <v>2521</v>
      </c>
      <c r="I157" s="7"/>
      <c r="J157" s="7"/>
    </row>
  </sheetData>
  <conditionalFormatting sqref="I2:J157">
    <cfRule type="cellIs" dxfId="4" priority="3" operator="equal">
      <formula>TRUE</formula>
    </cfRule>
  </conditionalFormatting>
  <conditionalFormatting sqref="C2:C157">
    <cfRule type="expression" dxfId="3" priority="4">
      <formula>#REF!&lt;&gt;#REF!</formula>
    </cfRule>
    <cfRule type="expression" dxfId="2"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5" outlineLevelRow="1" outlineLevelCol="2"/>
  <cols>
    <col min="1" max="1" width="11.42578125" style="5" customWidth="1"/>
    <col min="2" max="2" width="23.140625" style="5" hidden="1" customWidth="1" outlineLevel="1"/>
    <col min="3" max="3" width="11" style="5" collapsed="1"/>
    <col min="4" max="4" width="11" style="5" hidden="1" customWidth="1" outlineLevel="1"/>
    <col min="5" max="5" width="13.42578125" style="5" bestFit="1" customWidth="1" collapsed="1"/>
    <col min="6" max="6" width="4" style="5" customWidth="1"/>
    <col min="7" max="9" width="27" style="5" hidden="1" customWidth="1" outlineLevel="2"/>
    <col min="10" max="10" width="23.42578125" style="5" hidden="1" customWidth="1" outlineLevel="1"/>
    <col min="11" max="11" width="20.42578125" style="5" bestFit="1" customWidth="1" collapsed="1"/>
    <col min="12" max="12" width="8.85546875" style="5" customWidth="1"/>
    <col min="13" max="13" width="18.140625" style="5" hidden="1" customWidth="1" outlineLevel="1"/>
    <col min="14" max="14" width="24.42578125" style="5" customWidth="1" collapsed="1"/>
    <col min="15" max="15" width="123.140625" customWidth="1"/>
    <col min="16" max="16" width="25.140625" hidden="1" customWidth="1" outlineLevel="1"/>
    <col min="17" max="17" width="23.140625" style="5" customWidth="1" collapsed="1"/>
    <col min="18" max="18" width="11" style="5" hidden="1" customWidth="1" outlineLevel="1"/>
    <col min="19" max="19" width="11" style="5" collapsed="1"/>
    <col min="20" max="16384" width="11" style="5"/>
  </cols>
  <sheetData>
    <row r="1" spans="1:19" ht="15.75" thickBot="1"/>
    <row r="2" spans="1:19" ht="114.75" thickTop="1" thickBot="1">
      <c r="A2" s="71" t="s">
        <v>0</v>
      </c>
      <c r="B2" s="73" t="s">
        <v>230</v>
      </c>
      <c r="C2" s="73" t="s">
        <v>5</v>
      </c>
      <c r="D2" s="74" t="s">
        <v>663</v>
      </c>
      <c r="E2" s="74" t="s">
        <v>120</v>
      </c>
      <c r="F2" s="74" t="s">
        <v>461</v>
      </c>
      <c r="G2" s="72" t="s">
        <v>806</v>
      </c>
      <c r="H2" s="72" t="s">
        <v>2635</v>
      </c>
      <c r="I2" s="72" t="s">
        <v>2436</v>
      </c>
      <c r="J2" s="72" t="s">
        <v>32</v>
      </c>
      <c r="K2" s="74" t="s">
        <v>1</v>
      </c>
      <c r="L2" s="77" t="s">
        <v>496</v>
      </c>
      <c r="M2" s="73" t="s">
        <v>1832</v>
      </c>
      <c r="N2" s="73" t="s">
        <v>436</v>
      </c>
      <c r="O2" s="77" t="s">
        <v>84</v>
      </c>
      <c r="P2" s="86" t="s">
        <v>1833</v>
      </c>
      <c r="Q2" s="86" t="s">
        <v>798</v>
      </c>
      <c r="R2" s="86" t="s">
        <v>800</v>
      </c>
      <c r="S2" s="86" t="s">
        <v>799</v>
      </c>
    </row>
    <row r="3" spans="1:19" ht="15.7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2301</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5.75"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2301</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50.7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10.75" thickTop="1">
      <c r="A6" s="5" t="s">
        <v>1753</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2301</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95">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1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20"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20"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30"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30"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75"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60"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50"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30"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50"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30"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45"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30"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70"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409.5"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90"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30"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3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105"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60"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2522</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50"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30"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105"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6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405"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75"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2301</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2301</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2301</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2301</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2301</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30"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30"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30"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30"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tabSelected="1" zoomScaleNormal="100" workbookViewId="0">
      <pane xSplit="1" ySplit="1" topLeftCell="AI2" activePane="bottomRight" state="frozen"/>
      <selection activeCell="AC18" sqref="AC18"/>
      <selection pane="topRight" activeCell="AC18" sqref="AC18"/>
      <selection pane="bottomLeft" activeCell="AC18" sqref="AC18"/>
      <selection pane="bottomRight" activeCell="AT3" sqref="AT3"/>
    </sheetView>
  </sheetViews>
  <sheetFormatPr defaultColWidth="11.42578125" defaultRowHeight="15" outlineLevelCol="4"/>
  <cols>
    <col min="1" max="1" width="43.42578125" style="5" customWidth="1"/>
    <col min="2" max="2" width="29.7109375" style="5" customWidth="1" outlineLevel="1"/>
    <col min="3" max="3" width="11.42578125" style="5" customWidth="1"/>
    <col min="4" max="4" width="7.42578125" style="5" customWidth="1" outlineLevel="1"/>
    <col min="5" max="5" width="13.42578125" style="5" bestFit="1" customWidth="1"/>
    <col min="6" max="6" width="6.85546875" style="5" bestFit="1" customWidth="1"/>
    <col min="7" max="7" width="20" style="5" hidden="1" customWidth="1" outlineLevel="2"/>
    <col min="8" max="8" width="38" style="5" customWidth="1" outlineLevel="1" collapsed="1"/>
    <col min="9" max="9" width="38" style="5" customWidth="1" outlineLevel="1"/>
    <col min="10" max="10" width="18.7109375" style="5" customWidth="1"/>
    <col min="11" max="15" width="45.42578125" style="5" hidden="1" customWidth="1" outlineLevel="4"/>
    <col min="16" max="17" width="26.42578125" style="5" hidden="1" customWidth="1" outlineLevel="4"/>
    <col min="18" max="19" width="32.85546875" style="5" hidden="1" customWidth="1" outlineLevel="4"/>
    <col min="20" max="20" width="31.42578125" style="5" hidden="1" customWidth="1" outlineLevel="2"/>
    <col min="21" max="21" width="30.140625" style="5" customWidth="1" outlineLevel="1" collapsed="1"/>
    <col min="22" max="22" width="29.42578125" style="5" customWidth="1"/>
    <col min="23" max="30" width="25.140625" style="5" hidden="1" customWidth="1" outlineLevel="2"/>
    <col min="31" max="31" width="25.140625" style="5" customWidth="1" outlineLevel="1" collapsed="1"/>
    <col min="32" max="32" width="25.140625" style="5" customWidth="1" outlineLevel="1"/>
    <col min="33" max="33" width="19.42578125" style="5" customWidth="1" outlineLevel="1"/>
    <col min="34" max="34" width="17.85546875" style="5" customWidth="1"/>
    <col min="35" max="35" width="7.140625" style="5" customWidth="1"/>
    <col min="36" max="36" width="4.42578125" style="5" customWidth="1"/>
    <col min="37" max="37" width="11.140625" style="5" customWidth="1" outlineLevel="1"/>
    <col min="38" max="38" width="11.7109375" style="5" customWidth="1"/>
    <col min="39" max="39" width="18.140625" style="5" customWidth="1" outlineLevel="1"/>
    <col min="40" max="40" width="11.42578125" style="5" customWidth="1"/>
    <col min="41" max="41" width="7.140625" style="5" customWidth="1" outlineLevel="1"/>
    <col min="42" max="42" width="30.42578125" style="5" hidden="1" customWidth="1" outlineLevel="2"/>
    <col min="43" max="43" width="23.42578125" style="5" customWidth="1" outlineLevel="1" collapsed="1"/>
    <col min="44" max="45" width="22.42578125" style="5" customWidth="1" outlineLevel="2"/>
    <col min="46" max="46" width="21.140625" style="5" customWidth="1" outlineLevel="1"/>
    <col min="47" max="47" width="17" style="5" hidden="1" customWidth="1" outlineLevel="2"/>
    <col min="48" max="48" width="17" style="5" customWidth="1" outlineLevel="1" collapsed="1"/>
    <col min="49" max="49" width="17" style="5" hidden="1" customWidth="1" outlineLevel="2"/>
    <col min="50" max="50" width="40.28515625" style="5" hidden="1" customWidth="1" outlineLevel="2"/>
    <col min="51" max="51" width="109.42578125" style="5" hidden="1" customWidth="1" outlineLevel="2"/>
    <col min="52" max="53" width="166.42578125" style="5" hidden="1" customWidth="1" outlineLevel="2"/>
    <col min="54" max="54" width="7.42578125" style="5" customWidth="1" outlineLevel="1" collapsed="1"/>
    <col min="55" max="55" width="7.85546875" style="5" hidden="1" customWidth="1" outlineLevel="2"/>
    <col min="56" max="56" width="34" style="5" hidden="1" customWidth="1" outlineLevel="2"/>
    <col min="57" max="57" width="90" style="5" hidden="1" customWidth="1" outlineLevel="2"/>
    <col min="58" max="58" width="7.42578125" style="5" hidden="1" customWidth="1" outlineLevel="2"/>
    <col min="59" max="61" width="58.42578125" style="5" hidden="1" customWidth="1" outlineLevel="2"/>
    <col min="62" max="62" width="8.42578125" style="5" customWidth="1" outlineLevel="1" collapsed="1"/>
    <col min="63" max="63" width="86.7109375" style="7" customWidth="1"/>
    <col min="64" max="16384" width="11.42578125" style="5"/>
  </cols>
  <sheetData>
    <row r="1" spans="1:63" ht="168.75" customHeight="1" thickTop="1" thickBot="1">
      <c r="A1" s="46" t="s">
        <v>0</v>
      </c>
      <c r="B1" s="46" t="s">
        <v>230</v>
      </c>
      <c r="C1" s="46" t="s">
        <v>5</v>
      </c>
      <c r="D1" s="46" t="s">
        <v>663</v>
      </c>
      <c r="E1" s="46" t="s">
        <v>120</v>
      </c>
      <c r="F1" s="46" t="s">
        <v>461</v>
      </c>
      <c r="G1" s="46" t="s">
        <v>365</v>
      </c>
      <c r="H1" s="46" t="s">
        <v>441</v>
      </c>
      <c r="I1" s="46" t="s">
        <v>1824</v>
      </c>
      <c r="J1" s="46" t="s">
        <v>317</v>
      </c>
      <c r="K1" s="46" t="s">
        <v>806</v>
      </c>
      <c r="L1" s="46" t="s">
        <v>2626</v>
      </c>
      <c r="M1" s="46" t="s">
        <v>2438</v>
      </c>
      <c r="N1" s="46" t="s">
        <v>2437</v>
      </c>
      <c r="O1" s="46" t="s">
        <v>2434</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2265</v>
      </c>
      <c r="AG1" s="46" t="s">
        <v>1835</v>
      </c>
      <c r="AH1" s="46" t="s">
        <v>4</v>
      </c>
      <c r="AI1" s="46" t="s">
        <v>497</v>
      </c>
      <c r="AJ1" s="46" t="s">
        <v>498</v>
      </c>
      <c r="AK1" s="46" t="s">
        <v>1834</v>
      </c>
      <c r="AL1" s="46" t="s">
        <v>684</v>
      </c>
      <c r="AM1" s="46" t="s">
        <v>1837</v>
      </c>
      <c r="AN1" s="46" t="s">
        <v>828</v>
      </c>
      <c r="AO1" s="46" t="s">
        <v>467</v>
      </c>
      <c r="AP1" s="46" t="s">
        <v>1836</v>
      </c>
      <c r="AQ1" s="46" t="s">
        <v>314</v>
      </c>
      <c r="AR1" s="46" t="s">
        <v>353</v>
      </c>
      <c r="AS1" s="46" t="s">
        <v>1838</v>
      </c>
      <c r="AT1" s="46" t="s">
        <v>315</v>
      </c>
      <c r="AU1" s="46" t="s">
        <v>1759</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1771</v>
      </c>
      <c r="BK1" s="109"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9">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90">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50">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202.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202.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16">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202.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202.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202.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9">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202.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202.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202.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75.5">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202.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202.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60">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1768</v>
      </c>
    </row>
    <row r="34" spans="1:63" ht="4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1770</v>
      </c>
    </row>
    <row r="35" spans="1:63" ht="202.5">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1769</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202.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202.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89">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89">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89">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202.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202.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9">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202.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8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202.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89">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57" s="5" t="e">
        <f>IF(meta_TypedModelElements[[#This Row],[Kind:src]]="_Function",meta_TypedModelElements[[#This Row],[Display Qualified]],"")</f>
        <v>#N/A</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e">
        <f>IF(meta_TypedModelElements[[#This Row],[Containing Class:display]]="","",meta_TypedModelElements[[#This Row],[Containing Class:display]]&amp;".")&amp;meta_TypedModelElements[[#This Row],[Display without Class]]</f>
        <v>#N/A</v>
      </c>
      <c r="S57" s="5" t="e" cm="1">
        <f t="array" ref="S57">_xlfn.IFNA(INDEX(meta_Names[Camel Lower], MATCH(meta_TypedModelElements[[#This Row],[Name or Type]],meta_Names[String],0)),camelCaseLower(meta_TypedModelElements[[#This Row],[Name or Type]]))</f>
        <v>#VALUE!</v>
      </c>
      <c r="T57" s="5" t="e">
        <f>IF(meta_TypedModelElements[[#This Row],[Name or Type]]="","",meta_TypedModelElements[[#This Row],[Name or Type Camel Case Lower]])&amp;IF(meta_TypedModelElements[[#This Row],[Kind:src]]="_Function","("&amp;meta_TypedModelElements[[#This Row],[Function - Parameters Display]]&amp;")","")</f>
        <v>#N/A</v>
      </c>
      <c r="U57"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e">
        <f>IF(meta_TypedModelElements[[#This Row],[Kind:src]]&lt;&gt;"_Function",meta_TypedModelElements[[#This Row],[Type]],INDEX(meta_TypedModelElements[Type],MATCH(meta_TypedModelElements[[#This Row],[Function - Owning Property:src]],meta_TypedModelElements[ID],0)))</f>
        <v>#N/A</v>
      </c>
      <c r="AE57" s="5" t="e">
        <f>IF(meta_TypedModelElements[[#This Row],[Kind:src]]&lt;&gt;"_Function",meta_TypedModelElements[[#This Row],[Type:src]],INDEX(meta_TypedModelElements[Type:src],MATCH(meta_TypedModelElements[[#This Row],[Function - Owning Property:src]],meta_TypedModelElements[ID],0)))</f>
        <v>#N/A</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c r="AQ57" s="22" t="str">
        <f xml:space="preserve"> IF( TRIM( meta_TypedModelElements[[#This Row],[Function - Owning Property:src]] ) = "", "",
        INDEX( meta_TypedModelElements[Display Qualified], MATCH( meta_TypedModelElements[[#This Row],[Function - Owning Property:src]], meta_TypedModelElements[ID], 0 ) ) )</f>
        <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e">
        <f>"[@["&amp;meta_TypedModelElements[[#This Row],[Name or Type]]&amp;":src]]"</f>
        <v>#N/A</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e">
        <f>IF(meta_TypedModelElements[[#This Row],[Kind:src]]="_Parameter","",IF(AND(meta_TypedModelElements[[#This Row],[Package]]="util",meta_TypedModelElements[[#This Row],[Containing Class]]=0), "public", "method"))</f>
        <v>#N/A</v>
      </c>
      <c r="BD57" s="40"/>
      <c r="BE57"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58"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58" s="8"/>
      <c r="J58" s="22" t="str">
        <f xml:space="preserve"> IF( TRIM( meta_TypedModelElements[[#This Row],[Property - Owning Class:src]] ) = "", "",
        INDEX( meta_Classifiers[Display Qualified], MATCH( meta_TypedModelElements[[#This Row],[Property - Owning Class:src]], meta_Classifiers[ID], 0 ) ) )</f>
        <v/>
      </c>
      <c r="K58"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e">
        <f>IF(meta_TypedModelElements[[#This Row],[Containing Class:display]]="","",meta_TypedModelElements[[#This Row],[Containing Class:display]]&amp;".")&amp;meta_TypedModelElements[[#This Row],[Display without Class]]</f>
        <v>#REF!</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T58" s="22" t="str">
        <f>IF(meta_TypedModelElements[[#This Row],[Parameter - Owning Function:src]]="","",INDEX(meta_TypedModelElements[Display Qualified],MATCH(meta_TypedModelElements[[#This Row],[Parameter - Owning Function:src]],meta_TypedModelElements[ID],0)))</f>
        <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public</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camelCaseUpper() As String</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60" s="5" t="e">
        <f>IF(meta_TypedModelElements[[#This Row],[Kind:src]]="_Function",meta_TypedModelElements[[#This Row],[Display Qualified]],"")</f>
        <v>#N/A</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e">
        <f>IF(meta_TypedModelElements[[#This Row],[Containing Class:display]]="","",meta_TypedModelElements[[#This Row],[Containing Class:display]]&amp;".")&amp;meta_TypedModelElements[[#This Row],[Display without Class]]</f>
        <v>#N/A</v>
      </c>
      <c r="S60" s="5" t="e" cm="1">
        <f t="array" ref="S60">_xlfn.IFNA(INDEX(meta_Names[Camel Lower], MATCH(meta_TypedModelElements[[#This Row],[Name or Type]],meta_Names[String],0)),camelCaseLower(meta_TypedModelElements[[#This Row],[Name or Type]]))</f>
        <v>#VALUE!</v>
      </c>
      <c r="T60" s="5" t="e">
        <f>IF(meta_TypedModelElements[[#This Row],[Name or Type]]="","",meta_TypedModelElements[[#This Row],[Name or Type Camel Case Lower]])&amp;IF(meta_TypedModelElements[[#This Row],[Kind:src]]="_Function","("&amp;meta_TypedModelElements[[#This Row],[Function - Parameters Display]]&amp;")","")</f>
        <v>#N/A</v>
      </c>
      <c r="U60"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e">
        <f>IF(meta_TypedModelElements[[#This Row],[Kind:src]]&lt;&gt;"_Function",meta_TypedModelElements[[#This Row],[Type]],INDEX(meta_TypedModelElements[Type],MATCH(meta_TypedModelElements[[#This Row],[Function - Owning Property:src]],meta_TypedModelElements[ID],0)))</f>
        <v>#N/A</v>
      </c>
      <c r="AE60" s="5" t="e">
        <f>IF(meta_TypedModelElements[[#This Row],[Kind:src]]&lt;&gt;"_Function",meta_TypedModelElements[[#This Row],[Type:src]],INDEX(meta_TypedModelElements[Type:src],MATCH(meta_TypedModelElements[[#This Row],[Function - Owning Property:src]],meta_TypedModelElements[ID],0)))</f>
        <v>#N/A</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c r="AQ60" s="22" t="str">
        <f xml:space="preserve"> IF( TRIM( meta_TypedModelElements[[#This Row],[Function - Owning Property:src]] ) = "", "",
        INDEX( meta_TypedModelElements[Display Qualified], MATCH( meta_TypedModelElements[[#This Row],[Function - Owning Property:src]], meta_TypedModelElements[ID], 0 ) ) )</f>
        <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e">
        <f>"[@["&amp;meta_TypedModelElements[[#This Row],[Name or Type]]&amp;":src]]"</f>
        <v>#N/A</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e">
        <f>IF(meta_TypedModelElements[[#This Row],[Kind:src]]="_Parameter","",IF(AND(meta_TypedModelElements[[#This Row],[Package]]="util",meta_TypedModelElements[[#This Row],[Containing Class]]=0), "public", "method"))</f>
        <v>#N/A</v>
      </c>
      <c r="BD60" s="40"/>
      <c r="BE60"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61"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61" s="8"/>
      <c r="J61" s="22" t="str">
        <f xml:space="preserve"> IF( TRIM( meta_TypedModelElements[[#This Row],[Property - Owning Class:src]] ) = "", "",
        INDEX( meta_Classifiers[Display Qualified], MATCH( meta_TypedModelElements[[#This Row],[Property - Owning Class:src]], meta_Classifiers[ID], 0 ) ) )</f>
        <v/>
      </c>
      <c r="K61"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e">
        <f>IF(meta_TypedModelElements[[#This Row],[Containing Class:display]]="","",meta_TypedModelElements[[#This Row],[Containing Class:display]]&amp;".")&amp;meta_TypedModelElements[[#This Row],[Display without Class]]</f>
        <v>#REF!</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T61" s="22" t="str">
        <f>IF(meta_TypedModelElements[[#This Row],[Parameter - Owning Function:src]]="","",INDEX(meta_TypedModelElements[Display Qualified],MATCH(meta_TypedModelElements[[#This Row],[Parameter - Owning Function:src]],meta_TypedModelElements[ID],0)))</f>
        <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public</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camelCaseLower() As String</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63" s="5" t="e">
        <f>IF(meta_TypedModelElements[[#This Row],[Kind:src]]="_Function",meta_TypedModelElements[[#This Row],[Display Qualified]],"")</f>
        <v>#N/A</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e">
        <f>IF(meta_TypedModelElements[[#This Row],[Containing Class:display]]="","",meta_TypedModelElements[[#This Row],[Containing Class:display]]&amp;".")&amp;meta_TypedModelElements[[#This Row],[Display without Class]]</f>
        <v>#N/A</v>
      </c>
      <c r="S63" s="5" t="e" cm="1">
        <f t="array" ref="S63">_xlfn.IFNA(INDEX(meta_Names[Camel Lower], MATCH(meta_TypedModelElements[[#This Row],[Name or Type]],meta_Names[String],0)),camelCaseLower(meta_TypedModelElements[[#This Row],[Name or Type]]))</f>
        <v>#VALUE!</v>
      </c>
      <c r="T63" s="5" t="e">
        <f>IF(meta_TypedModelElements[[#This Row],[Name or Type]]="","",meta_TypedModelElements[[#This Row],[Name or Type Camel Case Lower]])&amp;IF(meta_TypedModelElements[[#This Row],[Kind:src]]="_Function","("&amp;meta_TypedModelElements[[#This Row],[Function - Parameters Display]]&amp;")","")</f>
        <v>#N/A</v>
      </c>
      <c r="U63"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e">
        <f>IF(meta_TypedModelElements[[#This Row],[Kind:src]]&lt;&gt;"_Function",meta_TypedModelElements[[#This Row],[Type]],INDEX(meta_TypedModelElements[Type],MATCH(meta_TypedModelElements[[#This Row],[Function - Owning Property:src]],meta_TypedModelElements[ID],0)))</f>
        <v>#N/A</v>
      </c>
      <c r="AE63" s="5" t="e">
        <f>IF(meta_TypedModelElements[[#This Row],[Kind:src]]&lt;&gt;"_Function",meta_TypedModelElements[[#This Row],[Type:src]],INDEX(meta_TypedModelElements[Type:src],MATCH(meta_TypedModelElements[[#This Row],[Function - Owning Property:src]],meta_TypedModelElements[ID],0)))</f>
        <v>#N/A</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c r="AQ63" s="22" t="str">
        <f xml:space="preserve"> IF( TRIM( meta_TypedModelElements[[#This Row],[Function - Owning Property:src]] ) = "", "",
        INDEX( meta_TypedModelElements[Display Qualified], MATCH( meta_TypedModelElements[[#This Row],[Function - Owning Property:src]], meta_TypedModelElements[ID], 0 ) ) )</f>
        <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e">
        <f>"[@["&amp;meta_TypedModelElements[[#This Row],[Name or Type]]&amp;":src]]"</f>
        <v>#N/A</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e">
        <f>IF(meta_TypedModelElements[[#This Row],[Kind:src]]="_Parameter","",IF(AND(meta_TypedModelElements[[#This Row],[Package]]="util",meta_TypedModelElements[[#This Row],[Containing Class]]=0), "public", "method"))</f>
        <v>#N/A</v>
      </c>
      <c r="BD63" s="40"/>
      <c r="BE63"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64"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64" s="8"/>
      <c r="J64" s="22" t="str">
        <f xml:space="preserve"> IF( TRIM( meta_TypedModelElements[[#This Row],[Property - Owning Class:src]] ) = "", "",
        INDEX( meta_Classifiers[Display Qualified], MATCH( meta_TypedModelElements[[#This Row],[Property - Owning Class:src]], meta_Classifiers[ID], 0 ) ) )</f>
        <v/>
      </c>
      <c r="K64"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e">
        <f>IF(meta_TypedModelElements[[#This Row],[Containing Class:display]]="","",meta_TypedModelElements[[#This Row],[Containing Class:display]]&amp;".")&amp;meta_TypedModelElements[[#This Row],[Display without Class]]</f>
        <v>#REF!</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T64" s="22" t="str">
        <f>IF(meta_TypedModelElements[[#This Row],[Parameter - Owning Function:src]]="","",INDEX(meta_TypedModelElements[Display Qualified],MATCH(meta_TypedModelElements[[#This Row],[Parameter - Owning Function:src]],meta_TypedModelElements[ID],0)))</f>
        <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public</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camelCaseToBusiness() As String</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66" s="5" t="e">
        <f>IF(meta_TypedModelElements[[#This Row],[Kind:src]]="_Function",meta_TypedModelElements[[#This Row],[Display Qualified]],"")</f>
        <v>#N/A</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e">
        <f>IF(meta_TypedModelElements[[#This Row],[Containing Class:display]]="","",meta_TypedModelElements[[#This Row],[Containing Class:display]]&amp;".")&amp;meta_TypedModelElements[[#This Row],[Display without Class]]</f>
        <v>#N/A</v>
      </c>
      <c r="S66" s="5" t="e" cm="1">
        <f t="array" ref="S66">_xlfn.IFNA(INDEX(meta_Names[Camel Lower], MATCH(meta_TypedModelElements[[#This Row],[Name or Type]],meta_Names[String],0)),camelCaseLower(meta_TypedModelElements[[#This Row],[Name or Type]]))</f>
        <v>#VALUE!</v>
      </c>
      <c r="T66" s="5" t="e">
        <f>IF(meta_TypedModelElements[[#This Row],[Name or Type]]="","",meta_TypedModelElements[[#This Row],[Name or Type Camel Case Lower]])&amp;IF(meta_TypedModelElements[[#This Row],[Kind:src]]="_Function","("&amp;meta_TypedModelElements[[#This Row],[Function - Parameters Display]]&amp;")","")</f>
        <v>#N/A</v>
      </c>
      <c r="U66"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e">
        <f>IF(meta_TypedModelElements[[#This Row],[Kind:src]]&lt;&gt;"_Function",meta_TypedModelElements[[#This Row],[Type]],INDEX(meta_TypedModelElements[Type],MATCH(meta_TypedModelElements[[#This Row],[Function - Owning Property:src]],meta_TypedModelElements[ID],0)))</f>
        <v>#N/A</v>
      </c>
      <c r="AE66" s="5" t="e">
        <f>IF(meta_TypedModelElements[[#This Row],[Kind:src]]&lt;&gt;"_Function",meta_TypedModelElements[[#This Row],[Type:src]],INDEX(meta_TypedModelElements[Type:src],MATCH(meta_TypedModelElements[[#This Row],[Function - Owning Property:src]],meta_TypedModelElements[ID],0)))</f>
        <v>#N/A</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c r="AQ66" s="22" t="str">
        <f xml:space="preserve"> IF( TRIM( meta_TypedModelElements[[#This Row],[Function - Owning Property:src]] ) = "", "",
        INDEX( meta_TypedModelElements[Display Qualified], MATCH( meta_TypedModelElements[[#This Row],[Function - Owning Property:src]], meta_TypedModelElements[ID], 0 ) ) )</f>
        <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e">
        <f>"[@["&amp;meta_TypedModelElements[[#This Row],[Name or Type]]&amp;":src]]"</f>
        <v>#N/A</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e">
        <f>IF(meta_TypedModelElements[[#This Row],[Kind:src]]="_Parameter","",IF(AND(meta_TypedModelElements[[#This Row],[Package]]="util",meta_TypedModelElements[[#This Row],[Containing Class]]=0), "public", "method"))</f>
        <v>#N/A</v>
      </c>
      <c r="BD66" s="40"/>
      <c r="BE66"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67"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67" s="8"/>
      <c r="J67" s="22" t="str">
        <f xml:space="preserve"> IF( TRIM( meta_TypedModelElements[[#This Row],[Property - Owning Class:src]] ) = "", "",
        INDEX( meta_Classifiers[Display Qualified], MATCH( meta_TypedModelElements[[#This Row],[Property - Owning Class:src]], meta_Classifiers[ID], 0 ) ) )</f>
        <v/>
      </c>
      <c r="K67"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e">
        <f>IF(meta_TypedModelElements[[#This Row],[Containing Class:display]]="","",meta_TypedModelElements[[#This Row],[Containing Class:display]]&amp;".")&amp;meta_TypedModelElements[[#This Row],[Display without Class]]</f>
        <v>#REF!</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T67" s="22" t="str">
        <f>IF(meta_TypedModelElements[[#This Row],[Parameter - Owning Function:src]]="","",INDEX(meta_TypedModelElements[Display Qualified],MATCH(meta_TypedModelElements[[#This Row],[Parameter - Owning Function:src]],meta_TypedModelElements[ID],0)))</f>
        <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public</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stringToBusiness() As String</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69" s="5" t="e">
        <f>IF(meta_TypedModelElements[[#This Row],[Kind:src]]="_Function",meta_TypedModelElements[[#This Row],[Display Qualified]],"")</f>
        <v>#N/A</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e">
        <f>IF(meta_TypedModelElements[[#This Row],[Containing Class:display]]="","",meta_TypedModelElements[[#This Row],[Containing Class:display]]&amp;".")&amp;meta_TypedModelElements[[#This Row],[Display without Class]]</f>
        <v>#N/A</v>
      </c>
      <c r="S69" s="5" t="e" cm="1">
        <f t="array" ref="S69">_xlfn.IFNA(INDEX(meta_Names[Camel Lower], MATCH(meta_TypedModelElements[[#This Row],[Name or Type]],meta_Names[String],0)),camelCaseLower(meta_TypedModelElements[[#This Row],[Name or Type]]))</f>
        <v>#VALUE!</v>
      </c>
      <c r="T69" s="5" t="e">
        <f>IF(meta_TypedModelElements[[#This Row],[Name or Type]]="","",meta_TypedModelElements[[#This Row],[Name or Type Camel Case Lower]])&amp;IF(meta_TypedModelElements[[#This Row],[Kind:src]]="_Function","("&amp;meta_TypedModelElements[[#This Row],[Function - Parameters Display]]&amp;")","")</f>
        <v>#N/A</v>
      </c>
      <c r="U69"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e">
        <f>IF(meta_TypedModelElements[[#This Row],[Kind:src]]&lt;&gt;"_Function",meta_TypedModelElements[[#This Row],[Type]],INDEX(meta_TypedModelElements[Type],MATCH(meta_TypedModelElements[[#This Row],[Function - Owning Property:src]],meta_TypedModelElements[ID],0)))</f>
        <v>#N/A</v>
      </c>
      <c r="AE69" s="5" t="e">
        <f>IF(meta_TypedModelElements[[#This Row],[Kind:src]]&lt;&gt;"_Function",meta_TypedModelElements[[#This Row],[Type:src]],INDEX(meta_TypedModelElements[Type:src],MATCH(meta_TypedModelElements[[#This Row],[Function - Owning Property:src]],meta_TypedModelElements[ID],0)))</f>
        <v>#N/A</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c r="AQ69" s="22" t="str">
        <f xml:space="preserve"> IF( TRIM( meta_TypedModelElements[[#This Row],[Function - Owning Property:src]] ) = "", "",
        INDEX( meta_TypedModelElements[Display Qualified], MATCH( meta_TypedModelElements[[#This Row],[Function - Owning Property:src]], meta_TypedModelElements[ID], 0 ) ) )</f>
        <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e">
        <f>"[@["&amp;meta_TypedModelElements[[#This Row],[Name or Type]]&amp;":src]]"</f>
        <v>#N/A</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e">
        <f>IF(meta_TypedModelElements[[#This Row],[Kind:src]]="_Parameter","",IF(AND(meta_TypedModelElements[[#This Row],[Package]]="util",meta_TypedModelElements[[#This Row],[Containing Class]]=0), "public", "method"))</f>
        <v>#N/A</v>
      </c>
      <c r="BD69" s="40"/>
      <c r="BE69"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70"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70" s="8"/>
      <c r="J70" s="22" t="str">
        <f xml:space="preserve"> IF( TRIM( meta_TypedModelElements[[#This Row],[Property - Owning Class:src]] ) = "", "",
        INDEX( meta_Classifiers[Display Qualified], MATCH( meta_TypedModelElements[[#This Row],[Property - Owning Class:src]], meta_Classifiers[ID], 0 ) ) )</f>
        <v/>
      </c>
      <c r="K70"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e">
        <f>IF(meta_TypedModelElements[[#This Row],[Containing Class:display]]="","",meta_TypedModelElements[[#This Row],[Containing Class:display]]&amp;".")&amp;meta_TypedModelElements[[#This Row],[Display without Class]]</f>
        <v>#REF!</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T70" s="22" t="str">
        <f>IF(meta_TypedModelElements[[#This Row],[Parameter - Owning Function:src]]="","",INDEX(meta_TypedModelElements[Display Qualified],MATCH(meta_TypedModelElements[[#This Row],[Parameter - Owning Function:src]],meta_TypedModelElements[ID],0)))</f>
        <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public</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businessToCamelCaseUpper() As String</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72" s="5" t="e">
        <f>IF(meta_TypedModelElements[[#This Row],[Kind:src]]="_Function",meta_TypedModelElements[[#This Row],[Display Qualified]],"")</f>
        <v>#N/A</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e">
        <f>IF(meta_TypedModelElements[[#This Row],[Containing Class:display]]="","",meta_TypedModelElements[[#This Row],[Containing Class:display]]&amp;".")&amp;meta_TypedModelElements[[#This Row],[Display without Class]]</f>
        <v>#N/A</v>
      </c>
      <c r="S72" s="5" t="e" cm="1">
        <f t="array" ref="S72">_xlfn.IFNA(INDEX(meta_Names[Camel Lower], MATCH(meta_TypedModelElements[[#This Row],[Name or Type]],meta_Names[String],0)),camelCaseLower(meta_TypedModelElements[[#This Row],[Name or Type]]))</f>
        <v>#VALUE!</v>
      </c>
      <c r="T72" s="5" t="e">
        <f>IF(meta_TypedModelElements[[#This Row],[Name or Type]]="","",meta_TypedModelElements[[#This Row],[Name or Type Camel Case Lower]])&amp;IF(meta_TypedModelElements[[#This Row],[Kind:src]]="_Function","("&amp;meta_TypedModelElements[[#This Row],[Function - Parameters Display]]&amp;")","")</f>
        <v>#N/A</v>
      </c>
      <c r="U72"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e">
        <f>IF(meta_TypedModelElements[[#This Row],[Kind:src]]&lt;&gt;"_Function",meta_TypedModelElements[[#This Row],[Type]],INDEX(meta_TypedModelElements[Type],MATCH(meta_TypedModelElements[[#This Row],[Function - Owning Property:src]],meta_TypedModelElements[ID],0)))</f>
        <v>#N/A</v>
      </c>
      <c r="AE72" s="5" t="e">
        <f>IF(meta_TypedModelElements[[#This Row],[Kind:src]]&lt;&gt;"_Function",meta_TypedModelElements[[#This Row],[Type:src]],INDEX(meta_TypedModelElements[Type:src],MATCH(meta_TypedModelElements[[#This Row],[Function - Owning Property:src]],meta_TypedModelElements[ID],0)))</f>
        <v>#N/A</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c r="AQ72" s="22" t="str">
        <f xml:space="preserve"> IF( TRIM( meta_TypedModelElements[[#This Row],[Function - Owning Property:src]] ) = "", "",
        INDEX( meta_TypedModelElements[Display Qualified], MATCH( meta_TypedModelElements[[#This Row],[Function - Owning Property:src]], meta_TypedModelElements[ID], 0 ) ) )</f>
        <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e">
        <f>"[@["&amp;meta_TypedModelElements[[#This Row],[Name or Type]]&amp;":src]]"</f>
        <v>#N/A</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e">
        <f>IF(meta_TypedModelElements[[#This Row],[Kind:src]]="_Parameter","",IF(AND(meta_TypedModelElements[[#This Row],[Package]]="util",meta_TypedModelElements[[#This Row],[Containing Class]]=0), "public", "method"))</f>
        <v>#N/A</v>
      </c>
      <c r="BD72" s="40"/>
      <c r="BE72"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73"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73" s="8"/>
      <c r="J73" s="22" t="str">
        <f xml:space="preserve"> IF( TRIM( meta_TypedModelElements[[#This Row],[Property - Owning Class:src]] ) = "", "",
        INDEX( meta_Classifiers[Display Qualified], MATCH( meta_TypedModelElements[[#This Row],[Property - Owning Class:src]], meta_Classifiers[ID], 0 ) ) )</f>
        <v/>
      </c>
      <c r="K73"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e">
        <f>IF(meta_TypedModelElements[[#This Row],[Containing Class:display]]="","",meta_TypedModelElements[[#This Row],[Containing Class:display]]&amp;".")&amp;meta_TypedModelElements[[#This Row],[Display without Class]]</f>
        <v>#REF!</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T73" s="22" t="str">
        <f>IF(meta_TypedModelElements[[#This Row],[Parameter - Owning Function:src]]="","",INDEX(meta_TypedModelElements[Display Qualified],MATCH(meta_TypedModelElements[[#This Row],[Parameter - Owning Function:src]],meta_TypedModelElements[ID],0)))</f>
        <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public</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businessToCamelCaseLower() As String</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75" s="5" t="e">
        <f>IF(meta_TypedModelElements[[#This Row],[Kind:src]]="_Function",meta_TypedModelElements[[#This Row],[Display Qualified]],"")</f>
        <v>#N/A</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e">
        <f>IF(meta_TypedModelElements[[#This Row],[Containing Class:display]]="","",meta_TypedModelElements[[#This Row],[Containing Class:display]]&amp;".")&amp;meta_TypedModelElements[[#This Row],[Display without Class]]</f>
        <v>#N/A</v>
      </c>
      <c r="S75" s="5" t="e" cm="1">
        <f t="array" ref="S75">_xlfn.IFNA(INDEX(meta_Names[Camel Lower], MATCH(meta_TypedModelElements[[#This Row],[Name or Type]],meta_Names[String],0)),camelCaseLower(meta_TypedModelElements[[#This Row],[Name or Type]]))</f>
        <v>#VALUE!</v>
      </c>
      <c r="T75" s="5" t="e">
        <f>IF(meta_TypedModelElements[[#This Row],[Name or Type]]="","",meta_TypedModelElements[[#This Row],[Name or Type Camel Case Lower]])&amp;IF(meta_TypedModelElements[[#This Row],[Kind:src]]="_Function","("&amp;meta_TypedModelElements[[#This Row],[Function - Parameters Display]]&amp;")","")</f>
        <v>#N/A</v>
      </c>
      <c r="U75"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e">
        <f>IF(meta_TypedModelElements[[#This Row],[Kind:src]]&lt;&gt;"_Function",meta_TypedModelElements[[#This Row],[Type]],INDEX(meta_TypedModelElements[Type],MATCH(meta_TypedModelElements[[#This Row],[Function - Owning Property:src]],meta_TypedModelElements[ID],0)))</f>
        <v>#N/A</v>
      </c>
      <c r="AE75" s="5" t="e">
        <f>IF(meta_TypedModelElements[[#This Row],[Kind:src]]&lt;&gt;"_Function",meta_TypedModelElements[[#This Row],[Type:src]],INDEX(meta_TypedModelElements[Type:src],MATCH(meta_TypedModelElements[[#This Row],[Function - Owning Property:src]],meta_TypedModelElements[ID],0)))</f>
        <v>#N/A</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c r="AQ75" s="22" t="str">
        <f xml:space="preserve"> IF( TRIM( meta_TypedModelElements[[#This Row],[Function - Owning Property:src]] ) = "", "",
        INDEX( meta_TypedModelElements[Display Qualified], MATCH( meta_TypedModelElements[[#This Row],[Function - Owning Property:src]], meta_TypedModelElements[ID], 0 ) ) )</f>
        <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e">
        <f>"[@["&amp;meta_TypedModelElements[[#This Row],[Name or Type]]&amp;":src]]"</f>
        <v>#N/A</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e">
        <f>IF(meta_TypedModelElements[[#This Row],[Kind:src]]="_Parameter","",IF(AND(meta_TypedModelElements[[#This Row],[Package]]="util",meta_TypedModelElements[[#This Row],[Containing Class]]=0), "public", "method"))</f>
        <v>#N/A</v>
      </c>
      <c r="BD75" s="40"/>
      <c r="BE75"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76"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76" s="8"/>
      <c r="J76" s="22" t="str">
        <f xml:space="preserve"> IF( TRIM( meta_TypedModelElements[[#This Row],[Property - Owning Class:src]] ) = "", "",
        INDEX( meta_Classifiers[Display Qualified], MATCH( meta_TypedModelElements[[#This Row],[Property - Owning Class:src]], meta_Classifiers[ID], 0 ) ) )</f>
        <v/>
      </c>
      <c r="K76"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e">
        <f>IF(meta_TypedModelElements[[#This Row],[Containing Class:display]]="","",meta_TypedModelElements[[#This Row],[Containing Class:display]]&amp;".")&amp;meta_TypedModelElements[[#This Row],[Display without Class]]</f>
        <v>#REF!</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T76" s="22" t="str">
        <f>IF(meta_TypedModelElements[[#This Row],[Parameter - Owning Function:src]]="","",INDEX(meta_TypedModelElements[Display Qualified],MATCH(meta_TypedModelElements[[#This Row],[Parameter - Owning Function:src]],meta_TypedModelElements[ID],0)))</f>
        <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public</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Public Function stringToBusinessSegments() As String</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78" s="5" t="e">
        <f>IF(meta_TypedModelElements[[#This Row],[Kind:src]]="_Function",meta_TypedModelElements[[#This Row],[Display Qualified]],"")</f>
        <v>#N/A</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e">
        <f>IF(meta_TypedModelElements[[#This Row],[Containing Class:display]]="","",meta_TypedModelElements[[#This Row],[Containing Class:display]]&amp;".")&amp;meta_TypedModelElements[[#This Row],[Display without Class]]</f>
        <v>#N/A</v>
      </c>
      <c r="S78" s="5" t="e" cm="1">
        <f t="array" ref="S78">_xlfn.IFNA(INDEX(meta_Names[Camel Lower], MATCH(meta_TypedModelElements[[#This Row],[Name or Type]],meta_Names[String],0)),camelCaseLower(meta_TypedModelElements[[#This Row],[Name or Type]]))</f>
        <v>#VALUE!</v>
      </c>
      <c r="T78" s="5" t="e">
        <f>IF(meta_TypedModelElements[[#This Row],[Name or Type]]="","",meta_TypedModelElements[[#This Row],[Name or Type Camel Case Lower]])&amp;IF(meta_TypedModelElements[[#This Row],[Kind:src]]="_Function","("&amp;meta_TypedModelElements[[#This Row],[Function - Parameters Display]]&amp;")","")</f>
        <v>#N/A</v>
      </c>
      <c r="U78"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e">
        <f>IF(meta_TypedModelElements[[#This Row],[Kind:src]]&lt;&gt;"_Function",meta_TypedModelElements[[#This Row],[Type]],INDEX(meta_TypedModelElements[Type],MATCH(meta_TypedModelElements[[#This Row],[Function - Owning Property:src]],meta_TypedModelElements[ID],0)))</f>
        <v>#N/A</v>
      </c>
      <c r="AE78" s="5" t="e">
        <f>IF(meta_TypedModelElements[[#This Row],[Kind:src]]&lt;&gt;"_Function",meta_TypedModelElements[[#This Row],[Type:src]],INDEX(meta_TypedModelElements[Type:src],MATCH(meta_TypedModelElements[[#This Row],[Function - Owning Property:src]],meta_TypedModelElements[ID],0)))</f>
        <v>#N/A</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c r="AQ78" s="22" t="str">
        <f xml:space="preserve"> IF( TRIM( meta_TypedModelElements[[#This Row],[Function - Owning Property:src]] ) = "", "",
        INDEX( meta_TypedModelElements[Display Qualified], MATCH( meta_TypedModelElements[[#This Row],[Function - Owning Property:src]], meta_TypedModelElements[ID], 0 ) ) )</f>
        <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e">
        <f>"[@["&amp;meta_TypedModelElements[[#This Row],[Name or Type]]&amp;":src]]"</f>
        <v>#N/A</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e">
        <f>IF(meta_TypedModelElements[[#This Row],[Kind:src]]="_Parameter","",IF(AND(meta_TypedModelElements[[#This Row],[Package]]="util",meta_TypedModelElements[[#This Row],[Containing Class]]=0), "public", "method"))</f>
        <v>#N/A</v>
      </c>
      <c r="BD78" s="40"/>
      <c r="BE78"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79"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79" s="8"/>
      <c r="J79" s="22" t="str">
        <f xml:space="preserve"> IF( TRIM( meta_TypedModelElements[[#This Row],[Property - Owning Class:src]] ) = "", "",
        INDEX( meta_Classifiers[Display Qualified], MATCH( meta_TypedModelElements[[#This Row],[Property - Owning Class:src]], meta_Classifiers[ID], 0 ) ) )</f>
        <v/>
      </c>
      <c r="K79"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e">
        <f>IF(meta_TypedModelElements[[#This Row],[Containing Class:display]]="","",meta_TypedModelElements[[#This Row],[Containing Class:display]]&amp;".")&amp;meta_TypedModelElements[[#This Row],[Display without Class]]</f>
        <v>#REF!</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T79" s="22" t="str">
        <f>IF(meta_TypedModelElements[[#This Row],[Parameter - Owning Function:src]]="","",INDEX(meta_TypedModelElements[Display Qualified],MATCH(meta_TypedModelElements[[#This Row],[Parameter - Owning Function:src]],meta_TypedModelElements[ID],0)))</f>
        <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#N/A</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e">
        <f>IF(meta_TypedModelElements[[#This Row],[Kind:src]]="_Parameter","",IF(AND(meta_TypedModelElements[[#This Row],[Package]]="util",meta_TypedModelElements[[#This Row],[Containing Class]]=0), "public", "method"))</f>
        <v>#N/A</v>
      </c>
      <c r="BD81" s="40"/>
      <c r="BE81" s="40" t="e">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#N/A</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e">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#REF!</v>
      </c>
      <c r="H82" s="8" t="e">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#REF!</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e">
        <f>IF(meta_TypedModelElements[[#This Row],[Containing Class:display]]="","",meta_TypedModelElements[[#This Row],[Containing Class:display]]&amp;".")&amp;meta_TypedModelElements[[#This Row],[Display without Class]]</f>
        <v>#REF!</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0</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202.5">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202.5">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IF(meta_TypedModelElements[[#This Row],[Kind:src]]="_Parameter",
INDEX(meta_TypedModelElements[[#This Row],[Containing Class]],MATCH(#REF!,meta_TypedModelElements[ID],0)),
IF(meta_TypedModelElements[[#This Row],[Kind:src]]="_Function",
INDEX(meta_TypedModelElements[[#This Row],[Property - Owning Class:src]],MATCH(meta_TypedModelElements[[#This Row],[Function - Owning Property:src]],meta_TypedModelElements[ID],0)),
IF(meta_TypedModelElements[[#This Row],[Kind:src]]="Parameter", INDEX(meta_TypedModelElements[Containing Class],MATCH(#REF!,meta_TypedModelElements[ID],0)),
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Qualified],MATCH(#REF!,meta_TypedModelElements[ID],0))&amp;"."&amp;meta_TypedModelElements[[#This Row],[Display without Class]],
IF(TRIM(meta_TypedModelElements[[#This Row],[Package]])="","",TRIM(LOWER(meta_TypedModelElements[[#This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7">
    <dataValidation type="list" allowBlank="1" showInputMessage="1" showErrorMessage="1" sqref="C2:C100" xr:uid="{99B39FFC-374C-4A52-8389-D32F99C394CD}">
      <formula1>INDIRECT("meta_Classifiers[Display Qualified]")</formula1>
    </dataValidation>
    <dataValidation type="list" allowBlank="1" showInputMessage="1" showErrorMessage="1" sqref="AT2:AT100 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2578125" defaultRowHeight="15" outlineLevelCol="2"/>
  <cols>
    <col min="1" max="1" width="29.42578125" customWidth="1"/>
    <col min="2" max="2" width="29.42578125" customWidth="1" outlineLevel="1"/>
    <col min="3" max="3" width="17.42578125" customWidth="1"/>
    <col min="4" max="4" width="7.85546875" bestFit="1" customWidth="1"/>
    <col min="5" max="5" width="7.85546875" customWidth="1"/>
    <col min="6" max="6" width="33.42578125" hidden="1" customWidth="1" outlineLevel="2"/>
    <col min="7" max="7" width="18" hidden="1" customWidth="1" outlineLevel="1"/>
    <col min="8" max="8" width="24.140625" customWidth="1" collapsed="1"/>
    <col min="9" max="9" width="24.140625" customWidth="1" outlineLevel="1"/>
  </cols>
  <sheetData>
    <row r="1" spans="1:10" ht="67.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20" t="s">
        <v>2389</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20" t="s">
        <v>2390</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5" outlineLevelCol="5"/>
  <cols>
    <col min="1" max="1" width="5.140625" style="5" customWidth="1" outlineLevel="1"/>
    <col min="2" max="2" width="27.85546875" style="5" customWidth="1" outlineLevel="2"/>
    <col min="3" max="3" width="19" style="5" customWidth="1" outlineLevel="1"/>
    <col min="4" max="5" width="6.85546875" style="5" customWidth="1" outlineLevel="1"/>
    <col min="6" max="6" width="7.42578125" style="5" customWidth="1" outlineLevel="4"/>
    <col min="7" max="7" width="7.42578125" style="5" customWidth="1" outlineLevel="3"/>
    <col min="8" max="8" width="7.42578125" style="5" customWidth="1" outlineLevel="4"/>
    <col min="9" max="9" width="7.42578125" style="5" customWidth="1" outlineLevel="3"/>
    <col min="10" max="10" width="13.42578125" style="5" customWidth="1" outlineLevel="4"/>
    <col min="11" max="11" width="7.85546875" style="5" customWidth="1" outlineLevel="3"/>
    <col min="12" max="12" width="21.42578125" style="5" customWidth="1" outlineLevel="4"/>
    <col min="13" max="13" width="16" style="5" customWidth="1" outlineLevel="3"/>
    <col min="14" max="14" width="21.42578125" style="5" customWidth="1" outlineLevel="4"/>
    <col min="15" max="15" width="16" style="5" customWidth="1" outlineLevel="3"/>
    <col min="16" max="16" width="21.42578125" style="5" customWidth="1" outlineLevel="4"/>
    <col min="17" max="17" width="16" style="5" customWidth="1" outlineLevel="3"/>
    <col min="18" max="18" width="21.42578125" style="5" customWidth="1" outlineLevel="3"/>
    <col min="19" max="19" width="16" style="5" customWidth="1" outlineLevel="2"/>
    <col min="20" max="20" width="9.42578125" style="5" customWidth="1" outlineLevel="1"/>
    <col min="21" max="22" width="19.42578125" style="5" hidden="1" customWidth="1" outlineLevel="3"/>
    <col min="23" max="23" width="44.42578125" style="5" hidden="1" customWidth="1" outlineLevel="2"/>
    <col min="24" max="24" width="32" style="5" customWidth="1" outlineLevel="1" collapsed="1"/>
    <col min="25" max="27" width="32" style="5" customWidth="1" outlineLevel="2"/>
    <col min="28" max="28" width="32" style="5" customWidth="1" outlineLevel="1"/>
    <col min="29" max="29" width="5.42578125" style="5" customWidth="1"/>
    <col min="30" max="30" width="25.42578125" style="5" customWidth="1" outlineLevel="3"/>
    <col min="31" max="31" width="52.42578125" style="5" customWidth="1" outlineLevel="3"/>
    <col min="32" max="32" width="24.42578125" style="5" customWidth="1" outlineLevel="3"/>
    <col min="33" max="33" width="46.42578125" style="5" customWidth="1"/>
    <col min="34" max="34" width="10.42578125" style="5" customWidth="1"/>
    <col min="35" max="35" width="65.42578125" customWidth="1"/>
    <col min="36" max="36" width="11" customWidth="1" outlineLevel="1"/>
    <col min="37" max="37" width="27.85546875" style="14" customWidth="1" outlineLevel="1"/>
    <col min="38" max="38" width="18.42578125" style="14" customWidth="1" outlineLevel="1"/>
    <col min="39" max="39" width="13.85546875" style="14" customWidth="1" outlineLevel="1"/>
    <col min="40" max="40" width="20.42578125" style="14" customWidth="1" outlineLevel="1"/>
    <col min="41" max="41" width="5.42578125" style="14" customWidth="1"/>
    <col min="42" max="42" width="10.42578125" style="14" customWidth="1" outlineLevel="1"/>
    <col min="43" max="43" width="7.8554687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2578125" hidden="1" customWidth="1" outlineLevel="3"/>
    <col min="57" max="57" width="11" hidden="1" customWidth="1" outlineLevel="2"/>
    <col min="58" max="58" width="38" hidden="1" customWidth="1" outlineLevel="2"/>
    <col min="59" max="59" width="11" customWidth="1" outlineLevel="1" collapsed="1"/>
    <col min="60" max="60" width="30.42578125" hidden="1" customWidth="1" outlineLevel="2"/>
    <col min="61" max="61" width="15.42578125" style="5" customWidth="1" outlineLevel="1" collapsed="1"/>
    <col min="62" max="62" width="10.42578125" style="5" hidden="1" customWidth="1" outlineLevel="3"/>
    <col min="63" max="63" width="7.85546875" style="5" hidden="1" customWidth="1" outlineLevel="2"/>
    <col min="64" max="64" width="7.85546875" style="5" hidden="1" customWidth="1" outlineLevel="3"/>
    <col min="65" max="65" width="7.85546875" style="5" hidden="1" customWidth="1" outlineLevel="2"/>
    <col min="66" max="66" width="7.85546875" style="5" hidden="1" customWidth="1" outlineLevel="3"/>
    <col min="67" max="67" width="7.85546875" style="5" hidden="1" customWidth="1" outlineLevel="2"/>
    <col min="68" max="68" width="7.85546875" style="5" hidden="1" customWidth="1" outlineLevel="3"/>
    <col min="69" max="69" width="7.85546875" style="5" hidden="1" customWidth="1" outlineLevel="2"/>
    <col min="70" max="70" width="21.42578125" style="5" hidden="1" customWidth="1" outlineLevel="3"/>
    <col min="71" max="71" width="7.85546875" style="5" hidden="1" customWidth="1" outlineLevel="2"/>
    <col min="72" max="72" width="15.42578125" style="5" hidden="1" customWidth="1" outlineLevel="3"/>
    <col min="73" max="73" width="7.85546875" style="5" hidden="1" customWidth="1" outlineLevel="2"/>
    <col min="74" max="75" width="7.85546875" style="5" hidden="1" customWidth="1" outlineLevel="3"/>
    <col min="76" max="77" width="34.42578125" style="5" hidden="1" customWidth="1" outlineLevel="2"/>
    <col min="78" max="78" width="23.42578125" style="5" customWidth="1" outlineLevel="1" collapsed="1"/>
    <col min="79" max="79" width="6.85546875" style="5" hidden="1" customWidth="1" outlineLevel="2"/>
    <col min="80" max="80" width="7.140625" style="5" customWidth="1" outlineLevel="1" collapsed="1"/>
    <col min="81" max="81" width="4.42578125" style="5" hidden="1" customWidth="1" outlineLevel="5"/>
    <col min="82" max="82" width="5.42578125" style="5" hidden="1" customWidth="1" outlineLevel="4"/>
    <col min="83" max="83" width="5.42578125" style="5" hidden="1" customWidth="1" outlineLevel="5"/>
    <col min="84" max="84" width="5.42578125" style="5" hidden="1" customWidth="1" outlineLevel="4"/>
    <col min="85" max="85" width="5.42578125" style="5" hidden="1" customWidth="1" outlineLevel="5"/>
    <col min="86" max="86" width="5.42578125" style="5" hidden="1" customWidth="1" outlineLevel="4"/>
    <col min="87" max="87" width="5.42578125" style="5" hidden="1" customWidth="1" outlineLevel="5"/>
    <col min="88" max="88" width="5.42578125" style="5" hidden="1" customWidth="1" outlineLevel="4"/>
    <col min="89" max="89" width="5.42578125" style="5" hidden="1" customWidth="1" outlineLevel="5"/>
    <col min="90" max="90" width="5.42578125" style="5" hidden="1" customWidth="1" outlineLevel="4"/>
    <col min="91" max="91" width="5.42578125" style="5" hidden="1" customWidth="1" outlineLevel="5"/>
    <col min="92" max="92" width="5.42578125" style="5" hidden="1" customWidth="1" outlineLevel="4"/>
    <col min="93" max="93" width="5.42578125" style="5" hidden="1" customWidth="1" outlineLevel="5"/>
    <col min="94" max="94" width="7.42578125" style="5" hidden="1" customWidth="1" outlineLevel="5"/>
    <col min="95" max="95" width="13.85546875" style="5" hidden="1" customWidth="1" outlineLevel="4"/>
    <col min="96" max="96" width="13.85546875" style="5" hidden="1" customWidth="1" outlineLevel="3"/>
    <col min="97" max="97" width="7" style="5" customWidth="1" outlineLevel="1" collapsed="1"/>
    <col min="98" max="98" width="9.42578125" style="5" customWidth="1" outlineLevel="1"/>
    <col min="99" max="99" width="5.42578125" style="5" customWidth="1"/>
    <col min="100" max="100" width="66.85546875" style="5" customWidth="1" outlineLevel="1"/>
    <col min="101" max="101" width="66.85546875" style="5" customWidth="1"/>
    <col min="102" max="102" width="37.42578125" style="5" customWidth="1" outlineLevel="1"/>
    <col min="103" max="103" width="37.42578125" style="5" customWidth="1"/>
    <col min="104" max="104" width="28.42578125" style="5" customWidth="1"/>
    <col min="105" max="105" width="30.42578125" style="5" customWidth="1"/>
    <col min="106" max="108" width="31.42578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3" s="14" t="s">
        <v>151</v>
      </c>
      <c r="AI3" s="14" t="s">
        <v>447</v>
      </c>
      <c r="AJ3" s="14" t="str">
        <f>meta_Rules[[#This Row],[Class:src]]&amp;"_"&amp;meta_Rules[[#This Row],[Feature]]&amp;"_"&amp;meta_Rules[[#This Row],[Kind]]</f>
        <v>__Derive</v>
      </c>
      <c r="AK3" s="14" t="str">
        <f>meta_Rules[[#This Row],[Rule Biz ID Without Line]]&amp;"_"&amp;meta_Rules[[#This Row],[Line]]</f>
        <v>__Derive_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5" outlineLevelRow="1" outlineLevelCol="2"/>
  <cols>
    <col min="1" max="1" width="23.140625" style="5" customWidth="1"/>
    <col min="2" max="2" width="23.140625" style="5" customWidth="1" outlineLevel="1"/>
    <col min="3" max="4" width="11" style="5"/>
    <col min="5" max="5" width="4" style="5" customWidth="1"/>
    <col min="6" max="6" width="17.42578125" style="5" hidden="1" customWidth="1" outlineLevel="2"/>
    <col min="7" max="7" width="11" style="5" hidden="1" customWidth="1" outlineLevel="1"/>
    <col min="8" max="8" width="20.42578125" style="5" bestFit="1" customWidth="1" collapsed="1"/>
    <col min="9" max="20" width="20.42578125" style="5" customWidth="1"/>
    <col min="21" max="21" width="135.140625" customWidth="1"/>
    <col min="22" max="22" width="10.42578125" style="7" bestFit="1" customWidth="1"/>
    <col min="23" max="16384" width="11" style="5"/>
  </cols>
  <sheetData>
    <row r="2" spans="1:22" ht="112.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5" outlineLevelRow="1" outlineLevelCol="1"/>
  <cols>
    <col min="1" max="1" width="23.140625" style="5" customWidth="1"/>
    <col min="2" max="2" width="23.140625" style="5" customWidth="1" outlineLevel="1"/>
    <col min="3" max="4" width="11" style="5"/>
    <col min="5" max="5" width="4" style="5" customWidth="1"/>
    <col min="6" max="6" width="17.42578125" style="5" hidden="1" customWidth="1" outlineLevel="1"/>
    <col min="7" max="7" width="11" style="5" customWidth="1" collapsed="1"/>
    <col min="8" max="8" width="11" style="5" customWidth="1"/>
    <col min="11" max="11" width="20.42578125" style="5" bestFit="1" customWidth="1"/>
    <col min="12" max="14" width="20.42578125" style="5" customWidth="1"/>
    <col min="15" max="20" width="18.140625" style="5" customWidth="1"/>
    <col min="21" max="23" width="20.42578125" style="5" customWidth="1"/>
    <col min="24" max="24" width="175.42578125" style="5" bestFit="1" customWidth="1"/>
    <col min="25" max="25" width="8.85546875" style="5" customWidth="1"/>
    <col min="28" max="28" width="135.140625" customWidth="1"/>
    <col min="29" max="29" width="124.42578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0.95"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55">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2578125" defaultRowHeight="15" outlineLevelCol="2"/>
  <cols>
    <col min="1" max="1" width="20.85546875" style="5" bestFit="1" customWidth="1"/>
    <col min="2" max="3" width="7.85546875" style="5" customWidth="1" outlineLevel="1"/>
    <col min="4" max="4" width="18" style="5" customWidth="1" outlineLevel="1"/>
    <col min="5" max="6" width="9.42578125" style="5" customWidth="1" outlineLevel="1"/>
    <col min="7" max="7" width="15.140625" style="5" customWidth="1" outlineLevel="2"/>
    <col min="8" max="8" width="37.140625" style="5" customWidth="1" outlineLevel="1"/>
    <col min="9" max="9" width="56.42578125" style="5" customWidth="1"/>
    <col min="10" max="10" width="31.42578125" style="7" customWidth="1" outlineLevel="1"/>
    <col min="11" max="11" width="31.42578125" style="5" customWidth="1" outlineLevel="1"/>
    <col min="12" max="12" width="8.85546875" style="7" customWidth="1" outlineLevel="1"/>
    <col min="13" max="13" width="18" style="7" customWidth="1" outlineLevel="1"/>
    <col min="14" max="14" width="10.85546875" style="7" customWidth="1" outlineLevel="1"/>
    <col min="15" max="15" width="11.42578125" style="7" customWidth="1" outlineLevel="1"/>
    <col min="16" max="27" width="11.42578125" style="5" customWidth="1" outlineLevel="1"/>
    <col min="28" max="16384" width="11.42578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2673</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30">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30">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30">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30">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30">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1764</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1765</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1766</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1767</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35">
      <c r="D56" s="8"/>
      <c r="E56" s="8"/>
      <c r="F56" s="8"/>
      <c r="G56" s="8"/>
      <c r="H56" s="89" t="str">
        <f>IF(belowred_Table1Rows[[#This Row],[Table 2 Ref:src]]="","",INDEX(belowred_Table2Rows[T2 Name:q],MATCH(belowred_Table1Rows[[#This Row],[Table 2 Ref:src]],belowred_Table2Rows[ID],0)))</f>
        <v/>
      </c>
      <c r="I56" s="60" t="s">
        <v>2634</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2636</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30">
      <c r="D59" s="8"/>
      <c r="E59" s="8"/>
      <c r="F59" s="8"/>
      <c r="G59" s="8"/>
      <c r="H59" s="89" t="str">
        <f>IF(belowred_Table1Rows[[#This Row],[Table 2 Ref:src]]="","",INDEX(belowred_Table2Rows[T2 Name:q],MATCH(belowred_Table1Rows[[#This Row],[Table 2 Ref:src]],belowred_Table2Rows[ID],0)))</f>
        <v/>
      </c>
      <c r="I59" s="60" t="s">
        <v>2637</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30">
      <c r="D60" s="8"/>
      <c r="E60" s="8"/>
      <c r="F60" s="8"/>
      <c r="G60" s="8"/>
      <c r="H60" s="89" t="str">
        <f>IF(belowred_Table1Rows[[#This Row],[Table 2 Ref:src]]="","",INDEX(belowred_Table2Rows[T2 Name:q],MATCH(belowred_Table1Rows[[#This Row],[Table 2 Ref:src]],belowred_Table2Rows[ID],0)))</f>
        <v/>
      </c>
      <c r="I60" s="60" t="s">
        <v>2638</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2639</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2640</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1"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2578125" defaultRowHeight="15" outlineLevelCol="1"/>
  <cols>
    <col min="2" max="2" width="11.42578125" customWidth="1" outlineLevel="1"/>
    <col min="3" max="3" width="17" customWidth="1"/>
    <col min="4" max="4" width="10.42578125" bestFit="1" customWidth="1"/>
    <col min="5" max="5" width="10.42578125" customWidth="1"/>
    <col min="6" max="6" width="17" customWidth="1"/>
    <col min="7" max="7" width="18.42578125" customWidth="1"/>
    <col min="8" max="8" width="16.42578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1760</v>
      </c>
      <c r="G3" t="str">
        <f>IF(
  TRIM(belowred_Table2Rows[[#This Row],[Package]])="",
          "",
          belowred_Table2Rows[[#This Row],[Package]]&amp;"::")
&amp;belowred_Table2Rows[[#This Row],[T2 Name]]</f>
        <v>belowred2::n7qwe</v>
      </c>
      <c r="H3" t="s">
        <v>65</v>
      </c>
      <c r="J3">
        <v>1</v>
      </c>
    </row>
    <row r="4" spans="1:10">
      <c r="A4" t="s">
        <v>58</v>
      </c>
      <c r="C4" t="s">
        <v>72</v>
      </c>
      <c r="D4" t="s">
        <v>143</v>
      </c>
      <c r="F4" t="s">
        <v>1761</v>
      </c>
      <c r="G4" t="str">
        <f>IF(
  TRIM(belowred_Table2Rows[[#This Row],[Package]])="",
          "",
          belowred_Table2Rows[[#This Row],[Package]]&amp;"::")
&amp;belowred_Table2Rows[[#This Row],[T2 Name]]</f>
        <v>belowred::n8qee</v>
      </c>
      <c r="H4" t="s">
        <v>66</v>
      </c>
      <c r="J4">
        <v>23</v>
      </c>
    </row>
    <row r="5" spans="1:10">
      <c r="A5" t="s">
        <v>59</v>
      </c>
      <c r="C5" t="s">
        <v>72</v>
      </c>
      <c r="D5" t="s">
        <v>143</v>
      </c>
      <c r="F5" t="s">
        <v>1762</v>
      </c>
      <c r="G5" t="str">
        <f>IF(
  TRIM(belowred_Table2Rows[[#This Row],[Package]])="",
          "",
          belowred_Table2Rows[[#This Row],[Package]]&amp;"::")
&amp;belowred_Table2Rows[[#This Row],[T2 Name]]</f>
        <v>belowred::n9qwe</v>
      </c>
      <c r="H5" t="s">
        <v>67</v>
      </c>
      <c r="J5">
        <v>45</v>
      </c>
    </row>
    <row r="6" spans="1:10">
      <c r="A6" t="s">
        <v>60</v>
      </c>
      <c r="C6" t="s">
        <v>72</v>
      </c>
      <c r="D6" t="s">
        <v>143</v>
      </c>
      <c r="F6" t="s">
        <v>1763</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5546875" defaultRowHeight="15" outlineLevelCol="1"/>
  <cols>
    <col min="3" max="3" width="14.42578125" bestFit="1" customWidth="1"/>
    <col min="4" max="4" width="14.42578125" hidden="1" customWidth="1" outlineLevel="1"/>
    <col min="5" max="5" width="12.42578125" bestFit="1" customWidth="1" collapsed="1"/>
    <col min="6" max="6" width="13.42578125" bestFit="1" customWidth="1"/>
    <col min="7" max="7" width="13" customWidth="1"/>
    <col min="8" max="8" width="10.42578125" customWidth="1"/>
    <col min="9" max="9" width="8.85546875" customWidth="1"/>
    <col min="10" max="10" width="16.42578125" customWidth="1"/>
    <col min="11" max="11" width="11" customWidth="1"/>
  </cols>
  <sheetData>
    <row r="5" spans="3:11" ht="15.75" thickBot="1"/>
    <row r="6" spans="3:11" ht="63.7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2578125" defaultRowHeight="15"/>
  <cols>
    <col min="8" max="8" width="29.85546875" customWidth="1"/>
  </cols>
  <sheetData>
    <row r="1" spans="1:8">
      <c r="A1" t="s">
        <v>0</v>
      </c>
      <c r="B1" t="s">
        <v>759</v>
      </c>
      <c r="C1" t="s">
        <v>760</v>
      </c>
      <c r="D1" t="s">
        <v>663</v>
      </c>
      <c r="E1" t="s">
        <v>761</v>
      </c>
      <c r="F1" t="s">
        <v>762</v>
      </c>
      <c r="H1" s="83" t="s">
        <v>763</v>
      </c>
    </row>
    <row r="2" spans="1:8" ht="30">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2578125" defaultRowHeight="15"/>
  <sheetData>
    <row r="1" spans="1:3">
      <c r="A1" t="s">
        <v>0</v>
      </c>
      <c r="B1" t="s">
        <v>2282</v>
      </c>
      <c r="C1" t="s">
        <v>2283</v>
      </c>
    </row>
    <row r="2" spans="1:3">
      <c r="A2" t="s">
        <v>2290</v>
      </c>
      <c r="C2" t="s">
        <v>6</v>
      </c>
    </row>
    <row r="3" spans="1:3">
      <c r="A3" t="s">
        <v>2299</v>
      </c>
      <c r="C3" t="s">
        <v>2300</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2025-06-16T06:42:05Z</dcterms:modified>
</cp:coreProperties>
</file>