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54e312b60f6066ea/20200319/20200319 PROJECTS/veri.excel/"/>
    </mc:Choice>
  </mc:AlternateContent>
  <xr:revisionPtr revIDLastSave="1830" documentId="8_{DE98C794-8499-4F3A-A97D-CFEADD4B44AD}" xr6:coauthVersionLast="47" xr6:coauthVersionMax="47" xr10:uidLastSave="{5E9E09C3-061C-4DCD-8D82-702C51593197}"/>
  <bookViews>
    <workbookView xWindow="-120" yWindow="-120" windowWidth="51840" windowHeight="21240" tabRatio="898" firstSheet="4" activeTab="10" xr2:uid="{00000000-000D-0000-FFFF-FFFF00000000}"/>
  </bookViews>
  <sheets>
    <sheet name="Portfolios" sheetId="45" r:id="rId1"/>
    <sheet name="Positions" sheetId="46" r:id="rId2"/>
    <sheet name="Securities" sheetId="47" r:id="rId3"/>
    <sheet name="Document Management" sheetId="20" r:id="rId4"/>
    <sheet name="Snippets" sheetId="92" r:id="rId5"/>
    <sheet name="Package Documentation" sheetId="42" r:id="rId6"/>
    <sheet name="Tables" sheetId="3" r:id="rId7"/>
    <sheet name="Columns" sheetId="22" r:id="rId8"/>
    <sheet name="Names" sheetId="115" r:id="rId9"/>
    <sheet name="Classifiers" sheetId="1" r:id="rId10"/>
    <sheet name="Property, Function, Parameter" sheetId="2" r:id="rId11"/>
    <sheet name="Literals" sheetId="5" r:id="rId12"/>
    <sheet name="Rules" sheetId="4" r:id="rId13"/>
    <sheet name="Table Patterns" sheetId="25" r:id="rId14"/>
    <sheet name="Code Templates" sheetId="26" r:id="rId15"/>
    <sheet name="Table 1 Rows" sheetId="6" r:id="rId16"/>
    <sheet name="Table 2 Rows" sheetId="7" r:id="rId17"/>
    <sheet name="My XYZ Table" sheetId="48" r:id="rId18"/>
    <sheet name="Simple Test Pattern" sheetId="49" r:id="rId19"/>
    <sheet name="New Table" sheetId="114" r:id="rId20"/>
  </sheets>
  <functionGroups builtInGroupCount="19"/>
  <definedNames>
    <definedName name="_xleta.AND" hidden="1" xlm="1">#NAME?</definedName>
    <definedName name="_xleta.IF" hidden="1" xlm="1">#NAME?</definedName>
    <definedName name="_xleta.INDEX" hidden="1" xlm="1">#NAME?</definedName>
    <definedName name="_xleta.INDIRECT" hidden="1" xlm="1">#NAME?</definedName>
    <definedName name="_xleta.LEFT" hidden="1" xlm="1">#NAME?</definedName>
    <definedName name="_xleta.LOWER" hidden="1" xlm="1">#NAME?</definedName>
    <definedName name="_xleta.REPLACE" hidden="1" xlm="1">#NAME?</definedName>
    <definedName name="_xleta.RIGH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K58" i="2" l="1"/>
  <c r="K59" i="2"/>
  <c r="K60" i="2"/>
  <c r="K61" i="2"/>
  <c r="K62" i="2"/>
  <c r="K63" i="2"/>
  <c r="K64" i="2"/>
  <c r="K65" i="2"/>
  <c r="K66" i="2"/>
  <c r="K67" i="2"/>
  <c r="K68" i="2"/>
  <c r="K69" i="2"/>
  <c r="K70"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AQ81" i="2"/>
  <c r="AQ60" i="2"/>
  <c r="AT2" i="2"/>
  <c r="AT3" i="2"/>
  <c r="AT4" i="2"/>
  <c r="AT5" i="2"/>
  <c r="AT6" i="2"/>
  <c r="AT7" i="2"/>
  <c r="AT8" i="2"/>
  <c r="AT9" i="2"/>
  <c r="AT10" i="2"/>
  <c r="AT11" i="2"/>
  <c r="AT12" i="2"/>
  <c r="AT13" i="2"/>
  <c r="AT14" i="2"/>
  <c r="AT15" i="2"/>
  <c r="AT16" i="2"/>
  <c r="AT17" i="2"/>
  <c r="AT18" i="2"/>
  <c r="AT19" i="2"/>
  <c r="AT20" i="2"/>
  <c r="AT21" i="2"/>
  <c r="AT22" i="2"/>
  <c r="AT23" i="2"/>
  <c r="AT24" i="2"/>
  <c r="AT25" i="2"/>
  <c r="AT26" i="2"/>
  <c r="AT27" i="2"/>
  <c r="AT28" i="2"/>
  <c r="AT29" i="2"/>
  <c r="AT30" i="2"/>
  <c r="AT31" i="2"/>
  <c r="AT32" i="2"/>
  <c r="AT33" i="2"/>
  <c r="AT34" i="2"/>
  <c r="AT35" i="2"/>
  <c r="AT36" i="2"/>
  <c r="AT37" i="2"/>
  <c r="AT38" i="2"/>
  <c r="AT39" i="2"/>
  <c r="AT40" i="2"/>
  <c r="AT41" i="2"/>
  <c r="AT42" i="2"/>
  <c r="AT43" i="2"/>
  <c r="AT44" i="2"/>
  <c r="AT45" i="2"/>
  <c r="AT46" i="2"/>
  <c r="AT47" i="2"/>
  <c r="AT48" i="2"/>
  <c r="AT49" i="2"/>
  <c r="AT50" i="2"/>
  <c r="AT51" i="2"/>
  <c r="AT52" i="2"/>
  <c r="AT53" i="2"/>
  <c r="AT54" i="2"/>
  <c r="AT55" i="2"/>
  <c r="AT56" i="2"/>
  <c r="AT57" i="2"/>
  <c r="AT58" i="2"/>
  <c r="AT59" i="2"/>
  <c r="AT60" i="2"/>
  <c r="AT61" i="2"/>
  <c r="AT62" i="2"/>
  <c r="AT63" i="2"/>
  <c r="AT64" i="2"/>
  <c r="AT65" i="2"/>
  <c r="AT66" i="2"/>
  <c r="AT67" i="2"/>
  <c r="AT68" i="2"/>
  <c r="AT69" i="2"/>
  <c r="AT70" i="2"/>
  <c r="AT71" i="2"/>
  <c r="AT72" i="2"/>
  <c r="AT73" i="2"/>
  <c r="AT74" i="2"/>
  <c r="AT75" i="2"/>
  <c r="AT76" i="2"/>
  <c r="AT77" i="2"/>
  <c r="AT78" i="2"/>
  <c r="AT79" i="2"/>
  <c r="AT80" i="2"/>
  <c r="AT81" i="2"/>
  <c r="AT82" i="2"/>
  <c r="AT83" i="2"/>
  <c r="AT84" i="2"/>
  <c r="AT85" i="2"/>
  <c r="AT86" i="2"/>
  <c r="AT87" i="2"/>
  <c r="AT88" i="2"/>
  <c r="AT89" i="2"/>
  <c r="AT90" i="2"/>
  <c r="AT91" i="2"/>
  <c r="AT92" i="2"/>
  <c r="AT93" i="2"/>
  <c r="AT94" i="2"/>
  <c r="AT95" i="2"/>
  <c r="AT96" i="2"/>
  <c r="AT97" i="2"/>
  <c r="AT98" i="2"/>
  <c r="AT99" i="2"/>
  <c r="AT100" i="2"/>
  <c r="AW3" i="2"/>
  <c r="AW5" i="2"/>
  <c r="AW6" i="2"/>
  <c r="AW7" i="2"/>
  <c r="AW8" i="2"/>
  <c r="AW9" i="2"/>
  <c r="AW10" i="2"/>
  <c r="AW11" i="2"/>
  <c r="AW12" i="2"/>
  <c r="AW13" i="2"/>
  <c r="AW20" i="2"/>
  <c r="AW22" i="2"/>
  <c r="AW24" i="2"/>
  <c r="AW28" i="2"/>
  <c r="AW29" i="2"/>
  <c r="AW30" i="2"/>
  <c r="AW32" i="2"/>
  <c r="AW33" i="2"/>
  <c r="AW34" i="2"/>
  <c r="AW36" i="2"/>
  <c r="AW37" i="2"/>
  <c r="AW38" i="2"/>
  <c r="AW42" i="2"/>
  <c r="AW50" i="2"/>
  <c r="AW51" i="2"/>
  <c r="AW52" i="2"/>
  <c r="AW53"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6" i="2"/>
  <c r="AW87" i="2"/>
  <c r="AW88" i="2"/>
  <c r="AW89" i="2"/>
  <c r="AW90" i="2"/>
  <c r="AW91" i="2"/>
  <c r="AW92" i="2"/>
  <c r="AW93" i="2"/>
  <c r="AW94" i="2"/>
  <c r="AW95" i="2"/>
  <c r="AW96" i="2"/>
  <c r="AW97" i="2"/>
  <c r="AW98" i="2"/>
  <c r="AW99" i="2"/>
  <c r="AW100" i="2"/>
  <c r="AW2" i="2"/>
  <c r="C392" i="22"/>
  <c r="F392" i="22"/>
  <c r="G392" i="22"/>
  <c r="D392" i="22" s="1"/>
  <c r="I392" i="22"/>
  <c r="K392" i="22"/>
  <c r="P392" i="22"/>
  <c r="S392" i="22"/>
  <c r="AL392" i="22" s="1"/>
  <c r="Z392" i="22"/>
  <c r="Y392" i="22" s="1"/>
  <c r="X392" i="22" s="1"/>
  <c r="W392" i="22" s="1"/>
  <c r="V392" i="22" s="1"/>
  <c r="U392" i="22" s="1"/>
  <c r="AW392" i="22"/>
  <c r="AU392" i="22" s="1"/>
  <c r="BA392" i="22"/>
  <c r="AY392" i="22" s="1"/>
  <c r="BC392" i="22"/>
  <c r="N392" i="22" s="1"/>
  <c r="AW3" i="22"/>
  <c r="AW4" i="22"/>
  <c r="AW5" i="22"/>
  <c r="AW6" i="22"/>
  <c r="AW7" i="22"/>
  <c r="AW8" i="22"/>
  <c r="AW9" i="22"/>
  <c r="AW10" i="22"/>
  <c r="AW11" i="22"/>
  <c r="AW12" i="22"/>
  <c r="AW13" i="22"/>
  <c r="AW14" i="22"/>
  <c r="AW15" i="22"/>
  <c r="AW16" i="22"/>
  <c r="AW17" i="22"/>
  <c r="AW18" i="22"/>
  <c r="AW19" i="22"/>
  <c r="AW20" i="22"/>
  <c r="AW21" i="22"/>
  <c r="AW22" i="22"/>
  <c r="AW23" i="22"/>
  <c r="AW24" i="22"/>
  <c r="AW25" i="22"/>
  <c r="AW26" i="22"/>
  <c r="AW27" i="22"/>
  <c r="AW28" i="22"/>
  <c r="AW29" i="22"/>
  <c r="AW30" i="22"/>
  <c r="AW31" i="22"/>
  <c r="AW32" i="22"/>
  <c r="AW33" i="22"/>
  <c r="AW34" i="22"/>
  <c r="AW35" i="22"/>
  <c r="AW36" i="22"/>
  <c r="AW37" i="22"/>
  <c r="AW38" i="22"/>
  <c r="AW39" i="22"/>
  <c r="AW40" i="22"/>
  <c r="AW41" i="22"/>
  <c r="AW42" i="22"/>
  <c r="AW43" i="22"/>
  <c r="AW44" i="22"/>
  <c r="AW45" i="22"/>
  <c r="AW46" i="22"/>
  <c r="AW47" i="22"/>
  <c r="AW48" i="22"/>
  <c r="AW49" i="22"/>
  <c r="AW50" i="22"/>
  <c r="AW51" i="22"/>
  <c r="AW52" i="22"/>
  <c r="AW53" i="22"/>
  <c r="AW54" i="22"/>
  <c r="AW55" i="22"/>
  <c r="AW56" i="22"/>
  <c r="AW57" i="22"/>
  <c r="AW58" i="22"/>
  <c r="AW59" i="22"/>
  <c r="AW60" i="22"/>
  <c r="AW61" i="22"/>
  <c r="AW62" i="22"/>
  <c r="AW63" i="22"/>
  <c r="AW64" i="22"/>
  <c r="AW65" i="22"/>
  <c r="AW66" i="22"/>
  <c r="AW67" i="22"/>
  <c r="AW68" i="22"/>
  <c r="AW69" i="22"/>
  <c r="AW70" i="22"/>
  <c r="AW71" i="22"/>
  <c r="AW72" i="22"/>
  <c r="AW73" i="22"/>
  <c r="AW74" i="22"/>
  <c r="AW75" i="22"/>
  <c r="AW76" i="22"/>
  <c r="AW77" i="22"/>
  <c r="AW78" i="22"/>
  <c r="AW79" i="22"/>
  <c r="AW80" i="22"/>
  <c r="AW81" i="22"/>
  <c r="AW82" i="22"/>
  <c r="AW83" i="22"/>
  <c r="AW84" i="22"/>
  <c r="AW85" i="22"/>
  <c r="AW86" i="22"/>
  <c r="AW87" i="22"/>
  <c r="AW88" i="22"/>
  <c r="AW89" i="22"/>
  <c r="AW90" i="22"/>
  <c r="AW91" i="22"/>
  <c r="AW92" i="22"/>
  <c r="AW93" i="22"/>
  <c r="AW94" i="22"/>
  <c r="AW95" i="22"/>
  <c r="AW96" i="22"/>
  <c r="AW97" i="22"/>
  <c r="AW98" i="22"/>
  <c r="AW99" i="22"/>
  <c r="AW100" i="22"/>
  <c r="AW101" i="22"/>
  <c r="AW102" i="22"/>
  <c r="AW103" i="22"/>
  <c r="AW104" i="22"/>
  <c r="AW105" i="22"/>
  <c r="AW106" i="22"/>
  <c r="AW107" i="22"/>
  <c r="AW108" i="22"/>
  <c r="AW109" i="22"/>
  <c r="AW110" i="22"/>
  <c r="AW111" i="22"/>
  <c r="AW112" i="22"/>
  <c r="AW113" i="22"/>
  <c r="AW114" i="22"/>
  <c r="AW115" i="22"/>
  <c r="AW116" i="22"/>
  <c r="AW117" i="22"/>
  <c r="AW118" i="22"/>
  <c r="AW119" i="22"/>
  <c r="AW120" i="22"/>
  <c r="AW121" i="22"/>
  <c r="AW122" i="22"/>
  <c r="AW123" i="22"/>
  <c r="AW124" i="22"/>
  <c r="AW125" i="22"/>
  <c r="AW126" i="22"/>
  <c r="AW127" i="22"/>
  <c r="AW128" i="22"/>
  <c r="AW129" i="22"/>
  <c r="AW130" i="22"/>
  <c r="AW131" i="22"/>
  <c r="AW132" i="22"/>
  <c r="AW133" i="22"/>
  <c r="AW134" i="22"/>
  <c r="AW135" i="22"/>
  <c r="AW136" i="22"/>
  <c r="AW137" i="22"/>
  <c r="AW138" i="22"/>
  <c r="AW139" i="22"/>
  <c r="AW140" i="22"/>
  <c r="AW141" i="22"/>
  <c r="AW142" i="22"/>
  <c r="AW143" i="22"/>
  <c r="AW144" i="22"/>
  <c r="AW145" i="22"/>
  <c r="AW146" i="22"/>
  <c r="AW147" i="22"/>
  <c r="AW148" i="22"/>
  <c r="AW149" i="22"/>
  <c r="AW150" i="22"/>
  <c r="AW151" i="22"/>
  <c r="AW152" i="22"/>
  <c r="AW153" i="22"/>
  <c r="AW154" i="22"/>
  <c r="AW155" i="22"/>
  <c r="AW156" i="22"/>
  <c r="AW157" i="22"/>
  <c r="AW158" i="22"/>
  <c r="AW159" i="22"/>
  <c r="AW160" i="22"/>
  <c r="AW161" i="22"/>
  <c r="AW162" i="22"/>
  <c r="AW163" i="22"/>
  <c r="AW164" i="22"/>
  <c r="AW165" i="22"/>
  <c r="AW166" i="22"/>
  <c r="AW167" i="22"/>
  <c r="AW168" i="22"/>
  <c r="AW169" i="22"/>
  <c r="AW170" i="22"/>
  <c r="AW171" i="22"/>
  <c r="AW172" i="22"/>
  <c r="AW173" i="22"/>
  <c r="AW174" i="22"/>
  <c r="AW175" i="22"/>
  <c r="AW176" i="22"/>
  <c r="AW177" i="22"/>
  <c r="AW178" i="22"/>
  <c r="AW179" i="22"/>
  <c r="AW180" i="22"/>
  <c r="AW181" i="22"/>
  <c r="AW182" i="22"/>
  <c r="AW183" i="22"/>
  <c r="AW184" i="22"/>
  <c r="AW185" i="22"/>
  <c r="AW186" i="22"/>
  <c r="AW187" i="22"/>
  <c r="AW188" i="22"/>
  <c r="AW189" i="22"/>
  <c r="AW190" i="22"/>
  <c r="AW191" i="22"/>
  <c r="AW192" i="22"/>
  <c r="AW193" i="22"/>
  <c r="AW194" i="22"/>
  <c r="AW195" i="22"/>
  <c r="AW196" i="22"/>
  <c r="AW197" i="22"/>
  <c r="AW198" i="22"/>
  <c r="AW199" i="22"/>
  <c r="AW200" i="22"/>
  <c r="AW201" i="22"/>
  <c r="AW202" i="22"/>
  <c r="AW203" i="22"/>
  <c r="AW204" i="22"/>
  <c r="AW205" i="22"/>
  <c r="AW206" i="22"/>
  <c r="AW207" i="22"/>
  <c r="AW208" i="22"/>
  <c r="AW209" i="22"/>
  <c r="AW210" i="22"/>
  <c r="AW211" i="22"/>
  <c r="AW212" i="22"/>
  <c r="AW213" i="22"/>
  <c r="AW214" i="22"/>
  <c r="AW215" i="22"/>
  <c r="AW216" i="22"/>
  <c r="AW217" i="22"/>
  <c r="AW218" i="22"/>
  <c r="AW219" i="22"/>
  <c r="AW220" i="22"/>
  <c r="AW221" i="22"/>
  <c r="AW222" i="22"/>
  <c r="AW223" i="22"/>
  <c r="AW224" i="22"/>
  <c r="AW225" i="22"/>
  <c r="AW226" i="22"/>
  <c r="AW227" i="22"/>
  <c r="AW228" i="22"/>
  <c r="AW229" i="22"/>
  <c r="AW230" i="22"/>
  <c r="AW231" i="22"/>
  <c r="AW232" i="22"/>
  <c r="AW233" i="22"/>
  <c r="AW234" i="22"/>
  <c r="AW235" i="22"/>
  <c r="AW236" i="22"/>
  <c r="AW237" i="22"/>
  <c r="AW238" i="22"/>
  <c r="AW239" i="22"/>
  <c r="AW240" i="22"/>
  <c r="AW241" i="22"/>
  <c r="AW242" i="22"/>
  <c r="AW243" i="22"/>
  <c r="AW244" i="22"/>
  <c r="AW245" i="22"/>
  <c r="AW246" i="22"/>
  <c r="AW247" i="22"/>
  <c r="AW248" i="22"/>
  <c r="AW249" i="22"/>
  <c r="AW250" i="22"/>
  <c r="AW251" i="22"/>
  <c r="AW252" i="22"/>
  <c r="AW253" i="22"/>
  <c r="AW254" i="22"/>
  <c r="AW255" i="22"/>
  <c r="AW256" i="22"/>
  <c r="AW257" i="22"/>
  <c r="AW258" i="22"/>
  <c r="AW259" i="22"/>
  <c r="AW260" i="22"/>
  <c r="AW261" i="22"/>
  <c r="AW262" i="22"/>
  <c r="AW263" i="22"/>
  <c r="AW264" i="22"/>
  <c r="AW265" i="22"/>
  <c r="AW266" i="22"/>
  <c r="AW267" i="22"/>
  <c r="AW268" i="22"/>
  <c r="AW269" i="22"/>
  <c r="AW270" i="22"/>
  <c r="AW271" i="22"/>
  <c r="AW272" i="22"/>
  <c r="AW273" i="22"/>
  <c r="AW274" i="22"/>
  <c r="AW275" i="22"/>
  <c r="AW276" i="22"/>
  <c r="AW277" i="22"/>
  <c r="AW278" i="22"/>
  <c r="AW279" i="22"/>
  <c r="AW280" i="22"/>
  <c r="AW281" i="22"/>
  <c r="AW282" i="22"/>
  <c r="AW283" i="22"/>
  <c r="AW284" i="22"/>
  <c r="AW285" i="22"/>
  <c r="AW286" i="22"/>
  <c r="AW287" i="22"/>
  <c r="AW288" i="22"/>
  <c r="AW289" i="22"/>
  <c r="AW290" i="22"/>
  <c r="AW291" i="22"/>
  <c r="AW292" i="22"/>
  <c r="AW293" i="22"/>
  <c r="AW294" i="22"/>
  <c r="AW295" i="22"/>
  <c r="AW296" i="22"/>
  <c r="AW297" i="22"/>
  <c r="AW298" i="22"/>
  <c r="AW299" i="22"/>
  <c r="AW300" i="22"/>
  <c r="AW301" i="22"/>
  <c r="AW302" i="22"/>
  <c r="AW303" i="22"/>
  <c r="AW304" i="22"/>
  <c r="AW305" i="22"/>
  <c r="AW306" i="22"/>
  <c r="AW307" i="22"/>
  <c r="AW308" i="22"/>
  <c r="AW309" i="22"/>
  <c r="AW310" i="22"/>
  <c r="AW311" i="22"/>
  <c r="AW312" i="22"/>
  <c r="AW313" i="22"/>
  <c r="AW314" i="22"/>
  <c r="AW315" i="22"/>
  <c r="AW316" i="22"/>
  <c r="AW317" i="22"/>
  <c r="AW318" i="22"/>
  <c r="AW319" i="22"/>
  <c r="AW320" i="22"/>
  <c r="AW321" i="22"/>
  <c r="AW322" i="22"/>
  <c r="AW323" i="22"/>
  <c r="AW324" i="22"/>
  <c r="AW325" i="22"/>
  <c r="AW326" i="22"/>
  <c r="AW327" i="22"/>
  <c r="AW328" i="22"/>
  <c r="AW329" i="22"/>
  <c r="AW330" i="22"/>
  <c r="AW331" i="22"/>
  <c r="AW332" i="22"/>
  <c r="AW333" i="22"/>
  <c r="AW334" i="22"/>
  <c r="AW335" i="22"/>
  <c r="AW336" i="22"/>
  <c r="AW337" i="22"/>
  <c r="AW338" i="22"/>
  <c r="AW339" i="22"/>
  <c r="AW340" i="22"/>
  <c r="AW341" i="22"/>
  <c r="AW342" i="22"/>
  <c r="AW343" i="22"/>
  <c r="AW344" i="22"/>
  <c r="AW345" i="22"/>
  <c r="AW346" i="22"/>
  <c r="AW347" i="22"/>
  <c r="AW348" i="22"/>
  <c r="AW349" i="22"/>
  <c r="AW350" i="22"/>
  <c r="AW351" i="22"/>
  <c r="AW352" i="22"/>
  <c r="AW353" i="22"/>
  <c r="AW354" i="22"/>
  <c r="AW355" i="22"/>
  <c r="AW356" i="22"/>
  <c r="AW357" i="22"/>
  <c r="AW358" i="22"/>
  <c r="AW359" i="22"/>
  <c r="AU359" i="22" s="1"/>
  <c r="AW360" i="22"/>
  <c r="AU360" i="22" s="1"/>
  <c r="AW361" i="22"/>
  <c r="AU361" i="22" s="1"/>
  <c r="AW362" i="22"/>
  <c r="AU362" i="22" s="1"/>
  <c r="AS362" i="22" s="1"/>
  <c r="AW363" i="22"/>
  <c r="AW364" i="22"/>
  <c r="AW365" i="22"/>
  <c r="AW366" i="22"/>
  <c r="AW367" i="22"/>
  <c r="AW368" i="22"/>
  <c r="AW369" i="22"/>
  <c r="AW370" i="22"/>
  <c r="AW371" i="22"/>
  <c r="AW372" i="22"/>
  <c r="AW373" i="22"/>
  <c r="AW374" i="22"/>
  <c r="AW375" i="22"/>
  <c r="AW376" i="22"/>
  <c r="AW377" i="22"/>
  <c r="AW378" i="22"/>
  <c r="AW379" i="22"/>
  <c r="AW380" i="22"/>
  <c r="AW381" i="22"/>
  <c r="AW382" i="22"/>
  <c r="AW383" i="22"/>
  <c r="AW384" i="22"/>
  <c r="AW385" i="22"/>
  <c r="AW386" i="22"/>
  <c r="AW387" i="22"/>
  <c r="AW388" i="22"/>
  <c r="AW389" i="22"/>
  <c r="AW390" i="22"/>
  <c r="AW391" i="22"/>
  <c r="AW393" i="22"/>
  <c r="AW394" i="22"/>
  <c r="AW395" i="22"/>
  <c r="AW396" i="22"/>
  <c r="AW397" i="22"/>
  <c r="AW398" i="22"/>
  <c r="AW399" i="22"/>
  <c r="AW400" i="22"/>
  <c r="AW401" i="22"/>
  <c r="AW402" i="22"/>
  <c r="AW403" i="22"/>
  <c r="AW404" i="22"/>
  <c r="AW405" i="22"/>
  <c r="AW406" i="22"/>
  <c r="AW407" i="22"/>
  <c r="AW408" i="22"/>
  <c r="AW409" i="22"/>
  <c r="AW410" i="22"/>
  <c r="AW411" i="22"/>
  <c r="AW412" i="22"/>
  <c r="AW413" i="22"/>
  <c r="AW414" i="22"/>
  <c r="AW415" i="22"/>
  <c r="AW416" i="22"/>
  <c r="AW417" i="22"/>
  <c r="AW418" i="22"/>
  <c r="AW419" i="22"/>
  <c r="AW420" i="22"/>
  <c r="AW421" i="22"/>
  <c r="AW422" i="22"/>
  <c r="C359" i="22"/>
  <c r="F359" i="22"/>
  <c r="G359" i="22"/>
  <c r="Z359" i="22" s="1"/>
  <c r="Y359" i="22" s="1"/>
  <c r="X359" i="22" s="1"/>
  <c r="W359" i="22" s="1"/>
  <c r="V359" i="22" s="1"/>
  <c r="U359" i="22" s="1"/>
  <c r="I359" i="22"/>
  <c r="K359" i="22"/>
  <c r="P359" i="22"/>
  <c r="S359" i="22"/>
  <c r="AJ359" i="22" s="1"/>
  <c r="BC359" i="22"/>
  <c r="N359" i="22" s="1"/>
  <c r="C360" i="22"/>
  <c r="F360" i="22"/>
  <c r="G360" i="22"/>
  <c r="Z360" i="22" s="1"/>
  <c r="Y360" i="22" s="1"/>
  <c r="X360" i="22" s="1"/>
  <c r="W360" i="22" s="1"/>
  <c r="V360" i="22" s="1"/>
  <c r="U360" i="22" s="1"/>
  <c r="I360" i="22"/>
  <c r="K360" i="22"/>
  <c r="P360" i="22"/>
  <c r="S360" i="22"/>
  <c r="AJ360" i="22" s="1"/>
  <c r="BC360" i="22"/>
  <c r="N360" i="22" s="1"/>
  <c r="C361" i="22"/>
  <c r="F361" i="22"/>
  <c r="G361" i="22"/>
  <c r="Z361" i="22" s="1"/>
  <c r="Y361" i="22" s="1"/>
  <c r="X361" i="22" s="1"/>
  <c r="W361" i="22" s="1"/>
  <c r="V361" i="22" s="1"/>
  <c r="U361" i="22" s="1"/>
  <c r="I361" i="22"/>
  <c r="K361" i="22"/>
  <c r="P361" i="22"/>
  <c r="S361" i="22"/>
  <c r="AI361" i="22" s="1"/>
  <c r="BC361" i="22"/>
  <c r="N361" i="22" s="1"/>
  <c r="C362" i="22"/>
  <c r="F362" i="22"/>
  <c r="G362" i="22"/>
  <c r="Z362" i="22" s="1"/>
  <c r="Y362" i="22" s="1"/>
  <c r="X362" i="22" s="1"/>
  <c r="W362" i="22" s="1"/>
  <c r="V362" i="22" s="1"/>
  <c r="U362" i="22" s="1"/>
  <c r="I362" i="22"/>
  <c r="K362" i="22"/>
  <c r="P362" i="22"/>
  <c r="S362" i="22"/>
  <c r="AI362" i="22" s="1"/>
  <c r="BC362" i="22"/>
  <c r="N362" i="22" s="1"/>
  <c r="C4" i="25"/>
  <c r="C3" i="25"/>
  <c r="Q3" i="4"/>
  <c r="O3" i="4" s="1"/>
  <c r="Q4" i="4"/>
  <c r="O4" i="4" s="1"/>
  <c r="Q5" i="4"/>
  <c r="O5" i="4" s="1"/>
  <c r="G2" i="4"/>
  <c r="I2" i="4"/>
  <c r="K2" i="4"/>
  <c r="M2" i="4"/>
  <c r="O2" i="4"/>
  <c r="Q2" i="4"/>
  <c r="T2" i="4"/>
  <c r="T3" i="4"/>
  <c r="T4" i="4"/>
  <c r="T5" i="4"/>
  <c r="C3" i="4"/>
  <c r="C4" i="4"/>
  <c r="C5" i="4"/>
  <c r="C2" i="4"/>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2" i="5"/>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5" i="6"/>
  <c r="C5" i="42"/>
  <c r="S382" i="22"/>
  <c r="AQ3" i="2"/>
  <c r="AQ4" i="2"/>
  <c r="AQ5" i="2"/>
  <c r="AQ6" i="2"/>
  <c r="AQ7"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1" i="2"/>
  <c r="AQ62" i="2"/>
  <c r="AQ64" i="2"/>
  <c r="AQ65" i="2"/>
  <c r="AQ67" i="2"/>
  <c r="AQ68" i="2"/>
  <c r="AQ70" i="2"/>
  <c r="AQ71" i="2"/>
  <c r="AQ73" i="2"/>
  <c r="AQ74" i="2"/>
  <c r="AQ76" i="2"/>
  <c r="AQ77" i="2"/>
  <c r="AQ79" i="2"/>
  <c r="AQ80" i="2"/>
  <c r="AQ82" i="2"/>
  <c r="AQ83" i="2"/>
  <c r="AQ84" i="2"/>
  <c r="AQ85" i="2"/>
  <c r="AQ86" i="2"/>
  <c r="AQ87" i="2"/>
  <c r="AQ88" i="2"/>
  <c r="AQ89" i="2"/>
  <c r="AQ90" i="2"/>
  <c r="AQ91" i="2"/>
  <c r="AQ92" i="2"/>
  <c r="AQ93" i="2"/>
  <c r="AQ94" i="2"/>
  <c r="AQ95" i="2"/>
  <c r="AQ96" i="2"/>
  <c r="AQ97" i="2"/>
  <c r="AQ98" i="2"/>
  <c r="AQ99" i="2"/>
  <c r="AQ100" i="2"/>
  <c r="AN3"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2" i="2"/>
  <c r="AL3" i="2"/>
  <c r="AL4" i="2"/>
  <c r="AL5" i="2"/>
  <c r="AL6" i="2"/>
  <c r="AL7" i="2"/>
  <c r="AL8" i="2"/>
  <c r="AL9" i="2"/>
  <c r="AL10" i="2"/>
  <c r="AL11" i="2"/>
  <c r="AL12" i="2"/>
  <c r="AL13" i="2"/>
  <c r="AL14" i="2"/>
  <c r="AL15" i="2"/>
  <c r="AL16" i="2"/>
  <c r="AL17" i="2"/>
  <c r="AL18" i="2"/>
  <c r="AL19" i="2"/>
  <c r="AL20" i="2"/>
  <c r="AL21" i="2"/>
  <c r="AL22" i="2"/>
  <c r="AL23" i="2"/>
  <c r="AL24"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3" i="2"/>
  <c r="AL95" i="2"/>
  <c r="AL96" i="2"/>
  <c r="AL97" i="2"/>
  <c r="AL98" i="2"/>
  <c r="AL99" i="2"/>
  <c r="AL100" i="2"/>
  <c r="AH26" i="2"/>
  <c r="AH56" i="2"/>
  <c r="AH57" i="2"/>
  <c r="AH58" i="2"/>
  <c r="AH60" i="2"/>
  <c r="AH63" i="2"/>
  <c r="AH66" i="2"/>
  <c r="AH69" i="2"/>
  <c r="AH72" i="2"/>
  <c r="AH75" i="2"/>
  <c r="AH78" i="2"/>
  <c r="AH80" i="2"/>
  <c r="AH83" i="2"/>
  <c r="J33"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AH2"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8" i="2"/>
  <c r="L59" i="2"/>
  <c r="L61" i="2"/>
  <c r="L62" i="2"/>
  <c r="L64" i="2"/>
  <c r="L65" i="2"/>
  <c r="L67" i="2"/>
  <c r="L68" i="2"/>
  <c r="L70" i="2"/>
  <c r="L71" i="2"/>
  <c r="L73" i="2"/>
  <c r="L74" i="2"/>
  <c r="L76" i="2"/>
  <c r="L77" i="2"/>
  <c r="L79" i="2"/>
  <c r="L80" i="2"/>
  <c r="L82" i="2"/>
  <c r="L83" i="2"/>
  <c r="L84" i="2"/>
  <c r="L85" i="2"/>
  <c r="L86" i="2"/>
  <c r="L87" i="2"/>
  <c r="L88" i="2"/>
  <c r="L89" i="2"/>
  <c r="L90" i="2"/>
  <c r="L91" i="2"/>
  <c r="L92" i="2"/>
  <c r="L93" i="2"/>
  <c r="L94" i="2"/>
  <c r="L95" i="2"/>
  <c r="L96" i="2"/>
  <c r="L97" i="2"/>
  <c r="L98" i="2"/>
  <c r="L99" i="2"/>
  <c r="L100" i="2"/>
  <c r="AQ2" i="2"/>
  <c r="S338" i="22"/>
  <c r="S4" i="1"/>
  <c r="S3"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2" i="1"/>
  <c r="Q63" i="1"/>
  <c r="Q64" i="1"/>
  <c r="Q65" i="1"/>
  <c r="Q3" i="1"/>
  <c r="AY2" i="2"/>
  <c r="AY3" i="2"/>
  <c r="AY5" i="2"/>
  <c r="AY6" i="2"/>
  <c r="AY7" i="2"/>
  <c r="AY8" i="2"/>
  <c r="AY9" i="2"/>
  <c r="AY10" i="2"/>
  <c r="AY11" i="2"/>
  <c r="AY12" i="2"/>
  <c r="AY13" i="2"/>
  <c r="AY22" i="2"/>
  <c r="AY24" i="2"/>
  <c r="AY28" i="2"/>
  <c r="AY29" i="2"/>
  <c r="AY30" i="2"/>
  <c r="AY32" i="2"/>
  <c r="AY33" i="2"/>
  <c r="AY34" i="2"/>
  <c r="AY36" i="2"/>
  <c r="AY37" i="2"/>
  <c r="AY38" i="2"/>
  <c r="AY42" i="2"/>
  <c r="AY50" i="2"/>
  <c r="AY51" i="2"/>
  <c r="AY52" i="2"/>
  <c r="AY53"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AY82" i="2"/>
  <c r="AY83" i="2"/>
  <c r="AY84" i="2"/>
  <c r="AY86" i="2"/>
  <c r="AY87" i="2"/>
  <c r="AY88" i="2"/>
  <c r="AY89" i="2"/>
  <c r="AY90" i="2"/>
  <c r="AY91" i="2"/>
  <c r="AY93" i="2"/>
  <c r="AY94" i="2"/>
  <c r="AY95" i="2"/>
  <c r="AY96" i="2"/>
  <c r="AY97" i="2"/>
  <c r="AY98" i="2"/>
  <c r="AY99" i="2"/>
  <c r="AY100" i="2"/>
  <c r="AZ2" i="2"/>
  <c r="AZ3" i="2"/>
  <c r="AZ5" i="2"/>
  <c r="AZ6" i="2"/>
  <c r="AZ7" i="2"/>
  <c r="AZ8" i="2"/>
  <c r="AZ9" i="2"/>
  <c r="AZ10" i="2"/>
  <c r="AZ11" i="2"/>
  <c r="AZ12" i="2"/>
  <c r="AZ13" i="2"/>
  <c r="AZ22" i="2"/>
  <c r="AZ24" i="2"/>
  <c r="AZ28" i="2"/>
  <c r="AZ29" i="2"/>
  <c r="AZ30" i="2"/>
  <c r="AZ32" i="2"/>
  <c r="AZ33" i="2"/>
  <c r="AZ34" i="2"/>
  <c r="AZ36" i="2"/>
  <c r="AZ37" i="2"/>
  <c r="AZ38" i="2"/>
  <c r="AZ42" i="2"/>
  <c r="AZ50" i="2"/>
  <c r="AZ51" i="2"/>
  <c r="AZ52" i="2"/>
  <c r="AZ53"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6" i="2"/>
  <c r="AZ87" i="2"/>
  <c r="AZ88" i="2"/>
  <c r="AZ89" i="2"/>
  <c r="AZ90" i="2"/>
  <c r="AZ91" i="2"/>
  <c r="AZ93" i="2"/>
  <c r="AZ94" i="2"/>
  <c r="AZ95" i="2"/>
  <c r="AZ96" i="2"/>
  <c r="AZ97" i="2"/>
  <c r="AZ98" i="2"/>
  <c r="AZ99" i="2"/>
  <c r="AZ100" i="2"/>
  <c r="BA2" i="2"/>
  <c r="BA3" i="2"/>
  <c r="BA5" i="2"/>
  <c r="BA6" i="2"/>
  <c r="BA7" i="2"/>
  <c r="BA8" i="2"/>
  <c r="BA9" i="2"/>
  <c r="BA10" i="2"/>
  <c r="BA11" i="2"/>
  <c r="BA12" i="2"/>
  <c r="BA13" i="2"/>
  <c r="BA22" i="2"/>
  <c r="BA24" i="2"/>
  <c r="BA28" i="2"/>
  <c r="BA29" i="2"/>
  <c r="BA30" i="2"/>
  <c r="BA32" i="2"/>
  <c r="BA33" i="2"/>
  <c r="BA34" i="2"/>
  <c r="BA36" i="2"/>
  <c r="BA37" i="2"/>
  <c r="BA38" i="2"/>
  <c r="BA42" i="2"/>
  <c r="BA50" i="2"/>
  <c r="BA51" i="2"/>
  <c r="BA52" i="2"/>
  <c r="BA53" i="2"/>
  <c r="BA56" i="2"/>
  <c r="BA57" i="2"/>
  <c r="BA58" i="2"/>
  <c r="BA59" i="2"/>
  <c r="BA60" i="2"/>
  <c r="BA61" i="2"/>
  <c r="BA62" i="2"/>
  <c r="BA63" i="2"/>
  <c r="BA64" i="2"/>
  <c r="BA65" i="2"/>
  <c r="BA66" i="2"/>
  <c r="BA67" i="2"/>
  <c r="BA68" i="2"/>
  <c r="BA69" i="2"/>
  <c r="BA70" i="2"/>
  <c r="BA71" i="2"/>
  <c r="BA72" i="2"/>
  <c r="BA73" i="2"/>
  <c r="BA74" i="2"/>
  <c r="BA75" i="2"/>
  <c r="BA76" i="2"/>
  <c r="BA77" i="2"/>
  <c r="BA78" i="2"/>
  <c r="BA79" i="2"/>
  <c r="BA80" i="2"/>
  <c r="BA81" i="2"/>
  <c r="BA82" i="2"/>
  <c r="BA83" i="2"/>
  <c r="BA84" i="2"/>
  <c r="BA86" i="2"/>
  <c r="BA87" i="2"/>
  <c r="BA88" i="2"/>
  <c r="BA89" i="2"/>
  <c r="BA90" i="2"/>
  <c r="BA91" i="2"/>
  <c r="BA93" i="2"/>
  <c r="BA94" i="2"/>
  <c r="BA95" i="2"/>
  <c r="BA96" i="2"/>
  <c r="BA97" i="2"/>
  <c r="BA98" i="2"/>
  <c r="BA99" i="2"/>
  <c r="BA100" i="2"/>
  <c r="BC58" i="2"/>
  <c r="BC61" i="2"/>
  <c r="BC64" i="2"/>
  <c r="BC67" i="2"/>
  <c r="BC70" i="2"/>
  <c r="BC73" i="2"/>
  <c r="BC76" i="2"/>
  <c r="BC79" i="2"/>
  <c r="BC82" i="2"/>
  <c r="I2" i="115"/>
  <c r="J2" i="115"/>
  <c r="J62" i="6"/>
  <c r="K62" i="6"/>
  <c r="M62" i="6"/>
  <c r="O62" i="6"/>
  <c r="P62" i="6"/>
  <c r="Q62" i="6"/>
  <c r="J61" i="6"/>
  <c r="K61" i="6"/>
  <c r="M61" i="6"/>
  <c r="O61" i="6"/>
  <c r="P61" i="6"/>
  <c r="Q61" i="6"/>
  <c r="J60" i="6"/>
  <c r="K60" i="6"/>
  <c r="M60" i="6"/>
  <c r="O60" i="6"/>
  <c r="P60" i="6"/>
  <c r="Q60" i="6"/>
  <c r="J58" i="6"/>
  <c r="P58" i="6"/>
  <c r="J59" i="6"/>
  <c r="P59" i="6"/>
  <c r="K58" i="6"/>
  <c r="Q58" i="6"/>
  <c r="K59" i="6"/>
  <c r="Q59" i="6"/>
  <c r="M58" i="6"/>
  <c r="O58" i="6"/>
  <c r="M59" i="6"/>
  <c r="O59" i="6"/>
  <c r="J57" i="6"/>
  <c r="J56" i="6"/>
  <c r="K57" i="6"/>
  <c r="K56" i="6"/>
  <c r="M57" i="6"/>
  <c r="M56" i="6"/>
  <c r="O57" i="6"/>
  <c r="O56" i="6"/>
  <c r="P57" i="6"/>
  <c r="P56" i="6"/>
  <c r="Q57" i="6"/>
  <c r="Q56" i="6"/>
  <c r="AM392" i="22" l="1"/>
  <c r="AK392" i="22"/>
  <c r="AJ392" i="22"/>
  <c r="AA392" i="22" s="1"/>
  <c r="AI392" i="22"/>
  <c r="AT392" i="22"/>
  <c r="AS392" i="22"/>
  <c r="AV392" i="22"/>
  <c r="D361" i="22"/>
  <c r="D360" i="22"/>
  <c r="AF360" i="22"/>
  <c r="AL359" i="22"/>
  <c r="AG360" i="22"/>
  <c r="AD359" i="22"/>
  <c r="AE359" i="22"/>
  <c r="AF359" i="22"/>
  <c r="AG359" i="22"/>
  <c r="AD360" i="22"/>
  <c r="AE360" i="22"/>
  <c r="D362" i="22"/>
  <c r="D359" i="22"/>
  <c r="AL360" i="22"/>
  <c r="AM361" i="22"/>
  <c r="AV359" i="22"/>
  <c r="AA359" i="22"/>
  <c r="AS359" i="22"/>
  <c r="AT359" i="22"/>
  <c r="AV360" i="22"/>
  <c r="AV361" i="22"/>
  <c r="AS360" i="22"/>
  <c r="AT360" i="22"/>
  <c r="AK362" i="22"/>
  <c r="AM359" i="22"/>
  <c r="AK361" i="22"/>
  <c r="AA360" i="22"/>
  <c r="AK359" i="22"/>
  <c r="AC359" i="22"/>
  <c r="AB359" i="22"/>
  <c r="AV362" i="22"/>
  <c r="AI359" i="22"/>
  <c r="AL362" i="22"/>
  <c r="AL361" i="22"/>
  <c r="AJ362" i="22"/>
  <c r="AJ361" i="22"/>
  <c r="AM360" i="22"/>
  <c r="AK360" i="22"/>
  <c r="AC360" i="22"/>
  <c r="AB360" i="22"/>
  <c r="AI360" i="22"/>
  <c r="AS361" i="22"/>
  <c r="AT361" i="22"/>
  <c r="AM362" i="22"/>
  <c r="AT362" i="22"/>
  <c r="N5" i="4"/>
  <c r="M5" i="4"/>
  <c r="M4" i="4"/>
  <c r="N4" i="4"/>
  <c r="N3" i="4"/>
  <c r="M3" i="4"/>
  <c r="P4" i="4"/>
  <c r="P5" i="4"/>
  <c r="P3" i="4"/>
  <c r="M4" i="2"/>
  <c r="M14" i="2"/>
  <c r="M15" i="2"/>
  <c r="M16" i="2"/>
  <c r="M17" i="2"/>
  <c r="M18" i="2"/>
  <c r="M19" i="2"/>
  <c r="M20" i="2"/>
  <c r="M21" i="2"/>
  <c r="M23" i="2"/>
  <c r="M25" i="2"/>
  <c r="M26" i="2"/>
  <c r="M27" i="2"/>
  <c r="M31" i="2"/>
  <c r="M35" i="2"/>
  <c r="M39" i="2"/>
  <c r="M40" i="2"/>
  <c r="M41" i="2"/>
  <c r="M43" i="2"/>
  <c r="M44" i="2"/>
  <c r="M45" i="2"/>
  <c r="M46" i="2"/>
  <c r="M47" i="2"/>
  <c r="M48" i="2"/>
  <c r="M49" i="2"/>
  <c r="M54" i="2"/>
  <c r="M55" i="2"/>
  <c r="M57" i="2"/>
  <c r="M58" i="2"/>
  <c r="M60" i="2"/>
  <c r="M61" i="2"/>
  <c r="M63" i="2"/>
  <c r="M64" i="2"/>
  <c r="M66" i="2"/>
  <c r="M67" i="2"/>
  <c r="M69" i="2"/>
  <c r="M70" i="2"/>
  <c r="M72" i="2"/>
  <c r="M73" i="2"/>
  <c r="M75" i="2"/>
  <c r="M76" i="2"/>
  <c r="M78" i="2"/>
  <c r="M79" i="2"/>
  <c r="M81" i="2"/>
  <c r="M82" i="2"/>
  <c r="M85" i="2"/>
  <c r="M92" i="2"/>
  <c r="AL2" i="2"/>
  <c r="N2" i="2"/>
  <c r="N3" i="2"/>
  <c r="N5" i="2"/>
  <c r="N6" i="2"/>
  <c r="N7" i="2"/>
  <c r="N8" i="2"/>
  <c r="N9" i="2"/>
  <c r="N10" i="2"/>
  <c r="N11" i="2"/>
  <c r="N12" i="2"/>
  <c r="N13" i="2"/>
  <c r="N22" i="2"/>
  <c r="N24" i="2"/>
  <c r="N28" i="2"/>
  <c r="N29" i="2"/>
  <c r="N30" i="2"/>
  <c r="N32" i="2"/>
  <c r="N33" i="2"/>
  <c r="N34" i="2"/>
  <c r="N36" i="2"/>
  <c r="N37" i="2"/>
  <c r="N38" i="2"/>
  <c r="N42" i="2"/>
  <c r="N50" i="2"/>
  <c r="N51" i="2"/>
  <c r="N52" i="2"/>
  <c r="N53"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6" i="2"/>
  <c r="N87" i="2"/>
  <c r="N88" i="2"/>
  <c r="N89" i="2"/>
  <c r="N90" i="2"/>
  <c r="N91" i="2"/>
  <c r="N93" i="2"/>
  <c r="N94" i="2"/>
  <c r="N95" i="2"/>
  <c r="N96" i="2"/>
  <c r="N97" i="2"/>
  <c r="N98" i="2"/>
  <c r="N99" i="2"/>
  <c r="N100" i="2"/>
  <c r="J2" i="2"/>
  <c r="I6" i="1"/>
  <c r="I55" i="1"/>
  <c r="I56" i="1"/>
  <c r="I57" i="1"/>
  <c r="I58" i="1"/>
  <c r="I59" i="1"/>
  <c r="F313" i="22"/>
  <c r="G313" i="22"/>
  <c r="D313" i="22" s="1"/>
  <c r="K313" i="22"/>
  <c r="P313" i="22"/>
  <c r="BA313" i="22"/>
  <c r="BC313" i="22"/>
  <c r="N313" i="22" s="1"/>
  <c r="F353" i="22"/>
  <c r="G353" i="22"/>
  <c r="D353" i="22" s="1"/>
  <c r="K353" i="22"/>
  <c r="P353" i="22"/>
  <c r="BA353" i="22"/>
  <c r="BC353" i="22"/>
  <c r="N353" i="22" s="1"/>
  <c r="H9" i="3" a="1"/>
  <c r="J14" i="1" a="1"/>
  <c r="J24" i="1" a="1"/>
  <c r="J34" i="1" a="1"/>
  <c r="J55" i="1" a="1"/>
  <c r="J65" i="1" a="1"/>
  <c r="J4" i="1" a="1"/>
  <c r="J25" i="1" a="1"/>
  <c r="J35" i="1" a="1"/>
  <c r="J45" i="1" a="1"/>
  <c r="J56" i="1" a="1"/>
  <c r="J5" i="1" a="1"/>
  <c r="J15" i="1" a="1"/>
  <c r="J26" i="1" a="1"/>
  <c r="J36" i="1" a="1"/>
  <c r="J46" i="1" a="1"/>
  <c r="J6" i="1" a="1"/>
  <c r="J16" i="1" a="1"/>
  <c r="J37" i="1" a="1"/>
  <c r="J47" i="1" a="1"/>
  <c r="J57" i="1" a="1"/>
  <c r="J64" i="1" a="1"/>
  <c r="J7" i="1" a="1"/>
  <c r="J17" i="1" a="1"/>
  <c r="J27" i="1" a="1"/>
  <c r="J38" i="1" a="1"/>
  <c r="J48" i="1" a="1"/>
  <c r="J58" i="1" a="1"/>
  <c r="J44" i="1" a="1"/>
  <c r="J8" i="1" a="1"/>
  <c r="J18" i="1" a="1"/>
  <c r="J28" i="1" a="1"/>
  <c r="J49" i="1" a="1"/>
  <c r="J59" i="1" a="1"/>
  <c r="J19" i="1" a="1"/>
  <c r="J29" i="1" a="1"/>
  <c r="J39" i="1" a="1"/>
  <c r="J50" i="1" a="1"/>
  <c r="J60" i="1" a="1"/>
  <c r="J9" i="1" a="1"/>
  <c r="J20" i="1" a="1"/>
  <c r="J30" i="1" a="1"/>
  <c r="J40" i="1" a="1"/>
  <c r="J61" i="1" a="1"/>
  <c r="J23" i="1" a="1"/>
  <c r="J10" i="1" a="1"/>
  <c r="J31" i="1" a="1"/>
  <c r="J41" i="1" a="1"/>
  <c r="J51" i="1" a="1"/>
  <c r="J62" i="1" a="1"/>
  <c r="J33" i="1" a="1"/>
  <c r="J11" i="1" a="1"/>
  <c r="J21" i="1" a="1"/>
  <c r="J32" i="1" a="1"/>
  <c r="J42" i="1" a="1"/>
  <c r="J52" i="1" a="1"/>
  <c r="J13" i="1" a="1"/>
  <c r="J12" i="1" a="1"/>
  <c r="J22" i="1" a="1"/>
  <c r="J43" i="1" a="1"/>
  <c r="J53" i="1" a="1"/>
  <c r="J63" i="1" a="1"/>
  <c r="J54" i="1" a="1"/>
  <c r="H2" i="3" a="1"/>
  <c r="H8" i="3" a="1"/>
  <c r="H14" i="3" a="1"/>
  <c r="H15" i="3" a="1"/>
  <c r="H3" i="3" a="1"/>
  <c r="H21" i="3" a="1"/>
  <c r="H10" i="3" a="1"/>
  <c r="H20" i="3" a="1"/>
  <c r="H4" i="3" a="1"/>
  <c r="H16" i="3" a="1"/>
  <c r="H22" i="3" a="1"/>
  <c r="H11" i="3" a="1"/>
  <c r="H5" i="3" a="1"/>
  <c r="H17" i="3" a="1"/>
  <c r="H12" i="3" a="1"/>
  <c r="H6" i="3" a="1"/>
  <c r="H18" i="3" a="1"/>
  <c r="H13" i="3" a="1"/>
  <c r="H7" i="3" a="1"/>
  <c r="H19" i="3" a="1"/>
  <c r="J3" i="1" a="1"/>
  <c r="Q392" i="22"/>
  <c r="Q362" i="22"/>
  <c r="Q360" i="22"/>
  <c r="Q361" i="22"/>
  <c r="Q359" i="22"/>
  <c r="AD392" i="22" l="1"/>
  <c r="AF392" i="22"/>
  <c r="AG392" i="22"/>
  <c r="AB392" i="22"/>
  <c r="AC392" i="22"/>
  <c r="AE392" i="22"/>
  <c r="AH360" i="22"/>
  <c r="AQ360" i="22" s="1"/>
  <c r="AP360" i="22" s="1"/>
  <c r="BA360" i="22" s="1"/>
  <c r="AY360" i="22" s="1"/>
  <c r="AH359" i="22"/>
  <c r="AQ359" i="22" s="1"/>
  <c r="AP359" i="22" s="1"/>
  <c r="BA359" i="22" s="1"/>
  <c r="AY359" i="22" s="1"/>
  <c r="AD362" i="22"/>
  <c r="AE362" i="22"/>
  <c r="AG362" i="22"/>
  <c r="AF362" i="22"/>
  <c r="AD361" i="22"/>
  <c r="AE361" i="22"/>
  <c r="AF361" i="22"/>
  <c r="AG361" i="22"/>
  <c r="AB362" i="22"/>
  <c r="AB361" i="22"/>
  <c r="AC361" i="22"/>
  <c r="AC362" i="22"/>
  <c r="AA362" i="22"/>
  <c r="AA361" i="22"/>
  <c r="K3" i="4"/>
  <c r="L3" i="4"/>
  <c r="K4" i="4"/>
  <c r="L4" i="4"/>
  <c r="K5" i="4"/>
  <c r="L5" i="4"/>
  <c r="AV313" i="22"/>
  <c r="AU313" i="22"/>
  <c r="AS313" i="22" s="1"/>
  <c r="AV353" i="22"/>
  <c r="AU353" i="22"/>
  <c r="AS353" i="22" s="1"/>
  <c r="J54" i="1"/>
  <c r="H54" i="1" s="1"/>
  <c r="J63" i="1"/>
  <c r="H63" i="1" s="1"/>
  <c r="J53" i="1"/>
  <c r="H53" i="1" s="1"/>
  <c r="J43" i="1"/>
  <c r="H43" i="1" s="1"/>
  <c r="J22" i="1"/>
  <c r="H22" i="1" s="1"/>
  <c r="J12" i="1"/>
  <c r="H12" i="1" s="1"/>
  <c r="J13" i="1"/>
  <c r="H13" i="1" s="1"/>
  <c r="J52" i="1"/>
  <c r="H52" i="1" s="1"/>
  <c r="J42" i="1"/>
  <c r="H42" i="1" s="1"/>
  <c r="J32" i="1"/>
  <c r="H32" i="1" s="1"/>
  <c r="J21" i="1"/>
  <c r="H21" i="1" s="1"/>
  <c r="J11" i="1"/>
  <c r="H11" i="1" s="1"/>
  <c r="J33" i="1"/>
  <c r="H33" i="1" s="1"/>
  <c r="J62" i="1"/>
  <c r="H62" i="1" s="1"/>
  <c r="J51" i="1"/>
  <c r="H51" i="1" s="1"/>
  <c r="J41" i="1"/>
  <c r="H41" i="1" s="1"/>
  <c r="J31" i="1"/>
  <c r="H31" i="1" s="1"/>
  <c r="J10" i="1"/>
  <c r="H10" i="1" s="1"/>
  <c r="J23" i="1"/>
  <c r="H23" i="1" s="1"/>
  <c r="J61" i="1"/>
  <c r="H61" i="1" s="1"/>
  <c r="J40" i="1"/>
  <c r="H40" i="1" s="1"/>
  <c r="J30" i="1"/>
  <c r="H30" i="1" s="1"/>
  <c r="J20" i="1"/>
  <c r="H20" i="1" s="1"/>
  <c r="J9" i="1"/>
  <c r="H9" i="1" s="1"/>
  <c r="J60" i="1"/>
  <c r="H60" i="1" s="1"/>
  <c r="J50" i="1"/>
  <c r="H50" i="1" s="1"/>
  <c r="J39" i="1"/>
  <c r="H39" i="1" s="1"/>
  <c r="J29" i="1"/>
  <c r="H29" i="1" s="1"/>
  <c r="J19" i="1"/>
  <c r="H19" i="1" s="1"/>
  <c r="J59" i="1"/>
  <c r="H59" i="1" s="1"/>
  <c r="J49" i="1"/>
  <c r="H49" i="1" s="1"/>
  <c r="J28" i="1"/>
  <c r="H28" i="1" s="1"/>
  <c r="J18" i="1"/>
  <c r="H18" i="1" s="1"/>
  <c r="J8" i="1"/>
  <c r="H8" i="1" s="1"/>
  <c r="J44" i="1"/>
  <c r="H44" i="1" s="1"/>
  <c r="J58" i="1"/>
  <c r="H58" i="1" s="1"/>
  <c r="J48" i="1"/>
  <c r="H48" i="1" s="1"/>
  <c r="J38" i="1"/>
  <c r="H38" i="1" s="1"/>
  <c r="J27" i="1"/>
  <c r="H27" i="1" s="1"/>
  <c r="J17" i="1"/>
  <c r="H17" i="1" s="1"/>
  <c r="J7" i="1"/>
  <c r="H7" i="1" s="1"/>
  <c r="J64" i="1"/>
  <c r="H64" i="1" s="1"/>
  <c r="J57" i="1"/>
  <c r="H57" i="1" s="1"/>
  <c r="J47" i="1"/>
  <c r="H47" i="1" s="1"/>
  <c r="J37" i="1"/>
  <c r="H37" i="1" s="1"/>
  <c r="J16" i="1"/>
  <c r="H16" i="1" s="1"/>
  <c r="J6" i="1"/>
  <c r="H6" i="1" s="1"/>
  <c r="J46" i="1"/>
  <c r="H46" i="1" s="1"/>
  <c r="J36" i="1"/>
  <c r="H36" i="1" s="1"/>
  <c r="J26" i="1"/>
  <c r="H26" i="1" s="1"/>
  <c r="J15" i="1"/>
  <c r="H15" i="1" s="1"/>
  <c r="J5" i="1"/>
  <c r="H5" i="1" s="1"/>
  <c r="J56" i="1"/>
  <c r="H56" i="1" s="1"/>
  <c r="J45" i="1"/>
  <c r="H45" i="1" s="1"/>
  <c r="J35" i="1"/>
  <c r="H35" i="1" s="1"/>
  <c r="J25" i="1"/>
  <c r="H25" i="1" s="1"/>
  <c r="J4" i="1"/>
  <c r="H4" i="1" s="1"/>
  <c r="J65" i="1"/>
  <c r="H65" i="1" s="1"/>
  <c r="J55" i="1"/>
  <c r="H55" i="1" s="1"/>
  <c r="J34" i="1"/>
  <c r="H34" i="1" s="1"/>
  <c r="J24" i="1"/>
  <c r="H24" i="1" s="1"/>
  <c r="J14" i="1"/>
  <c r="H14" i="1" s="1"/>
  <c r="H9" i="3"/>
  <c r="AI338" i="22"/>
  <c r="AJ338" i="22"/>
  <c r="AK338" i="22"/>
  <c r="H19" i="3"/>
  <c r="H7" i="3"/>
  <c r="H13" i="3"/>
  <c r="H18" i="3"/>
  <c r="H6" i="3"/>
  <c r="H12" i="3"/>
  <c r="H17" i="3"/>
  <c r="H5" i="3"/>
  <c r="H11" i="3"/>
  <c r="H22" i="3"/>
  <c r="H16" i="3"/>
  <c r="H4" i="3"/>
  <c r="H20" i="3"/>
  <c r="H10" i="3"/>
  <c r="H21" i="3"/>
  <c r="H3" i="3"/>
  <c r="H15" i="3"/>
  <c r="H14" i="3"/>
  <c r="H8" i="3"/>
  <c r="H2" i="3"/>
  <c r="J3" i="1"/>
  <c r="H3" i="1" s="1"/>
  <c r="Z313" i="22"/>
  <c r="Y313" i="22" s="1"/>
  <c r="X313" i="22" s="1"/>
  <c r="W313" i="22" s="1"/>
  <c r="V313" i="22" s="1"/>
  <c r="U313" i="22" s="1"/>
  <c r="Z353" i="22"/>
  <c r="Y353" i="22" s="1"/>
  <c r="X353" i="22" s="1"/>
  <c r="W353" i="22" s="1"/>
  <c r="V353" i="22" s="1"/>
  <c r="U353" i="22" s="1"/>
  <c r="AR360" i="22" l="1"/>
  <c r="AH392" i="22"/>
  <c r="AR359" i="22"/>
  <c r="AH361" i="22"/>
  <c r="AQ361" i="22" s="1"/>
  <c r="AP361" i="22" s="1"/>
  <c r="BA361" i="22" s="1"/>
  <c r="AY361" i="22" s="1"/>
  <c r="AH362" i="22"/>
  <c r="AR362" i="22" s="1"/>
  <c r="I5" i="4"/>
  <c r="J5" i="4"/>
  <c r="J4" i="4"/>
  <c r="I4" i="4"/>
  <c r="I3" i="4"/>
  <c r="J3" i="4"/>
  <c r="AT353" i="22"/>
  <c r="AT313" i="22"/>
  <c r="AR392" i="22" l="1"/>
  <c r="AQ392" i="22"/>
  <c r="AP392" i="22" s="1"/>
  <c r="AR361" i="22"/>
  <c r="AQ362" i="22"/>
  <c r="AP362" i="22" s="1"/>
  <c r="BA362" i="22" s="1"/>
  <c r="AY362" i="22" s="1"/>
  <c r="G3" i="4"/>
  <c r="F3" i="4" s="1"/>
  <c r="H3" i="4"/>
  <c r="G4" i="4"/>
  <c r="F4" i="4" s="1"/>
  <c r="H4" i="4"/>
  <c r="G5" i="4"/>
  <c r="F5" i="4" s="1"/>
  <c r="H5" i="4"/>
  <c r="AD2" i="2"/>
  <c r="AD26" i="2"/>
  <c r="AD56" i="2"/>
  <c r="AD58" i="2"/>
  <c r="AD80" i="2"/>
  <c r="AD83" i="2"/>
  <c r="M4" i="22"/>
  <c r="M5" i="22"/>
  <c r="M6" i="22"/>
  <c r="M7" i="22"/>
  <c r="M8" i="22"/>
  <c r="M9" i="22"/>
  <c r="M10" i="22"/>
  <c r="M11" i="22"/>
  <c r="M3" i="22"/>
  <c r="BA2" i="22"/>
  <c r="K7" i="22"/>
  <c r="M12" i="22"/>
  <c r="M13" i="22"/>
  <c r="M14" i="22"/>
  <c r="M15" i="22"/>
  <c r="M16" i="22"/>
  <c r="M17" i="22"/>
  <c r="M18" i="22"/>
  <c r="M19" i="22"/>
  <c r="M20" i="22"/>
  <c r="M21" i="22"/>
  <c r="M22" i="22"/>
  <c r="M23" i="22"/>
  <c r="M24" i="22"/>
  <c r="M25" i="22"/>
  <c r="M26" i="22"/>
  <c r="M27" i="22"/>
  <c r="M28" i="22"/>
  <c r="M29" i="22"/>
  <c r="M30" i="22"/>
  <c r="M31" i="22"/>
  <c r="M32" i="22"/>
  <c r="M33" i="22"/>
  <c r="M34" i="22"/>
  <c r="M35" i="22"/>
  <c r="M36" i="22"/>
  <c r="M37" i="22"/>
  <c r="M38" i="22"/>
  <c r="M39" i="22"/>
  <c r="M40" i="22"/>
  <c r="M41" i="22"/>
  <c r="M42" i="22"/>
  <c r="M43" i="22"/>
  <c r="M44" i="22"/>
  <c r="M45" i="22"/>
  <c r="M46" i="22"/>
  <c r="M47" i="22"/>
  <c r="M48" i="22"/>
  <c r="M49" i="22"/>
  <c r="M50" i="22"/>
  <c r="M51" i="22"/>
  <c r="M52" i="22"/>
  <c r="M53" i="22"/>
  <c r="M54" i="22"/>
  <c r="M55" i="22"/>
  <c r="M56" i="22"/>
  <c r="M57" i="22"/>
  <c r="M58" i="22"/>
  <c r="M59" i="22"/>
  <c r="M60" i="22"/>
  <c r="M61" i="22"/>
  <c r="M62" i="22"/>
  <c r="M63" i="22"/>
  <c r="M64" i="22"/>
  <c r="M65" i="22"/>
  <c r="M66" i="22"/>
  <c r="M67" i="22"/>
  <c r="M68" i="22"/>
  <c r="M69" i="22"/>
  <c r="M70" i="22"/>
  <c r="M71" i="22"/>
  <c r="M72" i="22"/>
  <c r="M73" i="22"/>
  <c r="M74" i="22"/>
  <c r="M75" i="22"/>
  <c r="M76" i="22"/>
  <c r="M77" i="22"/>
  <c r="M78" i="22"/>
  <c r="M79" i="22"/>
  <c r="M80" i="22"/>
  <c r="M81" i="22"/>
  <c r="M82" i="22"/>
  <c r="M83" i="22"/>
  <c r="M84" i="22"/>
  <c r="M85" i="22"/>
  <c r="M86" i="22"/>
  <c r="M87" i="22"/>
  <c r="M88" i="22"/>
  <c r="M89" i="22"/>
  <c r="M90" i="22"/>
  <c r="M91" i="22"/>
  <c r="M92" i="22"/>
  <c r="M93" i="22"/>
  <c r="M94" i="22"/>
  <c r="M95" i="22"/>
  <c r="M96" i="22"/>
  <c r="M97" i="22"/>
  <c r="M98" i="22"/>
  <c r="M99" i="22"/>
  <c r="M100" i="22"/>
  <c r="M101" i="22"/>
  <c r="M102" i="22"/>
  <c r="M103" i="22"/>
  <c r="M104" i="22"/>
  <c r="M105" i="22"/>
  <c r="M106" i="22"/>
  <c r="M107" i="22"/>
  <c r="M108" i="22"/>
  <c r="M109" i="22"/>
  <c r="M110" i="22"/>
  <c r="M111" i="22"/>
  <c r="M112" i="22"/>
  <c r="M113" i="22"/>
  <c r="M114" i="22"/>
  <c r="M115" i="22"/>
  <c r="M116" i="22"/>
  <c r="M117" i="22"/>
  <c r="M118" i="22"/>
  <c r="M119" i="22"/>
  <c r="M120" i="22"/>
  <c r="M121" i="22"/>
  <c r="M122" i="22"/>
  <c r="M123" i="22"/>
  <c r="M124" i="22"/>
  <c r="M125" i="22"/>
  <c r="M126" i="22"/>
  <c r="M127" i="22"/>
  <c r="M128" i="22"/>
  <c r="M129" i="22"/>
  <c r="M130" i="22"/>
  <c r="M131" i="22"/>
  <c r="M132" i="22"/>
  <c r="M133" i="22"/>
  <c r="M134" i="22"/>
  <c r="M135" i="22"/>
  <c r="M136" i="22"/>
  <c r="M137" i="22"/>
  <c r="M138" i="22"/>
  <c r="M139" i="22"/>
  <c r="M140" i="22"/>
  <c r="M141" i="22"/>
  <c r="M142" i="22"/>
  <c r="M143" i="22"/>
  <c r="M144" i="22"/>
  <c r="M145" i="22"/>
  <c r="M146" i="22"/>
  <c r="M147" i="22"/>
  <c r="M148" i="22"/>
  <c r="M149" i="22"/>
  <c r="M150" i="22"/>
  <c r="M151" i="22"/>
  <c r="M152" i="22"/>
  <c r="M153" i="22"/>
  <c r="M154" i="22"/>
  <c r="M155" i="22"/>
  <c r="M156" i="22"/>
  <c r="M157" i="22"/>
  <c r="M158" i="22"/>
  <c r="M159" i="22"/>
  <c r="M160" i="22"/>
  <c r="M161" i="22"/>
  <c r="M162" i="22"/>
  <c r="M163" i="22"/>
  <c r="M164" i="22"/>
  <c r="M165" i="22"/>
  <c r="M166" i="22"/>
  <c r="M167" i="22"/>
  <c r="M168" i="22"/>
  <c r="M169" i="22"/>
  <c r="M170" i="22"/>
  <c r="M171" i="22"/>
  <c r="M172" i="22"/>
  <c r="M173" i="22"/>
  <c r="M174" i="22"/>
  <c r="M175" i="22"/>
  <c r="M176" i="22"/>
  <c r="M177" i="22"/>
  <c r="M178" i="22"/>
  <c r="M179" i="22"/>
  <c r="M180" i="22"/>
  <c r="M181" i="22"/>
  <c r="M182" i="22"/>
  <c r="M183" i="22"/>
  <c r="M184" i="22"/>
  <c r="M185" i="22"/>
  <c r="M186" i="22"/>
  <c r="M187" i="22"/>
  <c r="M188" i="22"/>
  <c r="M189" i="22"/>
  <c r="M190" i="22"/>
  <c r="M191" i="22"/>
  <c r="M192" i="22"/>
  <c r="M193" i="22"/>
  <c r="M194" i="22"/>
  <c r="M195" i="22"/>
  <c r="M196" i="22"/>
  <c r="M197" i="22"/>
  <c r="M198" i="22"/>
  <c r="M199" i="22"/>
  <c r="M200" i="22"/>
  <c r="M201" i="22"/>
  <c r="M202" i="22"/>
  <c r="M203" i="22"/>
  <c r="M204" i="22"/>
  <c r="M205" i="22"/>
  <c r="M206" i="22"/>
  <c r="M207" i="22"/>
  <c r="M208" i="22"/>
  <c r="K3" i="22"/>
  <c r="K4" i="22"/>
  <c r="K5" i="22"/>
  <c r="K6" i="22"/>
  <c r="K8"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4" i="22"/>
  <c r="K355" i="22"/>
  <c r="K356" i="22"/>
  <c r="K357" i="22"/>
  <c r="K358"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O57" i="2"/>
  <c r="O58" i="2"/>
  <c r="O60" i="2"/>
  <c r="O61" i="2"/>
  <c r="O63" i="2"/>
  <c r="O64" i="2"/>
  <c r="O66" i="2"/>
  <c r="O67" i="2"/>
  <c r="O69" i="2"/>
  <c r="O70" i="2"/>
  <c r="O72" i="2"/>
  <c r="O73" i="2"/>
  <c r="O75" i="2"/>
  <c r="O76" i="2"/>
  <c r="O78" i="2"/>
  <c r="O79" i="2"/>
  <c r="O81" i="2"/>
  <c r="O82" i="2"/>
  <c r="M2" i="22" l="1"/>
  <c r="K2" i="22"/>
  <c r="C106" i="22"/>
  <c r="C153" i="22"/>
  <c r="C174" i="22"/>
  <c r="C175" i="22"/>
  <c r="C176" i="22"/>
  <c r="C177" i="22"/>
  <c r="C178" i="22"/>
  <c r="C179" i="22"/>
  <c r="C180" i="22"/>
  <c r="C181" i="22"/>
  <c r="C182" i="22"/>
  <c r="I106" i="22"/>
  <c r="I153" i="22"/>
  <c r="I174" i="22"/>
  <c r="I175" i="22"/>
  <c r="I176" i="22"/>
  <c r="I177" i="22"/>
  <c r="I178" i="22"/>
  <c r="I179" i="22"/>
  <c r="I180" i="22"/>
  <c r="I181" i="22"/>
  <c r="I182" i="22"/>
  <c r="K8" i="3"/>
  <c r="K2" i="3"/>
  <c r="K6" i="3"/>
  <c r="K11" i="3"/>
  <c r="K13" i="3"/>
  <c r="BC2" i="22"/>
  <c r="N2" i="22" s="1"/>
  <c r="BC3" i="22"/>
  <c r="N3" i="22" s="1"/>
  <c r="BC4" i="22"/>
  <c r="N4" i="22" s="1"/>
  <c r="BC5" i="22"/>
  <c r="N5" i="22" s="1"/>
  <c r="BC6" i="22"/>
  <c r="N6" i="22" s="1"/>
  <c r="BC7" i="22"/>
  <c r="N7" i="22" s="1"/>
  <c r="BC8" i="22"/>
  <c r="N8" i="22" s="1"/>
  <c r="BC9" i="22"/>
  <c r="N9" i="22" s="1"/>
  <c r="BC10" i="22"/>
  <c r="N10" i="22" s="1"/>
  <c r="BC11" i="22"/>
  <c r="N11" i="22" s="1"/>
  <c r="BC12" i="22"/>
  <c r="N12" i="22" s="1"/>
  <c r="BC13" i="22"/>
  <c r="N13" i="22" s="1"/>
  <c r="BC14" i="22"/>
  <c r="N14" i="22" s="1"/>
  <c r="BC15" i="22"/>
  <c r="N15" i="22" s="1"/>
  <c r="BC16" i="22"/>
  <c r="N16" i="22" s="1"/>
  <c r="BC17" i="22"/>
  <c r="N17" i="22" s="1"/>
  <c r="BC18" i="22"/>
  <c r="BC19" i="22"/>
  <c r="N19" i="22" s="1"/>
  <c r="BC20" i="22"/>
  <c r="N20" i="22" s="1"/>
  <c r="BC21" i="22"/>
  <c r="N21" i="22" s="1"/>
  <c r="BC22" i="22"/>
  <c r="N22" i="22" s="1"/>
  <c r="BC23" i="22"/>
  <c r="N23" i="22" s="1"/>
  <c r="BC24" i="22"/>
  <c r="N24" i="22" s="1"/>
  <c r="BC25" i="22"/>
  <c r="N25" i="22" s="1"/>
  <c r="BC26" i="22"/>
  <c r="N26" i="22" s="1"/>
  <c r="BC27" i="22"/>
  <c r="N27" i="22" s="1"/>
  <c r="BC28" i="22"/>
  <c r="N28" i="22" s="1"/>
  <c r="BC29" i="22"/>
  <c r="N29" i="22" s="1"/>
  <c r="BC30" i="22"/>
  <c r="N30" i="22" s="1"/>
  <c r="BC31" i="22"/>
  <c r="N31" i="22" s="1"/>
  <c r="BC32" i="22"/>
  <c r="N32" i="22" s="1"/>
  <c r="BC33" i="22"/>
  <c r="N33" i="22" s="1"/>
  <c r="BC34" i="22"/>
  <c r="N34" i="22" s="1"/>
  <c r="BC35" i="22"/>
  <c r="N35" i="22" s="1"/>
  <c r="BC36" i="22"/>
  <c r="N36" i="22" s="1"/>
  <c r="BC37" i="22"/>
  <c r="N37" i="22" s="1"/>
  <c r="BC38" i="22"/>
  <c r="N38" i="22" s="1"/>
  <c r="BC39" i="22"/>
  <c r="N39" i="22" s="1"/>
  <c r="BC40" i="22"/>
  <c r="N40" i="22" s="1"/>
  <c r="BC41" i="22"/>
  <c r="N41" i="22" s="1"/>
  <c r="BC42" i="22"/>
  <c r="N42" i="22" s="1"/>
  <c r="BC43" i="22"/>
  <c r="N43" i="22" s="1"/>
  <c r="BC44" i="22"/>
  <c r="N44" i="22" s="1"/>
  <c r="BC45" i="22"/>
  <c r="N45" i="22" s="1"/>
  <c r="BC46" i="22"/>
  <c r="N46" i="22" s="1"/>
  <c r="BC47" i="22"/>
  <c r="N47" i="22" s="1"/>
  <c r="BC48" i="22"/>
  <c r="N48" i="22" s="1"/>
  <c r="BC49" i="22"/>
  <c r="N49" i="22" s="1"/>
  <c r="BC50" i="22"/>
  <c r="N50" i="22" s="1"/>
  <c r="BC51" i="22"/>
  <c r="N51" i="22" s="1"/>
  <c r="BC52" i="22"/>
  <c r="N52" i="22" s="1"/>
  <c r="BC53" i="22"/>
  <c r="N53" i="22" s="1"/>
  <c r="BC54" i="22"/>
  <c r="N54" i="22" s="1"/>
  <c r="BC55" i="22"/>
  <c r="N55" i="22" s="1"/>
  <c r="BC56" i="22"/>
  <c r="N56" i="22" s="1"/>
  <c r="BC57" i="22"/>
  <c r="N57" i="22" s="1"/>
  <c r="BC58" i="22"/>
  <c r="N58" i="22" s="1"/>
  <c r="BC59" i="22"/>
  <c r="N59" i="22" s="1"/>
  <c r="BC60" i="22"/>
  <c r="N60" i="22" s="1"/>
  <c r="BC61" i="22"/>
  <c r="N61" i="22" s="1"/>
  <c r="BC62" i="22"/>
  <c r="N62" i="22" s="1"/>
  <c r="BC63" i="22"/>
  <c r="N63" i="22" s="1"/>
  <c r="BC64" i="22"/>
  <c r="N64" i="22" s="1"/>
  <c r="BC65" i="22"/>
  <c r="N65" i="22" s="1"/>
  <c r="BC66" i="22"/>
  <c r="N66" i="22" s="1"/>
  <c r="BC67" i="22"/>
  <c r="N67" i="22" s="1"/>
  <c r="BC68" i="22"/>
  <c r="N68" i="22" s="1"/>
  <c r="BC69" i="22"/>
  <c r="N69" i="22" s="1"/>
  <c r="BC70" i="22"/>
  <c r="N70" i="22" s="1"/>
  <c r="BC71" i="22"/>
  <c r="N71" i="22" s="1"/>
  <c r="BC72" i="22"/>
  <c r="N72" i="22" s="1"/>
  <c r="BC73" i="22"/>
  <c r="N73" i="22" s="1"/>
  <c r="BC74" i="22"/>
  <c r="N74" i="22" s="1"/>
  <c r="BC75" i="22"/>
  <c r="N75" i="22" s="1"/>
  <c r="BC76" i="22"/>
  <c r="N76" i="22" s="1"/>
  <c r="BC77" i="22"/>
  <c r="N77" i="22" s="1"/>
  <c r="BC78" i="22"/>
  <c r="N78" i="22" s="1"/>
  <c r="BC79" i="22"/>
  <c r="N79" i="22" s="1"/>
  <c r="BC80" i="22"/>
  <c r="N80" i="22" s="1"/>
  <c r="BC81" i="22"/>
  <c r="N81" i="22" s="1"/>
  <c r="BC82" i="22"/>
  <c r="N82" i="22" s="1"/>
  <c r="BC83" i="22"/>
  <c r="N83" i="22" s="1"/>
  <c r="BC84" i="22"/>
  <c r="N84" i="22" s="1"/>
  <c r="BC85" i="22"/>
  <c r="N85" i="22" s="1"/>
  <c r="BC86" i="22"/>
  <c r="N86" i="22" s="1"/>
  <c r="BC87" i="22"/>
  <c r="N87" i="22" s="1"/>
  <c r="BC88" i="22"/>
  <c r="N88" i="22" s="1"/>
  <c r="BC89" i="22"/>
  <c r="N89" i="22" s="1"/>
  <c r="BC90" i="22"/>
  <c r="N90" i="22" s="1"/>
  <c r="BC91" i="22"/>
  <c r="N91" i="22" s="1"/>
  <c r="BC92" i="22"/>
  <c r="N92" i="22" s="1"/>
  <c r="BC93" i="22"/>
  <c r="N93" i="22" s="1"/>
  <c r="BC94" i="22"/>
  <c r="N94" i="22" s="1"/>
  <c r="BC95" i="22"/>
  <c r="N95" i="22" s="1"/>
  <c r="BC96" i="22"/>
  <c r="N96" i="22" s="1"/>
  <c r="BC97" i="22"/>
  <c r="N97" i="22" s="1"/>
  <c r="BC98" i="22"/>
  <c r="N98" i="22" s="1"/>
  <c r="BC99" i="22"/>
  <c r="N99" i="22" s="1"/>
  <c r="BC100" i="22"/>
  <c r="N100" i="22" s="1"/>
  <c r="BC101" i="22"/>
  <c r="N101" i="22" s="1"/>
  <c r="BC102" i="22"/>
  <c r="N102" i="22" s="1"/>
  <c r="BC103" i="22"/>
  <c r="N103" i="22" s="1"/>
  <c r="BC104" i="22"/>
  <c r="N104" i="22" s="1"/>
  <c r="BC105" i="22"/>
  <c r="N105" i="22" s="1"/>
  <c r="BC107" i="22"/>
  <c r="N107" i="22" s="1"/>
  <c r="BC108" i="22"/>
  <c r="N108" i="22" s="1"/>
  <c r="BC109" i="22"/>
  <c r="N109" i="22" s="1"/>
  <c r="BC110" i="22"/>
  <c r="N110" i="22" s="1"/>
  <c r="BC111" i="22"/>
  <c r="N111" i="22" s="1"/>
  <c r="BC112" i="22"/>
  <c r="N112" i="22" s="1"/>
  <c r="BC113" i="22"/>
  <c r="N113" i="22" s="1"/>
  <c r="BC114" i="22"/>
  <c r="N114" i="22" s="1"/>
  <c r="BC115" i="22"/>
  <c r="N115" i="22" s="1"/>
  <c r="BC116" i="22"/>
  <c r="N116" i="22" s="1"/>
  <c r="BC117" i="22"/>
  <c r="N117" i="22" s="1"/>
  <c r="BC118" i="22"/>
  <c r="N118" i="22" s="1"/>
  <c r="BC119" i="22"/>
  <c r="N119" i="22" s="1"/>
  <c r="BC120" i="22"/>
  <c r="N120" i="22" s="1"/>
  <c r="BC121" i="22"/>
  <c r="N121" i="22" s="1"/>
  <c r="BC122" i="22"/>
  <c r="N122" i="22" s="1"/>
  <c r="BC123" i="22"/>
  <c r="N123" i="22" s="1"/>
  <c r="BC124" i="22"/>
  <c r="N124" i="22" s="1"/>
  <c r="BC125" i="22"/>
  <c r="N125" i="22" s="1"/>
  <c r="BC126" i="22"/>
  <c r="N126" i="22" s="1"/>
  <c r="BC127" i="22"/>
  <c r="N127" i="22" s="1"/>
  <c r="BC128" i="22"/>
  <c r="N128" i="22" s="1"/>
  <c r="BC129" i="22"/>
  <c r="N129" i="22" s="1"/>
  <c r="BC130" i="22"/>
  <c r="N130" i="22" s="1"/>
  <c r="BC131" i="22"/>
  <c r="N131" i="22" s="1"/>
  <c r="BC132" i="22"/>
  <c r="N132" i="22" s="1"/>
  <c r="BC133" i="22"/>
  <c r="N133" i="22" s="1"/>
  <c r="BC134" i="22"/>
  <c r="N134" i="22" s="1"/>
  <c r="BC135" i="22"/>
  <c r="N135" i="22" s="1"/>
  <c r="BC136" i="22"/>
  <c r="N136" i="22" s="1"/>
  <c r="BC137" i="22"/>
  <c r="N137" i="22" s="1"/>
  <c r="BC138" i="22"/>
  <c r="N138" i="22" s="1"/>
  <c r="BC139" i="22"/>
  <c r="N139" i="22" s="1"/>
  <c r="BC140" i="22"/>
  <c r="N140" i="22" s="1"/>
  <c r="BC141" i="22"/>
  <c r="N141" i="22" s="1"/>
  <c r="BC142" i="22"/>
  <c r="N142" i="22" s="1"/>
  <c r="BC143" i="22"/>
  <c r="N143" i="22" s="1"/>
  <c r="BC144" i="22"/>
  <c r="N144" i="22" s="1"/>
  <c r="BC145" i="22"/>
  <c r="N145" i="22" s="1"/>
  <c r="BC146" i="22"/>
  <c r="N146" i="22" s="1"/>
  <c r="BC147" i="22"/>
  <c r="N147" i="22" s="1"/>
  <c r="BC148" i="22"/>
  <c r="N148" i="22" s="1"/>
  <c r="BC149" i="22"/>
  <c r="N149" i="22" s="1"/>
  <c r="BC150" i="22"/>
  <c r="N150" i="22" s="1"/>
  <c r="BC151" i="22"/>
  <c r="N151" i="22" s="1"/>
  <c r="BC152" i="22"/>
  <c r="N152" i="22" s="1"/>
  <c r="BC154" i="22"/>
  <c r="N154" i="22" s="1"/>
  <c r="BC155" i="22"/>
  <c r="N155" i="22" s="1"/>
  <c r="BC156" i="22"/>
  <c r="N156" i="22" s="1"/>
  <c r="BC157" i="22"/>
  <c r="N157" i="22" s="1"/>
  <c r="BC158" i="22"/>
  <c r="N158" i="22" s="1"/>
  <c r="BC159" i="22"/>
  <c r="N159" i="22" s="1"/>
  <c r="BC160" i="22"/>
  <c r="N160" i="22" s="1"/>
  <c r="BC161" i="22"/>
  <c r="N161" i="22" s="1"/>
  <c r="BC162" i="22"/>
  <c r="N162" i="22" s="1"/>
  <c r="BC163" i="22"/>
  <c r="N163" i="22" s="1"/>
  <c r="BC164" i="22"/>
  <c r="N164" i="22" s="1"/>
  <c r="BC165" i="22"/>
  <c r="N165" i="22" s="1"/>
  <c r="BC166" i="22"/>
  <c r="N166" i="22" s="1"/>
  <c r="BC167" i="22"/>
  <c r="N167" i="22" s="1"/>
  <c r="BC168" i="22"/>
  <c r="N168" i="22" s="1"/>
  <c r="BC169" i="22"/>
  <c r="N169" i="22" s="1"/>
  <c r="BC170" i="22"/>
  <c r="N170" i="22" s="1"/>
  <c r="BC171" i="22"/>
  <c r="N171" i="22" s="1"/>
  <c r="BC172" i="22"/>
  <c r="N172" i="22" s="1"/>
  <c r="BC173" i="22"/>
  <c r="N173" i="22" s="1"/>
  <c r="BC183" i="22"/>
  <c r="N183" i="22" s="1"/>
  <c r="BC184" i="22"/>
  <c r="N184" i="22" s="1"/>
  <c r="BC185" i="22"/>
  <c r="N185" i="22" s="1"/>
  <c r="BC186" i="22"/>
  <c r="N186" i="22" s="1"/>
  <c r="BC187" i="22"/>
  <c r="N187" i="22" s="1"/>
  <c r="BC188" i="22"/>
  <c r="N188" i="22" s="1"/>
  <c r="BC189" i="22"/>
  <c r="N189" i="22" s="1"/>
  <c r="BC190" i="22"/>
  <c r="N190" i="22" s="1"/>
  <c r="BC191" i="22"/>
  <c r="N191" i="22" s="1"/>
  <c r="BC192" i="22"/>
  <c r="N192" i="22" s="1"/>
  <c r="BC193" i="22"/>
  <c r="N193" i="22" s="1"/>
  <c r="BC194" i="22"/>
  <c r="N194" i="22" s="1"/>
  <c r="BC195" i="22"/>
  <c r="N195" i="22" s="1"/>
  <c r="BC196" i="22"/>
  <c r="N196" i="22" s="1"/>
  <c r="BC197" i="22"/>
  <c r="N197" i="22" s="1"/>
  <c r="BC198" i="22"/>
  <c r="N198" i="22" s="1"/>
  <c r="BC199" i="22"/>
  <c r="N199" i="22" s="1"/>
  <c r="BC200" i="22"/>
  <c r="N200" i="22" s="1"/>
  <c r="BC201" i="22"/>
  <c r="N201" i="22" s="1"/>
  <c r="BC202" i="22"/>
  <c r="N202" i="22" s="1"/>
  <c r="BC203" i="22"/>
  <c r="N203" i="22" s="1"/>
  <c r="BC204" i="22"/>
  <c r="N204" i="22" s="1"/>
  <c r="BC205" i="22"/>
  <c r="N205" i="22" s="1"/>
  <c r="BC206" i="22"/>
  <c r="N206" i="22" s="1"/>
  <c r="BC207" i="22"/>
  <c r="N207" i="22" s="1"/>
  <c r="BC208" i="22"/>
  <c r="N208" i="22" s="1"/>
  <c r="BC209" i="22"/>
  <c r="N209" i="22" s="1"/>
  <c r="BC210" i="22"/>
  <c r="N210" i="22" s="1"/>
  <c r="BC211" i="22"/>
  <c r="N211" i="22" s="1"/>
  <c r="BC212" i="22"/>
  <c r="N212" i="22" s="1"/>
  <c r="BC213" i="22"/>
  <c r="N213" i="22" s="1"/>
  <c r="BC214" i="22"/>
  <c r="N214" i="22" s="1"/>
  <c r="BC215" i="22"/>
  <c r="N215" i="22" s="1"/>
  <c r="BC216" i="22"/>
  <c r="N216" i="22" s="1"/>
  <c r="BC217" i="22"/>
  <c r="N217" i="22" s="1"/>
  <c r="BC218" i="22"/>
  <c r="N218" i="22" s="1"/>
  <c r="BC219" i="22"/>
  <c r="N219" i="22" s="1"/>
  <c r="BC220" i="22"/>
  <c r="N220" i="22" s="1"/>
  <c r="BC221" i="22"/>
  <c r="N221" i="22" s="1"/>
  <c r="BC222" i="22"/>
  <c r="N222" i="22" s="1"/>
  <c r="BC223" i="22"/>
  <c r="N223" i="22" s="1"/>
  <c r="BC224" i="22"/>
  <c r="N224" i="22" s="1"/>
  <c r="BC225" i="22"/>
  <c r="N225" i="22" s="1"/>
  <c r="BC226" i="22"/>
  <c r="N226" i="22" s="1"/>
  <c r="BC227" i="22"/>
  <c r="N227" i="22" s="1"/>
  <c r="BC228" i="22"/>
  <c r="N228" i="22" s="1"/>
  <c r="BC229" i="22"/>
  <c r="N229" i="22" s="1"/>
  <c r="BC230" i="22"/>
  <c r="N230" i="22" s="1"/>
  <c r="BC231" i="22"/>
  <c r="N231" i="22" s="1"/>
  <c r="BC232" i="22"/>
  <c r="N232" i="22" s="1"/>
  <c r="BC233" i="22"/>
  <c r="N233" i="22" s="1"/>
  <c r="BC234" i="22"/>
  <c r="N234" i="22" s="1"/>
  <c r="BC235" i="22"/>
  <c r="N235" i="22" s="1"/>
  <c r="BC236" i="22"/>
  <c r="N236" i="22" s="1"/>
  <c r="BC237" i="22"/>
  <c r="N237" i="22" s="1"/>
  <c r="BC238" i="22"/>
  <c r="N238" i="22" s="1"/>
  <c r="BC239" i="22"/>
  <c r="N239" i="22" s="1"/>
  <c r="BC240" i="22"/>
  <c r="N240" i="22" s="1"/>
  <c r="BC241" i="22"/>
  <c r="N241" i="22" s="1"/>
  <c r="BC242" i="22"/>
  <c r="N242" i="22" s="1"/>
  <c r="BC243" i="22"/>
  <c r="N243" i="22" s="1"/>
  <c r="BC244" i="22"/>
  <c r="N244" i="22" s="1"/>
  <c r="BC245" i="22"/>
  <c r="N245" i="22" s="1"/>
  <c r="BC246" i="22"/>
  <c r="N246" i="22" s="1"/>
  <c r="BC247" i="22"/>
  <c r="N247" i="22" s="1"/>
  <c r="BC248" i="22"/>
  <c r="N248" i="22" s="1"/>
  <c r="BC249" i="22"/>
  <c r="N249" i="22" s="1"/>
  <c r="BC250" i="22"/>
  <c r="N250" i="22" s="1"/>
  <c r="BC251" i="22"/>
  <c r="N251" i="22" s="1"/>
  <c r="BC252" i="22"/>
  <c r="N252" i="22" s="1"/>
  <c r="BC253" i="22"/>
  <c r="N253" i="22" s="1"/>
  <c r="BC254" i="22"/>
  <c r="N254" i="22" s="1"/>
  <c r="BC255" i="22"/>
  <c r="N255" i="22" s="1"/>
  <c r="BC256" i="22"/>
  <c r="N256" i="22" s="1"/>
  <c r="BC257" i="22"/>
  <c r="N257" i="22" s="1"/>
  <c r="BC258" i="22"/>
  <c r="N258" i="22" s="1"/>
  <c r="BC259" i="22"/>
  <c r="N259" i="22" s="1"/>
  <c r="BC260" i="22"/>
  <c r="N260" i="22" s="1"/>
  <c r="BC261" i="22"/>
  <c r="N261" i="22" s="1"/>
  <c r="BC262" i="22"/>
  <c r="N262" i="22" s="1"/>
  <c r="BC263" i="22"/>
  <c r="N263" i="22" s="1"/>
  <c r="BC264" i="22"/>
  <c r="N264" i="22" s="1"/>
  <c r="BC265" i="22"/>
  <c r="N265" i="22" s="1"/>
  <c r="BC266" i="22"/>
  <c r="N266" i="22" s="1"/>
  <c r="BC267" i="22"/>
  <c r="N267" i="22" s="1"/>
  <c r="BC268" i="22"/>
  <c r="N268" i="22" s="1"/>
  <c r="BC269" i="22"/>
  <c r="N269" i="22" s="1"/>
  <c r="BC270" i="22"/>
  <c r="N270" i="22" s="1"/>
  <c r="BC271" i="22"/>
  <c r="N271" i="22" s="1"/>
  <c r="BC272" i="22"/>
  <c r="N272" i="22" s="1"/>
  <c r="BC273" i="22"/>
  <c r="N273" i="22" s="1"/>
  <c r="BC274" i="22"/>
  <c r="N274" i="22" s="1"/>
  <c r="BC275" i="22"/>
  <c r="N275" i="22" s="1"/>
  <c r="BC276" i="22"/>
  <c r="N276" i="22" s="1"/>
  <c r="BC277" i="22"/>
  <c r="N277" i="22" s="1"/>
  <c r="BC278" i="22"/>
  <c r="N278" i="22" s="1"/>
  <c r="BC279" i="22"/>
  <c r="N279" i="22" s="1"/>
  <c r="BC280" i="22"/>
  <c r="N280" i="22" s="1"/>
  <c r="BC281" i="22"/>
  <c r="N281" i="22" s="1"/>
  <c r="BC282" i="22"/>
  <c r="N282" i="22" s="1"/>
  <c r="BC283" i="22"/>
  <c r="N283" i="22" s="1"/>
  <c r="BC284" i="22"/>
  <c r="N284" i="22" s="1"/>
  <c r="BC285" i="22"/>
  <c r="N285" i="22" s="1"/>
  <c r="BC286" i="22"/>
  <c r="N286" i="22" s="1"/>
  <c r="BC287" i="22"/>
  <c r="N287" i="22" s="1"/>
  <c r="BC288" i="22"/>
  <c r="N288" i="22" s="1"/>
  <c r="BC289" i="22"/>
  <c r="N289" i="22" s="1"/>
  <c r="BC290" i="22"/>
  <c r="N290" i="22" s="1"/>
  <c r="BC291" i="22"/>
  <c r="N291" i="22" s="1"/>
  <c r="BC292" i="22"/>
  <c r="N292" i="22" s="1"/>
  <c r="BC293" i="22"/>
  <c r="N293" i="22" s="1"/>
  <c r="BC294" i="22"/>
  <c r="N294" i="22" s="1"/>
  <c r="BC295" i="22"/>
  <c r="N295" i="22" s="1"/>
  <c r="BC296" i="22"/>
  <c r="N296" i="22" s="1"/>
  <c r="BC297" i="22"/>
  <c r="N297" i="22" s="1"/>
  <c r="BC298" i="22"/>
  <c r="N298" i="22" s="1"/>
  <c r="BC299" i="22"/>
  <c r="N299" i="22" s="1"/>
  <c r="BC300" i="22"/>
  <c r="N300" i="22" s="1"/>
  <c r="BC301" i="22"/>
  <c r="N301" i="22" s="1"/>
  <c r="BC302" i="22"/>
  <c r="N302" i="22" s="1"/>
  <c r="BC303" i="22"/>
  <c r="N303" i="22" s="1"/>
  <c r="BC304" i="22"/>
  <c r="N304" i="22" s="1"/>
  <c r="BC305" i="22"/>
  <c r="N305" i="22" s="1"/>
  <c r="BC306" i="22"/>
  <c r="N306" i="22" s="1"/>
  <c r="BC307" i="22"/>
  <c r="N307" i="22" s="1"/>
  <c r="BC308" i="22"/>
  <c r="N308" i="22" s="1"/>
  <c r="BC309" i="22"/>
  <c r="N309" i="22" s="1"/>
  <c r="BC310" i="22"/>
  <c r="N310" i="22" s="1"/>
  <c r="BC311" i="22"/>
  <c r="N311" i="22" s="1"/>
  <c r="BC312" i="22"/>
  <c r="N312" i="22" s="1"/>
  <c r="BC314" i="22"/>
  <c r="N314" i="22" s="1"/>
  <c r="BC315" i="22"/>
  <c r="N315" i="22" s="1"/>
  <c r="BC316" i="22"/>
  <c r="N316" i="22" s="1"/>
  <c r="BC317" i="22"/>
  <c r="N317" i="22" s="1"/>
  <c r="BC318" i="22"/>
  <c r="N318" i="22" s="1"/>
  <c r="BC319" i="22"/>
  <c r="N319" i="22" s="1"/>
  <c r="BC320" i="22"/>
  <c r="N320" i="22" s="1"/>
  <c r="BC321" i="22"/>
  <c r="N321" i="22" s="1"/>
  <c r="BC322" i="22"/>
  <c r="N322" i="22" s="1"/>
  <c r="BC323" i="22"/>
  <c r="N323" i="22" s="1"/>
  <c r="BC324" i="22"/>
  <c r="N324" i="22" s="1"/>
  <c r="BC325" i="22"/>
  <c r="N325" i="22" s="1"/>
  <c r="BC326" i="22"/>
  <c r="N326" i="22" s="1"/>
  <c r="BC327" i="22"/>
  <c r="N327" i="22" s="1"/>
  <c r="BC328" i="22"/>
  <c r="N328" i="22" s="1"/>
  <c r="BC329" i="22"/>
  <c r="N329" i="22" s="1"/>
  <c r="BC330" i="22"/>
  <c r="N330" i="22" s="1"/>
  <c r="BC331" i="22"/>
  <c r="N331" i="22" s="1"/>
  <c r="BC332" i="22"/>
  <c r="N332" i="22" s="1"/>
  <c r="BC333" i="22"/>
  <c r="N333" i="22" s="1"/>
  <c r="BC334" i="22"/>
  <c r="N334" i="22" s="1"/>
  <c r="BC335" i="22"/>
  <c r="N335" i="22" s="1"/>
  <c r="BC336" i="22"/>
  <c r="N336" i="22" s="1"/>
  <c r="BC337" i="22"/>
  <c r="N337" i="22" s="1"/>
  <c r="BC338" i="22"/>
  <c r="N338" i="22" s="1"/>
  <c r="BC339" i="22"/>
  <c r="N339" i="22" s="1"/>
  <c r="BC340" i="22"/>
  <c r="N340" i="22" s="1"/>
  <c r="BC341" i="22"/>
  <c r="N341" i="22" s="1"/>
  <c r="BC342" i="22"/>
  <c r="N342" i="22" s="1"/>
  <c r="BC343" i="22"/>
  <c r="N343" i="22" s="1"/>
  <c r="BC344" i="22"/>
  <c r="N344" i="22" s="1"/>
  <c r="BC345" i="22"/>
  <c r="N345" i="22" s="1"/>
  <c r="BC346" i="22"/>
  <c r="N346" i="22" s="1"/>
  <c r="BC347" i="22"/>
  <c r="N347" i="22" s="1"/>
  <c r="BC348" i="22"/>
  <c r="N348" i="22" s="1"/>
  <c r="BC349" i="22"/>
  <c r="N349" i="22" s="1"/>
  <c r="BC350" i="22"/>
  <c r="N350" i="22" s="1"/>
  <c r="BC351" i="22"/>
  <c r="N351" i="22" s="1"/>
  <c r="BC352" i="22"/>
  <c r="N352" i="22" s="1"/>
  <c r="BC354" i="22"/>
  <c r="N354" i="22" s="1"/>
  <c r="BC355" i="22"/>
  <c r="N355" i="22" s="1"/>
  <c r="BC356" i="22"/>
  <c r="N356" i="22" s="1"/>
  <c r="BC357" i="22"/>
  <c r="N357" i="22" s="1"/>
  <c r="BC358" i="22"/>
  <c r="N358" i="22" s="1"/>
  <c r="BC363" i="22"/>
  <c r="N363" i="22" s="1"/>
  <c r="BC364" i="22"/>
  <c r="N364" i="22" s="1"/>
  <c r="BC365" i="22"/>
  <c r="N365" i="22" s="1"/>
  <c r="BC366" i="22"/>
  <c r="N366" i="22" s="1"/>
  <c r="BC367" i="22"/>
  <c r="N367" i="22" s="1"/>
  <c r="BC368" i="22"/>
  <c r="N368" i="22" s="1"/>
  <c r="BC369" i="22"/>
  <c r="N369" i="22" s="1"/>
  <c r="BC370" i="22"/>
  <c r="N370" i="22" s="1"/>
  <c r="BC371" i="22"/>
  <c r="N371" i="22" s="1"/>
  <c r="BC372" i="22"/>
  <c r="N372" i="22" s="1"/>
  <c r="BC373" i="22"/>
  <c r="N373" i="22" s="1"/>
  <c r="BC374" i="22"/>
  <c r="N374" i="22" s="1"/>
  <c r="BC375" i="22"/>
  <c r="N375" i="22" s="1"/>
  <c r="BC376" i="22"/>
  <c r="N376" i="22" s="1"/>
  <c r="BC377" i="22"/>
  <c r="N377" i="22" s="1"/>
  <c r="BC378" i="22"/>
  <c r="N378" i="22" s="1"/>
  <c r="BC379" i="22"/>
  <c r="N379" i="22" s="1"/>
  <c r="BC380" i="22"/>
  <c r="N380" i="22" s="1"/>
  <c r="BC381" i="22"/>
  <c r="N381" i="22" s="1"/>
  <c r="BC382" i="22"/>
  <c r="N382" i="22" s="1"/>
  <c r="BC383" i="22"/>
  <c r="N383" i="22" s="1"/>
  <c r="BC384" i="22"/>
  <c r="N384" i="22" s="1"/>
  <c r="BC385" i="22"/>
  <c r="N385" i="22" s="1"/>
  <c r="BC386" i="22"/>
  <c r="N386" i="22" s="1"/>
  <c r="BC387" i="22"/>
  <c r="N387" i="22" s="1"/>
  <c r="BC388" i="22"/>
  <c r="N388" i="22" s="1"/>
  <c r="BC389" i="22"/>
  <c r="N389" i="22" s="1"/>
  <c r="BC390" i="22"/>
  <c r="N390" i="22" s="1"/>
  <c r="BC391" i="22"/>
  <c r="N391" i="22" s="1"/>
  <c r="BC393" i="22"/>
  <c r="N393" i="22" s="1"/>
  <c r="BC394" i="22"/>
  <c r="N394" i="22" s="1"/>
  <c r="BC395" i="22"/>
  <c r="N395" i="22" s="1"/>
  <c r="BC396" i="22"/>
  <c r="N396" i="22" s="1"/>
  <c r="BC397" i="22"/>
  <c r="N397" i="22" s="1"/>
  <c r="BC398" i="22"/>
  <c r="N398" i="22" s="1"/>
  <c r="BC399" i="22"/>
  <c r="N399" i="22" s="1"/>
  <c r="BC400" i="22"/>
  <c r="N400" i="22" s="1"/>
  <c r="BC401" i="22"/>
  <c r="N401" i="22" s="1"/>
  <c r="BC402" i="22"/>
  <c r="N402" i="22" s="1"/>
  <c r="BC403" i="22"/>
  <c r="N403" i="22" s="1"/>
  <c r="BC404" i="22"/>
  <c r="N404" i="22" s="1"/>
  <c r="BC405" i="22"/>
  <c r="N405" i="22" s="1"/>
  <c r="BC406" i="22"/>
  <c r="N406" i="22" s="1"/>
  <c r="BC407" i="22"/>
  <c r="N407" i="22" s="1"/>
  <c r="BC408" i="22"/>
  <c r="N408" i="22" s="1"/>
  <c r="BC409" i="22"/>
  <c r="N409" i="22" s="1"/>
  <c r="BC410" i="22"/>
  <c r="N410" i="22" s="1"/>
  <c r="BC411" i="22"/>
  <c r="N411" i="22" s="1"/>
  <c r="BC412" i="22"/>
  <c r="N412" i="22" s="1"/>
  <c r="BC413" i="22"/>
  <c r="N413" i="22" s="1"/>
  <c r="BC414" i="22"/>
  <c r="N414" i="22" s="1"/>
  <c r="BC415" i="22"/>
  <c r="N415" i="22" s="1"/>
  <c r="BC416" i="22"/>
  <c r="N416" i="22" s="1"/>
  <c r="BC417" i="22"/>
  <c r="N417" i="22" s="1"/>
  <c r="BC418" i="22"/>
  <c r="N418" i="22" s="1"/>
  <c r="BC419" i="22"/>
  <c r="N419" i="22" s="1"/>
  <c r="BC420" i="22"/>
  <c r="N420" i="22" s="1"/>
  <c r="BC421" i="22"/>
  <c r="N421" i="22" s="1"/>
  <c r="BC422" i="22"/>
  <c r="N422" i="22" s="1"/>
  <c r="BC106" i="22"/>
  <c r="N106" i="22" s="1"/>
  <c r="BC153" i="22"/>
  <c r="N153" i="22" s="1"/>
  <c r="BC174" i="22"/>
  <c r="N174" i="22" s="1"/>
  <c r="BC175" i="22"/>
  <c r="N175" i="22" s="1"/>
  <c r="BC176" i="22"/>
  <c r="N176" i="22" s="1"/>
  <c r="BC177" i="22"/>
  <c r="N177" i="22" s="1"/>
  <c r="BC178" i="22"/>
  <c r="N178" i="22" s="1"/>
  <c r="BC179" i="22"/>
  <c r="N179" i="22" s="1"/>
  <c r="BC180" i="22"/>
  <c r="N180" i="22" s="1"/>
  <c r="BC181" i="22"/>
  <c r="N181" i="22" s="1"/>
  <c r="BC182" i="22"/>
  <c r="N182" i="22" s="1"/>
  <c r="BA3" i="22"/>
  <c r="BA4" i="22"/>
  <c r="BA5" i="22"/>
  <c r="BA6" i="22"/>
  <c r="BA7" i="22"/>
  <c r="BA8" i="22"/>
  <c r="BA9" i="22"/>
  <c r="BA10" i="22"/>
  <c r="BA11" i="22"/>
  <c r="BA12" i="22"/>
  <c r="BA13" i="22"/>
  <c r="BA14" i="22"/>
  <c r="BA15" i="22"/>
  <c r="BA16" i="22"/>
  <c r="BA17" i="22"/>
  <c r="BA18" i="22"/>
  <c r="BA19" i="22"/>
  <c r="BA20" i="22"/>
  <c r="BA21" i="22"/>
  <c r="BA22" i="22"/>
  <c r="BA23" i="22"/>
  <c r="BA24" i="22"/>
  <c r="BA25" i="22"/>
  <c r="BA26" i="22"/>
  <c r="BA27" i="22"/>
  <c r="BA28" i="22"/>
  <c r="BA29" i="22"/>
  <c r="BA30" i="22"/>
  <c r="BA31" i="22"/>
  <c r="BA32" i="22"/>
  <c r="BA33" i="22"/>
  <c r="BA34" i="22"/>
  <c r="BA35" i="22"/>
  <c r="BA36" i="22"/>
  <c r="BA37" i="22"/>
  <c r="BA38" i="22"/>
  <c r="BA39" i="22"/>
  <c r="BA40" i="22"/>
  <c r="BA41" i="22"/>
  <c r="BA42" i="22"/>
  <c r="BA43" i="22"/>
  <c r="BA44" i="22"/>
  <c r="BA45" i="22"/>
  <c r="BA46" i="22"/>
  <c r="BA47" i="22"/>
  <c r="BA48" i="22"/>
  <c r="BA49" i="22"/>
  <c r="BA50" i="22"/>
  <c r="BA51" i="22"/>
  <c r="BA52" i="22"/>
  <c r="BA53" i="22"/>
  <c r="BA54" i="22"/>
  <c r="BA55" i="22"/>
  <c r="BA56" i="22"/>
  <c r="BA57" i="22"/>
  <c r="BA58" i="22"/>
  <c r="BA59" i="22"/>
  <c r="BA60" i="22"/>
  <c r="BA61" i="22"/>
  <c r="BA62" i="22"/>
  <c r="BA63" i="22"/>
  <c r="BA64" i="22"/>
  <c r="BA65" i="22"/>
  <c r="BA66" i="22"/>
  <c r="BA67" i="22"/>
  <c r="BA68" i="22"/>
  <c r="BA69" i="22"/>
  <c r="BA70" i="22"/>
  <c r="BA71" i="22"/>
  <c r="BA72" i="22"/>
  <c r="BA73" i="22"/>
  <c r="BA74" i="22"/>
  <c r="BA75" i="22"/>
  <c r="BA76" i="22"/>
  <c r="BA77" i="22"/>
  <c r="BA78" i="22"/>
  <c r="BA79" i="22"/>
  <c r="BA80" i="22"/>
  <c r="BA81" i="22"/>
  <c r="BA82" i="22"/>
  <c r="BA83" i="22"/>
  <c r="BA84" i="22"/>
  <c r="BA85" i="22"/>
  <c r="BA86" i="22"/>
  <c r="BA87" i="22"/>
  <c r="BA88" i="22"/>
  <c r="BA89" i="22"/>
  <c r="BA90" i="22"/>
  <c r="BA91" i="22"/>
  <c r="BA92" i="22"/>
  <c r="BA93" i="22"/>
  <c r="BA94" i="22"/>
  <c r="BA95" i="22"/>
  <c r="BA96" i="22"/>
  <c r="BA97" i="22"/>
  <c r="BA98" i="22"/>
  <c r="BA99" i="22"/>
  <c r="BA100" i="22"/>
  <c r="BA101" i="22"/>
  <c r="BA102" i="22"/>
  <c r="BA103" i="22"/>
  <c r="BA104" i="22"/>
  <c r="BA105" i="22"/>
  <c r="BA107" i="22"/>
  <c r="BA108" i="22"/>
  <c r="BA109" i="22"/>
  <c r="BA110" i="22"/>
  <c r="BA111" i="22"/>
  <c r="BA112" i="22"/>
  <c r="BA113" i="22"/>
  <c r="BA114" i="22"/>
  <c r="BA115" i="22"/>
  <c r="BA116" i="22"/>
  <c r="BA117" i="22"/>
  <c r="BA118" i="22"/>
  <c r="BA119" i="22"/>
  <c r="BA120" i="22"/>
  <c r="BA121" i="22"/>
  <c r="BA122" i="22"/>
  <c r="BA123" i="22"/>
  <c r="BA124" i="22"/>
  <c r="BA125" i="22"/>
  <c r="BA126" i="22"/>
  <c r="BA127" i="22"/>
  <c r="BA128" i="22"/>
  <c r="BA129" i="22"/>
  <c r="BA130" i="22"/>
  <c r="BA131" i="22"/>
  <c r="BA132" i="22"/>
  <c r="BA133" i="22"/>
  <c r="BA134" i="22"/>
  <c r="BA135" i="22"/>
  <c r="BA136" i="22"/>
  <c r="BA137" i="22"/>
  <c r="BA138" i="22"/>
  <c r="BA139" i="22"/>
  <c r="BA140" i="22"/>
  <c r="BA141" i="22"/>
  <c r="BA142" i="22"/>
  <c r="BA143" i="22"/>
  <c r="BA144" i="22"/>
  <c r="BA145" i="22"/>
  <c r="BA146" i="22"/>
  <c r="BA147" i="22"/>
  <c r="BA148" i="22"/>
  <c r="BA149" i="22"/>
  <c r="BA150" i="22"/>
  <c r="BA151" i="22"/>
  <c r="BA152" i="22"/>
  <c r="BA154" i="22"/>
  <c r="BA155" i="22"/>
  <c r="BA156" i="22"/>
  <c r="BA157" i="22"/>
  <c r="BA158" i="22"/>
  <c r="BA159" i="22"/>
  <c r="BA160" i="22"/>
  <c r="BA161" i="22"/>
  <c r="BA162" i="22"/>
  <c r="BA163" i="22"/>
  <c r="BA164" i="22"/>
  <c r="BA165" i="22"/>
  <c r="BA166" i="22"/>
  <c r="BA167" i="22"/>
  <c r="BA168" i="22"/>
  <c r="BA169" i="22"/>
  <c r="BA170" i="22"/>
  <c r="BA171" i="22"/>
  <c r="BA172" i="22"/>
  <c r="BA173" i="22"/>
  <c r="BA183" i="22"/>
  <c r="BA184" i="22"/>
  <c r="BA185" i="22"/>
  <c r="BA186" i="22"/>
  <c r="BA187" i="22"/>
  <c r="BA188" i="22"/>
  <c r="BA189" i="22"/>
  <c r="BA190" i="22"/>
  <c r="BA191" i="22"/>
  <c r="BA192" i="22"/>
  <c r="BA193" i="22"/>
  <c r="BA194" i="22"/>
  <c r="BA195" i="22"/>
  <c r="BA196" i="22"/>
  <c r="BA197" i="22"/>
  <c r="BA198" i="22"/>
  <c r="BA199" i="22"/>
  <c r="BA200" i="22"/>
  <c r="BA201" i="22"/>
  <c r="BA202" i="22"/>
  <c r="BA203" i="22"/>
  <c r="BA204" i="22"/>
  <c r="BA205" i="22"/>
  <c r="BA206" i="22"/>
  <c r="BA207" i="22"/>
  <c r="BA208" i="22"/>
  <c r="BA209" i="22"/>
  <c r="BA210" i="22"/>
  <c r="BA211" i="22"/>
  <c r="BA212" i="22"/>
  <c r="BA213" i="22"/>
  <c r="BA214" i="22"/>
  <c r="BA215" i="22"/>
  <c r="BA216" i="22"/>
  <c r="BA217" i="22"/>
  <c r="BA218" i="22"/>
  <c r="BA219" i="22"/>
  <c r="BA220" i="22"/>
  <c r="BA221" i="22"/>
  <c r="BA222" i="22"/>
  <c r="BA223" i="22"/>
  <c r="BA224" i="22"/>
  <c r="BA225" i="22"/>
  <c r="BA226" i="22"/>
  <c r="BA227" i="22"/>
  <c r="BA228" i="22"/>
  <c r="BA229" i="22"/>
  <c r="BA230" i="22"/>
  <c r="BA231" i="22"/>
  <c r="BA232" i="22"/>
  <c r="BA233" i="22"/>
  <c r="BA234" i="22"/>
  <c r="BA235" i="22"/>
  <c r="BA236" i="22"/>
  <c r="BA237" i="22"/>
  <c r="BA238" i="22"/>
  <c r="BA239" i="22"/>
  <c r="BA240" i="22"/>
  <c r="BA241" i="22"/>
  <c r="BA242" i="22"/>
  <c r="BA243" i="22"/>
  <c r="BA244" i="22"/>
  <c r="BA245" i="22"/>
  <c r="BA246" i="22"/>
  <c r="BA247" i="22"/>
  <c r="BA248" i="22"/>
  <c r="BA249" i="22"/>
  <c r="BA250" i="22"/>
  <c r="BA251" i="22"/>
  <c r="BA252" i="22"/>
  <c r="BA253" i="22"/>
  <c r="BA254" i="22"/>
  <c r="BA255" i="22"/>
  <c r="BA256" i="22"/>
  <c r="BA257" i="22"/>
  <c r="BA258" i="22"/>
  <c r="BA259" i="22"/>
  <c r="BA260" i="22"/>
  <c r="BA261" i="22"/>
  <c r="BA262" i="22"/>
  <c r="BA263" i="22"/>
  <c r="BA264" i="22"/>
  <c r="BA265" i="22"/>
  <c r="BA266" i="22"/>
  <c r="BA267" i="22"/>
  <c r="BA268" i="22"/>
  <c r="BA269" i="22"/>
  <c r="BA270" i="22"/>
  <c r="BA271" i="22"/>
  <c r="BA272" i="22"/>
  <c r="BA273" i="22"/>
  <c r="BA274" i="22"/>
  <c r="BA275" i="22"/>
  <c r="BA276" i="22"/>
  <c r="BA277" i="22"/>
  <c r="BA278" i="22"/>
  <c r="BA279" i="22"/>
  <c r="BA280" i="22"/>
  <c r="BA281" i="22"/>
  <c r="BA282" i="22"/>
  <c r="BA283" i="22"/>
  <c r="BA284" i="22"/>
  <c r="BA285" i="22"/>
  <c r="BA286" i="22"/>
  <c r="BA287" i="22"/>
  <c r="BA288" i="22"/>
  <c r="BA289" i="22"/>
  <c r="BA290" i="22"/>
  <c r="BA291" i="22"/>
  <c r="BA292" i="22"/>
  <c r="BA293" i="22"/>
  <c r="BA294" i="22"/>
  <c r="BA295" i="22"/>
  <c r="BA296" i="22"/>
  <c r="BA297" i="22"/>
  <c r="BA298" i="22"/>
  <c r="BA299" i="22"/>
  <c r="BA300" i="22"/>
  <c r="BA301" i="22"/>
  <c r="BA302" i="22"/>
  <c r="BA303" i="22"/>
  <c r="BA304" i="22"/>
  <c r="BA305" i="22"/>
  <c r="BA306" i="22"/>
  <c r="BA307" i="22"/>
  <c r="BA308" i="22"/>
  <c r="BA309" i="22"/>
  <c r="BA310" i="22"/>
  <c r="BA311" i="22"/>
  <c r="BA312" i="22"/>
  <c r="BA314" i="22"/>
  <c r="BA315" i="22"/>
  <c r="BA316" i="22"/>
  <c r="BA317" i="22"/>
  <c r="BA318" i="22"/>
  <c r="BA319" i="22"/>
  <c r="BA320" i="22"/>
  <c r="BA321" i="22"/>
  <c r="BA322" i="22"/>
  <c r="BA323" i="22"/>
  <c r="BA324" i="22"/>
  <c r="BA325" i="22"/>
  <c r="BA326" i="22"/>
  <c r="BA327" i="22"/>
  <c r="BA328" i="22"/>
  <c r="BA329" i="22"/>
  <c r="BA330" i="22"/>
  <c r="BA331" i="22"/>
  <c r="BA332" i="22"/>
  <c r="BA333" i="22"/>
  <c r="BA334" i="22"/>
  <c r="BA335" i="22"/>
  <c r="BA336" i="22"/>
  <c r="BA337" i="22"/>
  <c r="BA338" i="22"/>
  <c r="BA339" i="22"/>
  <c r="BA340" i="22"/>
  <c r="BA341" i="22"/>
  <c r="BA342" i="22"/>
  <c r="BA343" i="22"/>
  <c r="BA344" i="22"/>
  <c r="BA345" i="22"/>
  <c r="BA346" i="22"/>
  <c r="BA347" i="22"/>
  <c r="BA348" i="22"/>
  <c r="BA349" i="22"/>
  <c r="BA350" i="22"/>
  <c r="BA351" i="22"/>
  <c r="BA352" i="22"/>
  <c r="BA354" i="22"/>
  <c r="BA355" i="22"/>
  <c r="BA356" i="22"/>
  <c r="BA357" i="22"/>
  <c r="BA358" i="22"/>
  <c r="BA363" i="22"/>
  <c r="BA364" i="22"/>
  <c r="BA365" i="22"/>
  <c r="BA366" i="22"/>
  <c r="BA367" i="22"/>
  <c r="BA368" i="22"/>
  <c r="BA369" i="22"/>
  <c r="BA370" i="22"/>
  <c r="BA371" i="22"/>
  <c r="BA372" i="22"/>
  <c r="BA373" i="22"/>
  <c r="BA374" i="22"/>
  <c r="BA375" i="22"/>
  <c r="BA376" i="22"/>
  <c r="BA377" i="22"/>
  <c r="BA378" i="22"/>
  <c r="BA379" i="22"/>
  <c r="BA380" i="22"/>
  <c r="BA381" i="22"/>
  <c r="BA382" i="22"/>
  <c r="BA383" i="22"/>
  <c r="BA384" i="22"/>
  <c r="BA385" i="22"/>
  <c r="BA386" i="22"/>
  <c r="BA387" i="22"/>
  <c r="BA388" i="22"/>
  <c r="BA389" i="22"/>
  <c r="BA390" i="22"/>
  <c r="BA391" i="22"/>
  <c r="BA393" i="22"/>
  <c r="BA394" i="22"/>
  <c r="BA395" i="22"/>
  <c r="BA396" i="22"/>
  <c r="BA397" i="22"/>
  <c r="BA398" i="22"/>
  <c r="BA399" i="22"/>
  <c r="BA400" i="22"/>
  <c r="BA401" i="22"/>
  <c r="BA402" i="22"/>
  <c r="BA403" i="22"/>
  <c r="BA404" i="22"/>
  <c r="BA405" i="22"/>
  <c r="BA406" i="22"/>
  <c r="BA407" i="22"/>
  <c r="BA408" i="22"/>
  <c r="BA409" i="22"/>
  <c r="BA410" i="22"/>
  <c r="BA411" i="22"/>
  <c r="BA412" i="22"/>
  <c r="BA413" i="22"/>
  <c r="BA414" i="22"/>
  <c r="BA415" i="22"/>
  <c r="BA416" i="22"/>
  <c r="BA417" i="22"/>
  <c r="BA418" i="22"/>
  <c r="BA419" i="22"/>
  <c r="BA420" i="22"/>
  <c r="BA421" i="22"/>
  <c r="BA422" i="22"/>
  <c r="BA106" i="22"/>
  <c r="BA153" i="22"/>
  <c r="BA174" i="22"/>
  <c r="BA175" i="22"/>
  <c r="BA176" i="22"/>
  <c r="BA177" i="22"/>
  <c r="BA178" i="22"/>
  <c r="BA179" i="22"/>
  <c r="BA180" i="22"/>
  <c r="BA181" i="22"/>
  <c r="BA182" i="22"/>
  <c r="AW2" i="22"/>
  <c r="S2" i="22"/>
  <c r="S11" i="22"/>
  <c r="S12" i="22"/>
  <c r="S13" i="22"/>
  <c r="S14" i="22"/>
  <c r="S15" i="22"/>
  <c r="S16" i="22"/>
  <c r="S17" i="22"/>
  <c r="S18" i="22"/>
  <c r="S19" i="22"/>
  <c r="S20" i="22"/>
  <c r="S21" i="22"/>
  <c r="S22" i="22"/>
  <c r="S23" i="22"/>
  <c r="S24" i="22"/>
  <c r="S25" i="22"/>
  <c r="S26" i="22"/>
  <c r="S27" i="22"/>
  <c r="S33" i="22"/>
  <c r="S34" i="22"/>
  <c r="S35" i="22"/>
  <c r="S36" i="22"/>
  <c r="S37" i="22"/>
  <c r="S63" i="22"/>
  <c r="S82" i="22"/>
  <c r="S83" i="22"/>
  <c r="S84" i="22"/>
  <c r="S85" i="22"/>
  <c r="S86" i="22"/>
  <c r="S87" i="22"/>
  <c r="S88" i="22"/>
  <c r="S89" i="22"/>
  <c r="S90" i="22"/>
  <c r="S91" i="22"/>
  <c r="S92" i="22"/>
  <c r="S93" i="22"/>
  <c r="S94" i="22"/>
  <c r="S95" i="22"/>
  <c r="S96" i="22"/>
  <c r="S97" i="22"/>
  <c r="S98" i="22"/>
  <c r="S99" i="22"/>
  <c r="S100" i="22"/>
  <c r="S107" i="22"/>
  <c r="S108" i="22"/>
  <c r="S109" i="22"/>
  <c r="S110" i="22"/>
  <c r="S111" i="22"/>
  <c r="S112" i="22"/>
  <c r="S113" i="22"/>
  <c r="S114" i="22"/>
  <c r="S115" i="22"/>
  <c r="S116" i="22"/>
  <c r="S117" i="22"/>
  <c r="S118" i="22"/>
  <c r="S119" i="22"/>
  <c r="S120" i="22"/>
  <c r="S121" i="22"/>
  <c r="S122" i="22"/>
  <c r="S123" i="22"/>
  <c r="S124" i="22"/>
  <c r="S125" i="22"/>
  <c r="S126" i="22"/>
  <c r="S127" i="22"/>
  <c r="S128" i="22"/>
  <c r="S129" i="22"/>
  <c r="S130" i="22"/>
  <c r="S131" i="22"/>
  <c r="S132" i="22"/>
  <c r="S133" i="22"/>
  <c r="S134" i="22"/>
  <c r="S135" i="22"/>
  <c r="S136" i="22"/>
  <c r="S137" i="22"/>
  <c r="S138" i="22"/>
  <c r="S139" i="22"/>
  <c r="S140" i="22"/>
  <c r="S141" i="22"/>
  <c r="S142" i="22"/>
  <c r="S143" i="22"/>
  <c r="S144" i="22"/>
  <c r="S145" i="22"/>
  <c r="S146" i="22"/>
  <c r="S147" i="22"/>
  <c r="S148" i="22"/>
  <c r="S149" i="22"/>
  <c r="S150" i="22"/>
  <c r="S151" i="22"/>
  <c r="S152" i="22"/>
  <c r="S155" i="22"/>
  <c r="S156" i="22"/>
  <c r="S157" i="22"/>
  <c r="S158" i="22"/>
  <c r="S159" i="22"/>
  <c r="S160" i="22"/>
  <c r="S161" i="22"/>
  <c r="S162" i="22"/>
  <c r="S163" i="22"/>
  <c r="S169" i="22"/>
  <c r="S170" i="22"/>
  <c r="S171" i="22"/>
  <c r="S172" i="22"/>
  <c r="S173" i="22"/>
  <c r="S188" i="22"/>
  <c r="S189" i="22"/>
  <c r="S190" i="22"/>
  <c r="S196" i="22"/>
  <c r="S197" i="22"/>
  <c r="S198" i="22"/>
  <c r="S199" i="22"/>
  <c r="S200" i="22"/>
  <c r="S201" i="22"/>
  <c r="S202" i="22"/>
  <c r="S203" i="22"/>
  <c r="S204" i="22"/>
  <c r="S205" i="22"/>
  <c r="S206" i="22"/>
  <c r="S207" i="22"/>
  <c r="S208" i="22"/>
  <c r="S209" i="22"/>
  <c r="S210" i="22"/>
  <c r="S211" i="22"/>
  <c r="S212" i="22"/>
  <c r="S213" i="22"/>
  <c r="S214" i="22"/>
  <c r="S215" i="22"/>
  <c r="S216" i="22"/>
  <c r="S217" i="22"/>
  <c r="S218" i="22"/>
  <c r="S219" i="22"/>
  <c r="S220" i="22"/>
  <c r="S221" i="22"/>
  <c r="S222" i="22"/>
  <c r="S223" i="22"/>
  <c r="S224" i="22"/>
  <c r="S225" i="22"/>
  <c r="S226" i="22"/>
  <c r="S227" i="22"/>
  <c r="S228" i="22"/>
  <c r="S229" i="22"/>
  <c r="S230" i="22"/>
  <c r="S231" i="22"/>
  <c r="S232" i="22"/>
  <c r="S233" i="22"/>
  <c r="S234" i="22"/>
  <c r="S235" i="22"/>
  <c r="S236" i="22"/>
  <c r="S237" i="22"/>
  <c r="S238" i="22"/>
  <c r="S239" i="22"/>
  <c r="S240" i="22"/>
  <c r="S241" i="22"/>
  <c r="S242" i="22"/>
  <c r="S243" i="22"/>
  <c r="S244" i="22"/>
  <c r="S245" i="22"/>
  <c r="S246" i="22"/>
  <c r="S247" i="22"/>
  <c r="S248" i="22"/>
  <c r="S249" i="22"/>
  <c r="S250" i="22"/>
  <c r="S251" i="22"/>
  <c r="S252" i="22"/>
  <c r="S253" i="22"/>
  <c r="S254" i="22"/>
  <c r="S255" i="22"/>
  <c r="S256" i="22"/>
  <c r="S257" i="22"/>
  <c r="S258" i="22"/>
  <c r="S259" i="22"/>
  <c r="S260" i="22"/>
  <c r="S261" i="22"/>
  <c r="S262" i="22"/>
  <c r="S263" i="22"/>
  <c r="S264" i="22"/>
  <c r="S265" i="22"/>
  <c r="S266" i="22"/>
  <c r="S267" i="22"/>
  <c r="S268" i="22"/>
  <c r="S269" i="22"/>
  <c r="S270" i="22"/>
  <c r="S271" i="22"/>
  <c r="S272" i="22"/>
  <c r="S273" i="22"/>
  <c r="S274" i="22"/>
  <c r="S275" i="22"/>
  <c r="S276" i="22"/>
  <c r="S277" i="22"/>
  <c r="S278" i="22"/>
  <c r="S279" i="22"/>
  <c r="S280" i="22"/>
  <c r="S281" i="22"/>
  <c r="S282" i="22"/>
  <c r="S283" i="22"/>
  <c r="S284" i="22"/>
  <c r="S285" i="22"/>
  <c r="S286" i="22"/>
  <c r="S287" i="22"/>
  <c r="S288" i="22"/>
  <c r="S289" i="22"/>
  <c r="S290" i="22"/>
  <c r="S291" i="22"/>
  <c r="S292" i="22"/>
  <c r="S293" i="22"/>
  <c r="S294" i="22"/>
  <c r="S295" i="22"/>
  <c r="S296" i="22"/>
  <c r="S297" i="22"/>
  <c r="S298" i="22"/>
  <c r="S300" i="22"/>
  <c r="S301" i="22"/>
  <c r="S302" i="22"/>
  <c r="S303" i="22"/>
  <c r="S304" i="22"/>
  <c r="S317" i="22"/>
  <c r="S318" i="22"/>
  <c r="S319" i="22"/>
  <c r="S320" i="22"/>
  <c r="S321" i="22"/>
  <c r="S322" i="22"/>
  <c r="S323" i="22"/>
  <c r="S324" i="22"/>
  <c r="S325" i="22"/>
  <c r="S326" i="22"/>
  <c r="S327" i="22"/>
  <c r="S328" i="22"/>
  <c r="S329" i="22"/>
  <c r="S330" i="22"/>
  <c r="S331" i="22"/>
  <c r="S332" i="22"/>
  <c r="S342" i="22"/>
  <c r="S344" i="22"/>
  <c r="S345" i="22"/>
  <c r="S346" i="22"/>
  <c r="S347" i="22"/>
  <c r="S352" i="22"/>
  <c r="S354" i="22"/>
  <c r="S355" i="22"/>
  <c r="S356" i="22"/>
  <c r="S357" i="22"/>
  <c r="S358" i="22"/>
  <c r="S363" i="22"/>
  <c r="S364" i="22"/>
  <c r="S366" i="22"/>
  <c r="S367" i="22"/>
  <c r="S368" i="22"/>
  <c r="S370" i="22"/>
  <c r="S371" i="22"/>
  <c r="S372" i="22"/>
  <c r="S373" i="22"/>
  <c r="S374" i="22"/>
  <c r="S375" i="22"/>
  <c r="S376" i="22"/>
  <c r="S377" i="22"/>
  <c r="S378" i="22"/>
  <c r="S379" i="22"/>
  <c r="S380" i="22"/>
  <c r="S381" i="22"/>
  <c r="S383" i="22"/>
  <c r="S384" i="22"/>
  <c r="S385" i="22"/>
  <c r="S386" i="22"/>
  <c r="S387" i="22"/>
  <c r="S388" i="22"/>
  <c r="S389" i="22"/>
  <c r="S390" i="22"/>
  <c r="S391" i="22"/>
  <c r="S394" i="22"/>
  <c r="S395" i="22"/>
  <c r="S396" i="22"/>
  <c r="S397" i="22"/>
  <c r="S398" i="22"/>
  <c r="S399" i="22"/>
  <c r="S400" i="22"/>
  <c r="S401" i="22"/>
  <c r="S402" i="22"/>
  <c r="S403" i="22"/>
  <c r="S404" i="22"/>
  <c r="S405" i="22"/>
  <c r="S406" i="22"/>
  <c r="S407" i="22"/>
  <c r="S408" i="22"/>
  <c r="S409" i="22"/>
  <c r="S410" i="22"/>
  <c r="S416" i="22"/>
  <c r="S417" i="22"/>
  <c r="S418" i="22"/>
  <c r="S419" i="22"/>
  <c r="S421" i="22"/>
  <c r="S422" i="22"/>
  <c r="S106" i="22"/>
  <c r="S153" i="22"/>
  <c r="S174" i="22"/>
  <c r="S175" i="22"/>
  <c r="S176" i="22"/>
  <c r="S177" i="22"/>
  <c r="S178" i="22"/>
  <c r="S179" i="22"/>
  <c r="S180" i="22"/>
  <c r="S181" i="22"/>
  <c r="S182" i="22"/>
  <c r="P2" i="22"/>
  <c r="P3" i="22"/>
  <c r="P4" i="22"/>
  <c r="P5" i="22"/>
  <c r="P6" i="22"/>
  <c r="P7" i="22"/>
  <c r="P8" i="22"/>
  <c r="P10" i="22"/>
  <c r="P11" i="22"/>
  <c r="P12" i="22"/>
  <c r="P13" i="22"/>
  <c r="P14" i="22"/>
  <c r="P15" i="22"/>
  <c r="P16" i="22"/>
  <c r="P17" i="22"/>
  <c r="P18" i="22"/>
  <c r="P19" i="22"/>
  <c r="P20" i="22"/>
  <c r="P21" i="22"/>
  <c r="P22" i="22"/>
  <c r="P23" i="22"/>
  <c r="P24" i="22"/>
  <c r="P25" i="22"/>
  <c r="P26" i="22"/>
  <c r="P27" i="22"/>
  <c r="P28" i="22"/>
  <c r="P29" i="22"/>
  <c r="P30" i="22"/>
  <c r="P31" i="22"/>
  <c r="P32" i="22"/>
  <c r="P33" i="22"/>
  <c r="P34" i="22"/>
  <c r="P35" i="22"/>
  <c r="P36" i="22"/>
  <c r="P37" i="22"/>
  <c r="P38" i="22"/>
  <c r="P39" i="22"/>
  <c r="P40" i="22"/>
  <c r="P41" i="22"/>
  <c r="P42" i="22"/>
  <c r="P43" i="22"/>
  <c r="P44" i="22"/>
  <c r="P45" i="22"/>
  <c r="P46" i="22"/>
  <c r="P47" i="22"/>
  <c r="P48" i="22"/>
  <c r="P49" i="22"/>
  <c r="P50" i="22"/>
  <c r="P51" i="22"/>
  <c r="P52" i="22"/>
  <c r="P53" i="22"/>
  <c r="P54" i="22"/>
  <c r="P55" i="22"/>
  <c r="P56" i="22"/>
  <c r="P57" i="22"/>
  <c r="P58" i="22"/>
  <c r="P59" i="22"/>
  <c r="P60" i="22"/>
  <c r="P61" i="22"/>
  <c r="P62" i="22"/>
  <c r="P63" i="22"/>
  <c r="P64" i="22"/>
  <c r="P65" i="22"/>
  <c r="P66" i="22"/>
  <c r="P67" i="22"/>
  <c r="P68" i="22"/>
  <c r="P69" i="22"/>
  <c r="P70" i="22"/>
  <c r="P71" i="22"/>
  <c r="P72" i="22"/>
  <c r="P73" i="22"/>
  <c r="P74" i="22"/>
  <c r="P75" i="22"/>
  <c r="P76" i="22"/>
  <c r="P77" i="22"/>
  <c r="P78" i="22"/>
  <c r="P79" i="22"/>
  <c r="P80" i="22"/>
  <c r="P81" i="22"/>
  <c r="P82" i="22"/>
  <c r="P83" i="22"/>
  <c r="P84" i="22"/>
  <c r="P85" i="22"/>
  <c r="P86" i="22"/>
  <c r="P87" i="22"/>
  <c r="P88" i="22"/>
  <c r="P89" i="22"/>
  <c r="P90" i="22"/>
  <c r="P91" i="22"/>
  <c r="P92" i="22"/>
  <c r="P93" i="22"/>
  <c r="P94" i="22"/>
  <c r="P95" i="22"/>
  <c r="P96" i="22"/>
  <c r="P97" i="22"/>
  <c r="P98" i="22"/>
  <c r="P99" i="22"/>
  <c r="P100" i="22"/>
  <c r="P101" i="22"/>
  <c r="P102" i="22"/>
  <c r="P103" i="22"/>
  <c r="P104" i="22"/>
  <c r="P105" i="22"/>
  <c r="P107" i="22"/>
  <c r="P108" i="22"/>
  <c r="P109" i="22"/>
  <c r="P110" i="22"/>
  <c r="P111" i="22"/>
  <c r="P112" i="22"/>
  <c r="P113" i="22"/>
  <c r="P114" i="22"/>
  <c r="P115" i="22"/>
  <c r="P116" i="22"/>
  <c r="P117" i="22"/>
  <c r="P118" i="22"/>
  <c r="P119" i="22"/>
  <c r="P120" i="22"/>
  <c r="P121" i="22"/>
  <c r="P122" i="22"/>
  <c r="P123" i="22"/>
  <c r="P124" i="22"/>
  <c r="P125" i="22"/>
  <c r="P126" i="22"/>
  <c r="P127" i="22"/>
  <c r="P128" i="22"/>
  <c r="P129" i="22"/>
  <c r="P130" i="22"/>
  <c r="P131" i="22"/>
  <c r="P132" i="22"/>
  <c r="P133" i="22"/>
  <c r="P134" i="22"/>
  <c r="P135" i="22"/>
  <c r="P136" i="22"/>
  <c r="P137" i="22"/>
  <c r="P138" i="22"/>
  <c r="P139" i="22"/>
  <c r="P140" i="22"/>
  <c r="P141" i="22"/>
  <c r="P142" i="22"/>
  <c r="P143" i="22"/>
  <c r="P144" i="22"/>
  <c r="P145" i="22"/>
  <c r="P146" i="22"/>
  <c r="P147" i="22"/>
  <c r="P148" i="22"/>
  <c r="P149" i="22"/>
  <c r="P150" i="22"/>
  <c r="P151" i="22"/>
  <c r="P152" i="22"/>
  <c r="P154" i="22"/>
  <c r="P155" i="22"/>
  <c r="P156" i="22"/>
  <c r="P157" i="22"/>
  <c r="P158" i="22"/>
  <c r="P159" i="22"/>
  <c r="P160" i="22"/>
  <c r="P161" i="22"/>
  <c r="P162" i="22"/>
  <c r="P163" i="22"/>
  <c r="P164" i="22"/>
  <c r="P165" i="22"/>
  <c r="P166" i="22"/>
  <c r="P167" i="22"/>
  <c r="P168" i="22"/>
  <c r="P169" i="22"/>
  <c r="P170" i="22"/>
  <c r="P171" i="22"/>
  <c r="P172" i="22"/>
  <c r="P173" i="22"/>
  <c r="P183" i="22"/>
  <c r="P184" i="22"/>
  <c r="P185" i="22"/>
  <c r="P186" i="22"/>
  <c r="P187" i="22"/>
  <c r="P188" i="22"/>
  <c r="P189" i="22"/>
  <c r="P190" i="22"/>
  <c r="P191" i="22"/>
  <c r="P192" i="22"/>
  <c r="P193" i="22"/>
  <c r="P194" i="22"/>
  <c r="P195" i="22"/>
  <c r="P196" i="22"/>
  <c r="P197" i="22"/>
  <c r="P198" i="22"/>
  <c r="P199" i="22"/>
  <c r="P200" i="22"/>
  <c r="P201" i="22"/>
  <c r="P202" i="22"/>
  <c r="P203" i="22"/>
  <c r="P204" i="22"/>
  <c r="P205" i="22"/>
  <c r="P206" i="22"/>
  <c r="P207" i="22"/>
  <c r="P208" i="22"/>
  <c r="P209" i="22"/>
  <c r="P210" i="22"/>
  <c r="P211" i="22"/>
  <c r="P212" i="22"/>
  <c r="P213" i="22"/>
  <c r="P214" i="22"/>
  <c r="P215" i="22"/>
  <c r="P216" i="22"/>
  <c r="P217" i="22"/>
  <c r="P218" i="22"/>
  <c r="P219" i="22"/>
  <c r="P220" i="22"/>
  <c r="P221" i="22"/>
  <c r="P222" i="22"/>
  <c r="P223" i="22"/>
  <c r="P224" i="22"/>
  <c r="P225" i="22"/>
  <c r="P226" i="22"/>
  <c r="P227" i="22"/>
  <c r="P228" i="22"/>
  <c r="P229" i="22"/>
  <c r="P230" i="22"/>
  <c r="P231" i="22"/>
  <c r="P232" i="22"/>
  <c r="P233" i="22"/>
  <c r="P234" i="22"/>
  <c r="P235" i="22"/>
  <c r="P236" i="22"/>
  <c r="P237" i="22"/>
  <c r="P238" i="22"/>
  <c r="P239" i="22"/>
  <c r="P240" i="22"/>
  <c r="P241" i="22"/>
  <c r="P242" i="22"/>
  <c r="P243" i="22"/>
  <c r="P244" i="22"/>
  <c r="P245" i="22"/>
  <c r="P246" i="22"/>
  <c r="P247" i="22"/>
  <c r="P248" i="22"/>
  <c r="P249" i="22"/>
  <c r="P250" i="22"/>
  <c r="P251" i="22"/>
  <c r="P252" i="22"/>
  <c r="P253" i="22"/>
  <c r="P254" i="22"/>
  <c r="P255" i="22"/>
  <c r="P256" i="22"/>
  <c r="P257" i="22"/>
  <c r="P258" i="22"/>
  <c r="P259" i="22"/>
  <c r="P260" i="22"/>
  <c r="P261" i="22"/>
  <c r="P262" i="22"/>
  <c r="P263" i="22"/>
  <c r="P264" i="22"/>
  <c r="P265" i="22"/>
  <c r="P266" i="22"/>
  <c r="P267" i="22"/>
  <c r="P268" i="22"/>
  <c r="P269" i="22"/>
  <c r="P270" i="22"/>
  <c r="P271" i="22"/>
  <c r="P272" i="22"/>
  <c r="P273" i="22"/>
  <c r="P274" i="22"/>
  <c r="P275" i="22"/>
  <c r="P276" i="22"/>
  <c r="P277" i="22"/>
  <c r="P278" i="22"/>
  <c r="P279" i="22"/>
  <c r="P280" i="22"/>
  <c r="P281" i="22"/>
  <c r="P282" i="22"/>
  <c r="P283" i="22"/>
  <c r="P284" i="22"/>
  <c r="P285" i="22"/>
  <c r="P286" i="22"/>
  <c r="P287" i="22"/>
  <c r="P288" i="22"/>
  <c r="P289" i="22"/>
  <c r="P290" i="22"/>
  <c r="P291" i="22"/>
  <c r="P292" i="22"/>
  <c r="P293" i="22"/>
  <c r="P294" i="22"/>
  <c r="P295" i="22"/>
  <c r="P296" i="22"/>
  <c r="P297" i="22"/>
  <c r="P298" i="22"/>
  <c r="P299" i="22"/>
  <c r="P300" i="22"/>
  <c r="P301" i="22"/>
  <c r="P302" i="22"/>
  <c r="P303" i="22"/>
  <c r="P304" i="22"/>
  <c r="P305" i="22"/>
  <c r="P306" i="22"/>
  <c r="P307" i="22"/>
  <c r="P308" i="22"/>
  <c r="P309" i="22"/>
  <c r="P310" i="22"/>
  <c r="P311" i="22"/>
  <c r="P312" i="22"/>
  <c r="P314" i="22"/>
  <c r="P315" i="22"/>
  <c r="P316" i="22"/>
  <c r="P317" i="22"/>
  <c r="P318" i="22"/>
  <c r="P319" i="22"/>
  <c r="P320" i="22"/>
  <c r="P321" i="22"/>
  <c r="P322" i="22"/>
  <c r="P323" i="22"/>
  <c r="P324" i="22"/>
  <c r="P325" i="22"/>
  <c r="P326" i="22"/>
  <c r="P327" i="22"/>
  <c r="P328" i="22"/>
  <c r="P329" i="22"/>
  <c r="P330" i="22"/>
  <c r="P331" i="22"/>
  <c r="P332" i="22"/>
  <c r="P333" i="22"/>
  <c r="P334" i="22"/>
  <c r="P335" i="22"/>
  <c r="P336" i="22"/>
  <c r="P337" i="22"/>
  <c r="P338" i="22"/>
  <c r="P339" i="22"/>
  <c r="P340" i="22"/>
  <c r="P341" i="22"/>
  <c r="P342" i="22"/>
  <c r="P343" i="22"/>
  <c r="P344" i="22"/>
  <c r="P345" i="22"/>
  <c r="P346" i="22"/>
  <c r="P347" i="22"/>
  <c r="P348" i="22"/>
  <c r="P349" i="22"/>
  <c r="P350" i="22"/>
  <c r="P351" i="22"/>
  <c r="P352" i="22"/>
  <c r="P354" i="22"/>
  <c r="P355" i="22"/>
  <c r="P356" i="22"/>
  <c r="P357" i="22"/>
  <c r="P358" i="22"/>
  <c r="P363" i="22"/>
  <c r="P364" i="22"/>
  <c r="P365" i="22"/>
  <c r="P366" i="22"/>
  <c r="P367" i="22"/>
  <c r="P368" i="22"/>
  <c r="P369" i="22"/>
  <c r="P370" i="22"/>
  <c r="P371" i="22"/>
  <c r="P372" i="22"/>
  <c r="P373" i="22"/>
  <c r="P374" i="22"/>
  <c r="P375" i="22"/>
  <c r="P376" i="22"/>
  <c r="P377" i="22"/>
  <c r="P378" i="22"/>
  <c r="P379" i="22"/>
  <c r="P380" i="22"/>
  <c r="P381" i="22"/>
  <c r="P382" i="22"/>
  <c r="P383" i="22"/>
  <c r="P384" i="22"/>
  <c r="P385" i="22"/>
  <c r="P386" i="22"/>
  <c r="P387" i="22"/>
  <c r="P388" i="22"/>
  <c r="P389" i="22"/>
  <c r="P390" i="22"/>
  <c r="P391" i="22"/>
  <c r="P393" i="22"/>
  <c r="P394" i="22"/>
  <c r="P395" i="22"/>
  <c r="P396" i="22"/>
  <c r="P397" i="22"/>
  <c r="P398" i="22"/>
  <c r="P399" i="22"/>
  <c r="P400" i="22"/>
  <c r="P401" i="22"/>
  <c r="P402" i="22"/>
  <c r="P403" i="22"/>
  <c r="P404" i="22"/>
  <c r="P405" i="22"/>
  <c r="P406" i="22"/>
  <c r="P407" i="22"/>
  <c r="P408" i="22"/>
  <c r="P409" i="22"/>
  <c r="P410" i="22"/>
  <c r="P411" i="22"/>
  <c r="P412" i="22"/>
  <c r="P413" i="22"/>
  <c r="P414" i="22"/>
  <c r="P415" i="22"/>
  <c r="P416" i="22"/>
  <c r="P417" i="22"/>
  <c r="P418" i="22"/>
  <c r="P419" i="22"/>
  <c r="P420" i="22"/>
  <c r="P421" i="22"/>
  <c r="P422" i="22"/>
  <c r="P106" i="22"/>
  <c r="P153" i="22"/>
  <c r="P174" i="22"/>
  <c r="P175" i="22"/>
  <c r="P176" i="22"/>
  <c r="P177" i="22"/>
  <c r="P178" i="22"/>
  <c r="P179" i="22"/>
  <c r="P180" i="22"/>
  <c r="P181" i="22"/>
  <c r="P182" i="22"/>
  <c r="N18" i="22"/>
  <c r="G2" i="22"/>
  <c r="Z2" i="22" s="1"/>
  <c r="Y2" i="22" s="1"/>
  <c r="X2" i="22" s="1"/>
  <c r="W2" i="22" s="1"/>
  <c r="V2" i="22" s="1"/>
  <c r="U2" i="22" s="1"/>
  <c r="G3" i="22"/>
  <c r="Z3" i="22" s="1"/>
  <c r="Y3" i="22" s="1"/>
  <c r="X3" i="22" s="1"/>
  <c r="W3" i="22" s="1"/>
  <c r="V3" i="22" s="1"/>
  <c r="U3" i="22" s="1"/>
  <c r="G4" i="22"/>
  <c r="Z4" i="22" s="1"/>
  <c r="Y4" i="22" s="1"/>
  <c r="X4" i="22" s="1"/>
  <c r="W4" i="22" s="1"/>
  <c r="V4" i="22" s="1"/>
  <c r="U4" i="22" s="1"/>
  <c r="G5" i="22"/>
  <c r="Z5" i="22" s="1"/>
  <c r="Y5" i="22" s="1"/>
  <c r="X5" i="22" s="1"/>
  <c r="W5" i="22" s="1"/>
  <c r="V5" i="22" s="1"/>
  <c r="U5" i="22" s="1"/>
  <c r="G6" i="22"/>
  <c r="Z6" i="22" s="1"/>
  <c r="Y6" i="22" s="1"/>
  <c r="X6" i="22" s="1"/>
  <c r="W6" i="22" s="1"/>
  <c r="V6" i="22" s="1"/>
  <c r="U6" i="22" s="1"/>
  <c r="G7" i="22"/>
  <c r="Z7" i="22" s="1"/>
  <c r="Y7" i="22" s="1"/>
  <c r="X7" i="22" s="1"/>
  <c r="W7" i="22" s="1"/>
  <c r="V7" i="22" s="1"/>
  <c r="U7" i="22" s="1"/>
  <c r="G8" i="22"/>
  <c r="Z8" i="22" s="1"/>
  <c r="Y8" i="22" s="1"/>
  <c r="X8" i="22" s="1"/>
  <c r="W8" i="22" s="1"/>
  <c r="V8" i="22" s="1"/>
  <c r="U8" i="22" s="1"/>
  <c r="G9" i="22"/>
  <c r="Z9" i="22" s="1"/>
  <c r="Y9" i="22" s="1"/>
  <c r="X9" i="22" s="1"/>
  <c r="W9" i="22" s="1"/>
  <c r="V9" i="22" s="1"/>
  <c r="U9" i="22" s="1"/>
  <c r="G10" i="22"/>
  <c r="Z10" i="22" s="1"/>
  <c r="Y10" i="22" s="1"/>
  <c r="X10" i="22" s="1"/>
  <c r="W10" i="22" s="1"/>
  <c r="V10" i="22" s="1"/>
  <c r="U10" i="22" s="1"/>
  <c r="G11" i="22"/>
  <c r="Z11" i="22" s="1"/>
  <c r="Y11" i="22" s="1"/>
  <c r="X11" i="22" s="1"/>
  <c r="W11" i="22" s="1"/>
  <c r="V11" i="22" s="1"/>
  <c r="U11" i="22" s="1"/>
  <c r="G12" i="22"/>
  <c r="Z12" i="22" s="1"/>
  <c r="Y12" i="22" s="1"/>
  <c r="X12" i="22" s="1"/>
  <c r="W12" i="22" s="1"/>
  <c r="V12" i="22" s="1"/>
  <c r="U12" i="22" s="1"/>
  <c r="G13" i="22"/>
  <c r="Z13" i="22" s="1"/>
  <c r="Y13" i="22" s="1"/>
  <c r="X13" i="22" s="1"/>
  <c r="W13" i="22" s="1"/>
  <c r="V13" i="22" s="1"/>
  <c r="U13" i="22" s="1"/>
  <c r="G14" i="22"/>
  <c r="Z14" i="22" s="1"/>
  <c r="Y14" i="22" s="1"/>
  <c r="X14" i="22" s="1"/>
  <c r="W14" i="22" s="1"/>
  <c r="V14" i="22" s="1"/>
  <c r="U14" i="22" s="1"/>
  <c r="G15" i="22"/>
  <c r="Z15" i="22" s="1"/>
  <c r="Y15" i="22" s="1"/>
  <c r="X15" i="22" s="1"/>
  <c r="W15" i="22" s="1"/>
  <c r="V15" i="22" s="1"/>
  <c r="U15" i="22" s="1"/>
  <c r="G16" i="22"/>
  <c r="Z16" i="22" s="1"/>
  <c r="Y16" i="22" s="1"/>
  <c r="X16" i="22" s="1"/>
  <c r="W16" i="22" s="1"/>
  <c r="V16" i="22" s="1"/>
  <c r="U16" i="22" s="1"/>
  <c r="G17" i="22"/>
  <c r="Z17" i="22" s="1"/>
  <c r="Y17" i="22" s="1"/>
  <c r="X17" i="22" s="1"/>
  <c r="W17" i="22" s="1"/>
  <c r="V17" i="22" s="1"/>
  <c r="U17" i="22" s="1"/>
  <c r="G18" i="22"/>
  <c r="Z18" i="22" s="1"/>
  <c r="Y18" i="22" s="1"/>
  <c r="X18" i="22" s="1"/>
  <c r="W18" i="22" s="1"/>
  <c r="V18" i="22" s="1"/>
  <c r="U18" i="22" s="1"/>
  <c r="G19" i="22"/>
  <c r="Z19" i="22" s="1"/>
  <c r="Y19" i="22" s="1"/>
  <c r="X19" i="22" s="1"/>
  <c r="W19" i="22" s="1"/>
  <c r="V19" i="22" s="1"/>
  <c r="U19" i="22" s="1"/>
  <c r="G20" i="22"/>
  <c r="Z20" i="22" s="1"/>
  <c r="Y20" i="22" s="1"/>
  <c r="X20" i="22" s="1"/>
  <c r="W20" i="22" s="1"/>
  <c r="V20" i="22" s="1"/>
  <c r="U20" i="22" s="1"/>
  <c r="G21" i="22"/>
  <c r="Z21" i="22" s="1"/>
  <c r="Y21" i="22" s="1"/>
  <c r="X21" i="22" s="1"/>
  <c r="W21" i="22" s="1"/>
  <c r="V21" i="22" s="1"/>
  <c r="U21" i="22" s="1"/>
  <c r="G22" i="22"/>
  <c r="Z22" i="22" s="1"/>
  <c r="Y22" i="22" s="1"/>
  <c r="X22" i="22" s="1"/>
  <c r="W22" i="22" s="1"/>
  <c r="V22" i="22" s="1"/>
  <c r="U22" i="22" s="1"/>
  <c r="G23" i="22"/>
  <c r="Z23" i="22" s="1"/>
  <c r="Y23" i="22" s="1"/>
  <c r="X23" i="22" s="1"/>
  <c r="W23" i="22" s="1"/>
  <c r="V23" i="22" s="1"/>
  <c r="U23" i="22" s="1"/>
  <c r="G24" i="22"/>
  <c r="Z24" i="22" s="1"/>
  <c r="Y24" i="22" s="1"/>
  <c r="X24" i="22" s="1"/>
  <c r="W24" i="22" s="1"/>
  <c r="V24" i="22" s="1"/>
  <c r="U24" i="22" s="1"/>
  <c r="G25" i="22"/>
  <c r="G26" i="22"/>
  <c r="Z26" i="22" s="1"/>
  <c r="Y26" i="22" s="1"/>
  <c r="X26" i="22" s="1"/>
  <c r="W26" i="22" s="1"/>
  <c r="V26" i="22" s="1"/>
  <c r="U26" i="22" s="1"/>
  <c r="G27" i="22"/>
  <c r="Z27" i="22" s="1"/>
  <c r="Y27" i="22" s="1"/>
  <c r="X27" i="22" s="1"/>
  <c r="W27" i="22" s="1"/>
  <c r="V27" i="22" s="1"/>
  <c r="U27" i="22" s="1"/>
  <c r="G28" i="22"/>
  <c r="Z28" i="22" s="1"/>
  <c r="Y28" i="22" s="1"/>
  <c r="X28" i="22" s="1"/>
  <c r="W28" i="22" s="1"/>
  <c r="V28" i="22" s="1"/>
  <c r="U28" i="22" s="1"/>
  <c r="G29" i="22"/>
  <c r="Z29" i="22" s="1"/>
  <c r="Y29" i="22" s="1"/>
  <c r="X29" i="22" s="1"/>
  <c r="W29" i="22" s="1"/>
  <c r="V29" i="22" s="1"/>
  <c r="U29" i="22" s="1"/>
  <c r="G30" i="22"/>
  <c r="Z30" i="22" s="1"/>
  <c r="Y30" i="22" s="1"/>
  <c r="X30" i="22" s="1"/>
  <c r="W30" i="22" s="1"/>
  <c r="V30" i="22" s="1"/>
  <c r="U30" i="22" s="1"/>
  <c r="G31" i="22"/>
  <c r="Z31" i="22" s="1"/>
  <c r="Y31" i="22" s="1"/>
  <c r="X31" i="22" s="1"/>
  <c r="W31" i="22" s="1"/>
  <c r="V31" i="22" s="1"/>
  <c r="U31" i="22" s="1"/>
  <c r="G32" i="22"/>
  <c r="Z32" i="22" s="1"/>
  <c r="Y32" i="22" s="1"/>
  <c r="X32" i="22" s="1"/>
  <c r="W32" i="22" s="1"/>
  <c r="V32" i="22" s="1"/>
  <c r="U32" i="22" s="1"/>
  <c r="G33" i="22"/>
  <c r="Z33" i="22" s="1"/>
  <c r="Y33" i="22" s="1"/>
  <c r="X33" i="22" s="1"/>
  <c r="W33" i="22" s="1"/>
  <c r="V33" i="22" s="1"/>
  <c r="U33" i="22" s="1"/>
  <c r="G34" i="22"/>
  <c r="Z34" i="22" s="1"/>
  <c r="Y34" i="22" s="1"/>
  <c r="X34" i="22" s="1"/>
  <c r="W34" i="22" s="1"/>
  <c r="V34" i="22" s="1"/>
  <c r="U34" i="22" s="1"/>
  <c r="G35" i="22"/>
  <c r="Z35" i="22" s="1"/>
  <c r="Y35" i="22" s="1"/>
  <c r="X35" i="22" s="1"/>
  <c r="W35" i="22" s="1"/>
  <c r="V35" i="22" s="1"/>
  <c r="U35" i="22" s="1"/>
  <c r="G36" i="22"/>
  <c r="Z36" i="22" s="1"/>
  <c r="Y36" i="22" s="1"/>
  <c r="X36" i="22" s="1"/>
  <c r="W36" i="22" s="1"/>
  <c r="V36" i="22" s="1"/>
  <c r="U36" i="22" s="1"/>
  <c r="G37" i="22"/>
  <c r="Z37" i="22" s="1"/>
  <c r="Y37" i="22" s="1"/>
  <c r="X37" i="22" s="1"/>
  <c r="W37" i="22" s="1"/>
  <c r="V37" i="22" s="1"/>
  <c r="U37" i="22" s="1"/>
  <c r="G38" i="22"/>
  <c r="Z38" i="22" s="1"/>
  <c r="Y38" i="22" s="1"/>
  <c r="X38" i="22" s="1"/>
  <c r="W38" i="22" s="1"/>
  <c r="V38" i="22" s="1"/>
  <c r="U38" i="22" s="1"/>
  <c r="G39" i="22"/>
  <c r="Z39" i="22" s="1"/>
  <c r="Y39" i="22" s="1"/>
  <c r="X39" i="22" s="1"/>
  <c r="W39" i="22" s="1"/>
  <c r="V39" i="22" s="1"/>
  <c r="U39" i="22" s="1"/>
  <c r="G40" i="22"/>
  <c r="Z40" i="22" s="1"/>
  <c r="Y40" i="22" s="1"/>
  <c r="X40" i="22" s="1"/>
  <c r="W40" i="22" s="1"/>
  <c r="V40" i="22" s="1"/>
  <c r="U40" i="22" s="1"/>
  <c r="G41" i="22"/>
  <c r="Z41" i="22" s="1"/>
  <c r="Y41" i="22" s="1"/>
  <c r="X41" i="22" s="1"/>
  <c r="W41" i="22" s="1"/>
  <c r="V41" i="22" s="1"/>
  <c r="U41" i="22" s="1"/>
  <c r="G42" i="22"/>
  <c r="Z42" i="22" s="1"/>
  <c r="Y42" i="22" s="1"/>
  <c r="X42" i="22" s="1"/>
  <c r="W42" i="22" s="1"/>
  <c r="V42" i="22" s="1"/>
  <c r="U42" i="22" s="1"/>
  <c r="G43" i="22"/>
  <c r="Z43" i="22" s="1"/>
  <c r="Y43" i="22" s="1"/>
  <c r="X43" i="22" s="1"/>
  <c r="W43" i="22" s="1"/>
  <c r="V43" i="22" s="1"/>
  <c r="U43" i="22" s="1"/>
  <c r="G44" i="22"/>
  <c r="Z44" i="22" s="1"/>
  <c r="Y44" i="22" s="1"/>
  <c r="X44" i="22" s="1"/>
  <c r="W44" i="22" s="1"/>
  <c r="V44" i="22" s="1"/>
  <c r="U44" i="22" s="1"/>
  <c r="G45" i="22"/>
  <c r="Z45" i="22" s="1"/>
  <c r="Y45" i="22" s="1"/>
  <c r="X45" i="22" s="1"/>
  <c r="W45" i="22" s="1"/>
  <c r="V45" i="22" s="1"/>
  <c r="U45" i="22" s="1"/>
  <c r="G46" i="22"/>
  <c r="Z46" i="22" s="1"/>
  <c r="Y46" i="22" s="1"/>
  <c r="X46" i="22" s="1"/>
  <c r="W46" i="22" s="1"/>
  <c r="V46" i="22" s="1"/>
  <c r="U46" i="22" s="1"/>
  <c r="G47" i="22"/>
  <c r="Z47" i="22" s="1"/>
  <c r="Y47" i="22" s="1"/>
  <c r="X47" i="22" s="1"/>
  <c r="W47" i="22" s="1"/>
  <c r="V47" i="22" s="1"/>
  <c r="U47" i="22" s="1"/>
  <c r="G48" i="22"/>
  <c r="Z48" i="22" s="1"/>
  <c r="Y48" i="22" s="1"/>
  <c r="X48" i="22" s="1"/>
  <c r="W48" i="22" s="1"/>
  <c r="V48" i="22" s="1"/>
  <c r="U48" i="22" s="1"/>
  <c r="G49" i="22"/>
  <c r="Z49" i="22" s="1"/>
  <c r="Y49" i="22" s="1"/>
  <c r="X49" i="22" s="1"/>
  <c r="W49" i="22" s="1"/>
  <c r="V49" i="22" s="1"/>
  <c r="U49" i="22" s="1"/>
  <c r="G50" i="22"/>
  <c r="Z50" i="22" s="1"/>
  <c r="Y50" i="22" s="1"/>
  <c r="X50" i="22" s="1"/>
  <c r="W50" i="22" s="1"/>
  <c r="V50" i="22" s="1"/>
  <c r="U50" i="22" s="1"/>
  <c r="G51" i="22"/>
  <c r="Z51" i="22" s="1"/>
  <c r="Y51" i="22" s="1"/>
  <c r="X51" i="22" s="1"/>
  <c r="W51" i="22" s="1"/>
  <c r="V51" i="22" s="1"/>
  <c r="U51" i="22" s="1"/>
  <c r="G52" i="22"/>
  <c r="Z52" i="22" s="1"/>
  <c r="Y52" i="22" s="1"/>
  <c r="X52" i="22" s="1"/>
  <c r="W52" i="22" s="1"/>
  <c r="V52" i="22" s="1"/>
  <c r="U52" i="22" s="1"/>
  <c r="G53" i="22"/>
  <c r="Z53" i="22" s="1"/>
  <c r="Y53" i="22" s="1"/>
  <c r="X53" i="22" s="1"/>
  <c r="W53" i="22" s="1"/>
  <c r="V53" i="22" s="1"/>
  <c r="U53" i="22" s="1"/>
  <c r="G54" i="22"/>
  <c r="Z54" i="22" s="1"/>
  <c r="Y54" i="22" s="1"/>
  <c r="X54" i="22" s="1"/>
  <c r="W54" i="22" s="1"/>
  <c r="V54" i="22" s="1"/>
  <c r="U54" i="22" s="1"/>
  <c r="G55" i="22"/>
  <c r="Z55" i="22" s="1"/>
  <c r="Y55" i="22" s="1"/>
  <c r="X55" i="22" s="1"/>
  <c r="W55" i="22" s="1"/>
  <c r="V55" i="22" s="1"/>
  <c r="U55" i="22" s="1"/>
  <c r="G56" i="22"/>
  <c r="Z56" i="22" s="1"/>
  <c r="Y56" i="22" s="1"/>
  <c r="X56" i="22" s="1"/>
  <c r="W56" i="22" s="1"/>
  <c r="V56" i="22" s="1"/>
  <c r="U56" i="22" s="1"/>
  <c r="G57" i="22"/>
  <c r="Z57" i="22" s="1"/>
  <c r="Y57" i="22" s="1"/>
  <c r="X57" i="22" s="1"/>
  <c r="W57" i="22" s="1"/>
  <c r="V57" i="22" s="1"/>
  <c r="U57" i="22" s="1"/>
  <c r="G58" i="22"/>
  <c r="Z58" i="22" s="1"/>
  <c r="Y58" i="22" s="1"/>
  <c r="X58" i="22" s="1"/>
  <c r="W58" i="22" s="1"/>
  <c r="V58" i="22" s="1"/>
  <c r="U58" i="22" s="1"/>
  <c r="G59" i="22"/>
  <c r="Z59" i="22" s="1"/>
  <c r="Y59" i="22" s="1"/>
  <c r="X59" i="22" s="1"/>
  <c r="W59" i="22" s="1"/>
  <c r="V59" i="22" s="1"/>
  <c r="U59" i="22" s="1"/>
  <c r="G60" i="22"/>
  <c r="Z60" i="22" s="1"/>
  <c r="Y60" i="22" s="1"/>
  <c r="X60" i="22" s="1"/>
  <c r="W60" i="22" s="1"/>
  <c r="V60" i="22" s="1"/>
  <c r="U60" i="22" s="1"/>
  <c r="G61" i="22"/>
  <c r="Z61" i="22" s="1"/>
  <c r="Y61" i="22" s="1"/>
  <c r="X61" i="22" s="1"/>
  <c r="W61" i="22" s="1"/>
  <c r="V61" i="22" s="1"/>
  <c r="U61" i="22" s="1"/>
  <c r="G62" i="22"/>
  <c r="Z62" i="22" s="1"/>
  <c r="Y62" i="22" s="1"/>
  <c r="X62" i="22" s="1"/>
  <c r="W62" i="22" s="1"/>
  <c r="V62" i="22" s="1"/>
  <c r="U62" i="22" s="1"/>
  <c r="G63" i="22"/>
  <c r="Z63" i="22" s="1"/>
  <c r="Y63" i="22" s="1"/>
  <c r="X63" i="22" s="1"/>
  <c r="W63" i="22" s="1"/>
  <c r="V63" i="22" s="1"/>
  <c r="U63" i="22" s="1"/>
  <c r="G64" i="22"/>
  <c r="Z64" i="22" s="1"/>
  <c r="Y64" i="22" s="1"/>
  <c r="X64" i="22" s="1"/>
  <c r="W64" i="22" s="1"/>
  <c r="V64" i="22" s="1"/>
  <c r="U64" i="22" s="1"/>
  <c r="G65" i="22"/>
  <c r="Z65" i="22" s="1"/>
  <c r="Y65" i="22" s="1"/>
  <c r="X65" i="22" s="1"/>
  <c r="W65" i="22" s="1"/>
  <c r="V65" i="22" s="1"/>
  <c r="U65" i="22" s="1"/>
  <c r="G66" i="22"/>
  <c r="Z66" i="22" s="1"/>
  <c r="Y66" i="22" s="1"/>
  <c r="X66" i="22" s="1"/>
  <c r="W66" i="22" s="1"/>
  <c r="V66" i="22" s="1"/>
  <c r="U66" i="22" s="1"/>
  <c r="G67" i="22"/>
  <c r="Z67" i="22" s="1"/>
  <c r="Y67" i="22" s="1"/>
  <c r="X67" i="22" s="1"/>
  <c r="W67" i="22" s="1"/>
  <c r="V67" i="22" s="1"/>
  <c r="U67" i="22" s="1"/>
  <c r="G68" i="22"/>
  <c r="Z68" i="22" s="1"/>
  <c r="Y68" i="22" s="1"/>
  <c r="X68" i="22" s="1"/>
  <c r="W68" i="22" s="1"/>
  <c r="V68" i="22" s="1"/>
  <c r="U68" i="22" s="1"/>
  <c r="G69" i="22"/>
  <c r="Z69" i="22" s="1"/>
  <c r="Y69" i="22" s="1"/>
  <c r="X69" i="22" s="1"/>
  <c r="W69" i="22" s="1"/>
  <c r="V69" i="22" s="1"/>
  <c r="U69" i="22" s="1"/>
  <c r="G70" i="22"/>
  <c r="Z70" i="22" s="1"/>
  <c r="Y70" i="22" s="1"/>
  <c r="X70" i="22" s="1"/>
  <c r="W70" i="22" s="1"/>
  <c r="V70" i="22" s="1"/>
  <c r="U70" i="22" s="1"/>
  <c r="G71" i="22"/>
  <c r="Z71" i="22" s="1"/>
  <c r="Y71" i="22" s="1"/>
  <c r="X71" i="22" s="1"/>
  <c r="W71" i="22" s="1"/>
  <c r="V71" i="22" s="1"/>
  <c r="U71" i="22" s="1"/>
  <c r="G72" i="22"/>
  <c r="Z72" i="22" s="1"/>
  <c r="Y72" i="22" s="1"/>
  <c r="X72" i="22" s="1"/>
  <c r="W72" i="22" s="1"/>
  <c r="V72" i="22" s="1"/>
  <c r="U72" i="22" s="1"/>
  <c r="G73" i="22"/>
  <c r="Z73" i="22" s="1"/>
  <c r="Y73" i="22" s="1"/>
  <c r="X73" i="22" s="1"/>
  <c r="W73" i="22" s="1"/>
  <c r="V73" i="22" s="1"/>
  <c r="U73" i="22" s="1"/>
  <c r="G74" i="22"/>
  <c r="Z74" i="22" s="1"/>
  <c r="Y74" i="22" s="1"/>
  <c r="X74" i="22" s="1"/>
  <c r="W74" i="22" s="1"/>
  <c r="V74" i="22" s="1"/>
  <c r="U74" i="22" s="1"/>
  <c r="G75" i="22"/>
  <c r="Z75" i="22" s="1"/>
  <c r="Y75" i="22" s="1"/>
  <c r="X75" i="22" s="1"/>
  <c r="W75" i="22" s="1"/>
  <c r="V75" i="22" s="1"/>
  <c r="U75" i="22" s="1"/>
  <c r="G76" i="22"/>
  <c r="Z76" i="22" s="1"/>
  <c r="Y76" i="22" s="1"/>
  <c r="X76" i="22" s="1"/>
  <c r="W76" i="22" s="1"/>
  <c r="V76" i="22" s="1"/>
  <c r="U76" i="22" s="1"/>
  <c r="G77" i="22"/>
  <c r="Z77" i="22" s="1"/>
  <c r="Y77" i="22" s="1"/>
  <c r="X77" i="22" s="1"/>
  <c r="W77" i="22" s="1"/>
  <c r="V77" i="22" s="1"/>
  <c r="U77" i="22" s="1"/>
  <c r="G78" i="22"/>
  <c r="Z78" i="22" s="1"/>
  <c r="Y78" i="22" s="1"/>
  <c r="X78" i="22" s="1"/>
  <c r="W78" i="22" s="1"/>
  <c r="V78" i="22" s="1"/>
  <c r="U78" i="22" s="1"/>
  <c r="G79" i="22"/>
  <c r="Z79" i="22" s="1"/>
  <c r="Y79" i="22" s="1"/>
  <c r="X79" i="22" s="1"/>
  <c r="W79" i="22" s="1"/>
  <c r="V79" i="22" s="1"/>
  <c r="U79" i="22" s="1"/>
  <c r="G80" i="22"/>
  <c r="Z80" i="22" s="1"/>
  <c r="Y80" i="22" s="1"/>
  <c r="X80" i="22" s="1"/>
  <c r="W80" i="22" s="1"/>
  <c r="V80" i="22" s="1"/>
  <c r="U80" i="22" s="1"/>
  <c r="G81" i="22"/>
  <c r="Z81" i="22" s="1"/>
  <c r="Y81" i="22" s="1"/>
  <c r="X81" i="22" s="1"/>
  <c r="W81" i="22" s="1"/>
  <c r="V81" i="22" s="1"/>
  <c r="U81" i="22" s="1"/>
  <c r="G82" i="22"/>
  <c r="Z82" i="22" s="1"/>
  <c r="Y82" i="22" s="1"/>
  <c r="X82" i="22" s="1"/>
  <c r="W82" i="22" s="1"/>
  <c r="V82" i="22" s="1"/>
  <c r="U82" i="22" s="1"/>
  <c r="G83" i="22"/>
  <c r="Z83" i="22" s="1"/>
  <c r="Y83" i="22" s="1"/>
  <c r="X83" i="22" s="1"/>
  <c r="W83" i="22" s="1"/>
  <c r="V83" i="22" s="1"/>
  <c r="U83" i="22" s="1"/>
  <c r="G84" i="22"/>
  <c r="Z84" i="22" s="1"/>
  <c r="Y84" i="22" s="1"/>
  <c r="X84" i="22" s="1"/>
  <c r="W84" i="22" s="1"/>
  <c r="V84" i="22" s="1"/>
  <c r="U84" i="22" s="1"/>
  <c r="G85" i="22"/>
  <c r="Z85" i="22" s="1"/>
  <c r="Y85" i="22" s="1"/>
  <c r="X85" i="22" s="1"/>
  <c r="W85" i="22" s="1"/>
  <c r="V85" i="22" s="1"/>
  <c r="U85" i="22" s="1"/>
  <c r="G86" i="22"/>
  <c r="Z86" i="22" s="1"/>
  <c r="Y86" i="22" s="1"/>
  <c r="X86" i="22" s="1"/>
  <c r="W86" i="22" s="1"/>
  <c r="V86" i="22" s="1"/>
  <c r="U86" i="22" s="1"/>
  <c r="G87" i="22"/>
  <c r="Z87" i="22" s="1"/>
  <c r="Y87" i="22" s="1"/>
  <c r="X87" i="22" s="1"/>
  <c r="W87" i="22" s="1"/>
  <c r="V87" i="22" s="1"/>
  <c r="U87" i="22" s="1"/>
  <c r="G88" i="22"/>
  <c r="Z88" i="22" s="1"/>
  <c r="Y88" i="22" s="1"/>
  <c r="X88" i="22" s="1"/>
  <c r="W88" i="22" s="1"/>
  <c r="V88" i="22" s="1"/>
  <c r="U88" i="22" s="1"/>
  <c r="G89" i="22"/>
  <c r="Z89" i="22" s="1"/>
  <c r="Y89" i="22" s="1"/>
  <c r="X89" i="22" s="1"/>
  <c r="W89" i="22" s="1"/>
  <c r="V89" i="22" s="1"/>
  <c r="U89" i="22" s="1"/>
  <c r="G90" i="22"/>
  <c r="Z90" i="22" s="1"/>
  <c r="Y90" i="22" s="1"/>
  <c r="X90" i="22" s="1"/>
  <c r="W90" i="22" s="1"/>
  <c r="V90" i="22" s="1"/>
  <c r="U90" i="22" s="1"/>
  <c r="G91" i="22"/>
  <c r="Z91" i="22" s="1"/>
  <c r="Y91" i="22" s="1"/>
  <c r="X91" i="22" s="1"/>
  <c r="W91" i="22" s="1"/>
  <c r="V91" i="22" s="1"/>
  <c r="U91" i="22" s="1"/>
  <c r="G92" i="22"/>
  <c r="Z92" i="22" s="1"/>
  <c r="Y92" i="22" s="1"/>
  <c r="X92" i="22" s="1"/>
  <c r="W92" i="22" s="1"/>
  <c r="V92" i="22" s="1"/>
  <c r="U92" i="22" s="1"/>
  <c r="G93" i="22"/>
  <c r="Z93" i="22" s="1"/>
  <c r="Y93" i="22" s="1"/>
  <c r="X93" i="22" s="1"/>
  <c r="W93" i="22" s="1"/>
  <c r="V93" i="22" s="1"/>
  <c r="U93" i="22" s="1"/>
  <c r="G94" i="22"/>
  <c r="Z94" i="22" s="1"/>
  <c r="Y94" i="22" s="1"/>
  <c r="X94" i="22" s="1"/>
  <c r="W94" i="22" s="1"/>
  <c r="V94" i="22" s="1"/>
  <c r="U94" i="22" s="1"/>
  <c r="G95" i="22"/>
  <c r="Z95" i="22" s="1"/>
  <c r="Y95" i="22" s="1"/>
  <c r="X95" i="22" s="1"/>
  <c r="W95" i="22" s="1"/>
  <c r="V95" i="22" s="1"/>
  <c r="U95" i="22" s="1"/>
  <c r="G96" i="22"/>
  <c r="Z96" i="22" s="1"/>
  <c r="Y96" i="22" s="1"/>
  <c r="X96" i="22" s="1"/>
  <c r="W96" i="22" s="1"/>
  <c r="V96" i="22" s="1"/>
  <c r="U96" i="22" s="1"/>
  <c r="G97" i="22"/>
  <c r="Z97" i="22" s="1"/>
  <c r="Y97" i="22" s="1"/>
  <c r="X97" i="22" s="1"/>
  <c r="W97" i="22" s="1"/>
  <c r="V97" i="22" s="1"/>
  <c r="U97" i="22" s="1"/>
  <c r="G98" i="22"/>
  <c r="Z98" i="22" s="1"/>
  <c r="Y98" i="22" s="1"/>
  <c r="X98" i="22" s="1"/>
  <c r="W98" i="22" s="1"/>
  <c r="V98" i="22" s="1"/>
  <c r="U98" i="22" s="1"/>
  <c r="G99" i="22"/>
  <c r="Z99" i="22" s="1"/>
  <c r="Y99" i="22" s="1"/>
  <c r="X99" i="22" s="1"/>
  <c r="W99" i="22" s="1"/>
  <c r="V99" i="22" s="1"/>
  <c r="U99" i="22" s="1"/>
  <c r="G100" i="22"/>
  <c r="Z100" i="22" s="1"/>
  <c r="Y100" i="22" s="1"/>
  <c r="X100" i="22" s="1"/>
  <c r="W100" i="22" s="1"/>
  <c r="V100" i="22" s="1"/>
  <c r="U100" i="22" s="1"/>
  <c r="G101" i="22"/>
  <c r="Z101" i="22" s="1"/>
  <c r="Y101" i="22" s="1"/>
  <c r="X101" i="22" s="1"/>
  <c r="W101" i="22" s="1"/>
  <c r="V101" i="22" s="1"/>
  <c r="U101" i="22" s="1"/>
  <c r="G102" i="22"/>
  <c r="Z102" i="22" s="1"/>
  <c r="Y102" i="22" s="1"/>
  <c r="X102" i="22" s="1"/>
  <c r="W102" i="22" s="1"/>
  <c r="V102" i="22" s="1"/>
  <c r="U102" i="22" s="1"/>
  <c r="G103" i="22"/>
  <c r="Z103" i="22" s="1"/>
  <c r="Y103" i="22" s="1"/>
  <c r="X103" i="22" s="1"/>
  <c r="W103" i="22" s="1"/>
  <c r="V103" i="22" s="1"/>
  <c r="U103" i="22" s="1"/>
  <c r="G104" i="22"/>
  <c r="Z104" i="22" s="1"/>
  <c r="Y104" i="22" s="1"/>
  <c r="X104" i="22" s="1"/>
  <c r="W104" i="22" s="1"/>
  <c r="V104" i="22" s="1"/>
  <c r="U104" i="22" s="1"/>
  <c r="G105" i="22"/>
  <c r="Z105" i="22" s="1"/>
  <c r="Y105" i="22" s="1"/>
  <c r="X105" i="22" s="1"/>
  <c r="W105" i="22" s="1"/>
  <c r="V105" i="22" s="1"/>
  <c r="U105" i="22" s="1"/>
  <c r="G107" i="22"/>
  <c r="Z107" i="22" s="1"/>
  <c r="Y107" i="22" s="1"/>
  <c r="X107" i="22" s="1"/>
  <c r="W107" i="22" s="1"/>
  <c r="V107" i="22" s="1"/>
  <c r="U107" i="22" s="1"/>
  <c r="G108" i="22"/>
  <c r="Z108" i="22" s="1"/>
  <c r="Y108" i="22" s="1"/>
  <c r="X108" i="22" s="1"/>
  <c r="W108" i="22" s="1"/>
  <c r="V108" i="22" s="1"/>
  <c r="U108" i="22" s="1"/>
  <c r="G109" i="22"/>
  <c r="Z109" i="22" s="1"/>
  <c r="Y109" i="22" s="1"/>
  <c r="X109" i="22" s="1"/>
  <c r="W109" i="22" s="1"/>
  <c r="V109" i="22" s="1"/>
  <c r="U109" i="22" s="1"/>
  <c r="G110" i="22"/>
  <c r="Z110" i="22" s="1"/>
  <c r="Y110" i="22" s="1"/>
  <c r="X110" i="22" s="1"/>
  <c r="W110" i="22" s="1"/>
  <c r="V110" i="22" s="1"/>
  <c r="U110" i="22" s="1"/>
  <c r="G111" i="22"/>
  <c r="Z111" i="22" s="1"/>
  <c r="Y111" i="22" s="1"/>
  <c r="X111" i="22" s="1"/>
  <c r="W111" i="22" s="1"/>
  <c r="V111" i="22" s="1"/>
  <c r="U111" i="22" s="1"/>
  <c r="G112" i="22"/>
  <c r="Z112" i="22" s="1"/>
  <c r="Y112" i="22" s="1"/>
  <c r="X112" i="22" s="1"/>
  <c r="W112" i="22" s="1"/>
  <c r="V112" i="22" s="1"/>
  <c r="U112" i="22" s="1"/>
  <c r="G113" i="22"/>
  <c r="Z113" i="22" s="1"/>
  <c r="Y113" i="22" s="1"/>
  <c r="X113" i="22" s="1"/>
  <c r="W113" i="22" s="1"/>
  <c r="V113" i="22" s="1"/>
  <c r="U113" i="22" s="1"/>
  <c r="G114" i="22"/>
  <c r="Z114" i="22" s="1"/>
  <c r="Y114" i="22" s="1"/>
  <c r="X114" i="22" s="1"/>
  <c r="W114" i="22" s="1"/>
  <c r="V114" i="22" s="1"/>
  <c r="U114" i="22" s="1"/>
  <c r="G115" i="22"/>
  <c r="Z115" i="22" s="1"/>
  <c r="Y115" i="22" s="1"/>
  <c r="X115" i="22" s="1"/>
  <c r="W115" i="22" s="1"/>
  <c r="V115" i="22" s="1"/>
  <c r="U115" i="22" s="1"/>
  <c r="G116" i="22"/>
  <c r="Z116" i="22" s="1"/>
  <c r="Y116" i="22" s="1"/>
  <c r="X116" i="22" s="1"/>
  <c r="W116" i="22" s="1"/>
  <c r="V116" i="22" s="1"/>
  <c r="U116" i="22" s="1"/>
  <c r="G117" i="22"/>
  <c r="Z117" i="22" s="1"/>
  <c r="Y117" i="22" s="1"/>
  <c r="X117" i="22" s="1"/>
  <c r="W117" i="22" s="1"/>
  <c r="V117" i="22" s="1"/>
  <c r="U117" i="22" s="1"/>
  <c r="G118" i="22"/>
  <c r="Z118" i="22" s="1"/>
  <c r="Y118" i="22" s="1"/>
  <c r="X118" i="22" s="1"/>
  <c r="W118" i="22" s="1"/>
  <c r="V118" i="22" s="1"/>
  <c r="U118" i="22" s="1"/>
  <c r="G119" i="22"/>
  <c r="Z119" i="22" s="1"/>
  <c r="Y119" i="22" s="1"/>
  <c r="X119" i="22" s="1"/>
  <c r="W119" i="22" s="1"/>
  <c r="V119" i="22" s="1"/>
  <c r="U119" i="22" s="1"/>
  <c r="G120" i="22"/>
  <c r="Z120" i="22" s="1"/>
  <c r="Y120" i="22" s="1"/>
  <c r="X120" i="22" s="1"/>
  <c r="W120" i="22" s="1"/>
  <c r="V120" i="22" s="1"/>
  <c r="U120" i="22" s="1"/>
  <c r="G121" i="22"/>
  <c r="Z121" i="22" s="1"/>
  <c r="Y121" i="22" s="1"/>
  <c r="X121" i="22" s="1"/>
  <c r="W121" i="22" s="1"/>
  <c r="V121" i="22" s="1"/>
  <c r="U121" i="22" s="1"/>
  <c r="G122" i="22"/>
  <c r="Z122" i="22" s="1"/>
  <c r="Y122" i="22" s="1"/>
  <c r="X122" i="22" s="1"/>
  <c r="W122" i="22" s="1"/>
  <c r="V122" i="22" s="1"/>
  <c r="U122" i="22" s="1"/>
  <c r="G123" i="22"/>
  <c r="Z123" i="22" s="1"/>
  <c r="Y123" i="22" s="1"/>
  <c r="X123" i="22" s="1"/>
  <c r="W123" i="22" s="1"/>
  <c r="V123" i="22" s="1"/>
  <c r="U123" i="22" s="1"/>
  <c r="G124" i="22"/>
  <c r="Z124" i="22" s="1"/>
  <c r="Y124" i="22" s="1"/>
  <c r="X124" i="22" s="1"/>
  <c r="W124" i="22" s="1"/>
  <c r="V124" i="22" s="1"/>
  <c r="U124" i="22" s="1"/>
  <c r="G125" i="22"/>
  <c r="Z125" i="22" s="1"/>
  <c r="Y125" i="22" s="1"/>
  <c r="X125" i="22" s="1"/>
  <c r="W125" i="22" s="1"/>
  <c r="V125" i="22" s="1"/>
  <c r="U125" i="22" s="1"/>
  <c r="G126" i="22"/>
  <c r="Z126" i="22" s="1"/>
  <c r="Y126" i="22" s="1"/>
  <c r="X126" i="22" s="1"/>
  <c r="W126" i="22" s="1"/>
  <c r="V126" i="22" s="1"/>
  <c r="U126" i="22" s="1"/>
  <c r="G127" i="22"/>
  <c r="Z127" i="22" s="1"/>
  <c r="Y127" i="22" s="1"/>
  <c r="X127" i="22" s="1"/>
  <c r="W127" i="22" s="1"/>
  <c r="V127" i="22" s="1"/>
  <c r="U127" i="22" s="1"/>
  <c r="G128" i="22"/>
  <c r="Z128" i="22" s="1"/>
  <c r="Y128" i="22" s="1"/>
  <c r="X128" i="22" s="1"/>
  <c r="W128" i="22" s="1"/>
  <c r="V128" i="22" s="1"/>
  <c r="U128" i="22" s="1"/>
  <c r="G129" i="22"/>
  <c r="Z129" i="22" s="1"/>
  <c r="Y129" i="22" s="1"/>
  <c r="X129" i="22" s="1"/>
  <c r="W129" i="22" s="1"/>
  <c r="V129" i="22" s="1"/>
  <c r="U129" i="22" s="1"/>
  <c r="G130" i="22"/>
  <c r="Z130" i="22" s="1"/>
  <c r="Y130" i="22" s="1"/>
  <c r="X130" i="22" s="1"/>
  <c r="W130" i="22" s="1"/>
  <c r="V130" i="22" s="1"/>
  <c r="U130" i="22" s="1"/>
  <c r="G131" i="22"/>
  <c r="Z131" i="22" s="1"/>
  <c r="Y131" i="22" s="1"/>
  <c r="X131" i="22" s="1"/>
  <c r="W131" i="22" s="1"/>
  <c r="V131" i="22" s="1"/>
  <c r="U131" i="22" s="1"/>
  <c r="G132" i="22"/>
  <c r="Z132" i="22" s="1"/>
  <c r="Y132" i="22" s="1"/>
  <c r="X132" i="22" s="1"/>
  <c r="W132" i="22" s="1"/>
  <c r="V132" i="22" s="1"/>
  <c r="U132" i="22" s="1"/>
  <c r="G133" i="22"/>
  <c r="Z133" i="22" s="1"/>
  <c r="Y133" i="22" s="1"/>
  <c r="X133" i="22" s="1"/>
  <c r="W133" i="22" s="1"/>
  <c r="V133" i="22" s="1"/>
  <c r="U133" i="22" s="1"/>
  <c r="G134" i="22"/>
  <c r="Z134" i="22" s="1"/>
  <c r="Y134" i="22" s="1"/>
  <c r="X134" i="22" s="1"/>
  <c r="W134" i="22" s="1"/>
  <c r="V134" i="22" s="1"/>
  <c r="U134" i="22" s="1"/>
  <c r="G135" i="22"/>
  <c r="Z135" i="22" s="1"/>
  <c r="Y135" i="22" s="1"/>
  <c r="X135" i="22" s="1"/>
  <c r="W135" i="22" s="1"/>
  <c r="V135" i="22" s="1"/>
  <c r="U135" i="22" s="1"/>
  <c r="G136" i="22"/>
  <c r="Z136" i="22" s="1"/>
  <c r="Y136" i="22" s="1"/>
  <c r="X136" i="22" s="1"/>
  <c r="W136" i="22" s="1"/>
  <c r="V136" i="22" s="1"/>
  <c r="U136" i="22" s="1"/>
  <c r="G137" i="22"/>
  <c r="Z137" i="22" s="1"/>
  <c r="Y137" i="22" s="1"/>
  <c r="X137" i="22" s="1"/>
  <c r="W137" i="22" s="1"/>
  <c r="V137" i="22" s="1"/>
  <c r="U137" i="22" s="1"/>
  <c r="G138" i="22"/>
  <c r="Z138" i="22" s="1"/>
  <c r="Y138" i="22" s="1"/>
  <c r="X138" i="22" s="1"/>
  <c r="W138" i="22" s="1"/>
  <c r="V138" i="22" s="1"/>
  <c r="U138" i="22" s="1"/>
  <c r="G139" i="22"/>
  <c r="Z139" i="22" s="1"/>
  <c r="Y139" i="22" s="1"/>
  <c r="X139" i="22" s="1"/>
  <c r="W139" i="22" s="1"/>
  <c r="V139" i="22" s="1"/>
  <c r="U139" i="22" s="1"/>
  <c r="G140" i="22"/>
  <c r="Z140" i="22" s="1"/>
  <c r="Y140" i="22" s="1"/>
  <c r="X140" i="22" s="1"/>
  <c r="W140" i="22" s="1"/>
  <c r="V140" i="22" s="1"/>
  <c r="U140" i="22" s="1"/>
  <c r="G141" i="22"/>
  <c r="Z141" i="22" s="1"/>
  <c r="Y141" i="22" s="1"/>
  <c r="X141" i="22" s="1"/>
  <c r="W141" i="22" s="1"/>
  <c r="V141" i="22" s="1"/>
  <c r="U141" i="22" s="1"/>
  <c r="G142" i="22"/>
  <c r="Z142" i="22" s="1"/>
  <c r="Y142" i="22" s="1"/>
  <c r="X142" i="22" s="1"/>
  <c r="W142" i="22" s="1"/>
  <c r="V142" i="22" s="1"/>
  <c r="U142" i="22" s="1"/>
  <c r="G143" i="22"/>
  <c r="Z143" i="22" s="1"/>
  <c r="Y143" i="22" s="1"/>
  <c r="X143" i="22" s="1"/>
  <c r="W143" i="22" s="1"/>
  <c r="V143" i="22" s="1"/>
  <c r="U143" i="22" s="1"/>
  <c r="G144" i="22"/>
  <c r="Z144" i="22" s="1"/>
  <c r="Y144" i="22" s="1"/>
  <c r="X144" i="22" s="1"/>
  <c r="W144" i="22" s="1"/>
  <c r="V144" i="22" s="1"/>
  <c r="U144" i="22" s="1"/>
  <c r="G145" i="22"/>
  <c r="Z145" i="22" s="1"/>
  <c r="Y145" i="22" s="1"/>
  <c r="X145" i="22" s="1"/>
  <c r="W145" i="22" s="1"/>
  <c r="V145" i="22" s="1"/>
  <c r="U145" i="22" s="1"/>
  <c r="G146" i="22"/>
  <c r="Z146" i="22" s="1"/>
  <c r="Y146" i="22" s="1"/>
  <c r="X146" i="22" s="1"/>
  <c r="W146" i="22" s="1"/>
  <c r="V146" i="22" s="1"/>
  <c r="U146" i="22" s="1"/>
  <c r="G147" i="22"/>
  <c r="Z147" i="22" s="1"/>
  <c r="Y147" i="22" s="1"/>
  <c r="X147" i="22" s="1"/>
  <c r="W147" i="22" s="1"/>
  <c r="V147" i="22" s="1"/>
  <c r="U147" i="22" s="1"/>
  <c r="G148" i="22"/>
  <c r="Z148" i="22" s="1"/>
  <c r="Y148" i="22" s="1"/>
  <c r="X148" i="22" s="1"/>
  <c r="W148" i="22" s="1"/>
  <c r="V148" i="22" s="1"/>
  <c r="U148" i="22" s="1"/>
  <c r="G149" i="22"/>
  <c r="Z149" i="22" s="1"/>
  <c r="Y149" i="22" s="1"/>
  <c r="X149" i="22" s="1"/>
  <c r="W149" i="22" s="1"/>
  <c r="V149" i="22" s="1"/>
  <c r="U149" i="22" s="1"/>
  <c r="G150" i="22"/>
  <c r="Z150" i="22" s="1"/>
  <c r="Y150" i="22" s="1"/>
  <c r="X150" i="22" s="1"/>
  <c r="W150" i="22" s="1"/>
  <c r="V150" i="22" s="1"/>
  <c r="U150" i="22" s="1"/>
  <c r="G151" i="22"/>
  <c r="Z151" i="22" s="1"/>
  <c r="Y151" i="22" s="1"/>
  <c r="X151" i="22" s="1"/>
  <c r="W151" i="22" s="1"/>
  <c r="V151" i="22" s="1"/>
  <c r="U151" i="22" s="1"/>
  <c r="G152" i="22"/>
  <c r="Z152" i="22" s="1"/>
  <c r="Y152" i="22" s="1"/>
  <c r="X152" i="22" s="1"/>
  <c r="W152" i="22" s="1"/>
  <c r="V152" i="22" s="1"/>
  <c r="U152" i="22" s="1"/>
  <c r="G154" i="22"/>
  <c r="Z154" i="22" s="1"/>
  <c r="Y154" i="22" s="1"/>
  <c r="X154" i="22" s="1"/>
  <c r="W154" i="22" s="1"/>
  <c r="V154" i="22" s="1"/>
  <c r="U154" i="22" s="1"/>
  <c r="G155" i="22"/>
  <c r="Z155" i="22" s="1"/>
  <c r="Y155" i="22" s="1"/>
  <c r="X155" i="22" s="1"/>
  <c r="W155" i="22" s="1"/>
  <c r="V155" i="22" s="1"/>
  <c r="U155" i="22" s="1"/>
  <c r="G156" i="22"/>
  <c r="Z156" i="22" s="1"/>
  <c r="Y156" i="22" s="1"/>
  <c r="X156" i="22" s="1"/>
  <c r="W156" i="22" s="1"/>
  <c r="V156" i="22" s="1"/>
  <c r="U156" i="22" s="1"/>
  <c r="G157" i="22"/>
  <c r="Z157" i="22" s="1"/>
  <c r="Y157" i="22" s="1"/>
  <c r="X157" i="22" s="1"/>
  <c r="W157" i="22" s="1"/>
  <c r="V157" i="22" s="1"/>
  <c r="U157" i="22" s="1"/>
  <c r="G158" i="22"/>
  <c r="Z158" i="22" s="1"/>
  <c r="Y158" i="22" s="1"/>
  <c r="X158" i="22" s="1"/>
  <c r="W158" i="22" s="1"/>
  <c r="V158" i="22" s="1"/>
  <c r="U158" i="22" s="1"/>
  <c r="G159" i="22"/>
  <c r="Z159" i="22" s="1"/>
  <c r="Y159" i="22" s="1"/>
  <c r="X159" i="22" s="1"/>
  <c r="W159" i="22" s="1"/>
  <c r="V159" i="22" s="1"/>
  <c r="U159" i="22" s="1"/>
  <c r="G160" i="22"/>
  <c r="Z160" i="22" s="1"/>
  <c r="Y160" i="22" s="1"/>
  <c r="X160" i="22" s="1"/>
  <c r="W160" i="22" s="1"/>
  <c r="V160" i="22" s="1"/>
  <c r="U160" i="22" s="1"/>
  <c r="G161" i="22"/>
  <c r="Z161" i="22" s="1"/>
  <c r="Y161" i="22" s="1"/>
  <c r="X161" i="22" s="1"/>
  <c r="W161" i="22" s="1"/>
  <c r="V161" i="22" s="1"/>
  <c r="U161" i="22" s="1"/>
  <c r="G162" i="22"/>
  <c r="Z162" i="22" s="1"/>
  <c r="Y162" i="22" s="1"/>
  <c r="X162" i="22" s="1"/>
  <c r="W162" i="22" s="1"/>
  <c r="V162" i="22" s="1"/>
  <c r="U162" i="22" s="1"/>
  <c r="G163" i="22"/>
  <c r="Z163" i="22" s="1"/>
  <c r="Y163" i="22" s="1"/>
  <c r="X163" i="22" s="1"/>
  <c r="W163" i="22" s="1"/>
  <c r="V163" i="22" s="1"/>
  <c r="U163" i="22" s="1"/>
  <c r="G164" i="22"/>
  <c r="Z164" i="22" s="1"/>
  <c r="Y164" i="22" s="1"/>
  <c r="X164" i="22" s="1"/>
  <c r="W164" i="22" s="1"/>
  <c r="V164" i="22" s="1"/>
  <c r="U164" i="22" s="1"/>
  <c r="G165" i="22"/>
  <c r="Z165" i="22" s="1"/>
  <c r="Y165" i="22" s="1"/>
  <c r="X165" i="22" s="1"/>
  <c r="W165" i="22" s="1"/>
  <c r="V165" i="22" s="1"/>
  <c r="U165" i="22" s="1"/>
  <c r="G166" i="22"/>
  <c r="Z166" i="22" s="1"/>
  <c r="Y166" i="22" s="1"/>
  <c r="X166" i="22" s="1"/>
  <c r="W166" i="22" s="1"/>
  <c r="V166" i="22" s="1"/>
  <c r="U166" i="22" s="1"/>
  <c r="G167" i="22"/>
  <c r="Z167" i="22" s="1"/>
  <c r="Y167" i="22" s="1"/>
  <c r="X167" i="22" s="1"/>
  <c r="W167" i="22" s="1"/>
  <c r="V167" i="22" s="1"/>
  <c r="U167" i="22" s="1"/>
  <c r="G168" i="22"/>
  <c r="Z168" i="22" s="1"/>
  <c r="Y168" i="22" s="1"/>
  <c r="X168" i="22" s="1"/>
  <c r="W168" i="22" s="1"/>
  <c r="V168" i="22" s="1"/>
  <c r="U168" i="22" s="1"/>
  <c r="G169" i="22"/>
  <c r="Z169" i="22" s="1"/>
  <c r="Y169" i="22" s="1"/>
  <c r="X169" i="22" s="1"/>
  <c r="W169" i="22" s="1"/>
  <c r="V169" i="22" s="1"/>
  <c r="U169" i="22" s="1"/>
  <c r="G170" i="22"/>
  <c r="Z170" i="22" s="1"/>
  <c r="Y170" i="22" s="1"/>
  <c r="X170" i="22" s="1"/>
  <c r="W170" i="22" s="1"/>
  <c r="V170" i="22" s="1"/>
  <c r="U170" i="22" s="1"/>
  <c r="G171" i="22"/>
  <c r="Z171" i="22" s="1"/>
  <c r="Y171" i="22" s="1"/>
  <c r="X171" i="22" s="1"/>
  <c r="W171" i="22" s="1"/>
  <c r="V171" i="22" s="1"/>
  <c r="U171" i="22" s="1"/>
  <c r="G172" i="22"/>
  <c r="Z172" i="22" s="1"/>
  <c r="Y172" i="22" s="1"/>
  <c r="X172" i="22" s="1"/>
  <c r="W172" i="22" s="1"/>
  <c r="V172" i="22" s="1"/>
  <c r="U172" i="22" s="1"/>
  <c r="G173" i="22"/>
  <c r="Z173" i="22" s="1"/>
  <c r="Y173" i="22" s="1"/>
  <c r="X173" i="22" s="1"/>
  <c r="W173" i="22" s="1"/>
  <c r="V173" i="22" s="1"/>
  <c r="U173" i="22" s="1"/>
  <c r="G183" i="22"/>
  <c r="Z183" i="22" s="1"/>
  <c r="Y183" i="22" s="1"/>
  <c r="X183" i="22" s="1"/>
  <c r="W183" i="22" s="1"/>
  <c r="V183" i="22" s="1"/>
  <c r="U183" i="22" s="1"/>
  <c r="G184" i="22"/>
  <c r="Z184" i="22" s="1"/>
  <c r="Y184" i="22" s="1"/>
  <c r="X184" i="22" s="1"/>
  <c r="W184" i="22" s="1"/>
  <c r="V184" i="22" s="1"/>
  <c r="U184" i="22" s="1"/>
  <c r="G185" i="22"/>
  <c r="Z185" i="22" s="1"/>
  <c r="Y185" i="22" s="1"/>
  <c r="X185" i="22" s="1"/>
  <c r="W185" i="22" s="1"/>
  <c r="V185" i="22" s="1"/>
  <c r="U185" i="22" s="1"/>
  <c r="G186" i="22"/>
  <c r="Z186" i="22" s="1"/>
  <c r="Y186" i="22" s="1"/>
  <c r="X186" i="22" s="1"/>
  <c r="W186" i="22" s="1"/>
  <c r="V186" i="22" s="1"/>
  <c r="U186" i="22" s="1"/>
  <c r="G187" i="22"/>
  <c r="Z187" i="22" s="1"/>
  <c r="Y187" i="22" s="1"/>
  <c r="X187" i="22" s="1"/>
  <c r="W187" i="22" s="1"/>
  <c r="V187" i="22" s="1"/>
  <c r="U187" i="22" s="1"/>
  <c r="G188" i="22"/>
  <c r="Z188" i="22" s="1"/>
  <c r="Y188" i="22" s="1"/>
  <c r="X188" i="22" s="1"/>
  <c r="W188" i="22" s="1"/>
  <c r="V188" i="22" s="1"/>
  <c r="U188" i="22" s="1"/>
  <c r="G189" i="22"/>
  <c r="Z189" i="22" s="1"/>
  <c r="Y189" i="22" s="1"/>
  <c r="X189" i="22" s="1"/>
  <c r="W189" i="22" s="1"/>
  <c r="V189" i="22" s="1"/>
  <c r="U189" i="22" s="1"/>
  <c r="G190" i="22"/>
  <c r="Z190" i="22" s="1"/>
  <c r="Y190" i="22" s="1"/>
  <c r="X190" i="22" s="1"/>
  <c r="W190" i="22" s="1"/>
  <c r="V190" i="22" s="1"/>
  <c r="U190" i="22" s="1"/>
  <c r="G191" i="22"/>
  <c r="Z191" i="22" s="1"/>
  <c r="Y191" i="22" s="1"/>
  <c r="X191" i="22" s="1"/>
  <c r="W191" i="22" s="1"/>
  <c r="V191" i="22" s="1"/>
  <c r="U191" i="22" s="1"/>
  <c r="G192" i="22"/>
  <c r="Z192" i="22" s="1"/>
  <c r="Y192" i="22" s="1"/>
  <c r="X192" i="22" s="1"/>
  <c r="W192" i="22" s="1"/>
  <c r="V192" i="22" s="1"/>
  <c r="U192" i="22" s="1"/>
  <c r="G193" i="22"/>
  <c r="Z193" i="22" s="1"/>
  <c r="Y193" i="22" s="1"/>
  <c r="X193" i="22" s="1"/>
  <c r="W193" i="22" s="1"/>
  <c r="V193" i="22" s="1"/>
  <c r="U193" i="22" s="1"/>
  <c r="G194" i="22"/>
  <c r="Z194" i="22" s="1"/>
  <c r="Y194" i="22" s="1"/>
  <c r="X194" i="22" s="1"/>
  <c r="W194" i="22" s="1"/>
  <c r="V194" i="22" s="1"/>
  <c r="U194" i="22" s="1"/>
  <c r="G195" i="22"/>
  <c r="Z195" i="22" s="1"/>
  <c r="Y195" i="22" s="1"/>
  <c r="X195" i="22" s="1"/>
  <c r="W195" i="22" s="1"/>
  <c r="V195" i="22" s="1"/>
  <c r="U195" i="22" s="1"/>
  <c r="G196" i="22"/>
  <c r="Z196" i="22" s="1"/>
  <c r="Y196" i="22" s="1"/>
  <c r="X196" i="22" s="1"/>
  <c r="W196" i="22" s="1"/>
  <c r="V196" i="22" s="1"/>
  <c r="U196" i="22" s="1"/>
  <c r="G197" i="22"/>
  <c r="Z197" i="22" s="1"/>
  <c r="Y197" i="22" s="1"/>
  <c r="X197" i="22" s="1"/>
  <c r="W197" i="22" s="1"/>
  <c r="V197" i="22" s="1"/>
  <c r="U197" i="22" s="1"/>
  <c r="G198" i="22"/>
  <c r="Z198" i="22" s="1"/>
  <c r="Y198" i="22" s="1"/>
  <c r="X198" i="22" s="1"/>
  <c r="W198" i="22" s="1"/>
  <c r="V198" i="22" s="1"/>
  <c r="U198" i="22" s="1"/>
  <c r="G199" i="22"/>
  <c r="Z199" i="22" s="1"/>
  <c r="Y199" i="22" s="1"/>
  <c r="X199" i="22" s="1"/>
  <c r="W199" i="22" s="1"/>
  <c r="V199" i="22" s="1"/>
  <c r="U199" i="22" s="1"/>
  <c r="G200" i="22"/>
  <c r="Z200" i="22" s="1"/>
  <c r="Y200" i="22" s="1"/>
  <c r="X200" i="22" s="1"/>
  <c r="W200" i="22" s="1"/>
  <c r="V200" i="22" s="1"/>
  <c r="U200" i="22" s="1"/>
  <c r="G201" i="22"/>
  <c r="Z201" i="22" s="1"/>
  <c r="Y201" i="22" s="1"/>
  <c r="X201" i="22" s="1"/>
  <c r="W201" i="22" s="1"/>
  <c r="V201" i="22" s="1"/>
  <c r="U201" i="22" s="1"/>
  <c r="G202" i="22"/>
  <c r="Z202" i="22" s="1"/>
  <c r="Y202" i="22" s="1"/>
  <c r="X202" i="22" s="1"/>
  <c r="W202" i="22" s="1"/>
  <c r="V202" i="22" s="1"/>
  <c r="U202" i="22" s="1"/>
  <c r="G203" i="22"/>
  <c r="Z203" i="22" s="1"/>
  <c r="Y203" i="22" s="1"/>
  <c r="X203" i="22" s="1"/>
  <c r="W203" i="22" s="1"/>
  <c r="V203" i="22" s="1"/>
  <c r="U203" i="22" s="1"/>
  <c r="G204" i="22"/>
  <c r="Z204" i="22" s="1"/>
  <c r="Y204" i="22" s="1"/>
  <c r="X204" i="22" s="1"/>
  <c r="W204" i="22" s="1"/>
  <c r="V204" i="22" s="1"/>
  <c r="U204" i="22" s="1"/>
  <c r="G205" i="22"/>
  <c r="Z205" i="22" s="1"/>
  <c r="Y205" i="22" s="1"/>
  <c r="X205" i="22" s="1"/>
  <c r="W205" i="22" s="1"/>
  <c r="V205" i="22" s="1"/>
  <c r="U205" i="22" s="1"/>
  <c r="G206" i="22"/>
  <c r="Z206" i="22" s="1"/>
  <c r="Y206" i="22" s="1"/>
  <c r="X206" i="22" s="1"/>
  <c r="W206" i="22" s="1"/>
  <c r="V206" i="22" s="1"/>
  <c r="U206" i="22" s="1"/>
  <c r="G207" i="22"/>
  <c r="Z207" i="22" s="1"/>
  <c r="Y207" i="22" s="1"/>
  <c r="X207" i="22" s="1"/>
  <c r="W207" i="22" s="1"/>
  <c r="V207" i="22" s="1"/>
  <c r="U207" i="22" s="1"/>
  <c r="G208" i="22"/>
  <c r="Z208" i="22" s="1"/>
  <c r="Y208" i="22" s="1"/>
  <c r="X208" i="22" s="1"/>
  <c r="W208" i="22" s="1"/>
  <c r="V208" i="22" s="1"/>
  <c r="U208" i="22" s="1"/>
  <c r="G209" i="22"/>
  <c r="Z209" i="22" s="1"/>
  <c r="Y209" i="22" s="1"/>
  <c r="X209" i="22" s="1"/>
  <c r="W209" i="22" s="1"/>
  <c r="V209" i="22" s="1"/>
  <c r="U209" i="22" s="1"/>
  <c r="G210" i="22"/>
  <c r="Z210" i="22" s="1"/>
  <c r="Y210" i="22" s="1"/>
  <c r="X210" i="22" s="1"/>
  <c r="W210" i="22" s="1"/>
  <c r="V210" i="22" s="1"/>
  <c r="U210" i="22" s="1"/>
  <c r="G211" i="22"/>
  <c r="Z211" i="22" s="1"/>
  <c r="Y211" i="22" s="1"/>
  <c r="X211" i="22" s="1"/>
  <c r="W211" i="22" s="1"/>
  <c r="V211" i="22" s="1"/>
  <c r="U211" i="22" s="1"/>
  <c r="G212" i="22"/>
  <c r="Z212" i="22" s="1"/>
  <c r="Y212" i="22" s="1"/>
  <c r="X212" i="22" s="1"/>
  <c r="W212" i="22" s="1"/>
  <c r="V212" i="22" s="1"/>
  <c r="U212" i="22" s="1"/>
  <c r="G213" i="22"/>
  <c r="Z213" i="22" s="1"/>
  <c r="Y213" i="22" s="1"/>
  <c r="X213" i="22" s="1"/>
  <c r="W213" i="22" s="1"/>
  <c r="V213" i="22" s="1"/>
  <c r="U213" i="22" s="1"/>
  <c r="G214" i="22"/>
  <c r="Z214" i="22" s="1"/>
  <c r="Y214" i="22" s="1"/>
  <c r="X214" i="22" s="1"/>
  <c r="W214" i="22" s="1"/>
  <c r="V214" i="22" s="1"/>
  <c r="U214" i="22" s="1"/>
  <c r="G215" i="22"/>
  <c r="Z215" i="22" s="1"/>
  <c r="Y215" i="22" s="1"/>
  <c r="X215" i="22" s="1"/>
  <c r="W215" i="22" s="1"/>
  <c r="V215" i="22" s="1"/>
  <c r="U215" i="22" s="1"/>
  <c r="G216" i="22"/>
  <c r="Z216" i="22" s="1"/>
  <c r="Y216" i="22" s="1"/>
  <c r="X216" i="22" s="1"/>
  <c r="W216" i="22" s="1"/>
  <c r="V216" i="22" s="1"/>
  <c r="U216" i="22" s="1"/>
  <c r="G217" i="22"/>
  <c r="Z217" i="22" s="1"/>
  <c r="Y217" i="22" s="1"/>
  <c r="X217" i="22" s="1"/>
  <c r="W217" i="22" s="1"/>
  <c r="V217" i="22" s="1"/>
  <c r="U217" i="22" s="1"/>
  <c r="G218" i="22"/>
  <c r="Z218" i="22" s="1"/>
  <c r="Y218" i="22" s="1"/>
  <c r="X218" i="22" s="1"/>
  <c r="W218" i="22" s="1"/>
  <c r="V218" i="22" s="1"/>
  <c r="U218" i="22" s="1"/>
  <c r="G219" i="22"/>
  <c r="Z219" i="22" s="1"/>
  <c r="Y219" i="22" s="1"/>
  <c r="X219" i="22" s="1"/>
  <c r="W219" i="22" s="1"/>
  <c r="V219" i="22" s="1"/>
  <c r="U219" i="22" s="1"/>
  <c r="G220" i="22"/>
  <c r="Z220" i="22" s="1"/>
  <c r="Y220" i="22" s="1"/>
  <c r="X220" i="22" s="1"/>
  <c r="W220" i="22" s="1"/>
  <c r="V220" i="22" s="1"/>
  <c r="U220" i="22" s="1"/>
  <c r="G221" i="22"/>
  <c r="Z221" i="22" s="1"/>
  <c r="Y221" i="22" s="1"/>
  <c r="X221" i="22" s="1"/>
  <c r="W221" i="22" s="1"/>
  <c r="V221" i="22" s="1"/>
  <c r="U221" i="22" s="1"/>
  <c r="G222" i="22"/>
  <c r="Z222" i="22" s="1"/>
  <c r="Y222" i="22" s="1"/>
  <c r="X222" i="22" s="1"/>
  <c r="W222" i="22" s="1"/>
  <c r="V222" i="22" s="1"/>
  <c r="U222" i="22" s="1"/>
  <c r="G223" i="22"/>
  <c r="Z223" i="22" s="1"/>
  <c r="Y223" i="22" s="1"/>
  <c r="X223" i="22" s="1"/>
  <c r="W223" i="22" s="1"/>
  <c r="V223" i="22" s="1"/>
  <c r="U223" i="22" s="1"/>
  <c r="G224" i="22"/>
  <c r="Z224" i="22" s="1"/>
  <c r="Y224" i="22" s="1"/>
  <c r="X224" i="22" s="1"/>
  <c r="W224" i="22" s="1"/>
  <c r="V224" i="22" s="1"/>
  <c r="U224" i="22" s="1"/>
  <c r="G225" i="22"/>
  <c r="Z225" i="22" s="1"/>
  <c r="Y225" i="22" s="1"/>
  <c r="X225" i="22" s="1"/>
  <c r="W225" i="22" s="1"/>
  <c r="V225" i="22" s="1"/>
  <c r="U225" i="22" s="1"/>
  <c r="G226" i="22"/>
  <c r="Z226" i="22" s="1"/>
  <c r="Y226" i="22" s="1"/>
  <c r="X226" i="22" s="1"/>
  <c r="W226" i="22" s="1"/>
  <c r="V226" i="22" s="1"/>
  <c r="U226" i="22" s="1"/>
  <c r="G227" i="22"/>
  <c r="Z227" i="22" s="1"/>
  <c r="Y227" i="22" s="1"/>
  <c r="X227" i="22" s="1"/>
  <c r="W227" i="22" s="1"/>
  <c r="V227" i="22" s="1"/>
  <c r="U227" i="22" s="1"/>
  <c r="G228" i="22"/>
  <c r="Z228" i="22" s="1"/>
  <c r="Y228" i="22" s="1"/>
  <c r="X228" i="22" s="1"/>
  <c r="W228" i="22" s="1"/>
  <c r="V228" i="22" s="1"/>
  <c r="U228" i="22" s="1"/>
  <c r="G229" i="22"/>
  <c r="Z229" i="22" s="1"/>
  <c r="Y229" i="22" s="1"/>
  <c r="X229" i="22" s="1"/>
  <c r="W229" i="22" s="1"/>
  <c r="V229" i="22" s="1"/>
  <c r="U229" i="22" s="1"/>
  <c r="G230" i="22"/>
  <c r="Z230" i="22" s="1"/>
  <c r="Y230" i="22" s="1"/>
  <c r="X230" i="22" s="1"/>
  <c r="W230" i="22" s="1"/>
  <c r="V230" i="22" s="1"/>
  <c r="U230" i="22" s="1"/>
  <c r="G231" i="22"/>
  <c r="Z231" i="22" s="1"/>
  <c r="Y231" i="22" s="1"/>
  <c r="X231" i="22" s="1"/>
  <c r="W231" i="22" s="1"/>
  <c r="V231" i="22" s="1"/>
  <c r="U231" i="22" s="1"/>
  <c r="G232" i="22"/>
  <c r="Z232" i="22" s="1"/>
  <c r="Y232" i="22" s="1"/>
  <c r="X232" i="22" s="1"/>
  <c r="W232" i="22" s="1"/>
  <c r="V232" i="22" s="1"/>
  <c r="U232" i="22" s="1"/>
  <c r="G233" i="22"/>
  <c r="Z233" i="22" s="1"/>
  <c r="Y233" i="22" s="1"/>
  <c r="X233" i="22" s="1"/>
  <c r="W233" i="22" s="1"/>
  <c r="V233" i="22" s="1"/>
  <c r="U233" i="22" s="1"/>
  <c r="G234" i="22"/>
  <c r="Z234" i="22" s="1"/>
  <c r="Y234" i="22" s="1"/>
  <c r="X234" i="22" s="1"/>
  <c r="W234" i="22" s="1"/>
  <c r="V234" i="22" s="1"/>
  <c r="U234" i="22" s="1"/>
  <c r="G235" i="22"/>
  <c r="Z235" i="22" s="1"/>
  <c r="Y235" i="22" s="1"/>
  <c r="X235" i="22" s="1"/>
  <c r="W235" i="22" s="1"/>
  <c r="V235" i="22" s="1"/>
  <c r="U235" i="22" s="1"/>
  <c r="G236" i="22"/>
  <c r="Z236" i="22" s="1"/>
  <c r="Y236" i="22" s="1"/>
  <c r="X236" i="22" s="1"/>
  <c r="W236" i="22" s="1"/>
  <c r="V236" i="22" s="1"/>
  <c r="U236" i="22" s="1"/>
  <c r="G237" i="22"/>
  <c r="Z237" i="22" s="1"/>
  <c r="Y237" i="22" s="1"/>
  <c r="X237" i="22" s="1"/>
  <c r="W237" i="22" s="1"/>
  <c r="V237" i="22" s="1"/>
  <c r="U237" i="22" s="1"/>
  <c r="G238" i="22"/>
  <c r="Z238" i="22" s="1"/>
  <c r="Y238" i="22" s="1"/>
  <c r="X238" i="22" s="1"/>
  <c r="W238" i="22" s="1"/>
  <c r="V238" i="22" s="1"/>
  <c r="U238" i="22" s="1"/>
  <c r="G239" i="22"/>
  <c r="Z239" i="22" s="1"/>
  <c r="Y239" i="22" s="1"/>
  <c r="X239" i="22" s="1"/>
  <c r="W239" i="22" s="1"/>
  <c r="V239" i="22" s="1"/>
  <c r="U239" i="22" s="1"/>
  <c r="G240" i="22"/>
  <c r="Z240" i="22" s="1"/>
  <c r="Y240" i="22" s="1"/>
  <c r="X240" i="22" s="1"/>
  <c r="W240" i="22" s="1"/>
  <c r="V240" i="22" s="1"/>
  <c r="U240" i="22" s="1"/>
  <c r="G241" i="22"/>
  <c r="Z241" i="22" s="1"/>
  <c r="Y241" i="22" s="1"/>
  <c r="X241" i="22" s="1"/>
  <c r="W241" i="22" s="1"/>
  <c r="V241" i="22" s="1"/>
  <c r="U241" i="22" s="1"/>
  <c r="G242" i="22"/>
  <c r="Z242" i="22" s="1"/>
  <c r="Y242" i="22" s="1"/>
  <c r="X242" i="22" s="1"/>
  <c r="W242" i="22" s="1"/>
  <c r="V242" i="22" s="1"/>
  <c r="U242" i="22" s="1"/>
  <c r="G243" i="22"/>
  <c r="Z243" i="22" s="1"/>
  <c r="Y243" i="22" s="1"/>
  <c r="X243" i="22" s="1"/>
  <c r="W243" i="22" s="1"/>
  <c r="V243" i="22" s="1"/>
  <c r="U243" i="22" s="1"/>
  <c r="G244" i="22"/>
  <c r="Z244" i="22" s="1"/>
  <c r="Y244" i="22" s="1"/>
  <c r="X244" i="22" s="1"/>
  <c r="W244" i="22" s="1"/>
  <c r="V244" i="22" s="1"/>
  <c r="U244" i="22" s="1"/>
  <c r="G245" i="22"/>
  <c r="Z245" i="22" s="1"/>
  <c r="Y245" i="22" s="1"/>
  <c r="X245" i="22" s="1"/>
  <c r="W245" i="22" s="1"/>
  <c r="V245" i="22" s="1"/>
  <c r="U245" i="22" s="1"/>
  <c r="G246" i="22"/>
  <c r="Z246" i="22" s="1"/>
  <c r="Y246" i="22" s="1"/>
  <c r="X246" i="22" s="1"/>
  <c r="W246" i="22" s="1"/>
  <c r="V246" i="22" s="1"/>
  <c r="U246" i="22" s="1"/>
  <c r="G247" i="22"/>
  <c r="Z247" i="22" s="1"/>
  <c r="Y247" i="22" s="1"/>
  <c r="X247" i="22" s="1"/>
  <c r="W247" i="22" s="1"/>
  <c r="V247" i="22" s="1"/>
  <c r="U247" i="22" s="1"/>
  <c r="G248" i="22"/>
  <c r="Z248" i="22" s="1"/>
  <c r="Y248" i="22" s="1"/>
  <c r="X248" i="22" s="1"/>
  <c r="W248" i="22" s="1"/>
  <c r="V248" i="22" s="1"/>
  <c r="U248" i="22" s="1"/>
  <c r="G249" i="22"/>
  <c r="Z249" i="22" s="1"/>
  <c r="Y249" i="22" s="1"/>
  <c r="X249" i="22" s="1"/>
  <c r="W249" i="22" s="1"/>
  <c r="V249" i="22" s="1"/>
  <c r="U249" i="22" s="1"/>
  <c r="G250" i="22"/>
  <c r="Z250" i="22" s="1"/>
  <c r="Y250" i="22" s="1"/>
  <c r="X250" i="22" s="1"/>
  <c r="W250" i="22" s="1"/>
  <c r="V250" i="22" s="1"/>
  <c r="U250" i="22" s="1"/>
  <c r="G251" i="22"/>
  <c r="Z251" i="22" s="1"/>
  <c r="Y251" i="22" s="1"/>
  <c r="X251" i="22" s="1"/>
  <c r="W251" i="22" s="1"/>
  <c r="V251" i="22" s="1"/>
  <c r="U251" i="22" s="1"/>
  <c r="G252" i="22"/>
  <c r="Z252" i="22" s="1"/>
  <c r="Y252" i="22" s="1"/>
  <c r="X252" i="22" s="1"/>
  <c r="W252" i="22" s="1"/>
  <c r="V252" i="22" s="1"/>
  <c r="U252" i="22" s="1"/>
  <c r="G253" i="22"/>
  <c r="Z253" i="22" s="1"/>
  <c r="Y253" i="22" s="1"/>
  <c r="X253" i="22" s="1"/>
  <c r="W253" i="22" s="1"/>
  <c r="V253" i="22" s="1"/>
  <c r="U253" i="22" s="1"/>
  <c r="G254" i="22"/>
  <c r="Z254" i="22" s="1"/>
  <c r="Y254" i="22" s="1"/>
  <c r="X254" i="22" s="1"/>
  <c r="W254" i="22" s="1"/>
  <c r="V254" i="22" s="1"/>
  <c r="U254" i="22" s="1"/>
  <c r="G255" i="22"/>
  <c r="Z255" i="22" s="1"/>
  <c r="Y255" i="22" s="1"/>
  <c r="X255" i="22" s="1"/>
  <c r="W255" i="22" s="1"/>
  <c r="V255" i="22" s="1"/>
  <c r="U255" i="22" s="1"/>
  <c r="G256" i="22"/>
  <c r="Z256" i="22" s="1"/>
  <c r="Y256" i="22" s="1"/>
  <c r="X256" i="22" s="1"/>
  <c r="W256" i="22" s="1"/>
  <c r="V256" i="22" s="1"/>
  <c r="U256" i="22" s="1"/>
  <c r="G257" i="22"/>
  <c r="Z257" i="22" s="1"/>
  <c r="Y257" i="22" s="1"/>
  <c r="X257" i="22" s="1"/>
  <c r="W257" i="22" s="1"/>
  <c r="V257" i="22" s="1"/>
  <c r="U257" i="22" s="1"/>
  <c r="G258" i="22"/>
  <c r="Z258" i="22" s="1"/>
  <c r="Y258" i="22" s="1"/>
  <c r="X258" i="22" s="1"/>
  <c r="W258" i="22" s="1"/>
  <c r="V258" i="22" s="1"/>
  <c r="U258" i="22" s="1"/>
  <c r="G259" i="22"/>
  <c r="Z259" i="22" s="1"/>
  <c r="Y259" i="22" s="1"/>
  <c r="X259" i="22" s="1"/>
  <c r="W259" i="22" s="1"/>
  <c r="V259" i="22" s="1"/>
  <c r="U259" i="22" s="1"/>
  <c r="G260" i="22"/>
  <c r="Z260" i="22" s="1"/>
  <c r="Y260" i="22" s="1"/>
  <c r="X260" i="22" s="1"/>
  <c r="W260" i="22" s="1"/>
  <c r="V260" i="22" s="1"/>
  <c r="U260" i="22" s="1"/>
  <c r="G261" i="22"/>
  <c r="Z261" i="22" s="1"/>
  <c r="Y261" i="22" s="1"/>
  <c r="X261" i="22" s="1"/>
  <c r="W261" i="22" s="1"/>
  <c r="V261" i="22" s="1"/>
  <c r="U261" i="22" s="1"/>
  <c r="G262" i="22"/>
  <c r="Z262" i="22" s="1"/>
  <c r="Y262" i="22" s="1"/>
  <c r="X262" i="22" s="1"/>
  <c r="W262" i="22" s="1"/>
  <c r="V262" i="22" s="1"/>
  <c r="U262" i="22" s="1"/>
  <c r="G263" i="22"/>
  <c r="Z263" i="22" s="1"/>
  <c r="Y263" i="22" s="1"/>
  <c r="X263" i="22" s="1"/>
  <c r="W263" i="22" s="1"/>
  <c r="V263" i="22" s="1"/>
  <c r="U263" i="22" s="1"/>
  <c r="G264" i="22"/>
  <c r="Z264" i="22" s="1"/>
  <c r="Y264" i="22" s="1"/>
  <c r="X264" i="22" s="1"/>
  <c r="W264" i="22" s="1"/>
  <c r="V264" i="22" s="1"/>
  <c r="U264" i="22" s="1"/>
  <c r="G265" i="22"/>
  <c r="Z265" i="22" s="1"/>
  <c r="Y265" i="22" s="1"/>
  <c r="X265" i="22" s="1"/>
  <c r="W265" i="22" s="1"/>
  <c r="V265" i="22" s="1"/>
  <c r="U265" i="22" s="1"/>
  <c r="G266" i="22"/>
  <c r="Z266" i="22" s="1"/>
  <c r="Y266" i="22" s="1"/>
  <c r="X266" i="22" s="1"/>
  <c r="W266" i="22" s="1"/>
  <c r="V266" i="22" s="1"/>
  <c r="U266" i="22" s="1"/>
  <c r="G267" i="22"/>
  <c r="Z267" i="22" s="1"/>
  <c r="Y267" i="22" s="1"/>
  <c r="X267" i="22" s="1"/>
  <c r="W267" i="22" s="1"/>
  <c r="V267" i="22" s="1"/>
  <c r="U267" i="22" s="1"/>
  <c r="G268" i="22"/>
  <c r="Z268" i="22" s="1"/>
  <c r="Y268" i="22" s="1"/>
  <c r="X268" i="22" s="1"/>
  <c r="W268" i="22" s="1"/>
  <c r="V268" i="22" s="1"/>
  <c r="U268" i="22" s="1"/>
  <c r="G269" i="22"/>
  <c r="Z269" i="22" s="1"/>
  <c r="Y269" i="22" s="1"/>
  <c r="X269" i="22" s="1"/>
  <c r="W269" i="22" s="1"/>
  <c r="V269" i="22" s="1"/>
  <c r="U269" i="22" s="1"/>
  <c r="G270" i="22"/>
  <c r="Z270" i="22" s="1"/>
  <c r="Y270" i="22" s="1"/>
  <c r="X270" i="22" s="1"/>
  <c r="W270" i="22" s="1"/>
  <c r="V270" i="22" s="1"/>
  <c r="U270" i="22" s="1"/>
  <c r="G271" i="22"/>
  <c r="Z271" i="22" s="1"/>
  <c r="Y271" i="22" s="1"/>
  <c r="X271" i="22" s="1"/>
  <c r="W271" i="22" s="1"/>
  <c r="V271" i="22" s="1"/>
  <c r="U271" i="22" s="1"/>
  <c r="G272" i="22"/>
  <c r="Z272" i="22" s="1"/>
  <c r="Y272" i="22" s="1"/>
  <c r="X272" i="22" s="1"/>
  <c r="W272" i="22" s="1"/>
  <c r="V272" i="22" s="1"/>
  <c r="U272" i="22" s="1"/>
  <c r="G273" i="22"/>
  <c r="Z273" i="22" s="1"/>
  <c r="Y273" i="22" s="1"/>
  <c r="X273" i="22" s="1"/>
  <c r="W273" i="22" s="1"/>
  <c r="V273" i="22" s="1"/>
  <c r="U273" i="22" s="1"/>
  <c r="G274" i="22"/>
  <c r="Z274" i="22" s="1"/>
  <c r="Y274" i="22" s="1"/>
  <c r="X274" i="22" s="1"/>
  <c r="W274" i="22" s="1"/>
  <c r="V274" i="22" s="1"/>
  <c r="U274" i="22" s="1"/>
  <c r="G275" i="22"/>
  <c r="Z275" i="22" s="1"/>
  <c r="Y275" i="22" s="1"/>
  <c r="X275" i="22" s="1"/>
  <c r="W275" i="22" s="1"/>
  <c r="V275" i="22" s="1"/>
  <c r="U275" i="22" s="1"/>
  <c r="G276" i="22"/>
  <c r="Z276" i="22" s="1"/>
  <c r="Y276" i="22" s="1"/>
  <c r="X276" i="22" s="1"/>
  <c r="W276" i="22" s="1"/>
  <c r="V276" i="22" s="1"/>
  <c r="U276" i="22" s="1"/>
  <c r="G277" i="22"/>
  <c r="Z277" i="22" s="1"/>
  <c r="Y277" i="22" s="1"/>
  <c r="X277" i="22" s="1"/>
  <c r="W277" i="22" s="1"/>
  <c r="V277" i="22" s="1"/>
  <c r="U277" i="22" s="1"/>
  <c r="G278" i="22"/>
  <c r="Z278" i="22" s="1"/>
  <c r="Y278" i="22" s="1"/>
  <c r="X278" i="22" s="1"/>
  <c r="W278" i="22" s="1"/>
  <c r="V278" i="22" s="1"/>
  <c r="U278" i="22" s="1"/>
  <c r="G279" i="22"/>
  <c r="Z279" i="22" s="1"/>
  <c r="Y279" i="22" s="1"/>
  <c r="X279" i="22" s="1"/>
  <c r="W279" i="22" s="1"/>
  <c r="V279" i="22" s="1"/>
  <c r="U279" i="22" s="1"/>
  <c r="G280" i="22"/>
  <c r="Z280" i="22" s="1"/>
  <c r="Y280" i="22" s="1"/>
  <c r="X280" i="22" s="1"/>
  <c r="W280" i="22" s="1"/>
  <c r="V280" i="22" s="1"/>
  <c r="U280" i="22" s="1"/>
  <c r="G281" i="22"/>
  <c r="Z281" i="22" s="1"/>
  <c r="Y281" i="22" s="1"/>
  <c r="X281" i="22" s="1"/>
  <c r="W281" i="22" s="1"/>
  <c r="V281" i="22" s="1"/>
  <c r="U281" i="22" s="1"/>
  <c r="G282" i="22"/>
  <c r="Z282" i="22" s="1"/>
  <c r="Y282" i="22" s="1"/>
  <c r="X282" i="22" s="1"/>
  <c r="W282" i="22" s="1"/>
  <c r="V282" i="22" s="1"/>
  <c r="U282" i="22" s="1"/>
  <c r="G283" i="22"/>
  <c r="Z283" i="22" s="1"/>
  <c r="Y283" i="22" s="1"/>
  <c r="X283" i="22" s="1"/>
  <c r="W283" i="22" s="1"/>
  <c r="V283" i="22" s="1"/>
  <c r="U283" i="22" s="1"/>
  <c r="G284" i="22"/>
  <c r="Z284" i="22" s="1"/>
  <c r="Y284" i="22" s="1"/>
  <c r="X284" i="22" s="1"/>
  <c r="W284" i="22" s="1"/>
  <c r="V284" i="22" s="1"/>
  <c r="U284" i="22" s="1"/>
  <c r="G285" i="22"/>
  <c r="Z285" i="22" s="1"/>
  <c r="Y285" i="22" s="1"/>
  <c r="X285" i="22" s="1"/>
  <c r="W285" i="22" s="1"/>
  <c r="V285" i="22" s="1"/>
  <c r="U285" i="22" s="1"/>
  <c r="G286" i="22"/>
  <c r="Z286" i="22" s="1"/>
  <c r="Y286" i="22" s="1"/>
  <c r="X286" i="22" s="1"/>
  <c r="W286" i="22" s="1"/>
  <c r="V286" i="22" s="1"/>
  <c r="U286" i="22" s="1"/>
  <c r="G287" i="22"/>
  <c r="Z287" i="22" s="1"/>
  <c r="Y287" i="22" s="1"/>
  <c r="X287" i="22" s="1"/>
  <c r="W287" i="22" s="1"/>
  <c r="V287" i="22" s="1"/>
  <c r="U287" i="22" s="1"/>
  <c r="G288" i="22"/>
  <c r="Z288" i="22" s="1"/>
  <c r="Y288" i="22" s="1"/>
  <c r="X288" i="22" s="1"/>
  <c r="W288" i="22" s="1"/>
  <c r="V288" i="22" s="1"/>
  <c r="U288" i="22" s="1"/>
  <c r="G289" i="22"/>
  <c r="Z289" i="22" s="1"/>
  <c r="Y289" i="22" s="1"/>
  <c r="X289" i="22" s="1"/>
  <c r="W289" i="22" s="1"/>
  <c r="V289" i="22" s="1"/>
  <c r="U289" i="22" s="1"/>
  <c r="G290" i="22"/>
  <c r="Z290" i="22" s="1"/>
  <c r="Y290" i="22" s="1"/>
  <c r="X290" i="22" s="1"/>
  <c r="W290" i="22" s="1"/>
  <c r="V290" i="22" s="1"/>
  <c r="U290" i="22" s="1"/>
  <c r="G291" i="22"/>
  <c r="Z291" i="22" s="1"/>
  <c r="Y291" i="22" s="1"/>
  <c r="X291" i="22" s="1"/>
  <c r="W291" i="22" s="1"/>
  <c r="V291" i="22" s="1"/>
  <c r="U291" i="22" s="1"/>
  <c r="G292" i="22"/>
  <c r="Z292" i="22" s="1"/>
  <c r="Y292" i="22" s="1"/>
  <c r="X292" i="22" s="1"/>
  <c r="W292" i="22" s="1"/>
  <c r="V292" i="22" s="1"/>
  <c r="U292" i="22" s="1"/>
  <c r="G293" i="22"/>
  <c r="Z293" i="22" s="1"/>
  <c r="Y293" i="22" s="1"/>
  <c r="X293" i="22" s="1"/>
  <c r="W293" i="22" s="1"/>
  <c r="V293" i="22" s="1"/>
  <c r="U293" i="22" s="1"/>
  <c r="G294" i="22"/>
  <c r="Z294" i="22" s="1"/>
  <c r="Y294" i="22" s="1"/>
  <c r="X294" i="22" s="1"/>
  <c r="W294" i="22" s="1"/>
  <c r="V294" i="22" s="1"/>
  <c r="U294" i="22" s="1"/>
  <c r="G295" i="22"/>
  <c r="Z295" i="22" s="1"/>
  <c r="Y295" i="22" s="1"/>
  <c r="X295" i="22" s="1"/>
  <c r="W295" i="22" s="1"/>
  <c r="V295" i="22" s="1"/>
  <c r="U295" i="22" s="1"/>
  <c r="G296" i="22"/>
  <c r="Z296" i="22" s="1"/>
  <c r="Y296" i="22" s="1"/>
  <c r="X296" i="22" s="1"/>
  <c r="W296" i="22" s="1"/>
  <c r="V296" i="22" s="1"/>
  <c r="U296" i="22" s="1"/>
  <c r="G297" i="22"/>
  <c r="Z297" i="22" s="1"/>
  <c r="Y297" i="22" s="1"/>
  <c r="X297" i="22" s="1"/>
  <c r="W297" i="22" s="1"/>
  <c r="V297" i="22" s="1"/>
  <c r="U297" i="22" s="1"/>
  <c r="G298" i="22"/>
  <c r="Z298" i="22" s="1"/>
  <c r="Y298" i="22" s="1"/>
  <c r="X298" i="22" s="1"/>
  <c r="W298" i="22" s="1"/>
  <c r="V298" i="22" s="1"/>
  <c r="U298" i="22" s="1"/>
  <c r="G299" i="22"/>
  <c r="Z299" i="22" s="1"/>
  <c r="Y299" i="22" s="1"/>
  <c r="X299" i="22" s="1"/>
  <c r="W299" i="22" s="1"/>
  <c r="V299" i="22" s="1"/>
  <c r="U299" i="22" s="1"/>
  <c r="G300" i="22"/>
  <c r="Z300" i="22" s="1"/>
  <c r="Y300" i="22" s="1"/>
  <c r="X300" i="22" s="1"/>
  <c r="W300" i="22" s="1"/>
  <c r="V300" i="22" s="1"/>
  <c r="U300" i="22" s="1"/>
  <c r="G301" i="22"/>
  <c r="Z301" i="22" s="1"/>
  <c r="Y301" i="22" s="1"/>
  <c r="X301" i="22" s="1"/>
  <c r="W301" i="22" s="1"/>
  <c r="V301" i="22" s="1"/>
  <c r="U301" i="22" s="1"/>
  <c r="G302" i="22"/>
  <c r="Z302" i="22" s="1"/>
  <c r="Y302" i="22" s="1"/>
  <c r="X302" i="22" s="1"/>
  <c r="W302" i="22" s="1"/>
  <c r="V302" i="22" s="1"/>
  <c r="U302" i="22" s="1"/>
  <c r="G303" i="22"/>
  <c r="Z303" i="22" s="1"/>
  <c r="Y303" i="22" s="1"/>
  <c r="X303" i="22" s="1"/>
  <c r="W303" i="22" s="1"/>
  <c r="V303" i="22" s="1"/>
  <c r="U303" i="22" s="1"/>
  <c r="G304" i="22"/>
  <c r="Z304" i="22" s="1"/>
  <c r="Y304" i="22" s="1"/>
  <c r="X304" i="22" s="1"/>
  <c r="W304" i="22" s="1"/>
  <c r="V304" i="22" s="1"/>
  <c r="U304" i="22" s="1"/>
  <c r="G305" i="22"/>
  <c r="Z305" i="22" s="1"/>
  <c r="Y305" i="22" s="1"/>
  <c r="X305" i="22" s="1"/>
  <c r="W305" i="22" s="1"/>
  <c r="V305" i="22" s="1"/>
  <c r="U305" i="22" s="1"/>
  <c r="G306" i="22"/>
  <c r="Z306" i="22" s="1"/>
  <c r="Y306" i="22" s="1"/>
  <c r="X306" i="22" s="1"/>
  <c r="W306" i="22" s="1"/>
  <c r="V306" i="22" s="1"/>
  <c r="U306" i="22" s="1"/>
  <c r="G307" i="22"/>
  <c r="Z307" i="22" s="1"/>
  <c r="Y307" i="22" s="1"/>
  <c r="X307" i="22" s="1"/>
  <c r="W307" i="22" s="1"/>
  <c r="V307" i="22" s="1"/>
  <c r="U307" i="22" s="1"/>
  <c r="G308" i="22"/>
  <c r="Z308" i="22" s="1"/>
  <c r="Y308" i="22" s="1"/>
  <c r="X308" i="22" s="1"/>
  <c r="W308" i="22" s="1"/>
  <c r="V308" i="22" s="1"/>
  <c r="U308" i="22" s="1"/>
  <c r="G309" i="22"/>
  <c r="Z309" i="22" s="1"/>
  <c r="Y309" i="22" s="1"/>
  <c r="X309" i="22" s="1"/>
  <c r="W309" i="22" s="1"/>
  <c r="V309" i="22" s="1"/>
  <c r="U309" i="22" s="1"/>
  <c r="G310" i="22"/>
  <c r="Z310" i="22" s="1"/>
  <c r="Y310" i="22" s="1"/>
  <c r="X310" i="22" s="1"/>
  <c r="W310" i="22" s="1"/>
  <c r="V310" i="22" s="1"/>
  <c r="U310" i="22" s="1"/>
  <c r="G311" i="22"/>
  <c r="Z311" i="22" s="1"/>
  <c r="Y311" i="22" s="1"/>
  <c r="X311" i="22" s="1"/>
  <c r="W311" i="22" s="1"/>
  <c r="V311" i="22" s="1"/>
  <c r="U311" i="22" s="1"/>
  <c r="G312" i="22"/>
  <c r="Z312" i="22" s="1"/>
  <c r="Y312" i="22" s="1"/>
  <c r="X312" i="22" s="1"/>
  <c r="W312" i="22" s="1"/>
  <c r="V312" i="22" s="1"/>
  <c r="U312" i="22" s="1"/>
  <c r="G314" i="22"/>
  <c r="Z314" i="22" s="1"/>
  <c r="Y314" i="22" s="1"/>
  <c r="X314" i="22" s="1"/>
  <c r="W314" i="22" s="1"/>
  <c r="V314" i="22" s="1"/>
  <c r="U314" i="22" s="1"/>
  <c r="G315" i="22"/>
  <c r="Z315" i="22" s="1"/>
  <c r="Y315" i="22" s="1"/>
  <c r="X315" i="22" s="1"/>
  <c r="W315" i="22" s="1"/>
  <c r="V315" i="22" s="1"/>
  <c r="U315" i="22" s="1"/>
  <c r="G316" i="22"/>
  <c r="Z316" i="22" s="1"/>
  <c r="Y316" i="22" s="1"/>
  <c r="X316" i="22" s="1"/>
  <c r="W316" i="22" s="1"/>
  <c r="V316" i="22" s="1"/>
  <c r="U316" i="22" s="1"/>
  <c r="G317" i="22"/>
  <c r="Z317" i="22" s="1"/>
  <c r="Y317" i="22" s="1"/>
  <c r="X317" i="22" s="1"/>
  <c r="W317" i="22" s="1"/>
  <c r="V317" i="22" s="1"/>
  <c r="U317" i="22" s="1"/>
  <c r="G318" i="22"/>
  <c r="Z318" i="22" s="1"/>
  <c r="Y318" i="22" s="1"/>
  <c r="X318" i="22" s="1"/>
  <c r="W318" i="22" s="1"/>
  <c r="V318" i="22" s="1"/>
  <c r="U318" i="22" s="1"/>
  <c r="G319" i="22"/>
  <c r="Z319" i="22" s="1"/>
  <c r="Y319" i="22" s="1"/>
  <c r="X319" i="22" s="1"/>
  <c r="W319" i="22" s="1"/>
  <c r="V319" i="22" s="1"/>
  <c r="U319" i="22" s="1"/>
  <c r="G320" i="22"/>
  <c r="Z320" i="22" s="1"/>
  <c r="Y320" i="22" s="1"/>
  <c r="X320" i="22" s="1"/>
  <c r="W320" i="22" s="1"/>
  <c r="V320" i="22" s="1"/>
  <c r="U320" i="22" s="1"/>
  <c r="G321" i="22"/>
  <c r="Z321" i="22" s="1"/>
  <c r="Y321" i="22" s="1"/>
  <c r="X321" i="22" s="1"/>
  <c r="W321" i="22" s="1"/>
  <c r="V321" i="22" s="1"/>
  <c r="U321" i="22" s="1"/>
  <c r="G322" i="22"/>
  <c r="Z322" i="22" s="1"/>
  <c r="Y322" i="22" s="1"/>
  <c r="X322" i="22" s="1"/>
  <c r="W322" i="22" s="1"/>
  <c r="V322" i="22" s="1"/>
  <c r="U322" i="22" s="1"/>
  <c r="G323" i="22"/>
  <c r="Z323" i="22" s="1"/>
  <c r="Y323" i="22" s="1"/>
  <c r="X323" i="22" s="1"/>
  <c r="W323" i="22" s="1"/>
  <c r="V323" i="22" s="1"/>
  <c r="U323" i="22" s="1"/>
  <c r="G324" i="22"/>
  <c r="Z324" i="22" s="1"/>
  <c r="Y324" i="22" s="1"/>
  <c r="X324" i="22" s="1"/>
  <c r="W324" i="22" s="1"/>
  <c r="V324" i="22" s="1"/>
  <c r="U324" i="22" s="1"/>
  <c r="G325" i="22"/>
  <c r="Z325" i="22" s="1"/>
  <c r="Y325" i="22" s="1"/>
  <c r="X325" i="22" s="1"/>
  <c r="W325" i="22" s="1"/>
  <c r="V325" i="22" s="1"/>
  <c r="U325" i="22" s="1"/>
  <c r="G326" i="22"/>
  <c r="Z326" i="22" s="1"/>
  <c r="Y326" i="22" s="1"/>
  <c r="X326" i="22" s="1"/>
  <c r="W326" i="22" s="1"/>
  <c r="V326" i="22" s="1"/>
  <c r="U326" i="22" s="1"/>
  <c r="G327" i="22"/>
  <c r="Z327" i="22" s="1"/>
  <c r="Y327" i="22" s="1"/>
  <c r="X327" i="22" s="1"/>
  <c r="W327" i="22" s="1"/>
  <c r="V327" i="22" s="1"/>
  <c r="U327" i="22" s="1"/>
  <c r="G328" i="22"/>
  <c r="Z328" i="22" s="1"/>
  <c r="Y328" i="22" s="1"/>
  <c r="X328" i="22" s="1"/>
  <c r="W328" i="22" s="1"/>
  <c r="V328" i="22" s="1"/>
  <c r="U328" i="22" s="1"/>
  <c r="G329" i="22"/>
  <c r="Z329" i="22" s="1"/>
  <c r="Y329" i="22" s="1"/>
  <c r="X329" i="22" s="1"/>
  <c r="W329" i="22" s="1"/>
  <c r="V329" i="22" s="1"/>
  <c r="U329" i="22" s="1"/>
  <c r="G330" i="22"/>
  <c r="Z330" i="22" s="1"/>
  <c r="Y330" i="22" s="1"/>
  <c r="X330" i="22" s="1"/>
  <c r="W330" i="22" s="1"/>
  <c r="V330" i="22" s="1"/>
  <c r="U330" i="22" s="1"/>
  <c r="G331" i="22"/>
  <c r="Z331" i="22" s="1"/>
  <c r="Y331" i="22" s="1"/>
  <c r="X331" i="22" s="1"/>
  <c r="W331" i="22" s="1"/>
  <c r="V331" i="22" s="1"/>
  <c r="U331" i="22" s="1"/>
  <c r="G332" i="22"/>
  <c r="Z332" i="22" s="1"/>
  <c r="Y332" i="22" s="1"/>
  <c r="X332" i="22" s="1"/>
  <c r="W332" i="22" s="1"/>
  <c r="V332" i="22" s="1"/>
  <c r="U332" i="22" s="1"/>
  <c r="G333" i="22"/>
  <c r="Z333" i="22" s="1"/>
  <c r="Y333" i="22" s="1"/>
  <c r="X333" i="22" s="1"/>
  <c r="W333" i="22" s="1"/>
  <c r="V333" i="22" s="1"/>
  <c r="U333" i="22" s="1"/>
  <c r="G334" i="22"/>
  <c r="Z334" i="22" s="1"/>
  <c r="Y334" i="22" s="1"/>
  <c r="X334" i="22" s="1"/>
  <c r="W334" i="22" s="1"/>
  <c r="V334" i="22" s="1"/>
  <c r="U334" i="22" s="1"/>
  <c r="G335" i="22"/>
  <c r="Z335" i="22" s="1"/>
  <c r="Y335" i="22" s="1"/>
  <c r="X335" i="22" s="1"/>
  <c r="W335" i="22" s="1"/>
  <c r="V335" i="22" s="1"/>
  <c r="U335" i="22" s="1"/>
  <c r="G336" i="22"/>
  <c r="Z336" i="22" s="1"/>
  <c r="Y336" i="22" s="1"/>
  <c r="X336" i="22" s="1"/>
  <c r="W336" i="22" s="1"/>
  <c r="V336" i="22" s="1"/>
  <c r="U336" i="22" s="1"/>
  <c r="G337" i="22"/>
  <c r="Z337" i="22" s="1"/>
  <c r="Y337" i="22" s="1"/>
  <c r="X337" i="22" s="1"/>
  <c r="W337" i="22" s="1"/>
  <c r="V337" i="22" s="1"/>
  <c r="U337" i="22" s="1"/>
  <c r="G338" i="22"/>
  <c r="G339" i="22"/>
  <c r="Z339" i="22" s="1"/>
  <c r="Y339" i="22" s="1"/>
  <c r="X339" i="22" s="1"/>
  <c r="W339" i="22" s="1"/>
  <c r="V339" i="22" s="1"/>
  <c r="U339" i="22" s="1"/>
  <c r="G340" i="22"/>
  <c r="Z340" i="22" s="1"/>
  <c r="Y340" i="22" s="1"/>
  <c r="X340" i="22" s="1"/>
  <c r="W340" i="22" s="1"/>
  <c r="V340" i="22" s="1"/>
  <c r="U340" i="22" s="1"/>
  <c r="G341" i="22"/>
  <c r="Z341" i="22" s="1"/>
  <c r="Y341" i="22" s="1"/>
  <c r="X341" i="22" s="1"/>
  <c r="W341" i="22" s="1"/>
  <c r="V341" i="22" s="1"/>
  <c r="U341" i="22" s="1"/>
  <c r="G342" i="22"/>
  <c r="Z342" i="22" s="1"/>
  <c r="Y342" i="22" s="1"/>
  <c r="X342" i="22" s="1"/>
  <c r="W342" i="22" s="1"/>
  <c r="V342" i="22" s="1"/>
  <c r="U342" i="22" s="1"/>
  <c r="G343" i="22"/>
  <c r="Z343" i="22" s="1"/>
  <c r="Y343" i="22" s="1"/>
  <c r="X343" i="22" s="1"/>
  <c r="W343" i="22" s="1"/>
  <c r="V343" i="22" s="1"/>
  <c r="U343" i="22" s="1"/>
  <c r="G344" i="22"/>
  <c r="Z344" i="22" s="1"/>
  <c r="Y344" i="22" s="1"/>
  <c r="X344" i="22" s="1"/>
  <c r="W344" i="22" s="1"/>
  <c r="V344" i="22" s="1"/>
  <c r="U344" i="22" s="1"/>
  <c r="G345" i="22"/>
  <c r="Z345" i="22" s="1"/>
  <c r="Y345" i="22" s="1"/>
  <c r="X345" i="22" s="1"/>
  <c r="W345" i="22" s="1"/>
  <c r="V345" i="22" s="1"/>
  <c r="U345" i="22" s="1"/>
  <c r="G346" i="22"/>
  <c r="Z346" i="22" s="1"/>
  <c r="Y346" i="22" s="1"/>
  <c r="X346" i="22" s="1"/>
  <c r="W346" i="22" s="1"/>
  <c r="V346" i="22" s="1"/>
  <c r="U346" i="22" s="1"/>
  <c r="G347" i="22"/>
  <c r="Z347" i="22" s="1"/>
  <c r="Y347" i="22" s="1"/>
  <c r="X347" i="22" s="1"/>
  <c r="W347" i="22" s="1"/>
  <c r="V347" i="22" s="1"/>
  <c r="U347" i="22" s="1"/>
  <c r="G348" i="22"/>
  <c r="Z348" i="22" s="1"/>
  <c r="Y348" i="22" s="1"/>
  <c r="X348" i="22" s="1"/>
  <c r="W348" i="22" s="1"/>
  <c r="V348" i="22" s="1"/>
  <c r="U348" i="22" s="1"/>
  <c r="G349" i="22"/>
  <c r="Z349" i="22" s="1"/>
  <c r="Y349" i="22" s="1"/>
  <c r="X349" i="22" s="1"/>
  <c r="W349" i="22" s="1"/>
  <c r="V349" i="22" s="1"/>
  <c r="U349" i="22" s="1"/>
  <c r="G350" i="22"/>
  <c r="Z350" i="22" s="1"/>
  <c r="Y350" i="22" s="1"/>
  <c r="X350" i="22" s="1"/>
  <c r="W350" i="22" s="1"/>
  <c r="V350" i="22" s="1"/>
  <c r="U350" i="22" s="1"/>
  <c r="G351" i="22"/>
  <c r="G352" i="22"/>
  <c r="Z352" i="22" s="1"/>
  <c r="Y352" i="22" s="1"/>
  <c r="X352" i="22" s="1"/>
  <c r="W352" i="22" s="1"/>
  <c r="V352" i="22" s="1"/>
  <c r="U352" i="22" s="1"/>
  <c r="G354" i="22"/>
  <c r="Z354" i="22" s="1"/>
  <c r="Y354" i="22" s="1"/>
  <c r="X354" i="22" s="1"/>
  <c r="W354" i="22" s="1"/>
  <c r="V354" i="22" s="1"/>
  <c r="U354" i="22" s="1"/>
  <c r="G355" i="22"/>
  <c r="Z355" i="22" s="1"/>
  <c r="Y355" i="22" s="1"/>
  <c r="X355" i="22" s="1"/>
  <c r="W355" i="22" s="1"/>
  <c r="V355" i="22" s="1"/>
  <c r="U355" i="22" s="1"/>
  <c r="G356" i="22"/>
  <c r="Z356" i="22" s="1"/>
  <c r="Y356" i="22" s="1"/>
  <c r="X356" i="22" s="1"/>
  <c r="W356" i="22" s="1"/>
  <c r="V356" i="22" s="1"/>
  <c r="U356" i="22" s="1"/>
  <c r="G357" i="22"/>
  <c r="Z357" i="22" s="1"/>
  <c r="Y357" i="22" s="1"/>
  <c r="X357" i="22" s="1"/>
  <c r="W357" i="22" s="1"/>
  <c r="V357" i="22" s="1"/>
  <c r="U357" i="22" s="1"/>
  <c r="G358" i="22"/>
  <c r="Z358" i="22" s="1"/>
  <c r="Y358" i="22" s="1"/>
  <c r="X358" i="22" s="1"/>
  <c r="W358" i="22" s="1"/>
  <c r="V358" i="22" s="1"/>
  <c r="U358" i="22" s="1"/>
  <c r="G363" i="22"/>
  <c r="Z363" i="22" s="1"/>
  <c r="Y363" i="22" s="1"/>
  <c r="X363" i="22" s="1"/>
  <c r="W363" i="22" s="1"/>
  <c r="V363" i="22" s="1"/>
  <c r="U363" i="22" s="1"/>
  <c r="G364" i="22"/>
  <c r="Z364" i="22" s="1"/>
  <c r="Y364" i="22" s="1"/>
  <c r="X364" i="22" s="1"/>
  <c r="W364" i="22" s="1"/>
  <c r="V364" i="22" s="1"/>
  <c r="U364" i="22" s="1"/>
  <c r="G365" i="22"/>
  <c r="Z365" i="22" s="1"/>
  <c r="Y365" i="22" s="1"/>
  <c r="X365" i="22" s="1"/>
  <c r="W365" i="22" s="1"/>
  <c r="V365" i="22" s="1"/>
  <c r="U365" i="22" s="1"/>
  <c r="G366" i="22"/>
  <c r="Z366" i="22" s="1"/>
  <c r="Y366" i="22" s="1"/>
  <c r="X366" i="22" s="1"/>
  <c r="W366" i="22" s="1"/>
  <c r="V366" i="22" s="1"/>
  <c r="U366" i="22" s="1"/>
  <c r="G367" i="22"/>
  <c r="Z367" i="22" s="1"/>
  <c r="Y367" i="22" s="1"/>
  <c r="X367" i="22" s="1"/>
  <c r="W367" i="22" s="1"/>
  <c r="V367" i="22" s="1"/>
  <c r="U367" i="22" s="1"/>
  <c r="G368" i="22"/>
  <c r="Z368" i="22" s="1"/>
  <c r="Y368" i="22" s="1"/>
  <c r="X368" i="22" s="1"/>
  <c r="W368" i="22" s="1"/>
  <c r="V368" i="22" s="1"/>
  <c r="U368" i="22" s="1"/>
  <c r="G369" i="22"/>
  <c r="Z369" i="22" s="1"/>
  <c r="Y369" i="22" s="1"/>
  <c r="X369" i="22" s="1"/>
  <c r="W369" i="22" s="1"/>
  <c r="V369" i="22" s="1"/>
  <c r="U369" i="22" s="1"/>
  <c r="G370" i="22"/>
  <c r="Z370" i="22" s="1"/>
  <c r="Y370" i="22" s="1"/>
  <c r="X370" i="22" s="1"/>
  <c r="W370" i="22" s="1"/>
  <c r="V370" i="22" s="1"/>
  <c r="U370" i="22" s="1"/>
  <c r="G371" i="22"/>
  <c r="Z371" i="22" s="1"/>
  <c r="Y371" i="22" s="1"/>
  <c r="X371" i="22" s="1"/>
  <c r="W371" i="22" s="1"/>
  <c r="V371" i="22" s="1"/>
  <c r="U371" i="22" s="1"/>
  <c r="G372" i="22"/>
  <c r="Z372" i="22" s="1"/>
  <c r="Y372" i="22" s="1"/>
  <c r="X372" i="22" s="1"/>
  <c r="W372" i="22" s="1"/>
  <c r="V372" i="22" s="1"/>
  <c r="U372" i="22" s="1"/>
  <c r="G373" i="22"/>
  <c r="Z373" i="22" s="1"/>
  <c r="Y373" i="22" s="1"/>
  <c r="X373" i="22" s="1"/>
  <c r="W373" i="22" s="1"/>
  <c r="V373" i="22" s="1"/>
  <c r="U373" i="22" s="1"/>
  <c r="G374" i="22"/>
  <c r="Z374" i="22" s="1"/>
  <c r="Y374" i="22" s="1"/>
  <c r="X374" i="22" s="1"/>
  <c r="W374" i="22" s="1"/>
  <c r="V374" i="22" s="1"/>
  <c r="U374" i="22" s="1"/>
  <c r="G375" i="22"/>
  <c r="Z375" i="22" s="1"/>
  <c r="Y375" i="22" s="1"/>
  <c r="X375" i="22" s="1"/>
  <c r="W375" i="22" s="1"/>
  <c r="V375" i="22" s="1"/>
  <c r="U375" i="22" s="1"/>
  <c r="G376" i="22"/>
  <c r="Z376" i="22" s="1"/>
  <c r="Y376" i="22" s="1"/>
  <c r="X376" i="22" s="1"/>
  <c r="W376" i="22" s="1"/>
  <c r="V376" i="22" s="1"/>
  <c r="U376" i="22" s="1"/>
  <c r="G377" i="22"/>
  <c r="Z377" i="22" s="1"/>
  <c r="Y377" i="22" s="1"/>
  <c r="X377" i="22" s="1"/>
  <c r="W377" i="22" s="1"/>
  <c r="V377" i="22" s="1"/>
  <c r="U377" i="22" s="1"/>
  <c r="G378" i="22"/>
  <c r="Z378" i="22" s="1"/>
  <c r="Y378" i="22" s="1"/>
  <c r="X378" i="22" s="1"/>
  <c r="W378" i="22" s="1"/>
  <c r="V378" i="22" s="1"/>
  <c r="U378" i="22" s="1"/>
  <c r="G379" i="22"/>
  <c r="Z379" i="22" s="1"/>
  <c r="Y379" i="22" s="1"/>
  <c r="X379" i="22" s="1"/>
  <c r="W379" i="22" s="1"/>
  <c r="V379" i="22" s="1"/>
  <c r="U379" i="22" s="1"/>
  <c r="G380" i="22"/>
  <c r="Z380" i="22" s="1"/>
  <c r="Y380" i="22" s="1"/>
  <c r="X380" i="22" s="1"/>
  <c r="W380" i="22" s="1"/>
  <c r="V380" i="22" s="1"/>
  <c r="U380" i="22" s="1"/>
  <c r="G381" i="22"/>
  <c r="Z381" i="22" s="1"/>
  <c r="Y381" i="22" s="1"/>
  <c r="X381" i="22" s="1"/>
  <c r="W381" i="22" s="1"/>
  <c r="V381" i="22" s="1"/>
  <c r="U381" i="22" s="1"/>
  <c r="G382" i="22"/>
  <c r="Z382" i="22" s="1"/>
  <c r="Y382" i="22" s="1"/>
  <c r="X382" i="22" s="1"/>
  <c r="W382" i="22" s="1"/>
  <c r="V382" i="22" s="1"/>
  <c r="U382" i="22" s="1"/>
  <c r="G383" i="22"/>
  <c r="Z383" i="22" s="1"/>
  <c r="Y383" i="22" s="1"/>
  <c r="X383" i="22" s="1"/>
  <c r="W383" i="22" s="1"/>
  <c r="V383" i="22" s="1"/>
  <c r="U383" i="22" s="1"/>
  <c r="G384" i="22"/>
  <c r="Z384" i="22" s="1"/>
  <c r="Y384" i="22" s="1"/>
  <c r="X384" i="22" s="1"/>
  <c r="W384" i="22" s="1"/>
  <c r="V384" i="22" s="1"/>
  <c r="U384" i="22" s="1"/>
  <c r="G385" i="22"/>
  <c r="Z385" i="22" s="1"/>
  <c r="Y385" i="22" s="1"/>
  <c r="X385" i="22" s="1"/>
  <c r="W385" i="22" s="1"/>
  <c r="V385" i="22" s="1"/>
  <c r="U385" i="22" s="1"/>
  <c r="G386" i="22"/>
  <c r="Z386" i="22" s="1"/>
  <c r="Y386" i="22" s="1"/>
  <c r="X386" i="22" s="1"/>
  <c r="W386" i="22" s="1"/>
  <c r="V386" i="22" s="1"/>
  <c r="U386" i="22" s="1"/>
  <c r="G387" i="22"/>
  <c r="Z387" i="22" s="1"/>
  <c r="Y387" i="22" s="1"/>
  <c r="X387" i="22" s="1"/>
  <c r="W387" i="22" s="1"/>
  <c r="V387" i="22" s="1"/>
  <c r="U387" i="22" s="1"/>
  <c r="G388" i="22"/>
  <c r="Z388" i="22" s="1"/>
  <c r="Y388" i="22" s="1"/>
  <c r="X388" i="22" s="1"/>
  <c r="W388" i="22" s="1"/>
  <c r="V388" i="22" s="1"/>
  <c r="U388" i="22" s="1"/>
  <c r="G389" i="22"/>
  <c r="Z389" i="22" s="1"/>
  <c r="Y389" i="22" s="1"/>
  <c r="X389" i="22" s="1"/>
  <c r="W389" i="22" s="1"/>
  <c r="V389" i="22" s="1"/>
  <c r="U389" i="22" s="1"/>
  <c r="G390" i="22"/>
  <c r="Z390" i="22" s="1"/>
  <c r="Y390" i="22" s="1"/>
  <c r="X390" i="22" s="1"/>
  <c r="W390" i="22" s="1"/>
  <c r="V390" i="22" s="1"/>
  <c r="U390" i="22" s="1"/>
  <c r="G391" i="22"/>
  <c r="Z391" i="22" s="1"/>
  <c r="Y391" i="22" s="1"/>
  <c r="X391" i="22" s="1"/>
  <c r="W391" i="22" s="1"/>
  <c r="V391" i="22" s="1"/>
  <c r="U391" i="22" s="1"/>
  <c r="G393" i="22"/>
  <c r="Z393" i="22" s="1"/>
  <c r="Y393" i="22" s="1"/>
  <c r="X393" i="22" s="1"/>
  <c r="W393" i="22" s="1"/>
  <c r="V393" i="22" s="1"/>
  <c r="U393" i="22" s="1"/>
  <c r="G394" i="22"/>
  <c r="Z394" i="22" s="1"/>
  <c r="Y394" i="22" s="1"/>
  <c r="X394" i="22" s="1"/>
  <c r="W394" i="22" s="1"/>
  <c r="V394" i="22" s="1"/>
  <c r="U394" i="22" s="1"/>
  <c r="G395" i="22"/>
  <c r="Z395" i="22" s="1"/>
  <c r="Y395" i="22" s="1"/>
  <c r="X395" i="22" s="1"/>
  <c r="W395" i="22" s="1"/>
  <c r="V395" i="22" s="1"/>
  <c r="U395" i="22" s="1"/>
  <c r="G396" i="22"/>
  <c r="Z396" i="22" s="1"/>
  <c r="Y396" i="22" s="1"/>
  <c r="X396" i="22" s="1"/>
  <c r="W396" i="22" s="1"/>
  <c r="V396" i="22" s="1"/>
  <c r="U396" i="22" s="1"/>
  <c r="G397" i="22"/>
  <c r="Z397" i="22" s="1"/>
  <c r="Y397" i="22" s="1"/>
  <c r="X397" i="22" s="1"/>
  <c r="W397" i="22" s="1"/>
  <c r="V397" i="22" s="1"/>
  <c r="U397" i="22" s="1"/>
  <c r="G398" i="22"/>
  <c r="Z398" i="22" s="1"/>
  <c r="Y398" i="22" s="1"/>
  <c r="X398" i="22" s="1"/>
  <c r="W398" i="22" s="1"/>
  <c r="V398" i="22" s="1"/>
  <c r="U398" i="22" s="1"/>
  <c r="G399" i="22"/>
  <c r="Z399" i="22" s="1"/>
  <c r="Y399" i="22" s="1"/>
  <c r="X399" i="22" s="1"/>
  <c r="W399" i="22" s="1"/>
  <c r="V399" i="22" s="1"/>
  <c r="U399" i="22" s="1"/>
  <c r="G400" i="22"/>
  <c r="Z400" i="22" s="1"/>
  <c r="Y400" i="22" s="1"/>
  <c r="X400" i="22" s="1"/>
  <c r="W400" i="22" s="1"/>
  <c r="V400" i="22" s="1"/>
  <c r="U400" i="22" s="1"/>
  <c r="G401" i="22"/>
  <c r="Z401" i="22" s="1"/>
  <c r="Y401" i="22" s="1"/>
  <c r="X401" i="22" s="1"/>
  <c r="W401" i="22" s="1"/>
  <c r="V401" i="22" s="1"/>
  <c r="U401" i="22" s="1"/>
  <c r="G402" i="22"/>
  <c r="Z402" i="22" s="1"/>
  <c r="Y402" i="22" s="1"/>
  <c r="X402" i="22" s="1"/>
  <c r="W402" i="22" s="1"/>
  <c r="V402" i="22" s="1"/>
  <c r="U402" i="22" s="1"/>
  <c r="G403" i="22"/>
  <c r="Z403" i="22" s="1"/>
  <c r="Y403" i="22" s="1"/>
  <c r="X403" i="22" s="1"/>
  <c r="W403" i="22" s="1"/>
  <c r="V403" i="22" s="1"/>
  <c r="U403" i="22" s="1"/>
  <c r="G404" i="22"/>
  <c r="Z404" i="22" s="1"/>
  <c r="Y404" i="22" s="1"/>
  <c r="X404" i="22" s="1"/>
  <c r="W404" i="22" s="1"/>
  <c r="V404" i="22" s="1"/>
  <c r="U404" i="22" s="1"/>
  <c r="G405" i="22"/>
  <c r="Z405" i="22" s="1"/>
  <c r="Y405" i="22" s="1"/>
  <c r="X405" i="22" s="1"/>
  <c r="W405" i="22" s="1"/>
  <c r="V405" i="22" s="1"/>
  <c r="U405" i="22" s="1"/>
  <c r="G406" i="22"/>
  <c r="Z406" i="22" s="1"/>
  <c r="Y406" i="22" s="1"/>
  <c r="X406" i="22" s="1"/>
  <c r="W406" i="22" s="1"/>
  <c r="V406" i="22" s="1"/>
  <c r="U406" i="22" s="1"/>
  <c r="G407" i="22"/>
  <c r="Z407" i="22" s="1"/>
  <c r="Y407" i="22" s="1"/>
  <c r="X407" i="22" s="1"/>
  <c r="W407" i="22" s="1"/>
  <c r="V407" i="22" s="1"/>
  <c r="U407" i="22" s="1"/>
  <c r="G408" i="22"/>
  <c r="Z408" i="22" s="1"/>
  <c r="Y408" i="22" s="1"/>
  <c r="X408" i="22" s="1"/>
  <c r="W408" i="22" s="1"/>
  <c r="V408" i="22" s="1"/>
  <c r="U408" i="22" s="1"/>
  <c r="G409" i="22"/>
  <c r="Z409" i="22" s="1"/>
  <c r="Y409" i="22" s="1"/>
  <c r="X409" i="22" s="1"/>
  <c r="W409" i="22" s="1"/>
  <c r="V409" i="22" s="1"/>
  <c r="U409" i="22" s="1"/>
  <c r="G410" i="22"/>
  <c r="Z410" i="22" s="1"/>
  <c r="Y410" i="22" s="1"/>
  <c r="X410" i="22" s="1"/>
  <c r="W410" i="22" s="1"/>
  <c r="V410" i="22" s="1"/>
  <c r="U410" i="22" s="1"/>
  <c r="G411" i="22"/>
  <c r="Z411" i="22" s="1"/>
  <c r="Y411" i="22" s="1"/>
  <c r="X411" i="22" s="1"/>
  <c r="W411" i="22" s="1"/>
  <c r="V411" i="22" s="1"/>
  <c r="U411" i="22" s="1"/>
  <c r="G412" i="22"/>
  <c r="Z412" i="22" s="1"/>
  <c r="Y412" i="22" s="1"/>
  <c r="X412" i="22" s="1"/>
  <c r="W412" i="22" s="1"/>
  <c r="V412" i="22" s="1"/>
  <c r="U412" i="22" s="1"/>
  <c r="G413" i="22"/>
  <c r="Z413" i="22" s="1"/>
  <c r="Y413" i="22" s="1"/>
  <c r="X413" i="22" s="1"/>
  <c r="W413" i="22" s="1"/>
  <c r="V413" i="22" s="1"/>
  <c r="U413" i="22" s="1"/>
  <c r="G414" i="22"/>
  <c r="Z414" i="22" s="1"/>
  <c r="Y414" i="22" s="1"/>
  <c r="X414" i="22" s="1"/>
  <c r="W414" i="22" s="1"/>
  <c r="V414" i="22" s="1"/>
  <c r="U414" i="22" s="1"/>
  <c r="G415" i="22"/>
  <c r="Z415" i="22" s="1"/>
  <c r="Y415" i="22" s="1"/>
  <c r="X415" i="22" s="1"/>
  <c r="W415" i="22" s="1"/>
  <c r="V415" i="22" s="1"/>
  <c r="U415" i="22" s="1"/>
  <c r="G416" i="22"/>
  <c r="Z416" i="22" s="1"/>
  <c r="Y416" i="22" s="1"/>
  <c r="X416" i="22" s="1"/>
  <c r="W416" i="22" s="1"/>
  <c r="V416" i="22" s="1"/>
  <c r="U416" i="22" s="1"/>
  <c r="G417" i="22"/>
  <c r="Z417" i="22" s="1"/>
  <c r="Y417" i="22" s="1"/>
  <c r="X417" i="22" s="1"/>
  <c r="W417" i="22" s="1"/>
  <c r="V417" i="22" s="1"/>
  <c r="U417" i="22" s="1"/>
  <c r="G418" i="22"/>
  <c r="Z418" i="22" s="1"/>
  <c r="Y418" i="22" s="1"/>
  <c r="X418" i="22" s="1"/>
  <c r="W418" i="22" s="1"/>
  <c r="V418" i="22" s="1"/>
  <c r="U418" i="22" s="1"/>
  <c r="G419" i="22"/>
  <c r="Z419" i="22" s="1"/>
  <c r="Y419" i="22" s="1"/>
  <c r="X419" i="22" s="1"/>
  <c r="W419" i="22" s="1"/>
  <c r="V419" i="22" s="1"/>
  <c r="U419" i="22" s="1"/>
  <c r="G420" i="22"/>
  <c r="Z420" i="22" s="1"/>
  <c r="Y420" i="22" s="1"/>
  <c r="X420" i="22" s="1"/>
  <c r="W420" i="22" s="1"/>
  <c r="V420" i="22" s="1"/>
  <c r="U420" i="22" s="1"/>
  <c r="G421" i="22"/>
  <c r="Z421" i="22" s="1"/>
  <c r="Y421" i="22" s="1"/>
  <c r="X421" i="22" s="1"/>
  <c r="W421" i="22" s="1"/>
  <c r="V421" i="22" s="1"/>
  <c r="U421" i="22" s="1"/>
  <c r="G422" i="22"/>
  <c r="Z422" i="22" s="1"/>
  <c r="Y422" i="22" s="1"/>
  <c r="X422" i="22" s="1"/>
  <c r="W422" i="22" s="1"/>
  <c r="V422" i="22" s="1"/>
  <c r="U422" i="22" s="1"/>
  <c r="G106" i="22"/>
  <c r="Z106" i="22" s="1"/>
  <c r="Y106" i="22" s="1"/>
  <c r="X106" i="22" s="1"/>
  <c r="W106" i="22" s="1"/>
  <c r="V106" i="22" s="1"/>
  <c r="U106" i="22" s="1"/>
  <c r="G153" i="22"/>
  <c r="Z153" i="22" s="1"/>
  <c r="Y153" i="22" s="1"/>
  <c r="X153" i="22" s="1"/>
  <c r="W153" i="22" s="1"/>
  <c r="V153" i="22" s="1"/>
  <c r="U153" i="22" s="1"/>
  <c r="G174" i="22"/>
  <c r="Z174" i="22" s="1"/>
  <c r="Y174" i="22" s="1"/>
  <c r="X174" i="22" s="1"/>
  <c r="W174" i="22" s="1"/>
  <c r="V174" i="22" s="1"/>
  <c r="U174" i="22" s="1"/>
  <c r="G175" i="22"/>
  <c r="Z175" i="22" s="1"/>
  <c r="Y175" i="22" s="1"/>
  <c r="X175" i="22" s="1"/>
  <c r="W175" i="22" s="1"/>
  <c r="V175" i="22" s="1"/>
  <c r="U175" i="22" s="1"/>
  <c r="G176" i="22"/>
  <c r="Z176" i="22" s="1"/>
  <c r="Y176" i="22" s="1"/>
  <c r="X176" i="22" s="1"/>
  <c r="W176" i="22" s="1"/>
  <c r="V176" i="22" s="1"/>
  <c r="U176" i="22" s="1"/>
  <c r="G177" i="22"/>
  <c r="Z177" i="22" s="1"/>
  <c r="Y177" i="22" s="1"/>
  <c r="X177" i="22" s="1"/>
  <c r="W177" i="22" s="1"/>
  <c r="V177" i="22" s="1"/>
  <c r="U177" i="22" s="1"/>
  <c r="G178" i="22"/>
  <c r="Z178" i="22" s="1"/>
  <c r="Y178" i="22" s="1"/>
  <c r="X178" i="22" s="1"/>
  <c r="W178" i="22" s="1"/>
  <c r="V178" i="22" s="1"/>
  <c r="U178" i="22" s="1"/>
  <c r="G179" i="22"/>
  <c r="Z179" i="22" s="1"/>
  <c r="Y179" i="22" s="1"/>
  <c r="X179" i="22" s="1"/>
  <c r="W179" i="22" s="1"/>
  <c r="V179" i="22" s="1"/>
  <c r="U179" i="22" s="1"/>
  <c r="G180" i="22"/>
  <c r="Z180" i="22" s="1"/>
  <c r="Y180" i="22" s="1"/>
  <c r="X180" i="22" s="1"/>
  <c r="W180" i="22" s="1"/>
  <c r="V180" i="22" s="1"/>
  <c r="U180" i="22" s="1"/>
  <c r="G181" i="22"/>
  <c r="Z181" i="22" s="1"/>
  <c r="Y181" i="22" s="1"/>
  <c r="X181" i="22" s="1"/>
  <c r="W181" i="22" s="1"/>
  <c r="V181" i="22" s="1"/>
  <c r="U181" i="22" s="1"/>
  <c r="G182" i="22"/>
  <c r="Z182" i="22" s="1"/>
  <c r="Y182" i="22" s="1"/>
  <c r="X182" i="22" s="1"/>
  <c r="W182" i="22" s="1"/>
  <c r="V182" i="22" s="1"/>
  <c r="U182" i="22" s="1"/>
  <c r="F2" i="22"/>
  <c r="F3" i="22"/>
  <c r="F4" i="22"/>
  <c r="F5" i="22"/>
  <c r="F6" i="22"/>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4" i="22"/>
  <c r="F155" i="22"/>
  <c r="F156" i="22"/>
  <c r="F157" i="22"/>
  <c r="F158" i="22"/>
  <c r="F159" i="22"/>
  <c r="F160" i="22"/>
  <c r="F161" i="22"/>
  <c r="F162" i="22"/>
  <c r="F163" i="22"/>
  <c r="F164" i="22"/>
  <c r="F165" i="22"/>
  <c r="F166" i="22"/>
  <c r="F167" i="22"/>
  <c r="F168" i="22"/>
  <c r="F169" i="22"/>
  <c r="F170" i="22"/>
  <c r="F171" i="22"/>
  <c r="F172" i="22"/>
  <c r="F173"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4" i="22"/>
  <c r="F355" i="22"/>
  <c r="F356" i="22"/>
  <c r="F357" i="22"/>
  <c r="F358"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106" i="22"/>
  <c r="F153" i="22"/>
  <c r="F174" i="22"/>
  <c r="F175" i="22"/>
  <c r="F176" i="22"/>
  <c r="F177" i="22"/>
  <c r="F178" i="22"/>
  <c r="F179" i="22"/>
  <c r="F180" i="22"/>
  <c r="F181" i="22"/>
  <c r="F182" i="22"/>
  <c r="D106" i="22"/>
  <c r="D153" i="22"/>
  <c r="D174" i="22"/>
  <c r="D175" i="22"/>
  <c r="D176" i="22"/>
  <c r="D177" i="22"/>
  <c r="D178" i="22"/>
  <c r="D179" i="22"/>
  <c r="D180" i="22"/>
  <c r="D181" i="22"/>
  <c r="D182" i="22"/>
  <c r="N2" i="3"/>
  <c r="O2" i="3" s="1"/>
  <c r="N3" i="3" s="1"/>
  <c r="O3" i="3" s="1"/>
  <c r="N4" i="3" s="1"/>
  <c r="O4" i="3" s="1"/>
  <c r="N5" i="3" s="1"/>
  <c r="O5" i="3" s="1"/>
  <c r="N6" i="3" s="1"/>
  <c r="O6" i="3" s="1"/>
  <c r="N7" i="3" s="1"/>
  <c r="O7" i="3" s="1"/>
  <c r="N8" i="3" s="1"/>
  <c r="O8" i="3" s="1"/>
  <c r="N9" i="3" s="1"/>
  <c r="O9" i="3" s="1"/>
  <c r="N10" i="3" s="1"/>
  <c r="O10" i="3" s="1"/>
  <c r="N11" i="3" s="1"/>
  <c r="O11" i="3" s="1"/>
  <c r="N12" i="3" s="1"/>
  <c r="O12" i="3" s="1"/>
  <c r="N13" i="3" s="1"/>
  <c r="O13" i="3" s="1"/>
  <c r="N14" i="3" s="1"/>
  <c r="O14" i="3" s="1"/>
  <c r="N15" i="3" s="1"/>
  <c r="O15" i="3" s="1"/>
  <c r="N16" i="3" s="1"/>
  <c r="O16" i="3" s="1"/>
  <c r="N17" i="3" s="1"/>
  <c r="O17" i="3" s="1"/>
  <c r="N18" i="3" s="1"/>
  <c r="O18" i="3" s="1"/>
  <c r="N19" i="3" s="1"/>
  <c r="O19" i="3" s="1"/>
  <c r="N20" i="3" s="1"/>
  <c r="O20" i="3" s="1"/>
  <c r="N21" i="3" s="1"/>
  <c r="O21" i="3" s="1"/>
  <c r="N22" i="3" s="1"/>
  <c r="O22" i="3" s="1"/>
  <c r="D3" i="3"/>
  <c r="D4" i="3"/>
  <c r="D5" i="3"/>
  <c r="D6" i="3"/>
  <c r="D7" i="3"/>
  <c r="D9" i="3"/>
  <c r="D10" i="3"/>
  <c r="D11" i="3"/>
  <c r="D12" i="3"/>
  <c r="D13" i="3"/>
  <c r="D14" i="3"/>
  <c r="D15" i="3"/>
  <c r="D16" i="3"/>
  <c r="D17" i="3"/>
  <c r="D18" i="3"/>
  <c r="D19" i="3"/>
  <c r="D20" i="3"/>
  <c r="D21" i="3"/>
  <c r="D22" i="3"/>
  <c r="D8" i="3"/>
  <c r="H2" i="46"/>
  <c r="F2" i="46"/>
  <c r="N59" i="1"/>
  <c r="N58" i="1"/>
  <c r="N57" i="1"/>
  <c r="N56" i="1"/>
  <c r="N55" i="1"/>
  <c r="N6" i="1"/>
  <c r="N4" i="1"/>
  <c r="N3" i="1"/>
  <c r="J37" i="6"/>
  <c r="P43" i="6"/>
  <c r="K44" i="6"/>
  <c r="O18" i="6"/>
  <c r="O33" i="6"/>
  <c r="Q5" i="6"/>
  <c r="P39" i="6"/>
  <c r="P47" i="6"/>
  <c r="J7" i="6"/>
  <c r="K9" i="6"/>
  <c r="Q36" i="6"/>
  <c r="K50" i="6"/>
  <c r="O48" i="6"/>
  <c r="J41" i="6"/>
  <c r="O11" i="6"/>
  <c r="Q40" i="6"/>
  <c r="O55" i="6"/>
  <c r="O50" i="6"/>
  <c r="O25" i="6"/>
  <c r="O9" i="6"/>
  <c r="O49" i="6"/>
  <c r="J14" i="6"/>
  <c r="O38" i="6"/>
  <c r="Q46" i="6"/>
  <c r="J38" i="6"/>
  <c r="K29" i="6"/>
  <c r="J33" i="6"/>
  <c r="P45" i="6"/>
  <c r="Q47" i="6"/>
  <c r="P24" i="6"/>
  <c r="Q9" i="6"/>
  <c r="P25" i="6"/>
  <c r="K52" i="6"/>
  <c r="O45" i="6"/>
  <c r="O42" i="6"/>
  <c r="Q14" i="6"/>
  <c r="J53" i="6"/>
  <c r="P15" i="6"/>
  <c r="Q8" i="6"/>
  <c r="Q51" i="6"/>
  <c r="Q7" i="6"/>
  <c r="J55" i="6"/>
  <c r="Q34" i="6"/>
  <c r="P16" i="6"/>
  <c r="P44" i="6"/>
  <c r="K45" i="6"/>
  <c r="P12" i="6"/>
  <c r="K43" i="6"/>
  <c r="O6" i="6"/>
  <c r="K16" i="6"/>
  <c r="Q32" i="6"/>
  <c r="K46" i="6"/>
  <c r="O15" i="6"/>
  <c r="K6" i="6"/>
  <c r="J27" i="6"/>
  <c r="P46" i="6"/>
  <c r="J52" i="6"/>
  <c r="J25" i="6"/>
  <c r="O41" i="6"/>
  <c r="Q15" i="6"/>
  <c r="K33" i="6"/>
  <c r="P52" i="6"/>
  <c r="J45" i="6"/>
  <c r="O47" i="6"/>
  <c r="P36" i="6"/>
  <c r="J22" i="6"/>
  <c r="P53" i="6"/>
  <c r="P26" i="6"/>
  <c r="O26" i="6"/>
  <c r="K55" i="6"/>
  <c r="Q49" i="6"/>
  <c r="J6" i="6"/>
  <c r="J47" i="6"/>
  <c r="P40" i="6"/>
  <c r="O16" i="6"/>
  <c r="O8" i="6"/>
  <c r="Q48" i="6"/>
  <c r="K54" i="6"/>
  <c r="P48" i="6"/>
  <c r="O12" i="6"/>
  <c r="Q26" i="6"/>
  <c r="O35" i="6"/>
  <c r="P5" i="6"/>
  <c r="K31" i="6"/>
  <c r="P14" i="6"/>
  <c r="K40" i="6"/>
  <c r="Q24" i="6"/>
  <c r="Q6" i="6"/>
  <c r="O31" i="6"/>
  <c r="O30" i="6"/>
  <c r="Q18" i="6"/>
  <c r="P42" i="6"/>
  <c r="K8" i="6"/>
  <c r="O34" i="6"/>
  <c r="P7" i="6"/>
  <c r="O10" i="6"/>
  <c r="Q38" i="6"/>
  <c r="K28" i="6"/>
  <c r="P33" i="6"/>
  <c r="P13" i="6"/>
  <c r="J13" i="6"/>
  <c r="P51" i="6"/>
  <c r="O37" i="6"/>
  <c r="P32" i="6"/>
  <c r="J19" i="6"/>
  <c r="O22" i="6"/>
  <c r="Q17" i="6"/>
  <c r="K47" i="6"/>
  <c r="O36" i="6"/>
  <c r="J12" i="6"/>
  <c r="Q45" i="6"/>
  <c r="O13" i="6"/>
  <c r="K42" i="6"/>
  <c r="P11" i="6"/>
  <c r="J54" i="6"/>
  <c r="J36" i="6"/>
  <c r="P30" i="6"/>
  <c r="K23" i="6"/>
  <c r="J23" i="6"/>
  <c r="K41" i="6"/>
  <c r="Q12" i="6"/>
  <c r="K38" i="6"/>
  <c r="K5" i="6"/>
  <c r="K49" i="6"/>
  <c r="J11" i="6"/>
  <c r="Q25" i="6"/>
  <c r="Q42" i="6"/>
  <c r="O40" i="6"/>
  <c r="J34" i="6"/>
  <c r="J46" i="6"/>
  <c r="P10" i="6"/>
  <c r="O27" i="6"/>
  <c r="O46" i="6"/>
  <c r="J26" i="6"/>
  <c r="P22" i="6"/>
  <c r="Q30" i="6"/>
  <c r="O5" i="6"/>
  <c r="O53" i="6"/>
  <c r="Q50" i="6"/>
  <c r="Q55" i="6"/>
  <c r="O21" i="6"/>
  <c r="Q20" i="6"/>
  <c r="K24" i="6"/>
  <c r="P6" i="6"/>
  <c r="J49" i="6"/>
  <c r="O19" i="6"/>
  <c r="Q41" i="6"/>
  <c r="Q21" i="6"/>
  <c r="O23" i="6"/>
  <c r="K48" i="6"/>
  <c r="Q44" i="6"/>
  <c r="K35" i="6"/>
  <c r="P18" i="6"/>
  <c r="J28" i="6"/>
  <c r="K22" i="6"/>
  <c r="P35" i="6"/>
  <c r="K15" i="6"/>
  <c r="P31" i="6"/>
  <c r="K26" i="6"/>
  <c r="J8" i="6"/>
  <c r="K19" i="6"/>
  <c r="Q19" i="6"/>
  <c r="P50" i="6"/>
  <c r="K51" i="6"/>
  <c r="J17" i="6"/>
  <c r="O52" i="6"/>
  <c r="J51" i="6"/>
  <c r="K14" i="6"/>
  <c r="P49" i="6"/>
  <c r="K11" i="6"/>
  <c r="Q23" i="6"/>
  <c r="P20" i="6"/>
  <c r="Q29" i="6"/>
  <c r="J44" i="6"/>
  <c r="Q31" i="6"/>
  <c r="O54" i="6"/>
  <c r="Q33" i="6"/>
  <c r="J18" i="6"/>
  <c r="J43" i="6"/>
  <c r="Q35" i="6"/>
  <c r="Q52" i="6"/>
  <c r="P41" i="6"/>
  <c r="O28" i="6"/>
  <c r="J29" i="6"/>
  <c r="Q16" i="6"/>
  <c r="Q39" i="6"/>
  <c r="J20" i="6"/>
  <c r="P23" i="6"/>
  <c r="J9" i="6"/>
  <c r="O24" i="6"/>
  <c r="Q10" i="6"/>
  <c r="Q43" i="6"/>
  <c r="O44" i="6"/>
  <c r="K39" i="6"/>
  <c r="K20" i="6"/>
  <c r="O14" i="6"/>
  <c r="K12" i="6"/>
  <c r="J35" i="6"/>
  <c r="K36" i="6"/>
  <c r="J10" i="6"/>
  <c r="J31" i="6"/>
  <c r="O29" i="6"/>
  <c r="P28" i="6"/>
  <c r="K18" i="6"/>
  <c r="K10" i="6"/>
  <c r="P29" i="6"/>
  <c r="J5" i="6"/>
  <c r="Q22" i="6"/>
  <c r="P37" i="6"/>
  <c r="J42" i="6"/>
  <c r="Q13" i="6"/>
  <c r="K27" i="6"/>
  <c r="J15" i="6"/>
  <c r="J21" i="6"/>
  <c r="O20" i="6"/>
  <c r="J32" i="6"/>
  <c r="O7" i="6"/>
  <c r="K7" i="6"/>
  <c r="J40" i="6"/>
  <c r="J16" i="6"/>
  <c r="K34" i="6"/>
  <c r="P34" i="6"/>
  <c r="O43" i="6"/>
  <c r="Q53" i="6"/>
  <c r="P54" i="6"/>
  <c r="O17" i="6"/>
  <c r="P38" i="6"/>
  <c r="P27" i="6"/>
  <c r="Q54" i="6"/>
  <c r="J30" i="6"/>
  <c r="K32" i="6"/>
  <c r="K17" i="6"/>
  <c r="K37" i="6"/>
  <c r="P55" i="6"/>
  <c r="J39" i="6"/>
  <c r="J48" i="6"/>
  <c r="J50" i="6"/>
  <c r="Q28" i="6"/>
  <c r="P17" i="6"/>
  <c r="K30" i="6"/>
  <c r="Q37" i="6"/>
  <c r="P9" i="6"/>
  <c r="Q11" i="6"/>
  <c r="Q27" i="6"/>
  <c r="O32" i="6"/>
  <c r="O51" i="6"/>
  <c r="P8" i="6"/>
  <c r="K13" i="6"/>
  <c r="P21" i="6"/>
  <c r="P19" i="6"/>
  <c r="O39" i="6"/>
  <c r="K53" i="6"/>
  <c r="K21" i="6"/>
  <c r="J24" i="6"/>
  <c r="K25" i="6"/>
  <c r="Z338" i="22" l="1"/>
  <c r="Y338" i="22" s="1"/>
  <c r="X338" i="22" s="1"/>
  <c r="W338" i="22" s="1"/>
  <c r="V338" i="22" s="1"/>
  <c r="U338" i="22" s="1"/>
  <c r="AD338" i="22"/>
  <c r="AF338" i="22"/>
  <c r="AE338" i="22"/>
  <c r="AG338" i="22"/>
  <c r="AV182" i="22"/>
  <c r="AU182" i="22"/>
  <c r="AS182" i="22" s="1"/>
  <c r="AV174" i="22"/>
  <c r="AU174" i="22"/>
  <c r="AS174" i="22" s="1"/>
  <c r="AV417" i="22"/>
  <c r="AU417" i="22"/>
  <c r="AS417" i="22" s="1"/>
  <c r="AV409" i="22"/>
  <c r="AU409" i="22"/>
  <c r="AS409" i="22" s="1"/>
  <c r="AV401" i="22"/>
  <c r="AU401" i="22"/>
  <c r="AS401" i="22" s="1"/>
  <c r="AV393" i="22"/>
  <c r="AU393" i="22"/>
  <c r="AS393" i="22" s="1"/>
  <c r="AV386" i="22"/>
  <c r="AU386" i="22"/>
  <c r="AS386" i="22" s="1"/>
  <c r="AV378" i="22"/>
  <c r="AU378" i="22"/>
  <c r="AS378" i="22" s="1"/>
  <c r="AV370" i="22"/>
  <c r="AU370" i="22"/>
  <c r="AS370" i="22" s="1"/>
  <c r="AV358" i="22"/>
  <c r="AU358" i="22"/>
  <c r="AS358" i="22" s="1"/>
  <c r="AV350" i="22"/>
  <c r="AU350" i="22"/>
  <c r="AS350" i="22" s="1"/>
  <c r="AV342" i="22"/>
  <c r="AU342" i="22"/>
  <c r="AS342" i="22" s="1"/>
  <c r="AV334" i="22"/>
  <c r="AU334" i="22"/>
  <c r="AS334" i="22" s="1"/>
  <c r="AV326" i="22"/>
  <c r="AU326" i="22"/>
  <c r="AS326" i="22" s="1"/>
  <c r="AV318" i="22"/>
  <c r="AU318" i="22"/>
  <c r="AS318" i="22" s="1"/>
  <c r="AV309" i="22"/>
  <c r="AU309" i="22"/>
  <c r="AS309" i="22" s="1"/>
  <c r="AV301" i="22"/>
  <c r="AU301" i="22"/>
  <c r="AS301" i="22" s="1"/>
  <c r="AV293" i="22"/>
  <c r="AU293" i="22"/>
  <c r="AS293" i="22" s="1"/>
  <c r="AV285" i="22"/>
  <c r="AU285" i="22"/>
  <c r="AS285" i="22" s="1"/>
  <c r="AV277" i="22"/>
  <c r="AU277" i="22"/>
  <c r="AS277" i="22" s="1"/>
  <c r="AV269" i="22"/>
  <c r="AU269" i="22"/>
  <c r="AS269" i="22" s="1"/>
  <c r="AV261" i="22"/>
  <c r="AU261" i="22"/>
  <c r="AS261" i="22" s="1"/>
  <c r="AV253" i="22"/>
  <c r="AU253" i="22"/>
  <c r="AS253" i="22" s="1"/>
  <c r="AV245" i="22"/>
  <c r="AU245" i="22"/>
  <c r="AS245" i="22" s="1"/>
  <c r="AV237" i="22"/>
  <c r="AU237" i="22"/>
  <c r="AS237" i="22" s="1"/>
  <c r="AV229" i="22"/>
  <c r="AU229" i="22"/>
  <c r="AS229" i="22" s="1"/>
  <c r="AV221" i="22"/>
  <c r="AU221" i="22"/>
  <c r="AS221" i="22" s="1"/>
  <c r="AV213" i="22"/>
  <c r="AU213" i="22"/>
  <c r="AS213" i="22" s="1"/>
  <c r="AV205" i="22"/>
  <c r="AU205" i="22"/>
  <c r="AS205" i="22" s="1"/>
  <c r="AV197" i="22"/>
  <c r="AU197" i="22"/>
  <c r="AS197" i="22" s="1"/>
  <c r="AV189" i="22"/>
  <c r="AU189" i="22"/>
  <c r="AS189" i="22" s="1"/>
  <c r="AV183" i="22"/>
  <c r="AU183" i="22"/>
  <c r="AS183" i="22" s="1"/>
  <c r="AV166" i="22"/>
  <c r="AU166" i="22"/>
  <c r="AS166" i="22" s="1"/>
  <c r="AV158" i="22"/>
  <c r="AU158" i="22"/>
  <c r="AS158" i="22" s="1"/>
  <c r="AV149" i="22"/>
  <c r="AU149" i="22"/>
  <c r="AS149" i="22" s="1"/>
  <c r="AV141" i="22"/>
  <c r="AU141" i="22"/>
  <c r="AS141" i="22" s="1"/>
  <c r="AV133" i="22"/>
  <c r="AU133" i="22"/>
  <c r="AS133" i="22" s="1"/>
  <c r="AV125" i="22"/>
  <c r="AU125" i="22"/>
  <c r="AS125" i="22" s="1"/>
  <c r="AV117" i="22"/>
  <c r="AU117" i="22"/>
  <c r="AS117" i="22" s="1"/>
  <c r="AV109" i="22"/>
  <c r="AU109" i="22"/>
  <c r="AS109" i="22" s="1"/>
  <c r="AV100" i="22"/>
  <c r="AU100" i="22"/>
  <c r="AS100" i="22" s="1"/>
  <c r="AV92" i="22"/>
  <c r="AU92" i="22"/>
  <c r="AS92" i="22" s="1"/>
  <c r="AV84" i="22"/>
  <c r="AU84" i="22"/>
  <c r="AS84" i="22" s="1"/>
  <c r="AV76" i="22"/>
  <c r="AU76" i="22"/>
  <c r="AS76" i="22" s="1"/>
  <c r="AV68" i="22"/>
  <c r="AU68" i="22"/>
  <c r="AS68" i="22" s="1"/>
  <c r="AV60" i="22"/>
  <c r="AU60" i="22"/>
  <c r="AS60" i="22" s="1"/>
  <c r="AV52" i="22"/>
  <c r="AU52" i="22"/>
  <c r="AS52" i="22" s="1"/>
  <c r="AV44" i="22"/>
  <c r="AU44" i="22"/>
  <c r="AS44" i="22" s="1"/>
  <c r="AV36" i="22"/>
  <c r="AU36" i="22"/>
  <c r="AS36" i="22" s="1"/>
  <c r="AV28" i="22"/>
  <c r="AU28" i="22"/>
  <c r="AS28" i="22" s="1"/>
  <c r="AV20" i="22"/>
  <c r="AU20" i="22"/>
  <c r="AS20" i="22" s="1"/>
  <c r="AV12" i="22"/>
  <c r="AU12" i="22"/>
  <c r="AS12" i="22" s="1"/>
  <c r="AV4" i="22"/>
  <c r="AU4" i="22"/>
  <c r="AS4" i="22" s="1"/>
  <c r="AV181" i="22"/>
  <c r="AU181" i="22"/>
  <c r="AS181" i="22" s="1"/>
  <c r="AV153" i="22"/>
  <c r="AU153" i="22"/>
  <c r="AS153" i="22" s="1"/>
  <c r="AV416" i="22"/>
  <c r="AU416" i="22"/>
  <c r="AS416" i="22" s="1"/>
  <c r="AV408" i="22"/>
  <c r="AU408" i="22"/>
  <c r="AS408" i="22" s="1"/>
  <c r="AV400" i="22"/>
  <c r="AU400" i="22"/>
  <c r="AS400" i="22" s="1"/>
  <c r="AV385" i="22"/>
  <c r="AU385" i="22"/>
  <c r="AS385" i="22" s="1"/>
  <c r="AV377" i="22"/>
  <c r="AU377" i="22"/>
  <c r="AS377" i="22" s="1"/>
  <c r="AV369" i="22"/>
  <c r="AU369" i="22"/>
  <c r="AS369" i="22" s="1"/>
  <c r="AV357" i="22"/>
  <c r="AU357" i="22"/>
  <c r="AS357" i="22" s="1"/>
  <c r="AV349" i="22"/>
  <c r="AU349" i="22"/>
  <c r="AS349" i="22" s="1"/>
  <c r="AV341" i="22"/>
  <c r="AU341" i="22"/>
  <c r="AS341" i="22" s="1"/>
  <c r="AV333" i="22"/>
  <c r="AU333" i="22"/>
  <c r="AS333" i="22" s="1"/>
  <c r="AV325" i="22"/>
  <c r="AU325" i="22"/>
  <c r="AS325" i="22" s="1"/>
  <c r="AV317" i="22"/>
  <c r="AU317" i="22"/>
  <c r="AS317" i="22" s="1"/>
  <c r="AV308" i="22"/>
  <c r="AU308" i="22"/>
  <c r="AS308" i="22" s="1"/>
  <c r="AV300" i="22"/>
  <c r="AU300" i="22"/>
  <c r="AS300" i="22" s="1"/>
  <c r="AV292" i="22"/>
  <c r="AU292" i="22"/>
  <c r="AS292" i="22" s="1"/>
  <c r="AV284" i="22"/>
  <c r="AU284" i="22"/>
  <c r="AS284" i="22" s="1"/>
  <c r="AV276" i="22"/>
  <c r="AU276" i="22"/>
  <c r="AS276" i="22" s="1"/>
  <c r="AV268" i="22"/>
  <c r="AU268" i="22"/>
  <c r="AS268" i="22" s="1"/>
  <c r="AV260" i="22"/>
  <c r="AU260" i="22"/>
  <c r="AS260" i="22" s="1"/>
  <c r="AV252" i="22"/>
  <c r="AU252" i="22"/>
  <c r="AS252" i="22" s="1"/>
  <c r="AV244" i="22"/>
  <c r="AU244" i="22"/>
  <c r="AS244" i="22" s="1"/>
  <c r="AV236" i="22"/>
  <c r="AU236" i="22"/>
  <c r="AS236" i="22" s="1"/>
  <c r="AV228" i="22"/>
  <c r="AU228" i="22"/>
  <c r="AS228" i="22" s="1"/>
  <c r="AV220" i="22"/>
  <c r="AU220" i="22"/>
  <c r="AS220" i="22" s="1"/>
  <c r="AV212" i="22"/>
  <c r="AU212" i="22"/>
  <c r="AS212" i="22" s="1"/>
  <c r="AV204" i="22"/>
  <c r="AU204" i="22"/>
  <c r="AS204" i="22" s="1"/>
  <c r="AV196" i="22"/>
  <c r="AU196" i="22"/>
  <c r="AS196" i="22" s="1"/>
  <c r="AV188" i="22"/>
  <c r="AU188" i="22"/>
  <c r="AS188" i="22" s="1"/>
  <c r="AV173" i="22"/>
  <c r="AU173" i="22"/>
  <c r="AS173" i="22" s="1"/>
  <c r="AV165" i="22"/>
  <c r="AU165" i="22"/>
  <c r="AS165" i="22" s="1"/>
  <c r="AV157" i="22"/>
  <c r="AU157" i="22"/>
  <c r="AS157" i="22" s="1"/>
  <c r="AV148" i="22"/>
  <c r="AU148" i="22"/>
  <c r="AS148" i="22" s="1"/>
  <c r="AV140" i="22"/>
  <c r="AU140" i="22"/>
  <c r="AS140" i="22" s="1"/>
  <c r="AV132" i="22"/>
  <c r="AU132" i="22"/>
  <c r="AS132" i="22" s="1"/>
  <c r="AV124" i="22"/>
  <c r="AU124" i="22"/>
  <c r="AS124" i="22" s="1"/>
  <c r="AV116" i="22"/>
  <c r="AU116" i="22"/>
  <c r="AS116" i="22" s="1"/>
  <c r="AV108" i="22"/>
  <c r="AU108" i="22"/>
  <c r="AS108" i="22" s="1"/>
  <c r="AV99" i="22"/>
  <c r="AU99" i="22"/>
  <c r="AS99" i="22" s="1"/>
  <c r="AV91" i="22"/>
  <c r="AU91" i="22"/>
  <c r="AS91" i="22" s="1"/>
  <c r="AV83" i="22"/>
  <c r="AU83" i="22"/>
  <c r="AS83" i="22" s="1"/>
  <c r="AV75" i="22"/>
  <c r="AU75" i="22"/>
  <c r="AS75" i="22" s="1"/>
  <c r="AV67" i="22"/>
  <c r="AU67" i="22"/>
  <c r="AS67" i="22" s="1"/>
  <c r="AV59" i="22"/>
  <c r="AU59" i="22"/>
  <c r="AS59" i="22" s="1"/>
  <c r="AV51" i="22"/>
  <c r="AU51" i="22"/>
  <c r="AS51" i="22" s="1"/>
  <c r="AV43" i="22"/>
  <c r="AU43" i="22"/>
  <c r="AS43" i="22" s="1"/>
  <c r="AV35" i="22"/>
  <c r="AU35" i="22"/>
  <c r="AS35" i="22" s="1"/>
  <c r="AV27" i="22"/>
  <c r="AU27" i="22"/>
  <c r="AS27" i="22" s="1"/>
  <c r="AV19" i="22"/>
  <c r="AU19" i="22"/>
  <c r="AS19" i="22" s="1"/>
  <c r="AV11" i="22"/>
  <c r="AU11" i="22"/>
  <c r="AS11" i="22" s="1"/>
  <c r="AV3" i="22"/>
  <c r="AU3" i="22"/>
  <c r="AS3" i="22" s="1"/>
  <c r="AV180" i="22"/>
  <c r="AU180" i="22"/>
  <c r="AS180" i="22" s="1"/>
  <c r="AV106" i="22"/>
  <c r="AU106" i="22"/>
  <c r="AS106" i="22" s="1"/>
  <c r="AV415" i="22"/>
  <c r="AU415" i="22"/>
  <c r="AS415" i="22" s="1"/>
  <c r="AV407" i="22"/>
  <c r="AU407" i="22"/>
  <c r="AS407" i="22" s="1"/>
  <c r="AV399" i="22"/>
  <c r="AU399" i="22"/>
  <c r="AS399" i="22" s="1"/>
  <c r="AV384" i="22"/>
  <c r="AU384" i="22"/>
  <c r="AS384" i="22" s="1"/>
  <c r="AV376" i="22"/>
  <c r="AU376" i="22"/>
  <c r="AS376" i="22" s="1"/>
  <c r="AV368" i="22"/>
  <c r="AU368" i="22"/>
  <c r="AS368" i="22" s="1"/>
  <c r="AV356" i="22"/>
  <c r="AU356" i="22"/>
  <c r="AS356" i="22" s="1"/>
  <c r="AV348" i="22"/>
  <c r="AU348" i="22"/>
  <c r="AS348" i="22" s="1"/>
  <c r="AV340" i="22"/>
  <c r="AU340" i="22"/>
  <c r="AS340" i="22" s="1"/>
  <c r="AV332" i="22"/>
  <c r="AU332" i="22"/>
  <c r="AS332" i="22" s="1"/>
  <c r="AV324" i="22"/>
  <c r="AU324" i="22"/>
  <c r="AS324" i="22" s="1"/>
  <c r="AV316" i="22"/>
  <c r="AU316" i="22"/>
  <c r="AS316" i="22" s="1"/>
  <c r="AV307" i="22"/>
  <c r="AU307" i="22"/>
  <c r="AS307" i="22" s="1"/>
  <c r="AV299" i="22"/>
  <c r="AU299" i="22"/>
  <c r="AS299" i="22" s="1"/>
  <c r="AV291" i="22"/>
  <c r="AU291" i="22"/>
  <c r="AS291" i="22" s="1"/>
  <c r="AV283" i="22"/>
  <c r="AU283" i="22"/>
  <c r="AS283" i="22" s="1"/>
  <c r="AV275" i="22"/>
  <c r="AU275" i="22"/>
  <c r="AS275" i="22" s="1"/>
  <c r="AV267" i="22"/>
  <c r="AU267" i="22"/>
  <c r="AS267" i="22" s="1"/>
  <c r="AV259" i="22"/>
  <c r="AU259" i="22"/>
  <c r="AS259" i="22" s="1"/>
  <c r="AV251" i="22"/>
  <c r="AU251" i="22"/>
  <c r="AS251" i="22" s="1"/>
  <c r="AV243" i="22"/>
  <c r="AU243" i="22"/>
  <c r="AS243" i="22" s="1"/>
  <c r="AV235" i="22"/>
  <c r="AU235" i="22"/>
  <c r="AS235" i="22" s="1"/>
  <c r="AV227" i="22"/>
  <c r="AU227" i="22"/>
  <c r="AS227" i="22" s="1"/>
  <c r="AV219" i="22"/>
  <c r="AU219" i="22"/>
  <c r="AS219" i="22" s="1"/>
  <c r="AV211" i="22"/>
  <c r="AU211" i="22"/>
  <c r="AS211" i="22" s="1"/>
  <c r="AV203" i="22"/>
  <c r="AU203" i="22"/>
  <c r="AS203" i="22" s="1"/>
  <c r="AV195" i="22"/>
  <c r="AU195" i="22"/>
  <c r="AS195" i="22" s="1"/>
  <c r="AV172" i="22"/>
  <c r="AU172" i="22"/>
  <c r="AS172" i="22" s="1"/>
  <c r="AV164" i="22"/>
  <c r="AU164" i="22"/>
  <c r="AS164" i="22" s="1"/>
  <c r="AV156" i="22"/>
  <c r="AU156" i="22"/>
  <c r="AS156" i="22" s="1"/>
  <c r="AV147" i="22"/>
  <c r="AU147" i="22"/>
  <c r="AS147" i="22" s="1"/>
  <c r="AV139" i="22"/>
  <c r="AU139" i="22"/>
  <c r="AS139" i="22" s="1"/>
  <c r="AV131" i="22"/>
  <c r="AU131" i="22"/>
  <c r="AS131" i="22" s="1"/>
  <c r="AV123" i="22"/>
  <c r="AU123" i="22"/>
  <c r="AS123" i="22" s="1"/>
  <c r="AV115" i="22"/>
  <c r="AU115" i="22"/>
  <c r="AS115" i="22" s="1"/>
  <c r="AV107" i="22"/>
  <c r="AU107" i="22"/>
  <c r="AS107" i="22" s="1"/>
  <c r="AV98" i="22"/>
  <c r="AU98" i="22"/>
  <c r="AS98" i="22" s="1"/>
  <c r="AV90" i="22"/>
  <c r="AU90" i="22"/>
  <c r="AS90" i="22" s="1"/>
  <c r="AV82" i="22"/>
  <c r="AU82" i="22"/>
  <c r="AS82" i="22" s="1"/>
  <c r="AV74" i="22"/>
  <c r="AU74" i="22"/>
  <c r="AS74" i="22" s="1"/>
  <c r="AV66" i="22"/>
  <c r="AU66" i="22"/>
  <c r="AS66" i="22" s="1"/>
  <c r="AV58" i="22"/>
  <c r="AU58" i="22"/>
  <c r="AS58" i="22" s="1"/>
  <c r="AV50" i="22"/>
  <c r="AU50" i="22"/>
  <c r="AS50" i="22" s="1"/>
  <c r="AV42" i="22"/>
  <c r="AU42" i="22"/>
  <c r="AS42" i="22" s="1"/>
  <c r="AV34" i="22"/>
  <c r="AU34" i="22"/>
  <c r="AS34" i="22" s="1"/>
  <c r="AV26" i="22"/>
  <c r="AU26" i="22"/>
  <c r="AS26" i="22" s="1"/>
  <c r="AV18" i="22"/>
  <c r="AU18" i="22"/>
  <c r="AS18" i="22" s="1"/>
  <c r="AV10" i="22"/>
  <c r="AU10" i="22"/>
  <c r="AS10" i="22" s="1"/>
  <c r="AV2" i="22"/>
  <c r="AU2" i="22"/>
  <c r="AS2" i="22" s="1"/>
  <c r="AV179" i="22"/>
  <c r="AU179" i="22"/>
  <c r="AS179" i="22" s="1"/>
  <c r="AV422" i="22"/>
  <c r="AU422" i="22"/>
  <c r="AS422" i="22" s="1"/>
  <c r="AV414" i="22"/>
  <c r="AU414" i="22"/>
  <c r="AS414" i="22" s="1"/>
  <c r="AV406" i="22"/>
  <c r="AU406" i="22"/>
  <c r="AS406" i="22" s="1"/>
  <c r="AV398" i="22"/>
  <c r="AU398" i="22"/>
  <c r="AS398" i="22" s="1"/>
  <c r="AV391" i="22"/>
  <c r="AU391" i="22"/>
  <c r="AS391" i="22" s="1"/>
  <c r="AV383" i="22"/>
  <c r="AU383" i="22"/>
  <c r="AS383" i="22" s="1"/>
  <c r="AV375" i="22"/>
  <c r="AU375" i="22"/>
  <c r="AS375" i="22" s="1"/>
  <c r="AV367" i="22"/>
  <c r="AU367" i="22"/>
  <c r="AS367" i="22" s="1"/>
  <c r="AV355" i="22"/>
  <c r="AU355" i="22"/>
  <c r="AS355" i="22" s="1"/>
  <c r="AV347" i="22"/>
  <c r="AU347" i="22"/>
  <c r="AS347" i="22" s="1"/>
  <c r="AV339" i="22"/>
  <c r="AU339" i="22"/>
  <c r="AS339" i="22" s="1"/>
  <c r="AV331" i="22"/>
  <c r="AU331" i="22"/>
  <c r="AS331" i="22" s="1"/>
  <c r="AV323" i="22"/>
  <c r="AU323" i="22"/>
  <c r="AS323" i="22" s="1"/>
  <c r="AV315" i="22"/>
  <c r="AU315" i="22"/>
  <c r="AS315" i="22" s="1"/>
  <c r="AV306" i="22"/>
  <c r="AU306" i="22"/>
  <c r="AS306" i="22" s="1"/>
  <c r="AV298" i="22"/>
  <c r="AU298" i="22"/>
  <c r="AS298" i="22" s="1"/>
  <c r="AV290" i="22"/>
  <c r="AU290" i="22"/>
  <c r="AS290" i="22" s="1"/>
  <c r="AV282" i="22"/>
  <c r="AU282" i="22"/>
  <c r="AS282" i="22" s="1"/>
  <c r="AV274" i="22"/>
  <c r="AU274" i="22"/>
  <c r="AS274" i="22" s="1"/>
  <c r="AV266" i="22"/>
  <c r="AU266" i="22"/>
  <c r="AS266" i="22" s="1"/>
  <c r="AV258" i="22"/>
  <c r="AU258" i="22"/>
  <c r="AS258" i="22" s="1"/>
  <c r="AV250" i="22"/>
  <c r="AU250" i="22"/>
  <c r="AS250" i="22" s="1"/>
  <c r="AV242" i="22"/>
  <c r="AU242" i="22"/>
  <c r="AS242" i="22" s="1"/>
  <c r="AV234" i="22"/>
  <c r="AU234" i="22"/>
  <c r="AS234" i="22" s="1"/>
  <c r="AV226" i="22"/>
  <c r="AU226" i="22"/>
  <c r="AS226" i="22" s="1"/>
  <c r="AV218" i="22"/>
  <c r="AU218" i="22"/>
  <c r="AS218" i="22" s="1"/>
  <c r="AV210" i="22"/>
  <c r="AU210" i="22"/>
  <c r="AS210" i="22" s="1"/>
  <c r="AV202" i="22"/>
  <c r="AU202" i="22"/>
  <c r="AS202" i="22" s="1"/>
  <c r="AV194" i="22"/>
  <c r="AU194" i="22"/>
  <c r="AS194" i="22" s="1"/>
  <c r="AV187" i="22"/>
  <c r="AU187" i="22"/>
  <c r="AS187" i="22" s="1"/>
  <c r="AV171" i="22"/>
  <c r="AU171" i="22"/>
  <c r="AS171" i="22" s="1"/>
  <c r="AV163" i="22"/>
  <c r="AU163" i="22"/>
  <c r="AS163" i="22" s="1"/>
  <c r="AV155" i="22"/>
  <c r="AU155" i="22"/>
  <c r="AS155" i="22" s="1"/>
  <c r="AV146" i="22"/>
  <c r="AU146" i="22"/>
  <c r="AS146" i="22" s="1"/>
  <c r="AV138" i="22"/>
  <c r="AU138" i="22"/>
  <c r="AS138" i="22" s="1"/>
  <c r="AV130" i="22"/>
  <c r="AU130" i="22"/>
  <c r="AS130" i="22" s="1"/>
  <c r="AV122" i="22"/>
  <c r="AU122" i="22"/>
  <c r="AS122" i="22" s="1"/>
  <c r="AV114" i="22"/>
  <c r="AU114" i="22"/>
  <c r="AS114" i="22" s="1"/>
  <c r="AV105" i="22"/>
  <c r="AU105" i="22"/>
  <c r="AS105" i="22" s="1"/>
  <c r="AV97" i="22"/>
  <c r="AU97" i="22"/>
  <c r="AS97" i="22" s="1"/>
  <c r="AV89" i="22"/>
  <c r="AU89" i="22"/>
  <c r="AS89" i="22" s="1"/>
  <c r="AV81" i="22"/>
  <c r="AU81" i="22"/>
  <c r="AS81" i="22" s="1"/>
  <c r="AV73" i="22"/>
  <c r="AU73" i="22"/>
  <c r="AS73" i="22" s="1"/>
  <c r="AV65" i="22"/>
  <c r="AU65" i="22"/>
  <c r="AS65" i="22" s="1"/>
  <c r="AV57" i="22"/>
  <c r="AU57" i="22"/>
  <c r="AS57" i="22" s="1"/>
  <c r="AV49" i="22"/>
  <c r="AU49" i="22"/>
  <c r="AS49" i="22" s="1"/>
  <c r="AV41" i="22"/>
  <c r="AU41" i="22"/>
  <c r="AS41" i="22" s="1"/>
  <c r="AV33" i="22"/>
  <c r="AU33" i="22"/>
  <c r="AS33" i="22" s="1"/>
  <c r="AV25" i="22"/>
  <c r="AU25" i="22"/>
  <c r="AS25" i="22" s="1"/>
  <c r="AV17" i="22"/>
  <c r="AU17" i="22"/>
  <c r="AS17" i="22" s="1"/>
  <c r="AV9" i="22"/>
  <c r="AU9" i="22"/>
  <c r="AS9" i="22" s="1"/>
  <c r="AV178" i="22"/>
  <c r="AU178" i="22"/>
  <c r="AS178" i="22" s="1"/>
  <c r="AV421" i="22"/>
  <c r="AU421" i="22"/>
  <c r="AS421" i="22" s="1"/>
  <c r="AV413" i="22"/>
  <c r="AU413" i="22"/>
  <c r="AS413" i="22" s="1"/>
  <c r="AV405" i="22"/>
  <c r="AU405" i="22"/>
  <c r="AS405" i="22" s="1"/>
  <c r="AV397" i="22"/>
  <c r="AU397" i="22"/>
  <c r="AS397" i="22" s="1"/>
  <c r="AV390" i="22"/>
  <c r="AU390" i="22"/>
  <c r="AS390" i="22" s="1"/>
  <c r="AV382" i="22"/>
  <c r="AU382" i="22"/>
  <c r="AS382" i="22" s="1"/>
  <c r="AV374" i="22"/>
  <c r="AU374" i="22"/>
  <c r="AS374" i="22" s="1"/>
  <c r="AV366" i="22"/>
  <c r="AU366" i="22"/>
  <c r="AS366" i="22" s="1"/>
  <c r="AV354" i="22"/>
  <c r="AU354" i="22"/>
  <c r="AS354" i="22" s="1"/>
  <c r="AV346" i="22"/>
  <c r="AU346" i="22"/>
  <c r="AS346" i="22" s="1"/>
  <c r="AV338" i="22"/>
  <c r="AU338" i="22"/>
  <c r="AS338" i="22" s="1"/>
  <c r="AV330" i="22"/>
  <c r="AU330" i="22"/>
  <c r="AS330" i="22" s="1"/>
  <c r="AV322" i="22"/>
  <c r="AU322" i="22"/>
  <c r="AS322" i="22" s="1"/>
  <c r="AV314" i="22"/>
  <c r="AU314" i="22"/>
  <c r="AS314" i="22" s="1"/>
  <c r="AV305" i="22"/>
  <c r="AU305" i="22"/>
  <c r="AS305" i="22" s="1"/>
  <c r="AV297" i="22"/>
  <c r="AU297" i="22"/>
  <c r="AS297" i="22" s="1"/>
  <c r="AV289" i="22"/>
  <c r="AU289" i="22"/>
  <c r="AS289" i="22" s="1"/>
  <c r="AV281" i="22"/>
  <c r="AU281" i="22"/>
  <c r="AS281" i="22" s="1"/>
  <c r="AV273" i="22"/>
  <c r="AU273" i="22"/>
  <c r="AS273" i="22" s="1"/>
  <c r="AV265" i="22"/>
  <c r="AU265" i="22"/>
  <c r="AS265" i="22" s="1"/>
  <c r="AV257" i="22"/>
  <c r="AU257" i="22"/>
  <c r="AS257" i="22" s="1"/>
  <c r="AV249" i="22"/>
  <c r="AU249" i="22"/>
  <c r="AS249" i="22" s="1"/>
  <c r="AV241" i="22"/>
  <c r="AU241" i="22"/>
  <c r="AS241" i="22" s="1"/>
  <c r="AV233" i="22"/>
  <c r="AU233" i="22"/>
  <c r="AS233" i="22" s="1"/>
  <c r="AV225" i="22"/>
  <c r="AU225" i="22"/>
  <c r="AS225" i="22" s="1"/>
  <c r="AV217" i="22"/>
  <c r="AU217" i="22"/>
  <c r="AS217" i="22" s="1"/>
  <c r="AV209" i="22"/>
  <c r="AU209" i="22"/>
  <c r="AS209" i="22" s="1"/>
  <c r="AV201" i="22"/>
  <c r="AU201" i="22"/>
  <c r="AS201" i="22" s="1"/>
  <c r="AV193" i="22"/>
  <c r="AU193" i="22"/>
  <c r="AS193" i="22" s="1"/>
  <c r="AV186" i="22"/>
  <c r="AU186" i="22"/>
  <c r="AS186" i="22" s="1"/>
  <c r="AV170" i="22"/>
  <c r="AU170" i="22"/>
  <c r="AS170" i="22" s="1"/>
  <c r="AV162" i="22"/>
  <c r="AU162" i="22"/>
  <c r="AS162" i="22" s="1"/>
  <c r="AV154" i="22"/>
  <c r="AU154" i="22"/>
  <c r="AS154" i="22" s="1"/>
  <c r="AV145" i="22"/>
  <c r="AU145" i="22"/>
  <c r="AS145" i="22" s="1"/>
  <c r="AV137" i="22"/>
  <c r="AU137" i="22"/>
  <c r="AS137" i="22" s="1"/>
  <c r="AV129" i="22"/>
  <c r="AU129" i="22"/>
  <c r="AS129" i="22" s="1"/>
  <c r="AV121" i="22"/>
  <c r="AU121" i="22"/>
  <c r="AS121" i="22" s="1"/>
  <c r="AV113" i="22"/>
  <c r="AU113" i="22"/>
  <c r="AS113" i="22" s="1"/>
  <c r="AV104" i="22"/>
  <c r="AU104" i="22"/>
  <c r="AS104" i="22" s="1"/>
  <c r="AV96" i="22"/>
  <c r="AU96" i="22"/>
  <c r="AS96" i="22" s="1"/>
  <c r="AV88" i="22"/>
  <c r="AU88" i="22"/>
  <c r="AS88" i="22" s="1"/>
  <c r="AV80" i="22"/>
  <c r="AU80" i="22"/>
  <c r="AS80" i="22" s="1"/>
  <c r="AV72" i="22"/>
  <c r="AU72" i="22"/>
  <c r="AS72" i="22" s="1"/>
  <c r="AV64" i="22"/>
  <c r="AU64" i="22"/>
  <c r="AS64" i="22" s="1"/>
  <c r="AV56" i="22"/>
  <c r="AU56" i="22"/>
  <c r="AS56" i="22" s="1"/>
  <c r="AV48" i="22"/>
  <c r="AU48" i="22"/>
  <c r="AS48" i="22" s="1"/>
  <c r="AV40" i="22"/>
  <c r="AU40" i="22"/>
  <c r="AS40" i="22" s="1"/>
  <c r="AV32" i="22"/>
  <c r="AU32" i="22"/>
  <c r="AS32" i="22" s="1"/>
  <c r="AV24" i="22"/>
  <c r="AU24" i="22"/>
  <c r="AS24" i="22" s="1"/>
  <c r="AV16" i="22"/>
  <c r="AU16" i="22"/>
  <c r="AS16" i="22" s="1"/>
  <c r="AV8" i="22"/>
  <c r="AU8" i="22"/>
  <c r="AS8" i="22" s="1"/>
  <c r="AV177" i="22"/>
  <c r="AU177" i="22"/>
  <c r="AS177" i="22" s="1"/>
  <c r="AV420" i="22"/>
  <c r="AU420" i="22"/>
  <c r="AS420" i="22" s="1"/>
  <c r="AV412" i="22"/>
  <c r="AU412" i="22"/>
  <c r="AS412" i="22" s="1"/>
  <c r="AV404" i="22"/>
  <c r="AU404" i="22"/>
  <c r="AS404" i="22" s="1"/>
  <c r="AV396" i="22"/>
  <c r="AU396" i="22"/>
  <c r="AS396" i="22" s="1"/>
  <c r="AV389" i="22"/>
  <c r="AU389" i="22"/>
  <c r="AS389" i="22" s="1"/>
  <c r="AV381" i="22"/>
  <c r="AU381" i="22"/>
  <c r="AS381" i="22" s="1"/>
  <c r="AV373" i="22"/>
  <c r="AU373" i="22"/>
  <c r="AS373" i="22" s="1"/>
  <c r="AV365" i="22"/>
  <c r="AU365" i="22"/>
  <c r="AS365" i="22" s="1"/>
  <c r="AV345" i="22"/>
  <c r="AU345" i="22"/>
  <c r="AS345" i="22" s="1"/>
  <c r="AV337" i="22"/>
  <c r="AU337" i="22"/>
  <c r="AS337" i="22" s="1"/>
  <c r="AV329" i="22"/>
  <c r="AU329" i="22"/>
  <c r="AS329" i="22" s="1"/>
  <c r="AV321" i="22"/>
  <c r="AU321" i="22"/>
  <c r="AS321" i="22" s="1"/>
  <c r="AV312" i="22"/>
  <c r="AU312" i="22"/>
  <c r="AS312" i="22" s="1"/>
  <c r="AV304" i="22"/>
  <c r="AU304" i="22"/>
  <c r="AS304" i="22" s="1"/>
  <c r="AV296" i="22"/>
  <c r="AU296" i="22"/>
  <c r="AS296" i="22" s="1"/>
  <c r="AV288" i="22"/>
  <c r="AU288" i="22"/>
  <c r="AS288" i="22" s="1"/>
  <c r="AV280" i="22"/>
  <c r="AU280" i="22"/>
  <c r="AS280" i="22" s="1"/>
  <c r="AV272" i="22"/>
  <c r="AU272" i="22"/>
  <c r="AS272" i="22" s="1"/>
  <c r="AV264" i="22"/>
  <c r="AU264" i="22"/>
  <c r="AS264" i="22" s="1"/>
  <c r="AV256" i="22"/>
  <c r="AU256" i="22"/>
  <c r="AS256" i="22" s="1"/>
  <c r="AV248" i="22"/>
  <c r="AU248" i="22"/>
  <c r="AS248" i="22" s="1"/>
  <c r="AV240" i="22"/>
  <c r="AU240" i="22"/>
  <c r="AS240" i="22" s="1"/>
  <c r="AV232" i="22"/>
  <c r="AU232" i="22"/>
  <c r="AS232" i="22" s="1"/>
  <c r="AV224" i="22"/>
  <c r="AU224" i="22"/>
  <c r="AS224" i="22" s="1"/>
  <c r="AV216" i="22"/>
  <c r="AU216" i="22"/>
  <c r="AS216" i="22" s="1"/>
  <c r="AV208" i="22"/>
  <c r="AU208" i="22"/>
  <c r="AS208" i="22" s="1"/>
  <c r="AV200" i="22"/>
  <c r="AU200" i="22"/>
  <c r="AS200" i="22" s="1"/>
  <c r="AV192" i="22"/>
  <c r="AU192" i="22"/>
  <c r="AS192" i="22" s="1"/>
  <c r="AV185" i="22"/>
  <c r="AU185" i="22"/>
  <c r="AS185" i="22" s="1"/>
  <c r="AV169" i="22"/>
  <c r="AU169" i="22"/>
  <c r="AS169" i="22" s="1"/>
  <c r="AV161" i="22"/>
  <c r="AU161" i="22"/>
  <c r="AS161" i="22" s="1"/>
  <c r="AV152" i="22"/>
  <c r="AU152" i="22"/>
  <c r="AS152" i="22" s="1"/>
  <c r="AV144" i="22"/>
  <c r="AU144" i="22"/>
  <c r="AS144" i="22" s="1"/>
  <c r="AV136" i="22"/>
  <c r="AU136" i="22"/>
  <c r="AS136" i="22" s="1"/>
  <c r="AV128" i="22"/>
  <c r="AU128" i="22"/>
  <c r="AS128" i="22" s="1"/>
  <c r="AV120" i="22"/>
  <c r="AU120" i="22"/>
  <c r="AS120" i="22" s="1"/>
  <c r="AV112" i="22"/>
  <c r="AU112" i="22"/>
  <c r="AS112" i="22" s="1"/>
  <c r="AV103" i="22"/>
  <c r="AU103" i="22"/>
  <c r="AS103" i="22" s="1"/>
  <c r="AV95" i="22"/>
  <c r="AU95" i="22"/>
  <c r="AS95" i="22" s="1"/>
  <c r="AV87" i="22"/>
  <c r="AU87" i="22"/>
  <c r="AS87" i="22" s="1"/>
  <c r="AV79" i="22"/>
  <c r="AU79" i="22"/>
  <c r="AS79" i="22" s="1"/>
  <c r="AV71" i="22"/>
  <c r="AU71" i="22"/>
  <c r="AS71" i="22" s="1"/>
  <c r="AV63" i="22"/>
  <c r="AU63" i="22"/>
  <c r="AS63" i="22" s="1"/>
  <c r="AV55" i="22"/>
  <c r="AU55" i="22"/>
  <c r="AS55" i="22" s="1"/>
  <c r="AV47" i="22"/>
  <c r="AU47" i="22"/>
  <c r="AS47" i="22" s="1"/>
  <c r="AV39" i="22"/>
  <c r="AU39" i="22"/>
  <c r="AS39" i="22" s="1"/>
  <c r="AV31" i="22"/>
  <c r="AU31" i="22"/>
  <c r="AS31" i="22" s="1"/>
  <c r="AV23" i="22"/>
  <c r="AU23" i="22"/>
  <c r="AS23" i="22" s="1"/>
  <c r="AV15" i="22"/>
  <c r="AU15" i="22"/>
  <c r="AS15" i="22" s="1"/>
  <c r="AV7" i="22"/>
  <c r="AU7" i="22"/>
  <c r="AS7" i="22" s="1"/>
  <c r="AV176" i="22"/>
  <c r="AU176" i="22"/>
  <c r="AS176" i="22" s="1"/>
  <c r="AV419" i="22"/>
  <c r="AU419" i="22"/>
  <c r="AS419" i="22" s="1"/>
  <c r="AV411" i="22"/>
  <c r="AU411" i="22"/>
  <c r="AS411" i="22" s="1"/>
  <c r="AV403" i="22"/>
  <c r="AU403" i="22"/>
  <c r="AS403" i="22" s="1"/>
  <c r="AV395" i="22"/>
  <c r="AU395" i="22"/>
  <c r="AS395" i="22" s="1"/>
  <c r="AV388" i="22"/>
  <c r="AU388" i="22"/>
  <c r="AS388" i="22" s="1"/>
  <c r="AV380" i="22"/>
  <c r="AU380" i="22"/>
  <c r="AS380" i="22" s="1"/>
  <c r="AV372" i="22"/>
  <c r="AU372" i="22"/>
  <c r="AS372" i="22" s="1"/>
  <c r="AV364" i="22"/>
  <c r="AU364" i="22"/>
  <c r="AS364" i="22" s="1"/>
  <c r="AV352" i="22"/>
  <c r="AU352" i="22"/>
  <c r="AS352" i="22" s="1"/>
  <c r="AV344" i="22"/>
  <c r="AU344" i="22"/>
  <c r="AS344" i="22" s="1"/>
  <c r="AV336" i="22"/>
  <c r="AU336" i="22"/>
  <c r="AS336" i="22" s="1"/>
  <c r="AV328" i="22"/>
  <c r="AU328" i="22"/>
  <c r="AS328" i="22" s="1"/>
  <c r="AV320" i="22"/>
  <c r="AU320" i="22"/>
  <c r="AS320" i="22" s="1"/>
  <c r="AV311" i="22"/>
  <c r="AU311" i="22"/>
  <c r="AS311" i="22" s="1"/>
  <c r="AV303" i="22"/>
  <c r="AU303" i="22"/>
  <c r="AS303" i="22" s="1"/>
  <c r="AV295" i="22"/>
  <c r="AU295" i="22"/>
  <c r="AS295" i="22" s="1"/>
  <c r="AV287" i="22"/>
  <c r="AU287" i="22"/>
  <c r="AS287" i="22" s="1"/>
  <c r="AV279" i="22"/>
  <c r="AU279" i="22"/>
  <c r="AS279" i="22" s="1"/>
  <c r="AV271" i="22"/>
  <c r="AU271" i="22"/>
  <c r="AS271" i="22" s="1"/>
  <c r="AV263" i="22"/>
  <c r="AU263" i="22"/>
  <c r="AS263" i="22" s="1"/>
  <c r="AV255" i="22"/>
  <c r="AU255" i="22"/>
  <c r="AS255" i="22" s="1"/>
  <c r="AV247" i="22"/>
  <c r="AU247" i="22"/>
  <c r="AS247" i="22" s="1"/>
  <c r="AV239" i="22"/>
  <c r="AU239" i="22"/>
  <c r="AS239" i="22" s="1"/>
  <c r="AV231" i="22"/>
  <c r="AU231" i="22"/>
  <c r="AS231" i="22" s="1"/>
  <c r="AV223" i="22"/>
  <c r="AU223" i="22"/>
  <c r="AS223" i="22" s="1"/>
  <c r="AV215" i="22"/>
  <c r="AU215" i="22"/>
  <c r="AS215" i="22" s="1"/>
  <c r="AV207" i="22"/>
  <c r="AU207" i="22"/>
  <c r="AS207" i="22" s="1"/>
  <c r="AV199" i="22"/>
  <c r="AU199" i="22"/>
  <c r="AS199" i="22" s="1"/>
  <c r="AV191" i="22"/>
  <c r="AU191" i="22"/>
  <c r="AS191" i="22" s="1"/>
  <c r="AV184" i="22"/>
  <c r="AU184" i="22"/>
  <c r="AS184" i="22" s="1"/>
  <c r="AV168" i="22"/>
  <c r="AU168" i="22"/>
  <c r="AS168" i="22" s="1"/>
  <c r="AV160" i="22"/>
  <c r="AU160" i="22"/>
  <c r="AS160" i="22" s="1"/>
  <c r="AV151" i="22"/>
  <c r="AU151" i="22"/>
  <c r="AS151" i="22" s="1"/>
  <c r="AV143" i="22"/>
  <c r="AU143" i="22"/>
  <c r="AS143" i="22" s="1"/>
  <c r="AV135" i="22"/>
  <c r="AU135" i="22"/>
  <c r="AS135" i="22" s="1"/>
  <c r="AV127" i="22"/>
  <c r="AU127" i="22"/>
  <c r="AS127" i="22" s="1"/>
  <c r="AV119" i="22"/>
  <c r="AU119" i="22"/>
  <c r="AS119" i="22" s="1"/>
  <c r="AV111" i="22"/>
  <c r="AU111" i="22"/>
  <c r="AS111" i="22" s="1"/>
  <c r="AV102" i="22"/>
  <c r="AU102" i="22"/>
  <c r="AS102" i="22" s="1"/>
  <c r="AV94" i="22"/>
  <c r="AU94" i="22"/>
  <c r="AS94" i="22" s="1"/>
  <c r="AV86" i="22"/>
  <c r="AU86" i="22"/>
  <c r="AS86" i="22" s="1"/>
  <c r="AV78" i="22"/>
  <c r="AU78" i="22"/>
  <c r="AS78" i="22" s="1"/>
  <c r="AV70" i="22"/>
  <c r="AU70" i="22"/>
  <c r="AS70" i="22" s="1"/>
  <c r="AV62" i="22"/>
  <c r="AU62" i="22"/>
  <c r="AS62" i="22" s="1"/>
  <c r="AV54" i="22"/>
  <c r="AU54" i="22"/>
  <c r="AS54" i="22" s="1"/>
  <c r="AV46" i="22"/>
  <c r="AU46" i="22"/>
  <c r="AS46" i="22" s="1"/>
  <c r="AV38" i="22"/>
  <c r="AU38" i="22"/>
  <c r="AS38" i="22" s="1"/>
  <c r="AV30" i="22"/>
  <c r="AU30" i="22"/>
  <c r="AS30" i="22" s="1"/>
  <c r="AV22" i="22"/>
  <c r="AU22" i="22"/>
  <c r="AS22" i="22" s="1"/>
  <c r="AV14" i="22"/>
  <c r="AU14" i="22"/>
  <c r="AS14" i="22" s="1"/>
  <c r="AV6" i="22"/>
  <c r="AU6" i="22"/>
  <c r="AS6" i="22" s="1"/>
  <c r="AV175" i="22"/>
  <c r="AU175" i="22"/>
  <c r="AS175" i="22" s="1"/>
  <c r="AV418" i="22"/>
  <c r="AU418" i="22"/>
  <c r="AS418" i="22" s="1"/>
  <c r="AV410" i="22"/>
  <c r="AU410" i="22"/>
  <c r="AS410" i="22" s="1"/>
  <c r="AV402" i="22"/>
  <c r="AU402" i="22"/>
  <c r="AS402" i="22" s="1"/>
  <c r="AV394" i="22"/>
  <c r="AU394" i="22"/>
  <c r="AS394" i="22" s="1"/>
  <c r="AV387" i="22"/>
  <c r="AU387" i="22"/>
  <c r="AS387" i="22" s="1"/>
  <c r="AV379" i="22"/>
  <c r="AU379" i="22"/>
  <c r="AS379" i="22" s="1"/>
  <c r="AV371" i="22"/>
  <c r="AU371" i="22"/>
  <c r="AS371" i="22" s="1"/>
  <c r="AV363" i="22"/>
  <c r="AU363" i="22"/>
  <c r="AS363" i="22" s="1"/>
  <c r="AV351" i="22"/>
  <c r="AU351" i="22"/>
  <c r="AS351" i="22" s="1"/>
  <c r="AV343" i="22"/>
  <c r="AU343" i="22"/>
  <c r="AS343" i="22" s="1"/>
  <c r="AV335" i="22"/>
  <c r="AU335" i="22"/>
  <c r="AS335" i="22" s="1"/>
  <c r="AV327" i="22"/>
  <c r="AU327" i="22"/>
  <c r="AS327" i="22" s="1"/>
  <c r="AV319" i="22"/>
  <c r="AU319" i="22"/>
  <c r="AS319" i="22" s="1"/>
  <c r="AV310" i="22"/>
  <c r="AU310" i="22"/>
  <c r="AS310" i="22" s="1"/>
  <c r="AV302" i="22"/>
  <c r="AU302" i="22"/>
  <c r="AS302" i="22" s="1"/>
  <c r="AV294" i="22"/>
  <c r="AU294" i="22"/>
  <c r="AS294" i="22" s="1"/>
  <c r="AV286" i="22"/>
  <c r="AU286" i="22"/>
  <c r="AS286" i="22" s="1"/>
  <c r="AV278" i="22"/>
  <c r="AU278" i="22"/>
  <c r="AS278" i="22" s="1"/>
  <c r="AV270" i="22"/>
  <c r="AU270" i="22"/>
  <c r="AS270" i="22" s="1"/>
  <c r="AV262" i="22"/>
  <c r="AU262" i="22"/>
  <c r="AS262" i="22" s="1"/>
  <c r="AV254" i="22"/>
  <c r="AU254" i="22"/>
  <c r="AS254" i="22" s="1"/>
  <c r="AV246" i="22"/>
  <c r="AU246" i="22"/>
  <c r="AS246" i="22" s="1"/>
  <c r="AV238" i="22"/>
  <c r="AU238" i="22"/>
  <c r="AS238" i="22" s="1"/>
  <c r="AV230" i="22"/>
  <c r="AU230" i="22"/>
  <c r="AS230" i="22" s="1"/>
  <c r="AV222" i="22"/>
  <c r="AU222" i="22"/>
  <c r="AS222" i="22" s="1"/>
  <c r="AV214" i="22"/>
  <c r="AU214" i="22"/>
  <c r="AS214" i="22" s="1"/>
  <c r="AV206" i="22"/>
  <c r="AU206" i="22"/>
  <c r="AS206" i="22" s="1"/>
  <c r="AV198" i="22"/>
  <c r="AU198" i="22"/>
  <c r="AS198" i="22" s="1"/>
  <c r="AV190" i="22"/>
  <c r="AU190" i="22"/>
  <c r="AS190" i="22" s="1"/>
  <c r="AV167" i="22"/>
  <c r="AU167" i="22"/>
  <c r="AS167" i="22" s="1"/>
  <c r="AV159" i="22"/>
  <c r="AU159" i="22"/>
  <c r="AS159" i="22" s="1"/>
  <c r="AV150" i="22"/>
  <c r="AU150" i="22"/>
  <c r="AS150" i="22" s="1"/>
  <c r="AV142" i="22"/>
  <c r="AU142" i="22"/>
  <c r="AS142" i="22" s="1"/>
  <c r="AV134" i="22"/>
  <c r="AU134" i="22"/>
  <c r="AS134" i="22" s="1"/>
  <c r="AV126" i="22"/>
  <c r="AU126" i="22"/>
  <c r="AS126" i="22" s="1"/>
  <c r="AV118" i="22"/>
  <c r="AU118" i="22"/>
  <c r="AS118" i="22" s="1"/>
  <c r="AV110" i="22"/>
  <c r="AU110" i="22"/>
  <c r="AS110" i="22" s="1"/>
  <c r="AV101" i="22"/>
  <c r="AU101" i="22"/>
  <c r="AS101" i="22" s="1"/>
  <c r="AV93" i="22"/>
  <c r="AU93" i="22"/>
  <c r="AS93" i="22" s="1"/>
  <c r="AV85" i="22"/>
  <c r="AU85" i="22"/>
  <c r="AS85" i="22" s="1"/>
  <c r="AV77" i="22"/>
  <c r="AU77" i="22"/>
  <c r="AS77" i="22" s="1"/>
  <c r="AV69" i="22"/>
  <c r="AU69" i="22"/>
  <c r="AS69" i="22" s="1"/>
  <c r="AV61" i="22"/>
  <c r="AU61" i="22"/>
  <c r="AS61" i="22" s="1"/>
  <c r="AV53" i="22"/>
  <c r="AU53" i="22"/>
  <c r="AS53" i="22" s="1"/>
  <c r="AV45" i="22"/>
  <c r="AU45" i="22"/>
  <c r="AS45" i="22" s="1"/>
  <c r="AV37" i="22"/>
  <c r="AU37" i="22"/>
  <c r="AS37" i="22" s="1"/>
  <c r="AV29" i="22"/>
  <c r="AU29" i="22"/>
  <c r="AS29" i="22" s="1"/>
  <c r="AV21" i="22"/>
  <c r="AU21" i="22"/>
  <c r="AS21" i="22" s="1"/>
  <c r="AV13" i="22"/>
  <c r="AU13" i="22"/>
  <c r="AS13" i="22" s="1"/>
  <c r="AV5" i="22"/>
  <c r="AU5" i="22"/>
  <c r="AS5" i="22" s="1"/>
  <c r="D194" i="22"/>
  <c r="D163" i="22"/>
  <c r="D114" i="22"/>
  <c r="D138" i="22"/>
  <c r="D314" i="22"/>
  <c r="D338" i="22"/>
  <c r="D187" i="22"/>
  <c r="D155" i="22"/>
  <c r="D11" i="22"/>
  <c r="D130" i="22"/>
  <c r="D105" i="22"/>
  <c r="D81" i="22"/>
  <c r="D282" i="22"/>
  <c r="D8" i="22"/>
  <c r="D234" i="22"/>
  <c r="D67" i="22"/>
  <c r="D59" i="22"/>
  <c r="D43" i="22"/>
  <c r="D35" i="22"/>
  <c r="D19" i="22"/>
  <c r="D330" i="22"/>
  <c r="AI182" i="22"/>
  <c r="AJ182" i="22"/>
  <c r="AK182" i="22"/>
  <c r="AI421" i="22"/>
  <c r="AJ421" i="22"/>
  <c r="AK421" i="22"/>
  <c r="AI405" i="22"/>
  <c r="AJ405" i="22"/>
  <c r="AK405" i="22"/>
  <c r="AJ381" i="22"/>
  <c r="AK381" i="22"/>
  <c r="AI381" i="22"/>
  <c r="AJ368" i="22"/>
  <c r="AI368" i="22"/>
  <c r="AK368" i="22"/>
  <c r="AJ326" i="22"/>
  <c r="AI326" i="22"/>
  <c r="AK326" i="22"/>
  <c r="AI304" i="22"/>
  <c r="AK304" i="22"/>
  <c r="AJ304" i="22"/>
  <c r="AI291" i="22"/>
  <c r="AJ291" i="22"/>
  <c r="AK291" i="22"/>
  <c r="AI279" i="22"/>
  <c r="AJ279" i="22"/>
  <c r="AK279" i="22"/>
  <c r="AI267" i="22"/>
  <c r="AJ267" i="22"/>
  <c r="AK267" i="22"/>
  <c r="AI255" i="22"/>
  <c r="AJ255" i="22"/>
  <c r="AK255" i="22"/>
  <c r="AJ243" i="22"/>
  <c r="AI243" i="22"/>
  <c r="AK243" i="22"/>
  <c r="AJ231" i="22"/>
  <c r="AI231" i="22"/>
  <c r="AK231" i="22"/>
  <c r="AJ219" i="22"/>
  <c r="AI219" i="22"/>
  <c r="AK219" i="22"/>
  <c r="AJ207" i="22"/>
  <c r="AI207" i="22"/>
  <c r="AK207" i="22"/>
  <c r="AJ163" i="22"/>
  <c r="AI163" i="22"/>
  <c r="AK163" i="22"/>
  <c r="AJ149" i="22"/>
  <c r="AI149" i="22"/>
  <c r="AK149" i="22"/>
  <c r="AJ137" i="22"/>
  <c r="AI137" i="22"/>
  <c r="AK137" i="22"/>
  <c r="AJ125" i="22"/>
  <c r="AI125" i="22"/>
  <c r="AK125" i="22"/>
  <c r="AJ113" i="22"/>
  <c r="AI113" i="22"/>
  <c r="AK113" i="22"/>
  <c r="AI95" i="22"/>
  <c r="AJ95" i="22"/>
  <c r="AK95" i="22"/>
  <c r="AI83" i="22"/>
  <c r="AJ83" i="22"/>
  <c r="AK83" i="22"/>
  <c r="AI26" i="22"/>
  <c r="AK26" i="22"/>
  <c r="AJ26" i="22"/>
  <c r="AI14" i="22"/>
  <c r="AK14" i="22"/>
  <c r="AJ14" i="22"/>
  <c r="AI181" i="22"/>
  <c r="AJ181" i="22"/>
  <c r="AK181" i="22"/>
  <c r="AI419" i="22"/>
  <c r="AJ419" i="22"/>
  <c r="AK419" i="22"/>
  <c r="AI404" i="22"/>
  <c r="AJ404" i="22"/>
  <c r="AK404" i="22"/>
  <c r="AI380" i="22"/>
  <c r="AK380" i="22"/>
  <c r="AJ380" i="22"/>
  <c r="AI367" i="22"/>
  <c r="AK367" i="22"/>
  <c r="AJ367" i="22"/>
  <c r="AI347" i="22"/>
  <c r="AJ347" i="22"/>
  <c r="AK347" i="22"/>
  <c r="AJ325" i="22"/>
  <c r="AI325" i="22"/>
  <c r="AK325" i="22"/>
  <c r="AI303" i="22"/>
  <c r="AK303" i="22"/>
  <c r="AJ303" i="22"/>
  <c r="AJ290" i="22"/>
  <c r="AI290" i="22"/>
  <c r="AK290" i="22"/>
  <c r="AJ278" i="22"/>
  <c r="AI278" i="22"/>
  <c r="AK278" i="22"/>
  <c r="AJ266" i="22"/>
  <c r="AI266" i="22"/>
  <c r="AK266" i="22"/>
  <c r="AJ254" i="22"/>
  <c r="AI254" i="22"/>
  <c r="AK254" i="22"/>
  <c r="AJ242" i="22"/>
  <c r="AI242" i="22"/>
  <c r="AK242" i="22"/>
  <c r="AJ230" i="22"/>
  <c r="AI230" i="22"/>
  <c r="AK230" i="22"/>
  <c r="AJ218" i="22"/>
  <c r="AI218" i="22"/>
  <c r="AK218" i="22"/>
  <c r="AJ206" i="22"/>
  <c r="AI206" i="22"/>
  <c r="AK206" i="22"/>
  <c r="AJ162" i="22"/>
  <c r="AI162" i="22"/>
  <c r="AK162" i="22"/>
  <c r="AJ148" i="22"/>
  <c r="AI148" i="22"/>
  <c r="AK148" i="22"/>
  <c r="AJ136" i="22"/>
  <c r="AI136" i="22"/>
  <c r="AK136" i="22"/>
  <c r="AJ124" i="22"/>
  <c r="AI124" i="22"/>
  <c r="AK124" i="22"/>
  <c r="AJ112" i="22"/>
  <c r="AI112" i="22"/>
  <c r="AK112" i="22"/>
  <c r="AJ94" i="22"/>
  <c r="AK94" i="22"/>
  <c r="AI94" i="22"/>
  <c r="AJ82" i="22"/>
  <c r="AI82" i="22"/>
  <c r="AK82" i="22"/>
  <c r="AI25" i="22"/>
  <c r="AJ25" i="22"/>
  <c r="AK25" i="22"/>
  <c r="AI13" i="22"/>
  <c r="AJ13" i="22"/>
  <c r="AK13" i="22"/>
  <c r="AI180" i="22"/>
  <c r="AJ180" i="22"/>
  <c r="AK180" i="22"/>
  <c r="AJ418" i="22"/>
  <c r="AI418" i="22"/>
  <c r="AK418" i="22"/>
  <c r="AI403" i="22"/>
  <c r="AK403" i="22"/>
  <c r="AJ403" i="22"/>
  <c r="AI391" i="22"/>
  <c r="AJ391" i="22"/>
  <c r="AK391" i="22"/>
  <c r="AI379" i="22"/>
  <c r="AJ379" i="22"/>
  <c r="AK379" i="22"/>
  <c r="AI366" i="22"/>
  <c r="AJ366" i="22"/>
  <c r="AK366" i="22"/>
  <c r="AI346" i="22"/>
  <c r="AK346" i="22"/>
  <c r="AJ346" i="22"/>
  <c r="AI324" i="22"/>
  <c r="AK324" i="22"/>
  <c r="AJ324" i="22"/>
  <c r="AJ302" i="22"/>
  <c r="AI302" i="22"/>
  <c r="AK302" i="22"/>
  <c r="AJ289" i="22"/>
  <c r="AI289" i="22"/>
  <c r="AK289" i="22"/>
  <c r="AJ277" i="22"/>
  <c r="AI277" i="22"/>
  <c r="AK277" i="22"/>
  <c r="AJ265" i="22"/>
  <c r="AI265" i="22"/>
  <c r="AK265" i="22"/>
  <c r="AJ253" i="22"/>
  <c r="AI253" i="22"/>
  <c r="AK253" i="22"/>
  <c r="AJ241" i="22"/>
  <c r="AI241" i="22"/>
  <c r="AK241" i="22"/>
  <c r="AJ229" i="22"/>
  <c r="AI229" i="22"/>
  <c r="AK229" i="22"/>
  <c r="AJ217" i="22"/>
  <c r="AI217" i="22"/>
  <c r="AK217" i="22"/>
  <c r="AJ205" i="22"/>
  <c r="AI205" i="22"/>
  <c r="AK205" i="22"/>
  <c r="AI190" i="22"/>
  <c r="AJ190" i="22"/>
  <c r="AK190" i="22"/>
  <c r="AJ161" i="22"/>
  <c r="AI161" i="22"/>
  <c r="AK161" i="22"/>
  <c r="AJ147" i="22"/>
  <c r="AI147" i="22"/>
  <c r="AK147" i="22"/>
  <c r="AJ135" i="22"/>
  <c r="AI135" i="22"/>
  <c r="AK135" i="22"/>
  <c r="AJ123" i="22"/>
  <c r="AI123" i="22"/>
  <c r="AK123" i="22"/>
  <c r="AJ111" i="22"/>
  <c r="AI111" i="22"/>
  <c r="AK111" i="22"/>
  <c r="AJ93" i="22"/>
  <c r="AI93" i="22"/>
  <c r="AK93" i="22"/>
  <c r="AJ24" i="22"/>
  <c r="AI24" i="22"/>
  <c r="AK24" i="22"/>
  <c r="AJ12" i="22"/>
  <c r="AI12" i="22"/>
  <c r="AK12" i="22"/>
  <c r="AI179" i="22"/>
  <c r="AJ179" i="22"/>
  <c r="AK179" i="22"/>
  <c r="AI417" i="22"/>
  <c r="AK417" i="22"/>
  <c r="AJ417" i="22"/>
  <c r="AI402" i="22"/>
  <c r="AJ402" i="22"/>
  <c r="AK402" i="22"/>
  <c r="AJ390" i="22"/>
  <c r="AK390" i="22"/>
  <c r="AI390" i="22"/>
  <c r="AI378" i="22"/>
  <c r="AJ378" i="22"/>
  <c r="AK378" i="22"/>
  <c r="AI364" i="22"/>
  <c r="AJ364" i="22"/>
  <c r="AK364" i="22"/>
  <c r="AI345" i="22"/>
  <c r="AJ345" i="22"/>
  <c r="AK345" i="22"/>
  <c r="AI323" i="22"/>
  <c r="AJ323" i="22"/>
  <c r="AK323" i="22"/>
  <c r="AJ301" i="22"/>
  <c r="AI301" i="22"/>
  <c r="AK301" i="22"/>
  <c r="AI288" i="22"/>
  <c r="AJ288" i="22"/>
  <c r="AK288" i="22"/>
  <c r="AI276" i="22"/>
  <c r="AK276" i="22"/>
  <c r="AJ276" i="22"/>
  <c r="AI264" i="22"/>
  <c r="AJ264" i="22"/>
  <c r="AK264" i="22"/>
  <c r="AI252" i="22"/>
  <c r="AJ252" i="22"/>
  <c r="AK252" i="22"/>
  <c r="AI240" i="22"/>
  <c r="AK240" i="22"/>
  <c r="AJ240" i="22"/>
  <c r="AI228" i="22"/>
  <c r="AK228" i="22"/>
  <c r="AJ228" i="22"/>
  <c r="AI216" i="22"/>
  <c r="AK216" i="22"/>
  <c r="AJ216" i="22"/>
  <c r="AI204" i="22"/>
  <c r="AK204" i="22"/>
  <c r="AJ204" i="22"/>
  <c r="AI189" i="22"/>
  <c r="AJ189" i="22"/>
  <c r="AK189" i="22"/>
  <c r="AJ160" i="22"/>
  <c r="AI160" i="22"/>
  <c r="AK160" i="22"/>
  <c r="AI146" i="22"/>
  <c r="AJ146" i="22"/>
  <c r="AK146" i="22"/>
  <c r="AI134" i="22"/>
  <c r="AJ134" i="22"/>
  <c r="AK134" i="22"/>
  <c r="AI122" i="22"/>
  <c r="AJ122" i="22"/>
  <c r="AK122" i="22"/>
  <c r="AI110" i="22"/>
  <c r="AJ110" i="22"/>
  <c r="AK110" i="22"/>
  <c r="AJ92" i="22"/>
  <c r="AI92" i="22"/>
  <c r="AK92" i="22"/>
  <c r="AI63" i="22"/>
  <c r="AJ63" i="22"/>
  <c r="AK63" i="22"/>
  <c r="AJ23" i="22"/>
  <c r="AI23" i="22"/>
  <c r="AK23" i="22"/>
  <c r="AJ11" i="22"/>
  <c r="AI11" i="22"/>
  <c r="AK11" i="22"/>
  <c r="AJ178" i="22"/>
  <c r="AK178" i="22"/>
  <c r="AI178" i="22"/>
  <c r="AI416" i="22"/>
  <c r="AJ416" i="22"/>
  <c r="AK416" i="22"/>
  <c r="AJ401" i="22"/>
  <c r="AI401" i="22"/>
  <c r="AK401" i="22"/>
  <c r="AI389" i="22"/>
  <c r="AK389" i="22"/>
  <c r="AJ389" i="22"/>
  <c r="AI377" i="22"/>
  <c r="AJ377" i="22"/>
  <c r="AK377" i="22"/>
  <c r="AJ363" i="22"/>
  <c r="AI363" i="22"/>
  <c r="AK363" i="22"/>
  <c r="AJ344" i="22"/>
  <c r="AK344" i="22"/>
  <c r="AI344" i="22"/>
  <c r="AI322" i="22"/>
  <c r="AK322" i="22"/>
  <c r="AJ322" i="22"/>
  <c r="AI300" i="22"/>
  <c r="AK300" i="22"/>
  <c r="AJ300" i="22"/>
  <c r="AI287" i="22"/>
  <c r="AJ287" i="22"/>
  <c r="AK287" i="22"/>
  <c r="AI275" i="22"/>
  <c r="AJ275" i="22"/>
  <c r="AK275" i="22"/>
  <c r="AI263" i="22"/>
  <c r="AJ263" i="22"/>
  <c r="AK263" i="22"/>
  <c r="AI251" i="22"/>
  <c r="AJ251" i="22"/>
  <c r="AK251" i="22"/>
  <c r="AI239" i="22"/>
  <c r="AJ239" i="22"/>
  <c r="AK239" i="22"/>
  <c r="AI227" i="22"/>
  <c r="AJ227" i="22"/>
  <c r="AK227" i="22"/>
  <c r="AI215" i="22"/>
  <c r="AJ215" i="22"/>
  <c r="AK215" i="22"/>
  <c r="AI203" i="22"/>
  <c r="AJ203" i="22"/>
  <c r="AK203" i="22"/>
  <c r="AJ188" i="22"/>
  <c r="AK188" i="22"/>
  <c r="AI188" i="22"/>
  <c r="AJ159" i="22"/>
  <c r="AI159" i="22"/>
  <c r="AK159" i="22"/>
  <c r="AI145" i="22"/>
  <c r="AJ145" i="22"/>
  <c r="AK145" i="22"/>
  <c r="AI133" i="22"/>
  <c r="AJ133" i="22"/>
  <c r="AK133" i="22"/>
  <c r="AI121" i="22"/>
  <c r="AJ121" i="22"/>
  <c r="AK121" i="22"/>
  <c r="AI109" i="22"/>
  <c r="AJ109" i="22"/>
  <c r="AK109" i="22"/>
  <c r="AK91" i="22"/>
  <c r="AJ91" i="22"/>
  <c r="AI91" i="22"/>
  <c r="AI37" i="22"/>
  <c r="AJ37" i="22"/>
  <c r="AK37" i="22"/>
  <c r="AJ22" i="22"/>
  <c r="AI22" i="22"/>
  <c r="AK22" i="22"/>
  <c r="AJ177" i="22"/>
  <c r="AI177" i="22"/>
  <c r="AK177" i="22"/>
  <c r="AI400" i="22"/>
  <c r="AK400" i="22"/>
  <c r="AJ400" i="22"/>
  <c r="AI388" i="22"/>
  <c r="AK388" i="22"/>
  <c r="AJ388" i="22"/>
  <c r="AI376" i="22"/>
  <c r="AJ376" i="22"/>
  <c r="AK376" i="22"/>
  <c r="AI358" i="22"/>
  <c r="AK358" i="22"/>
  <c r="AJ358" i="22"/>
  <c r="AJ342" i="22"/>
  <c r="AI342" i="22"/>
  <c r="AK342" i="22"/>
  <c r="AI321" i="22"/>
  <c r="AJ321" i="22"/>
  <c r="AK321" i="22"/>
  <c r="AI298" i="22"/>
  <c r="AK298" i="22"/>
  <c r="AJ298" i="22"/>
  <c r="AI286" i="22"/>
  <c r="AJ286" i="22"/>
  <c r="AK286" i="22"/>
  <c r="AI274" i="22"/>
  <c r="AK274" i="22"/>
  <c r="AJ274" i="22"/>
  <c r="AI262" i="22"/>
  <c r="AK262" i="22"/>
  <c r="AJ262" i="22"/>
  <c r="AI250" i="22"/>
  <c r="AK250" i="22"/>
  <c r="AJ250" i="22"/>
  <c r="AI238" i="22"/>
  <c r="AJ238" i="22"/>
  <c r="AK238" i="22"/>
  <c r="AI226" i="22"/>
  <c r="AJ226" i="22"/>
  <c r="AK226" i="22"/>
  <c r="AI214" i="22"/>
  <c r="AJ214" i="22"/>
  <c r="AK214" i="22"/>
  <c r="AI202" i="22"/>
  <c r="AJ202" i="22"/>
  <c r="AK202" i="22"/>
  <c r="AJ173" i="22"/>
  <c r="AI173" i="22"/>
  <c r="AK173" i="22"/>
  <c r="AI158" i="22"/>
  <c r="AJ158" i="22"/>
  <c r="AK158" i="22"/>
  <c r="AI144" i="22"/>
  <c r="AJ144" i="22"/>
  <c r="AK144" i="22"/>
  <c r="AI132" i="22"/>
  <c r="AJ132" i="22"/>
  <c r="AK132" i="22"/>
  <c r="AI120" i="22"/>
  <c r="AJ120" i="22"/>
  <c r="AK120" i="22"/>
  <c r="AI108" i="22"/>
  <c r="AJ108" i="22"/>
  <c r="AK108" i="22"/>
  <c r="AJ90" i="22"/>
  <c r="AI90" i="22"/>
  <c r="AK90" i="22"/>
  <c r="AJ36" i="22"/>
  <c r="AK36" i="22"/>
  <c r="AI36" i="22"/>
  <c r="AK21" i="22"/>
  <c r="AJ21" i="22"/>
  <c r="AI21" i="22"/>
  <c r="AJ176" i="22"/>
  <c r="AI176" i="22"/>
  <c r="AK176" i="22"/>
  <c r="AJ399" i="22"/>
  <c r="AI399" i="22"/>
  <c r="AK399" i="22"/>
  <c r="AI387" i="22"/>
  <c r="AJ387" i="22"/>
  <c r="AK387" i="22"/>
  <c r="AJ375" i="22"/>
  <c r="AI375" i="22"/>
  <c r="AK375" i="22"/>
  <c r="AI357" i="22"/>
  <c r="AJ357" i="22"/>
  <c r="AK357" i="22"/>
  <c r="AJ332" i="22"/>
  <c r="AK332" i="22"/>
  <c r="AI332" i="22"/>
  <c r="AJ320" i="22"/>
  <c r="AK320" i="22"/>
  <c r="AI320" i="22"/>
  <c r="AI297" i="22"/>
  <c r="AJ297" i="22"/>
  <c r="AK297" i="22"/>
  <c r="AI285" i="22"/>
  <c r="AJ285" i="22"/>
  <c r="AK285" i="22"/>
  <c r="AI273" i="22"/>
  <c r="AJ273" i="22"/>
  <c r="AK273" i="22"/>
  <c r="AI261" i="22"/>
  <c r="AJ261" i="22"/>
  <c r="AK261" i="22"/>
  <c r="AI249" i="22"/>
  <c r="AJ249" i="22"/>
  <c r="AK249" i="22"/>
  <c r="AI237" i="22"/>
  <c r="AJ237" i="22"/>
  <c r="AK237" i="22"/>
  <c r="AI225" i="22"/>
  <c r="AJ225" i="22"/>
  <c r="AK225" i="22"/>
  <c r="AI213" i="22"/>
  <c r="AJ213" i="22"/>
  <c r="AK213" i="22"/>
  <c r="AI201" i="22"/>
  <c r="AJ201" i="22"/>
  <c r="AK201" i="22"/>
  <c r="AJ172" i="22"/>
  <c r="AI172" i="22"/>
  <c r="AK172" i="22"/>
  <c r="AI157" i="22"/>
  <c r="AJ157" i="22"/>
  <c r="AK157" i="22"/>
  <c r="AI143" i="22"/>
  <c r="AJ143" i="22"/>
  <c r="AK143" i="22"/>
  <c r="AI131" i="22"/>
  <c r="AJ131" i="22"/>
  <c r="AK131" i="22"/>
  <c r="AI119" i="22"/>
  <c r="AJ119" i="22"/>
  <c r="AK119" i="22"/>
  <c r="AI107" i="22"/>
  <c r="AJ107" i="22"/>
  <c r="AK107" i="22"/>
  <c r="AJ89" i="22"/>
  <c r="AI89" i="22"/>
  <c r="AK89" i="22"/>
  <c r="AJ35" i="22"/>
  <c r="AI35" i="22"/>
  <c r="AK35" i="22"/>
  <c r="AJ20" i="22"/>
  <c r="AI20" i="22"/>
  <c r="AK20" i="22"/>
  <c r="AJ2" i="22"/>
  <c r="AI2" i="22"/>
  <c r="AK2" i="22"/>
  <c r="AJ175" i="22"/>
  <c r="AI175" i="22"/>
  <c r="AK175" i="22"/>
  <c r="AI410" i="22"/>
  <c r="AJ410" i="22"/>
  <c r="AK410" i="22"/>
  <c r="AI398" i="22"/>
  <c r="AJ398" i="22"/>
  <c r="AK398" i="22"/>
  <c r="AI386" i="22"/>
  <c r="AJ386" i="22"/>
  <c r="AK386" i="22"/>
  <c r="AI374" i="22"/>
  <c r="AK374" i="22"/>
  <c r="AJ374" i="22"/>
  <c r="AI356" i="22"/>
  <c r="AK356" i="22"/>
  <c r="AJ356" i="22"/>
  <c r="AJ331" i="22"/>
  <c r="AI331" i="22"/>
  <c r="AK331" i="22"/>
  <c r="AJ319" i="22"/>
  <c r="AI319" i="22"/>
  <c r="AK319" i="22"/>
  <c r="AJ296" i="22"/>
  <c r="AK296" i="22"/>
  <c r="AI296" i="22"/>
  <c r="AJ284" i="22"/>
  <c r="AI284" i="22"/>
  <c r="AK284" i="22"/>
  <c r="AJ272" i="22"/>
  <c r="AI272" i="22"/>
  <c r="AK272" i="22"/>
  <c r="AJ260" i="22"/>
  <c r="AK260" i="22"/>
  <c r="AI260" i="22"/>
  <c r="AJ248" i="22"/>
  <c r="AK248" i="22"/>
  <c r="AI248" i="22"/>
  <c r="AJ236" i="22"/>
  <c r="AK236" i="22"/>
  <c r="AI236" i="22"/>
  <c r="AJ224" i="22"/>
  <c r="AK224" i="22"/>
  <c r="AI224" i="22"/>
  <c r="AJ212" i="22"/>
  <c r="AK212" i="22"/>
  <c r="AI212" i="22"/>
  <c r="AJ200" i="22"/>
  <c r="AK200" i="22"/>
  <c r="AI200" i="22"/>
  <c r="AJ171" i="22"/>
  <c r="AI171" i="22"/>
  <c r="AK171" i="22"/>
  <c r="AI156" i="22"/>
  <c r="AJ156" i="22"/>
  <c r="AK156" i="22"/>
  <c r="AJ142" i="22"/>
  <c r="AI142" i="22"/>
  <c r="AK142" i="22"/>
  <c r="AJ130" i="22"/>
  <c r="AI130" i="22"/>
  <c r="AK130" i="22"/>
  <c r="AJ118" i="22"/>
  <c r="AK118" i="22"/>
  <c r="AI118" i="22"/>
  <c r="AJ100" i="22"/>
  <c r="AI100" i="22"/>
  <c r="AK100" i="22"/>
  <c r="AJ88" i="22"/>
  <c r="AI88" i="22"/>
  <c r="AK88" i="22"/>
  <c r="AJ34" i="22"/>
  <c r="AI34" i="22"/>
  <c r="AK34" i="22"/>
  <c r="AJ19" i="22"/>
  <c r="AI19" i="22"/>
  <c r="AK19" i="22"/>
  <c r="AJ174" i="22"/>
  <c r="AI174" i="22"/>
  <c r="AK174" i="22"/>
  <c r="AI409" i="22"/>
  <c r="AK409" i="22"/>
  <c r="AJ409" i="22"/>
  <c r="AI397" i="22"/>
  <c r="AJ397" i="22"/>
  <c r="AK397" i="22"/>
  <c r="AJ385" i="22"/>
  <c r="AI385" i="22"/>
  <c r="AK385" i="22"/>
  <c r="AI373" i="22"/>
  <c r="AJ373" i="22"/>
  <c r="AK373" i="22"/>
  <c r="AI355" i="22"/>
  <c r="AJ355" i="22"/>
  <c r="AK355" i="22"/>
  <c r="AJ330" i="22"/>
  <c r="AI330" i="22"/>
  <c r="AK330" i="22"/>
  <c r="AJ318" i="22"/>
  <c r="AI318" i="22"/>
  <c r="AK318" i="22"/>
  <c r="AJ295" i="22"/>
  <c r="AI295" i="22"/>
  <c r="AK295" i="22"/>
  <c r="AJ283" i="22"/>
  <c r="AI283" i="22"/>
  <c r="AK283" i="22"/>
  <c r="AJ271" i="22"/>
  <c r="AI271" i="22"/>
  <c r="AK271" i="22"/>
  <c r="AJ259" i="22"/>
  <c r="AI259" i="22"/>
  <c r="AK259" i="22"/>
  <c r="AJ247" i="22"/>
  <c r="AI247" i="22"/>
  <c r="AK247" i="22"/>
  <c r="AJ235" i="22"/>
  <c r="AI235" i="22"/>
  <c r="AK235" i="22"/>
  <c r="AJ223" i="22"/>
  <c r="AI223" i="22"/>
  <c r="AK223" i="22"/>
  <c r="AJ211" i="22"/>
  <c r="AI211" i="22"/>
  <c r="AK211" i="22"/>
  <c r="AJ199" i="22"/>
  <c r="AI199" i="22"/>
  <c r="AK199" i="22"/>
  <c r="AI170" i="22"/>
  <c r="AJ170" i="22"/>
  <c r="AK170" i="22"/>
  <c r="AI155" i="22"/>
  <c r="AJ155" i="22"/>
  <c r="AK155" i="22"/>
  <c r="AJ141" i="22"/>
  <c r="AI141" i="22"/>
  <c r="AK141" i="22"/>
  <c r="AJ129" i="22"/>
  <c r="AI129" i="22"/>
  <c r="AK129" i="22"/>
  <c r="AJ117" i="22"/>
  <c r="AI117" i="22"/>
  <c r="AK117" i="22"/>
  <c r="AJ99" i="22"/>
  <c r="AI99" i="22"/>
  <c r="AK99" i="22"/>
  <c r="AJ87" i="22"/>
  <c r="AI87" i="22"/>
  <c r="AK87" i="22"/>
  <c r="AK33" i="22"/>
  <c r="AJ33" i="22"/>
  <c r="AI33" i="22"/>
  <c r="AJ18" i="22"/>
  <c r="AI18" i="22"/>
  <c r="AK18" i="22"/>
  <c r="AJ153" i="22"/>
  <c r="AI153" i="22"/>
  <c r="AK153" i="22"/>
  <c r="AI408" i="22"/>
  <c r="AJ408" i="22"/>
  <c r="AK408" i="22"/>
  <c r="AI396" i="22"/>
  <c r="AK396" i="22"/>
  <c r="AJ396" i="22"/>
  <c r="AI384" i="22"/>
  <c r="AJ384" i="22"/>
  <c r="AK384" i="22"/>
  <c r="AI372" i="22"/>
  <c r="AK372" i="22"/>
  <c r="AJ372" i="22"/>
  <c r="AJ354" i="22"/>
  <c r="AK354" i="22"/>
  <c r="AI354" i="22"/>
  <c r="AI329" i="22"/>
  <c r="AJ329" i="22"/>
  <c r="AK329" i="22"/>
  <c r="AI317" i="22"/>
  <c r="AJ317" i="22"/>
  <c r="AK317" i="22"/>
  <c r="AJ294" i="22"/>
  <c r="AI294" i="22"/>
  <c r="AK294" i="22"/>
  <c r="AJ282" i="22"/>
  <c r="AI282" i="22"/>
  <c r="AK282" i="22"/>
  <c r="AJ270" i="22"/>
  <c r="AI270" i="22"/>
  <c r="AK270" i="22"/>
  <c r="AJ258" i="22"/>
  <c r="AI258" i="22"/>
  <c r="AK258" i="22"/>
  <c r="AJ246" i="22"/>
  <c r="AI246" i="22"/>
  <c r="AK246" i="22"/>
  <c r="AJ234" i="22"/>
  <c r="AI234" i="22"/>
  <c r="AK234" i="22"/>
  <c r="AJ222" i="22"/>
  <c r="AI222" i="22"/>
  <c r="AK222" i="22"/>
  <c r="AJ210" i="22"/>
  <c r="AI210" i="22"/>
  <c r="AK210" i="22"/>
  <c r="AJ198" i="22"/>
  <c r="AI198" i="22"/>
  <c r="AK198" i="22"/>
  <c r="AI169" i="22"/>
  <c r="AJ169" i="22"/>
  <c r="AK169" i="22"/>
  <c r="AJ152" i="22"/>
  <c r="AI152" i="22"/>
  <c r="AK152" i="22"/>
  <c r="AJ140" i="22"/>
  <c r="AI140" i="22"/>
  <c r="AK140" i="22"/>
  <c r="AJ128" i="22"/>
  <c r="AI128" i="22"/>
  <c r="AK128" i="22"/>
  <c r="AJ116" i="22"/>
  <c r="AI116" i="22"/>
  <c r="AK116" i="22"/>
  <c r="AI98" i="22"/>
  <c r="AK98" i="22"/>
  <c r="AJ98" i="22"/>
  <c r="AI86" i="22"/>
  <c r="AK86" i="22"/>
  <c r="AJ86" i="22"/>
  <c r="AJ17" i="22"/>
  <c r="AI17" i="22"/>
  <c r="AK17" i="22"/>
  <c r="AJ106" i="22"/>
  <c r="AK106" i="22"/>
  <c r="AI106" i="22"/>
  <c r="AI407" i="22"/>
  <c r="AJ407" i="22"/>
  <c r="AK407" i="22"/>
  <c r="AI395" i="22"/>
  <c r="AK395" i="22"/>
  <c r="AJ395" i="22"/>
  <c r="AI383" i="22"/>
  <c r="AJ383" i="22"/>
  <c r="AK383" i="22"/>
  <c r="AI371" i="22"/>
  <c r="AJ371" i="22"/>
  <c r="AK371" i="22"/>
  <c r="AI328" i="22"/>
  <c r="AJ328" i="22"/>
  <c r="AK328" i="22"/>
  <c r="AI293" i="22"/>
  <c r="AJ293" i="22"/>
  <c r="AK293" i="22"/>
  <c r="AI281" i="22"/>
  <c r="AJ281" i="22"/>
  <c r="AK281" i="22"/>
  <c r="AI269" i="22"/>
  <c r="AJ269" i="22"/>
  <c r="AK269" i="22"/>
  <c r="AI257" i="22"/>
  <c r="AJ257" i="22"/>
  <c r="AK257" i="22"/>
  <c r="AJ245" i="22"/>
  <c r="AI245" i="22"/>
  <c r="AK245" i="22"/>
  <c r="AJ233" i="22"/>
  <c r="AI233" i="22"/>
  <c r="AK233" i="22"/>
  <c r="AJ221" i="22"/>
  <c r="AI221" i="22"/>
  <c r="AK221" i="22"/>
  <c r="AJ209" i="22"/>
  <c r="AI209" i="22"/>
  <c r="AK209" i="22"/>
  <c r="AJ197" i="22"/>
  <c r="AI197" i="22"/>
  <c r="AK197" i="22"/>
  <c r="AJ151" i="22"/>
  <c r="AI151" i="22"/>
  <c r="AK151" i="22"/>
  <c r="AJ139" i="22"/>
  <c r="AI139" i="22"/>
  <c r="AK139" i="22"/>
  <c r="AJ127" i="22"/>
  <c r="AI127" i="22"/>
  <c r="AK127" i="22"/>
  <c r="AJ115" i="22"/>
  <c r="AI115" i="22"/>
  <c r="AK115" i="22"/>
  <c r="AI97" i="22"/>
  <c r="AJ97" i="22"/>
  <c r="AK97" i="22"/>
  <c r="AI85" i="22"/>
  <c r="AJ85" i="22"/>
  <c r="AK85" i="22"/>
  <c r="AI16" i="22"/>
  <c r="AK16" i="22"/>
  <c r="AJ16" i="22"/>
  <c r="AI422" i="22"/>
  <c r="AJ422" i="22"/>
  <c r="AK422" i="22"/>
  <c r="AJ406" i="22"/>
  <c r="AI406" i="22"/>
  <c r="AK406" i="22"/>
  <c r="AJ394" i="22"/>
  <c r="AI394" i="22"/>
  <c r="AK394" i="22"/>
  <c r="AI382" i="22"/>
  <c r="AJ382" i="22"/>
  <c r="AK382" i="22"/>
  <c r="AJ370" i="22"/>
  <c r="AK370" i="22"/>
  <c r="AI370" i="22"/>
  <c r="AI352" i="22"/>
  <c r="AJ352" i="22"/>
  <c r="AK352" i="22"/>
  <c r="AI327" i="22"/>
  <c r="AJ327" i="22"/>
  <c r="AK327" i="22"/>
  <c r="AI292" i="22"/>
  <c r="AJ292" i="22"/>
  <c r="AK292" i="22"/>
  <c r="AI280" i="22"/>
  <c r="AJ280" i="22"/>
  <c r="AK280" i="22"/>
  <c r="AI268" i="22"/>
  <c r="AJ268" i="22"/>
  <c r="AK268" i="22"/>
  <c r="AI256" i="22"/>
  <c r="AJ256" i="22"/>
  <c r="AK256" i="22"/>
  <c r="AJ244" i="22"/>
  <c r="AI244" i="22"/>
  <c r="AK244" i="22"/>
  <c r="AJ232" i="22"/>
  <c r="AI232" i="22"/>
  <c r="AK232" i="22"/>
  <c r="AJ220" i="22"/>
  <c r="AI220" i="22"/>
  <c r="AK220" i="22"/>
  <c r="AJ208" i="22"/>
  <c r="AI208" i="22"/>
  <c r="AK208" i="22"/>
  <c r="AJ196" i="22"/>
  <c r="AI196" i="22"/>
  <c r="AK196" i="22"/>
  <c r="AJ150" i="22"/>
  <c r="AI150" i="22"/>
  <c r="AK150" i="22"/>
  <c r="AJ138" i="22"/>
  <c r="AI138" i="22"/>
  <c r="AK138" i="22"/>
  <c r="AJ126" i="22"/>
  <c r="AI126" i="22"/>
  <c r="AK126" i="22"/>
  <c r="AJ114" i="22"/>
  <c r="AI114" i="22"/>
  <c r="AK114" i="22"/>
  <c r="AI96" i="22"/>
  <c r="AK96" i="22"/>
  <c r="AJ96" i="22"/>
  <c r="AI84" i="22"/>
  <c r="AK84" i="22"/>
  <c r="AJ84" i="22"/>
  <c r="AI27" i="22"/>
  <c r="AJ27" i="22"/>
  <c r="AK27" i="22"/>
  <c r="AI15" i="22"/>
  <c r="AJ15" i="22"/>
  <c r="AK15" i="22"/>
  <c r="D121" i="22"/>
  <c r="D74" i="22"/>
  <c r="D322" i="22"/>
  <c r="D122" i="22"/>
  <c r="D146" i="22"/>
  <c r="D27" i="22"/>
  <c r="D51" i="22"/>
  <c r="D218" i="22"/>
  <c r="D202" i="22"/>
  <c r="D97" i="22"/>
  <c r="D89" i="22"/>
  <c r="D3" i="22"/>
  <c r="D171" i="22"/>
  <c r="AY178" i="22"/>
  <c r="Z25" i="22"/>
  <c r="Y25" i="22" s="1"/>
  <c r="X25" i="22" s="1"/>
  <c r="W25" i="22" s="1"/>
  <c r="V25" i="22" s="1"/>
  <c r="U25" i="22" s="1"/>
  <c r="D25" i="22"/>
  <c r="D49" i="22"/>
  <c r="Z351" i="22"/>
  <c r="Y351" i="22" s="1"/>
  <c r="X351" i="22" s="1"/>
  <c r="W351" i="22" s="1"/>
  <c r="V351" i="22" s="1"/>
  <c r="U351" i="22" s="1"/>
  <c r="D351" i="22"/>
  <c r="D260" i="22"/>
  <c r="D235" i="22"/>
  <c r="D173" i="22"/>
  <c r="D29" i="22"/>
  <c r="D99" i="22"/>
  <c r="AY106" i="22"/>
  <c r="D220" i="22"/>
  <c r="D203" i="22"/>
  <c r="D274" i="22"/>
  <c r="D226" i="22"/>
  <c r="D266" i="22"/>
  <c r="D258" i="22"/>
  <c r="D210" i="22"/>
  <c r="D306" i="22"/>
  <c r="D250" i="22"/>
  <c r="D298" i="22"/>
  <c r="D242" i="22"/>
  <c r="D290" i="22"/>
  <c r="D156" i="22"/>
  <c r="D28" i="22"/>
  <c r="D82" i="22"/>
  <c r="D52" i="22"/>
  <c r="D4" i="22"/>
  <c r="D195" i="22"/>
  <c r="AY153" i="22"/>
  <c r="D259" i="22"/>
  <c r="D219" i="22"/>
  <c r="D44" i="22"/>
  <c r="D20" i="22"/>
  <c r="D98" i="22"/>
  <c r="D68" i="22"/>
  <c r="D172" i="22"/>
  <c r="D36" i="22"/>
  <c r="AY177" i="22"/>
  <c r="D147" i="22"/>
  <c r="D211" i="22"/>
  <c r="D131" i="22"/>
  <c r="D12" i="22"/>
  <c r="D413" i="22"/>
  <c r="D95" i="22"/>
  <c r="D60" i="22"/>
  <c r="D7" i="22"/>
  <c r="D6" i="22"/>
  <c r="D350" i="22"/>
  <c r="D100" i="22"/>
  <c r="D237" i="22"/>
  <c r="D133" i="22"/>
  <c r="D269" i="22"/>
  <c r="D205" i="22"/>
  <c r="AY176" i="22"/>
  <c r="D166" i="22"/>
  <c r="D70" i="22"/>
  <c r="D301" i="22"/>
  <c r="D38" i="22"/>
  <c r="D116" i="22"/>
  <c r="D45" i="22"/>
  <c r="D349" i="22"/>
  <c r="D300" i="22"/>
  <c r="D275" i="22"/>
  <c r="D236" i="22"/>
  <c r="D196" i="22"/>
  <c r="D148" i="22"/>
  <c r="D132" i="22"/>
  <c r="D115" i="22"/>
  <c r="D75" i="22"/>
  <c r="D61" i="22"/>
  <c r="D276" i="22"/>
  <c r="D315" i="22"/>
  <c r="D21" i="22"/>
  <c r="D324" i="22"/>
  <c r="D299" i="22"/>
  <c r="D252" i="22"/>
  <c r="D212" i="22"/>
  <c r="D165" i="22"/>
  <c r="D91" i="22"/>
  <c r="D292" i="22"/>
  <c r="D268" i="22"/>
  <c r="D228" i="22"/>
  <c r="D188" i="22"/>
  <c r="D164" i="22"/>
  <c r="D144" i="22"/>
  <c r="D124" i="22"/>
  <c r="D107" i="22"/>
  <c r="D90" i="22"/>
  <c r="D53" i="22"/>
  <c r="D37" i="22"/>
  <c r="D5" i="22"/>
  <c r="D316" i="22"/>
  <c r="D340" i="22"/>
  <c r="D251" i="22"/>
  <c r="D308" i="22"/>
  <c r="D244" i="22"/>
  <c r="D227" i="22"/>
  <c r="D108" i="22"/>
  <c r="D336" i="22"/>
  <c r="D140" i="22"/>
  <c r="D123" i="22"/>
  <c r="D357" i="22"/>
  <c r="D332" i="22"/>
  <c r="D307" i="22"/>
  <c r="D284" i="22"/>
  <c r="D264" i="22"/>
  <c r="D243" i="22"/>
  <c r="D204" i="22"/>
  <c r="D157" i="22"/>
  <c r="D139" i="22"/>
  <c r="D83" i="22"/>
  <c r="D69" i="22"/>
  <c r="D13" i="22"/>
  <c r="D331" i="22"/>
  <c r="D291" i="22"/>
  <c r="D267" i="22"/>
  <c r="D283" i="22"/>
  <c r="D323" i="22"/>
  <c r="D363" i="22"/>
  <c r="D339" i="22"/>
  <c r="D397" i="22"/>
  <c r="D170" i="22"/>
  <c r="D395" i="22"/>
  <c r="D2" i="22"/>
  <c r="D96" i="22"/>
  <c r="D10" i="22"/>
  <c r="D145" i="22"/>
  <c r="D356" i="22"/>
  <c r="D337" i="22"/>
  <c r="D419" i="22"/>
  <c r="D376" i="22"/>
  <c r="D312" i="22"/>
  <c r="D288" i="22"/>
  <c r="D169" i="22"/>
  <c r="D120" i="22"/>
  <c r="D355" i="22"/>
  <c r="D273" i="22"/>
  <c r="D249" i="22"/>
  <c r="D354" i="22"/>
  <c r="D321" i="22"/>
  <c r="D297" i="22"/>
  <c r="D272" i="22"/>
  <c r="D248" i="22"/>
  <c r="D224" i="22"/>
  <c r="D200" i="22"/>
  <c r="D104" i="22"/>
  <c r="D80" i="22"/>
  <c r="D58" i="22"/>
  <c r="D34" i="22"/>
  <c r="D345" i="22"/>
  <c r="D320" i="22"/>
  <c r="D296" i="22"/>
  <c r="D209" i="22"/>
  <c r="D186" i="22"/>
  <c r="D154" i="22"/>
  <c r="D129" i="22"/>
  <c r="D103" i="22"/>
  <c r="D79" i="22"/>
  <c r="D57" i="22"/>
  <c r="D33" i="22"/>
  <c r="D225" i="22"/>
  <c r="D344" i="22"/>
  <c r="D305" i="22"/>
  <c r="D281" i="22"/>
  <c r="D257" i="22"/>
  <c r="D233" i="22"/>
  <c r="D208" i="22"/>
  <c r="D185" i="22"/>
  <c r="D152" i="22"/>
  <c r="D128" i="22"/>
  <c r="D42" i="22"/>
  <c r="D18" i="22"/>
  <c r="D232" i="22"/>
  <c r="D137" i="22"/>
  <c r="D113" i="22"/>
  <c r="D88" i="22"/>
  <c r="D66" i="22"/>
  <c r="D41" i="22"/>
  <c r="D17" i="22"/>
  <c r="D201" i="22"/>
  <c r="D329" i="22"/>
  <c r="D256" i="22"/>
  <c r="D328" i="22"/>
  <c r="D241" i="22"/>
  <c r="D217" i="22"/>
  <c r="D193" i="22"/>
  <c r="D162" i="22"/>
  <c r="D136" i="22"/>
  <c r="D112" i="22"/>
  <c r="D87" i="22"/>
  <c r="D65" i="22"/>
  <c r="D304" i="22"/>
  <c r="D280" i="22"/>
  <c r="D348" i="22"/>
  <c r="D289" i="22"/>
  <c r="D265" i="22"/>
  <c r="D240" i="22"/>
  <c r="D216" i="22"/>
  <c r="D192" i="22"/>
  <c r="D161" i="22"/>
  <c r="D73" i="22"/>
  <c r="D50" i="22"/>
  <c r="D26" i="22"/>
  <c r="D245" i="22"/>
  <c r="D213" i="22"/>
  <c r="D421" i="22"/>
  <c r="AY179" i="22"/>
  <c r="D183" i="22"/>
  <c r="D109" i="22"/>
  <c r="D390" i="22"/>
  <c r="D285" i="22"/>
  <c r="D253" i="22"/>
  <c r="D221" i="22"/>
  <c r="D189" i="22"/>
  <c r="D149" i="22"/>
  <c r="D117" i="22"/>
  <c r="D84" i="22"/>
  <c r="D54" i="22"/>
  <c r="D22" i="22"/>
  <c r="D141" i="22"/>
  <c r="D277" i="22"/>
  <c r="D76" i="22"/>
  <c r="D46" i="22"/>
  <c r="D14" i="22"/>
  <c r="D379" i="22"/>
  <c r="D378" i="22"/>
  <c r="D293" i="22"/>
  <c r="D261" i="22"/>
  <c r="D229" i="22"/>
  <c r="D197" i="22"/>
  <c r="D158" i="22"/>
  <c r="D125" i="22"/>
  <c r="D92" i="22"/>
  <c r="D62" i="22"/>
  <c r="D30" i="22"/>
  <c r="AY180" i="22"/>
  <c r="AY181" i="22"/>
  <c r="AY175" i="22"/>
  <c r="AY182" i="22"/>
  <c r="AY174" i="22"/>
  <c r="D263" i="22"/>
  <c r="D199" i="22"/>
  <c r="D127" i="22"/>
  <c r="D64" i="22"/>
  <c r="D347" i="22"/>
  <c r="D319" i="22"/>
  <c r="D271" i="22"/>
  <c r="D207" i="22"/>
  <c r="D135" i="22"/>
  <c r="D72" i="22"/>
  <c r="D279" i="22"/>
  <c r="D215" i="22"/>
  <c r="D143" i="22"/>
  <c r="D78" i="22"/>
  <c r="D16" i="22"/>
  <c r="D327" i="22"/>
  <c r="D287" i="22"/>
  <c r="D223" i="22"/>
  <c r="D151" i="22"/>
  <c r="D86" i="22"/>
  <c r="D24" i="22"/>
  <c r="D295" i="22"/>
  <c r="D231" i="22"/>
  <c r="D160" i="22"/>
  <c r="D94" i="22"/>
  <c r="D32" i="22"/>
  <c r="D335" i="22"/>
  <c r="D303" i="22"/>
  <c r="D239" i="22"/>
  <c r="D168" i="22"/>
  <c r="D102" i="22"/>
  <c r="D40" i="22"/>
  <c r="D48" i="22"/>
  <c r="D408" i="22"/>
  <c r="D247" i="22"/>
  <c r="D184" i="22"/>
  <c r="D111" i="22"/>
  <c r="D343" i="22"/>
  <c r="D311" i="22"/>
  <c r="D255" i="22"/>
  <c r="D191" i="22"/>
  <c r="D119" i="22"/>
  <c r="D56" i="22"/>
  <c r="D385" i="22"/>
  <c r="D346" i="22"/>
  <c r="D334" i="22"/>
  <c r="D310" i="22"/>
  <c r="D294" i="22"/>
  <c r="D278" i="22"/>
  <c r="D262" i="22"/>
  <c r="D238" i="22"/>
  <c r="D222" i="22"/>
  <c r="D206" i="22"/>
  <c r="D190" i="22"/>
  <c r="D167" i="22"/>
  <c r="D142" i="22"/>
  <c r="D126" i="22"/>
  <c r="D93" i="22"/>
  <c r="D15" i="22"/>
  <c r="D342" i="22"/>
  <c r="D326" i="22"/>
  <c r="D318" i="22"/>
  <c r="D302" i="22"/>
  <c r="D286" i="22"/>
  <c r="D270" i="22"/>
  <c r="D254" i="22"/>
  <c r="D246" i="22"/>
  <c r="D230" i="22"/>
  <c r="D214" i="22"/>
  <c r="D198" i="22"/>
  <c r="D159" i="22"/>
  <c r="D150" i="22"/>
  <c r="D134" i="22"/>
  <c r="D118" i="22"/>
  <c r="D110" i="22"/>
  <c r="D101" i="22"/>
  <c r="D85" i="22"/>
  <c r="D77" i="22"/>
  <c r="D71" i="22"/>
  <c r="D63" i="22"/>
  <c r="D55" i="22"/>
  <c r="D47" i="22"/>
  <c r="D39" i="22"/>
  <c r="D31" i="22"/>
  <c r="D23" i="22"/>
  <c r="D406" i="22"/>
  <c r="D352" i="22"/>
  <c r="D341" i="22"/>
  <c r="D333" i="22"/>
  <c r="D325" i="22"/>
  <c r="D317" i="22"/>
  <c r="D309" i="22"/>
  <c r="D364" i="22"/>
  <c r="D9" i="22"/>
  <c r="D415" i="22"/>
  <c r="D407" i="22"/>
  <c r="D409" i="22"/>
  <c r="D375" i="22"/>
  <c r="D367" i="22"/>
  <c r="D418" i="22"/>
  <c r="D366" i="22"/>
  <c r="D388" i="22"/>
  <c r="D401" i="22"/>
  <c r="D387" i="22"/>
  <c r="D394" i="22"/>
  <c r="D377" i="22"/>
  <c r="D373" i="22"/>
  <c r="D404" i="22"/>
  <c r="D386" i="22"/>
  <c r="D372" i="22"/>
  <c r="D403" i="22"/>
  <c r="D370" i="22"/>
  <c r="D420" i="22"/>
  <c r="D396" i="22"/>
  <c r="D383" i="22"/>
  <c r="D365" i="22"/>
  <c r="D416" i="22"/>
  <c r="D381" i="22"/>
  <c r="D412" i="22"/>
  <c r="D414" i="22"/>
  <c r="D371" i="22"/>
  <c r="D400" i="22"/>
  <c r="D399" i="22"/>
  <c r="D422" i="22"/>
  <c r="D389" i="22"/>
  <c r="D411" i="22"/>
  <c r="D369" i="22"/>
  <c r="D391" i="22"/>
  <c r="D380" i="22"/>
  <c r="D368" i="22"/>
  <c r="D398" i="22"/>
  <c r="D402" i="22"/>
  <c r="D417" i="22"/>
  <c r="D405" i="22"/>
  <c r="D393" i="22"/>
  <c r="D384" i="22"/>
  <c r="D374" i="22"/>
  <c r="D382" i="22"/>
  <c r="D410" i="22"/>
  <c r="D358" i="22"/>
  <c r="G12" i="3"/>
  <c r="G8" i="3"/>
  <c r="G11" i="3"/>
  <c r="G22" i="3"/>
  <c r="G10" i="3"/>
  <c r="G18" i="3"/>
  <c r="G5" i="3"/>
  <c r="G17" i="3"/>
  <c r="G4" i="3"/>
  <c r="G16" i="3"/>
  <c r="G3" i="3"/>
  <c r="I67" i="22" s="1"/>
  <c r="G14" i="3"/>
  <c r="G13" i="3"/>
  <c r="G21" i="3"/>
  <c r="G9" i="3"/>
  <c r="G20" i="3"/>
  <c r="G7" i="3"/>
  <c r="G19" i="3"/>
  <c r="G6" i="3"/>
  <c r="G15" i="3"/>
  <c r="G2" i="3"/>
  <c r="I2" i="22" s="1"/>
  <c r="BE58" i="2"/>
  <c r="BE61" i="2"/>
  <c r="BE64" i="2"/>
  <c r="BE67" i="2"/>
  <c r="BE70" i="2"/>
  <c r="BE73" i="2"/>
  <c r="BE76" i="2"/>
  <c r="BE79" i="2"/>
  <c r="BE82" i="2"/>
  <c r="AC60" i="2"/>
  <c r="AB60" i="2" s="1"/>
  <c r="AA60" i="2" s="1"/>
  <c r="Z60" i="2" s="1"/>
  <c r="Y60" i="2" s="1"/>
  <c r="X60" i="2" s="1"/>
  <c r="W60" i="2" s="1"/>
  <c r="AC63" i="2"/>
  <c r="AB63" i="2" s="1"/>
  <c r="AA63" i="2" s="1"/>
  <c r="Z63" i="2" s="1"/>
  <c r="Y63" i="2" s="1"/>
  <c r="X63" i="2" s="1"/>
  <c r="W63" i="2" s="1"/>
  <c r="AC75" i="2"/>
  <c r="AB75" i="2" s="1"/>
  <c r="AA75" i="2" s="1"/>
  <c r="Z75" i="2" s="1"/>
  <c r="Y75" i="2" s="1"/>
  <c r="X75" i="2" s="1"/>
  <c r="W75" i="2" s="1"/>
  <c r="AC81" i="2"/>
  <c r="AB81" i="2" s="1"/>
  <c r="AA81" i="2" s="1"/>
  <c r="Z81" i="2" s="1"/>
  <c r="Y81" i="2" s="1"/>
  <c r="X81" i="2" s="1"/>
  <c r="W81" i="2" s="1"/>
  <c r="AF5" i="2"/>
  <c r="AF6" i="2"/>
  <c r="AF7" i="2"/>
  <c r="AF8" i="2"/>
  <c r="BC27" i="2"/>
  <c r="BC28" i="2"/>
  <c r="BC29" i="2"/>
  <c r="BC30" i="2"/>
  <c r="BC31" i="2"/>
  <c r="BC33" i="2"/>
  <c r="BC35" i="2"/>
  <c r="BC38" i="2"/>
  <c r="BC39" i="2"/>
  <c r="BC40" i="2"/>
  <c r="BC41" i="2"/>
  <c r="BC42" i="2"/>
  <c r="BC43" i="2"/>
  <c r="BC45" i="2"/>
  <c r="BC47" i="2"/>
  <c r="BC48" i="2"/>
  <c r="BC49" i="2"/>
  <c r="BC50" i="2"/>
  <c r="BC51" i="2"/>
  <c r="BC52" i="2"/>
  <c r="BC53" i="2"/>
  <c r="BC54" i="2"/>
  <c r="BC55" i="2"/>
  <c r="BC59" i="2"/>
  <c r="BC65" i="2"/>
  <c r="BC71" i="2"/>
  <c r="BC77" i="2"/>
  <c r="BC83" i="2"/>
  <c r="BC84" i="2"/>
  <c r="BC85" i="2"/>
  <c r="BC86" i="2"/>
  <c r="BC87" i="2"/>
  <c r="BC88" i="2"/>
  <c r="BC89" i="2"/>
  <c r="BC90" i="2"/>
  <c r="BC91" i="2"/>
  <c r="BC93" i="2"/>
  <c r="BC95" i="2"/>
  <c r="BC97" i="2"/>
  <c r="BC99" i="2"/>
  <c r="BC100" i="2"/>
  <c r="U3" i="2"/>
  <c r="S3" i="2" s="1" a="1"/>
  <c r="U4" i="2"/>
  <c r="S4" i="2" s="1" a="1"/>
  <c r="U5" i="2"/>
  <c r="S5" i="2" s="1" a="1"/>
  <c r="U11" i="2"/>
  <c r="S11" i="2" s="1" a="1"/>
  <c r="U12" i="2"/>
  <c r="S12" i="2" s="1" a="1"/>
  <c r="U13" i="2"/>
  <c r="S13" i="2" s="1" a="1"/>
  <c r="U14" i="2"/>
  <c r="S14" i="2" s="1" a="1"/>
  <c r="U15" i="2"/>
  <c r="S15" i="2" s="1" a="1"/>
  <c r="U16" i="2"/>
  <c r="U17" i="2"/>
  <c r="S17" i="2" s="1" a="1"/>
  <c r="U25" i="2"/>
  <c r="S25" i="2" s="1" a="1"/>
  <c r="U26" i="2"/>
  <c r="U27" i="2"/>
  <c r="S27" i="2" s="1" a="1"/>
  <c r="U28" i="2"/>
  <c r="S28" i="2" s="1" a="1"/>
  <c r="U29" i="2"/>
  <c r="U33" i="2"/>
  <c r="S33" i="2" s="1" a="1"/>
  <c r="U35" i="2"/>
  <c r="S35" i="2" s="1" a="1"/>
  <c r="U36" i="2"/>
  <c r="S36" i="2" s="1" a="1"/>
  <c r="U37" i="2"/>
  <c r="S37" i="2" s="1" a="1"/>
  <c r="U38" i="2"/>
  <c r="S38" i="2" s="1" a="1"/>
  <c r="U39" i="2"/>
  <c r="S39" i="2" s="1" a="1"/>
  <c r="U41" i="2"/>
  <c r="S41" i="2" s="1" a="1"/>
  <c r="U45" i="2"/>
  <c r="S45" i="2" s="1" a="1"/>
  <c r="U47" i="2"/>
  <c r="S47" i="2" s="1" a="1"/>
  <c r="U48" i="2"/>
  <c r="U50" i="2"/>
  <c r="S50" i="2" s="1" a="1"/>
  <c r="U51" i="2"/>
  <c r="S51" i="2" s="1" a="1"/>
  <c r="U52" i="2"/>
  <c r="S52" i="2" s="1" a="1"/>
  <c r="U53" i="2"/>
  <c r="S53" i="2" s="1" a="1"/>
  <c r="U59" i="2"/>
  <c r="U61" i="2"/>
  <c r="U62" i="2"/>
  <c r="U64" i="2"/>
  <c r="U65" i="2"/>
  <c r="U67" i="2"/>
  <c r="U73" i="2"/>
  <c r="U74" i="2"/>
  <c r="U76" i="2"/>
  <c r="U77" i="2"/>
  <c r="U79" i="2"/>
  <c r="U85" i="2"/>
  <c r="U86" i="2"/>
  <c r="U87" i="2"/>
  <c r="U89" i="2"/>
  <c r="U91" i="2"/>
  <c r="U93" i="2"/>
  <c r="U96" i="2"/>
  <c r="U97" i="2"/>
  <c r="U98" i="2"/>
  <c r="U99" i="2"/>
  <c r="U100" i="2"/>
  <c r="G3" i="25"/>
  <c r="G4" i="25"/>
  <c r="F4" i="25" s="1"/>
  <c r="F3" i="25"/>
  <c r="CW2" i="4"/>
  <c r="CW3" i="4"/>
  <c r="CW4" i="4"/>
  <c r="CW5" i="4"/>
  <c r="CU2" i="4"/>
  <c r="CU3" i="4"/>
  <c r="CU4" i="4"/>
  <c r="CU5" i="4"/>
  <c r="CS2" i="4"/>
  <c r="CS3" i="4"/>
  <c r="CS4" i="4"/>
  <c r="CS5" i="4"/>
  <c r="CQ2" i="4"/>
  <c r="CO2" i="4" s="1"/>
  <c r="CQ4" i="4"/>
  <c r="CO4" i="4" s="1"/>
  <c r="CQ5" i="4"/>
  <c r="CO5" i="4" s="1"/>
  <c r="CB2" i="4"/>
  <c r="CB3" i="4"/>
  <c r="CB4" i="4"/>
  <c r="CB5" i="4"/>
  <c r="BZ2" i="4"/>
  <c r="BZ4" i="4"/>
  <c r="BZ5" i="4"/>
  <c r="BX2" i="4"/>
  <c r="BV2" i="4" s="1"/>
  <c r="BX4" i="4"/>
  <c r="BW4" i="4" s="1"/>
  <c r="BX5" i="4"/>
  <c r="BI2" i="4"/>
  <c r="BI4" i="4"/>
  <c r="BI5" i="4"/>
  <c r="AN2" i="4"/>
  <c r="AN3" i="4"/>
  <c r="AN4" i="4"/>
  <c r="AN5" i="4"/>
  <c r="AM2" i="4"/>
  <c r="AL2" i="4" s="1"/>
  <c r="AM3" i="4"/>
  <c r="AM4" i="4"/>
  <c r="AL4" i="4" s="1"/>
  <c r="AM5" i="4"/>
  <c r="AL3" i="4"/>
  <c r="AL5" i="4"/>
  <c r="AF2" i="4"/>
  <c r="AF5" i="4"/>
  <c r="X2" i="4"/>
  <c r="U2" i="4" s="1"/>
  <c r="X4" i="4"/>
  <c r="U4" i="4" s="1"/>
  <c r="X5" i="4"/>
  <c r="U5" i="4" s="1"/>
  <c r="V2" i="4"/>
  <c r="V3" i="4"/>
  <c r="V4" i="4"/>
  <c r="V5" i="4"/>
  <c r="R2" i="4"/>
  <c r="R3" i="4"/>
  <c r="R5" i="4"/>
  <c r="P2" i="4"/>
  <c r="D2" i="4"/>
  <c r="D3" i="4"/>
  <c r="AF3" i="4" s="1"/>
  <c r="D4" i="4"/>
  <c r="AF4" i="4" s="1"/>
  <c r="D5" i="4"/>
  <c r="J2"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G2" i="5"/>
  <c r="F2" i="5" s="1"/>
  <c r="G3" i="5"/>
  <c r="G4" i="5"/>
  <c r="F4" i="5" s="1"/>
  <c r="G5" i="5"/>
  <c r="G6" i="5"/>
  <c r="F6" i="5" s="1"/>
  <c r="G7" i="5"/>
  <c r="F7" i="5" s="1"/>
  <c r="G8" i="5"/>
  <c r="G9" i="5"/>
  <c r="F9" i="5" s="1"/>
  <c r="G10" i="5"/>
  <c r="G11" i="5"/>
  <c r="F11" i="5" s="1"/>
  <c r="G12" i="5"/>
  <c r="G13" i="5"/>
  <c r="G14" i="5"/>
  <c r="F14" i="5" s="1"/>
  <c r="G15" i="5"/>
  <c r="G16" i="5"/>
  <c r="F16" i="5" s="1"/>
  <c r="G17" i="5"/>
  <c r="G18" i="5"/>
  <c r="F18" i="5" s="1"/>
  <c r="G19" i="5"/>
  <c r="F19" i="5" s="1"/>
  <c r="G20" i="5"/>
  <c r="G21" i="5"/>
  <c r="F21" i="5" s="1"/>
  <c r="G22" i="5"/>
  <c r="G23" i="5"/>
  <c r="F23" i="5" s="1"/>
  <c r="G24" i="5"/>
  <c r="G25" i="5"/>
  <c r="G26" i="5"/>
  <c r="F26" i="5" s="1"/>
  <c r="G28" i="5"/>
  <c r="F28" i="5" s="1"/>
  <c r="G30" i="5"/>
  <c r="F30" i="5" s="1"/>
  <c r="G31" i="5"/>
  <c r="F31" i="5" s="1"/>
  <c r="F3" i="5"/>
  <c r="F5" i="5"/>
  <c r="F8" i="5"/>
  <c r="F10" i="5"/>
  <c r="F12" i="5"/>
  <c r="F13" i="5"/>
  <c r="F15" i="5"/>
  <c r="F17" i="5"/>
  <c r="F20" i="5"/>
  <c r="F22" i="5"/>
  <c r="F24" i="5"/>
  <c r="F25" i="5"/>
  <c r="E3" i="20"/>
  <c r="E4" i="20"/>
  <c r="E5" i="20"/>
  <c r="E6" i="20"/>
  <c r="E7" i="20"/>
  <c r="E8" i="20"/>
  <c r="E9" i="20"/>
  <c r="E10" i="20"/>
  <c r="K3" i="26"/>
  <c r="K4" i="26"/>
  <c r="K5" i="26"/>
  <c r="G3" i="26"/>
  <c r="G4" i="26"/>
  <c r="G5" i="26"/>
  <c r="F3" i="26"/>
  <c r="F4" i="26"/>
  <c r="F5" i="26"/>
  <c r="G3" i="1"/>
  <c r="I3" i="1" s="1"/>
  <c r="G4" i="1"/>
  <c r="G5" i="1"/>
  <c r="I5" i="1" s="1"/>
  <c r="G6" i="1"/>
  <c r="G7" i="1"/>
  <c r="G8" i="1"/>
  <c r="G9" i="1"/>
  <c r="I9" i="1" s="1"/>
  <c r="G10" i="1"/>
  <c r="I10" i="1" s="1"/>
  <c r="G11" i="1"/>
  <c r="I11" i="1" s="1"/>
  <c r="G12" i="1"/>
  <c r="G13" i="1"/>
  <c r="J12" i="2" s="1"/>
  <c r="G14" i="1"/>
  <c r="G15" i="1"/>
  <c r="G16" i="1"/>
  <c r="G17" i="1"/>
  <c r="I17" i="1" s="1"/>
  <c r="G18" i="1"/>
  <c r="G19" i="1"/>
  <c r="G20" i="1"/>
  <c r="G21" i="1"/>
  <c r="G22" i="1"/>
  <c r="AH22" i="2" s="1"/>
  <c r="G23" i="1"/>
  <c r="G24" i="1"/>
  <c r="G25" i="1"/>
  <c r="G26" i="1"/>
  <c r="I26" i="1" s="1"/>
  <c r="G27" i="1"/>
  <c r="I27" i="1" s="1"/>
  <c r="G28" i="1"/>
  <c r="G29" i="1"/>
  <c r="I29" i="1" s="1"/>
  <c r="G30" i="1"/>
  <c r="G31" i="1"/>
  <c r="I31" i="1" s="1"/>
  <c r="G32" i="1"/>
  <c r="J32" i="2" s="1"/>
  <c r="G33" i="1"/>
  <c r="G34" i="1"/>
  <c r="G35" i="1"/>
  <c r="G36" i="1"/>
  <c r="G37" i="1"/>
  <c r="G38" i="1"/>
  <c r="G39" i="1"/>
  <c r="I39" i="1" s="1"/>
  <c r="G40" i="1"/>
  <c r="I40" i="1" s="1"/>
  <c r="G41" i="1"/>
  <c r="I41" i="1" s="1"/>
  <c r="G42" i="1"/>
  <c r="I42" i="1" s="1"/>
  <c r="G43" i="1"/>
  <c r="I43" i="1" s="1"/>
  <c r="G44" i="1"/>
  <c r="G45" i="1"/>
  <c r="G46" i="1"/>
  <c r="I46" i="1" s="1"/>
  <c r="G47" i="1"/>
  <c r="I47" i="1" s="1"/>
  <c r="G48" i="1"/>
  <c r="G49" i="1"/>
  <c r="I49" i="1" s="1"/>
  <c r="G50" i="1"/>
  <c r="I50" i="1" s="1"/>
  <c r="G51" i="1"/>
  <c r="I51" i="1" s="1"/>
  <c r="G52" i="1"/>
  <c r="I52" i="1" s="1"/>
  <c r="G53" i="1"/>
  <c r="I53" i="1" s="1"/>
  <c r="G54" i="1"/>
  <c r="I54" i="1" s="1"/>
  <c r="G55" i="1"/>
  <c r="G56" i="1"/>
  <c r="G57" i="1"/>
  <c r="G58" i="1"/>
  <c r="G59" i="1"/>
  <c r="G2" i="7"/>
  <c r="G3" i="7"/>
  <c r="G4" i="7"/>
  <c r="G5" i="7"/>
  <c r="G6" i="7"/>
  <c r="G7" i="7"/>
  <c r="G8" i="7"/>
  <c r="S29" i="2" a="1"/>
  <c r="H2" i="49" a="1"/>
  <c r="M19" i="6"/>
  <c r="M48" i="6"/>
  <c r="M32" i="6"/>
  <c r="M40" i="6"/>
  <c r="M42" i="6"/>
  <c r="M45" i="6"/>
  <c r="M53" i="6"/>
  <c r="M37" i="6"/>
  <c r="M34" i="6"/>
  <c r="M11" i="6"/>
  <c r="M24" i="6"/>
  <c r="M46" i="6"/>
  <c r="M13" i="6"/>
  <c r="M50" i="6"/>
  <c r="M26" i="6"/>
  <c r="M6" i="6"/>
  <c r="M20" i="6"/>
  <c r="M21" i="6"/>
  <c r="M30" i="6"/>
  <c r="M25" i="6"/>
  <c r="M35" i="6"/>
  <c r="M31" i="6"/>
  <c r="M52" i="6"/>
  <c r="M15" i="6"/>
  <c r="M49" i="6"/>
  <c r="M29" i="6"/>
  <c r="M17" i="6"/>
  <c r="M18" i="6"/>
  <c r="M39" i="6"/>
  <c r="M43" i="6"/>
  <c r="M47" i="6"/>
  <c r="M12" i="6"/>
  <c r="M27" i="6"/>
  <c r="M41" i="6"/>
  <c r="M10" i="6"/>
  <c r="M38" i="6"/>
  <c r="M36" i="6"/>
  <c r="M7" i="6"/>
  <c r="M54" i="6"/>
  <c r="M16" i="6"/>
  <c r="M14" i="6"/>
  <c r="M9" i="6"/>
  <c r="M51" i="6"/>
  <c r="M44" i="6"/>
  <c r="M28" i="6"/>
  <c r="M22" i="6"/>
  <c r="M23" i="6"/>
  <c r="M55" i="6"/>
  <c r="M8" i="6"/>
  <c r="M33" i="6"/>
  <c r="S64" i="2" a="1"/>
  <c r="S67" i="2" a="1"/>
  <c r="S76" i="2" a="1"/>
  <c r="S96" i="2" a="1"/>
  <c r="S61" i="2" a="1"/>
  <c r="S87" i="2" a="1"/>
  <c r="S59" i="2" a="1"/>
  <c r="S89" i="2" a="1"/>
  <c r="S62" i="2" a="1"/>
  <c r="S91" i="2" a="1"/>
  <c r="S65" i="2" a="1"/>
  <c r="S74" i="2" a="1"/>
  <c r="S100" i="2" a="1"/>
  <c r="S77" i="2" a="1"/>
  <c r="S93" i="2" a="1"/>
  <c r="S79" i="2" a="1"/>
  <c r="S97" i="2" a="1"/>
  <c r="S98" i="2" a="1"/>
  <c r="S86" i="2" a="1"/>
  <c r="S99" i="2" a="1"/>
  <c r="S73" i="2" a="1"/>
  <c r="AE27" i="22" l="1"/>
  <c r="AD27" i="22"/>
  <c r="AF27" i="22"/>
  <c r="AG27" i="22"/>
  <c r="AD138" i="22"/>
  <c r="AE138" i="22"/>
  <c r="AF138" i="22"/>
  <c r="AG138" i="22"/>
  <c r="AD327" i="22"/>
  <c r="AE327" i="22"/>
  <c r="AF327" i="22"/>
  <c r="AG327" i="22"/>
  <c r="AD406" i="22"/>
  <c r="AE406" i="22"/>
  <c r="AF406" i="22"/>
  <c r="AG406" i="22"/>
  <c r="AD85" i="22"/>
  <c r="AE85" i="22"/>
  <c r="AF85" i="22"/>
  <c r="AG85" i="22"/>
  <c r="AD151" i="22"/>
  <c r="AE151" i="22"/>
  <c r="AF151" i="22"/>
  <c r="AG151" i="22"/>
  <c r="AE371" i="22"/>
  <c r="AD371" i="22"/>
  <c r="AF371" i="22"/>
  <c r="AG371" i="22"/>
  <c r="AE17" i="22"/>
  <c r="AD17" i="22"/>
  <c r="AF17" i="22"/>
  <c r="AG17" i="22"/>
  <c r="AD198" i="22"/>
  <c r="AE198" i="22"/>
  <c r="AF198" i="22"/>
  <c r="AG198" i="22"/>
  <c r="AD294" i="22"/>
  <c r="AE294" i="22"/>
  <c r="AG294" i="22"/>
  <c r="AF294" i="22"/>
  <c r="AD396" i="22"/>
  <c r="AE396" i="22"/>
  <c r="AF396" i="22"/>
  <c r="AG396" i="22"/>
  <c r="AE153" i="22"/>
  <c r="AD153" i="22"/>
  <c r="AF153" i="22"/>
  <c r="AG153" i="22"/>
  <c r="AD271" i="22"/>
  <c r="AE271" i="22"/>
  <c r="AF271" i="22"/>
  <c r="AG271" i="22"/>
  <c r="AD130" i="22"/>
  <c r="AE130" i="22"/>
  <c r="AF130" i="22"/>
  <c r="AG130" i="22"/>
  <c r="AE248" i="22"/>
  <c r="AD248" i="22"/>
  <c r="AG248" i="22"/>
  <c r="AF248" i="22"/>
  <c r="AD410" i="22"/>
  <c r="AE410" i="22"/>
  <c r="AF410" i="22"/>
  <c r="AG410" i="22"/>
  <c r="AE89" i="22"/>
  <c r="AD89" i="22"/>
  <c r="AF89" i="22"/>
  <c r="AG89" i="22"/>
  <c r="AE131" i="22"/>
  <c r="AD131" i="22"/>
  <c r="AG131" i="22"/>
  <c r="AF131" i="22"/>
  <c r="AD249" i="22"/>
  <c r="AE249" i="22"/>
  <c r="AF249" i="22"/>
  <c r="AG249" i="22"/>
  <c r="AD320" i="22"/>
  <c r="AE320" i="22"/>
  <c r="AG320" i="22"/>
  <c r="AF320" i="22"/>
  <c r="AD36" i="22"/>
  <c r="AF36" i="22"/>
  <c r="AG36" i="22"/>
  <c r="AE36" i="22"/>
  <c r="AD120" i="22"/>
  <c r="AE120" i="22"/>
  <c r="AF120" i="22"/>
  <c r="AG120" i="22"/>
  <c r="AD238" i="22"/>
  <c r="AE238" i="22"/>
  <c r="AF238" i="22"/>
  <c r="AG238" i="22"/>
  <c r="AD274" i="22"/>
  <c r="AE274" i="22"/>
  <c r="AF274" i="22"/>
  <c r="AG274" i="22"/>
  <c r="AD400" i="22"/>
  <c r="AE400" i="22"/>
  <c r="AF400" i="22"/>
  <c r="AG400" i="22"/>
  <c r="AE91" i="22"/>
  <c r="AD91" i="22"/>
  <c r="AF91" i="22"/>
  <c r="AG91" i="22"/>
  <c r="AD159" i="22"/>
  <c r="AF159" i="22"/>
  <c r="AE159" i="22"/>
  <c r="AG159" i="22"/>
  <c r="AD215" i="22"/>
  <c r="AE215" i="22"/>
  <c r="AF215" i="22"/>
  <c r="AG215" i="22"/>
  <c r="AD401" i="22"/>
  <c r="AE401" i="22"/>
  <c r="AG401" i="22"/>
  <c r="AF401" i="22"/>
  <c r="AE216" i="22"/>
  <c r="AD216" i="22"/>
  <c r="AF216" i="22"/>
  <c r="AG216" i="22"/>
  <c r="AE402" i="22"/>
  <c r="AD402" i="22"/>
  <c r="AF402" i="22"/>
  <c r="AG402" i="22"/>
  <c r="AD93" i="22"/>
  <c r="AE93" i="22"/>
  <c r="AF93" i="22"/>
  <c r="AG93" i="22"/>
  <c r="AD217" i="22"/>
  <c r="AE217" i="22"/>
  <c r="AF217" i="22"/>
  <c r="AG217" i="22"/>
  <c r="AD379" i="22"/>
  <c r="AE379" i="22"/>
  <c r="AF379" i="22"/>
  <c r="AG379" i="22"/>
  <c r="AD162" i="22"/>
  <c r="AE162" i="22"/>
  <c r="AF162" i="22"/>
  <c r="AG162" i="22"/>
  <c r="AD290" i="22"/>
  <c r="AE290" i="22"/>
  <c r="AF290" i="22"/>
  <c r="AG290" i="22"/>
  <c r="AD347" i="22"/>
  <c r="AE347" i="22"/>
  <c r="AF347" i="22"/>
  <c r="AG347" i="22"/>
  <c r="AE83" i="22"/>
  <c r="AD83" i="22"/>
  <c r="AF83" i="22"/>
  <c r="AG83" i="22"/>
  <c r="AD149" i="22"/>
  <c r="AE149" i="22"/>
  <c r="AF149" i="22"/>
  <c r="AG149" i="22"/>
  <c r="AD86" i="22"/>
  <c r="AF86" i="22"/>
  <c r="AE86" i="22"/>
  <c r="AG86" i="22"/>
  <c r="AD234" i="22"/>
  <c r="AG234" i="22"/>
  <c r="AE234" i="22"/>
  <c r="AF234" i="22"/>
  <c r="AD211" i="22"/>
  <c r="AE211" i="22"/>
  <c r="AF211" i="22"/>
  <c r="AG211" i="22"/>
  <c r="AD318" i="22"/>
  <c r="AE318" i="22"/>
  <c r="AF318" i="22"/>
  <c r="AG318" i="22"/>
  <c r="AD284" i="22"/>
  <c r="AE284" i="22"/>
  <c r="AF284" i="22"/>
  <c r="AG284" i="22"/>
  <c r="AD158" i="22"/>
  <c r="AF158" i="22"/>
  <c r="AE158" i="22"/>
  <c r="AG158" i="22"/>
  <c r="AD251" i="22"/>
  <c r="AE251" i="22"/>
  <c r="AG251" i="22"/>
  <c r="AF251" i="22"/>
  <c r="AD160" i="22"/>
  <c r="AF160" i="22"/>
  <c r="AG160" i="22"/>
  <c r="AE160" i="22"/>
  <c r="AD323" i="22"/>
  <c r="AE323" i="22"/>
  <c r="AF323" i="22"/>
  <c r="AG323" i="22"/>
  <c r="AD190" i="22"/>
  <c r="AF190" i="22"/>
  <c r="AE190" i="22"/>
  <c r="AG190" i="22"/>
  <c r="AD253" i="22"/>
  <c r="AF253" i="22"/>
  <c r="AE253" i="22"/>
  <c r="AG253" i="22"/>
  <c r="AD346" i="22"/>
  <c r="AE346" i="22"/>
  <c r="AG346" i="22"/>
  <c r="AF346" i="22"/>
  <c r="AD230" i="22"/>
  <c r="AE230" i="22"/>
  <c r="AF230" i="22"/>
  <c r="AG230" i="22"/>
  <c r="AD303" i="22"/>
  <c r="AE303" i="22"/>
  <c r="AF303" i="22"/>
  <c r="AG303" i="22"/>
  <c r="AD404" i="22"/>
  <c r="AE404" i="22"/>
  <c r="AF404" i="22"/>
  <c r="AG404" i="22"/>
  <c r="AD255" i="22"/>
  <c r="AE255" i="22"/>
  <c r="AF255" i="22"/>
  <c r="AG255" i="22"/>
  <c r="AE208" i="22"/>
  <c r="AD208" i="22"/>
  <c r="AF208" i="22"/>
  <c r="AG208" i="22"/>
  <c r="AD116" i="22"/>
  <c r="AE116" i="22"/>
  <c r="AF116" i="22"/>
  <c r="AG116" i="22"/>
  <c r="AD354" i="22"/>
  <c r="AE354" i="22"/>
  <c r="AF354" i="22"/>
  <c r="AG354" i="22"/>
  <c r="AD409" i="22"/>
  <c r="AE409" i="22"/>
  <c r="AF409" i="22"/>
  <c r="AG409" i="22"/>
  <c r="AD285" i="22"/>
  <c r="AE285" i="22"/>
  <c r="AF285" i="22"/>
  <c r="AG285" i="22"/>
  <c r="AD375" i="22"/>
  <c r="AE375" i="22"/>
  <c r="AF375" i="22"/>
  <c r="AG375" i="22"/>
  <c r="AD133" i="22"/>
  <c r="AE133" i="22"/>
  <c r="AF133" i="22"/>
  <c r="AG133" i="22"/>
  <c r="AD377" i="22"/>
  <c r="AE377" i="22"/>
  <c r="AF377" i="22"/>
  <c r="AG377" i="22"/>
  <c r="AE11" i="22"/>
  <c r="AD11" i="22"/>
  <c r="AF11" i="22"/>
  <c r="AG11" i="22"/>
  <c r="AD135" i="22"/>
  <c r="AE135" i="22"/>
  <c r="AF135" i="22"/>
  <c r="AG135" i="22"/>
  <c r="AD94" i="22"/>
  <c r="AE94" i="22"/>
  <c r="AF94" i="22"/>
  <c r="AG94" i="22"/>
  <c r="AD14" i="22"/>
  <c r="AF14" i="22"/>
  <c r="AE14" i="22"/>
  <c r="AG14" i="22"/>
  <c r="AE219" i="22"/>
  <c r="AD219" i="22"/>
  <c r="AG219" i="22"/>
  <c r="AF219" i="22"/>
  <c r="AD326" i="22"/>
  <c r="AE326" i="22"/>
  <c r="AF326" i="22"/>
  <c r="AG326" i="22"/>
  <c r="AD84" i="22"/>
  <c r="AE84" i="22"/>
  <c r="AG84" i="22"/>
  <c r="AF84" i="22"/>
  <c r="AD114" i="22"/>
  <c r="AE114" i="22"/>
  <c r="AF114" i="22"/>
  <c r="AG114" i="22"/>
  <c r="AD244" i="22"/>
  <c r="AE244" i="22"/>
  <c r="AF244" i="22"/>
  <c r="AG244" i="22"/>
  <c r="AD280" i="22"/>
  <c r="AE280" i="22"/>
  <c r="AF280" i="22"/>
  <c r="AG280" i="22"/>
  <c r="AE422" i="22"/>
  <c r="AD422" i="22"/>
  <c r="AF422" i="22"/>
  <c r="AG422" i="22"/>
  <c r="AD127" i="22"/>
  <c r="AE127" i="22"/>
  <c r="AF127" i="22"/>
  <c r="AG127" i="22"/>
  <c r="AD293" i="22"/>
  <c r="AE293" i="22"/>
  <c r="AF293" i="22"/>
  <c r="AG293" i="22"/>
  <c r="AD152" i="22"/>
  <c r="AF152" i="22"/>
  <c r="AE152" i="22"/>
  <c r="AG152" i="22"/>
  <c r="AD270" i="22"/>
  <c r="AE270" i="22"/>
  <c r="AF270" i="22"/>
  <c r="AG270" i="22"/>
  <c r="AE317" i="22"/>
  <c r="AD317" i="22"/>
  <c r="AF317" i="22"/>
  <c r="AG317" i="22"/>
  <c r="AD372" i="22"/>
  <c r="AE372" i="22"/>
  <c r="AF372" i="22"/>
  <c r="AG372" i="22"/>
  <c r="AE129" i="22"/>
  <c r="AD129" i="22"/>
  <c r="AG129" i="22"/>
  <c r="AF129" i="22"/>
  <c r="AD170" i="22"/>
  <c r="AE170" i="22"/>
  <c r="AG170" i="22"/>
  <c r="AF170" i="22"/>
  <c r="AD247" i="22"/>
  <c r="AE247" i="22"/>
  <c r="AF247" i="22"/>
  <c r="AG247" i="22"/>
  <c r="AD100" i="22"/>
  <c r="AF100" i="22"/>
  <c r="AG100" i="22"/>
  <c r="AE100" i="22"/>
  <c r="AE224" i="22"/>
  <c r="AD224" i="22"/>
  <c r="AF224" i="22"/>
  <c r="AG224" i="22"/>
  <c r="AD331" i="22"/>
  <c r="AE331" i="22"/>
  <c r="AF331" i="22"/>
  <c r="AG331" i="22"/>
  <c r="AD386" i="22"/>
  <c r="AG386" i="22"/>
  <c r="AF386" i="22"/>
  <c r="AE386" i="22"/>
  <c r="AD20" i="22"/>
  <c r="AE20" i="22"/>
  <c r="AG20" i="22"/>
  <c r="AF20" i="22"/>
  <c r="AE107" i="22"/>
  <c r="AD107" i="22"/>
  <c r="AF107" i="22"/>
  <c r="AG107" i="22"/>
  <c r="AE172" i="22"/>
  <c r="AD172" i="22"/>
  <c r="AG172" i="22"/>
  <c r="AF172" i="22"/>
  <c r="AD225" i="22"/>
  <c r="AE225" i="22"/>
  <c r="AF225" i="22"/>
  <c r="AG225" i="22"/>
  <c r="AD176" i="22"/>
  <c r="AE176" i="22"/>
  <c r="AF176" i="22"/>
  <c r="AG176" i="22"/>
  <c r="AD214" i="22"/>
  <c r="AE214" i="22"/>
  <c r="AF214" i="22"/>
  <c r="AG214" i="22"/>
  <c r="AD250" i="22"/>
  <c r="AE250" i="22"/>
  <c r="AF250" i="22"/>
  <c r="AG250" i="22"/>
  <c r="AD321" i="22"/>
  <c r="AE321" i="22"/>
  <c r="AF321" i="22"/>
  <c r="AG321" i="22"/>
  <c r="AD287" i="22"/>
  <c r="AE287" i="22"/>
  <c r="AF287" i="22"/>
  <c r="AG287" i="22"/>
  <c r="AE416" i="22"/>
  <c r="AD416" i="22"/>
  <c r="AF416" i="22"/>
  <c r="AG416" i="22"/>
  <c r="AD92" i="22"/>
  <c r="AE92" i="22"/>
  <c r="AG92" i="22"/>
  <c r="AF92" i="22"/>
  <c r="AD134" i="22"/>
  <c r="AE134" i="22"/>
  <c r="AF134" i="22"/>
  <c r="AG134" i="22"/>
  <c r="AD252" i="22"/>
  <c r="AE252" i="22"/>
  <c r="AF252" i="22"/>
  <c r="AG252" i="22"/>
  <c r="AD378" i="22"/>
  <c r="AE378" i="22"/>
  <c r="AG378" i="22"/>
  <c r="AF378" i="22"/>
  <c r="AD417" i="22"/>
  <c r="AE417" i="22"/>
  <c r="AG417" i="22"/>
  <c r="AF417" i="22"/>
  <c r="AE12" i="22"/>
  <c r="AF12" i="22"/>
  <c r="AG12" i="22"/>
  <c r="AD12" i="22"/>
  <c r="AD289" i="22"/>
  <c r="AE289" i="22"/>
  <c r="AF289" i="22"/>
  <c r="AG289" i="22"/>
  <c r="AE418" i="22"/>
  <c r="AF418" i="22"/>
  <c r="AD418" i="22"/>
  <c r="AG418" i="22"/>
  <c r="AE25" i="22"/>
  <c r="AD25" i="22"/>
  <c r="AF25" i="22"/>
  <c r="AG25" i="22"/>
  <c r="AD136" i="22"/>
  <c r="AE136" i="22"/>
  <c r="AF136" i="22"/>
  <c r="AG136" i="22"/>
  <c r="AD266" i="22"/>
  <c r="AE266" i="22"/>
  <c r="AG266" i="22"/>
  <c r="AF266" i="22"/>
  <c r="AD367" i="22"/>
  <c r="AE367" i="22"/>
  <c r="AF367" i="22"/>
  <c r="AG367" i="22"/>
  <c r="AD125" i="22"/>
  <c r="AE125" i="22"/>
  <c r="AF125" i="22"/>
  <c r="AG125" i="22"/>
  <c r="AD291" i="22"/>
  <c r="AE291" i="22"/>
  <c r="AG291" i="22"/>
  <c r="AF291" i="22"/>
  <c r="AD182" i="22"/>
  <c r="AF182" i="22"/>
  <c r="AE182" i="22"/>
  <c r="AG182" i="22"/>
  <c r="AD407" i="22"/>
  <c r="AF407" i="22"/>
  <c r="AE407" i="22"/>
  <c r="AG407" i="22"/>
  <c r="AD87" i="22"/>
  <c r="AF87" i="22"/>
  <c r="AE87" i="22"/>
  <c r="AG87" i="22"/>
  <c r="AE373" i="22"/>
  <c r="AD373" i="22"/>
  <c r="AF373" i="22"/>
  <c r="AG373" i="22"/>
  <c r="AE19" i="22"/>
  <c r="AD19" i="22"/>
  <c r="AF19" i="22"/>
  <c r="AG19" i="22"/>
  <c r="AD171" i="22"/>
  <c r="AE171" i="22"/>
  <c r="AF171" i="22"/>
  <c r="AG171" i="22"/>
  <c r="AD150" i="22"/>
  <c r="AF150" i="22"/>
  <c r="AG150" i="22"/>
  <c r="AE150" i="22"/>
  <c r="AD352" i="22"/>
  <c r="AE352" i="22"/>
  <c r="AF352" i="22"/>
  <c r="AG352" i="22"/>
  <c r="AE97" i="22"/>
  <c r="AD97" i="22"/>
  <c r="AF97" i="22"/>
  <c r="AG97" i="22"/>
  <c r="AD197" i="22"/>
  <c r="AE197" i="22"/>
  <c r="AF197" i="22"/>
  <c r="AG197" i="22"/>
  <c r="AD383" i="22"/>
  <c r="AE383" i="22"/>
  <c r="AF383" i="22"/>
  <c r="AG383" i="22"/>
  <c r="AD210" i="22"/>
  <c r="AE210" i="22"/>
  <c r="AG210" i="22"/>
  <c r="AF210" i="22"/>
  <c r="AD18" i="22"/>
  <c r="AE18" i="22"/>
  <c r="AF18" i="22"/>
  <c r="AG18" i="22"/>
  <c r="AE283" i="22"/>
  <c r="AG283" i="22"/>
  <c r="AD283" i="22"/>
  <c r="AF283" i="22"/>
  <c r="AD142" i="22"/>
  <c r="AF142" i="22"/>
  <c r="AE142" i="22"/>
  <c r="AG142" i="22"/>
  <c r="AD260" i="22"/>
  <c r="AE260" i="22"/>
  <c r="AF260" i="22"/>
  <c r="AG260" i="22"/>
  <c r="AD356" i="22"/>
  <c r="AE356" i="22"/>
  <c r="AF356" i="22"/>
  <c r="AG356" i="22"/>
  <c r="AD143" i="22"/>
  <c r="AE143" i="22"/>
  <c r="AF143" i="22"/>
  <c r="AG143" i="22"/>
  <c r="AD261" i="22"/>
  <c r="AF261" i="22"/>
  <c r="AE261" i="22"/>
  <c r="AG261" i="22"/>
  <c r="AD332" i="22"/>
  <c r="AE332" i="22"/>
  <c r="AF332" i="22"/>
  <c r="AG332" i="22"/>
  <c r="AD387" i="22"/>
  <c r="AE387" i="22"/>
  <c r="AF387" i="22"/>
  <c r="AG387" i="22"/>
  <c r="AD90" i="22"/>
  <c r="AF90" i="22"/>
  <c r="AE90" i="22"/>
  <c r="AG90" i="22"/>
  <c r="AE132" i="22"/>
  <c r="AD132" i="22"/>
  <c r="AG132" i="22"/>
  <c r="AF132" i="22"/>
  <c r="AD376" i="22"/>
  <c r="AE376" i="22"/>
  <c r="AF376" i="22"/>
  <c r="AG376" i="22"/>
  <c r="AD22" i="22"/>
  <c r="AF22" i="22"/>
  <c r="AE22" i="22"/>
  <c r="AG22" i="22"/>
  <c r="AD109" i="22"/>
  <c r="AE109" i="22"/>
  <c r="AF109" i="22"/>
  <c r="AG109" i="22"/>
  <c r="AD188" i="22"/>
  <c r="AE188" i="22"/>
  <c r="AF188" i="22"/>
  <c r="AG188" i="22"/>
  <c r="AD227" i="22"/>
  <c r="AE227" i="22"/>
  <c r="AG227" i="22"/>
  <c r="AF227" i="22"/>
  <c r="AD389" i="22"/>
  <c r="AE389" i="22"/>
  <c r="AF389" i="22"/>
  <c r="AG389" i="22"/>
  <c r="AD189" i="22"/>
  <c r="AF189" i="22"/>
  <c r="AE189" i="22"/>
  <c r="AG189" i="22"/>
  <c r="AD228" i="22"/>
  <c r="AE228" i="22"/>
  <c r="AF228" i="22"/>
  <c r="AG228" i="22"/>
  <c r="AD288" i="22"/>
  <c r="AE288" i="22"/>
  <c r="AF288" i="22"/>
  <c r="AG288" i="22"/>
  <c r="AD111" i="22"/>
  <c r="AF111" i="22"/>
  <c r="AE111" i="22"/>
  <c r="AG111" i="22"/>
  <c r="AD229" i="22"/>
  <c r="AF229" i="22"/>
  <c r="AE229" i="22"/>
  <c r="AG229" i="22"/>
  <c r="AD391" i="22"/>
  <c r="AE391" i="22"/>
  <c r="AG391" i="22"/>
  <c r="AF391" i="22"/>
  <c r="AD206" i="22"/>
  <c r="AE206" i="22"/>
  <c r="AF206" i="22"/>
  <c r="AG206" i="22"/>
  <c r="AD95" i="22"/>
  <c r="AE95" i="22"/>
  <c r="AF95" i="22"/>
  <c r="AG95" i="22"/>
  <c r="AD163" i="22"/>
  <c r="AE163" i="22"/>
  <c r="AF163" i="22"/>
  <c r="AG163" i="22"/>
  <c r="AD257" i="22"/>
  <c r="AE257" i="22"/>
  <c r="AG257" i="22"/>
  <c r="AF257" i="22"/>
  <c r="AD16" i="22"/>
  <c r="AE16" i="22"/>
  <c r="AF16" i="22"/>
  <c r="AG16" i="22"/>
  <c r="AD98" i="22"/>
  <c r="AE98" i="22"/>
  <c r="AF98" i="22"/>
  <c r="AG98" i="22"/>
  <c r="AD223" i="22"/>
  <c r="AF223" i="22"/>
  <c r="AE223" i="22"/>
  <c r="AG223" i="22"/>
  <c r="AD286" i="22"/>
  <c r="AE286" i="22"/>
  <c r="AG286" i="22"/>
  <c r="AF286" i="22"/>
  <c r="AE145" i="22"/>
  <c r="AD145" i="22"/>
  <c r="AG145" i="22"/>
  <c r="AF145" i="22"/>
  <c r="AD263" i="22"/>
  <c r="AE263" i="22"/>
  <c r="AF263" i="22"/>
  <c r="AG263" i="22"/>
  <c r="AD300" i="22"/>
  <c r="AE300" i="22"/>
  <c r="AF300" i="22"/>
  <c r="AG300" i="22"/>
  <c r="AD344" i="22"/>
  <c r="AE344" i="22"/>
  <c r="AG344" i="22"/>
  <c r="AF344" i="22"/>
  <c r="AD23" i="22"/>
  <c r="AF23" i="22"/>
  <c r="AE23" i="22"/>
  <c r="AG23" i="22"/>
  <c r="AD110" i="22"/>
  <c r="AF110" i="22"/>
  <c r="AE110" i="22"/>
  <c r="AG110" i="22"/>
  <c r="AD345" i="22"/>
  <c r="AE345" i="22"/>
  <c r="AF345" i="22"/>
  <c r="AG345" i="22"/>
  <c r="AD147" i="22"/>
  <c r="AE147" i="22"/>
  <c r="AF147" i="22"/>
  <c r="AG147" i="22"/>
  <c r="AD265" i="22"/>
  <c r="AE265" i="22"/>
  <c r="AF265" i="22"/>
  <c r="AG265" i="22"/>
  <c r="AD180" i="22"/>
  <c r="AE180" i="22"/>
  <c r="AF180" i="22"/>
  <c r="AG180" i="22"/>
  <c r="AD112" i="22"/>
  <c r="AF112" i="22"/>
  <c r="AG112" i="22"/>
  <c r="AE112" i="22"/>
  <c r="AD242" i="22"/>
  <c r="AE242" i="22"/>
  <c r="AF242" i="22"/>
  <c r="AG242" i="22"/>
  <c r="AD419" i="22"/>
  <c r="AE419" i="22"/>
  <c r="AF419" i="22"/>
  <c r="AG419" i="22"/>
  <c r="AD26" i="22"/>
  <c r="AF26" i="22"/>
  <c r="AE26" i="22"/>
  <c r="AG26" i="22"/>
  <c r="AD231" i="22"/>
  <c r="AE231" i="22"/>
  <c r="AF231" i="22"/>
  <c r="AG231" i="22"/>
  <c r="AE267" i="22"/>
  <c r="AG267" i="22"/>
  <c r="AD267" i="22"/>
  <c r="AF267" i="22"/>
  <c r="AD304" i="22"/>
  <c r="AE304" i="22"/>
  <c r="AG304" i="22"/>
  <c r="AF304" i="22"/>
  <c r="AD368" i="22"/>
  <c r="AE368" i="22"/>
  <c r="AG368" i="22"/>
  <c r="AF368" i="22"/>
  <c r="AD405" i="22"/>
  <c r="AE405" i="22"/>
  <c r="AG405" i="22"/>
  <c r="AF405" i="22"/>
  <c r="AD382" i="22"/>
  <c r="AE382" i="22"/>
  <c r="AF382" i="22"/>
  <c r="AG382" i="22"/>
  <c r="AD221" i="22"/>
  <c r="AF221" i="22"/>
  <c r="AE221" i="22"/>
  <c r="AG221" i="22"/>
  <c r="AD220" i="22"/>
  <c r="AE220" i="22"/>
  <c r="AF220" i="22"/>
  <c r="AG220" i="22"/>
  <c r="AD233" i="22"/>
  <c r="AE233" i="22"/>
  <c r="AF233" i="22"/>
  <c r="AG233" i="22"/>
  <c r="AD128" i="22"/>
  <c r="AF128" i="22"/>
  <c r="AE128" i="22"/>
  <c r="AG128" i="22"/>
  <c r="AE408" i="22"/>
  <c r="AF408" i="22"/>
  <c r="AD408" i="22"/>
  <c r="AG408" i="22"/>
  <c r="AE99" i="22"/>
  <c r="AD99" i="22"/>
  <c r="AF99" i="22"/>
  <c r="AG99" i="22"/>
  <c r="AE200" i="22"/>
  <c r="AD200" i="22"/>
  <c r="AG200" i="22"/>
  <c r="AF200" i="22"/>
  <c r="AD296" i="22"/>
  <c r="AE296" i="22"/>
  <c r="AF296" i="22"/>
  <c r="AG296" i="22"/>
  <c r="AD175" i="22"/>
  <c r="AE175" i="22"/>
  <c r="AF175" i="22"/>
  <c r="AG175" i="22"/>
  <c r="AD201" i="22"/>
  <c r="AE201" i="22"/>
  <c r="AF201" i="22"/>
  <c r="AG201" i="22"/>
  <c r="AD297" i="22"/>
  <c r="AE297" i="22"/>
  <c r="AF297" i="22"/>
  <c r="AG297" i="22"/>
  <c r="AD15" i="22"/>
  <c r="AE15" i="22"/>
  <c r="AF15" i="22"/>
  <c r="AG15" i="22"/>
  <c r="AD96" i="22"/>
  <c r="AE96" i="22"/>
  <c r="AF96" i="22"/>
  <c r="AG96" i="22"/>
  <c r="AD126" i="22"/>
  <c r="AF126" i="22"/>
  <c r="AE126" i="22"/>
  <c r="AG126" i="22"/>
  <c r="AD292" i="22"/>
  <c r="AE292" i="22"/>
  <c r="AF292" i="22"/>
  <c r="AG292" i="22"/>
  <c r="AD394" i="22"/>
  <c r="AE394" i="22"/>
  <c r="AF394" i="22"/>
  <c r="AG394" i="22"/>
  <c r="AE139" i="22"/>
  <c r="AD139" i="22"/>
  <c r="AF139" i="22"/>
  <c r="AG139" i="22"/>
  <c r="AD328" i="22"/>
  <c r="AE328" i="22"/>
  <c r="AG328" i="22"/>
  <c r="AF328" i="22"/>
  <c r="AD395" i="22"/>
  <c r="AE395" i="22"/>
  <c r="AF395" i="22"/>
  <c r="AG395" i="22"/>
  <c r="AD106" i="22"/>
  <c r="AE106" i="22"/>
  <c r="AF106" i="22"/>
  <c r="AG106" i="22"/>
  <c r="AD282" i="22"/>
  <c r="AE282" i="22"/>
  <c r="AF282" i="22"/>
  <c r="AG282" i="22"/>
  <c r="AD329" i="22"/>
  <c r="AE329" i="22"/>
  <c r="AF329" i="22"/>
  <c r="AG329" i="22"/>
  <c r="AE33" i="22"/>
  <c r="AD33" i="22"/>
  <c r="AF33" i="22"/>
  <c r="AG33" i="22"/>
  <c r="AD141" i="22"/>
  <c r="AE141" i="22"/>
  <c r="AF141" i="22"/>
  <c r="AG141" i="22"/>
  <c r="AE259" i="22"/>
  <c r="AD259" i="22"/>
  <c r="AG259" i="22"/>
  <c r="AF259" i="22"/>
  <c r="AD385" i="22"/>
  <c r="AE385" i="22"/>
  <c r="AF385" i="22"/>
  <c r="AG385" i="22"/>
  <c r="AD118" i="22"/>
  <c r="AE118" i="22"/>
  <c r="AF118" i="22"/>
  <c r="AG118" i="22"/>
  <c r="AD156" i="22"/>
  <c r="AE156" i="22"/>
  <c r="AG156" i="22"/>
  <c r="AF156" i="22"/>
  <c r="AD236" i="22"/>
  <c r="AE236" i="22"/>
  <c r="AG236" i="22"/>
  <c r="AF236" i="22"/>
  <c r="AD398" i="22"/>
  <c r="AE398" i="22"/>
  <c r="AF398" i="22"/>
  <c r="AG398" i="22"/>
  <c r="AE35" i="22"/>
  <c r="AD35" i="22"/>
  <c r="AF35" i="22"/>
  <c r="AG35" i="22"/>
  <c r="AD119" i="22"/>
  <c r="AE119" i="22"/>
  <c r="AF119" i="22"/>
  <c r="AG119" i="22"/>
  <c r="AD237" i="22"/>
  <c r="AF237" i="22"/>
  <c r="AE237" i="22"/>
  <c r="AG237" i="22"/>
  <c r="AD357" i="22"/>
  <c r="AE357" i="22"/>
  <c r="AF357" i="22"/>
  <c r="AG357" i="22"/>
  <c r="AD108" i="22"/>
  <c r="AE108" i="22"/>
  <c r="AG108" i="22"/>
  <c r="AF108" i="22"/>
  <c r="AD173" i="22"/>
  <c r="AE173" i="22"/>
  <c r="AF173" i="22"/>
  <c r="AG173" i="22"/>
  <c r="AD226" i="22"/>
  <c r="AE226" i="22"/>
  <c r="AF226" i="22"/>
  <c r="AG226" i="22"/>
  <c r="AD262" i="22"/>
  <c r="AE262" i="22"/>
  <c r="AG262" i="22"/>
  <c r="AF262" i="22"/>
  <c r="AD388" i="22"/>
  <c r="AE388" i="22"/>
  <c r="AF388" i="22"/>
  <c r="AG388" i="22"/>
  <c r="AE177" i="22"/>
  <c r="AD177" i="22"/>
  <c r="AF177" i="22"/>
  <c r="AG177" i="22"/>
  <c r="AD37" i="22"/>
  <c r="AE37" i="22"/>
  <c r="AF37" i="22"/>
  <c r="AG37" i="22"/>
  <c r="AE203" i="22"/>
  <c r="AD203" i="22"/>
  <c r="AF203" i="22"/>
  <c r="AG203" i="22"/>
  <c r="AD146" i="22"/>
  <c r="AE146" i="22"/>
  <c r="AF146" i="22"/>
  <c r="AG146" i="22"/>
  <c r="AD204" i="22"/>
  <c r="AE204" i="22"/>
  <c r="AG204" i="22"/>
  <c r="AF204" i="22"/>
  <c r="AD264" i="22"/>
  <c r="AE264" i="22"/>
  <c r="AF264" i="22"/>
  <c r="AG264" i="22"/>
  <c r="AD24" i="22"/>
  <c r="AE24" i="22"/>
  <c r="AF24" i="22"/>
  <c r="AG24" i="22"/>
  <c r="AD205" i="22"/>
  <c r="AF205" i="22"/>
  <c r="AE205" i="22"/>
  <c r="AG205" i="22"/>
  <c r="AD302" i="22"/>
  <c r="AE302" i="22"/>
  <c r="AF302" i="22"/>
  <c r="AG302" i="22"/>
  <c r="AD366" i="22"/>
  <c r="AE366" i="22"/>
  <c r="AG366" i="22"/>
  <c r="AF366" i="22"/>
  <c r="AE403" i="22"/>
  <c r="AD403" i="22"/>
  <c r="AG403" i="22"/>
  <c r="AF403" i="22"/>
  <c r="AD148" i="22"/>
  <c r="AE148" i="22"/>
  <c r="AG148" i="22"/>
  <c r="AF148" i="22"/>
  <c r="AD278" i="22"/>
  <c r="AE278" i="22"/>
  <c r="AG278" i="22"/>
  <c r="AF278" i="22"/>
  <c r="AD380" i="22"/>
  <c r="AE380" i="22"/>
  <c r="AG380" i="22"/>
  <c r="AF380" i="22"/>
  <c r="AE137" i="22"/>
  <c r="AD137" i="22"/>
  <c r="AF137" i="22"/>
  <c r="AG137" i="22"/>
  <c r="AE256" i="22"/>
  <c r="AD256" i="22"/>
  <c r="AF256" i="22"/>
  <c r="AG256" i="22"/>
  <c r="AD269" i="22"/>
  <c r="AE269" i="22"/>
  <c r="AF269" i="22"/>
  <c r="AG269" i="22"/>
  <c r="AE169" i="22"/>
  <c r="AD169" i="22"/>
  <c r="AF169" i="22"/>
  <c r="AG169" i="22"/>
  <c r="AD246" i="22"/>
  <c r="AF246" i="22"/>
  <c r="AE246" i="22"/>
  <c r="AG246" i="22"/>
  <c r="AD330" i="22"/>
  <c r="AE330" i="22"/>
  <c r="AF330" i="22"/>
  <c r="AG330" i="22"/>
  <c r="AD34" i="22"/>
  <c r="AE34" i="22"/>
  <c r="AF34" i="22"/>
  <c r="AG34" i="22"/>
  <c r="AD21" i="22"/>
  <c r="AE21" i="22"/>
  <c r="AG21" i="22"/>
  <c r="AF21" i="22"/>
  <c r="AD196" i="22"/>
  <c r="AE196" i="22"/>
  <c r="AF196" i="22"/>
  <c r="AG196" i="22"/>
  <c r="AD209" i="22"/>
  <c r="AE209" i="22"/>
  <c r="AF209" i="22"/>
  <c r="AG209" i="22"/>
  <c r="AD222" i="22"/>
  <c r="AF222" i="22"/>
  <c r="AE222" i="22"/>
  <c r="AG222" i="22"/>
  <c r="AD384" i="22"/>
  <c r="AE384" i="22"/>
  <c r="AF384" i="22"/>
  <c r="AG384" i="22"/>
  <c r="AD199" i="22"/>
  <c r="AE199" i="22"/>
  <c r="AF199" i="22"/>
  <c r="AG199" i="22"/>
  <c r="AD295" i="22"/>
  <c r="AE295" i="22"/>
  <c r="AF295" i="22"/>
  <c r="AG295" i="22"/>
  <c r="AD355" i="22"/>
  <c r="AE355" i="22"/>
  <c r="AF355" i="22"/>
  <c r="AG355" i="22"/>
  <c r="AD174" i="22"/>
  <c r="AF174" i="22"/>
  <c r="AE174" i="22"/>
  <c r="AG174" i="22"/>
  <c r="AD272" i="22"/>
  <c r="AE272" i="22"/>
  <c r="AF272" i="22"/>
  <c r="AG272" i="22"/>
  <c r="AD374" i="22"/>
  <c r="AE374" i="22"/>
  <c r="AF374" i="22"/>
  <c r="AG374" i="22"/>
  <c r="AD157" i="22"/>
  <c r="AE157" i="22"/>
  <c r="AF157" i="22"/>
  <c r="AG157" i="22"/>
  <c r="AD273" i="22"/>
  <c r="AE273" i="22"/>
  <c r="AF273" i="22"/>
  <c r="AG273" i="22"/>
  <c r="AD144" i="22"/>
  <c r="AE144" i="22"/>
  <c r="AF144" i="22"/>
  <c r="AG144" i="22"/>
  <c r="AD298" i="22"/>
  <c r="AE298" i="22"/>
  <c r="AF298" i="22"/>
  <c r="AG298" i="22"/>
  <c r="AD342" i="22"/>
  <c r="AE342" i="22"/>
  <c r="AF342" i="22"/>
  <c r="AG342" i="22"/>
  <c r="AE121" i="22"/>
  <c r="AD121" i="22"/>
  <c r="AF121" i="22"/>
  <c r="AG121" i="22"/>
  <c r="AD239" i="22"/>
  <c r="AE239" i="22"/>
  <c r="AF239" i="22"/>
  <c r="AG239" i="22"/>
  <c r="AD178" i="22"/>
  <c r="AE178" i="22"/>
  <c r="AF178" i="22"/>
  <c r="AG178" i="22"/>
  <c r="AD63" i="22"/>
  <c r="AE63" i="22"/>
  <c r="AF63" i="22"/>
  <c r="AG63" i="22"/>
  <c r="AE240" i="22"/>
  <c r="AD240" i="22"/>
  <c r="AF240" i="22"/>
  <c r="AG240" i="22"/>
  <c r="AD390" i="22"/>
  <c r="AE390" i="22"/>
  <c r="AF390" i="22"/>
  <c r="AG390" i="22"/>
  <c r="AD179" i="22"/>
  <c r="AE179" i="22"/>
  <c r="AG179" i="22"/>
  <c r="AF179" i="22"/>
  <c r="AE123" i="22"/>
  <c r="AD123" i="22"/>
  <c r="AF123" i="22"/>
  <c r="AG123" i="22"/>
  <c r="AD241" i="22"/>
  <c r="AE241" i="22"/>
  <c r="AF241" i="22"/>
  <c r="AG241" i="22"/>
  <c r="AD324" i="22"/>
  <c r="AE324" i="22"/>
  <c r="AF324" i="22"/>
  <c r="AG324" i="22"/>
  <c r="AD82" i="22"/>
  <c r="AE82" i="22"/>
  <c r="AF82" i="22"/>
  <c r="AG82" i="22"/>
  <c r="AD218" i="22"/>
  <c r="AE218" i="22"/>
  <c r="AF218" i="22"/>
  <c r="AG218" i="22"/>
  <c r="AD325" i="22"/>
  <c r="AE325" i="22"/>
  <c r="AF325" i="22"/>
  <c r="AG325" i="22"/>
  <c r="AD207" i="22"/>
  <c r="AE207" i="22"/>
  <c r="AF207" i="22"/>
  <c r="AG207" i="22"/>
  <c r="AE232" i="22"/>
  <c r="AD232" i="22"/>
  <c r="AG232" i="22"/>
  <c r="AF232" i="22"/>
  <c r="AD268" i="22"/>
  <c r="AE268" i="22"/>
  <c r="AF268" i="22"/>
  <c r="AG268" i="22"/>
  <c r="AD370" i="22"/>
  <c r="AE370" i="22"/>
  <c r="AF370" i="22"/>
  <c r="AG370" i="22"/>
  <c r="AE115" i="22"/>
  <c r="AD115" i="22"/>
  <c r="AG115" i="22"/>
  <c r="AF115" i="22"/>
  <c r="AD245" i="22"/>
  <c r="AE245" i="22"/>
  <c r="AF245" i="22"/>
  <c r="AG245" i="22"/>
  <c r="AD281" i="22"/>
  <c r="AE281" i="22"/>
  <c r="AF281" i="22"/>
  <c r="AG281" i="22"/>
  <c r="AE140" i="22"/>
  <c r="AD140" i="22"/>
  <c r="AG140" i="22"/>
  <c r="AF140" i="22"/>
  <c r="AD258" i="22"/>
  <c r="AF258" i="22"/>
  <c r="AG258" i="22"/>
  <c r="AE258" i="22"/>
  <c r="AD117" i="22"/>
  <c r="AE117" i="22"/>
  <c r="AF117" i="22"/>
  <c r="AG117" i="22"/>
  <c r="AD155" i="22"/>
  <c r="AE155" i="22"/>
  <c r="AF155" i="22"/>
  <c r="AG155" i="22"/>
  <c r="AE235" i="22"/>
  <c r="AD235" i="22"/>
  <c r="AF235" i="22"/>
  <c r="AG235" i="22"/>
  <c r="AD397" i="22"/>
  <c r="AE397" i="22"/>
  <c r="AF397" i="22"/>
  <c r="AG397" i="22"/>
  <c r="AD88" i="22"/>
  <c r="AE88" i="22"/>
  <c r="AF88" i="22"/>
  <c r="AG88" i="22"/>
  <c r="AD212" i="22"/>
  <c r="AE212" i="22"/>
  <c r="AG212" i="22"/>
  <c r="AF212" i="22"/>
  <c r="AD319" i="22"/>
  <c r="AE319" i="22"/>
  <c r="AF319" i="22"/>
  <c r="AG319" i="22"/>
  <c r="AD213" i="22"/>
  <c r="AF213" i="22"/>
  <c r="AE213" i="22"/>
  <c r="AG213" i="22"/>
  <c r="AD399" i="22"/>
  <c r="AE399" i="22"/>
  <c r="AG399" i="22"/>
  <c r="AF399" i="22"/>
  <c r="AD202" i="22"/>
  <c r="AG202" i="22"/>
  <c r="AE202" i="22"/>
  <c r="AF202" i="22"/>
  <c r="AD358" i="22"/>
  <c r="AE358" i="22"/>
  <c r="AF358" i="22"/>
  <c r="AG358" i="22"/>
  <c r="AD275" i="22"/>
  <c r="AE275" i="22"/>
  <c r="AG275" i="22"/>
  <c r="AF275" i="22"/>
  <c r="AD322" i="22"/>
  <c r="AE322" i="22"/>
  <c r="AG322" i="22"/>
  <c r="AF322" i="22"/>
  <c r="AD363" i="22"/>
  <c r="AE363" i="22"/>
  <c r="AF363" i="22"/>
  <c r="AG363" i="22"/>
  <c r="AD122" i="22"/>
  <c r="AE122" i="22"/>
  <c r="AF122" i="22"/>
  <c r="AG122" i="22"/>
  <c r="AD276" i="22"/>
  <c r="AE276" i="22"/>
  <c r="AF276" i="22"/>
  <c r="AG276" i="22"/>
  <c r="AD301" i="22"/>
  <c r="AE301" i="22"/>
  <c r="AF301" i="22"/>
  <c r="AG301" i="22"/>
  <c r="AD364" i="22"/>
  <c r="AE364" i="22"/>
  <c r="AG364" i="22"/>
  <c r="AF364" i="22"/>
  <c r="AE161" i="22"/>
  <c r="AD161" i="22"/>
  <c r="AF161" i="22"/>
  <c r="AG161" i="22"/>
  <c r="AD277" i="22"/>
  <c r="AE277" i="22"/>
  <c r="AF277" i="22"/>
  <c r="AG277" i="22"/>
  <c r="AD13" i="22"/>
  <c r="AE13" i="22"/>
  <c r="AF13" i="22"/>
  <c r="AG13" i="22"/>
  <c r="AD124" i="22"/>
  <c r="AE124" i="22"/>
  <c r="AG124" i="22"/>
  <c r="AF124" i="22"/>
  <c r="AD254" i="22"/>
  <c r="AE254" i="22"/>
  <c r="AF254" i="22"/>
  <c r="AG254" i="22"/>
  <c r="AD181" i="22"/>
  <c r="AE181" i="22"/>
  <c r="AG181" i="22"/>
  <c r="AF181" i="22"/>
  <c r="AE113" i="22"/>
  <c r="AD113" i="22"/>
  <c r="AF113" i="22"/>
  <c r="AG113" i="22"/>
  <c r="AD243" i="22"/>
  <c r="AE243" i="22"/>
  <c r="AF243" i="22"/>
  <c r="AG243" i="22"/>
  <c r="AD279" i="22"/>
  <c r="AE279" i="22"/>
  <c r="AF279" i="22"/>
  <c r="AG279" i="22"/>
  <c r="AE381" i="22"/>
  <c r="AD381" i="22"/>
  <c r="AF381" i="22"/>
  <c r="AG381" i="22"/>
  <c r="AD421" i="22"/>
  <c r="AE421" i="22"/>
  <c r="AF421" i="22"/>
  <c r="AG421" i="22"/>
  <c r="I34" i="1"/>
  <c r="AH44" i="2"/>
  <c r="AD44" i="2" s="1"/>
  <c r="J22" i="2"/>
  <c r="AH54" i="2"/>
  <c r="AD54" i="2" s="1"/>
  <c r="AH40" i="2"/>
  <c r="AD40" i="2" s="1"/>
  <c r="I35" i="1"/>
  <c r="AH55" i="2"/>
  <c r="AD55" i="2" s="1"/>
  <c r="AH97" i="2"/>
  <c r="AD97" i="2" s="1"/>
  <c r="AH99" i="2"/>
  <c r="AD99" i="2" s="1"/>
  <c r="AH93" i="2"/>
  <c r="AD93" i="2" s="1"/>
  <c r="I33" i="1"/>
  <c r="AH41" i="2"/>
  <c r="AD41" i="2" s="1"/>
  <c r="AH10" i="2"/>
  <c r="AD10" i="2" s="1"/>
  <c r="AH42" i="2"/>
  <c r="AD42" i="2" s="1"/>
  <c r="AH30" i="2"/>
  <c r="AD30" i="2" s="1"/>
  <c r="AH96" i="2"/>
  <c r="AD96" i="2" s="1"/>
  <c r="AH25" i="2"/>
  <c r="C21" i="2"/>
  <c r="C45" i="2"/>
  <c r="C85" i="2"/>
  <c r="C17" i="2"/>
  <c r="C43" i="2"/>
  <c r="C14" i="2"/>
  <c r="C46" i="2"/>
  <c r="C54" i="2"/>
  <c r="C49" i="2"/>
  <c r="C15" i="2"/>
  <c r="C23" i="2"/>
  <c r="C31" i="2"/>
  <c r="C39" i="2"/>
  <c r="C47" i="2"/>
  <c r="C55" i="2"/>
  <c r="C41" i="2"/>
  <c r="C35" i="2"/>
  <c r="C16" i="2"/>
  <c r="C40" i="2"/>
  <c r="C48" i="2"/>
  <c r="C25" i="2"/>
  <c r="J25" i="2"/>
  <c r="C18" i="2"/>
  <c r="C26" i="2"/>
  <c r="C27" i="2"/>
  <c r="C4" i="2"/>
  <c r="C20" i="2"/>
  <c r="C44" i="2"/>
  <c r="C92" i="2"/>
  <c r="J26" i="2"/>
  <c r="C19" i="2"/>
  <c r="AH17" i="2"/>
  <c r="AH33" i="2"/>
  <c r="AD33" i="2" s="1"/>
  <c r="AH21" i="2"/>
  <c r="AD21" i="2" s="1"/>
  <c r="J16" i="2"/>
  <c r="J13" i="2"/>
  <c r="AH35" i="2"/>
  <c r="AD35" i="2" s="1"/>
  <c r="J14" i="2"/>
  <c r="J18" i="2"/>
  <c r="AH4" i="2"/>
  <c r="J15" i="2"/>
  <c r="AH85" i="2"/>
  <c r="AD85" i="2" s="1"/>
  <c r="AH14" i="2"/>
  <c r="AD14" i="2" s="1"/>
  <c r="J17" i="2"/>
  <c r="AH23" i="2"/>
  <c r="AH39" i="2"/>
  <c r="AD39" i="2" s="1"/>
  <c r="AH47" i="2"/>
  <c r="AD47" i="2" s="1"/>
  <c r="AH16" i="2"/>
  <c r="J19" i="2"/>
  <c r="J11" i="2"/>
  <c r="J10" i="2"/>
  <c r="AH52" i="2"/>
  <c r="AD52" i="2" s="1"/>
  <c r="AH24" i="2"/>
  <c r="AH13" i="2"/>
  <c r="AD13" i="2" s="1"/>
  <c r="I23" i="1"/>
  <c r="C5" i="2"/>
  <c r="C13" i="2"/>
  <c r="C29" i="2"/>
  <c r="C37" i="2"/>
  <c r="C53" i="2"/>
  <c r="C77" i="2"/>
  <c r="C93" i="2"/>
  <c r="C97" i="2"/>
  <c r="C91" i="2"/>
  <c r="AH18" i="2"/>
  <c r="C6" i="2"/>
  <c r="C22" i="2"/>
  <c r="C30" i="2"/>
  <c r="C38" i="2"/>
  <c r="C62" i="2"/>
  <c r="C86" i="2"/>
  <c r="C94" i="2"/>
  <c r="C89" i="2"/>
  <c r="C11" i="2"/>
  <c r="AH19" i="2"/>
  <c r="AD19" i="2" s="1"/>
  <c r="C7" i="2"/>
  <c r="C71" i="2"/>
  <c r="C87" i="2"/>
  <c r="C95" i="2"/>
  <c r="C9" i="2"/>
  <c r="C83" i="2"/>
  <c r="C8" i="2"/>
  <c r="C24" i="2"/>
  <c r="C32" i="2"/>
  <c r="C56" i="2"/>
  <c r="C80" i="2"/>
  <c r="C88" i="2"/>
  <c r="C96" i="2"/>
  <c r="C3" i="2"/>
  <c r="C59" i="2"/>
  <c r="C10" i="2"/>
  <c r="C34" i="2"/>
  <c r="C42" i="2"/>
  <c r="C50" i="2"/>
  <c r="C74" i="2"/>
  <c r="C90" i="2"/>
  <c r="C98" i="2"/>
  <c r="C12" i="2"/>
  <c r="C28" i="2"/>
  <c r="C36" i="2"/>
  <c r="C52" i="2"/>
  <c r="C68" i="2"/>
  <c r="C84" i="2"/>
  <c r="C100" i="2"/>
  <c r="C33" i="2"/>
  <c r="C65" i="2"/>
  <c r="C51" i="2"/>
  <c r="C99" i="2"/>
  <c r="J46" i="2"/>
  <c r="J50" i="2"/>
  <c r="J39" i="2"/>
  <c r="J47" i="2"/>
  <c r="J42" i="2"/>
  <c r="J40" i="2"/>
  <c r="J48" i="2"/>
  <c r="J41" i="2"/>
  <c r="J49" i="2"/>
  <c r="J43" i="2"/>
  <c r="J51" i="2"/>
  <c r="J44" i="2"/>
  <c r="J45" i="2"/>
  <c r="J20" i="2"/>
  <c r="J21" i="2"/>
  <c r="I19" i="1"/>
  <c r="C69" i="2"/>
  <c r="C57" i="2"/>
  <c r="C78" i="2"/>
  <c r="C63" i="2"/>
  <c r="J28" i="2"/>
  <c r="C72" i="2"/>
  <c r="C81" i="2"/>
  <c r="J27" i="2"/>
  <c r="C66" i="2"/>
  <c r="AH31" i="2"/>
  <c r="AD31" i="2" s="1"/>
  <c r="C75" i="2"/>
  <c r="J29" i="2"/>
  <c r="C60" i="2"/>
  <c r="I45" i="1"/>
  <c r="J54" i="2"/>
  <c r="J55" i="2"/>
  <c r="J53" i="2"/>
  <c r="AH45" i="2"/>
  <c r="AD45" i="2" s="1"/>
  <c r="J24" i="2"/>
  <c r="AH27" i="2"/>
  <c r="AD27" i="2" s="1"/>
  <c r="J23" i="2"/>
  <c r="AH46" i="2"/>
  <c r="AD46" i="2" s="1"/>
  <c r="AH15" i="2"/>
  <c r="AD15" i="2" s="1"/>
  <c r="AH48" i="2"/>
  <c r="AD48" i="2" s="1"/>
  <c r="AH9" i="2"/>
  <c r="AH65" i="2"/>
  <c r="AD65" i="2" s="1"/>
  <c r="AH73" i="2"/>
  <c r="AD73" i="2" s="1"/>
  <c r="AH81" i="2"/>
  <c r="AH89" i="2"/>
  <c r="AD89" i="2" s="1"/>
  <c r="AH77" i="2"/>
  <c r="AD77" i="2" s="1"/>
  <c r="AH87" i="2"/>
  <c r="AD87" i="2" s="1"/>
  <c r="AH34" i="2"/>
  <c r="AD34" i="2" s="1"/>
  <c r="AH50" i="2"/>
  <c r="AD50" i="2" s="1"/>
  <c r="AH74" i="2"/>
  <c r="AD74" i="2" s="1"/>
  <c r="AH82" i="2"/>
  <c r="AD82" i="2" s="1"/>
  <c r="AH90" i="2"/>
  <c r="AD90" i="2" s="1"/>
  <c r="AH98" i="2"/>
  <c r="AD98" i="2" s="1"/>
  <c r="AH5" i="2"/>
  <c r="AD5" i="2" s="1"/>
  <c r="AH61" i="2"/>
  <c r="AD61" i="2" s="1"/>
  <c r="AH3" i="2"/>
  <c r="AH11" i="2"/>
  <c r="AH51" i="2"/>
  <c r="AD51" i="2" s="1"/>
  <c r="AH59" i="2"/>
  <c r="AD59" i="2" s="1"/>
  <c r="AH67" i="2"/>
  <c r="AD67" i="2" s="1"/>
  <c r="AH91" i="2"/>
  <c r="AD91" i="2" s="1"/>
  <c r="AH29" i="2"/>
  <c r="AD29" i="2" s="1"/>
  <c r="AH12" i="2"/>
  <c r="AD12" i="2" s="1"/>
  <c r="AH28" i="2"/>
  <c r="AD28" i="2" s="1"/>
  <c r="AH36" i="2"/>
  <c r="AD36" i="2" s="1"/>
  <c r="AH68" i="2"/>
  <c r="AD68" i="2" s="1"/>
  <c r="AH76" i="2"/>
  <c r="AD76" i="2" s="1"/>
  <c r="AH84" i="2"/>
  <c r="AD84" i="2" s="1"/>
  <c r="AH100" i="2"/>
  <c r="AD100" i="2" s="1"/>
  <c r="AH37" i="2"/>
  <c r="AD37" i="2" s="1"/>
  <c r="AH6" i="2"/>
  <c r="AD6" i="2" s="1"/>
  <c r="AH38" i="2"/>
  <c r="AD38" i="2" s="1"/>
  <c r="AH62" i="2"/>
  <c r="AD62" i="2" s="1"/>
  <c r="AH70" i="2"/>
  <c r="AD70" i="2" s="1"/>
  <c r="AH86" i="2"/>
  <c r="AD86" i="2" s="1"/>
  <c r="AH7" i="2"/>
  <c r="AH71" i="2"/>
  <c r="AD71" i="2" s="1"/>
  <c r="AH8" i="2"/>
  <c r="AD8" i="2" s="1"/>
  <c r="AH32" i="2"/>
  <c r="AD32" i="2" s="1"/>
  <c r="AH64" i="2"/>
  <c r="AD64" i="2" s="1"/>
  <c r="AH88" i="2"/>
  <c r="AD88" i="2" s="1"/>
  <c r="AH53" i="2"/>
  <c r="AD53" i="2" s="1"/>
  <c r="AH79" i="2"/>
  <c r="AD79" i="2" s="1"/>
  <c r="I15" i="1"/>
  <c r="AH20" i="2"/>
  <c r="I37" i="1"/>
  <c r="AH49" i="2"/>
  <c r="AD49" i="2" s="1"/>
  <c r="I44" i="1"/>
  <c r="J52" i="2"/>
  <c r="I36" i="1"/>
  <c r="AH43" i="2"/>
  <c r="AD43" i="2" s="1"/>
  <c r="I20" i="1"/>
  <c r="J30" i="2"/>
  <c r="C61" i="2"/>
  <c r="J31" i="2"/>
  <c r="C70" i="2"/>
  <c r="C67" i="2"/>
  <c r="C79" i="2"/>
  <c r="C73" i="2"/>
  <c r="C64" i="2"/>
  <c r="C58" i="2"/>
  <c r="C82" i="2"/>
  <c r="C76" i="2"/>
  <c r="J38" i="2"/>
  <c r="J86" i="2"/>
  <c r="J4" i="2"/>
  <c r="J87" i="2"/>
  <c r="J5" i="2"/>
  <c r="J36" i="2"/>
  <c r="J84" i="2"/>
  <c r="J88" i="2"/>
  <c r="J6" i="2"/>
  <c r="J90" i="2"/>
  <c r="J89" i="2"/>
  <c r="J7" i="2"/>
  <c r="J34" i="2"/>
  <c r="J8" i="2"/>
  <c r="J35" i="2"/>
  <c r="J9" i="2"/>
  <c r="J37" i="2"/>
  <c r="J85" i="2"/>
  <c r="J3" i="2"/>
  <c r="AT13" i="22"/>
  <c r="AT45" i="22"/>
  <c r="AT77" i="22"/>
  <c r="AT110" i="22"/>
  <c r="AT142" i="22"/>
  <c r="AT214" i="22"/>
  <c r="AT246" i="22"/>
  <c r="AT278" i="22"/>
  <c r="AT310" i="22"/>
  <c r="AT343" i="22"/>
  <c r="AT379" i="22"/>
  <c r="AT410" i="22"/>
  <c r="AT14" i="22"/>
  <c r="AT46" i="22"/>
  <c r="AT78" i="22"/>
  <c r="AT111" i="22"/>
  <c r="AT143" i="22"/>
  <c r="AT184" i="22"/>
  <c r="AT215" i="22"/>
  <c r="AT247" i="22"/>
  <c r="AT279" i="22"/>
  <c r="AT311" i="22"/>
  <c r="AT344" i="22"/>
  <c r="AT380" i="22"/>
  <c r="AT411" i="22"/>
  <c r="AT15" i="22"/>
  <c r="AT47" i="22"/>
  <c r="AT79" i="22"/>
  <c r="AT112" i="22"/>
  <c r="AT144" i="22"/>
  <c r="AT185" i="22"/>
  <c r="AT216" i="22"/>
  <c r="AT248" i="22"/>
  <c r="AT280" i="22"/>
  <c r="AT312" i="22"/>
  <c r="AT345" i="22"/>
  <c r="AT381" i="22"/>
  <c r="AT412" i="22"/>
  <c r="AT16" i="22"/>
  <c r="AT48" i="22"/>
  <c r="AT80" i="22"/>
  <c r="AT113" i="22"/>
  <c r="AT145" i="22"/>
  <c r="AT186" i="22"/>
  <c r="AT217" i="22"/>
  <c r="AT249" i="22"/>
  <c r="AT281" i="22"/>
  <c r="AT314" i="22"/>
  <c r="AT346" i="22"/>
  <c r="AT382" i="22"/>
  <c r="AT413" i="22"/>
  <c r="AT17" i="22"/>
  <c r="AT49" i="22"/>
  <c r="AT81" i="22"/>
  <c r="AT114" i="22"/>
  <c r="AT146" i="22"/>
  <c r="AT187" i="22"/>
  <c r="AT218" i="22"/>
  <c r="AT250" i="22"/>
  <c r="AT282" i="22"/>
  <c r="AT315" i="22"/>
  <c r="AT347" i="22"/>
  <c r="AT383" i="22"/>
  <c r="AT414" i="22"/>
  <c r="AT10" i="22"/>
  <c r="AT42" i="22"/>
  <c r="AT74" i="22"/>
  <c r="AT107" i="22"/>
  <c r="AT139" i="22"/>
  <c r="AT172" i="22"/>
  <c r="AT211" i="22"/>
  <c r="AT243" i="22"/>
  <c r="AT275" i="22"/>
  <c r="AT307" i="22"/>
  <c r="AT340" i="22"/>
  <c r="AT376" i="22"/>
  <c r="AT407" i="22"/>
  <c r="AT3" i="22"/>
  <c r="AT35" i="22"/>
  <c r="AT67" i="22"/>
  <c r="AT99" i="22"/>
  <c r="AT132" i="22"/>
  <c r="AT165" i="22"/>
  <c r="AT204" i="22"/>
  <c r="AT236" i="22"/>
  <c r="AT268" i="22"/>
  <c r="AT300" i="22"/>
  <c r="AT333" i="22"/>
  <c r="AT369" i="22"/>
  <c r="AT400" i="22"/>
  <c r="AT181" i="22"/>
  <c r="AT28" i="22"/>
  <c r="AT60" i="22"/>
  <c r="AT92" i="22"/>
  <c r="AT125" i="22"/>
  <c r="AT158" i="22"/>
  <c r="AT197" i="22"/>
  <c r="AT229" i="22"/>
  <c r="AT261" i="22"/>
  <c r="AT293" i="22"/>
  <c r="AT326" i="22"/>
  <c r="AT358" i="22"/>
  <c r="AT393" i="22"/>
  <c r="AT174" i="22"/>
  <c r="AT21" i="22"/>
  <c r="AT53" i="22"/>
  <c r="AT85" i="22"/>
  <c r="AT118" i="22"/>
  <c r="AT150" i="22"/>
  <c r="AT190" i="22"/>
  <c r="AT222" i="22"/>
  <c r="AT254" i="22"/>
  <c r="AT286" i="22"/>
  <c r="AT319" i="22"/>
  <c r="AT351" i="22"/>
  <c r="AT387" i="22"/>
  <c r="AT418" i="22"/>
  <c r="AT22" i="22"/>
  <c r="AT54" i="22"/>
  <c r="AT86" i="22"/>
  <c r="AT119" i="22"/>
  <c r="AT151" i="22"/>
  <c r="AT191" i="22"/>
  <c r="AT223" i="22"/>
  <c r="AT255" i="22"/>
  <c r="AT287" i="22"/>
  <c r="AT320" i="22"/>
  <c r="AT352" i="22"/>
  <c r="AT388" i="22"/>
  <c r="AT419" i="22"/>
  <c r="AT23" i="22"/>
  <c r="AT55" i="22"/>
  <c r="AT87" i="22"/>
  <c r="AT120" i="22"/>
  <c r="AT152" i="22"/>
  <c r="AT192" i="22"/>
  <c r="AT224" i="22"/>
  <c r="AT256" i="22"/>
  <c r="AT288" i="22"/>
  <c r="AT321" i="22"/>
  <c r="AT389" i="22"/>
  <c r="AT420" i="22"/>
  <c r="AT24" i="22"/>
  <c r="AT56" i="22"/>
  <c r="AT88" i="22"/>
  <c r="AT121" i="22"/>
  <c r="AT154" i="22"/>
  <c r="AT193" i="22"/>
  <c r="AT225" i="22"/>
  <c r="AT257" i="22"/>
  <c r="AT289" i="22"/>
  <c r="AT322" i="22"/>
  <c r="AT354" i="22"/>
  <c r="AT390" i="22"/>
  <c r="AT421" i="22"/>
  <c r="AT25" i="22"/>
  <c r="AT57" i="22"/>
  <c r="AT89" i="22"/>
  <c r="AT122" i="22"/>
  <c r="AT155" i="22"/>
  <c r="AT194" i="22"/>
  <c r="AT226" i="22"/>
  <c r="AT258" i="22"/>
  <c r="AT290" i="22"/>
  <c r="AT323" i="22"/>
  <c r="AT355" i="22"/>
  <c r="AT391" i="22"/>
  <c r="AT422" i="22"/>
  <c r="AT18" i="22"/>
  <c r="AT50" i="22"/>
  <c r="AT82" i="22"/>
  <c r="AT115" i="22"/>
  <c r="AT147" i="22"/>
  <c r="AT219" i="22"/>
  <c r="AT251" i="22"/>
  <c r="AT283" i="22"/>
  <c r="AT316" i="22"/>
  <c r="AT348" i="22"/>
  <c r="AT384" i="22"/>
  <c r="AT415" i="22"/>
  <c r="AT11" i="22"/>
  <c r="AT43" i="22"/>
  <c r="AT75" i="22"/>
  <c r="AT108" i="22"/>
  <c r="AT140" i="22"/>
  <c r="AT173" i="22"/>
  <c r="AT212" i="22"/>
  <c r="AT244" i="22"/>
  <c r="AT276" i="22"/>
  <c r="AT308" i="22"/>
  <c r="AT341" i="22"/>
  <c r="AT377" i="22"/>
  <c r="AT408" i="22"/>
  <c r="AT4" i="22"/>
  <c r="AT36" i="22"/>
  <c r="AT68" i="22"/>
  <c r="AT100" i="22"/>
  <c r="AT133" i="22"/>
  <c r="AT166" i="22"/>
  <c r="AT205" i="22"/>
  <c r="AT237" i="22"/>
  <c r="AT269" i="22"/>
  <c r="AT301" i="22"/>
  <c r="AT334" i="22"/>
  <c r="AT370" i="22"/>
  <c r="AT401" i="22"/>
  <c r="AT182" i="22"/>
  <c r="AT29" i="22"/>
  <c r="AT61" i="22"/>
  <c r="AT93" i="22"/>
  <c r="AT126" i="22"/>
  <c r="AT159" i="22"/>
  <c r="AT198" i="22"/>
  <c r="AT230" i="22"/>
  <c r="AT262" i="22"/>
  <c r="AT294" i="22"/>
  <c r="AT327" i="22"/>
  <c r="AT363" i="22"/>
  <c r="AT394" i="22"/>
  <c r="AT175" i="22"/>
  <c r="AT30" i="22"/>
  <c r="AT62" i="22"/>
  <c r="AT94" i="22"/>
  <c r="AT127" i="22"/>
  <c r="AT160" i="22"/>
  <c r="AT199" i="22"/>
  <c r="AT231" i="22"/>
  <c r="AT263" i="22"/>
  <c r="AT295" i="22"/>
  <c r="AT328" i="22"/>
  <c r="AT364" i="22"/>
  <c r="AT395" i="22"/>
  <c r="AT176" i="22"/>
  <c r="AT31" i="22"/>
  <c r="AT63" i="22"/>
  <c r="AT95" i="22"/>
  <c r="AT128" i="22"/>
  <c r="AT161" i="22"/>
  <c r="AT200" i="22"/>
  <c r="AT232" i="22"/>
  <c r="AT264" i="22"/>
  <c r="AT296" i="22"/>
  <c r="AT329" i="22"/>
  <c r="AT365" i="22"/>
  <c r="AT396" i="22"/>
  <c r="AT177" i="22"/>
  <c r="AT32" i="22"/>
  <c r="AT64" i="22"/>
  <c r="AT96" i="22"/>
  <c r="AT129" i="22"/>
  <c r="AT162" i="22"/>
  <c r="AT201" i="22"/>
  <c r="AT233" i="22"/>
  <c r="AT265" i="22"/>
  <c r="AT297" i="22"/>
  <c r="AT330" i="22"/>
  <c r="AT366" i="22"/>
  <c r="AT397" i="22"/>
  <c r="AT178" i="22"/>
  <c r="AT33" i="22"/>
  <c r="AT65" i="22"/>
  <c r="AT97" i="22"/>
  <c r="AT130" i="22"/>
  <c r="AT163" i="22"/>
  <c r="AT202" i="22"/>
  <c r="AT234" i="22"/>
  <c r="AT266" i="22"/>
  <c r="AT298" i="22"/>
  <c r="AT331" i="22"/>
  <c r="AT367" i="22"/>
  <c r="AT398" i="22"/>
  <c r="AT179" i="22"/>
  <c r="AT26" i="22"/>
  <c r="AT58" i="22"/>
  <c r="AT90" i="22"/>
  <c r="AT123" i="22"/>
  <c r="AT156" i="22"/>
  <c r="AT195" i="22"/>
  <c r="AT227" i="22"/>
  <c r="AT259" i="22"/>
  <c r="AT291" i="22"/>
  <c r="AT324" i="22"/>
  <c r="AT356" i="22"/>
  <c r="AT106" i="22"/>
  <c r="AT19" i="22"/>
  <c r="AT51" i="22"/>
  <c r="AT83" i="22"/>
  <c r="AT116" i="22"/>
  <c r="AT148" i="22"/>
  <c r="AT188" i="22"/>
  <c r="AT220" i="22"/>
  <c r="AT252" i="22"/>
  <c r="AT284" i="22"/>
  <c r="AT317" i="22"/>
  <c r="AT349" i="22"/>
  <c r="AT385" i="22"/>
  <c r="AT416" i="22"/>
  <c r="AT12" i="22"/>
  <c r="AT44" i="22"/>
  <c r="AT76" i="22"/>
  <c r="AT109" i="22"/>
  <c r="AT141" i="22"/>
  <c r="AT183" i="22"/>
  <c r="AT213" i="22"/>
  <c r="AT245" i="22"/>
  <c r="AT277" i="22"/>
  <c r="AT309" i="22"/>
  <c r="AT342" i="22"/>
  <c r="AT378" i="22"/>
  <c r="AT409" i="22"/>
  <c r="AT5" i="22"/>
  <c r="AT37" i="22"/>
  <c r="AT69" i="22"/>
  <c r="AT101" i="22"/>
  <c r="AT134" i="22"/>
  <c r="AT167" i="22"/>
  <c r="AT206" i="22"/>
  <c r="AT238" i="22"/>
  <c r="AT270" i="22"/>
  <c r="AT302" i="22"/>
  <c r="AT335" i="22"/>
  <c r="AT371" i="22"/>
  <c r="AT402" i="22"/>
  <c r="AT6" i="22"/>
  <c r="AT38" i="22"/>
  <c r="AT70" i="22"/>
  <c r="AT102" i="22"/>
  <c r="AT135" i="22"/>
  <c r="AT168" i="22"/>
  <c r="AT207" i="22"/>
  <c r="AT239" i="22"/>
  <c r="AT271" i="22"/>
  <c r="AT303" i="22"/>
  <c r="AT336" i="22"/>
  <c r="AT372" i="22"/>
  <c r="AT403" i="22"/>
  <c r="AT7" i="22"/>
  <c r="AT39" i="22"/>
  <c r="AT71" i="22"/>
  <c r="AT103" i="22"/>
  <c r="AT136" i="22"/>
  <c r="AT169" i="22"/>
  <c r="AT208" i="22"/>
  <c r="AT240" i="22"/>
  <c r="AT272" i="22"/>
  <c r="AT304" i="22"/>
  <c r="AT337" i="22"/>
  <c r="AT373" i="22"/>
  <c r="AT404" i="22"/>
  <c r="AT8" i="22"/>
  <c r="AT40" i="22"/>
  <c r="AT72" i="22"/>
  <c r="AT104" i="22"/>
  <c r="AT137" i="22"/>
  <c r="AT170" i="22"/>
  <c r="AT209" i="22"/>
  <c r="AT241" i="22"/>
  <c r="AT273" i="22"/>
  <c r="AT305" i="22"/>
  <c r="AT338" i="22"/>
  <c r="AT374" i="22"/>
  <c r="AT405" i="22"/>
  <c r="AT9" i="22"/>
  <c r="AT41" i="22"/>
  <c r="AT73" i="22"/>
  <c r="AT105" i="22"/>
  <c r="AT138" i="22"/>
  <c r="AT171" i="22"/>
  <c r="AT210" i="22"/>
  <c r="AT242" i="22"/>
  <c r="AT274" i="22"/>
  <c r="AT306" i="22"/>
  <c r="AT339" i="22"/>
  <c r="AT375" i="22"/>
  <c r="AT406" i="22"/>
  <c r="AT2" i="22"/>
  <c r="AT34" i="22"/>
  <c r="AT66" i="22"/>
  <c r="AT98" i="22"/>
  <c r="AT131" i="22"/>
  <c r="AT164" i="22"/>
  <c r="AT203" i="22"/>
  <c r="AT235" i="22"/>
  <c r="AT267" i="22"/>
  <c r="AT299" i="22"/>
  <c r="AT332" i="22"/>
  <c r="AT368" i="22"/>
  <c r="AT399" i="22"/>
  <c r="AT180" i="22"/>
  <c r="AT27" i="22"/>
  <c r="AT59" i="22"/>
  <c r="AT91" i="22"/>
  <c r="AT124" i="22"/>
  <c r="AT157" i="22"/>
  <c r="AT196" i="22"/>
  <c r="AT228" i="22"/>
  <c r="AT260" i="22"/>
  <c r="AT292" i="22"/>
  <c r="AT325" i="22"/>
  <c r="AT357" i="22"/>
  <c r="AT153" i="22"/>
  <c r="AT20" i="22"/>
  <c r="AT52" i="22"/>
  <c r="AT84" i="22"/>
  <c r="AT117" i="22"/>
  <c r="AT149" i="22"/>
  <c r="AT189" i="22"/>
  <c r="AT221" i="22"/>
  <c r="AT253" i="22"/>
  <c r="AT285" i="22"/>
  <c r="AT318" i="22"/>
  <c r="AT350" i="22"/>
  <c r="AT386" i="22"/>
  <c r="AT417" i="22"/>
  <c r="S26" i="2" a="1"/>
  <c r="S26" i="2" s="1"/>
  <c r="T26" i="2" s="1"/>
  <c r="BC94" i="2"/>
  <c r="BE94" i="2" s="1"/>
  <c r="BC68" i="2"/>
  <c r="BC44" i="2"/>
  <c r="BE44" i="2" s="1"/>
  <c r="BC36" i="2"/>
  <c r="BE36" i="2" s="1"/>
  <c r="BC92" i="2"/>
  <c r="BE92" i="2" s="1"/>
  <c r="BC62" i="2"/>
  <c r="BC34" i="2"/>
  <c r="BE34" i="2" s="1"/>
  <c r="BC26" i="2"/>
  <c r="BE26" i="2" s="1"/>
  <c r="BC98" i="2"/>
  <c r="BE98" i="2" s="1"/>
  <c r="BC80" i="2"/>
  <c r="BE80" i="2" s="1"/>
  <c r="BC56" i="2"/>
  <c r="BE56" i="2" s="1"/>
  <c r="BC32" i="2"/>
  <c r="BE32" i="2" s="1"/>
  <c r="S16" i="2" a="1"/>
  <c r="S16" i="2" s="1"/>
  <c r="T16" i="2" s="1"/>
  <c r="BC96" i="2"/>
  <c r="BE96" i="2" s="1"/>
  <c r="BC74" i="2"/>
  <c r="BC46" i="2"/>
  <c r="BE46" i="2" s="1"/>
  <c r="S48" i="2" a="1"/>
  <c r="S48" i="2" s="1"/>
  <c r="T48" i="2" s="1"/>
  <c r="BC37" i="2"/>
  <c r="BE37" i="2" s="1"/>
  <c r="S53" i="2"/>
  <c r="T53" i="2" s="1"/>
  <c r="S35" i="2"/>
  <c r="S12" i="2"/>
  <c r="T12" i="2" s="1"/>
  <c r="S52" i="2"/>
  <c r="T52" i="2" s="1"/>
  <c r="S51" i="2"/>
  <c r="T51" i="2" s="1"/>
  <c r="S29" i="2"/>
  <c r="T29" i="2" s="1"/>
  <c r="S5" i="2"/>
  <c r="S4" i="2"/>
  <c r="S27" i="2"/>
  <c r="T27" i="2" s="1"/>
  <c r="S3" i="2"/>
  <c r="S47" i="2"/>
  <c r="T47" i="2" s="1"/>
  <c r="S45" i="2"/>
  <c r="T45" i="2" s="1"/>
  <c r="S25" i="2"/>
  <c r="T25" i="2" s="1"/>
  <c r="S33" i="2"/>
  <c r="T33" i="2" s="1"/>
  <c r="S41" i="2"/>
  <c r="S17" i="2"/>
  <c r="S39" i="2"/>
  <c r="T39" i="2" s="1"/>
  <c r="S38" i="2"/>
  <c r="S15" i="2"/>
  <c r="T15" i="2" s="1"/>
  <c r="S28" i="2"/>
  <c r="T28" i="2" s="1"/>
  <c r="S37" i="2"/>
  <c r="T37" i="2" s="1"/>
  <c r="S14" i="2"/>
  <c r="T14" i="2" s="1"/>
  <c r="S11" i="2"/>
  <c r="T11" i="2" s="1"/>
  <c r="S50" i="2"/>
  <c r="T50" i="2" s="1"/>
  <c r="S36" i="2"/>
  <c r="T36" i="2" s="1"/>
  <c r="S13" i="2"/>
  <c r="S96" i="2"/>
  <c r="T96" i="2" s="1"/>
  <c r="S67" i="2"/>
  <c r="S93" i="2"/>
  <c r="T93" i="2" s="1"/>
  <c r="S65" i="2"/>
  <c r="BE65" i="2" s="1"/>
  <c r="S91" i="2"/>
  <c r="T91" i="2" s="1"/>
  <c r="S64" i="2"/>
  <c r="T64" i="2" s="1"/>
  <c r="S89" i="2"/>
  <c r="T89" i="2" s="1"/>
  <c r="S62" i="2"/>
  <c r="T62" i="2" s="1"/>
  <c r="S87" i="2"/>
  <c r="T87" i="2" s="1"/>
  <c r="S61" i="2"/>
  <c r="S86" i="2"/>
  <c r="T86" i="2" s="1"/>
  <c r="S59" i="2"/>
  <c r="T59" i="2" s="1"/>
  <c r="S79" i="2"/>
  <c r="S100" i="2"/>
  <c r="T100" i="2" s="1"/>
  <c r="S77" i="2"/>
  <c r="S99" i="2"/>
  <c r="S76" i="2"/>
  <c r="T76" i="2" s="1"/>
  <c r="S98" i="2"/>
  <c r="T98" i="2" s="1"/>
  <c r="S74" i="2"/>
  <c r="T74" i="2" s="1"/>
  <c r="S97" i="2"/>
  <c r="T97" i="2" s="1"/>
  <c r="S73" i="2"/>
  <c r="I313" i="22"/>
  <c r="AY313" i="22" s="1"/>
  <c r="I321" i="22"/>
  <c r="AY321" i="22" s="1"/>
  <c r="I322" i="22"/>
  <c r="AY322" i="22" s="1"/>
  <c r="I323" i="22"/>
  <c r="AY323" i="22" s="1"/>
  <c r="I324" i="22"/>
  <c r="AY324" i="22" s="1"/>
  <c r="I312" i="22"/>
  <c r="AY312" i="22" s="1"/>
  <c r="I325" i="22"/>
  <c r="AY325" i="22" s="1"/>
  <c r="I314" i="22"/>
  <c r="AY314" i="22" s="1"/>
  <c r="I326" i="22"/>
  <c r="AY326" i="22" s="1"/>
  <c r="I315" i="22"/>
  <c r="AY315" i="22" s="1"/>
  <c r="I327" i="22"/>
  <c r="AY327" i="22" s="1"/>
  <c r="I316" i="22"/>
  <c r="AY316" i="22" s="1"/>
  <c r="I328" i="22"/>
  <c r="AY328" i="22" s="1"/>
  <c r="I317" i="22"/>
  <c r="AY317" i="22" s="1"/>
  <c r="I329" i="22"/>
  <c r="AY329" i="22" s="1"/>
  <c r="I318" i="22"/>
  <c r="AY318" i="22" s="1"/>
  <c r="I330" i="22"/>
  <c r="AY330" i="22" s="1"/>
  <c r="I320" i="22"/>
  <c r="AY320" i="22" s="1"/>
  <c r="I319" i="22"/>
  <c r="AY319" i="22" s="1"/>
  <c r="I331" i="22"/>
  <c r="AY331" i="22" s="1"/>
  <c r="I332" i="22"/>
  <c r="AY332" i="22" s="1"/>
  <c r="I308" i="22"/>
  <c r="AY308" i="22" s="1"/>
  <c r="I309" i="22"/>
  <c r="AY309" i="22" s="1"/>
  <c r="I310" i="22"/>
  <c r="AY310" i="22" s="1"/>
  <c r="I311" i="22"/>
  <c r="AY311" i="22" s="1"/>
  <c r="I305" i="22"/>
  <c r="AY305" i="22" s="1"/>
  <c r="I306" i="22"/>
  <c r="AY306" i="22" s="1"/>
  <c r="I307" i="22"/>
  <c r="AY307" i="22" s="1"/>
  <c r="I12" i="1"/>
  <c r="AD22" i="2"/>
  <c r="I22" i="1"/>
  <c r="I333" i="22"/>
  <c r="AY333" i="22" s="1"/>
  <c r="I345" i="22"/>
  <c r="AY345" i="22" s="1"/>
  <c r="I334" i="22"/>
  <c r="AY334" i="22" s="1"/>
  <c r="I346" i="22"/>
  <c r="AY346" i="22" s="1"/>
  <c r="I335" i="22"/>
  <c r="AY335" i="22" s="1"/>
  <c r="I347" i="22"/>
  <c r="AY347" i="22" s="1"/>
  <c r="I336" i="22"/>
  <c r="AY336" i="22" s="1"/>
  <c r="I337" i="22"/>
  <c r="AY337" i="22" s="1"/>
  <c r="I338" i="22"/>
  <c r="AY338" i="22" s="1"/>
  <c r="I339" i="22"/>
  <c r="AY339" i="22" s="1"/>
  <c r="I340" i="22"/>
  <c r="AY340" i="22" s="1"/>
  <c r="I341" i="22"/>
  <c r="AY341" i="22" s="1"/>
  <c r="I342" i="22"/>
  <c r="AY342" i="22" s="1"/>
  <c r="I343" i="22"/>
  <c r="AY343" i="22" s="1"/>
  <c r="I344" i="22"/>
  <c r="AY344" i="22" s="1"/>
  <c r="I419" i="22"/>
  <c r="AY419" i="22" s="1"/>
  <c r="I411" i="22"/>
  <c r="AY411" i="22" s="1"/>
  <c r="I412" i="22"/>
  <c r="AY412" i="22" s="1"/>
  <c r="I413" i="22"/>
  <c r="AY413" i="22" s="1"/>
  <c r="I414" i="22"/>
  <c r="AY414" i="22" s="1"/>
  <c r="I415" i="22"/>
  <c r="AY415" i="22" s="1"/>
  <c r="I416" i="22"/>
  <c r="AY416" i="22" s="1"/>
  <c r="I417" i="22"/>
  <c r="AY417" i="22" s="1"/>
  <c r="I418" i="22"/>
  <c r="AY418" i="22" s="1"/>
  <c r="I21" i="1"/>
  <c r="I60" i="22"/>
  <c r="AY60" i="22" s="1"/>
  <c r="I72" i="22"/>
  <c r="AY72" i="22" s="1"/>
  <c r="I61" i="22"/>
  <c r="AY61" i="22" s="1"/>
  <c r="I62" i="22"/>
  <c r="AY62" i="22" s="1"/>
  <c r="I73" i="22"/>
  <c r="AY73" i="22" s="1"/>
  <c r="I63" i="22"/>
  <c r="AY63" i="22" s="1"/>
  <c r="I74" i="22"/>
  <c r="AY74" i="22" s="1"/>
  <c r="I64" i="22"/>
  <c r="AY64" i="22" s="1"/>
  <c r="I65" i="22"/>
  <c r="AY65" i="22" s="1"/>
  <c r="I75" i="22"/>
  <c r="AY75" i="22" s="1"/>
  <c r="I66" i="22"/>
  <c r="AY66" i="22" s="1"/>
  <c r="I76" i="22"/>
  <c r="AY76" i="22" s="1"/>
  <c r="AY67" i="22"/>
  <c r="I68" i="22"/>
  <c r="AY68" i="22" s="1"/>
  <c r="I69" i="22"/>
  <c r="AY69" i="22" s="1"/>
  <c r="I70" i="22"/>
  <c r="AY70" i="22" s="1"/>
  <c r="I71" i="22"/>
  <c r="AY71" i="22" s="1"/>
  <c r="I3" i="22"/>
  <c r="AY3" i="22" s="1"/>
  <c r="I12" i="22"/>
  <c r="AY12" i="22" s="1"/>
  <c r="I24" i="22"/>
  <c r="AY24" i="22" s="1"/>
  <c r="I13" i="22"/>
  <c r="AY13" i="22" s="1"/>
  <c r="I25" i="22"/>
  <c r="AY25" i="22" s="1"/>
  <c r="I14" i="22"/>
  <c r="AY14" i="22" s="1"/>
  <c r="I26" i="22"/>
  <c r="AY26" i="22" s="1"/>
  <c r="I15" i="22"/>
  <c r="AY15" i="22" s="1"/>
  <c r="I27" i="22"/>
  <c r="AY27" i="22" s="1"/>
  <c r="I4" i="22"/>
  <c r="AY4" i="22" s="1"/>
  <c r="I16" i="22"/>
  <c r="AY16" i="22" s="1"/>
  <c r="I5" i="22"/>
  <c r="AY5" i="22" s="1"/>
  <c r="I17" i="22"/>
  <c r="AY17" i="22" s="1"/>
  <c r="I6" i="22"/>
  <c r="AY6" i="22" s="1"/>
  <c r="I18" i="22"/>
  <c r="AY18" i="22" s="1"/>
  <c r="I7" i="22"/>
  <c r="AY7" i="22" s="1"/>
  <c r="I19" i="22"/>
  <c r="AY19" i="22" s="1"/>
  <c r="I8" i="22"/>
  <c r="AY8" i="22" s="1"/>
  <c r="I20" i="22"/>
  <c r="AY20" i="22" s="1"/>
  <c r="I9" i="22"/>
  <c r="AY9" i="22" s="1"/>
  <c r="I21" i="22"/>
  <c r="AY21" i="22" s="1"/>
  <c r="I10" i="22"/>
  <c r="AY10" i="22" s="1"/>
  <c r="I22" i="22"/>
  <c r="AY22" i="22" s="1"/>
  <c r="I23" i="22"/>
  <c r="AY23" i="22" s="1"/>
  <c r="I11" i="22"/>
  <c r="AY11" i="22" s="1"/>
  <c r="K12" i="3"/>
  <c r="I8" i="1"/>
  <c r="K9" i="3"/>
  <c r="I7" i="1"/>
  <c r="I82" i="22"/>
  <c r="AY82" i="22" s="1"/>
  <c r="I94" i="22"/>
  <c r="AY94" i="22" s="1"/>
  <c r="I83" i="22"/>
  <c r="AY83" i="22" s="1"/>
  <c r="I95" i="22"/>
  <c r="AY95" i="22" s="1"/>
  <c r="I84" i="22"/>
  <c r="AY84" i="22" s="1"/>
  <c r="I96" i="22"/>
  <c r="AY96" i="22" s="1"/>
  <c r="I85" i="22"/>
  <c r="AY85" i="22" s="1"/>
  <c r="I97" i="22"/>
  <c r="AY97" i="22" s="1"/>
  <c r="I86" i="22"/>
  <c r="AY86" i="22" s="1"/>
  <c r="I98" i="22"/>
  <c r="AY98" i="22" s="1"/>
  <c r="I87" i="22"/>
  <c r="AY87" i="22" s="1"/>
  <c r="I99" i="22"/>
  <c r="AY99" i="22" s="1"/>
  <c r="I88" i="22"/>
  <c r="AY88" i="22" s="1"/>
  <c r="I100" i="22"/>
  <c r="AY100" i="22" s="1"/>
  <c r="I77" i="22"/>
  <c r="AY77" i="22" s="1"/>
  <c r="I89" i="22"/>
  <c r="AY89" i="22" s="1"/>
  <c r="I78" i="22"/>
  <c r="AY78" i="22" s="1"/>
  <c r="I90" i="22"/>
  <c r="AY90" i="22" s="1"/>
  <c r="I79" i="22"/>
  <c r="AY79" i="22" s="1"/>
  <c r="I91" i="22"/>
  <c r="AY91" i="22" s="1"/>
  <c r="I80" i="22"/>
  <c r="AY80" i="22" s="1"/>
  <c r="I92" i="22"/>
  <c r="AY92" i="22" s="1"/>
  <c r="I81" i="22"/>
  <c r="AY81" i="22" s="1"/>
  <c r="I93" i="22"/>
  <c r="AY93" i="22" s="1"/>
  <c r="N49" i="1"/>
  <c r="I48" i="1"/>
  <c r="K5" i="3"/>
  <c r="I30" i="1"/>
  <c r="I18" i="1"/>
  <c r="I353" i="22"/>
  <c r="AY353" i="22" s="1"/>
  <c r="I356" i="22"/>
  <c r="AY356" i="22" s="1"/>
  <c r="I372" i="22"/>
  <c r="AY372" i="22" s="1"/>
  <c r="I384" i="22"/>
  <c r="AY384" i="22" s="1"/>
  <c r="I395" i="22"/>
  <c r="AY395" i="22" s="1"/>
  <c r="I407" i="22"/>
  <c r="AY407" i="22" s="1"/>
  <c r="I357" i="22"/>
  <c r="AY357" i="22" s="1"/>
  <c r="I373" i="22"/>
  <c r="AY373" i="22" s="1"/>
  <c r="I385" i="22"/>
  <c r="AY385" i="22" s="1"/>
  <c r="I396" i="22"/>
  <c r="AY396" i="22" s="1"/>
  <c r="I408" i="22"/>
  <c r="AY408" i="22" s="1"/>
  <c r="I358" i="22"/>
  <c r="AY358" i="22" s="1"/>
  <c r="I374" i="22"/>
  <c r="AY374" i="22" s="1"/>
  <c r="I386" i="22"/>
  <c r="AY386" i="22" s="1"/>
  <c r="I397" i="22"/>
  <c r="AY397" i="22" s="1"/>
  <c r="I409" i="22"/>
  <c r="AY409" i="22" s="1"/>
  <c r="I348" i="22"/>
  <c r="AY348" i="22" s="1"/>
  <c r="I363" i="22"/>
  <c r="AY363" i="22" s="1"/>
  <c r="I375" i="22"/>
  <c r="AY375" i="22" s="1"/>
  <c r="I387" i="22"/>
  <c r="AY387" i="22" s="1"/>
  <c r="I398" i="22"/>
  <c r="AY398" i="22" s="1"/>
  <c r="I410" i="22"/>
  <c r="AY410" i="22" s="1"/>
  <c r="I364" i="22"/>
  <c r="AY364" i="22" s="1"/>
  <c r="I376" i="22"/>
  <c r="AY376" i="22" s="1"/>
  <c r="I388" i="22"/>
  <c r="AY388" i="22" s="1"/>
  <c r="I399" i="22"/>
  <c r="AY399" i="22" s="1"/>
  <c r="I349" i="22"/>
  <c r="AY349" i="22" s="1"/>
  <c r="I365" i="22"/>
  <c r="AY365" i="22" s="1"/>
  <c r="I377" i="22"/>
  <c r="AY377" i="22" s="1"/>
  <c r="I389" i="22"/>
  <c r="AY389" i="22" s="1"/>
  <c r="I400" i="22"/>
  <c r="AY400" i="22" s="1"/>
  <c r="I350" i="22"/>
  <c r="AY350" i="22" s="1"/>
  <c r="I366" i="22"/>
  <c r="AY366" i="22" s="1"/>
  <c r="I378" i="22"/>
  <c r="AY378" i="22" s="1"/>
  <c r="I390" i="22"/>
  <c r="AY390" i="22" s="1"/>
  <c r="I401" i="22"/>
  <c r="AY401" i="22" s="1"/>
  <c r="I351" i="22"/>
  <c r="AY351" i="22" s="1"/>
  <c r="I367" i="22"/>
  <c r="AY367" i="22" s="1"/>
  <c r="I379" i="22"/>
  <c r="AY379" i="22" s="1"/>
  <c r="I391" i="22"/>
  <c r="AY391" i="22" s="1"/>
  <c r="I402" i="22"/>
  <c r="AY402" i="22" s="1"/>
  <c r="I352" i="22"/>
  <c r="AY352" i="22" s="1"/>
  <c r="I368" i="22"/>
  <c r="AY368" i="22" s="1"/>
  <c r="I380" i="22"/>
  <c r="AY380" i="22" s="1"/>
  <c r="I403" i="22"/>
  <c r="AY403" i="22" s="1"/>
  <c r="I369" i="22"/>
  <c r="AY369" i="22" s="1"/>
  <c r="I381" i="22"/>
  <c r="AY381" i="22" s="1"/>
  <c r="I404" i="22"/>
  <c r="AY404" i="22" s="1"/>
  <c r="I355" i="22"/>
  <c r="AY355" i="22" s="1"/>
  <c r="I394" i="22"/>
  <c r="AY394" i="22" s="1"/>
  <c r="I354" i="22"/>
  <c r="AY354" i="22" s="1"/>
  <c r="I370" i="22"/>
  <c r="AY370" i="22" s="1"/>
  <c r="I382" i="22"/>
  <c r="AY382" i="22" s="1"/>
  <c r="I393" i="22"/>
  <c r="AY393" i="22" s="1"/>
  <c r="I405" i="22"/>
  <c r="AY405" i="22" s="1"/>
  <c r="I383" i="22"/>
  <c r="AY383" i="22" s="1"/>
  <c r="I371" i="22"/>
  <c r="AY371" i="22" s="1"/>
  <c r="I406" i="22"/>
  <c r="AY406" i="22" s="1"/>
  <c r="K9" i="22"/>
  <c r="I36" i="22"/>
  <c r="AY36" i="22" s="1"/>
  <c r="I37" i="22"/>
  <c r="AY37" i="22" s="1"/>
  <c r="I28" i="22"/>
  <c r="AY28" i="22" s="1"/>
  <c r="I29" i="22"/>
  <c r="AY29" i="22" s="1"/>
  <c r="I30" i="22"/>
  <c r="AY30" i="22" s="1"/>
  <c r="I31" i="22"/>
  <c r="AY31" i="22" s="1"/>
  <c r="I32" i="22"/>
  <c r="AY32" i="22" s="1"/>
  <c r="I33" i="22"/>
  <c r="AY33" i="22" s="1"/>
  <c r="I34" i="22"/>
  <c r="AY34" i="22" s="1"/>
  <c r="I35" i="22"/>
  <c r="AY35" i="22" s="1"/>
  <c r="K7" i="3"/>
  <c r="I32" i="1"/>
  <c r="I154" i="22"/>
  <c r="AY154" i="22" s="1"/>
  <c r="I155" i="22"/>
  <c r="AY155" i="22" s="1"/>
  <c r="I156" i="22"/>
  <c r="AY156" i="22" s="1"/>
  <c r="I157" i="22"/>
  <c r="AY157" i="22" s="1"/>
  <c r="I158" i="22"/>
  <c r="AY158" i="22" s="1"/>
  <c r="I159" i="22"/>
  <c r="AY159" i="22" s="1"/>
  <c r="I160" i="22"/>
  <c r="AY160" i="22" s="1"/>
  <c r="I161" i="22"/>
  <c r="AY161" i="22" s="1"/>
  <c r="I162" i="22"/>
  <c r="AY162" i="22" s="1"/>
  <c r="I163" i="22"/>
  <c r="AY163" i="22" s="1"/>
  <c r="I118" i="22"/>
  <c r="AY118" i="22" s="1"/>
  <c r="I130" i="22"/>
  <c r="AY130" i="22" s="1"/>
  <c r="I142" i="22"/>
  <c r="AY142" i="22" s="1"/>
  <c r="I107" i="22"/>
  <c r="AY107" i="22" s="1"/>
  <c r="I119" i="22"/>
  <c r="AY119" i="22" s="1"/>
  <c r="I131" i="22"/>
  <c r="AY131" i="22" s="1"/>
  <c r="I143" i="22"/>
  <c r="AY143" i="22" s="1"/>
  <c r="I108" i="22"/>
  <c r="AY108" i="22" s="1"/>
  <c r="I120" i="22"/>
  <c r="AY120" i="22" s="1"/>
  <c r="I132" i="22"/>
  <c r="AY132" i="22" s="1"/>
  <c r="I144" i="22"/>
  <c r="AY144" i="22" s="1"/>
  <c r="I109" i="22"/>
  <c r="AY109" i="22" s="1"/>
  <c r="I121" i="22"/>
  <c r="AY121" i="22" s="1"/>
  <c r="I133" i="22"/>
  <c r="AY133" i="22" s="1"/>
  <c r="I145" i="22"/>
  <c r="AY145" i="22" s="1"/>
  <c r="I110" i="22"/>
  <c r="AY110" i="22" s="1"/>
  <c r="I122" i="22"/>
  <c r="AY122" i="22" s="1"/>
  <c r="I134" i="22"/>
  <c r="AY134" i="22" s="1"/>
  <c r="I146" i="22"/>
  <c r="AY146" i="22" s="1"/>
  <c r="I111" i="22"/>
  <c r="AY111" i="22" s="1"/>
  <c r="I123" i="22"/>
  <c r="AY123" i="22" s="1"/>
  <c r="I135" i="22"/>
  <c r="AY135" i="22" s="1"/>
  <c r="I147" i="22"/>
  <c r="AY147" i="22" s="1"/>
  <c r="I112" i="22"/>
  <c r="AY112" i="22" s="1"/>
  <c r="I124" i="22"/>
  <c r="AY124" i="22" s="1"/>
  <c r="I136" i="22"/>
  <c r="AY136" i="22" s="1"/>
  <c r="I148" i="22"/>
  <c r="AY148" i="22" s="1"/>
  <c r="I101" i="22"/>
  <c r="AY101" i="22" s="1"/>
  <c r="I113" i="22"/>
  <c r="AY113" i="22" s="1"/>
  <c r="I125" i="22"/>
  <c r="AY125" i="22" s="1"/>
  <c r="I137" i="22"/>
  <c r="AY137" i="22" s="1"/>
  <c r="I149" i="22"/>
  <c r="AY149" i="22" s="1"/>
  <c r="I102" i="22"/>
  <c r="AY102" i="22" s="1"/>
  <c r="I114" i="22"/>
  <c r="AY114" i="22" s="1"/>
  <c r="I126" i="22"/>
  <c r="AY126" i="22" s="1"/>
  <c r="I138" i="22"/>
  <c r="AY138" i="22" s="1"/>
  <c r="I150" i="22"/>
  <c r="AY150" i="22" s="1"/>
  <c r="I103" i="22"/>
  <c r="AY103" i="22" s="1"/>
  <c r="I115" i="22"/>
  <c r="AY115" i="22" s="1"/>
  <c r="I127" i="22"/>
  <c r="AY127" i="22" s="1"/>
  <c r="I139" i="22"/>
  <c r="AY139" i="22" s="1"/>
  <c r="I151" i="22"/>
  <c r="AY151" i="22" s="1"/>
  <c r="I104" i="22"/>
  <c r="AY104" i="22" s="1"/>
  <c r="I116" i="22"/>
  <c r="AY116" i="22" s="1"/>
  <c r="I128" i="22"/>
  <c r="AY128" i="22" s="1"/>
  <c r="I140" i="22"/>
  <c r="AY140" i="22" s="1"/>
  <c r="I152" i="22"/>
  <c r="AY152" i="22" s="1"/>
  <c r="I105" i="22"/>
  <c r="AY105" i="22" s="1"/>
  <c r="I117" i="22"/>
  <c r="AY117" i="22" s="1"/>
  <c r="I129" i="22"/>
  <c r="AY129" i="22" s="1"/>
  <c r="I141" i="22"/>
  <c r="AY141" i="22" s="1"/>
  <c r="I24" i="1"/>
  <c r="K14" i="3"/>
  <c r="I28" i="1"/>
  <c r="I16" i="1"/>
  <c r="K4" i="3"/>
  <c r="I4" i="1"/>
  <c r="I48" i="22"/>
  <c r="AY48" i="22" s="1"/>
  <c r="I49" i="22"/>
  <c r="AY49" i="22" s="1"/>
  <c r="I50" i="22"/>
  <c r="AY50" i="22" s="1"/>
  <c r="I51" i="22"/>
  <c r="AY51" i="22" s="1"/>
  <c r="I52" i="22"/>
  <c r="AY52" i="22" s="1"/>
  <c r="I53" i="22"/>
  <c r="AY53" i="22" s="1"/>
  <c r="I44" i="22"/>
  <c r="AY44" i="22" s="1"/>
  <c r="I45" i="22"/>
  <c r="AY45" i="22" s="1"/>
  <c r="I47" i="22"/>
  <c r="AY47" i="22" s="1"/>
  <c r="I46" i="22"/>
  <c r="AY46" i="22" s="1"/>
  <c r="I38" i="22"/>
  <c r="AY38" i="22" s="1"/>
  <c r="I39" i="22"/>
  <c r="AY39" i="22" s="1"/>
  <c r="I40" i="22"/>
  <c r="AY40" i="22" s="1"/>
  <c r="I41" i="22"/>
  <c r="AY41" i="22" s="1"/>
  <c r="I42" i="22"/>
  <c r="AY42" i="22" s="1"/>
  <c r="I43" i="22"/>
  <c r="AY43" i="22" s="1"/>
  <c r="I166" i="22"/>
  <c r="AY166" i="22" s="1"/>
  <c r="I167" i="22"/>
  <c r="AY167" i="22" s="1"/>
  <c r="I168" i="22"/>
  <c r="AY168" i="22" s="1"/>
  <c r="I169" i="22"/>
  <c r="AY169" i="22" s="1"/>
  <c r="I170" i="22"/>
  <c r="AY170" i="22" s="1"/>
  <c r="I171" i="22"/>
  <c r="AY171" i="22" s="1"/>
  <c r="I172" i="22"/>
  <c r="AY172" i="22" s="1"/>
  <c r="I173" i="22"/>
  <c r="AY173" i="22" s="1"/>
  <c r="I164" i="22"/>
  <c r="AY164" i="22" s="1"/>
  <c r="I165" i="22"/>
  <c r="AY165" i="22" s="1"/>
  <c r="I200" i="22"/>
  <c r="AY200" i="22" s="1"/>
  <c r="I212" i="22"/>
  <c r="AY212" i="22" s="1"/>
  <c r="I224" i="22"/>
  <c r="AY224" i="22" s="1"/>
  <c r="I236" i="22"/>
  <c r="AY236" i="22" s="1"/>
  <c r="I248" i="22"/>
  <c r="AY248" i="22" s="1"/>
  <c r="I260" i="22"/>
  <c r="AY260" i="22" s="1"/>
  <c r="I272" i="22"/>
  <c r="AY272" i="22" s="1"/>
  <c r="I284" i="22"/>
  <c r="AY284" i="22" s="1"/>
  <c r="I296" i="22"/>
  <c r="AY296" i="22" s="1"/>
  <c r="I201" i="22"/>
  <c r="AY201" i="22" s="1"/>
  <c r="I213" i="22"/>
  <c r="AY213" i="22" s="1"/>
  <c r="I225" i="22"/>
  <c r="AY225" i="22" s="1"/>
  <c r="I237" i="22"/>
  <c r="AY237" i="22" s="1"/>
  <c r="I249" i="22"/>
  <c r="AY249" i="22" s="1"/>
  <c r="I261" i="22"/>
  <c r="AY261" i="22" s="1"/>
  <c r="I273" i="22"/>
  <c r="AY273" i="22" s="1"/>
  <c r="I285" i="22"/>
  <c r="AY285" i="22" s="1"/>
  <c r="I297" i="22"/>
  <c r="AY297" i="22" s="1"/>
  <c r="I202" i="22"/>
  <c r="AY202" i="22" s="1"/>
  <c r="I214" i="22"/>
  <c r="AY214" i="22" s="1"/>
  <c r="I226" i="22"/>
  <c r="AY226" i="22" s="1"/>
  <c r="I238" i="22"/>
  <c r="AY238" i="22" s="1"/>
  <c r="I250" i="22"/>
  <c r="AY250" i="22" s="1"/>
  <c r="I262" i="22"/>
  <c r="AY262" i="22" s="1"/>
  <c r="I274" i="22"/>
  <c r="AY274" i="22" s="1"/>
  <c r="I286" i="22"/>
  <c r="AY286" i="22" s="1"/>
  <c r="I298" i="22"/>
  <c r="AY298" i="22" s="1"/>
  <c r="I191" i="22"/>
  <c r="AY191" i="22" s="1"/>
  <c r="I203" i="22"/>
  <c r="AY203" i="22" s="1"/>
  <c r="I215" i="22"/>
  <c r="AY215" i="22" s="1"/>
  <c r="I227" i="22"/>
  <c r="AY227" i="22" s="1"/>
  <c r="I239" i="22"/>
  <c r="AY239" i="22" s="1"/>
  <c r="I251" i="22"/>
  <c r="AY251" i="22" s="1"/>
  <c r="I263" i="22"/>
  <c r="AY263" i="22" s="1"/>
  <c r="I275" i="22"/>
  <c r="AY275" i="22" s="1"/>
  <c r="I287" i="22"/>
  <c r="AY287" i="22" s="1"/>
  <c r="I192" i="22"/>
  <c r="AY192" i="22" s="1"/>
  <c r="I204" i="22"/>
  <c r="AY204" i="22" s="1"/>
  <c r="I216" i="22"/>
  <c r="AY216" i="22" s="1"/>
  <c r="I228" i="22"/>
  <c r="AY228" i="22" s="1"/>
  <c r="I240" i="22"/>
  <c r="AY240" i="22" s="1"/>
  <c r="I252" i="22"/>
  <c r="AY252" i="22" s="1"/>
  <c r="I264" i="22"/>
  <c r="AY264" i="22" s="1"/>
  <c r="I276" i="22"/>
  <c r="AY276" i="22" s="1"/>
  <c r="I288" i="22"/>
  <c r="AY288" i="22" s="1"/>
  <c r="I193" i="22"/>
  <c r="AY193" i="22" s="1"/>
  <c r="I205" i="22"/>
  <c r="AY205" i="22" s="1"/>
  <c r="I217" i="22"/>
  <c r="AY217" i="22" s="1"/>
  <c r="I229" i="22"/>
  <c r="AY229" i="22" s="1"/>
  <c r="I241" i="22"/>
  <c r="AY241" i="22" s="1"/>
  <c r="I253" i="22"/>
  <c r="AY253" i="22" s="1"/>
  <c r="I265" i="22"/>
  <c r="AY265" i="22" s="1"/>
  <c r="I277" i="22"/>
  <c r="AY277" i="22" s="1"/>
  <c r="I289" i="22"/>
  <c r="AY289" i="22" s="1"/>
  <c r="I194" i="22"/>
  <c r="AY194" i="22" s="1"/>
  <c r="I206" i="22"/>
  <c r="AY206" i="22" s="1"/>
  <c r="I218" i="22"/>
  <c r="AY218" i="22" s="1"/>
  <c r="I230" i="22"/>
  <c r="AY230" i="22" s="1"/>
  <c r="I242" i="22"/>
  <c r="AY242" i="22" s="1"/>
  <c r="I254" i="22"/>
  <c r="AY254" i="22" s="1"/>
  <c r="I266" i="22"/>
  <c r="AY266" i="22" s="1"/>
  <c r="I278" i="22"/>
  <c r="AY278" i="22" s="1"/>
  <c r="I290" i="22"/>
  <c r="AY290" i="22" s="1"/>
  <c r="I195" i="22"/>
  <c r="AY195" i="22" s="1"/>
  <c r="I207" i="22"/>
  <c r="AY207" i="22" s="1"/>
  <c r="I219" i="22"/>
  <c r="AY219" i="22" s="1"/>
  <c r="I231" i="22"/>
  <c r="AY231" i="22" s="1"/>
  <c r="I243" i="22"/>
  <c r="AY243" i="22" s="1"/>
  <c r="I255" i="22"/>
  <c r="AY255" i="22" s="1"/>
  <c r="I267" i="22"/>
  <c r="AY267" i="22" s="1"/>
  <c r="I279" i="22"/>
  <c r="AY279" i="22" s="1"/>
  <c r="I291" i="22"/>
  <c r="AY291" i="22" s="1"/>
  <c r="I196" i="22"/>
  <c r="AY196" i="22" s="1"/>
  <c r="I208" i="22"/>
  <c r="AY208" i="22" s="1"/>
  <c r="I220" i="22"/>
  <c r="AY220" i="22" s="1"/>
  <c r="I232" i="22"/>
  <c r="AY232" i="22" s="1"/>
  <c r="I244" i="22"/>
  <c r="AY244" i="22" s="1"/>
  <c r="I256" i="22"/>
  <c r="AY256" i="22" s="1"/>
  <c r="I268" i="22"/>
  <c r="AY268" i="22" s="1"/>
  <c r="I280" i="22"/>
  <c r="AY280" i="22" s="1"/>
  <c r="I292" i="22"/>
  <c r="AY292" i="22" s="1"/>
  <c r="I197" i="22"/>
  <c r="AY197" i="22" s="1"/>
  <c r="I209" i="22"/>
  <c r="AY209" i="22" s="1"/>
  <c r="I221" i="22"/>
  <c r="AY221" i="22" s="1"/>
  <c r="I233" i="22"/>
  <c r="AY233" i="22" s="1"/>
  <c r="I245" i="22"/>
  <c r="AY245" i="22" s="1"/>
  <c r="I257" i="22"/>
  <c r="AY257" i="22" s="1"/>
  <c r="I269" i="22"/>
  <c r="AY269" i="22" s="1"/>
  <c r="I281" i="22"/>
  <c r="AY281" i="22" s="1"/>
  <c r="I293" i="22"/>
  <c r="AY293" i="22" s="1"/>
  <c r="I283" i="22"/>
  <c r="AY283" i="22" s="1"/>
  <c r="I198" i="22"/>
  <c r="AY198" i="22" s="1"/>
  <c r="I210" i="22"/>
  <c r="AY210" i="22" s="1"/>
  <c r="I222" i="22"/>
  <c r="AY222" i="22" s="1"/>
  <c r="I234" i="22"/>
  <c r="AY234" i="22" s="1"/>
  <c r="I246" i="22"/>
  <c r="AY246" i="22" s="1"/>
  <c r="I258" i="22"/>
  <c r="AY258" i="22" s="1"/>
  <c r="I270" i="22"/>
  <c r="AY270" i="22" s="1"/>
  <c r="I282" i="22"/>
  <c r="AY282" i="22" s="1"/>
  <c r="I294" i="22"/>
  <c r="AY294" i="22" s="1"/>
  <c r="I271" i="22"/>
  <c r="AY271" i="22" s="1"/>
  <c r="I199" i="22"/>
  <c r="AY199" i="22" s="1"/>
  <c r="I211" i="22"/>
  <c r="AY211" i="22" s="1"/>
  <c r="I223" i="22"/>
  <c r="AY223" i="22" s="1"/>
  <c r="I235" i="22"/>
  <c r="AY235" i="22" s="1"/>
  <c r="I247" i="22"/>
  <c r="AY247" i="22" s="1"/>
  <c r="I259" i="22"/>
  <c r="AY259" i="22" s="1"/>
  <c r="I295" i="22"/>
  <c r="AY295" i="22" s="1"/>
  <c r="I54" i="22"/>
  <c r="AY54" i="22" s="1"/>
  <c r="I55" i="22"/>
  <c r="AY55" i="22" s="1"/>
  <c r="I56" i="22"/>
  <c r="AY56" i="22" s="1"/>
  <c r="I57" i="22"/>
  <c r="AY57" i="22" s="1"/>
  <c r="I58" i="22"/>
  <c r="AY58" i="22" s="1"/>
  <c r="I59" i="22"/>
  <c r="AY59" i="22" s="1"/>
  <c r="I420" i="22"/>
  <c r="AY420" i="22" s="1"/>
  <c r="I421" i="22"/>
  <c r="AY421" i="22" s="1"/>
  <c r="I422" i="22"/>
  <c r="AY422" i="22" s="1"/>
  <c r="K10" i="3"/>
  <c r="I38" i="1"/>
  <c r="K15" i="3"/>
  <c r="I14" i="1"/>
  <c r="N26" i="1"/>
  <c r="I25" i="1"/>
  <c r="I13" i="1"/>
  <c r="I188" i="22"/>
  <c r="AY188" i="22" s="1"/>
  <c r="I189" i="22"/>
  <c r="AY189" i="22" s="1"/>
  <c r="I190" i="22"/>
  <c r="AY190" i="22" s="1"/>
  <c r="I183" i="22"/>
  <c r="AY183" i="22" s="1"/>
  <c r="I184" i="22"/>
  <c r="AY184" i="22" s="1"/>
  <c r="I185" i="22"/>
  <c r="AY185" i="22" s="1"/>
  <c r="I186" i="22"/>
  <c r="AY186" i="22" s="1"/>
  <c r="I187" i="22"/>
  <c r="AY187" i="22" s="1"/>
  <c r="I299" i="22"/>
  <c r="AY299" i="22" s="1"/>
  <c r="I300" i="22"/>
  <c r="AY300" i="22" s="1"/>
  <c r="I301" i="22"/>
  <c r="AY301" i="22" s="1"/>
  <c r="I302" i="22"/>
  <c r="AY302" i="22" s="1"/>
  <c r="I303" i="22"/>
  <c r="AY303" i="22" s="1"/>
  <c r="I304" i="22"/>
  <c r="AY304" i="22" s="1"/>
  <c r="C6" i="3"/>
  <c r="C14" i="3"/>
  <c r="C22" i="3"/>
  <c r="C7" i="3"/>
  <c r="C15" i="3"/>
  <c r="C2" i="3"/>
  <c r="C8" i="3"/>
  <c r="C16" i="3"/>
  <c r="C9" i="3"/>
  <c r="C17" i="3"/>
  <c r="C3" i="3"/>
  <c r="C11" i="3"/>
  <c r="C19" i="3"/>
  <c r="C4" i="3"/>
  <c r="C12" i="3"/>
  <c r="C20" i="3"/>
  <c r="C10" i="3"/>
  <c r="C13" i="3"/>
  <c r="C18" i="3"/>
  <c r="C21" i="3"/>
  <c r="C5" i="3"/>
  <c r="AD3" i="2"/>
  <c r="AD11" i="2"/>
  <c r="AD7" i="2"/>
  <c r="AD9" i="2"/>
  <c r="N25" i="1"/>
  <c r="AD25" i="2"/>
  <c r="BC19" i="2"/>
  <c r="BE19" i="2" s="1"/>
  <c r="BC21" i="2"/>
  <c r="BE21" i="2" s="1"/>
  <c r="BC15" i="2"/>
  <c r="BE15" i="2" s="1"/>
  <c r="BC23" i="2"/>
  <c r="BE23" i="2" s="1"/>
  <c r="AD4" i="2"/>
  <c r="AD23" i="2"/>
  <c r="AD17" i="2"/>
  <c r="AD16" i="2"/>
  <c r="AD24" i="2"/>
  <c r="C313" i="22"/>
  <c r="C353" i="22"/>
  <c r="C9" i="22"/>
  <c r="C4" i="22"/>
  <c r="C11" i="22"/>
  <c r="C10" i="22"/>
  <c r="C13" i="22"/>
  <c r="C7" i="22"/>
  <c r="C16" i="22"/>
  <c r="C12" i="22"/>
  <c r="C5" i="22"/>
  <c r="C2" i="22"/>
  <c r="C8" i="22"/>
  <c r="C3" i="22"/>
  <c r="C6" i="22"/>
  <c r="C14" i="22"/>
  <c r="C20" i="22"/>
  <c r="C28" i="22"/>
  <c r="C36" i="22"/>
  <c r="C44" i="22"/>
  <c r="C52" i="22"/>
  <c r="C60" i="22"/>
  <c r="C68" i="22"/>
  <c r="C82" i="22"/>
  <c r="C90" i="22"/>
  <c r="C98" i="22"/>
  <c r="C114" i="22"/>
  <c r="C122" i="22"/>
  <c r="C130" i="22"/>
  <c r="C138" i="22"/>
  <c r="C146" i="22"/>
  <c r="C154" i="22"/>
  <c r="C162" i="22"/>
  <c r="C170" i="22"/>
  <c r="C185" i="22"/>
  <c r="C192" i="22"/>
  <c r="C200" i="22"/>
  <c r="C208" i="22"/>
  <c r="C216" i="22"/>
  <c r="C224" i="22"/>
  <c r="C232" i="22"/>
  <c r="C240" i="22"/>
  <c r="C248" i="22"/>
  <c r="C256" i="22"/>
  <c r="C264" i="22"/>
  <c r="C272" i="22"/>
  <c r="C280" i="22"/>
  <c r="C288" i="22"/>
  <c r="C296" i="22"/>
  <c r="C304" i="22"/>
  <c r="C312" i="22"/>
  <c r="C321" i="22"/>
  <c r="C329" i="22"/>
  <c r="C337" i="22"/>
  <c r="C345" i="22"/>
  <c r="C352" i="22"/>
  <c r="C364" i="22"/>
  <c r="C372" i="22"/>
  <c r="C380" i="22"/>
  <c r="C388" i="22"/>
  <c r="C395" i="22"/>
  <c r="C403" i="22"/>
  <c r="C411" i="22"/>
  <c r="C419" i="22"/>
  <c r="C15" i="22"/>
  <c r="C40" i="22"/>
  <c r="C56" i="22"/>
  <c r="C78" i="22"/>
  <c r="C94" i="22"/>
  <c r="C118" i="22"/>
  <c r="C134" i="22"/>
  <c r="C158" i="22"/>
  <c r="C166" i="22"/>
  <c r="C188" i="22"/>
  <c r="C220" i="22"/>
  <c r="C236" i="22"/>
  <c r="C260" i="22"/>
  <c r="C284" i="22"/>
  <c r="C308" i="22"/>
  <c r="C333" i="22"/>
  <c r="C368" i="22"/>
  <c r="C415" i="22"/>
  <c r="C21" i="22"/>
  <c r="C29" i="22"/>
  <c r="C37" i="22"/>
  <c r="C45" i="22"/>
  <c r="C53" i="22"/>
  <c r="C61" i="22"/>
  <c r="C69" i="22"/>
  <c r="C75" i="22"/>
  <c r="C83" i="22"/>
  <c r="C91" i="22"/>
  <c r="C99" i="22"/>
  <c r="C107" i="22"/>
  <c r="C115" i="22"/>
  <c r="C123" i="22"/>
  <c r="C131" i="22"/>
  <c r="C139" i="22"/>
  <c r="C147" i="22"/>
  <c r="C155" i="22"/>
  <c r="C163" i="22"/>
  <c r="C171" i="22"/>
  <c r="C186" i="22"/>
  <c r="C193" i="22"/>
  <c r="C201" i="22"/>
  <c r="C209" i="22"/>
  <c r="C217" i="22"/>
  <c r="C225" i="22"/>
  <c r="C233" i="22"/>
  <c r="C241" i="22"/>
  <c r="C249" i="22"/>
  <c r="C257" i="22"/>
  <c r="C265" i="22"/>
  <c r="C273" i="22"/>
  <c r="C281" i="22"/>
  <c r="C289" i="22"/>
  <c r="C297" i="22"/>
  <c r="C305" i="22"/>
  <c r="C314" i="22"/>
  <c r="C322" i="22"/>
  <c r="C330" i="22"/>
  <c r="C338" i="22"/>
  <c r="C346" i="22"/>
  <c r="C365" i="22"/>
  <c r="C373" i="22"/>
  <c r="C381" i="22"/>
  <c r="C389" i="22"/>
  <c r="C396" i="22"/>
  <c r="C404" i="22"/>
  <c r="C412" i="22"/>
  <c r="C420" i="22"/>
  <c r="C24" i="22"/>
  <c r="C48" i="22"/>
  <c r="C64" i="22"/>
  <c r="C86" i="22"/>
  <c r="C110" i="22"/>
  <c r="C126" i="22"/>
  <c r="C150" i="22"/>
  <c r="C196" i="22"/>
  <c r="C228" i="22"/>
  <c r="C252" i="22"/>
  <c r="C276" i="22"/>
  <c r="C300" i="22"/>
  <c r="C317" i="22"/>
  <c r="C341" i="22"/>
  <c r="C376" i="22"/>
  <c r="C399" i="22"/>
  <c r="C22" i="22"/>
  <c r="C30" i="22"/>
  <c r="C38" i="22"/>
  <c r="C46" i="22"/>
  <c r="C54" i="22"/>
  <c r="C62" i="22"/>
  <c r="C70" i="22"/>
  <c r="C76" i="22"/>
  <c r="C84" i="22"/>
  <c r="C92" i="22"/>
  <c r="C100" i="22"/>
  <c r="C108" i="22"/>
  <c r="C116" i="22"/>
  <c r="C124" i="22"/>
  <c r="C132" i="22"/>
  <c r="C140" i="22"/>
  <c r="C148" i="22"/>
  <c r="C156" i="22"/>
  <c r="C164" i="22"/>
  <c r="C172" i="22"/>
  <c r="C187" i="22"/>
  <c r="C194" i="22"/>
  <c r="C202" i="22"/>
  <c r="C210" i="22"/>
  <c r="C218" i="22"/>
  <c r="C226" i="22"/>
  <c r="C234" i="22"/>
  <c r="C242" i="22"/>
  <c r="C250" i="22"/>
  <c r="C258" i="22"/>
  <c r="C266" i="22"/>
  <c r="C274" i="22"/>
  <c r="C282" i="22"/>
  <c r="C290" i="22"/>
  <c r="C298" i="22"/>
  <c r="C306" i="22"/>
  <c r="C315" i="22"/>
  <c r="C323" i="22"/>
  <c r="C331" i="22"/>
  <c r="C339" i="22"/>
  <c r="C347" i="22"/>
  <c r="C354" i="22"/>
  <c r="C366" i="22"/>
  <c r="C374" i="22"/>
  <c r="C382" i="22"/>
  <c r="C390" i="22"/>
  <c r="C397" i="22"/>
  <c r="C405" i="22"/>
  <c r="C413" i="22"/>
  <c r="C421" i="22"/>
  <c r="C32" i="22"/>
  <c r="C72" i="22"/>
  <c r="C102" i="22"/>
  <c r="C142" i="22"/>
  <c r="C212" i="22"/>
  <c r="C244" i="22"/>
  <c r="C268" i="22"/>
  <c r="C292" i="22"/>
  <c r="C325" i="22"/>
  <c r="C356" i="22"/>
  <c r="C384" i="22"/>
  <c r="C407" i="22"/>
  <c r="C23" i="22"/>
  <c r="C31" i="22"/>
  <c r="C39" i="22"/>
  <c r="C47" i="22"/>
  <c r="C55" i="22"/>
  <c r="C63" i="22"/>
  <c r="C71" i="22"/>
  <c r="C77" i="22"/>
  <c r="C85" i="22"/>
  <c r="C93" i="22"/>
  <c r="C101" i="22"/>
  <c r="C109" i="22"/>
  <c r="C117" i="22"/>
  <c r="C125" i="22"/>
  <c r="C133" i="22"/>
  <c r="C141" i="22"/>
  <c r="C149" i="22"/>
  <c r="C157" i="22"/>
  <c r="C165" i="22"/>
  <c r="C173" i="22"/>
  <c r="C195" i="22"/>
  <c r="C203" i="22"/>
  <c r="C211" i="22"/>
  <c r="C219" i="22"/>
  <c r="C227" i="22"/>
  <c r="C235" i="22"/>
  <c r="C243" i="22"/>
  <c r="C251" i="22"/>
  <c r="C259" i="22"/>
  <c r="C267" i="22"/>
  <c r="C275" i="22"/>
  <c r="C283" i="22"/>
  <c r="C291" i="22"/>
  <c r="C299" i="22"/>
  <c r="C307" i="22"/>
  <c r="C316" i="22"/>
  <c r="C324" i="22"/>
  <c r="C332" i="22"/>
  <c r="C340" i="22"/>
  <c r="C348" i="22"/>
  <c r="C355" i="22"/>
  <c r="C367" i="22"/>
  <c r="C375" i="22"/>
  <c r="C383" i="22"/>
  <c r="C391" i="22"/>
  <c r="C398" i="22"/>
  <c r="C406" i="22"/>
  <c r="C414" i="22"/>
  <c r="C422" i="22"/>
  <c r="C17" i="22"/>
  <c r="C25" i="22"/>
  <c r="C33" i="22"/>
  <c r="C41" i="22"/>
  <c r="C49" i="22"/>
  <c r="C57" i="22"/>
  <c r="C65" i="22"/>
  <c r="C79" i="22"/>
  <c r="C87" i="22"/>
  <c r="C95" i="22"/>
  <c r="C103" i="22"/>
  <c r="C111" i="22"/>
  <c r="C119" i="22"/>
  <c r="C127" i="22"/>
  <c r="C135" i="22"/>
  <c r="C143" i="22"/>
  <c r="C151" i="22"/>
  <c r="C159" i="22"/>
  <c r="C167" i="22"/>
  <c r="C183" i="22"/>
  <c r="C189" i="22"/>
  <c r="C197" i="22"/>
  <c r="C205" i="22"/>
  <c r="C213" i="22"/>
  <c r="C221" i="22"/>
  <c r="C229" i="22"/>
  <c r="C237" i="22"/>
  <c r="C245" i="22"/>
  <c r="C253" i="22"/>
  <c r="C261" i="22"/>
  <c r="C269" i="22"/>
  <c r="C277" i="22"/>
  <c r="C285" i="22"/>
  <c r="C293" i="22"/>
  <c r="C301" i="22"/>
  <c r="C309" i="22"/>
  <c r="C318" i="22"/>
  <c r="C326" i="22"/>
  <c r="C334" i="22"/>
  <c r="C342" i="22"/>
  <c r="C349" i="22"/>
  <c r="C357" i="22"/>
  <c r="C369" i="22"/>
  <c r="C377" i="22"/>
  <c r="C385" i="22"/>
  <c r="C400" i="22"/>
  <c r="C408" i="22"/>
  <c r="C416" i="22"/>
  <c r="C18" i="22"/>
  <c r="C26" i="22"/>
  <c r="C34" i="22"/>
  <c r="C42" i="22"/>
  <c r="C50" i="22"/>
  <c r="C58" i="22"/>
  <c r="C66" i="22"/>
  <c r="C73" i="22"/>
  <c r="C80" i="22"/>
  <c r="C88" i="22"/>
  <c r="C96" i="22"/>
  <c r="C104" i="22"/>
  <c r="C112" i="22"/>
  <c r="C120" i="22"/>
  <c r="C128" i="22"/>
  <c r="C136" i="22"/>
  <c r="C144" i="22"/>
  <c r="C152" i="22"/>
  <c r="C160" i="22"/>
  <c r="C168" i="22"/>
  <c r="C190" i="22"/>
  <c r="C198" i="22"/>
  <c r="C206" i="22"/>
  <c r="C214" i="22"/>
  <c r="C222" i="22"/>
  <c r="C230" i="22"/>
  <c r="C238" i="22"/>
  <c r="C246" i="22"/>
  <c r="C254" i="22"/>
  <c r="C262" i="22"/>
  <c r="C270" i="22"/>
  <c r="C278" i="22"/>
  <c r="C286" i="22"/>
  <c r="C294" i="22"/>
  <c r="C302" i="22"/>
  <c r="C310" i="22"/>
  <c r="C319" i="22"/>
  <c r="C327" i="22"/>
  <c r="C335" i="22"/>
  <c r="C343" i="22"/>
  <c r="C350" i="22"/>
  <c r="C358" i="22"/>
  <c r="C370" i="22"/>
  <c r="C378" i="22"/>
  <c r="C386" i="22"/>
  <c r="C393" i="22"/>
  <c r="C401" i="22"/>
  <c r="C409" i="22"/>
  <c r="C417" i="22"/>
  <c r="C51" i="22"/>
  <c r="C169" i="22"/>
  <c r="C223" i="22"/>
  <c r="C287" i="22"/>
  <c r="C351" i="22"/>
  <c r="C418" i="22"/>
  <c r="C59" i="22"/>
  <c r="C113" i="22"/>
  <c r="C231" i="22"/>
  <c r="C295" i="22"/>
  <c r="C363" i="22"/>
  <c r="C67" i="22"/>
  <c r="C121" i="22"/>
  <c r="C184" i="22"/>
  <c r="C239" i="22"/>
  <c r="C303" i="22"/>
  <c r="C371" i="22"/>
  <c r="C27" i="22"/>
  <c r="C145" i="22"/>
  <c r="C204" i="22"/>
  <c r="C263" i="22"/>
  <c r="C328" i="22"/>
  <c r="C97" i="22"/>
  <c r="C207" i="22"/>
  <c r="C336" i="22"/>
  <c r="C74" i="22"/>
  <c r="C129" i="22"/>
  <c r="C191" i="22"/>
  <c r="C247" i="22"/>
  <c r="C311" i="22"/>
  <c r="C379" i="22"/>
  <c r="C394" i="22"/>
  <c r="C19" i="22"/>
  <c r="C81" i="22"/>
  <c r="C137" i="22"/>
  <c r="C199" i="22"/>
  <c r="C255" i="22"/>
  <c r="C320" i="22"/>
  <c r="C387" i="22"/>
  <c r="C89" i="22"/>
  <c r="C35" i="22"/>
  <c r="C271" i="22"/>
  <c r="C402" i="22"/>
  <c r="C43" i="22"/>
  <c r="C105" i="22"/>
  <c r="C161" i="22"/>
  <c r="C215" i="22"/>
  <c r="C279" i="22"/>
  <c r="C344" i="22"/>
  <c r="C410" i="22"/>
  <c r="AD18" i="2"/>
  <c r="C2" i="2"/>
  <c r="AD20" i="2"/>
  <c r="K3" i="3"/>
  <c r="AC97" i="2"/>
  <c r="AB97" i="2" s="1"/>
  <c r="AA97" i="2" s="1"/>
  <c r="Z97" i="2" s="1"/>
  <c r="Y97" i="2" s="1"/>
  <c r="X97" i="2" s="1"/>
  <c r="W97" i="2" s="1"/>
  <c r="AE97" i="2"/>
  <c r="AC89" i="2"/>
  <c r="AB89" i="2" s="1"/>
  <c r="AA89" i="2" s="1"/>
  <c r="Z89" i="2" s="1"/>
  <c r="Y89" i="2" s="1"/>
  <c r="X89" i="2" s="1"/>
  <c r="W89" i="2" s="1"/>
  <c r="AE89" i="2"/>
  <c r="AE73" i="2"/>
  <c r="AC73" i="2"/>
  <c r="AB73" i="2" s="1"/>
  <c r="AA73" i="2" s="1"/>
  <c r="Z73" i="2" s="1"/>
  <c r="Y73" i="2" s="1"/>
  <c r="X73" i="2" s="1"/>
  <c r="W73" i="2" s="1"/>
  <c r="AF65" i="2"/>
  <c r="AC65" i="2"/>
  <c r="AB65" i="2" s="1"/>
  <c r="AA65" i="2" s="1"/>
  <c r="Z65" i="2" s="1"/>
  <c r="Y65" i="2" s="1"/>
  <c r="X65" i="2" s="1"/>
  <c r="W65" i="2" s="1"/>
  <c r="AE65" i="2"/>
  <c r="AF57" i="2"/>
  <c r="AC57" i="2"/>
  <c r="AB57" i="2" s="1"/>
  <c r="AA57" i="2" s="1"/>
  <c r="Z57" i="2" s="1"/>
  <c r="Y57" i="2" s="1"/>
  <c r="X57" i="2" s="1"/>
  <c r="W57" i="2" s="1"/>
  <c r="AF49" i="2"/>
  <c r="AC49" i="2"/>
  <c r="AE49" i="2"/>
  <c r="AF41" i="2"/>
  <c r="AC41" i="2"/>
  <c r="AE41" i="2"/>
  <c r="AC33" i="2"/>
  <c r="AB33" i="2" s="1"/>
  <c r="AA33" i="2" s="1"/>
  <c r="Z33" i="2" s="1"/>
  <c r="Y33" i="2" s="1"/>
  <c r="X33" i="2" s="1"/>
  <c r="W33" i="2" s="1"/>
  <c r="AE33" i="2"/>
  <c r="AF25" i="2"/>
  <c r="AC25" i="2"/>
  <c r="AE25" i="2"/>
  <c r="AC17" i="2"/>
  <c r="AE17" i="2"/>
  <c r="AC9" i="2"/>
  <c r="AB9" i="2" s="1"/>
  <c r="AA9" i="2" s="1"/>
  <c r="Z9" i="2" s="1"/>
  <c r="Y9" i="2" s="1"/>
  <c r="X9" i="2" s="1"/>
  <c r="W9" i="2" s="1"/>
  <c r="AE9" i="2"/>
  <c r="AC96" i="2"/>
  <c r="AB96" i="2" s="1"/>
  <c r="AA96" i="2" s="1"/>
  <c r="Z96" i="2" s="1"/>
  <c r="Y96" i="2" s="1"/>
  <c r="X96" i="2" s="1"/>
  <c r="W96" i="2" s="1"/>
  <c r="AE96" i="2"/>
  <c r="AC88" i="2"/>
  <c r="AB88" i="2" s="1"/>
  <c r="AA88" i="2" s="1"/>
  <c r="Z88" i="2" s="1"/>
  <c r="Y88" i="2" s="1"/>
  <c r="X88" i="2" s="1"/>
  <c r="W88" i="2" s="1"/>
  <c r="AE88" i="2"/>
  <c r="AC80" i="2"/>
  <c r="AB80" i="2" s="1"/>
  <c r="AA80" i="2" s="1"/>
  <c r="Z80" i="2" s="1"/>
  <c r="Y80" i="2" s="1"/>
  <c r="X80" i="2" s="1"/>
  <c r="W80" i="2" s="1"/>
  <c r="AE80" i="2"/>
  <c r="AF72" i="2"/>
  <c r="AC72" i="2"/>
  <c r="AB72" i="2" s="1"/>
  <c r="AA72" i="2" s="1"/>
  <c r="Z72" i="2" s="1"/>
  <c r="Y72" i="2" s="1"/>
  <c r="X72" i="2" s="1"/>
  <c r="W72" i="2" s="1"/>
  <c r="AC64" i="2"/>
  <c r="AB64" i="2" s="1"/>
  <c r="AA64" i="2" s="1"/>
  <c r="Z64" i="2" s="1"/>
  <c r="Y64" i="2" s="1"/>
  <c r="X64" i="2" s="1"/>
  <c r="W64" i="2" s="1"/>
  <c r="AE64" i="2"/>
  <c r="AC56" i="2"/>
  <c r="AB56" i="2" s="1"/>
  <c r="AA56" i="2" s="1"/>
  <c r="Z56" i="2" s="1"/>
  <c r="Y56" i="2" s="1"/>
  <c r="X56" i="2" s="1"/>
  <c r="W56" i="2" s="1"/>
  <c r="AE56" i="2"/>
  <c r="AC48" i="2"/>
  <c r="AE48" i="2"/>
  <c r="AC40" i="2"/>
  <c r="AE40" i="2"/>
  <c r="AF32" i="2"/>
  <c r="AC32" i="2"/>
  <c r="AB32" i="2" s="1"/>
  <c r="AA32" i="2" s="1"/>
  <c r="Z32" i="2" s="1"/>
  <c r="Y32" i="2" s="1"/>
  <c r="X32" i="2" s="1"/>
  <c r="W32" i="2" s="1"/>
  <c r="AE32" i="2"/>
  <c r="AC24" i="2"/>
  <c r="AB24" i="2" s="1"/>
  <c r="AA24" i="2" s="1"/>
  <c r="Z24" i="2" s="1"/>
  <c r="Y24" i="2" s="1"/>
  <c r="X24" i="2" s="1"/>
  <c r="W24" i="2" s="1"/>
  <c r="AE24" i="2"/>
  <c r="AC16" i="2"/>
  <c r="AE16" i="2"/>
  <c r="AC8" i="2"/>
  <c r="AB8" i="2" s="1"/>
  <c r="AA8" i="2" s="1"/>
  <c r="Z8" i="2" s="1"/>
  <c r="Y8" i="2" s="1"/>
  <c r="X8" i="2" s="1"/>
  <c r="W8" i="2" s="1"/>
  <c r="AE8" i="2"/>
  <c r="AC95" i="2"/>
  <c r="AB95" i="2" s="1"/>
  <c r="AA95" i="2" s="1"/>
  <c r="Z95" i="2" s="1"/>
  <c r="Y95" i="2" s="1"/>
  <c r="X95" i="2" s="1"/>
  <c r="W95" i="2" s="1"/>
  <c r="AE95" i="2"/>
  <c r="AC87" i="2"/>
  <c r="AB87" i="2" s="1"/>
  <c r="AA87" i="2" s="1"/>
  <c r="Z87" i="2" s="1"/>
  <c r="Y87" i="2" s="1"/>
  <c r="X87" i="2" s="1"/>
  <c r="W87" i="2" s="1"/>
  <c r="AE87" i="2"/>
  <c r="AC79" i="2"/>
  <c r="AB79" i="2" s="1"/>
  <c r="AA79" i="2" s="1"/>
  <c r="Z79" i="2" s="1"/>
  <c r="Y79" i="2" s="1"/>
  <c r="X79" i="2" s="1"/>
  <c r="W79" i="2" s="1"/>
  <c r="AE79" i="2"/>
  <c r="AC71" i="2"/>
  <c r="AB71" i="2" s="1"/>
  <c r="AA71" i="2" s="1"/>
  <c r="Z71" i="2" s="1"/>
  <c r="Y71" i="2" s="1"/>
  <c r="X71" i="2" s="1"/>
  <c r="W71" i="2" s="1"/>
  <c r="AE71" i="2"/>
  <c r="AC55" i="2"/>
  <c r="AE55" i="2"/>
  <c r="AC47" i="2"/>
  <c r="AE47" i="2"/>
  <c r="AC39" i="2"/>
  <c r="AE39" i="2"/>
  <c r="AC31" i="2"/>
  <c r="AE31" i="2"/>
  <c r="AC23" i="2"/>
  <c r="AE23" i="2"/>
  <c r="AC15" i="2"/>
  <c r="AE15" i="2"/>
  <c r="AC7" i="2"/>
  <c r="AB7" i="2" s="1"/>
  <c r="AA7" i="2" s="1"/>
  <c r="Z7" i="2" s="1"/>
  <c r="Y7" i="2" s="1"/>
  <c r="X7" i="2" s="1"/>
  <c r="W7" i="2" s="1"/>
  <c r="AE7" i="2"/>
  <c r="AF94" i="2"/>
  <c r="AC94" i="2"/>
  <c r="AB94" i="2" s="1"/>
  <c r="AA94" i="2" s="1"/>
  <c r="Z94" i="2" s="1"/>
  <c r="Y94" i="2" s="1"/>
  <c r="X94" i="2" s="1"/>
  <c r="W94" i="2" s="1"/>
  <c r="AE94" i="2"/>
  <c r="AC86" i="2"/>
  <c r="AB86" i="2" s="1"/>
  <c r="AA86" i="2" s="1"/>
  <c r="Z86" i="2" s="1"/>
  <c r="Y86" i="2" s="1"/>
  <c r="X86" i="2" s="1"/>
  <c r="W86" i="2" s="1"/>
  <c r="AE86" i="2"/>
  <c r="AF78" i="2"/>
  <c r="AC78" i="2"/>
  <c r="AB78" i="2" s="1"/>
  <c r="AA78" i="2" s="1"/>
  <c r="Z78" i="2" s="1"/>
  <c r="Y78" i="2" s="1"/>
  <c r="X78" i="2" s="1"/>
  <c r="W78" i="2" s="1"/>
  <c r="AC70" i="2"/>
  <c r="AB70" i="2" s="1"/>
  <c r="AA70" i="2" s="1"/>
  <c r="Z70" i="2" s="1"/>
  <c r="Y70" i="2" s="1"/>
  <c r="X70" i="2" s="1"/>
  <c r="W70" i="2" s="1"/>
  <c r="AE70" i="2"/>
  <c r="AC62" i="2"/>
  <c r="AB62" i="2" s="1"/>
  <c r="AA62" i="2" s="1"/>
  <c r="Z62" i="2" s="1"/>
  <c r="Y62" i="2" s="1"/>
  <c r="X62" i="2" s="1"/>
  <c r="W62" i="2" s="1"/>
  <c r="AE62" i="2"/>
  <c r="AC54" i="2"/>
  <c r="AE54" i="2"/>
  <c r="AF46" i="2"/>
  <c r="AC46" i="2"/>
  <c r="AE46" i="2"/>
  <c r="AC38" i="2"/>
  <c r="AB38" i="2" s="1"/>
  <c r="AA38" i="2" s="1"/>
  <c r="Z38" i="2" s="1"/>
  <c r="Y38" i="2" s="1"/>
  <c r="X38" i="2" s="1"/>
  <c r="W38" i="2" s="1"/>
  <c r="AE38" i="2"/>
  <c r="AC30" i="2"/>
  <c r="AB30" i="2" s="1"/>
  <c r="AA30" i="2" s="1"/>
  <c r="Z30" i="2" s="1"/>
  <c r="Y30" i="2" s="1"/>
  <c r="X30" i="2" s="1"/>
  <c r="W30" i="2" s="1"/>
  <c r="AE30" i="2"/>
  <c r="AC22" i="2"/>
  <c r="AB22" i="2" s="1"/>
  <c r="AA22" i="2" s="1"/>
  <c r="Z22" i="2" s="1"/>
  <c r="Y22" i="2" s="1"/>
  <c r="X22" i="2" s="1"/>
  <c r="W22" i="2" s="1"/>
  <c r="AE22" i="2"/>
  <c r="AC14" i="2"/>
  <c r="AE14" i="2"/>
  <c r="AC6" i="2"/>
  <c r="AB6" i="2" s="1"/>
  <c r="AA6" i="2" s="1"/>
  <c r="Z6" i="2" s="1"/>
  <c r="Y6" i="2" s="1"/>
  <c r="X6" i="2" s="1"/>
  <c r="W6" i="2" s="1"/>
  <c r="AE6" i="2"/>
  <c r="AE93" i="2"/>
  <c r="AC93" i="2"/>
  <c r="AB93" i="2" s="1"/>
  <c r="AA93" i="2" s="1"/>
  <c r="Z93" i="2" s="1"/>
  <c r="Y93" i="2" s="1"/>
  <c r="X93" i="2" s="1"/>
  <c r="W93" i="2" s="1"/>
  <c r="AF85" i="2"/>
  <c r="AE85" i="2"/>
  <c r="AC85" i="2"/>
  <c r="AW85" i="2" s="1"/>
  <c r="AE77" i="2"/>
  <c r="AC77" i="2"/>
  <c r="AB77" i="2" s="1"/>
  <c r="AA77" i="2" s="1"/>
  <c r="Z77" i="2" s="1"/>
  <c r="Y77" i="2" s="1"/>
  <c r="X77" i="2" s="1"/>
  <c r="W77" i="2" s="1"/>
  <c r="AF69" i="2"/>
  <c r="AC69" i="2"/>
  <c r="AB69" i="2" s="1"/>
  <c r="AA69" i="2" s="1"/>
  <c r="Z69" i="2" s="1"/>
  <c r="Y69" i="2" s="1"/>
  <c r="X69" i="2" s="1"/>
  <c r="W69" i="2" s="1"/>
  <c r="AC61" i="2"/>
  <c r="AB61" i="2" s="1"/>
  <c r="AA61" i="2" s="1"/>
  <c r="Z61" i="2" s="1"/>
  <c r="Y61" i="2" s="1"/>
  <c r="X61" i="2" s="1"/>
  <c r="W61" i="2" s="1"/>
  <c r="AE61" i="2"/>
  <c r="AC53" i="2"/>
  <c r="AB53" i="2" s="1"/>
  <c r="AA53" i="2" s="1"/>
  <c r="Z53" i="2" s="1"/>
  <c r="Y53" i="2" s="1"/>
  <c r="X53" i="2" s="1"/>
  <c r="W53" i="2" s="1"/>
  <c r="AE53" i="2"/>
  <c r="AF45" i="2"/>
  <c r="AC45" i="2"/>
  <c r="AE45" i="2"/>
  <c r="AC37" i="2"/>
  <c r="AB37" i="2" s="1"/>
  <c r="AA37" i="2" s="1"/>
  <c r="Z37" i="2" s="1"/>
  <c r="Y37" i="2" s="1"/>
  <c r="X37" i="2" s="1"/>
  <c r="W37" i="2" s="1"/>
  <c r="AE37" i="2"/>
  <c r="AC29" i="2"/>
  <c r="AB29" i="2" s="1"/>
  <c r="AA29" i="2" s="1"/>
  <c r="Z29" i="2" s="1"/>
  <c r="Y29" i="2" s="1"/>
  <c r="X29" i="2" s="1"/>
  <c r="W29" i="2" s="1"/>
  <c r="AE29" i="2"/>
  <c r="AC21" i="2"/>
  <c r="AE21" i="2"/>
  <c r="AC13" i="2"/>
  <c r="AB13" i="2" s="1"/>
  <c r="AA13" i="2" s="1"/>
  <c r="Z13" i="2" s="1"/>
  <c r="Y13" i="2" s="1"/>
  <c r="X13" i="2" s="1"/>
  <c r="W13" i="2" s="1"/>
  <c r="AE13" i="2"/>
  <c r="AC5" i="2"/>
  <c r="AB5" i="2" s="1"/>
  <c r="AA5" i="2" s="1"/>
  <c r="Z5" i="2" s="1"/>
  <c r="Y5" i="2" s="1"/>
  <c r="X5" i="2" s="1"/>
  <c r="W5" i="2" s="1"/>
  <c r="AE5" i="2"/>
  <c r="AE100" i="2"/>
  <c r="AC100" i="2"/>
  <c r="AB100" i="2" s="1"/>
  <c r="AA100" i="2" s="1"/>
  <c r="Z100" i="2" s="1"/>
  <c r="Y100" i="2" s="1"/>
  <c r="X100" i="2" s="1"/>
  <c r="W100" i="2" s="1"/>
  <c r="AE92" i="2"/>
  <c r="AC92" i="2"/>
  <c r="AB92" i="2" s="1"/>
  <c r="AA92" i="2" s="1"/>
  <c r="Z92" i="2" s="1"/>
  <c r="Y92" i="2" s="1"/>
  <c r="X92" i="2" s="1"/>
  <c r="W92" i="2" s="1"/>
  <c r="AE84" i="2"/>
  <c r="AC84" i="2"/>
  <c r="AB84" i="2" s="1"/>
  <c r="AA84" i="2" s="1"/>
  <c r="Z84" i="2" s="1"/>
  <c r="Y84" i="2" s="1"/>
  <c r="X84" i="2" s="1"/>
  <c r="W84" i="2" s="1"/>
  <c r="AE76" i="2"/>
  <c r="AC76" i="2"/>
  <c r="AB76" i="2" s="1"/>
  <c r="AA76" i="2" s="1"/>
  <c r="Z76" i="2" s="1"/>
  <c r="Y76" i="2" s="1"/>
  <c r="X76" i="2" s="1"/>
  <c r="W76" i="2" s="1"/>
  <c r="AF68" i="2"/>
  <c r="AC68" i="2"/>
  <c r="AB68" i="2" s="1"/>
  <c r="AA68" i="2" s="1"/>
  <c r="Z68" i="2" s="1"/>
  <c r="Y68" i="2" s="1"/>
  <c r="X68" i="2" s="1"/>
  <c r="W68" i="2" s="1"/>
  <c r="AE68" i="2"/>
  <c r="AC52" i="2"/>
  <c r="AB52" i="2" s="1"/>
  <c r="AA52" i="2" s="1"/>
  <c r="Z52" i="2" s="1"/>
  <c r="Y52" i="2" s="1"/>
  <c r="X52" i="2" s="1"/>
  <c r="W52" i="2" s="1"/>
  <c r="AE52" i="2"/>
  <c r="AC44" i="2"/>
  <c r="AE44" i="2"/>
  <c r="AC36" i="2"/>
  <c r="AB36" i="2" s="1"/>
  <c r="AA36" i="2" s="1"/>
  <c r="Z36" i="2" s="1"/>
  <c r="Y36" i="2" s="1"/>
  <c r="X36" i="2" s="1"/>
  <c r="W36" i="2" s="1"/>
  <c r="AE36" i="2"/>
  <c r="AC28" i="2"/>
  <c r="AB28" i="2" s="1"/>
  <c r="AA28" i="2" s="1"/>
  <c r="Z28" i="2" s="1"/>
  <c r="Y28" i="2" s="1"/>
  <c r="X28" i="2" s="1"/>
  <c r="W28" i="2" s="1"/>
  <c r="AE28" i="2"/>
  <c r="AF20" i="2"/>
  <c r="AC20" i="2"/>
  <c r="AB20" i="2" s="1"/>
  <c r="AA20" i="2" s="1"/>
  <c r="Z20" i="2" s="1"/>
  <c r="Y20" i="2" s="1"/>
  <c r="X20" i="2" s="1"/>
  <c r="W20" i="2" s="1"/>
  <c r="AE20" i="2"/>
  <c r="AC12" i="2"/>
  <c r="AB12" i="2" s="1"/>
  <c r="AA12" i="2" s="1"/>
  <c r="Z12" i="2" s="1"/>
  <c r="Y12" i="2" s="1"/>
  <c r="X12" i="2" s="1"/>
  <c r="W12" i="2" s="1"/>
  <c r="AE12" i="2"/>
  <c r="AC4" i="2"/>
  <c r="AW4" i="2" s="1"/>
  <c r="AE4" i="2"/>
  <c r="AE99" i="2"/>
  <c r="AC99" i="2"/>
  <c r="AB99" i="2" s="1"/>
  <c r="AA99" i="2" s="1"/>
  <c r="Z99" i="2" s="1"/>
  <c r="Y99" i="2" s="1"/>
  <c r="X99" i="2" s="1"/>
  <c r="W99" i="2" s="1"/>
  <c r="AF91" i="2"/>
  <c r="AE91" i="2"/>
  <c r="AC91" i="2"/>
  <c r="AB91" i="2" s="1"/>
  <c r="AA91" i="2" s="1"/>
  <c r="Z91" i="2" s="1"/>
  <c r="Y91" i="2" s="1"/>
  <c r="X91" i="2" s="1"/>
  <c r="W91" i="2" s="1"/>
  <c r="AE83" i="2"/>
  <c r="AC83" i="2"/>
  <c r="AB83" i="2" s="1"/>
  <c r="AA83" i="2" s="1"/>
  <c r="Z83" i="2" s="1"/>
  <c r="Y83" i="2" s="1"/>
  <c r="X83" i="2" s="1"/>
  <c r="W83" i="2" s="1"/>
  <c r="AF67" i="2"/>
  <c r="AC67" i="2"/>
  <c r="AB67" i="2" s="1"/>
  <c r="AA67" i="2" s="1"/>
  <c r="Z67" i="2" s="1"/>
  <c r="Y67" i="2" s="1"/>
  <c r="X67" i="2" s="1"/>
  <c r="W67" i="2" s="1"/>
  <c r="AE67" i="2"/>
  <c r="AE59" i="2"/>
  <c r="AC59" i="2"/>
  <c r="AB59" i="2" s="1"/>
  <c r="AA59" i="2" s="1"/>
  <c r="Z59" i="2" s="1"/>
  <c r="Y59" i="2" s="1"/>
  <c r="X59" i="2" s="1"/>
  <c r="W59" i="2" s="1"/>
  <c r="AC51" i="2"/>
  <c r="AB51" i="2" s="1"/>
  <c r="AA51" i="2" s="1"/>
  <c r="Z51" i="2" s="1"/>
  <c r="Y51" i="2" s="1"/>
  <c r="X51" i="2" s="1"/>
  <c r="W51" i="2" s="1"/>
  <c r="AE51" i="2"/>
  <c r="AF43" i="2"/>
  <c r="U43" i="2" s="1"/>
  <c r="S43" i="2" s="1" a="1"/>
  <c r="AE43" i="2"/>
  <c r="AC43" i="2"/>
  <c r="AC35" i="2"/>
  <c r="AW35" i="2" s="1"/>
  <c r="AE35" i="2"/>
  <c r="AE27" i="2"/>
  <c r="AC27" i="2"/>
  <c r="AF19" i="2"/>
  <c r="AE19" i="2"/>
  <c r="AC19" i="2"/>
  <c r="AE11" i="2"/>
  <c r="AC11" i="2"/>
  <c r="AB11" i="2" s="1"/>
  <c r="AA11" i="2" s="1"/>
  <c r="Z11" i="2" s="1"/>
  <c r="Y11" i="2" s="1"/>
  <c r="X11" i="2" s="1"/>
  <c r="W11" i="2" s="1"/>
  <c r="AC3" i="2"/>
  <c r="AB3" i="2" s="1"/>
  <c r="AA3" i="2" s="1"/>
  <c r="Z3" i="2" s="1"/>
  <c r="Y3" i="2" s="1"/>
  <c r="X3" i="2" s="1"/>
  <c r="W3" i="2" s="1"/>
  <c r="AE3" i="2"/>
  <c r="AE98" i="2"/>
  <c r="AC98" i="2"/>
  <c r="AB98" i="2" s="1"/>
  <c r="AA98" i="2" s="1"/>
  <c r="Z98" i="2" s="1"/>
  <c r="Y98" i="2" s="1"/>
  <c r="X98" i="2" s="1"/>
  <c r="W98" i="2" s="1"/>
  <c r="AE90" i="2"/>
  <c r="AC90" i="2"/>
  <c r="AB90" i="2" s="1"/>
  <c r="AA90" i="2" s="1"/>
  <c r="Z90" i="2" s="1"/>
  <c r="Y90" i="2" s="1"/>
  <c r="X90" i="2" s="1"/>
  <c r="W90" i="2" s="1"/>
  <c r="AE82" i="2"/>
  <c r="AC82" i="2"/>
  <c r="AB82" i="2" s="1"/>
  <c r="AA82" i="2" s="1"/>
  <c r="Z82" i="2" s="1"/>
  <c r="Y82" i="2" s="1"/>
  <c r="X82" i="2" s="1"/>
  <c r="W82" i="2" s="1"/>
  <c r="AE74" i="2"/>
  <c r="AC74" i="2"/>
  <c r="AB74" i="2" s="1"/>
  <c r="AA74" i="2" s="1"/>
  <c r="Z74" i="2" s="1"/>
  <c r="Y74" i="2" s="1"/>
  <c r="X74" i="2" s="1"/>
  <c r="W74" i="2" s="1"/>
  <c r="AF66" i="2"/>
  <c r="AC66" i="2"/>
  <c r="AB66" i="2" s="1"/>
  <c r="AA66" i="2" s="1"/>
  <c r="Z66" i="2" s="1"/>
  <c r="Y66" i="2" s="1"/>
  <c r="X66" i="2" s="1"/>
  <c r="W66" i="2" s="1"/>
  <c r="AE58" i="2"/>
  <c r="AC58" i="2"/>
  <c r="AB58" i="2" s="1"/>
  <c r="AA58" i="2" s="1"/>
  <c r="Z58" i="2" s="1"/>
  <c r="Y58" i="2" s="1"/>
  <c r="X58" i="2" s="1"/>
  <c r="W58" i="2" s="1"/>
  <c r="AC50" i="2"/>
  <c r="AB50" i="2" s="1"/>
  <c r="AA50" i="2" s="1"/>
  <c r="Z50" i="2" s="1"/>
  <c r="Y50" i="2" s="1"/>
  <c r="X50" i="2" s="1"/>
  <c r="W50" i="2" s="1"/>
  <c r="AE50" i="2"/>
  <c r="AF42" i="2"/>
  <c r="AE42" i="2"/>
  <c r="AC42" i="2"/>
  <c r="AB42" i="2" s="1"/>
  <c r="AA42" i="2" s="1"/>
  <c r="Z42" i="2" s="1"/>
  <c r="Y42" i="2" s="1"/>
  <c r="X42" i="2" s="1"/>
  <c r="W42" i="2" s="1"/>
  <c r="AC34" i="2"/>
  <c r="AB34" i="2" s="1"/>
  <c r="AA34" i="2" s="1"/>
  <c r="Z34" i="2" s="1"/>
  <c r="Y34" i="2" s="1"/>
  <c r="X34" i="2" s="1"/>
  <c r="W34" i="2" s="1"/>
  <c r="AE34" i="2"/>
  <c r="AC26" i="2"/>
  <c r="AE26" i="2"/>
  <c r="AC18" i="2"/>
  <c r="AE18" i="2"/>
  <c r="AC10" i="2"/>
  <c r="AB10" i="2" s="1"/>
  <c r="AA10" i="2" s="1"/>
  <c r="Z10" i="2" s="1"/>
  <c r="Y10" i="2" s="1"/>
  <c r="X10" i="2" s="1"/>
  <c r="W10" i="2" s="1"/>
  <c r="AE10" i="2"/>
  <c r="AC2" i="2"/>
  <c r="AB2" i="2" s="1"/>
  <c r="AA2" i="2" s="1"/>
  <c r="Z2" i="2" s="1"/>
  <c r="Y2" i="2" s="1"/>
  <c r="X2" i="2" s="1"/>
  <c r="W2" i="2" s="1"/>
  <c r="AE2" i="2"/>
  <c r="AX93" i="2"/>
  <c r="AX59" i="2"/>
  <c r="T41" i="2"/>
  <c r="AX13" i="2"/>
  <c r="T13" i="2"/>
  <c r="AX91" i="2"/>
  <c r="AX74" i="2"/>
  <c r="AX12" i="2"/>
  <c r="AX73" i="2"/>
  <c r="T73" i="2"/>
  <c r="AX38" i="2"/>
  <c r="T38" i="2"/>
  <c r="AX26" i="2"/>
  <c r="AX67" i="2"/>
  <c r="T67" i="2"/>
  <c r="AX37" i="2"/>
  <c r="T5" i="2"/>
  <c r="T99" i="2"/>
  <c r="AX86" i="2"/>
  <c r="AX50" i="2"/>
  <c r="T17" i="2"/>
  <c r="T4" i="2"/>
  <c r="AX98" i="2"/>
  <c r="T35" i="2"/>
  <c r="T3" i="2"/>
  <c r="AX97" i="2"/>
  <c r="T79" i="2"/>
  <c r="AX62" i="2"/>
  <c r="AX77" i="2"/>
  <c r="AX61" i="2"/>
  <c r="T61" i="2"/>
  <c r="AX29" i="2"/>
  <c r="N48" i="1"/>
  <c r="N47" i="1"/>
  <c r="N46" i="1"/>
  <c r="N24" i="1"/>
  <c r="N23" i="1"/>
  <c r="N35" i="1"/>
  <c r="N34" i="1"/>
  <c r="N36" i="1"/>
  <c r="N22" i="1"/>
  <c r="N37" i="1"/>
  <c r="N33" i="1"/>
  <c r="N12" i="1"/>
  <c r="N11" i="1"/>
  <c r="N10" i="1"/>
  <c r="N9" i="1"/>
  <c r="N31" i="1"/>
  <c r="N19" i="1"/>
  <c r="N21" i="1"/>
  <c r="N54" i="1"/>
  <c r="N53" i="1"/>
  <c r="N29" i="1"/>
  <c r="N61" i="1"/>
  <c r="N60" i="1"/>
  <c r="N5" i="1"/>
  <c r="N65" i="1"/>
  <c r="N64" i="1"/>
  <c r="N52" i="1"/>
  <c r="N7" i="1"/>
  <c r="N63" i="1"/>
  <c r="N27" i="1"/>
  <c r="N62" i="1"/>
  <c r="N13" i="1"/>
  <c r="N8" i="1"/>
  <c r="N16" i="1"/>
  <c r="N17" i="1"/>
  <c r="N40" i="1"/>
  <c r="N45" i="1"/>
  <c r="N44" i="1"/>
  <c r="N50" i="1"/>
  <c r="N43" i="1"/>
  <c r="N42" i="1"/>
  <c r="N41" i="1"/>
  <c r="N39" i="1"/>
  <c r="N18" i="1"/>
  <c r="N20" i="1"/>
  <c r="N30" i="1"/>
  <c r="N28" i="1"/>
  <c r="N15" i="1"/>
  <c r="N14" i="1"/>
  <c r="N38" i="1"/>
  <c r="N51" i="1"/>
  <c r="N32" i="1"/>
  <c r="C6" i="1"/>
  <c r="C55" i="1"/>
  <c r="C56" i="1"/>
  <c r="C57" i="1"/>
  <c r="C58" i="1"/>
  <c r="C59" i="1"/>
  <c r="C5" i="1"/>
  <c r="C16" i="1"/>
  <c r="C28" i="1"/>
  <c r="C40" i="1"/>
  <c r="C52" i="1"/>
  <c r="C64" i="1"/>
  <c r="C17" i="1"/>
  <c r="C29" i="1"/>
  <c r="C41" i="1"/>
  <c r="C53" i="1"/>
  <c r="C65" i="1"/>
  <c r="C4" i="1"/>
  <c r="C18" i="1"/>
  <c r="C30" i="1"/>
  <c r="C42" i="1"/>
  <c r="C54" i="1"/>
  <c r="C3" i="1"/>
  <c r="C7" i="1"/>
  <c r="C19" i="1"/>
  <c r="C31" i="1"/>
  <c r="C43" i="1"/>
  <c r="C8" i="1"/>
  <c r="C20" i="1"/>
  <c r="C32" i="1"/>
  <c r="C44" i="1"/>
  <c r="C9" i="1"/>
  <c r="C21" i="1"/>
  <c r="C33" i="1"/>
  <c r="C45" i="1"/>
  <c r="C10" i="1"/>
  <c r="C22" i="1"/>
  <c r="C34" i="1"/>
  <c r="C46" i="1"/>
  <c r="C51" i="1"/>
  <c r="C11" i="1"/>
  <c r="C23" i="1"/>
  <c r="C35" i="1"/>
  <c r="C47" i="1"/>
  <c r="C63" i="1"/>
  <c r="C12" i="1"/>
  <c r="C24" i="1"/>
  <c r="C36" i="1"/>
  <c r="C48" i="1"/>
  <c r="C60" i="1"/>
  <c r="C27" i="1"/>
  <c r="C13" i="1"/>
  <c r="C25" i="1"/>
  <c r="C37" i="1"/>
  <c r="C49" i="1"/>
  <c r="C61" i="1"/>
  <c r="C39" i="1"/>
  <c r="C14" i="1"/>
  <c r="C26" i="1"/>
  <c r="C38" i="1"/>
  <c r="C50" i="1"/>
  <c r="C62" i="1"/>
  <c r="C15" i="1"/>
  <c r="AF44" i="2"/>
  <c r="CN2" i="4"/>
  <c r="CL2" i="4" s="1"/>
  <c r="CK2" i="4" s="1"/>
  <c r="H91" i="2"/>
  <c r="AG4" i="4"/>
  <c r="G60" i="1"/>
  <c r="G65" i="1"/>
  <c r="AF11" i="2"/>
  <c r="CP2" i="4"/>
  <c r="AF56" i="2"/>
  <c r="AF10" i="2"/>
  <c r="AF55" i="2"/>
  <c r="AF12" i="2"/>
  <c r="AF37" i="2"/>
  <c r="AF13" i="2"/>
  <c r="N2" i="4"/>
  <c r="AF97" i="2"/>
  <c r="AF61" i="2"/>
  <c r="AF93" i="2"/>
  <c r="AF9" i="2"/>
  <c r="AF92" i="2"/>
  <c r="U92" i="2" s="1"/>
  <c r="S92" i="2" s="1" a="1"/>
  <c r="AF53" i="2"/>
  <c r="CP5" i="4"/>
  <c r="BE38" i="2"/>
  <c r="H38" i="2"/>
  <c r="AF60" i="2"/>
  <c r="AF58" i="2"/>
  <c r="AF59" i="2"/>
  <c r="AF36" i="2"/>
  <c r="AF84" i="2"/>
  <c r="AF35" i="2"/>
  <c r="AF83" i="2"/>
  <c r="AF34" i="2"/>
  <c r="AG2" i="4"/>
  <c r="AF82" i="2"/>
  <c r="AF33" i="2"/>
  <c r="AF81" i="2"/>
  <c r="AF80" i="2"/>
  <c r="AF70" i="2"/>
  <c r="AF21" i="2"/>
  <c r="AF22" i="2"/>
  <c r="U22" i="2" s="1"/>
  <c r="S22" i="2" s="1" a="1"/>
  <c r="H36" i="2"/>
  <c r="AF48" i="2"/>
  <c r="H24" i="2"/>
  <c r="AF96" i="2"/>
  <c r="H14" i="2"/>
  <c r="AF88" i="2"/>
  <c r="U88" i="2" s="1"/>
  <c r="S88" i="2" s="1" a="1"/>
  <c r="AF64" i="2"/>
  <c r="AF40" i="2"/>
  <c r="U40" i="2" s="1"/>
  <c r="S40" i="2" s="1" a="1"/>
  <c r="AF4" i="2"/>
  <c r="AF18" i="2"/>
  <c r="BE86" i="2"/>
  <c r="H86" i="2"/>
  <c r="BE84" i="2"/>
  <c r="H84" i="2"/>
  <c r="H26" i="2"/>
  <c r="BV4" i="4"/>
  <c r="BU4" i="4"/>
  <c r="BE50" i="2"/>
  <c r="H50" i="2"/>
  <c r="AF54" i="2"/>
  <c r="BE48" i="2"/>
  <c r="H48" i="2"/>
  <c r="AF90" i="2"/>
  <c r="AF30" i="2"/>
  <c r="BW5" i="4"/>
  <c r="BV5" i="4"/>
  <c r="BU5" i="4"/>
  <c r="AG5" i="4"/>
  <c r="AF89" i="2"/>
  <c r="AF77" i="2"/>
  <c r="AF29" i="2"/>
  <c r="AF17" i="2"/>
  <c r="AF100" i="2"/>
  <c r="AF76" i="2"/>
  <c r="AF52" i="2"/>
  <c r="AF28" i="2"/>
  <c r="AF16" i="2"/>
  <c r="AF75" i="2"/>
  <c r="AF63" i="2"/>
  <c r="AF95" i="2"/>
  <c r="U95" i="2" s="1"/>
  <c r="S95" i="2" s="1" a="1"/>
  <c r="AF47" i="2"/>
  <c r="AF79" i="2"/>
  <c r="AF31" i="2"/>
  <c r="U49" i="2"/>
  <c r="S49" i="2" s="1" a="1"/>
  <c r="H74" i="2"/>
  <c r="H62" i="2"/>
  <c r="AF73" i="2"/>
  <c r="AF24" i="2"/>
  <c r="AF71" i="2"/>
  <c r="AF23" i="2"/>
  <c r="H98" i="2"/>
  <c r="G64" i="1"/>
  <c r="H96" i="2"/>
  <c r="G63" i="1"/>
  <c r="AX99" i="2"/>
  <c r="AX87" i="2"/>
  <c r="AX51" i="2"/>
  <c r="AX39" i="2"/>
  <c r="AX15" i="2"/>
  <c r="AX3" i="2"/>
  <c r="BE83" i="2"/>
  <c r="H83" i="2"/>
  <c r="BE33" i="2"/>
  <c r="H33" i="2"/>
  <c r="AJ5" i="4"/>
  <c r="AK5" i="4" s="1"/>
  <c r="BW2" i="4"/>
  <c r="BE49" i="2"/>
  <c r="H49" i="2"/>
  <c r="AJ4" i="4"/>
  <c r="AK4" i="4" s="1"/>
  <c r="AX96" i="2"/>
  <c r="AX48" i="2"/>
  <c r="AX36" i="2"/>
  <c r="BE97" i="2"/>
  <c r="H97" i="2"/>
  <c r="AX35" i="2"/>
  <c r="BE47" i="2"/>
  <c r="H47" i="2"/>
  <c r="BE91" i="2"/>
  <c r="BE55" i="2"/>
  <c r="H55" i="2"/>
  <c r="BE43" i="2"/>
  <c r="H43" i="2"/>
  <c r="BE31" i="2"/>
  <c r="H31" i="2"/>
  <c r="AJ2" i="4"/>
  <c r="AK2" i="4" s="1"/>
  <c r="U94" i="2"/>
  <c r="S94" i="2" s="1" a="1"/>
  <c r="U82" i="2"/>
  <c r="U70" i="2"/>
  <c r="U58" i="2"/>
  <c r="U46" i="2"/>
  <c r="S46" i="2" s="1" a="1"/>
  <c r="U34" i="2"/>
  <c r="S34" i="2" s="1" a="1"/>
  <c r="U10" i="2"/>
  <c r="S10" i="2" s="1" a="1"/>
  <c r="BE95" i="2"/>
  <c r="H95" i="2"/>
  <c r="H71" i="2"/>
  <c r="BE90" i="2"/>
  <c r="H90" i="2"/>
  <c r="BE54" i="2"/>
  <c r="H54" i="2"/>
  <c r="BE42" i="2"/>
  <c r="H42" i="2"/>
  <c r="BE30" i="2"/>
  <c r="H30" i="2"/>
  <c r="CN5" i="4"/>
  <c r="AX33" i="2"/>
  <c r="H45" i="2"/>
  <c r="BE45" i="2"/>
  <c r="H23" i="2"/>
  <c r="BE89" i="2"/>
  <c r="H89" i="2"/>
  <c r="H77" i="2"/>
  <c r="H65" i="2"/>
  <c r="BE53" i="2"/>
  <c r="H53" i="2"/>
  <c r="BE41" i="2"/>
  <c r="H41" i="2"/>
  <c r="BE29" i="2"/>
  <c r="H29" i="2"/>
  <c r="BU2" i="4"/>
  <c r="CN4" i="4"/>
  <c r="U80" i="2"/>
  <c r="U68" i="2"/>
  <c r="U56" i="2"/>
  <c r="S56" i="2" s="1" a="1"/>
  <c r="U44" i="2"/>
  <c r="S44" i="2" s="1" a="1"/>
  <c r="U32" i="2"/>
  <c r="S32" i="2" s="1" a="1"/>
  <c r="U20" i="2"/>
  <c r="U8" i="2"/>
  <c r="S8" i="2" s="1" a="1"/>
  <c r="BE93" i="2"/>
  <c r="H93" i="2"/>
  <c r="BE100" i="2"/>
  <c r="BE88" i="2"/>
  <c r="H88" i="2"/>
  <c r="BE52" i="2"/>
  <c r="H52" i="2"/>
  <c r="BE40" i="2"/>
  <c r="H40" i="2"/>
  <c r="BE28" i="2"/>
  <c r="H28" i="2"/>
  <c r="H21" i="2"/>
  <c r="BE99" i="2"/>
  <c r="H99" i="2"/>
  <c r="BE87" i="2"/>
  <c r="H87" i="2"/>
  <c r="BE51" i="2"/>
  <c r="H51" i="2"/>
  <c r="BE39" i="2"/>
  <c r="H39" i="2"/>
  <c r="BE27" i="2"/>
  <c r="H27" i="2"/>
  <c r="H15" i="2"/>
  <c r="U90" i="2"/>
  <c r="U54" i="2"/>
  <c r="S54" i="2" s="1" a="1"/>
  <c r="U42" i="2"/>
  <c r="S42" i="2" s="1" a="1"/>
  <c r="U30" i="2"/>
  <c r="S30" i="2" s="1" a="1"/>
  <c r="U18" i="2"/>
  <c r="S18" i="2" s="1" a="1"/>
  <c r="U6" i="2"/>
  <c r="S6" i="2" s="1" a="1"/>
  <c r="AX89" i="2"/>
  <c r="AX65" i="2"/>
  <c r="AX53" i="2"/>
  <c r="AX41" i="2"/>
  <c r="AX17" i="2"/>
  <c r="AX5" i="2"/>
  <c r="BE85" i="2"/>
  <c r="H85" i="2"/>
  <c r="BE59" i="2"/>
  <c r="H59" i="2"/>
  <c r="CP4" i="4"/>
  <c r="AX100" i="2"/>
  <c r="AX52" i="2"/>
  <c r="AX4" i="2"/>
  <c r="BE35" i="2"/>
  <c r="H35" i="2"/>
  <c r="AX64" i="2"/>
  <c r="AX47" i="2"/>
  <c r="AX16" i="2"/>
  <c r="AX45" i="2"/>
  <c r="U55" i="2"/>
  <c r="S55" i="2" s="1" a="1"/>
  <c r="U31" i="2"/>
  <c r="S31" i="2" s="1" a="1"/>
  <c r="U19" i="2"/>
  <c r="U7" i="2"/>
  <c r="S7" i="2" s="1" a="1"/>
  <c r="H37" i="2"/>
  <c r="AX76" i="2"/>
  <c r="AX28" i="2"/>
  <c r="AX11" i="2"/>
  <c r="AX27" i="2"/>
  <c r="U24" i="2"/>
  <c r="S24" i="2" s="1" a="1"/>
  <c r="U9" i="2"/>
  <c r="S9" i="2" s="1" a="1"/>
  <c r="H94" i="2"/>
  <c r="H46" i="2"/>
  <c r="H34" i="2"/>
  <c r="H22" i="2"/>
  <c r="U71" i="2"/>
  <c r="U23" i="2"/>
  <c r="AX79" i="2"/>
  <c r="AX14" i="2"/>
  <c r="H80" i="2"/>
  <c r="H68" i="2"/>
  <c r="H56" i="2"/>
  <c r="H44" i="2"/>
  <c r="H32" i="2"/>
  <c r="H8" i="2"/>
  <c r="U84" i="2"/>
  <c r="U21" i="2"/>
  <c r="S21" i="2" s="1" a="1"/>
  <c r="AX85" i="2"/>
  <c r="AX25" i="2"/>
  <c r="U83" i="2"/>
  <c r="AF99" i="2"/>
  <c r="AF87" i="2"/>
  <c r="AF51" i="2"/>
  <c r="AF39" i="2"/>
  <c r="AF27" i="2"/>
  <c r="AF15" i="2"/>
  <c r="AF3" i="2"/>
  <c r="AF98" i="2"/>
  <c r="AF86" i="2"/>
  <c r="AF74" i="2"/>
  <c r="AF62" i="2"/>
  <c r="AF50" i="2"/>
  <c r="AF38" i="2"/>
  <c r="AF26" i="2"/>
  <c r="AF14" i="2"/>
  <c r="AF2" i="2"/>
  <c r="U2" i="2" s="1"/>
  <c r="H2" i="49"/>
  <c r="M5" i="6"/>
  <c r="S82" i="2" a="1"/>
  <c r="S70" i="2" a="1"/>
  <c r="S58" i="2" a="1"/>
  <c r="S83" i="2" a="1"/>
  <c r="S68" i="2" a="1"/>
  <c r="S85" i="2" a="1"/>
  <c r="S2" i="2" a="1"/>
  <c r="S80" i="2" a="1"/>
  <c r="S71" i="2" a="1"/>
  <c r="S84" i="2" a="1"/>
  <c r="S90" i="2" a="1"/>
  <c r="Q220" i="22"/>
  <c r="Q275" i="22"/>
  <c r="Q387" i="22"/>
  <c r="Q231" i="22"/>
  <c r="Q128" i="22"/>
  <c r="Q346" i="22"/>
  <c r="Q319" i="22"/>
  <c r="Q368" i="22"/>
  <c r="Q15" i="22"/>
  <c r="Q255" i="22"/>
  <c r="Q209" i="22"/>
  <c r="Q378" i="22"/>
  <c r="Q223" i="22"/>
  <c r="Q181" i="22"/>
  <c r="Q202" i="22"/>
  <c r="Q354" i="22"/>
  <c r="Q84" i="22"/>
  <c r="Q235" i="22"/>
  <c r="Q95" i="22"/>
  <c r="Q345" i="22"/>
  <c r="Q252" i="22"/>
  <c r="Q137" i="22"/>
  <c r="Q268" i="22"/>
  <c r="Q402" i="22"/>
  <c r="Q93" i="22"/>
  <c r="Q253" i="22"/>
  <c r="Q269" i="22"/>
  <c r="Q344" i="22"/>
  <c r="Q406" i="22"/>
  <c r="Q91" i="22"/>
  <c r="Q298" i="22"/>
  <c r="Q108" i="22"/>
  <c r="Q198" i="22"/>
  <c r="Q205" i="22"/>
  <c r="Q256" i="22"/>
  <c r="Q16" i="22"/>
  <c r="Q130" i="22"/>
  <c r="Q211" i="22"/>
  <c r="Q294" i="22"/>
  <c r="Q270" i="22"/>
  <c r="Q386" i="22"/>
  <c r="Q251" i="22"/>
  <c r="Q119" i="22"/>
  <c r="Q408" i="22"/>
  <c r="Q238" i="22"/>
  <c r="Q287" i="22"/>
  <c r="Q242" i="22"/>
  <c r="Q245" i="22"/>
  <c r="Q372" i="22"/>
  <c r="Q390" i="22"/>
  <c r="Q318" i="22"/>
  <c r="Q363" i="22"/>
  <c r="Q254" i="22"/>
  <c r="Q409" i="22"/>
  <c r="Q232" i="22"/>
  <c r="Q370" i="22"/>
  <c r="Q178" i="22"/>
  <c r="Q133" i="22"/>
  <c r="Q292" i="22"/>
  <c r="Q99" i="22"/>
  <c r="Q144" i="22"/>
  <c r="Q239" i="22"/>
  <c r="Q141" i="22"/>
  <c r="Q284" i="22"/>
  <c r="Q399" i="22"/>
  <c r="Q375" i="22"/>
  <c r="Q63" i="22"/>
  <c r="Q207" i="22"/>
  <c r="Q265" i="22"/>
  <c r="Q422" i="22"/>
  <c r="Q20" i="22"/>
  <c r="Q282" i="22"/>
  <c r="Q300" i="22"/>
  <c r="Q398" i="22"/>
  <c r="Q176" i="22"/>
  <c r="Q136" i="22"/>
  <c r="Q157" i="22"/>
  <c r="Q258" i="22"/>
  <c r="Q116" i="22"/>
  <c r="Q377" i="22"/>
  <c r="Q325" i="22"/>
  <c r="Q19" i="22"/>
  <c r="Q132" i="22"/>
  <c r="Q229" i="22"/>
  <c r="Q295" i="22"/>
  <c r="Q389" i="22"/>
  <c r="Q145" i="22"/>
  <c r="Q291" i="22"/>
  <c r="Q283" i="22"/>
  <c r="Q347" i="22"/>
  <c r="Q135" i="22"/>
  <c r="Q237" i="22"/>
  <c r="Q293" i="22"/>
  <c r="Q249" i="22"/>
  <c r="Q196" i="22"/>
  <c r="Q357" i="22"/>
  <c r="Q26" i="22"/>
  <c r="Q208" i="22"/>
  <c r="Q106" i="22"/>
  <c r="Q113" i="22"/>
  <c r="Q277" i="22"/>
  <c r="Q36" i="22"/>
  <c r="Q21" i="22"/>
  <c r="Q96" i="22"/>
  <c r="Q35" i="22"/>
  <c r="Q328" i="22"/>
  <c r="Q12" i="22"/>
  <c r="Q222" i="22"/>
  <c r="Q169" i="22"/>
  <c r="Q139" i="22"/>
  <c r="Q260" i="22"/>
  <c r="Q240" i="22"/>
  <c r="Q153" i="22"/>
  <c r="Q87" i="22"/>
  <c r="Q17" i="22"/>
  <c r="Q199" i="22"/>
  <c r="Q273" i="22"/>
  <c r="Q213" i="22"/>
  <c r="Q171" i="22"/>
  <c r="Q384" i="22"/>
  <c r="Q278" i="22"/>
  <c r="Q364" i="22"/>
  <c r="Q25" i="22"/>
  <c r="Q247" i="22"/>
  <c r="Q342" i="22"/>
  <c r="Q396" i="22"/>
  <c r="Q112" i="22"/>
  <c r="Q304" i="22"/>
  <c r="Q182" i="22"/>
  <c r="Q147" i="22"/>
  <c r="Q86" i="22"/>
  <c r="Q418" i="22"/>
  <c r="Q173" i="22"/>
  <c r="Q158" i="22"/>
  <c r="Q302" i="22"/>
  <c r="Q381" i="22"/>
  <c r="Q383" i="22"/>
  <c r="Q197" i="22"/>
  <c r="Q236" i="22"/>
  <c r="Q404" i="22"/>
  <c r="Q88" i="22"/>
  <c r="Q124" i="22"/>
  <c r="Q355" i="22"/>
  <c r="Q127" i="22"/>
  <c r="Q160" i="22"/>
  <c r="Q177" i="22"/>
  <c r="Q143" i="22"/>
  <c r="Q391" i="22"/>
  <c r="Q233" i="22"/>
  <c r="Q98" i="22"/>
  <c r="Q188" i="22"/>
  <c r="Q172" i="22"/>
  <c r="Q224" i="22"/>
  <c r="Q400" i="22"/>
  <c r="Q126" i="22"/>
  <c r="Q327" i="22"/>
  <c r="Q261" i="22"/>
  <c r="Q85" i="22"/>
  <c r="Q18" i="22"/>
  <c r="Q90" i="22"/>
  <c r="Q329" i="22"/>
  <c r="Q331" i="22"/>
  <c r="Q33" i="22"/>
  <c r="Q100" i="22"/>
  <c r="Q250" i="22"/>
  <c r="Q303" i="22"/>
  <c r="Q216" i="22"/>
  <c r="Q170" i="22"/>
  <c r="Q214" i="22"/>
  <c r="Q227" i="22"/>
  <c r="Q115" i="22"/>
  <c r="Q175" i="22"/>
  <c r="Q276" i="22"/>
  <c r="Q215" i="22"/>
  <c r="Q134" i="22"/>
  <c r="Q272" i="22"/>
  <c r="Q189" i="22"/>
  <c r="Q288" i="22"/>
  <c r="Q159" i="22"/>
  <c r="Q111" i="22"/>
  <c r="Q27" i="22"/>
  <c r="Q376" i="22"/>
  <c r="Q217" i="22"/>
  <c r="Q257" i="22"/>
  <c r="Q259" i="22"/>
  <c r="Q83" i="22"/>
  <c r="Q322" i="22"/>
  <c r="Q161" i="22"/>
  <c r="Q89" i="22"/>
  <c r="Q271" i="22"/>
  <c r="Q417" i="22"/>
  <c r="Q338" i="22"/>
  <c r="Q114" i="22"/>
  <c r="Q2" i="22"/>
  <c r="Q246" i="22"/>
  <c r="Q374" i="22"/>
  <c r="Q410" i="22"/>
  <c r="Q152" i="22"/>
  <c r="Q317" i="22"/>
  <c r="Q388" i="22"/>
  <c r="Q352" i="22"/>
  <c r="Q243" i="22"/>
  <c r="Q416" i="22"/>
  <c r="Q203" i="22"/>
  <c r="Q94" i="22"/>
  <c r="Q230" i="22"/>
  <c r="Q156" i="22"/>
  <c r="Q226" i="22"/>
  <c r="Q285" i="22"/>
  <c r="Q218" i="22"/>
  <c r="Q155" i="22"/>
  <c r="Q324" i="22"/>
  <c r="Q219" i="22"/>
  <c r="Q117" i="22"/>
  <c r="Q162" i="22"/>
  <c r="Q34" i="22"/>
  <c r="Q122" i="22"/>
  <c r="Q131" i="22"/>
  <c r="Q244" i="22"/>
  <c r="Q241" i="22"/>
  <c r="Q297" i="22"/>
  <c r="Q150" i="22"/>
  <c r="Q371" i="22"/>
  <c r="Q123" i="22"/>
  <c r="Q151" i="22"/>
  <c r="Q321" i="22"/>
  <c r="Q373" i="22"/>
  <c r="Q109" i="22"/>
  <c r="Q407" i="22"/>
  <c r="Q421" i="22"/>
  <c r="Q149" i="22"/>
  <c r="Q129" i="22"/>
  <c r="Q301" i="22"/>
  <c r="Q163" i="22"/>
  <c r="Q394" i="22"/>
  <c r="Q358" i="22"/>
  <c r="Q323" i="22"/>
  <c r="Q266" i="22"/>
  <c r="Q148" i="22"/>
  <c r="Q140" i="22"/>
  <c r="Q107" i="22"/>
  <c r="Q23" i="22"/>
  <c r="Q330" i="22"/>
  <c r="Q120" i="22"/>
  <c r="Q366" i="22"/>
  <c r="Q279" i="22"/>
  <c r="Q82" i="22"/>
  <c r="Q206" i="22"/>
  <c r="Q221" i="22"/>
  <c r="Q367" i="22"/>
  <c r="Q403" i="22"/>
  <c r="Q379" i="22"/>
  <c r="Q22" i="22"/>
  <c r="Q274" i="22"/>
  <c r="Q264" i="22"/>
  <c r="Q125" i="22"/>
  <c r="Q356" i="22"/>
  <c r="Q290" i="22"/>
  <c r="Q97" i="22"/>
  <c r="Q110" i="22"/>
  <c r="Q11" i="22"/>
  <c r="Q289" i="22"/>
  <c r="Q267" i="22"/>
  <c r="Q332" i="22"/>
  <c r="Q24" i="22"/>
  <c r="Q200" i="22"/>
  <c r="Q385" i="22"/>
  <c r="Q395" i="22"/>
  <c r="Q225" i="22"/>
  <c r="Q92" i="22"/>
  <c r="Q281" i="22"/>
  <c r="Q179" i="22"/>
  <c r="Q262" i="22"/>
  <c r="Q248" i="22"/>
  <c r="Q380" i="22"/>
  <c r="Q320" i="22"/>
  <c r="Q286" i="22"/>
  <c r="Q14" i="22"/>
  <c r="Q142" i="22"/>
  <c r="Q210" i="22"/>
  <c r="Q118" i="22"/>
  <c r="Q13" i="22"/>
  <c r="Q326" i="22"/>
  <c r="Q397" i="22"/>
  <c r="Q405" i="22"/>
  <c r="Q138" i="22"/>
  <c r="Q263" i="22"/>
  <c r="Q296" i="22"/>
  <c r="Q212" i="22"/>
  <c r="Q234" i="22"/>
  <c r="Q228" i="22"/>
  <c r="Q419" i="22"/>
  <c r="Q382" i="22"/>
  <c r="Q180" i="22"/>
  <c r="Q146" i="22"/>
  <c r="Q280" i="22"/>
  <c r="Q204" i="22"/>
  <c r="Q174" i="22"/>
  <c r="Q401" i="22"/>
  <c r="Q190" i="22"/>
  <c r="Q201" i="22"/>
  <c r="Q37" i="22"/>
  <c r="Q121" i="22"/>
  <c r="BE77" i="2" l="1"/>
  <c r="T65" i="2"/>
  <c r="AB18" i="2"/>
  <c r="AA18" i="2" s="1"/>
  <c r="Z18" i="2" s="1"/>
  <c r="Y18" i="2" s="1"/>
  <c r="X18" i="2" s="1"/>
  <c r="W18" i="2" s="1"/>
  <c r="AW18" i="2"/>
  <c r="AB40" i="2"/>
  <c r="AA40" i="2" s="1"/>
  <c r="Z40" i="2" s="1"/>
  <c r="Y40" i="2" s="1"/>
  <c r="X40" i="2" s="1"/>
  <c r="W40" i="2" s="1"/>
  <c r="AW40" i="2"/>
  <c r="AB43" i="2"/>
  <c r="AA43" i="2" s="1"/>
  <c r="Z43" i="2" s="1"/>
  <c r="Y43" i="2" s="1"/>
  <c r="X43" i="2" s="1"/>
  <c r="W43" i="2" s="1"/>
  <c r="AW43" i="2"/>
  <c r="AB21" i="2"/>
  <c r="AA21" i="2" s="1"/>
  <c r="Z21" i="2" s="1"/>
  <c r="Y21" i="2" s="1"/>
  <c r="X21" i="2" s="1"/>
  <c r="W21" i="2" s="1"/>
  <c r="AW21" i="2"/>
  <c r="AB14" i="2"/>
  <c r="AA14" i="2" s="1"/>
  <c r="Z14" i="2" s="1"/>
  <c r="Y14" i="2" s="1"/>
  <c r="X14" i="2" s="1"/>
  <c r="W14" i="2" s="1"/>
  <c r="AW14" i="2"/>
  <c r="AZ14" i="2" s="1"/>
  <c r="AB46" i="2"/>
  <c r="AA46" i="2" s="1"/>
  <c r="Z46" i="2" s="1"/>
  <c r="Y46" i="2" s="1"/>
  <c r="X46" i="2" s="1"/>
  <c r="W46" i="2" s="1"/>
  <c r="AB39" i="2"/>
  <c r="AA39" i="2" s="1"/>
  <c r="Z39" i="2" s="1"/>
  <c r="Y39" i="2" s="1"/>
  <c r="X39" i="2" s="1"/>
  <c r="W39" i="2" s="1"/>
  <c r="AW39" i="2"/>
  <c r="AZ39" i="2" s="1"/>
  <c r="AB16" i="2"/>
  <c r="AA16" i="2" s="1"/>
  <c r="Z16" i="2" s="1"/>
  <c r="Y16" i="2" s="1"/>
  <c r="X16" i="2" s="1"/>
  <c r="W16" i="2" s="1"/>
  <c r="AW16" i="2"/>
  <c r="AZ16" i="2" s="1"/>
  <c r="AB41" i="2"/>
  <c r="AA41" i="2" s="1"/>
  <c r="Z41" i="2" s="1"/>
  <c r="Y41" i="2" s="1"/>
  <c r="X41" i="2" s="1"/>
  <c r="W41" i="2" s="1"/>
  <c r="AW41" i="2"/>
  <c r="AZ41" i="2" s="1"/>
  <c r="AB26" i="2"/>
  <c r="AA26" i="2" s="1"/>
  <c r="Z26" i="2" s="1"/>
  <c r="Y26" i="2" s="1"/>
  <c r="X26" i="2" s="1"/>
  <c r="W26" i="2" s="1"/>
  <c r="AB19" i="2"/>
  <c r="AA19" i="2" s="1"/>
  <c r="Z19" i="2" s="1"/>
  <c r="Y19" i="2" s="1"/>
  <c r="X19" i="2" s="1"/>
  <c r="W19" i="2" s="1"/>
  <c r="AB48" i="2"/>
  <c r="AA48" i="2" s="1"/>
  <c r="Z48" i="2" s="1"/>
  <c r="Y48" i="2" s="1"/>
  <c r="X48" i="2" s="1"/>
  <c r="W48" i="2" s="1"/>
  <c r="AB17" i="2"/>
  <c r="AA17" i="2" s="1"/>
  <c r="Z17" i="2" s="1"/>
  <c r="Y17" i="2" s="1"/>
  <c r="X17" i="2" s="1"/>
  <c r="W17" i="2" s="1"/>
  <c r="AW17" i="2"/>
  <c r="AZ17" i="2" s="1"/>
  <c r="AB15" i="2"/>
  <c r="AA15" i="2" s="1"/>
  <c r="Z15" i="2" s="1"/>
  <c r="Y15" i="2" s="1"/>
  <c r="X15" i="2" s="1"/>
  <c r="W15" i="2" s="1"/>
  <c r="AB47" i="2"/>
  <c r="AA47" i="2" s="1"/>
  <c r="Z47" i="2" s="1"/>
  <c r="Y47" i="2" s="1"/>
  <c r="X47" i="2" s="1"/>
  <c r="W47" i="2" s="1"/>
  <c r="AW47" i="2"/>
  <c r="AZ47" i="2" s="1"/>
  <c r="AB54" i="2"/>
  <c r="AA54" i="2" s="1"/>
  <c r="Z54" i="2" s="1"/>
  <c r="Y54" i="2" s="1"/>
  <c r="X54" i="2" s="1"/>
  <c r="W54" i="2" s="1"/>
  <c r="AW54" i="2"/>
  <c r="AB25" i="2"/>
  <c r="AA25" i="2" s="1"/>
  <c r="Z25" i="2" s="1"/>
  <c r="Y25" i="2" s="1"/>
  <c r="X25" i="2" s="1"/>
  <c r="W25" i="2" s="1"/>
  <c r="AW25" i="2"/>
  <c r="AZ25" i="2" s="1"/>
  <c r="AB49" i="2"/>
  <c r="AA49" i="2" s="1"/>
  <c r="Z49" i="2" s="1"/>
  <c r="Y49" i="2" s="1"/>
  <c r="X49" i="2" s="1"/>
  <c r="W49" i="2" s="1"/>
  <c r="AW49" i="2"/>
  <c r="BA49" i="2" s="1"/>
  <c r="AB27" i="2"/>
  <c r="AA27" i="2" s="1"/>
  <c r="Z27" i="2" s="1"/>
  <c r="Y27" i="2" s="1"/>
  <c r="X27" i="2" s="1"/>
  <c r="W27" i="2" s="1"/>
  <c r="AB23" i="2"/>
  <c r="AA23" i="2" s="1"/>
  <c r="Z23" i="2" s="1"/>
  <c r="Y23" i="2" s="1"/>
  <c r="X23" i="2" s="1"/>
  <c r="W23" i="2" s="1"/>
  <c r="AW23" i="2"/>
  <c r="AZ23" i="2" s="1"/>
  <c r="AB55" i="2"/>
  <c r="AA55" i="2" s="1"/>
  <c r="Z55" i="2" s="1"/>
  <c r="Y55" i="2" s="1"/>
  <c r="X55" i="2" s="1"/>
  <c r="W55" i="2" s="1"/>
  <c r="AW55" i="2"/>
  <c r="AB44" i="2"/>
  <c r="AA44" i="2" s="1"/>
  <c r="Z44" i="2" s="1"/>
  <c r="Y44" i="2" s="1"/>
  <c r="X44" i="2" s="1"/>
  <c r="W44" i="2" s="1"/>
  <c r="AW44" i="2"/>
  <c r="BA44" i="2" s="1"/>
  <c r="AB45" i="2"/>
  <c r="AA45" i="2" s="1"/>
  <c r="Z45" i="2" s="1"/>
  <c r="Y45" i="2" s="1"/>
  <c r="X45" i="2" s="1"/>
  <c r="W45" i="2" s="1"/>
  <c r="AB31" i="2"/>
  <c r="AA31" i="2" s="1"/>
  <c r="Z31" i="2" s="1"/>
  <c r="Y31" i="2" s="1"/>
  <c r="X31" i="2" s="1"/>
  <c r="W31" i="2" s="1"/>
  <c r="I65" i="1"/>
  <c r="J100" i="2"/>
  <c r="AH95" i="2"/>
  <c r="AD95" i="2" s="1"/>
  <c r="J99" i="2"/>
  <c r="J98" i="2"/>
  <c r="J94" i="2"/>
  <c r="J95" i="2"/>
  <c r="J96" i="2"/>
  <c r="AH92" i="2"/>
  <c r="AD92" i="2" s="1"/>
  <c r="J97" i="2"/>
  <c r="T77" i="2"/>
  <c r="AY17" i="2"/>
  <c r="AZ20" i="2"/>
  <c r="H19" i="2"/>
  <c r="BE62" i="2"/>
  <c r="BE74" i="2"/>
  <c r="S19" i="2" a="1"/>
  <c r="S19" i="2" s="1"/>
  <c r="T19" i="2" s="1"/>
  <c r="S85" i="2"/>
  <c r="T85" i="2" s="1"/>
  <c r="AZ18" i="2"/>
  <c r="H5" i="2"/>
  <c r="R5" i="2" s="1"/>
  <c r="K5" i="2" s="1"/>
  <c r="BC5" i="2"/>
  <c r="BE5" i="2" s="1"/>
  <c r="BC10" i="2"/>
  <c r="BE10" i="2" s="1"/>
  <c r="H17" i="2"/>
  <c r="BC17" i="2"/>
  <c r="BE17" i="2" s="1"/>
  <c r="BA14" i="2"/>
  <c r="AZ55" i="2"/>
  <c r="BA55" i="2"/>
  <c r="AB35" i="2"/>
  <c r="AA35" i="2" s="1"/>
  <c r="Z35" i="2" s="1"/>
  <c r="Y35" i="2" s="1"/>
  <c r="X35" i="2" s="1"/>
  <c r="W35" i="2" s="1"/>
  <c r="BC12" i="2"/>
  <c r="BE12" i="2" s="1"/>
  <c r="BC14" i="2"/>
  <c r="BE14" i="2" s="1"/>
  <c r="BA23" i="2"/>
  <c r="AB85" i="2"/>
  <c r="AA85" i="2" s="1"/>
  <c r="Z85" i="2" s="1"/>
  <c r="Y85" i="2" s="1"/>
  <c r="X85" i="2" s="1"/>
  <c r="W85" i="2" s="1"/>
  <c r="H11" i="2"/>
  <c r="R11" i="2" s="1"/>
  <c r="K11" i="2" s="1"/>
  <c r="BC11" i="2"/>
  <c r="BE11" i="2" s="1"/>
  <c r="H16" i="2"/>
  <c r="R16" i="2" s="1"/>
  <c r="K16" i="2" s="1"/>
  <c r="BC16" i="2"/>
  <c r="BE16" i="2" s="1"/>
  <c r="BA25" i="2"/>
  <c r="S20" i="2" a="1"/>
  <c r="S20" i="2" s="1"/>
  <c r="T20" i="2" s="1"/>
  <c r="AZ54" i="2"/>
  <c r="BA54" i="2"/>
  <c r="AZ49" i="2"/>
  <c r="H3" i="2"/>
  <c r="R3" i="2" s="1"/>
  <c r="K3" i="2" s="1"/>
  <c r="M3" i="2" s="1"/>
  <c r="BC3" i="2"/>
  <c r="BE3" i="2" s="1"/>
  <c r="H4" i="2"/>
  <c r="R4" i="2" s="1"/>
  <c r="K4" i="2" s="1"/>
  <c r="BC4" i="2"/>
  <c r="BE4" i="2" s="1"/>
  <c r="BA21" i="2"/>
  <c r="BA47" i="2"/>
  <c r="AY16" i="2"/>
  <c r="AZ44" i="2"/>
  <c r="AY39" i="2"/>
  <c r="AZ43" i="2"/>
  <c r="BA43" i="2"/>
  <c r="AB4" i="2"/>
  <c r="AA4" i="2" s="1"/>
  <c r="Z4" i="2" s="1"/>
  <c r="Y4" i="2" s="1"/>
  <c r="X4" i="2" s="1"/>
  <c r="W4" i="2" s="1"/>
  <c r="H7" i="2"/>
  <c r="BC7" i="2"/>
  <c r="BE7" i="2" s="1"/>
  <c r="H9" i="2"/>
  <c r="BC9" i="2"/>
  <c r="BE9" i="2" s="1"/>
  <c r="BC25" i="2"/>
  <c r="BE25" i="2" s="1"/>
  <c r="BA20" i="2"/>
  <c r="BA18" i="2"/>
  <c r="S23" i="2" a="1"/>
  <c r="S23" i="2" s="1"/>
  <c r="T23" i="2" s="1"/>
  <c r="R23" i="2" s="1"/>
  <c r="K23" i="2" s="1"/>
  <c r="AY25" i="2"/>
  <c r="AY47" i="2"/>
  <c r="AZ92" i="2"/>
  <c r="BC8" i="2"/>
  <c r="BE8" i="2" s="1"/>
  <c r="BC24" i="2"/>
  <c r="BE24" i="2" s="1"/>
  <c r="BC20" i="2"/>
  <c r="BE20" i="2" s="1"/>
  <c r="BA17" i="2"/>
  <c r="BA39" i="2"/>
  <c r="H6" i="2"/>
  <c r="BC6" i="2"/>
  <c r="BE6" i="2" s="1"/>
  <c r="BC22" i="2"/>
  <c r="BE22" i="2" s="1"/>
  <c r="H18" i="2"/>
  <c r="BC18" i="2"/>
  <c r="BE18" i="2" s="1"/>
  <c r="AZ21" i="2"/>
  <c r="AY14" i="2"/>
  <c r="AZ40" i="2"/>
  <c r="BA40" i="2"/>
  <c r="BC13" i="2"/>
  <c r="BE13" i="2" s="1"/>
  <c r="BC2" i="2"/>
  <c r="BE2" i="2" s="1"/>
  <c r="BA16" i="2"/>
  <c r="H2" i="2"/>
  <c r="S18" i="2"/>
  <c r="T18" i="2" s="1"/>
  <c r="S92" i="2"/>
  <c r="T92" i="2" s="1"/>
  <c r="S31" i="2"/>
  <c r="T31" i="2" s="1"/>
  <c r="R31" i="2" s="1"/>
  <c r="K31" i="2" s="1"/>
  <c r="S9" i="2"/>
  <c r="T9" i="2" s="1"/>
  <c r="S42" i="2"/>
  <c r="T42" i="2" s="1"/>
  <c r="R42" i="2" s="1"/>
  <c r="K42" i="2" s="1"/>
  <c r="S10" i="2"/>
  <c r="T10" i="2" s="1"/>
  <c r="S24" i="2"/>
  <c r="T24" i="2" s="1"/>
  <c r="R24" i="2" s="1"/>
  <c r="K24" i="2" s="1"/>
  <c r="S54" i="2"/>
  <c r="T54" i="2" s="1"/>
  <c r="R54" i="2" s="1"/>
  <c r="K54" i="2" s="1"/>
  <c r="S34" i="2"/>
  <c r="T34" i="2" s="1"/>
  <c r="R34" i="2" s="1"/>
  <c r="K34" i="2" s="1"/>
  <c r="S22" i="2"/>
  <c r="T22" i="2" s="1"/>
  <c r="R22" i="2" s="1"/>
  <c r="K22" i="2" s="1"/>
  <c r="S43" i="2"/>
  <c r="T43" i="2" s="1"/>
  <c r="R43" i="2" s="1"/>
  <c r="K43" i="2" s="1"/>
  <c r="S46" i="2"/>
  <c r="T46" i="2" s="1"/>
  <c r="R46" i="2" s="1"/>
  <c r="K46" i="2" s="1"/>
  <c r="S6" i="2"/>
  <c r="T6" i="2" s="1"/>
  <c r="S55" i="2"/>
  <c r="T55" i="2" s="1"/>
  <c r="R55" i="2" s="1"/>
  <c r="K55" i="2" s="1"/>
  <c r="S49" i="2"/>
  <c r="T49" i="2" s="1"/>
  <c r="R49" i="2" s="1"/>
  <c r="K49" i="2" s="1"/>
  <c r="S8" i="2"/>
  <c r="T8" i="2" s="1"/>
  <c r="R8" i="2" s="1"/>
  <c r="K8" i="2" s="1"/>
  <c r="S66" i="22" s="1"/>
  <c r="Q66" i="22" s="1"/>
  <c r="S40" i="2"/>
  <c r="T40" i="2" s="1"/>
  <c r="R40" i="2" s="1"/>
  <c r="K40" i="2" s="1"/>
  <c r="S30" i="2"/>
  <c r="T30" i="2" s="1"/>
  <c r="R30" i="2" s="1"/>
  <c r="K30" i="2" s="1"/>
  <c r="S32" i="2"/>
  <c r="T32" i="2" s="1"/>
  <c r="R32" i="2" s="1"/>
  <c r="K32" i="2" s="1"/>
  <c r="S44" i="2"/>
  <c r="T44" i="2" s="1"/>
  <c r="R44" i="2" s="1"/>
  <c r="K44" i="2" s="1"/>
  <c r="S21" i="2"/>
  <c r="T21" i="2" s="1"/>
  <c r="R21" i="2" s="1"/>
  <c r="K21" i="2" s="1"/>
  <c r="S7" i="2"/>
  <c r="T7" i="2" s="1"/>
  <c r="S56" i="2"/>
  <c r="T56" i="2" s="1"/>
  <c r="R56" i="2" s="1"/>
  <c r="K56" i="2" s="1"/>
  <c r="H25" i="2"/>
  <c r="R25" i="2" s="1"/>
  <c r="K25" i="2" s="1"/>
  <c r="AL25" i="2" s="1"/>
  <c r="H10" i="2"/>
  <c r="S82" i="2"/>
  <c r="T82" i="2" s="1"/>
  <c r="S68" i="2"/>
  <c r="BE68" i="2" s="1"/>
  <c r="S88" i="2"/>
  <c r="T88" i="2" s="1"/>
  <c r="R88" i="2" s="1"/>
  <c r="K88" i="2" s="1"/>
  <c r="S80" i="2"/>
  <c r="T80" i="2" s="1"/>
  <c r="R80" i="2" s="1"/>
  <c r="K80" i="2" s="1"/>
  <c r="S95" i="2"/>
  <c r="T95" i="2" s="1"/>
  <c r="R95" i="2" s="1"/>
  <c r="K95" i="2" s="1"/>
  <c r="S2" i="2"/>
  <c r="S83" i="2"/>
  <c r="T83" i="2" s="1"/>
  <c r="R83" i="2" s="1"/>
  <c r="K83" i="2" s="1"/>
  <c r="S8" i="22" s="1"/>
  <c r="Q8" i="22" s="1"/>
  <c r="S90" i="2"/>
  <c r="T90" i="2" s="1"/>
  <c r="R90" i="2" s="1"/>
  <c r="K90" i="2" s="1"/>
  <c r="S58" i="2"/>
  <c r="T58" i="2" s="1"/>
  <c r="S71" i="2"/>
  <c r="S70" i="2"/>
  <c r="T70" i="2" s="1"/>
  <c r="S84" i="2"/>
  <c r="T84" i="2" s="1"/>
  <c r="R84" i="2" s="1"/>
  <c r="K84" i="2" s="1"/>
  <c r="S94" i="2"/>
  <c r="T94" i="2" s="1"/>
  <c r="R94" i="2" s="1"/>
  <c r="K94" i="2" s="1"/>
  <c r="AL92" i="2" s="1"/>
  <c r="T2" i="2"/>
  <c r="K16" i="3"/>
  <c r="I60" i="1"/>
  <c r="K19" i="3"/>
  <c r="I63" i="1"/>
  <c r="K20" i="3"/>
  <c r="I64" i="1"/>
  <c r="H12" i="2"/>
  <c r="R12" i="2" s="1"/>
  <c r="K12" i="2" s="1"/>
  <c r="S68" i="22" s="1"/>
  <c r="Q68" i="22" s="1"/>
  <c r="H20" i="2"/>
  <c r="H13" i="2"/>
  <c r="R13" i="2" s="1"/>
  <c r="K13" i="2" s="1"/>
  <c r="K21" i="3"/>
  <c r="K22" i="3"/>
  <c r="AX49" i="2"/>
  <c r="AY49" i="2" s="1"/>
  <c r="AX88" i="2"/>
  <c r="R26" i="2"/>
  <c r="K26" i="2" s="1"/>
  <c r="R14" i="2"/>
  <c r="K14" i="2" s="1"/>
  <c r="CJ2" i="4"/>
  <c r="CH2" i="4" s="1"/>
  <c r="R50" i="2"/>
  <c r="K50" i="2" s="1"/>
  <c r="CM2" i="4"/>
  <c r="H100" i="2"/>
  <c r="R100" i="2" s="1"/>
  <c r="K100" i="2" s="1"/>
  <c r="H92" i="2"/>
  <c r="C2" i="47"/>
  <c r="C2" i="46"/>
  <c r="R38" i="2"/>
  <c r="K38" i="2" s="1"/>
  <c r="G62" i="1"/>
  <c r="G61" i="1"/>
  <c r="R36" i="2"/>
  <c r="K36" i="2" s="1"/>
  <c r="R74" i="2"/>
  <c r="K74" i="2" s="1"/>
  <c r="AQ75" i="2" s="1"/>
  <c r="R86" i="2"/>
  <c r="K86" i="2" s="1"/>
  <c r="R59" i="2"/>
  <c r="R48" i="2"/>
  <c r="K48" i="2" s="1"/>
  <c r="R99" i="2"/>
  <c r="K99" i="2" s="1"/>
  <c r="R51" i="2"/>
  <c r="K51" i="2" s="1"/>
  <c r="R62" i="2"/>
  <c r="R65" i="2"/>
  <c r="AQ66" i="2" s="1"/>
  <c r="R27" i="2"/>
  <c r="K27" i="2" s="1"/>
  <c r="R39" i="2"/>
  <c r="K39" i="2" s="1"/>
  <c r="AX95" i="2"/>
  <c r="AX40" i="2"/>
  <c r="AY40" i="2" s="1"/>
  <c r="R15" i="2"/>
  <c r="K15" i="2" s="1"/>
  <c r="BT5" i="4"/>
  <c r="BS5" i="4"/>
  <c r="BT4" i="4"/>
  <c r="BS4" i="4"/>
  <c r="R87" i="2"/>
  <c r="K87" i="2" s="1"/>
  <c r="R35" i="2"/>
  <c r="K35" i="2" s="1"/>
  <c r="R85" i="2"/>
  <c r="K85" i="2" s="1"/>
  <c r="Q61" i="1" s="1"/>
  <c r="R33" i="2"/>
  <c r="K33" i="2" s="1"/>
  <c r="AX2" i="2"/>
  <c r="BT2" i="4"/>
  <c r="BS2" i="4"/>
  <c r="AX19" i="2"/>
  <c r="AX6" i="2"/>
  <c r="AX56" i="2"/>
  <c r="R77" i="2"/>
  <c r="K77" i="2" s="1"/>
  <c r="AQ78" i="2" s="1"/>
  <c r="AX58" i="2"/>
  <c r="R47" i="2"/>
  <c r="K47" i="2" s="1"/>
  <c r="R93" i="2"/>
  <c r="K93" i="2" s="1"/>
  <c r="AX21" i="2"/>
  <c r="AY21" i="2" s="1"/>
  <c r="AX31" i="2"/>
  <c r="R28" i="2"/>
  <c r="K28" i="2" s="1"/>
  <c r="AX68" i="2"/>
  <c r="R17" i="2"/>
  <c r="K17" i="2" s="1"/>
  <c r="R89" i="2"/>
  <c r="K89" i="2" s="1"/>
  <c r="AX70" i="2"/>
  <c r="AX7" i="2"/>
  <c r="AX18" i="2"/>
  <c r="AY18" i="2" s="1"/>
  <c r="AX8" i="2"/>
  <c r="AX43" i="2"/>
  <c r="AY43" i="2" s="1"/>
  <c r="R29" i="2"/>
  <c r="K29" i="2" s="1"/>
  <c r="AX82" i="2"/>
  <c r="R97" i="2"/>
  <c r="K97" i="2" s="1"/>
  <c r="AX84" i="2"/>
  <c r="AX90" i="2"/>
  <c r="AX30" i="2"/>
  <c r="L2" i="4"/>
  <c r="AX71" i="2"/>
  <c r="AX55" i="2"/>
  <c r="AY55" i="2" s="1"/>
  <c r="R52" i="2"/>
  <c r="K52" i="2" s="1"/>
  <c r="AX92" i="2"/>
  <c r="AY92" i="2" s="1"/>
  <c r="R41" i="2"/>
  <c r="K41" i="2" s="1"/>
  <c r="AX94" i="2"/>
  <c r="AX10" i="2"/>
  <c r="AX22" i="2"/>
  <c r="AX83" i="2"/>
  <c r="AX9" i="2"/>
  <c r="AX42" i="2"/>
  <c r="R96" i="2"/>
  <c r="K96" i="2" s="1"/>
  <c r="AX24" i="2"/>
  <c r="R37" i="2"/>
  <c r="K37" i="2" s="1"/>
  <c r="AX32" i="2"/>
  <c r="R53" i="2"/>
  <c r="K53" i="2" s="1"/>
  <c r="CL5" i="4"/>
  <c r="CM5" i="4"/>
  <c r="AX34" i="2"/>
  <c r="AX80" i="2"/>
  <c r="AX23" i="2"/>
  <c r="AY23" i="2" s="1"/>
  <c r="AX20" i="2"/>
  <c r="AY20" i="2" s="1"/>
  <c r="AX54" i="2"/>
  <c r="AY54" i="2" s="1"/>
  <c r="CL4" i="4"/>
  <c r="CM4" i="4"/>
  <c r="R45" i="2"/>
  <c r="K45" i="2" s="1"/>
  <c r="AX46" i="2"/>
  <c r="R91" i="2"/>
  <c r="K91" i="2" s="1"/>
  <c r="R98" i="2"/>
  <c r="K98" i="2" s="1"/>
  <c r="AX44" i="2"/>
  <c r="AY44" i="2" s="1"/>
  <c r="G29" i="5"/>
  <c r="F29" i="5" s="1"/>
  <c r="G27" i="5"/>
  <c r="F27" i="5" s="1"/>
  <c r="BA41" i="2" l="1"/>
  <c r="AY41" i="2"/>
  <c r="R19" i="2"/>
  <c r="K19" i="2" s="1"/>
  <c r="S75" i="22" s="1"/>
  <c r="Q75" i="22" s="1"/>
  <c r="AQ63" i="2"/>
  <c r="R18" i="2"/>
  <c r="K18" i="2" s="1"/>
  <c r="S74" i="22" s="1"/>
  <c r="Q74" i="22" s="1"/>
  <c r="AW48" i="2"/>
  <c r="T68" i="2"/>
  <c r="R68" i="2" s="1"/>
  <c r="AQ69" i="2" s="1"/>
  <c r="AW45" i="2"/>
  <c r="AW27" i="2"/>
  <c r="AY27" i="2" s="1"/>
  <c r="AW19" i="2"/>
  <c r="AY19" i="2"/>
  <c r="AW15" i="2"/>
  <c r="AW26" i="2"/>
  <c r="AW46" i="2"/>
  <c r="AY46" i="2" s="1"/>
  <c r="AW31" i="2"/>
  <c r="AK8" i="22"/>
  <c r="AJ8" i="22"/>
  <c r="AI8" i="22"/>
  <c r="AH94" i="2"/>
  <c r="AD94" i="2" s="1"/>
  <c r="J91" i="2"/>
  <c r="J92" i="2"/>
  <c r="BA92" i="2" s="1"/>
  <c r="J93" i="2"/>
  <c r="AJ66" i="22"/>
  <c r="AI66" i="22"/>
  <c r="AK66" i="22"/>
  <c r="N26" i="2"/>
  <c r="O26" i="2"/>
  <c r="R9" i="2"/>
  <c r="K9" i="2" s="1"/>
  <c r="S72" i="22" s="1"/>
  <c r="Q72" i="22" s="1"/>
  <c r="Q4" i="1"/>
  <c r="S339" i="22"/>
  <c r="Q339" i="22" s="1"/>
  <c r="N4" i="2"/>
  <c r="S335" i="22"/>
  <c r="Q335" i="22" s="1"/>
  <c r="S64" i="22"/>
  <c r="Q64" i="22" s="1"/>
  <c r="S6" i="22"/>
  <c r="Q6" i="22" s="1"/>
  <c r="S336" i="22"/>
  <c r="Q336" i="22" s="1"/>
  <c r="S194" i="22"/>
  <c r="Q194" i="22" s="1"/>
  <c r="S351" i="22"/>
  <c r="Q351" i="22" s="1"/>
  <c r="S31" i="22"/>
  <c r="Q31" i="22" s="1"/>
  <c r="S167" i="22"/>
  <c r="Q167" i="22" s="1"/>
  <c r="S315" i="22"/>
  <c r="Q315" i="22" s="1"/>
  <c r="S414" i="22"/>
  <c r="Q414" i="22" s="1"/>
  <c r="S80" i="22"/>
  <c r="Q80" i="22" s="1"/>
  <c r="R10" i="2"/>
  <c r="K10" i="2" s="1"/>
  <c r="O10" i="2" s="1"/>
  <c r="R6" i="2"/>
  <c r="K6" i="2" s="1"/>
  <c r="S42" i="22" s="1"/>
  <c r="Q42" i="22" s="1"/>
  <c r="R7" i="2"/>
  <c r="K7" i="2" s="1"/>
  <c r="S67" i="22" s="1"/>
  <c r="Q67" i="22" s="1"/>
  <c r="T71" i="2"/>
  <c r="R71" i="2" s="1"/>
  <c r="K71" i="2" s="1"/>
  <c r="BE71" i="2"/>
  <c r="AY4" i="2"/>
  <c r="AZ4" i="2"/>
  <c r="BA4" i="2"/>
  <c r="S69" i="22"/>
  <c r="Q69" i="22" s="1"/>
  <c r="S76" i="22"/>
  <c r="Q76" i="22" s="1"/>
  <c r="S71" i="22"/>
  <c r="Q71" i="22" s="1"/>
  <c r="S70" i="22"/>
  <c r="Q70" i="22" s="1"/>
  <c r="AY85" i="2"/>
  <c r="AZ85" i="2"/>
  <c r="BA85" i="2"/>
  <c r="AY35" i="2"/>
  <c r="BA35" i="2"/>
  <c r="AZ35" i="2"/>
  <c r="R2" i="2"/>
  <c r="K2" i="2" s="1"/>
  <c r="M2" i="2" s="1"/>
  <c r="R20" i="2"/>
  <c r="K20" i="2" s="1"/>
  <c r="O20" i="2" s="1"/>
  <c r="K17" i="3"/>
  <c r="P9" i="22" s="1"/>
  <c r="I61" i="1"/>
  <c r="K18" i="3"/>
  <c r="I62" i="1"/>
  <c r="CI2" i="4"/>
  <c r="M5" i="2"/>
  <c r="S186" i="22"/>
  <c r="Q186" i="22" s="1"/>
  <c r="S308" i="22"/>
  <c r="Q308" i="22" s="1"/>
  <c r="S57" i="22"/>
  <c r="Q57" i="22" s="1"/>
  <c r="O94" i="2"/>
  <c r="M94" i="2"/>
  <c r="O22" i="2"/>
  <c r="M22" i="2"/>
  <c r="O13" i="2"/>
  <c r="M13" i="2"/>
  <c r="O32" i="2"/>
  <c r="M32" i="2"/>
  <c r="O90" i="2"/>
  <c r="M90" i="2"/>
  <c r="O28" i="2"/>
  <c r="M28" i="2"/>
  <c r="O77" i="2"/>
  <c r="M77" i="2"/>
  <c r="O87" i="2"/>
  <c r="M87" i="2"/>
  <c r="O62" i="2"/>
  <c r="M62" i="2"/>
  <c r="O50" i="2"/>
  <c r="M50" i="2"/>
  <c r="O29" i="2"/>
  <c r="M29" i="2"/>
  <c r="O99" i="2"/>
  <c r="M99" i="2"/>
  <c r="O56" i="2"/>
  <c r="M56" i="2"/>
  <c r="O30" i="2"/>
  <c r="M30" i="2"/>
  <c r="O24" i="2"/>
  <c r="M24" i="2"/>
  <c r="O98" i="2"/>
  <c r="M98" i="2"/>
  <c r="O96" i="2"/>
  <c r="M96" i="2"/>
  <c r="O84" i="2"/>
  <c r="M84" i="2"/>
  <c r="O8" i="2"/>
  <c r="M8" i="2"/>
  <c r="O38" i="2"/>
  <c r="M38" i="2"/>
  <c r="O34" i="2"/>
  <c r="M34" i="2"/>
  <c r="O80" i="2"/>
  <c r="M80" i="2"/>
  <c r="O91" i="2"/>
  <c r="M91" i="2"/>
  <c r="O52" i="2"/>
  <c r="M52" i="2"/>
  <c r="O33" i="2"/>
  <c r="M33" i="2"/>
  <c r="O37" i="2"/>
  <c r="M37" i="2"/>
  <c r="O42" i="2"/>
  <c r="M42" i="2"/>
  <c r="O97" i="2"/>
  <c r="M97" i="2"/>
  <c r="O93" i="2"/>
  <c r="M93" i="2"/>
  <c r="O59" i="2"/>
  <c r="M59" i="2"/>
  <c r="O89" i="2"/>
  <c r="M89" i="2"/>
  <c r="O11" i="2"/>
  <c r="M11" i="2"/>
  <c r="O51" i="2"/>
  <c r="M51" i="2"/>
  <c r="O86" i="2"/>
  <c r="M86" i="2"/>
  <c r="O12" i="2"/>
  <c r="M12" i="2"/>
  <c r="O74" i="2"/>
  <c r="M74" i="2"/>
  <c r="O100" i="2"/>
  <c r="M100" i="2"/>
  <c r="O95" i="2"/>
  <c r="M95" i="2"/>
  <c r="O83" i="2"/>
  <c r="M83" i="2"/>
  <c r="O53" i="2"/>
  <c r="M53" i="2"/>
  <c r="O65" i="2"/>
  <c r="M65" i="2"/>
  <c r="O36" i="2"/>
  <c r="M36" i="2"/>
  <c r="O88" i="2"/>
  <c r="M88" i="2"/>
  <c r="O49" i="2"/>
  <c r="N49" i="2"/>
  <c r="O31" i="2"/>
  <c r="N31" i="2"/>
  <c r="O54" i="2"/>
  <c r="N54" i="2"/>
  <c r="O46" i="2"/>
  <c r="N46" i="2"/>
  <c r="O45" i="2"/>
  <c r="N45" i="2"/>
  <c r="O48" i="2"/>
  <c r="N48" i="2"/>
  <c r="O14" i="2"/>
  <c r="N14" i="2"/>
  <c r="O40" i="2"/>
  <c r="N40" i="2"/>
  <c r="O44" i="2"/>
  <c r="N44" i="2"/>
  <c r="O23" i="2"/>
  <c r="N23" i="2"/>
  <c r="O21" i="2"/>
  <c r="N21" i="2"/>
  <c r="O85" i="2"/>
  <c r="N85" i="2"/>
  <c r="O39" i="2"/>
  <c r="N39" i="2"/>
  <c r="O25" i="2"/>
  <c r="N25" i="2"/>
  <c r="O17" i="2"/>
  <c r="N17" i="2"/>
  <c r="O16" i="2"/>
  <c r="N16" i="2"/>
  <c r="O41" i="2"/>
  <c r="N41" i="2"/>
  <c r="O55" i="2"/>
  <c r="N55" i="2"/>
  <c r="O47" i="2"/>
  <c r="N47" i="2"/>
  <c r="O35" i="2"/>
  <c r="N35" i="2"/>
  <c r="O27" i="2"/>
  <c r="N27" i="2"/>
  <c r="O43" i="2"/>
  <c r="N43" i="2"/>
  <c r="O15" i="2"/>
  <c r="N15" i="2"/>
  <c r="O3" i="2"/>
  <c r="S299" i="22"/>
  <c r="Q299" i="22" s="1"/>
  <c r="S191" i="22"/>
  <c r="Q191" i="22" s="1"/>
  <c r="S164" i="22"/>
  <c r="Q164" i="22" s="1"/>
  <c r="S154" i="22"/>
  <c r="Q154" i="22" s="1"/>
  <c r="S77" i="22"/>
  <c r="Q77" i="22" s="1"/>
  <c r="S420" i="22"/>
  <c r="Q420" i="22" s="1"/>
  <c r="S3" i="22"/>
  <c r="Q3" i="22" s="1"/>
  <c r="S411" i="22"/>
  <c r="Q411" i="22" s="1"/>
  <c r="S312" i="22"/>
  <c r="Q312" i="22" s="1"/>
  <c r="S28" i="22"/>
  <c r="Q28" i="22" s="1"/>
  <c r="O5" i="2"/>
  <c r="S41" i="22"/>
  <c r="Q41" i="22" s="1"/>
  <c r="S47" i="22"/>
  <c r="Q47" i="22" s="1"/>
  <c r="O4" i="2"/>
  <c r="S313" i="22"/>
  <c r="Q313" i="22" s="1"/>
  <c r="S4" i="22"/>
  <c r="Q4" i="22" s="1"/>
  <c r="S46" i="22"/>
  <c r="Q46" i="22" s="1"/>
  <c r="S62" i="22"/>
  <c r="Q62" i="22" s="1"/>
  <c r="S314" i="22"/>
  <c r="Q314" i="22" s="1"/>
  <c r="S29" i="22"/>
  <c r="Q29" i="22" s="1"/>
  <c r="S55" i="22"/>
  <c r="Q55" i="22" s="1"/>
  <c r="S102" i="22"/>
  <c r="Q102" i="22" s="1"/>
  <c r="S165" i="22"/>
  <c r="Q165" i="22" s="1"/>
  <c r="S334" i="22"/>
  <c r="Q334" i="22" s="1"/>
  <c r="S30" i="22"/>
  <c r="Q30" i="22" s="1"/>
  <c r="S39" i="22"/>
  <c r="Q39" i="22" s="1"/>
  <c r="S56" i="22"/>
  <c r="Q56" i="22" s="1"/>
  <c r="S78" i="22"/>
  <c r="Q78" i="22" s="1"/>
  <c r="S166" i="22"/>
  <c r="Q166" i="22" s="1"/>
  <c r="S192" i="22"/>
  <c r="Q192" i="22" s="1"/>
  <c r="S306" i="22"/>
  <c r="Q306" i="22" s="1"/>
  <c r="S40" i="22"/>
  <c r="Q40" i="22" s="1"/>
  <c r="S79" i="22"/>
  <c r="Q79" i="22" s="1"/>
  <c r="S184" i="22"/>
  <c r="Q184" i="22" s="1"/>
  <c r="S193" i="22"/>
  <c r="Q193" i="22" s="1"/>
  <c r="S307" i="22"/>
  <c r="Q307" i="22" s="1"/>
  <c r="S412" i="22"/>
  <c r="Q412" i="22" s="1"/>
  <c r="S5" i="22"/>
  <c r="Q5" i="22" s="1"/>
  <c r="S45" i="22"/>
  <c r="Q45" i="22" s="1"/>
  <c r="S61" i="22"/>
  <c r="Q61" i="22" s="1"/>
  <c r="S185" i="22"/>
  <c r="Q185" i="22" s="1"/>
  <c r="S349" i="22"/>
  <c r="Q349" i="22" s="1"/>
  <c r="S413" i="22"/>
  <c r="Q413" i="22" s="1"/>
  <c r="S7" i="22"/>
  <c r="Q7" i="22" s="1"/>
  <c r="S103" i="22"/>
  <c r="Q103" i="22" s="1"/>
  <c r="S340" i="22"/>
  <c r="Q340" i="22" s="1"/>
  <c r="S365" i="22"/>
  <c r="Q365" i="22" s="1"/>
  <c r="S54" i="22"/>
  <c r="Q54" i="22" s="1"/>
  <c r="S183" i="22"/>
  <c r="Q183" i="22" s="1"/>
  <c r="S101" i="22"/>
  <c r="Q101" i="22" s="1"/>
  <c r="S44" i="22"/>
  <c r="Q44" i="22" s="1"/>
  <c r="S348" i="22"/>
  <c r="Q348" i="22" s="1"/>
  <c r="S305" i="22"/>
  <c r="Q305" i="22" s="1"/>
  <c r="S60" i="22"/>
  <c r="Q60" i="22" s="1"/>
  <c r="S350" i="22"/>
  <c r="Q350" i="22" s="1"/>
  <c r="S38" i="22"/>
  <c r="Q38" i="22" s="1"/>
  <c r="S333" i="22"/>
  <c r="Q333" i="22" s="1"/>
  <c r="S104" i="22"/>
  <c r="Q104" i="22" s="1"/>
  <c r="R92" i="2"/>
  <c r="K92" i="2" s="1"/>
  <c r="AL94" i="2" s="1"/>
  <c r="R4" i="4"/>
  <c r="C2" i="45"/>
  <c r="BR4" i="4"/>
  <c r="BQ4" i="4"/>
  <c r="BR5" i="4"/>
  <c r="BQ5" i="4"/>
  <c r="CF2" i="4"/>
  <c r="CG2" i="4"/>
  <c r="CJ4" i="4"/>
  <c r="CK4" i="4"/>
  <c r="CK5" i="4"/>
  <c r="CJ5" i="4"/>
  <c r="J2" i="4"/>
  <c r="BR2" i="4"/>
  <c r="BQ2" i="4"/>
  <c r="N19" i="2" l="1"/>
  <c r="O19" i="2"/>
  <c r="M68" i="2"/>
  <c r="O68" i="2"/>
  <c r="N18" i="2"/>
  <c r="O18" i="2"/>
  <c r="M71" i="2"/>
  <c r="AQ72" i="2"/>
  <c r="S65" i="22"/>
  <c r="Q65" i="22" s="1"/>
  <c r="S309" i="22"/>
  <c r="Q309" i="22" s="1"/>
  <c r="S187" i="22"/>
  <c r="Q187" i="22" s="1"/>
  <c r="S105" i="22"/>
  <c r="Q105" i="22" s="1"/>
  <c r="N20" i="2"/>
  <c r="S73" i="22"/>
  <c r="Q73" i="22" s="1"/>
  <c r="O9" i="2"/>
  <c r="M7" i="2"/>
  <c r="O2" i="2"/>
  <c r="M10" i="2"/>
  <c r="AZ27" i="2"/>
  <c r="BA27" i="2"/>
  <c r="AZ45" i="2"/>
  <c r="AY45" i="2"/>
  <c r="BA45" i="2"/>
  <c r="AZ48" i="2"/>
  <c r="AY48" i="2"/>
  <c r="BA48" i="2"/>
  <c r="O6" i="2"/>
  <c r="M9" i="2"/>
  <c r="AZ19" i="2"/>
  <c r="BA19" i="2"/>
  <c r="AZ26" i="2"/>
  <c r="AY26" i="2"/>
  <c r="BA26" i="2"/>
  <c r="AZ15" i="2"/>
  <c r="AY15" i="2"/>
  <c r="BA15" i="2"/>
  <c r="AD8" i="22"/>
  <c r="AE8" i="22"/>
  <c r="AF8" i="22"/>
  <c r="AG8" i="22"/>
  <c r="AZ31" i="2"/>
  <c r="BA31" i="2"/>
  <c r="AY31" i="2"/>
  <c r="BA46" i="2"/>
  <c r="AZ46" i="2"/>
  <c r="AD66" i="22"/>
  <c r="AE66" i="22"/>
  <c r="AF66" i="22"/>
  <c r="AG66" i="22"/>
  <c r="S353" i="22"/>
  <c r="Q353" i="22" s="1"/>
  <c r="O71" i="2"/>
  <c r="AI64" i="22"/>
  <c r="AJ72" i="22"/>
  <c r="AK72" i="22"/>
  <c r="AI72" i="22"/>
  <c r="O7" i="2"/>
  <c r="AJ64" i="22"/>
  <c r="AI315" i="22"/>
  <c r="AJ315" i="22"/>
  <c r="AK315" i="22"/>
  <c r="AJ167" i="22"/>
  <c r="AK167" i="22"/>
  <c r="AI167" i="22"/>
  <c r="AK64" i="22"/>
  <c r="AJ31" i="22"/>
  <c r="AI31" i="22"/>
  <c r="AK31" i="22"/>
  <c r="AI351" i="22"/>
  <c r="AJ351" i="22"/>
  <c r="AK351" i="22"/>
  <c r="AK194" i="22"/>
  <c r="AJ194" i="22"/>
  <c r="AI194" i="22"/>
  <c r="M6" i="2"/>
  <c r="S337" i="22"/>
  <c r="Q337" i="22" s="1"/>
  <c r="S81" i="22"/>
  <c r="Q81" i="22" s="1"/>
  <c r="S195" i="22"/>
  <c r="Q195" i="22" s="1"/>
  <c r="S32" i="22"/>
  <c r="Q32" i="22" s="1"/>
  <c r="S168" i="22"/>
  <c r="Q168" i="22" s="1"/>
  <c r="S316" i="22"/>
  <c r="Q316" i="22" s="1"/>
  <c r="S415" i="22"/>
  <c r="Q415" i="22" s="1"/>
  <c r="AJ6" i="22"/>
  <c r="AI6" i="22"/>
  <c r="AK6" i="22"/>
  <c r="AJ80" i="22"/>
  <c r="AI80" i="22"/>
  <c r="AK80" i="22"/>
  <c r="AI339" i="22"/>
  <c r="AJ339" i="22"/>
  <c r="AK339" i="22"/>
  <c r="AI414" i="22"/>
  <c r="AJ414" i="22"/>
  <c r="AK414" i="22"/>
  <c r="AK75" i="22"/>
  <c r="AJ75" i="22"/>
  <c r="AI75" i="22"/>
  <c r="AK74" i="22"/>
  <c r="AI74" i="22"/>
  <c r="AJ74" i="22"/>
  <c r="AJ70" i="22"/>
  <c r="AI70" i="22"/>
  <c r="AK70" i="22"/>
  <c r="AJ71" i="22"/>
  <c r="AI71" i="22"/>
  <c r="AK71" i="22"/>
  <c r="AJ76" i="22"/>
  <c r="AI76" i="22"/>
  <c r="AK76" i="22"/>
  <c r="AJ60" i="22"/>
  <c r="AI60" i="22"/>
  <c r="AK60" i="22"/>
  <c r="AJ56" i="22"/>
  <c r="AI56" i="22"/>
  <c r="AK56" i="22"/>
  <c r="AJ313" i="22"/>
  <c r="AI313" i="22"/>
  <c r="AK313" i="22"/>
  <c r="AJ164" i="22"/>
  <c r="AI164" i="22"/>
  <c r="AK164" i="22"/>
  <c r="AK57" i="22"/>
  <c r="AJ57" i="22"/>
  <c r="AI57" i="22"/>
  <c r="AI305" i="22"/>
  <c r="AJ305" i="22"/>
  <c r="AK305" i="22"/>
  <c r="AJ307" i="22"/>
  <c r="AI307" i="22"/>
  <c r="AK307" i="22"/>
  <c r="AI39" i="22"/>
  <c r="AJ39" i="22"/>
  <c r="AK39" i="22"/>
  <c r="AI191" i="22"/>
  <c r="AJ191" i="22"/>
  <c r="AK191" i="22"/>
  <c r="AJ308" i="22"/>
  <c r="AK308" i="22"/>
  <c r="AI308" i="22"/>
  <c r="AI348" i="22"/>
  <c r="AJ348" i="22"/>
  <c r="AK348" i="22"/>
  <c r="AJ193" i="22"/>
  <c r="AI193" i="22"/>
  <c r="AK193" i="22"/>
  <c r="AJ30" i="22"/>
  <c r="AI30" i="22"/>
  <c r="AK30" i="22"/>
  <c r="AJ47" i="22"/>
  <c r="AI47" i="22"/>
  <c r="AK47" i="22"/>
  <c r="AI299" i="22"/>
  <c r="AJ299" i="22"/>
  <c r="AK299" i="22"/>
  <c r="AJ186" i="22"/>
  <c r="AI186" i="22"/>
  <c r="AK186" i="22"/>
  <c r="AJ44" i="22"/>
  <c r="AI44" i="22"/>
  <c r="AK44" i="22"/>
  <c r="AJ7" i="22"/>
  <c r="AI7" i="22"/>
  <c r="AK7" i="22"/>
  <c r="AJ184" i="22"/>
  <c r="AI184" i="22"/>
  <c r="AK184" i="22"/>
  <c r="AI334" i="22"/>
  <c r="AK334" i="22"/>
  <c r="AJ334" i="22"/>
  <c r="AJ41" i="22"/>
  <c r="AI41" i="22"/>
  <c r="AK41" i="22"/>
  <c r="AI336" i="22"/>
  <c r="AK336" i="22"/>
  <c r="AJ336" i="22"/>
  <c r="AJ101" i="22"/>
  <c r="AI101" i="22"/>
  <c r="AK101" i="22"/>
  <c r="AK79" i="22"/>
  <c r="AJ79" i="22"/>
  <c r="AI79" i="22"/>
  <c r="AJ165" i="22"/>
  <c r="AI165" i="22"/>
  <c r="AK165" i="22"/>
  <c r="AJ183" i="22"/>
  <c r="AI183" i="22"/>
  <c r="AK183" i="22"/>
  <c r="AK413" i="22"/>
  <c r="AI413" i="22"/>
  <c r="AJ413" i="22"/>
  <c r="AI40" i="22"/>
  <c r="AJ40" i="22"/>
  <c r="AK40" i="22"/>
  <c r="AJ102" i="22"/>
  <c r="AI102" i="22"/>
  <c r="AK102" i="22"/>
  <c r="AI28" i="22"/>
  <c r="AJ28" i="22"/>
  <c r="AK28" i="22"/>
  <c r="AJ42" i="22"/>
  <c r="AI42" i="22"/>
  <c r="AK42" i="22"/>
  <c r="AJ54" i="22"/>
  <c r="AI54" i="22"/>
  <c r="AK54" i="22"/>
  <c r="AI349" i="22"/>
  <c r="AJ349" i="22"/>
  <c r="AK349" i="22"/>
  <c r="AI335" i="22"/>
  <c r="AJ335" i="22"/>
  <c r="AK335" i="22"/>
  <c r="AJ55" i="22"/>
  <c r="AI55" i="22"/>
  <c r="AK55" i="22"/>
  <c r="AI312" i="22"/>
  <c r="AJ312" i="22"/>
  <c r="AK312" i="22"/>
  <c r="AI365" i="22"/>
  <c r="AJ365" i="22"/>
  <c r="AK365" i="22"/>
  <c r="AJ185" i="22"/>
  <c r="AI185" i="22"/>
  <c r="AK185" i="22"/>
  <c r="AJ306" i="22"/>
  <c r="AI306" i="22"/>
  <c r="AK306" i="22"/>
  <c r="AJ29" i="22"/>
  <c r="AI29" i="22"/>
  <c r="AK29" i="22"/>
  <c r="AJ411" i="22"/>
  <c r="AI411" i="22"/>
  <c r="AK411" i="22"/>
  <c r="AJ104" i="22"/>
  <c r="AI104" i="22"/>
  <c r="AK104" i="22"/>
  <c r="AI340" i="22"/>
  <c r="AJ340" i="22"/>
  <c r="AK340" i="22"/>
  <c r="AI61" i="22"/>
  <c r="AJ61" i="22"/>
  <c r="AK61" i="22"/>
  <c r="AI192" i="22"/>
  <c r="AK192" i="22"/>
  <c r="AJ192" i="22"/>
  <c r="AJ314" i="22"/>
  <c r="AI314" i="22"/>
  <c r="AK314" i="22"/>
  <c r="AI3" i="22"/>
  <c r="AJ3" i="22"/>
  <c r="AK3" i="22"/>
  <c r="AK45" i="22"/>
  <c r="AJ45" i="22"/>
  <c r="AI45" i="22"/>
  <c r="AI62" i="22"/>
  <c r="AK62" i="22"/>
  <c r="AJ62" i="22"/>
  <c r="AI420" i="22"/>
  <c r="AJ420" i="22"/>
  <c r="AK420" i="22"/>
  <c r="AJ67" i="22"/>
  <c r="AI67" i="22"/>
  <c r="AK67" i="22"/>
  <c r="AI38" i="22"/>
  <c r="AK38" i="22"/>
  <c r="AJ38" i="22"/>
  <c r="AJ103" i="22"/>
  <c r="AI103" i="22"/>
  <c r="AK103" i="22"/>
  <c r="AJ5" i="22"/>
  <c r="AI5" i="22"/>
  <c r="AK5" i="22"/>
  <c r="AJ166" i="22"/>
  <c r="AK166" i="22"/>
  <c r="AI166" i="22"/>
  <c r="AJ46" i="22"/>
  <c r="AI46" i="22"/>
  <c r="AK46" i="22"/>
  <c r="AJ77" i="22"/>
  <c r="AI77" i="22"/>
  <c r="AK77" i="22"/>
  <c r="AI333" i="22"/>
  <c r="AJ333" i="22"/>
  <c r="AK333" i="22"/>
  <c r="AI350" i="22"/>
  <c r="AJ350" i="22"/>
  <c r="AK350" i="22"/>
  <c r="AJ65" i="22"/>
  <c r="AI65" i="22"/>
  <c r="AK65" i="22"/>
  <c r="AI412" i="22"/>
  <c r="AK412" i="22"/>
  <c r="AJ412" i="22"/>
  <c r="AJ78" i="22"/>
  <c r="AI78" i="22"/>
  <c r="AK78" i="22"/>
  <c r="AI4" i="22"/>
  <c r="AJ4" i="22"/>
  <c r="AK4" i="22"/>
  <c r="AJ154" i="22"/>
  <c r="AI154" i="22"/>
  <c r="AK154" i="22"/>
  <c r="S310" i="22"/>
  <c r="Q310" i="22" s="1"/>
  <c r="S51" i="22"/>
  <c r="Q51" i="22" s="1"/>
  <c r="S50" i="22"/>
  <c r="Q50" i="22" s="1"/>
  <c r="S49" i="22"/>
  <c r="Q49" i="22" s="1"/>
  <c r="S48" i="22"/>
  <c r="Q48" i="22" s="1"/>
  <c r="O92" i="2"/>
  <c r="N92" i="2"/>
  <c r="AL313" i="22"/>
  <c r="AM313" i="22"/>
  <c r="AD78" i="2"/>
  <c r="AE75" i="2"/>
  <c r="AE72" i="2"/>
  <c r="AD66" i="2"/>
  <c r="AD72" i="2"/>
  <c r="AD69" i="2"/>
  <c r="AE66" i="2"/>
  <c r="AE69" i="2"/>
  <c r="AE63" i="2"/>
  <c r="AE81" i="2"/>
  <c r="AD63" i="2"/>
  <c r="AD60" i="2"/>
  <c r="AD81" i="2"/>
  <c r="AE60" i="2"/>
  <c r="AE57" i="2"/>
  <c r="AE78" i="2"/>
  <c r="AD75" i="2"/>
  <c r="AD57" i="2"/>
  <c r="S43" i="22"/>
  <c r="Q43" i="22" s="1"/>
  <c r="S9" i="22"/>
  <c r="Q9" i="22" s="1"/>
  <c r="S393" i="22"/>
  <c r="Q393" i="22" s="1"/>
  <c r="S10" i="22"/>
  <c r="Q10" i="22" s="1"/>
  <c r="S58" i="22"/>
  <c r="Q58" i="22" s="1"/>
  <c r="S341" i="22"/>
  <c r="Q341" i="22" s="1"/>
  <c r="S59" i="22"/>
  <c r="Q59" i="22" s="1"/>
  <c r="S343" i="22"/>
  <c r="Q343" i="22" s="1"/>
  <c r="S52" i="22"/>
  <c r="Q52" i="22" s="1"/>
  <c r="S311" i="22"/>
  <c r="Q311" i="22" s="1"/>
  <c r="S369" i="22"/>
  <c r="Q369" i="22" s="1"/>
  <c r="S53" i="22"/>
  <c r="Q53" i="22" s="1"/>
  <c r="AM400" i="22"/>
  <c r="AL413" i="22"/>
  <c r="AL354" i="22"/>
  <c r="AL264" i="22"/>
  <c r="AM204" i="22"/>
  <c r="AM112" i="22"/>
  <c r="AM29" i="22"/>
  <c r="AM323" i="22"/>
  <c r="AL251" i="22"/>
  <c r="AL160" i="22"/>
  <c r="AM98" i="22"/>
  <c r="AM4" i="22"/>
  <c r="AL400" i="22"/>
  <c r="AM354" i="22"/>
  <c r="AM288" i="22"/>
  <c r="AL204" i="22"/>
  <c r="AM153" i="22"/>
  <c r="AL381" i="22"/>
  <c r="AL288" i="22"/>
  <c r="AM228" i="22"/>
  <c r="AM136" i="22"/>
  <c r="AM75" i="22"/>
  <c r="AM275" i="22"/>
  <c r="AL191" i="22"/>
  <c r="AL123" i="22"/>
  <c r="AL28" i="22"/>
  <c r="AM399" i="22"/>
  <c r="AL153" i="22"/>
  <c r="AM381" i="22"/>
  <c r="AM312" i="22"/>
  <c r="AL228" i="22"/>
  <c r="AM161" i="22"/>
  <c r="AL75" i="22"/>
  <c r="AL389" i="22"/>
  <c r="AL275" i="22"/>
  <c r="AM401" i="22"/>
  <c r="AL312" i="22"/>
  <c r="AL252" i="22"/>
  <c r="AL161" i="22"/>
  <c r="AM99" i="22"/>
  <c r="AM389" i="22"/>
  <c r="AM299" i="22"/>
  <c r="AM215" i="22"/>
  <c r="AL147" i="22"/>
  <c r="AM123" i="22"/>
  <c r="AM64" i="22"/>
  <c r="AM106" i="22"/>
  <c r="AM174" i="22"/>
  <c r="AL401" i="22"/>
  <c r="AM336" i="22"/>
  <c r="AM276" i="22"/>
  <c r="AL192" i="22"/>
  <c r="AM124" i="22"/>
  <c r="AL335" i="22"/>
  <c r="AL172" i="22"/>
  <c r="AM86" i="22"/>
  <c r="AL16" i="22"/>
  <c r="AM368" i="22"/>
  <c r="AM412" i="22"/>
  <c r="AL174" i="22"/>
  <c r="AL370" i="22"/>
  <c r="AL276" i="22"/>
  <c r="AL216" i="22"/>
  <c r="AL124" i="22"/>
  <c r="AL41" i="22"/>
  <c r="AM17" i="22"/>
  <c r="AM335" i="22"/>
  <c r="AM263" i="22"/>
  <c r="AM172" i="22"/>
  <c r="AM147" i="22"/>
  <c r="AL111" i="22"/>
  <c r="AL412" i="22"/>
  <c r="AM370" i="22"/>
  <c r="AM300" i="22"/>
  <c r="AM216" i="22"/>
  <c r="AL148" i="22"/>
  <c r="AM41" i="22"/>
  <c r="AL380" i="22"/>
  <c r="AL263" i="22"/>
  <c r="AM239" i="22"/>
  <c r="AL203" i="22"/>
  <c r="AM111" i="22"/>
  <c r="AL40" i="22"/>
  <c r="AM16" i="22"/>
  <c r="AM390" i="22"/>
  <c r="AL300" i="22"/>
  <c r="AM240" i="22"/>
  <c r="AL87" i="22"/>
  <c r="AM380" i="22"/>
  <c r="AM287" i="22"/>
  <c r="AM203" i="22"/>
  <c r="AL135" i="22"/>
  <c r="AM40" i="22"/>
  <c r="AM411" i="22"/>
  <c r="AM413" i="22"/>
  <c r="AM324" i="22"/>
  <c r="AM264" i="22"/>
  <c r="AM173" i="22"/>
  <c r="AL112" i="22"/>
  <c r="AM5" i="22"/>
  <c r="AL323" i="22"/>
  <c r="AL227" i="22"/>
  <c r="AM160" i="22"/>
  <c r="AL4" i="22"/>
  <c r="AL173" i="22"/>
  <c r="AL287" i="22"/>
  <c r="AM250" i="22"/>
  <c r="AM190" i="22"/>
  <c r="AL97" i="22"/>
  <c r="AL39" i="22"/>
  <c r="AM15" i="22"/>
  <c r="AM388" i="22"/>
  <c r="AL321" i="22"/>
  <c r="AL225" i="22"/>
  <c r="AM158" i="22"/>
  <c r="AL73" i="22"/>
  <c r="AM2" i="22"/>
  <c r="AM366" i="22"/>
  <c r="AL308" i="22"/>
  <c r="AL224" i="22"/>
  <c r="AM157" i="22"/>
  <c r="AM13" i="22"/>
  <c r="AL331" i="22"/>
  <c r="AL271" i="22"/>
  <c r="AM119" i="22"/>
  <c r="AL24" i="22"/>
  <c r="AL376" i="22"/>
  <c r="AL294" i="22"/>
  <c r="AM258" i="22"/>
  <c r="AM418" i="22"/>
  <c r="AM363" i="22"/>
  <c r="AL233" i="22"/>
  <c r="AM197" i="22"/>
  <c r="AM22" i="22"/>
  <c r="AL417" i="22"/>
  <c r="AM268" i="22"/>
  <c r="AM152" i="22"/>
  <c r="AM116" i="22"/>
  <c r="AL347" i="22"/>
  <c r="AM231" i="22"/>
  <c r="AL139" i="22"/>
  <c r="AM78" i="22"/>
  <c r="AL403" i="22"/>
  <c r="AM346" i="22"/>
  <c r="AL266" i="22"/>
  <c r="AM206" i="22"/>
  <c r="AL114" i="22"/>
  <c r="AM19" i="22"/>
  <c r="AM355" i="22"/>
  <c r="AM289" i="22"/>
  <c r="AL205" i="22"/>
  <c r="AM125" i="22"/>
  <c r="AL30" i="22"/>
  <c r="AM191" i="22"/>
  <c r="AM97" i="22"/>
  <c r="AM225" i="22"/>
  <c r="AL132" i="22"/>
  <c r="AM331" i="22"/>
  <c r="AL329" i="22"/>
  <c r="AL336" i="22"/>
  <c r="AL29" i="22"/>
  <c r="AL86" i="22"/>
  <c r="AL106" i="22"/>
  <c r="AM274" i="22"/>
  <c r="AL190" i="22"/>
  <c r="AL122" i="22"/>
  <c r="AM39" i="22"/>
  <c r="AM410" i="22"/>
  <c r="AM321" i="22"/>
  <c r="AM285" i="22"/>
  <c r="AL249" i="22"/>
  <c r="AL158" i="22"/>
  <c r="AM96" i="22"/>
  <c r="AL2" i="22"/>
  <c r="AL387" i="22"/>
  <c r="AM308" i="22"/>
  <c r="AM284" i="22"/>
  <c r="AL248" i="22"/>
  <c r="AL157" i="22"/>
  <c r="AM95" i="22"/>
  <c r="AL13" i="22"/>
  <c r="AM386" i="22"/>
  <c r="AM271" i="22"/>
  <c r="AL247" i="22"/>
  <c r="AM211" i="22"/>
  <c r="AL156" i="22"/>
  <c r="AL94" i="22"/>
  <c r="AL395" i="22"/>
  <c r="AM342" i="22"/>
  <c r="AL234" i="22"/>
  <c r="AM198" i="22"/>
  <c r="AL47" i="22"/>
  <c r="AM11" i="22"/>
  <c r="AL418" i="22"/>
  <c r="AM281" i="22"/>
  <c r="AM129" i="22"/>
  <c r="AL22" i="22"/>
  <c r="AL268" i="22"/>
  <c r="AM208" i="22"/>
  <c r="AL116" i="22"/>
  <c r="AM33" i="22"/>
  <c r="AL404" i="22"/>
  <c r="AM315" i="22"/>
  <c r="AL231" i="22"/>
  <c r="AM164" i="22"/>
  <c r="AL78" i="22"/>
  <c r="AM176" i="22"/>
  <c r="AL346" i="22"/>
  <c r="AM290" i="22"/>
  <c r="AL206" i="22"/>
  <c r="AM138" i="22"/>
  <c r="AL19" i="22"/>
  <c r="AL382" i="22"/>
  <c r="AL289" i="22"/>
  <c r="AM229" i="22"/>
  <c r="AL125" i="22"/>
  <c r="AM66" i="22"/>
  <c r="AL324" i="22"/>
  <c r="AL17" i="22"/>
  <c r="AL411" i="22"/>
  <c r="AL334" i="22"/>
  <c r="AL274" i="22"/>
  <c r="AL214" i="22"/>
  <c r="AL63" i="22"/>
  <c r="AL410" i="22"/>
  <c r="AL352" i="22"/>
  <c r="AM249" i="22"/>
  <c r="AM189" i="22"/>
  <c r="AL96" i="22"/>
  <c r="AM26" i="22"/>
  <c r="AM387" i="22"/>
  <c r="AL332" i="22"/>
  <c r="AM248" i="22"/>
  <c r="AM188" i="22"/>
  <c r="AL95" i="22"/>
  <c r="AM37" i="22"/>
  <c r="AL420" i="22"/>
  <c r="AL386" i="22"/>
  <c r="AM295" i="22"/>
  <c r="AM143" i="22"/>
  <c r="AL119" i="22"/>
  <c r="AM395" i="22"/>
  <c r="AL318" i="22"/>
  <c r="AM282" i="22"/>
  <c r="AL155" i="22"/>
  <c r="AL385" i="22"/>
  <c r="AL257" i="22"/>
  <c r="AM221" i="22"/>
  <c r="AL92" i="22"/>
  <c r="AM46" i="22"/>
  <c r="AL328" i="22"/>
  <c r="AM292" i="22"/>
  <c r="AL208" i="22"/>
  <c r="AM185" i="22"/>
  <c r="AM140" i="22"/>
  <c r="AL33" i="22"/>
  <c r="AL177" i="22"/>
  <c r="AM373" i="22"/>
  <c r="AM347" i="22"/>
  <c r="AL291" i="22"/>
  <c r="AL255" i="22"/>
  <c r="AL164" i="22"/>
  <c r="AM102" i="22"/>
  <c r="AL176" i="22"/>
  <c r="AM372" i="22"/>
  <c r="AL290" i="22"/>
  <c r="AM230" i="22"/>
  <c r="AL138" i="22"/>
  <c r="AM55" i="22"/>
  <c r="AM382" i="22"/>
  <c r="AL229" i="22"/>
  <c r="AM149" i="22"/>
  <c r="AL66" i="22"/>
  <c r="AL368" i="22"/>
  <c r="AM73" i="22"/>
  <c r="AM224" i="22"/>
  <c r="AM420" i="22"/>
  <c r="AL166" i="22"/>
  <c r="AM148" i="22"/>
  <c r="AL5" i="22"/>
  <c r="AM334" i="22"/>
  <c r="AL298" i="22"/>
  <c r="AM214" i="22"/>
  <c r="AL146" i="22"/>
  <c r="AM122" i="22"/>
  <c r="AM63" i="22"/>
  <c r="AL3" i="22"/>
  <c r="AM352" i="22"/>
  <c r="AM273" i="22"/>
  <c r="AL189" i="22"/>
  <c r="AM121" i="22"/>
  <c r="AL26" i="22"/>
  <c r="AM409" i="22"/>
  <c r="AM332" i="22"/>
  <c r="AL272" i="22"/>
  <c r="AL188" i="22"/>
  <c r="AM120" i="22"/>
  <c r="AL37" i="22"/>
  <c r="AM408" i="22"/>
  <c r="AM235" i="22"/>
  <c r="AM82" i="22"/>
  <c r="AM419" i="22"/>
  <c r="AM364" i="22"/>
  <c r="AL258" i="22"/>
  <c r="AL222" i="22"/>
  <c r="AL118" i="22"/>
  <c r="AM35" i="22"/>
  <c r="AL363" i="22"/>
  <c r="AM317" i="22"/>
  <c r="AL221" i="22"/>
  <c r="AL197" i="22"/>
  <c r="AM154" i="22"/>
  <c r="AL129" i="22"/>
  <c r="AM405" i="22"/>
  <c r="AM374" i="22"/>
  <c r="AL292" i="22"/>
  <c r="AM232" i="22"/>
  <c r="AL140" i="22"/>
  <c r="AM57" i="22"/>
  <c r="AL373" i="22"/>
  <c r="AM339" i="22"/>
  <c r="AM255" i="22"/>
  <c r="AL102" i="22"/>
  <c r="AM20" i="22"/>
  <c r="AL372" i="22"/>
  <c r="AM314" i="22"/>
  <c r="AL230" i="22"/>
  <c r="AM163" i="22"/>
  <c r="AL55" i="22"/>
  <c r="AM402" i="22"/>
  <c r="AM253" i="22"/>
  <c r="AL149" i="22"/>
  <c r="AM88" i="22"/>
  <c r="AL130" i="22"/>
  <c r="AL136" i="22"/>
  <c r="AM251" i="22"/>
  <c r="AL64" i="22"/>
  <c r="AL399" i="22"/>
  <c r="AL238" i="22"/>
  <c r="AM146" i="22"/>
  <c r="AL85" i="22"/>
  <c r="AM3" i="22"/>
  <c r="AL379" i="22"/>
  <c r="AL273" i="22"/>
  <c r="AL213" i="22"/>
  <c r="AL121" i="22"/>
  <c r="AM62" i="22"/>
  <c r="AL409" i="22"/>
  <c r="AL351" i="22"/>
  <c r="AM272" i="22"/>
  <c r="AL212" i="22"/>
  <c r="AL120" i="22"/>
  <c r="AM61" i="22"/>
  <c r="AL408" i="22"/>
  <c r="AM319" i="22"/>
  <c r="AM168" i="22"/>
  <c r="AL143" i="22"/>
  <c r="AM12" i="22"/>
  <c r="AL342" i="22"/>
  <c r="AM306" i="22"/>
  <c r="AL198" i="22"/>
  <c r="AM142" i="22"/>
  <c r="AL11" i="22"/>
  <c r="AM406" i="22"/>
  <c r="AM385" i="22"/>
  <c r="AL281" i="22"/>
  <c r="AM245" i="22"/>
  <c r="AM80" i="22"/>
  <c r="AL46" i="22"/>
  <c r="AL405" i="22"/>
  <c r="AL374" i="22"/>
  <c r="AL232" i="22"/>
  <c r="AM165" i="22"/>
  <c r="AL57" i="22"/>
  <c r="AM416" i="22"/>
  <c r="AL315" i="22"/>
  <c r="AM279" i="22"/>
  <c r="AM127" i="22"/>
  <c r="AL20" i="22"/>
  <c r="AL314" i="22"/>
  <c r="AM254" i="22"/>
  <c r="AL163" i="22"/>
  <c r="AM89" i="22"/>
  <c r="AL402" i="22"/>
  <c r="AL253" i="22"/>
  <c r="AM193" i="22"/>
  <c r="AL88" i="22"/>
  <c r="AM18" i="22"/>
  <c r="AL388" i="22"/>
  <c r="AL239" i="22"/>
  <c r="AM298" i="22"/>
  <c r="AL171" i="22"/>
  <c r="AM85" i="22"/>
  <c r="AM27" i="22"/>
  <c r="AM379" i="22"/>
  <c r="AL297" i="22"/>
  <c r="AM213" i="22"/>
  <c r="AM145" i="22"/>
  <c r="AL62" i="22"/>
  <c r="AM182" i="22"/>
  <c r="AM351" i="22"/>
  <c r="AL296" i="22"/>
  <c r="AM212" i="22"/>
  <c r="AM144" i="22"/>
  <c r="AL61" i="22"/>
  <c r="AL295" i="22"/>
  <c r="AM259" i="22"/>
  <c r="AL211" i="22"/>
  <c r="AM107" i="22"/>
  <c r="AL82" i="22"/>
  <c r="AL419" i="22"/>
  <c r="AL306" i="22"/>
  <c r="AL282" i="22"/>
  <c r="AM246" i="22"/>
  <c r="AM118" i="22"/>
  <c r="AM71" i="22"/>
  <c r="AL406" i="22"/>
  <c r="AM186" i="22"/>
  <c r="AM178" i="22"/>
  <c r="AL256" i="22"/>
  <c r="AL165" i="22"/>
  <c r="AL91" i="22"/>
  <c r="AL219" i="22"/>
  <c r="AL127" i="22"/>
  <c r="AM56" i="22"/>
  <c r="AM338" i="22"/>
  <c r="AL254" i="22"/>
  <c r="AM194" i="22"/>
  <c r="AL89" i="22"/>
  <c r="AM175" i="22"/>
  <c r="AM277" i="22"/>
  <c r="AL193" i="22"/>
  <c r="AM113" i="22"/>
  <c r="AL18" i="22"/>
  <c r="AM227" i="22"/>
  <c r="AM135" i="22"/>
  <c r="AL322" i="22"/>
  <c r="AM262" i="22"/>
  <c r="AM238" i="22"/>
  <c r="AM171" i="22"/>
  <c r="AL110" i="22"/>
  <c r="AL27" i="22"/>
  <c r="AM398" i="22"/>
  <c r="AL237" i="22"/>
  <c r="AL145" i="22"/>
  <c r="AM84" i="22"/>
  <c r="AL182" i="22"/>
  <c r="AL378" i="22"/>
  <c r="AL236" i="22"/>
  <c r="AL144" i="22"/>
  <c r="AM83" i="22"/>
  <c r="AM181" i="22"/>
  <c r="AM377" i="22"/>
  <c r="AL235" i="22"/>
  <c r="AM199" i="22"/>
  <c r="AM36" i="22"/>
  <c r="AL364" i="22"/>
  <c r="AM330" i="22"/>
  <c r="AM222" i="22"/>
  <c r="AM167" i="22"/>
  <c r="AL142" i="22"/>
  <c r="AL71" i="22"/>
  <c r="AL35" i="22"/>
  <c r="AL317" i="22"/>
  <c r="AM269" i="22"/>
  <c r="AL154" i="22"/>
  <c r="AM117" i="22"/>
  <c r="AL80" i="22"/>
  <c r="AM256" i="22"/>
  <c r="AM196" i="22"/>
  <c r="AM21" i="22"/>
  <c r="AL339" i="22"/>
  <c r="AM303" i="22"/>
  <c r="AM151" i="22"/>
  <c r="AL56" i="22"/>
  <c r="AL338" i="22"/>
  <c r="AM278" i="22"/>
  <c r="AL194" i="22"/>
  <c r="AM126" i="22"/>
  <c r="AL175" i="22"/>
  <c r="AL371" i="22"/>
  <c r="AL277" i="22"/>
  <c r="AM217" i="22"/>
  <c r="AL113" i="22"/>
  <c r="AM42" i="22"/>
  <c r="AL299" i="22"/>
  <c r="AL421" i="22"/>
  <c r="AM24" i="22"/>
  <c r="AL293" i="22"/>
  <c r="AM252" i="22"/>
  <c r="AM28" i="22"/>
  <c r="AM322" i="22"/>
  <c r="AL262" i="22"/>
  <c r="AL202" i="22"/>
  <c r="AM110" i="22"/>
  <c r="AL398" i="22"/>
  <c r="AL345" i="22"/>
  <c r="AL170" i="22"/>
  <c r="AL84" i="22"/>
  <c r="AM14" i="22"/>
  <c r="AM378" i="22"/>
  <c r="AL320" i="22"/>
  <c r="AM236" i="22"/>
  <c r="AM169" i="22"/>
  <c r="AL83" i="22"/>
  <c r="AM25" i="22"/>
  <c r="AL181" i="22"/>
  <c r="AL319" i="22"/>
  <c r="AM131" i="22"/>
  <c r="AL12" i="22"/>
  <c r="AM407" i="22"/>
  <c r="AL330" i="22"/>
  <c r="AL270" i="22"/>
  <c r="AL167" i="22"/>
  <c r="AM179" i="22"/>
  <c r="AL269" i="22"/>
  <c r="AL245" i="22"/>
  <c r="AM209" i="22"/>
  <c r="AL117" i="22"/>
  <c r="AM34" i="22"/>
  <c r="AL178" i="22"/>
  <c r="AM280" i="22"/>
  <c r="AL196" i="22"/>
  <c r="AM128" i="22"/>
  <c r="AL21" i="22"/>
  <c r="AL416" i="22"/>
  <c r="AM357" i="22"/>
  <c r="AL303" i="22"/>
  <c r="AL279" i="22"/>
  <c r="AM243" i="22"/>
  <c r="AL151" i="22"/>
  <c r="AM90" i="22"/>
  <c r="AM356" i="22"/>
  <c r="AL278" i="22"/>
  <c r="AM218" i="22"/>
  <c r="AL126" i="22"/>
  <c r="AM31" i="22"/>
  <c r="AM371" i="22"/>
  <c r="AM301" i="22"/>
  <c r="AL217" i="22"/>
  <c r="AM137" i="22"/>
  <c r="AL42" i="22"/>
  <c r="AM192" i="22"/>
  <c r="AL250" i="22"/>
  <c r="AL180" i="22"/>
  <c r="AL210" i="22"/>
  <c r="AM257" i="22"/>
  <c r="AL240" i="22"/>
  <c r="AL99" i="22"/>
  <c r="AL215" i="22"/>
  <c r="AM286" i="22"/>
  <c r="AM202" i="22"/>
  <c r="AL134" i="22"/>
  <c r="AM422" i="22"/>
  <c r="AM345" i="22"/>
  <c r="AM297" i="22"/>
  <c r="AM261" i="22"/>
  <c r="AM170" i="22"/>
  <c r="AM109" i="22"/>
  <c r="AL14" i="22"/>
  <c r="AM397" i="22"/>
  <c r="AM320" i="22"/>
  <c r="AM296" i="22"/>
  <c r="AM260" i="22"/>
  <c r="AL169" i="22"/>
  <c r="AM108" i="22"/>
  <c r="AL25" i="22"/>
  <c r="AL377" i="22"/>
  <c r="AL259" i="22"/>
  <c r="AM223" i="22"/>
  <c r="AM72" i="22"/>
  <c r="AL407" i="22"/>
  <c r="AM349" i="22"/>
  <c r="AM270" i="22"/>
  <c r="AL246" i="22"/>
  <c r="AM210" i="22"/>
  <c r="AM23" i="22"/>
  <c r="AL179" i="22"/>
  <c r="AM375" i="22"/>
  <c r="AM293" i="22"/>
  <c r="AL186" i="22"/>
  <c r="AM141" i="22"/>
  <c r="AL384" i="22"/>
  <c r="AM358" i="22"/>
  <c r="AL280" i="22"/>
  <c r="AL220" i="22"/>
  <c r="AL128" i="22"/>
  <c r="AM91" i="22"/>
  <c r="AM45" i="22"/>
  <c r="AL357" i="22"/>
  <c r="AM327" i="22"/>
  <c r="AL243" i="22"/>
  <c r="AM219" i="22"/>
  <c r="AL184" i="22"/>
  <c r="AL90" i="22"/>
  <c r="AM8" i="22"/>
  <c r="AL356" i="22"/>
  <c r="AM302" i="22"/>
  <c r="AL218" i="22"/>
  <c r="AM150" i="22"/>
  <c r="AL31" i="22"/>
  <c r="AL391" i="22"/>
  <c r="AL301" i="22"/>
  <c r="AM241" i="22"/>
  <c r="AL137" i="22"/>
  <c r="AM76" i="22"/>
  <c r="AM396" i="22"/>
  <c r="AM318" i="22"/>
  <c r="AM87" i="22"/>
  <c r="AL286" i="22"/>
  <c r="AM226" i="22"/>
  <c r="AM134" i="22"/>
  <c r="AM74" i="22"/>
  <c r="AL422" i="22"/>
  <c r="AL367" i="22"/>
  <c r="AL261" i="22"/>
  <c r="AM237" i="22"/>
  <c r="AL201" i="22"/>
  <c r="AL109" i="22"/>
  <c r="AL397" i="22"/>
  <c r="AL344" i="22"/>
  <c r="AL260" i="22"/>
  <c r="AL200" i="22"/>
  <c r="AL108" i="22"/>
  <c r="AL396" i="22"/>
  <c r="AM307" i="22"/>
  <c r="AM283" i="22"/>
  <c r="AL223" i="22"/>
  <c r="AL199" i="22"/>
  <c r="AM156" i="22"/>
  <c r="AL131" i="22"/>
  <c r="AL107" i="22"/>
  <c r="AL72" i="22"/>
  <c r="AL36" i="22"/>
  <c r="AM294" i="22"/>
  <c r="AM130" i="22"/>
  <c r="AM93" i="22"/>
  <c r="AL23" i="22"/>
  <c r="AL375" i="22"/>
  <c r="AM233" i="22"/>
  <c r="AM70" i="22"/>
  <c r="AL358" i="22"/>
  <c r="AM304" i="22"/>
  <c r="AL152" i="22"/>
  <c r="AL45" i="22"/>
  <c r="AM404" i="22"/>
  <c r="AM267" i="22"/>
  <c r="AM115" i="22"/>
  <c r="AL8" i="22"/>
  <c r="AM383" i="22"/>
  <c r="AL302" i="22"/>
  <c r="AM242" i="22"/>
  <c r="AL150" i="22"/>
  <c r="AM77" i="22"/>
  <c r="AM391" i="22"/>
  <c r="AM325" i="22"/>
  <c r="AL241" i="22"/>
  <c r="AM162" i="22"/>
  <c r="AL76" i="22"/>
  <c r="AM6" i="22"/>
  <c r="AL366" i="22"/>
  <c r="AM155" i="22"/>
  <c r="AL390" i="22"/>
  <c r="AL226" i="22"/>
  <c r="AM159" i="22"/>
  <c r="AL74" i="22"/>
  <c r="AL15" i="22"/>
  <c r="AM367" i="22"/>
  <c r="AL285" i="22"/>
  <c r="AM201" i="22"/>
  <c r="AM133" i="22"/>
  <c r="AM421" i="22"/>
  <c r="AM344" i="22"/>
  <c r="AL284" i="22"/>
  <c r="AM200" i="22"/>
  <c r="AM132" i="22"/>
  <c r="AL307" i="22"/>
  <c r="AL283" i="22"/>
  <c r="AM247" i="22"/>
  <c r="AM94" i="22"/>
  <c r="AM180" i="22"/>
  <c r="AM376" i="22"/>
  <c r="AM234" i="22"/>
  <c r="AL93" i="22"/>
  <c r="AM47" i="22"/>
  <c r="AL394" i="22"/>
  <c r="AM329" i="22"/>
  <c r="AL209" i="22"/>
  <c r="AM166" i="22"/>
  <c r="AL141" i="22"/>
  <c r="AL70" i="22"/>
  <c r="AL34" i="22"/>
  <c r="AM417" i="22"/>
  <c r="AM384" i="22"/>
  <c r="AL304" i="22"/>
  <c r="AM244" i="22"/>
  <c r="AM79" i="22"/>
  <c r="AL267" i="22"/>
  <c r="AM207" i="22"/>
  <c r="AL115" i="22"/>
  <c r="AM32" i="22"/>
  <c r="AL383" i="22"/>
  <c r="AM326" i="22"/>
  <c r="AL242" i="22"/>
  <c r="AL77" i="22"/>
  <c r="AM414" i="22"/>
  <c r="AL325" i="22"/>
  <c r="AM265" i="22"/>
  <c r="AL162" i="22"/>
  <c r="AM100" i="22"/>
  <c r="AL6" i="22"/>
  <c r="AL98" i="22"/>
  <c r="AL159" i="22"/>
  <c r="AL133" i="22"/>
  <c r="AL349" i="22"/>
  <c r="AM394" i="22"/>
  <c r="AM92" i="22"/>
  <c r="AM205" i="22"/>
  <c r="AM177" i="22"/>
  <c r="AM114" i="22"/>
  <c r="AM328" i="22"/>
  <c r="AL100" i="22"/>
  <c r="AM403" i="22"/>
  <c r="AL327" i="22"/>
  <c r="AL414" i="22"/>
  <c r="AM30" i="22"/>
  <c r="AL244" i="22"/>
  <c r="AM291" i="22"/>
  <c r="AM184" i="22"/>
  <c r="AM220" i="22"/>
  <c r="AL326" i="22"/>
  <c r="AL355" i="22"/>
  <c r="AL185" i="22"/>
  <c r="AL265" i="22"/>
  <c r="AL207" i="22"/>
  <c r="AM266" i="22"/>
  <c r="AL79" i="22"/>
  <c r="AM139" i="22"/>
  <c r="AL333" i="22"/>
  <c r="AM333" i="22"/>
  <c r="AM104" i="22"/>
  <c r="AL104" i="22"/>
  <c r="AM38" i="22"/>
  <c r="AL38" i="22"/>
  <c r="AM365" i="22"/>
  <c r="AL365" i="22"/>
  <c r="AL65" i="22"/>
  <c r="AM65" i="22"/>
  <c r="AM350" i="22"/>
  <c r="AL350" i="22"/>
  <c r="AM340" i="22"/>
  <c r="AL340" i="22"/>
  <c r="AM60" i="22"/>
  <c r="AL60" i="22"/>
  <c r="AM67" i="22"/>
  <c r="AL67" i="22"/>
  <c r="AM305" i="22"/>
  <c r="AL305" i="22"/>
  <c r="AM187" i="22"/>
  <c r="AL187" i="22"/>
  <c r="AM348" i="22"/>
  <c r="AL348" i="22"/>
  <c r="AM103" i="22"/>
  <c r="AL103" i="22"/>
  <c r="AM105" i="22"/>
  <c r="AL105" i="22"/>
  <c r="AM44" i="22"/>
  <c r="AL44" i="22"/>
  <c r="AM7" i="22"/>
  <c r="AL7" i="22"/>
  <c r="AM101" i="22"/>
  <c r="AL101" i="22"/>
  <c r="AM337" i="22"/>
  <c r="AM183" i="22"/>
  <c r="AL183" i="22"/>
  <c r="AM54" i="22"/>
  <c r="AL54" i="22"/>
  <c r="BO5" i="4"/>
  <c r="BP5" i="4"/>
  <c r="BO4" i="4"/>
  <c r="BP4" i="4"/>
  <c r="CE2" i="4"/>
  <c r="CD2" i="4"/>
  <c r="CC2" i="4" s="1"/>
  <c r="CI5" i="4"/>
  <c r="CH5" i="4"/>
  <c r="CI4" i="4"/>
  <c r="CH4" i="4"/>
  <c r="BP2" i="4"/>
  <c r="BO2" i="4"/>
  <c r="H2" i="4"/>
  <c r="F2" i="4"/>
  <c r="BX3" i="4"/>
  <c r="BI3" i="4"/>
  <c r="BC63" i="2"/>
  <c r="BC75" i="2"/>
  <c r="H64" i="2"/>
  <c r="R64" i="2" s="1"/>
  <c r="H76" i="2"/>
  <c r="R76" i="2" s="1"/>
  <c r="BC66" i="2"/>
  <c r="BC78" i="2"/>
  <c r="CQ3" i="4"/>
  <c r="H67" i="2"/>
  <c r="R67" i="2" s="1"/>
  <c r="H79" i="2"/>
  <c r="R79" i="2" s="1"/>
  <c r="U75" i="2"/>
  <c r="H58" i="2"/>
  <c r="R58" i="2" s="1"/>
  <c r="H70" i="2"/>
  <c r="R70" i="2" s="1"/>
  <c r="H82" i="2"/>
  <c r="R82" i="2" s="1"/>
  <c r="U60" i="2"/>
  <c r="BC60" i="2"/>
  <c r="BC72" i="2"/>
  <c r="BC57" i="2"/>
  <c r="BF4" i="4"/>
  <c r="BE4" i="4" s="1"/>
  <c r="BF5" i="4"/>
  <c r="BE5" i="4" s="1"/>
  <c r="H61" i="2"/>
  <c r="R61" i="2" s="1"/>
  <c r="BZ3" i="4"/>
  <c r="BC69" i="2"/>
  <c r="H73" i="2"/>
  <c r="R73" i="2" s="1"/>
  <c r="BC81" i="2"/>
  <c r="BF2" i="4"/>
  <c r="BE2" i="4" s="1"/>
  <c r="BF3" i="4"/>
  <c r="BE3" i="4" s="1"/>
  <c r="U72" i="2"/>
  <c r="K82" i="2"/>
  <c r="U69" i="2"/>
  <c r="K76" i="2"/>
  <c r="U81" i="2"/>
  <c r="K79" i="2"/>
  <c r="U57" i="2"/>
  <c r="K73" i="2"/>
  <c r="U63" i="2"/>
  <c r="U78" i="2"/>
  <c r="U66" i="2"/>
  <c r="S81" i="2" a="1"/>
  <c r="S75" i="2" a="1"/>
  <c r="S69" i="2" a="1"/>
  <c r="S78" i="2" a="1"/>
  <c r="S66" i="2" a="1"/>
  <c r="S72" i="2" a="1"/>
  <c r="S60" i="2" a="1"/>
  <c r="S57" i="2" a="1"/>
  <c r="S63" i="2" a="1"/>
  <c r="AI187" i="22" l="1"/>
  <c r="AJ187" i="22"/>
  <c r="AD187" i="22" s="1"/>
  <c r="AK309" i="22"/>
  <c r="AJ309" i="22"/>
  <c r="AM309" i="22"/>
  <c r="AI309" i="22"/>
  <c r="AL309" i="22"/>
  <c r="AM353" i="22"/>
  <c r="AL353" i="22"/>
  <c r="AJ73" i="22"/>
  <c r="AC73" i="22" s="1"/>
  <c r="AK187" i="22"/>
  <c r="AK105" i="22"/>
  <c r="AI105" i="22"/>
  <c r="AK73" i="22"/>
  <c r="AL81" i="22"/>
  <c r="AJ105" i="22"/>
  <c r="AL310" i="22"/>
  <c r="AM310" i="22"/>
  <c r="AL337" i="22"/>
  <c r="AI73" i="22"/>
  <c r="AL195" i="22"/>
  <c r="AM195" i="22"/>
  <c r="AK353" i="22"/>
  <c r="AM81" i="22"/>
  <c r="AF4" i="22"/>
  <c r="AE4" i="22"/>
  <c r="AD4" i="22"/>
  <c r="AG4" i="22"/>
  <c r="AD38" i="22"/>
  <c r="AE38" i="22"/>
  <c r="AF38" i="22"/>
  <c r="AG38" i="22"/>
  <c r="AE3" i="22"/>
  <c r="AD3" i="22"/>
  <c r="AF3" i="22"/>
  <c r="AG3" i="22"/>
  <c r="AD104" i="22"/>
  <c r="AE104" i="22"/>
  <c r="AF104" i="22"/>
  <c r="AG104" i="22"/>
  <c r="AD183" i="22"/>
  <c r="AE183" i="22"/>
  <c r="AF183" i="22"/>
  <c r="AG183" i="22"/>
  <c r="AE41" i="22"/>
  <c r="AD41" i="22"/>
  <c r="AF41" i="22"/>
  <c r="AG41" i="22"/>
  <c r="AD30" i="22"/>
  <c r="AE30" i="22"/>
  <c r="AF30" i="22"/>
  <c r="AG30" i="22"/>
  <c r="AD348" i="22"/>
  <c r="AE348" i="22"/>
  <c r="AF348" i="22"/>
  <c r="AG348" i="22"/>
  <c r="AE187" i="22"/>
  <c r="AF187" i="22"/>
  <c r="AG187" i="22"/>
  <c r="AE76" i="22"/>
  <c r="AF76" i="22"/>
  <c r="AG76" i="22"/>
  <c r="AD76" i="22"/>
  <c r="AD80" i="22"/>
  <c r="AE80" i="22"/>
  <c r="AF80" i="22"/>
  <c r="AG80" i="22"/>
  <c r="AD351" i="22"/>
  <c r="AE351" i="22"/>
  <c r="AF351" i="22"/>
  <c r="AG351" i="22"/>
  <c r="AD167" i="22"/>
  <c r="AE167" i="22"/>
  <c r="AF167" i="22"/>
  <c r="AG167" i="22"/>
  <c r="AD72" i="22"/>
  <c r="AE72" i="22"/>
  <c r="AF72" i="22"/>
  <c r="AG72" i="22"/>
  <c r="AD166" i="22"/>
  <c r="AE166" i="22"/>
  <c r="AF166" i="22"/>
  <c r="AG166" i="22"/>
  <c r="AD62" i="22"/>
  <c r="AF62" i="22"/>
  <c r="AG62" i="22"/>
  <c r="AE62" i="22"/>
  <c r="AD61" i="22"/>
  <c r="AE61" i="22"/>
  <c r="AF61" i="22"/>
  <c r="AG61" i="22"/>
  <c r="AD306" i="22"/>
  <c r="AE306" i="22"/>
  <c r="AG306" i="22"/>
  <c r="AF306" i="22"/>
  <c r="AD312" i="22"/>
  <c r="AE312" i="22"/>
  <c r="AF312" i="22"/>
  <c r="AG312" i="22"/>
  <c r="AD42" i="22"/>
  <c r="AE42" i="22"/>
  <c r="AF42" i="22"/>
  <c r="AG42" i="22"/>
  <c r="AD40" i="22"/>
  <c r="AE40" i="22"/>
  <c r="AF40" i="22"/>
  <c r="AG40" i="22"/>
  <c r="AD334" i="22"/>
  <c r="AE334" i="22"/>
  <c r="AF334" i="22"/>
  <c r="AG334" i="22"/>
  <c r="AD7" i="22"/>
  <c r="AE7" i="22"/>
  <c r="AF7" i="22"/>
  <c r="AG7" i="22"/>
  <c r="AD299" i="22"/>
  <c r="AE299" i="22"/>
  <c r="AG299" i="22"/>
  <c r="AF299" i="22"/>
  <c r="AD39" i="22"/>
  <c r="AF39" i="22"/>
  <c r="AE39" i="22"/>
  <c r="AG39" i="22"/>
  <c r="AD164" i="22"/>
  <c r="AE164" i="22"/>
  <c r="AF164" i="22"/>
  <c r="AG164" i="22"/>
  <c r="AE309" i="22"/>
  <c r="AD309" i="22"/>
  <c r="AF309" i="22"/>
  <c r="AG309" i="22"/>
  <c r="AD70" i="22"/>
  <c r="AE70" i="22"/>
  <c r="AF70" i="22"/>
  <c r="AG70" i="22"/>
  <c r="AE414" i="22"/>
  <c r="AD414" i="22"/>
  <c r="AF414" i="22"/>
  <c r="AG414" i="22"/>
  <c r="AE65" i="22"/>
  <c r="AD65" i="22"/>
  <c r="AF65" i="22"/>
  <c r="AG65" i="22"/>
  <c r="AE349" i="22"/>
  <c r="AD349" i="22"/>
  <c r="AF349" i="22"/>
  <c r="AG349" i="22"/>
  <c r="AD101" i="22"/>
  <c r="AE101" i="22"/>
  <c r="AF101" i="22"/>
  <c r="AG101" i="22"/>
  <c r="AD305" i="22"/>
  <c r="AE305" i="22"/>
  <c r="AF305" i="22"/>
  <c r="AG305" i="22"/>
  <c r="AD74" i="22"/>
  <c r="AE74" i="22"/>
  <c r="AF74" i="22"/>
  <c r="AG74" i="22"/>
  <c r="AD315" i="22"/>
  <c r="AE315" i="22"/>
  <c r="AG315" i="22"/>
  <c r="AF315" i="22"/>
  <c r="AD77" i="22"/>
  <c r="AE77" i="22"/>
  <c r="AF77" i="22"/>
  <c r="AG77" i="22"/>
  <c r="AD411" i="22"/>
  <c r="AE411" i="22"/>
  <c r="AF411" i="22"/>
  <c r="AG411" i="22"/>
  <c r="AD28" i="22"/>
  <c r="AE28" i="22"/>
  <c r="AG28" i="22"/>
  <c r="AF28" i="22"/>
  <c r="AD413" i="22"/>
  <c r="AE413" i="22"/>
  <c r="AF413" i="22"/>
  <c r="AG413" i="22"/>
  <c r="AD336" i="22"/>
  <c r="AE336" i="22"/>
  <c r="AF336" i="22"/>
  <c r="AG336" i="22"/>
  <c r="AD193" i="22"/>
  <c r="AE193" i="22"/>
  <c r="AF193" i="22"/>
  <c r="AG193" i="22"/>
  <c r="AD71" i="22"/>
  <c r="AE71" i="22"/>
  <c r="AF71" i="22"/>
  <c r="AG71" i="22"/>
  <c r="AD6" i="22"/>
  <c r="AE6" i="22"/>
  <c r="AF6" i="22"/>
  <c r="AG6" i="22"/>
  <c r="AD78" i="22"/>
  <c r="AF78" i="22"/>
  <c r="AE78" i="22"/>
  <c r="AG78" i="22"/>
  <c r="AD350" i="22"/>
  <c r="AE350" i="22"/>
  <c r="AG350" i="22"/>
  <c r="AF350" i="22"/>
  <c r="AD5" i="22"/>
  <c r="AE5" i="22"/>
  <c r="AF5" i="22"/>
  <c r="AG5" i="22"/>
  <c r="AD314" i="22"/>
  <c r="AE314" i="22"/>
  <c r="AF314" i="22"/>
  <c r="AG314" i="22"/>
  <c r="AD340" i="22"/>
  <c r="AE340" i="22"/>
  <c r="AF340" i="22"/>
  <c r="AG340" i="22"/>
  <c r="AE185" i="22"/>
  <c r="AD185" i="22"/>
  <c r="AF185" i="22"/>
  <c r="AG185" i="22"/>
  <c r="AD165" i="22"/>
  <c r="AE165" i="22"/>
  <c r="AF165" i="22"/>
  <c r="AG165" i="22"/>
  <c r="AD44" i="22"/>
  <c r="AE44" i="22"/>
  <c r="AG44" i="22"/>
  <c r="AF44" i="22"/>
  <c r="AD308" i="22"/>
  <c r="AE308" i="22"/>
  <c r="AF308" i="22"/>
  <c r="AG308" i="22"/>
  <c r="AD313" i="22"/>
  <c r="AE313" i="22"/>
  <c r="AF313" i="22"/>
  <c r="AG313" i="22"/>
  <c r="AE339" i="22"/>
  <c r="AD339" i="22"/>
  <c r="AF339" i="22"/>
  <c r="AG339" i="22"/>
  <c r="AD31" i="22"/>
  <c r="AE31" i="22"/>
  <c r="AF31" i="22"/>
  <c r="AG31" i="22"/>
  <c r="AD64" i="22"/>
  <c r="AF64" i="22"/>
  <c r="AE64" i="22"/>
  <c r="AG64" i="22"/>
  <c r="AD412" i="22"/>
  <c r="AE412" i="22"/>
  <c r="AF412" i="22"/>
  <c r="AG412" i="22"/>
  <c r="AE67" i="22"/>
  <c r="AD67" i="22"/>
  <c r="AF67" i="22"/>
  <c r="AG67" i="22"/>
  <c r="AD45" i="22"/>
  <c r="AE45" i="22"/>
  <c r="AF45" i="22"/>
  <c r="AG45" i="22"/>
  <c r="AE192" i="22"/>
  <c r="AD192" i="22"/>
  <c r="AF192" i="22"/>
  <c r="AG192" i="22"/>
  <c r="AD55" i="22"/>
  <c r="AE55" i="22"/>
  <c r="AF55" i="22"/>
  <c r="AG55" i="22"/>
  <c r="AD47" i="22"/>
  <c r="AF47" i="22"/>
  <c r="AE47" i="22"/>
  <c r="AG47" i="22"/>
  <c r="AE307" i="22"/>
  <c r="AD307" i="22"/>
  <c r="AG307" i="22"/>
  <c r="AF307" i="22"/>
  <c r="AE57" i="22"/>
  <c r="AD57" i="22"/>
  <c r="AF57" i="22"/>
  <c r="AG57" i="22"/>
  <c r="AD60" i="22"/>
  <c r="AE60" i="22"/>
  <c r="AG60" i="22"/>
  <c r="AF60" i="22"/>
  <c r="AD194" i="22"/>
  <c r="AE194" i="22"/>
  <c r="AF194" i="22"/>
  <c r="AG194" i="22"/>
  <c r="AD154" i="22"/>
  <c r="AE154" i="22"/>
  <c r="AF154" i="22"/>
  <c r="AG154" i="22"/>
  <c r="AD46" i="22"/>
  <c r="AF46" i="22"/>
  <c r="AE46" i="22"/>
  <c r="AG46" i="22"/>
  <c r="AD29" i="22"/>
  <c r="AE29" i="22"/>
  <c r="AF29" i="22"/>
  <c r="AG29" i="22"/>
  <c r="AD365" i="22"/>
  <c r="AE365" i="22"/>
  <c r="AF365" i="22"/>
  <c r="AG365" i="22"/>
  <c r="AD54" i="22"/>
  <c r="AE54" i="22"/>
  <c r="AF54" i="22"/>
  <c r="AG54" i="22"/>
  <c r="AD79" i="22"/>
  <c r="AE79" i="22"/>
  <c r="AF79" i="22"/>
  <c r="AG79" i="22"/>
  <c r="AD184" i="22"/>
  <c r="AF184" i="22"/>
  <c r="AE184" i="22"/>
  <c r="AG184" i="22"/>
  <c r="AE105" i="22"/>
  <c r="AD105" i="22"/>
  <c r="AF105" i="22"/>
  <c r="AG105" i="22"/>
  <c r="AD191" i="22"/>
  <c r="AF191" i="22"/>
  <c r="AE191" i="22"/>
  <c r="AG191" i="22"/>
  <c r="AE75" i="22"/>
  <c r="AD75" i="22"/>
  <c r="AF75" i="22"/>
  <c r="AG75" i="22"/>
  <c r="AD333" i="22"/>
  <c r="AE333" i="22"/>
  <c r="AF333" i="22"/>
  <c r="AG333" i="22"/>
  <c r="AD103" i="22"/>
  <c r="AF103" i="22"/>
  <c r="AE103" i="22"/>
  <c r="AG103" i="22"/>
  <c r="AE420" i="22"/>
  <c r="AD420" i="22"/>
  <c r="AF420" i="22"/>
  <c r="AG420" i="22"/>
  <c r="AD335" i="22"/>
  <c r="AE335" i="22"/>
  <c r="AF335" i="22"/>
  <c r="AG335" i="22"/>
  <c r="AD102" i="22"/>
  <c r="AE102" i="22"/>
  <c r="AF102" i="22"/>
  <c r="AG102" i="22"/>
  <c r="AD186" i="22"/>
  <c r="AE186" i="22"/>
  <c r="AF186" i="22"/>
  <c r="AG186" i="22"/>
  <c r="AD56" i="22"/>
  <c r="AE56" i="22"/>
  <c r="AF56" i="22"/>
  <c r="AG56" i="22"/>
  <c r="AL415" i="22"/>
  <c r="AM415" i="22"/>
  <c r="AJ353" i="22"/>
  <c r="AB353" i="22" s="1"/>
  <c r="AL51" i="22"/>
  <c r="AM51" i="22"/>
  <c r="AI353" i="22"/>
  <c r="AK337" i="22"/>
  <c r="AI337" i="22"/>
  <c r="AM316" i="22"/>
  <c r="AL168" i="22"/>
  <c r="AL48" i="22"/>
  <c r="AJ337" i="22"/>
  <c r="AB337" i="22" s="1"/>
  <c r="AL32" i="22"/>
  <c r="AM49" i="22"/>
  <c r="AM50" i="22"/>
  <c r="AL49" i="22"/>
  <c r="AL316" i="22"/>
  <c r="AM48" i="22"/>
  <c r="AI415" i="22"/>
  <c r="AK415" i="22"/>
  <c r="AJ415" i="22"/>
  <c r="AJ316" i="22"/>
  <c r="AA316" i="22" s="1"/>
  <c r="AI316" i="22"/>
  <c r="AK316" i="22"/>
  <c r="AI168" i="22"/>
  <c r="AJ168" i="22"/>
  <c r="AA168" i="22" s="1"/>
  <c r="AK168" i="22"/>
  <c r="AJ32" i="22"/>
  <c r="AB32" i="22" s="1"/>
  <c r="AI32" i="22"/>
  <c r="AK32" i="22"/>
  <c r="AJ195" i="22"/>
  <c r="AA195" i="22" s="1"/>
  <c r="AI195" i="22"/>
  <c r="AK195" i="22"/>
  <c r="AJ81" i="22"/>
  <c r="AA81" i="22" s="1"/>
  <c r="AI81" i="22"/>
  <c r="AK81" i="22"/>
  <c r="AL50" i="22"/>
  <c r="AI311" i="22"/>
  <c r="AJ311" i="22"/>
  <c r="AK311" i="22"/>
  <c r="AI50" i="22"/>
  <c r="AK50" i="22"/>
  <c r="AJ50" i="22"/>
  <c r="AI52" i="22"/>
  <c r="AK52" i="22"/>
  <c r="AJ52" i="22"/>
  <c r="AI51" i="22"/>
  <c r="AJ51" i="22"/>
  <c r="AK51" i="22"/>
  <c r="AJ343" i="22"/>
  <c r="AI343" i="22"/>
  <c r="AK343" i="22"/>
  <c r="AI310" i="22"/>
  <c r="AJ310" i="22"/>
  <c r="AA310" i="22" s="1"/>
  <c r="AK310" i="22"/>
  <c r="AJ59" i="22"/>
  <c r="AI59" i="22"/>
  <c r="AK59" i="22"/>
  <c r="AI341" i="22"/>
  <c r="AJ341" i="22"/>
  <c r="AK341" i="22"/>
  <c r="AJ58" i="22"/>
  <c r="AI58" i="22"/>
  <c r="AK58" i="22"/>
  <c r="AJ10" i="22"/>
  <c r="AI10" i="22"/>
  <c r="AK10" i="22"/>
  <c r="AI393" i="22"/>
  <c r="AK393" i="22"/>
  <c r="AJ393" i="22"/>
  <c r="AK69" i="22"/>
  <c r="AJ69" i="22"/>
  <c r="AI69" i="22"/>
  <c r="AK9" i="22"/>
  <c r="AJ9" i="22"/>
  <c r="AI9" i="22"/>
  <c r="AJ53" i="22"/>
  <c r="AI53" i="22"/>
  <c r="AK53" i="22"/>
  <c r="AJ68" i="22"/>
  <c r="AI68" i="22"/>
  <c r="AK68" i="22"/>
  <c r="AJ48" i="22"/>
  <c r="AC48" i="22" s="1"/>
  <c r="AI48" i="22"/>
  <c r="AK48" i="22"/>
  <c r="AI369" i="22"/>
  <c r="AK369" i="22"/>
  <c r="AJ369" i="22"/>
  <c r="AJ43" i="22"/>
  <c r="AI43" i="22"/>
  <c r="AK43" i="22"/>
  <c r="AI49" i="22"/>
  <c r="AJ49" i="22"/>
  <c r="AK49" i="22"/>
  <c r="S81" i="2"/>
  <c r="S66" i="2"/>
  <c r="S69" i="2"/>
  <c r="T69" i="2" s="1"/>
  <c r="S78" i="2"/>
  <c r="T78" i="2" s="1"/>
  <c r="S63" i="2"/>
  <c r="T63" i="2" s="1"/>
  <c r="S60" i="2"/>
  <c r="S72" i="2"/>
  <c r="T72" i="2" s="1"/>
  <c r="S57" i="2"/>
  <c r="S75" i="2"/>
  <c r="T75" i="2" s="1"/>
  <c r="T81" i="2"/>
  <c r="T66" i="2"/>
  <c r="T60" i="2"/>
  <c r="T57" i="2"/>
  <c r="AB313" i="22"/>
  <c r="AC313" i="22"/>
  <c r="AA313" i="22"/>
  <c r="AC196" i="22"/>
  <c r="AB196" i="22"/>
  <c r="AB296" i="22"/>
  <c r="AC296" i="22"/>
  <c r="AB403" i="22"/>
  <c r="AC403" i="22"/>
  <c r="AC115" i="22"/>
  <c r="AB115" i="22"/>
  <c r="AC23" i="22"/>
  <c r="AB23" i="22"/>
  <c r="AC87" i="22"/>
  <c r="AB87" i="22"/>
  <c r="AC54" i="22"/>
  <c r="AB54" i="22"/>
  <c r="AC7" i="22"/>
  <c r="AB7" i="22"/>
  <c r="AB67" i="22"/>
  <c r="AC67" i="22"/>
  <c r="AC60" i="22"/>
  <c r="AB60" i="22"/>
  <c r="AB350" i="22"/>
  <c r="AC350" i="22"/>
  <c r="AB356" i="22"/>
  <c r="AC356" i="22"/>
  <c r="AC150" i="22"/>
  <c r="AB150" i="22"/>
  <c r="AB278" i="22"/>
  <c r="AC278" i="22"/>
  <c r="AB327" i="22"/>
  <c r="AC327" i="22"/>
  <c r="AB152" i="22"/>
  <c r="AC152" i="22"/>
  <c r="AB349" i="22"/>
  <c r="AC349" i="22"/>
  <c r="AC156" i="22"/>
  <c r="AB156" i="22"/>
  <c r="AC90" i="22"/>
  <c r="AB90" i="22"/>
  <c r="AC178" i="22"/>
  <c r="AB178" i="22"/>
  <c r="AC269" i="22"/>
  <c r="AB269" i="22"/>
  <c r="AC181" i="22"/>
  <c r="AB181" i="22"/>
  <c r="AB236" i="22"/>
  <c r="AC236" i="22"/>
  <c r="AC14" i="22"/>
  <c r="AB14" i="22"/>
  <c r="AB322" i="22"/>
  <c r="AC322" i="22"/>
  <c r="AB199" i="22"/>
  <c r="AC199" i="22"/>
  <c r="AC62" i="22"/>
  <c r="AB62" i="22"/>
  <c r="AB297" i="22"/>
  <c r="AC297" i="22"/>
  <c r="AC70" i="22"/>
  <c r="AB70" i="22"/>
  <c r="AB74" i="22"/>
  <c r="AC74" i="22"/>
  <c r="AC127" i="22"/>
  <c r="AB127" i="22"/>
  <c r="AB357" i="22"/>
  <c r="AC357" i="22"/>
  <c r="AB272" i="22"/>
  <c r="AC272" i="22"/>
  <c r="AB223" i="22"/>
  <c r="AC223" i="22"/>
  <c r="AC55" i="22"/>
  <c r="AB55" i="22"/>
  <c r="AB314" i="22"/>
  <c r="AC314" i="22"/>
  <c r="AB317" i="22"/>
  <c r="AC317" i="22"/>
  <c r="AC142" i="22"/>
  <c r="AB142" i="22"/>
  <c r="AC37" i="22"/>
  <c r="AB37" i="22"/>
  <c r="AB399" i="22"/>
  <c r="AC399" i="22"/>
  <c r="AB346" i="22"/>
  <c r="AC346" i="22"/>
  <c r="AB96" i="22"/>
  <c r="AC96" i="22"/>
  <c r="AB289" i="22"/>
  <c r="AC289" i="22"/>
  <c r="AB268" i="22"/>
  <c r="AC268" i="22"/>
  <c r="AB271" i="22"/>
  <c r="AC271" i="22"/>
  <c r="AB190" i="22"/>
  <c r="AC190" i="22"/>
  <c r="AB160" i="22"/>
  <c r="AC160" i="22"/>
  <c r="AC94" i="22"/>
  <c r="AB94" i="22"/>
  <c r="AC30" i="22"/>
  <c r="AB30" i="22"/>
  <c r="AB129" i="22"/>
  <c r="AC129" i="22"/>
  <c r="AB388" i="22"/>
  <c r="AC388" i="22"/>
  <c r="AB207" i="22"/>
  <c r="AC207" i="22"/>
  <c r="AB177" i="22"/>
  <c r="AC177" i="22"/>
  <c r="AC24" i="22"/>
  <c r="AB24" i="22"/>
  <c r="AC133" i="22"/>
  <c r="AB133" i="22"/>
  <c r="AB394" i="22"/>
  <c r="AC394" i="22"/>
  <c r="AB234" i="22"/>
  <c r="AC234" i="22"/>
  <c r="AB344" i="22"/>
  <c r="AC344" i="22"/>
  <c r="AC40" i="22"/>
  <c r="AB40" i="22"/>
  <c r="AC172" i="22"/>
  <c r="AB172" i="22"/>
  <c r="AC99" i="22"/>
  <c r="AB99" i="22"/>
  <c r="AB336" i="22"/>
  <c r="AC336" i="22"/>
  <c r="AC86" i="22"/>
  <c r="AB86" i="22"/>
  <c r="AC147" i="22"/>
  <c r="AB147" i="22"/>
  <c r="AB191" i="22"/>
  <c r="AC191" i="22"/>
  <c r="AB323" i="22"/>
  <c r="AC323" i="22"/>
  <c r="AC135" i="22"/>
  <c r="AB135" i="22"/>
  <c r="AB167" i="22"/>
  <c r="AC167" i="22"/>
  <c r="AB253" i="22"/>
  <c r="AC253" i="22"/>
  <c r="AC146" i="22"/>
  <c r="AB146" i="22"/>
  <c r="AB258" i="22"/>
  <c r="AC258" i="22"/>
  <c r="AC158" i="22"/>
  <c r="AB158" i="22"/>
  <c r="AB287" i="22"/>
  <c r="AC287" i="22"/>
  <c r="AC216" i="22"/>
  <c r="AB216" i="22"/>
  <c r="AB389" i="22"/>
  <c r="AC389" i="22"/>
  <c r="AB312" i="22"/>
  <c r="AC312" i="22"/>
  <c r="AB348" i="22"/>
  <c r="AC348" i="22"/>
  <c r="AC110" i="22"/>
  <c r="AB110" i="22"/>
  <c r="AC84" i="22"/>
  <c r="AB84" i="22"/>
  <c r="AB338" i="22"/>
  <c r="AC338" i="22"/>
  <c r="AB304" i="22"/>
  <c r="AC304" i="22"/>
  <c r="AB307" i="22"/>
  <c r="AC307" i="22"/>
  <c r="AB226" i="22"/>
  <c r="AC226" i="22"/>
  <c r="AB412" i="22"/>
  <c r="AC412" i="22"/>
  <c r="AB103" i="22"/>
  <c r="AC103" i="22"/>
  <c r="AB309" i="22"/>
  <c r="AC309" i="22"/>
  <c r="AC38" i="22"/>
  <c r="AB38" i="22"/>
  <c r="AB241" i="22"/>
  <c r="AC241" i="22"/>
  <c r="AB137" i="22"/>
  <c r="AC137" i="22"/>
  <c r="AC220" i="22"/>
  <c r="AB220" i="22"/>
  <c r="AB407" i="22"/>
  <c r="AC407" i="22"/>
  <c r="AB345" i="22"/>
  <c r="AC345" i="22"/>
  <c r="AB18" i="22"/>
  <c r="AC18" i="22"/>
  <c r="AB256" i="22"/>
  <c r="AC256" i="22"/>
  <c r="AC117" i="22"/>
  <c r="AB117" i="22"/>
  <c r="AC171" i="22"/>
  <c r="AB171" i="22"/>
  <c r="AB259" i="22"/>
  <c r="AC259" i="22"/>
  <c r="AB379" i="22"/>
  <c r="AC379" i="22"/>
  <c r="AB416" i="22"/>
  <c r="AC416" i="22"/>
  <c r="AB121" i="22"/>
  <c r="AC121" i="22"/>
  <c r="AC138" i="22"/>
  <c r="AB138" i="22"/>
  <c r="AB372" i="22"/>
  <c r="AC372" i="22"/>
  <c r="AB385" i="22"/>
  <c r="AC385" i="22"/>
  <c r="AB222" i="22"/>
  <c r="AC222" i="22"/>
  <c r="AC12" i="22"/>
  <c r="AB12" i="22"/>
  <c r="AB332" i="22"/>
  <c r="AC332" i="22"/>
  <c r="AB66" i="22"/>
  <c r="AC66" i="22"/>
  <c r="AC33" i="22"/>
  <c r="AB33" i="22"/>
  <c r="AC154" i="22"/>
  <c r="AB154" i="22"/>
  <c r="AB295" i="22"/>
  <c r="AC295" i="22"/>
  <c r="AB410" i="22"/>
  <c r="AC410" i="22"/>
  <c r="AB355" i="22"/>
  <c r="AC355" i="22"/>
  <c r="AC157" i="22"/>
  <c r="AB157" i="22"/>
  <c r="AC197" i="22"/>
  <c r="AB197" i="22"/>
  <c r="AB11" i="22"/>
  <c r="AC11" i="22"/>
  <c r="AB331" i="22"/>
  <c r="AC331" i="22"/>
  <c r="AB250" i="22"/>
  <c r="AC250" i="22"/>
  <c r="AB328" i="22"/>
  <c r="AC328" i="22"/>
  <c r="AC100" i="22"/>
  <c r="AB100" i="22"/>
  <c r="AB267" i="22"/>
  <c r="AC267" i="22"/>
  <c r="AC79" i="22"/>
  <c r="AB79" i="22"/>
  <c r="AB201" i="22"/>
  <c r="AC201" i="22"/>
  <c r="AC41" i="22"/>
  <c r="AB41" i="22"/>
  <c r="AB239" i="22"/>
  <c r="AC239" i="22"/>
  <c r="AC124" i="22"/>
  <c r="AB124" i="22"/>
  <c r="AB251" i="22"/>
  <c r="AC251" i="22"/>
  <c r="AB264" i="22"/>
  <c r="AC264" i="22"/>
  <c r="AB240" i="22"/>
  <c r="AC240" i="22"/>
  <c r="AC203" i="22"/>
  <c r="AB203" i="22"/>
  <c r="AC31" i="22"/>
  <c r="AB31" i="22"/>
  <c r="AC25" i="22"/>
  <c r="AB25" i="22"/>
  <c r="AB232" i="22"/>
  <c r="AC232" i="22"/>
  <c r="AB366" i="22"/>
  <c r="AC366" i="22"/>
  <c r="AC76" i="22"/>
  <c r="AB76" i="22"/>
  <c r="AC75" i="22"/>
  <c r="AB75" i="22"/>
  <c r="AC5" i="22"/>
  <c r="AB5" i="22"/>
  <c r="AB340" i="22"/>
  <c r="AC340" i="22"/>
  <c r="AC218" i="22"/>
  <c r="AB218" i="22"/>
  <c r="AB347" i="22"/>
  <c r="AC347" i="22"/>
  <c r="AB184" i="22"/>
  <c r="AC184" i="22"/>
  <c r="AB375" i="22"/>
  <c r="AC375" i="22"/>
  <c r="AC210" i="22"/>
  <c r="AB210" i="22"/>
  <c r="AB320" i="22"/>
  <c r="AC320" i="22"/>
  <c r="AB111" i="22"/>
  <c r="AC111" i="22"/>
  <c r="AB277" i="22"/>
  <c r="AC277" i="22"/>
  <c r="AC126" i="22"/>
  <c r="AB126" i="22"/>
  <c r="AC83" i="22"/>
  <c r="AB83" i="22"/>
  <c r="AC123" i="22"/>
  <c r="AB123" i="22"/>
  <c r="AC21" i="22"/>
  <c r="AB21" i="22"/>
  <c r="AC36" i="22"/>
  <c r="AB36" i="22"/>
  <c r="AB283" i="22"/>
  <c r="AC283" i="22"/>
  <c r="AC163" i="22"/>
  <c r="AB163" i="22"/>
  <c r="AB219" i="22"/>
  <c r="AC219" i="22"/>
  <c r="AB406" i="22"/>
  <c r="AC406" i="22"/>
  <c r="AB246" i="22"/>
  <c r="AC246" i="22"/>
  <c r="AB351" i="22"/>
  <c r="AC351" i="22"/>
  <c r="AB145" i="22"/>
  <c r="AC145" i="22"/>
  <c r="AB227" i="22"/>
  <c r="AC227" i="22"/>
  <c r="AB120" i="22"/>
  <c r="AC120" i="22"/>
  <c r="AB292" i="22"/>
  <c r="AC292" i="22"/>
  <c r="AB214" i="22"/>
  <c r="AC214" i="22"/>
  <c r="AB206" i="22"/>
  <c r="AC206" i="22"/>
  <c r="AB176" i="22"/>
  <c r="AC176" i="22"/>
  <c r="AB282" i="22"/>
  <c r="AC282" i="22"/>
  <c r="AC82" i="22"/>
  <c r="AB82" i="22"/>
  <c r="AB387" i="22"/>
  <c r="AC387" i="22"/>
  <c r="AC125" i="22"/>
  <c r="AB125" i="22"/>
  <c r="AB382" i="22"/>
  <c r="AC382" i="22"/>
  <c r="AC119" i="22"/>
  <c r="AB119" i="22"/>
  <c r="AC39" i="22"/>
  <c r="AB39" i="22"/>
  <c r="AC116" i="22"/>
  <c r="AB116" i="22"/>
  <c r="AB374" i="22"/>
  <c r="AC374" i="22"/>
  <c r="AB225" i="22"/>
  <c r="AC225" i="22"/>
  <c r="AB291" i="22"/>
  <c r="AC291" i="22"/>
  <c r="AB318" i="22"/>
  <c r="AC318" i="22"/>
  <c r="AB421" i="22"/>
  <c r="AC421" i="22"/>
  <c r="AB391" i="22"/>
  <c r="AC391" i="22"/>
  <c r="AB242" i="22"/>
  <c r="AC242" i="22"/>
  <c r="AC47" i="22"/>
  <c r="AB47" i="22"/>
  <c r="AC200" i="22"/>
  <c r="AB200" i="22"/>
  <c r="AB299" i="22"/>
  <c r="AC299" i="22"/>
  <c r="AC174" i="22"/>
  <c r="AB174" i="22"/>
  <c r="AC28" i="22"/>
  <c r="AB28" i="22"/>
  <c r="AC29" i="22"/>
  <c r="AB29" i="22"/>
  <c r="AB411" i="22"/>
  <c r="AC411" i="22"/>
  <c r="AC101" i="22"/>
  <c r="AB101" i="22"/>
  <c r="AB104" i="22"/>
  <c r="AC104" i="22"/>
  <c r="AB286" i="22"/>
  <c r="AC286" i="22"/>
  <c r="AB293" i="22"/>
  <c r="AC293" i="22"/>
  <c r="AB89" i="22"/>
  <c r="AC89" i="22"/>
  <c r="AB235" i="22"/>
  <c r="AC235" i="22"/>
  <c r="AB231" i="22"/>
  <c r="AC231" i="22"/>
  <c r="AB305" i="22"/>
  <c r="AC305" i="22"/>
  <c r="AB365" i="22"/>
  <c r="AC365" i="22"/>
  <c r="AB280" i="22"/>
  <c r="AC280" i="22"/>
  <c r="AC202" i="22"/>
  <c r="AB202" i="22"/>
  <c r="AB42" i="22"/>
  <c r="AC42" i="22"/>
  <c r="AC141" i="22"/>
  <c r="AB141" i="22"/>
  <c r="AB398" i="22"/>
  <c r="AC398" i="22"/>
  <c r="AB144" i="22"/>
  <c r="AC144" i="22"/>
  <c r="AC108" i="22"/>
  <c r="AB108" i="22"/>
  <c r="AB88" i="22"/>
  <c r="AC88" i="22"/>
  <c r="AC194" i="22"/>
  <c r="AB194" i="22"/>
  <c r="AC186" i="22"/>
  <c r="AB186" i="22"/>
  <c r="AB238" i="22"/>
  <c r="AC238" i="22"/>
  <c r="AB319" i="22"/>
  <c r="AC319" i="22"/>
  <c r="AB255" i="22"/>
  <c r="AC255" i="22"/>
  <c r="AC57" i="22"/>
  <c r="AB57" i="22"/>
  <c r="AC189" i="22"/>
  <c r="AB189" i="22"/>
  <c r="AB260" i="22"/>
  <c r="AC260" i="22"/>
  <c r="AB230" i="22"/>
  <c r="AC230" i="22"/>
  <c r="AB386" i="22"/>
  <c r="AC386" i="22"/>
  <c r="AB274" i="22"/>
  <c r="AC274" i="22"/>
  <c r="AB266" i="22"/>
  <c r="AC266" i="22"/>
  <c r="AB315" i="22"/>
  <c r="AC315" i="22"/>
  <c r="AB342" i="22"/>
  <c r="AC342" i="22"/>
  <c r="AB143" i="22"/>
  <c r="AC143" i="22"/>
  <c r="AB414" i="22"/>
  <c r="AC414" i="22"/>
  <c r="AC78" i="22"/>
  <c r="AB78" i="22"/>
  <c r="AB417" i="22"/>
  <c r="AC417" i="22"/>
  <c r="AB224" i="22"/>
  <c r="AC224" i="22"/>
  <c r="AB2" i="22"/>
  <c r="AC2" i="22"/>
  <c r="AD2" i="22"/>
  <c r="AE2" i="22"/>
  <c r="AG2" i="22"/>
  <c r="AF2" i="22"/>
  <c r="AC162" i="22"/>
  <c r="AB162" i="22"/>
  <c r="AB257" i="22"/>
  <c r="AC257" i="22"/>
  <c r="AC310" i="22"/>
  <c r="AB420" i="22"/>
  <c r="AC420" i="22"/>
  <c r="AB370" i="22"/>
  <c r="AC370" i="22"/>
  <c r="AB300" i="22"/>
  <c r="AC300" i="22"/>
  <c r="AC192" i="22"/>
  <c r="AB192" i="22"/>
  <c r="AB215" i="22"/>
  <c r="AC215" i="22"/>
  <c r="AB275" i="22"/>
  <c r="AC275" i="22"/>
  <c r="AB161" i="22"/>
  <c r="AC161" i="22"/>
  <c r="AC204" i="22"/>
  <c r="AB204" i="22"/>
  <c r="AB400" i="22"/>
  <c r="AC400" i="22"/>
  <c r="AB112" i="22"/>
  <c r="AC112" i="22"/>
  <c r="AC148" i="22"/>
  <c r="AB148" i="22"/>
  <c r="AB217" i="22"/>
  <c r="AC217" i="22"/>
  <c r="AC130" i="22"/>
  <c r="AB130" i="22"/>
  <c r="AB34" i="22"/>
  <c r="AC34" i="22"/>
  <c r="AC151" i="22"/>
  <c r="AB151" i="22"/>
  <c r="AB418" i="22"/>
  <c r="AC418" i="22"/>
  <c r="AC132" i="22"/>
  <c r="AB132" i="22"/>
  <c r="AB325" i="22"/>
  <c r="AC325" i="22"/>
  <c r="AC166" i="22"/>
  <c r="AB166" i="22"/>
  <c r="AB105" i="22"/>
  <c r="AC105" i="22"/>
  <c r="AB383" i="22"/>
  <c r="AC383" i="22"/>
  <c r="AB404" i="22"/>
  <c r="AC404" i="22"/>
  <c r="AB415" i="22"/>
  <c r="AC415" i="22"/>
  <c r="AB243" i="22"/>
  <c r="AC243" i="22"/>
  <c r="AC45" i="22"/>
  <c r="AB45" i="22"/>
  <c r="AC179" i="22"/>
  <c r="AB179" i="22"/>
  <c r="AB270" i="22"/>
  <c r="AC270" i="22"/>
  <c r="AC72" i="22"/>
  <c r="AB72" i="22"/>
  <c r="AC170" i="22"/>
  <c r="AB170" i="22"/>
  <c r="AB378" i="22"/>
  <c r="AC378" i="22"/>
  <c r="AB335" i="22"/>
  <c r="AC335" i="22"/>
  <c r="AB113" i="22"/>
  <c r="AC113" i="22"/>
  <c r="AB27" i="22"/>
  <c r="AC27" i="22"/>
  <c r="AB358" i="22"/>
  <c r="AC358" i="22"/>
  <c r="AB306" i="22"/>
  <c r="AC306" i="22"/>
  <c r="AC107" i="22"/>
  <c r="AB107" i="22"/>
  <c r="AC213" i="22"/>
  <c r="AB213" i="22"/>
  <c r="AB279" i="22"/>
  <c r="AC279" i="22"/>
  <c r="AC91" i="22"/>
  <c r="AB91" i="22"/>
  <c r="AB409" i="22"/>
  <c r="AC409" i="22"/>
  <c r="AC20" i="22"/>
  <c r="AB20" i="22"/>
  <c r="AB221" i="22"/>
  <c r="AC221" i="22"/>
  <c r="AB35" i="22"/>
  <c r="AC35" i="22"/>
  <c r="AC188" i="22"/>
  <c r="AB188" i="22"/>
  <c r="AB136" i="22"/>
  <c r="AC136" i="22"/>
  <c r="AC109" i="22"/>
  <c r="AB109" i="22"/>
  <c r="AC140" i="22"/>
  <c r="AB140" i="22"/>
  <c r="AB249" i="22"/>
  <c r="AC249" i="22"/>
  <c r="AC205" i="22"/>
  <c r="AB205" i="22"/>
  <c r="AB281" i="22"/>
  <c r="AC281" i="22"/>
  <c r="AC13" i="22"/>
  <c r="AB13" i="22"/>
  <c r="AC134" i="22"/>
  <c r="AB134" i="22"/>
  <c r="AC22" i="22"/>
  <c r="AB22" i="22"/>
  <c r="AB97" i="22"/>
  <c r="AC97" i="22"/>
  <c r="AB233" i="22"/>
  <c r="AC233" i="22"/>
  <c r="AC185" i="22"/>
  <c r="AB185" i="22"/>
  <c r="AB376" i="22"/>
  <c r="AC376" i="22"/>
  <c r="AB302" i="22"/>
  <c r="AC302" i="22"/>
  <c r="AB50" i="22"/>
  <c r="AC50" i="22"/>
  <c r="AB285" i="22"/>
  <c r="AC285" i="22"/>
  <c r="AB252" i="22"/>
  <c r="AC252" i="22"/>
  <c r="AC106" i="22"/>
  <c r="AB106" i="22"/>
  <c r="AC64" i="22"/>
  <c r="AB64" i="22"/>
  <c r="AB354" i="22"/>
  <c r="AC354" i="22"/>
  <c r="AC4" i="22"/>
  <c r="AB4" i="22"/>
  <c r="AB324" i="22"/>
  <c r="AC324" i="22"/>
  <c r="AB419" i="22"/>
  <c r="AC419" i="22"/>
  <c r="AB95" i="22"/>
  <c r="AC95" i="22"/>
  <c r="AC183" i="22"/>
  <c r="AB183" i="22"/>
  <c r="AC65" i="22"/>
  <c r="AB65" i="22"/>
  <c r="AB333" i="22"/>
  <c r="AC333" i="22"/>
  <c r="AB384" i="22"/>
  <c r="AC384" i="22"/>
  <c r="AC8" i="22"/>
  <c r="AB8" i="22"/>
  <c r="AB169" i="22"/>
  <c r="AC169" i="22"/>
  <c r="AB371" i="22"/>
  <c r="AC371" i="22"/>
  <c r="AB209" i="22"/>
  <c r="AC209" i="22"/>
  <c r="AB377" i="22"/>
  <c r="AC377" i="22"/>
  <c r="AB262" i="22"/>
  <c r="AC262" i="22"/>
  <c r="AC131" i="22"/>
  <c r="AB131" i="22"/>
  <c r="AB237" i="22"/>
  <c r="AC237" i="22"/>
  <c r="AB402" i="22"/>
  <c r="AC402" i="22"/>
  <c r="AB254" i="22"/>
  <c r="AC254" i="22"/>
  <c r="AC56" i="22"/>
  <c r="AB56" i="22"/>
  <c r="AB405" i="22"/>
  <c r="AC405" i="22"/>
  <c r="AC71" i="22"/>
  <c r="AB71" i="22"/>
  <c r="AC212" i="22"/>
  <c r="AB212" i="22"/>
  <c r="AB245" i="22"/>
  <c r="AC245" i="22"/>
  <c r="AB408" i="22"/>
  <c r="AC408" i="22"/>
  <c r="AB298" i="22"/>
  <c r="AC298" i="22"/>
  <c r="AC149" i="22"/>
  <c r="AB149" i="22"/>
  <c r="AC63" i="22"/>
  <c r="AB63" i="22"/>
  <c r="AB19" i="22"/>
  <c r="AC19" i="22"/>
  <c r="AB290" i="22"/>
  <c r="AC290" i="22"/>
  <c r="AC102" i="22"/>
  <c r="AB102" i="22"/>
  <c r="AC118" i="22"/>
  <c r="AB118" i="22"/>
  <c r="AB248" i="22"/>
  <c r="AC248" i="22"/>
  <c r="AB229" i="22"/>
  <c r="AC229" i="22"/>
  <c r="AC46" i="22"/>
  <c r="AB46" i="22"/>
  <c r="AB395" i="22"/>
  <c r="AC395" i="22"/>
  <c r="AB211" i="22"/>
  <c r="AC211" i="22"/>
  <c r="AB321" i="22"/>
  <c r="AC321" i="22"/>
  <c r="AB326" i="22"/>
  <c r="AC326" i="22"/>
  <c r="AC77" i="22"/>
  <c r="AB77" i="22"/>
  <c r="AC139" i="22"/>
  <c r="AB139" i="22"/>
  <c r="AB373" i="22"/>
  <c r="AC373" i="22"/>
  <c r="AB329" i="22"/>
  <c r="AC329" i="22"/>
  <c r="AC155" i="22"/>
  <c r="AB155" i="22"/>
  <c r="AB284" i="22"/>
  <c r="AC284" i="22"/>
  <c r="AC16" i="22"/>
  <c r="AB16" i="22"/>
  <c r="AB401" i="22"/>
  <c r="AC401" i="22"/>
  <c r="AB153" i="22"/>
  <c r="AC153" i="22"/>
  <c r="AC173" i="22"/>
  <c r="AB173" i="22"/>
  <c r="AB413" i="22"/>
  <c r="AC413" i="22"/>
  <c r="AC61" i="22"/>
  <c r="AB61" i="22"/>
  <c r="AB80" i="22"/>
  <c r="AC80" i="22"/>
  <c r="AB352" i="22"/>
  <c r="AC352" i="22"/>
  <c r="AC44" i="22"/>
  <c r="AB44" i="22"/>
  <c r="AC187" i="22"/>
  <c r="AB187" i="22"/>
  <c r="AB301" i="22"/>
  <c r="AC301" i="22"/>
  <c r="AB422" i="22"/>
  <c r="AC422" i="22"/>
  <c r="AB396" i="22"/>
  <c r="AC396" i="22"/>
  <c r="AB303" i="22"/>
  <c r="AC303" i="22"/>
  <c r="AB128" i="22"/>
  <c r="AC128" i="22"/>
  <c r="AB330" i="22"/>
  <c r="AC330" i="22"/>
  <c r="AC182" i="22"/>
  <c r="AB182" i="22"/>
  <c r="AB228" i="22"/>
  <c r="AC228" i="22"/>
  <c r="AC193" i="22"/>
  <c r="AB193" i="22"/>
  <c r="AB175" i="22"/>
  <c r="AC175" i="22"/>
  <c r="AC15" i="22"/>
  <c r="AB15" i="22"/>
  <c r="AC93" i="22"/>
  <c r="AB93" i="22"/>
  <c r="AB261" i="22"/>
  <c r="AC261" i="22"/>
  <c r="AC165" i="22"/>
  <c r="AB165" i="22"/>
  <c r="AB273" i="22"/>
  <c r="AC273" i="22"/>
  <c r="AC85" i="22"/>
  <c r="AB85" i="22"/>
  <c r="AB339" i="22"/>
  <c r="AC339" i="22"/>
  <c r="AB364" i="22"/>
  <c r="AC364" i="22"/>
  <c r="AB26" i="22"/>
  <c r="AC26" i="22"/>
  <c r="AB334" i="22"/>
  <c r="AC334" i="22"/>
  <c r="AC208" i="22"/>
  <c r="AB208" i="22"/>
  <c r="AC122" i="22"/>
  <c r="AB122" i="22"/>
  <c r="AB397" i="22"/>
  <c r="AC397" i="22"/>
  <c r="AC164" i="22"/>
  <c r="AB164" i="22"/>
  <c r="AB198" i="22"/>
  <c r="AC198" i="22"/>
  <c r="AB308" i="22"/>
  <c r="AC308" i="22"/>
  <c r="AB294" i="22"/>
  <c r="AC294" i="22"/>
  <c r="AB381" i="22"/>
  <c r="AC381" i="22"/>
  <c r="AB265" i="22"/>
  <c r="AC265" i="22"/>
  <c r="AC114" i="22"/>
  <c r="AB114" i="22"/>
  <c r="AB363" i="22"/>
  <c r="AC363" i="22"/>
  <c r="AB244" i="22"/>
  <c r="AC244" i="22"/>
  <c r="AC180" i="22"/>
  <c r="AB180" i="22"/>
  <c r="AC6" i="22"/>
  <c r="AB6" i="22"/>
  <c r="AC92" i="22"/>
  <c r="AB92" i="22"/>
  <c r="AB247" i="22"/>
  <c r="AC247" i="22"/>
  <c r="AB367" i="22"/>
  <c r="AC367" i="22"/>
  <c r="AB159" i="22"/>
  <c r="AC159" i="22"/>
  <c r="AC98" i="22"/>
  <c r="AB98" i="22"/>
  <c r="AB263" i="22"/>
  <c r="AC263" i="22"/>
  <c r="AB390" i="22"/>
  <c r="AC390" i="22"/>
  <c r="AC17" i="22"/>
  <c r="AB17" i="22"/>
  <c r="AB276" i="22"/>
  <c r="AC276" i="22"/>
  <c r="AB368" i="22"/>
  <c r="AC368" i="22"/>
  <c r="AB288" i="22"/>
  <c r="AC288" i="22"/>
  <c r="AB380" i="22"/>
  <c r="AC380" i="22"/>
  <c r="AB3" i="22"/>
  <c r="AC3" i="22"/>
  <c r="AA269" i="22"/>
  <c r="AA14" i="22"/>
  <c r="AA398" i="22"/>
  <c r="AA322" i="22"/>
  <c r="AA175" i="22"/>
  <c r="AA254" i="22"/>
  <c r="AA71" i="22"/>
  <c r="AA416" i="22"/>
  <c r="AA121" i="22"/>
  <c r="AA57" i="22"/>
  <c r="AA189" i="22"/>
  <c r="AA66" i="22"/>
  <c r="AA19" i="22"/>
  <c r="AA410" i="22"/>
  <c r="AA205" i="22"/>
  <c r="AA418" i="22"/>
  <c r="AA258" i="22"/>
  <c r="AA207" i="22"/>
  <c r="AA24" i="22"/>
  <c r="AA307" i="22"/>
  <c r="AA300" i="22"/>
  <c r="AA172" i="22"/>
  <c r="AA192" i="22"/>
  <c r="AA64" i="22"/>
  <c r="AA75" i="22"/>
  <c r="AA28" i="22"/>
  <c r="AL52" i="22"/>
  <c r="AM52" i="22"/>
  <c r="AA286" i="22"/>
  <c r="AA130" i="22"/>
  <c r="AA137" i="22"/>
  <c r="AA115" i="22"/>
  <c r="AA220" i="22"/>
  <c r="AA345" i="22"/>
  <c r="AA199" i="22"/>
  <c r="AA144" i="22"/>
  <c r="AA15" i="22"/>
  <c r="AA219" i="22"/>
  <c r="AA93" i="22"/>
  <c r="AA351" i="22"/>
  <c r="AA85" i="22"/>
  <c r="AA253" i="22"/>
  <c r="AA80" i="22"/>
  <c r="AA35" i="22"/>
  <c r="AA146" i="22"/>
  <c r="AA136" i="22"/>
  <c r="AA176" i="22"/>
  <c r="AA282" i="22"/>
  <c r="AA229" i="22"/>
  <c r="AA46" i="22"/>
  <c r="AA395" i="22"/>
  <c r="AA185" i="22"/>
  <c r="AA79" i="22"/>
  <c r="AA284" i="22"/>
  <c r="AA201" i="22"/>
  <c r="AA41" i="22"/>
  <c r="AA252" i="22"/>
  <c r="AA86" i="22"/>
  <c r="AA29" i="22"/>
  <c r="AA173" i="22"/>
  <c r="AA72" i="22"/>
  <c r="AA301" i="22"/>
  <c r="AA210" i="22"/>
  <c r="AA113" i="22"/>
  <c r="AA89" i="22"/>
  <c r="AA84" i="22"/>
  <c r="AA27" i="22"/>
  <c r="AA186" i="22"/>
  <c r="AA297" i="22"/>
  <c r="AA238" i="22"/>
  <c r="AA127" i="22"/>
  <c r="AA319" i="22"/>
  <c r="AA272" i="22"/>
  <c r="AA12" i="22"/>
  <c r="AA332" i="22"/>
  <c r="AA96" i="22"/>
  <c r="AA164" i="22"/>
  <c r="AA308" i="22"/>
  <c r="AA294" i="22"/>
  <c r="AA114" i="22"/>
  <c r="AA374" i="22"/>
  <c r="AA363" i="22"/>
  <c r="AA242" i="22"/>
  <c r="AA92" i="22"/>
  <c r="AA47" i="22"/>
  <c r="AA159" i="22"/>
  <c r="AA239" i="22"/>
  <c r="AM343" i="22"/>
  <c r="AL343" i="22"/>
  <c r="AA105" i="22"/>
  <c r="AA243" i="22"/>
  <c r="AA25" i="22"/>
  <c r="AA327" i="22"/>
  <c r="AA280" i="22"/>
  <c r="AA156" i="22"/>
  <c r="AA126" i="22"/>
  <c r="AA330" i="22"/>
  <c r="AA123" i="22"/>
  <c r="AA338" i="22"/>
  <c r="AA107" i="22"/>
  <c r="AA61" i="22"/>
  <c r="AA91" i="22"/>
  <c r="AA419" i="22"/>
  <c r="AA214" i="22"/>
  <c r="AA289" i="22"/>
  <c r="AA266" i="22"/>
  <c r="AA190" i="22"/>
  <c r="AA94" i="22"/>
  <c r="AA78" i="22"/>
  <c r="AA417" i="22"/>
  <c r="AA224" i="22"/>
  <c r="AA291" i="22"/>
  <c r="AA244" i="22"/>
  <c r="AA421" i="22"/>
  <c r="AA420" i="22"/>
  <c r="AA344" i="22"/>
  <c r="AA370" i="22"/>
  <c r="AA390" i="22"/>
  <c r="AA276" i="22"/>
  <c r="AA368" i="22"/>
  <c r="AA299" i="22"/>
  <c r="AA147" i="22"/>
  <c r="AA161" i="22"/>
  <c r="AM59" i="22"/>
  <c r="AL59" i="22"/>
  <c r="AA42" i="22"/>
  <c r="AA31" i="22"/>
  <c r="AA404" i="22"/>
  <c r="AA415" i="22"/>
  <c r="AA293" i="22"/>
  <c r="AA270" i="22"/>
  <c r="AA90" i="22"/>
  <c r="AA178" i="22"/>
  <c r="AA236" i="22"/>
  <c r="AA193" i="22"/>
  <c r="AA21" i="22"/>
  <c r="AA283" i="22"/>
  <c r="AA402" i="22"/>
  <c r="AA379" i="22"/>
  <c r="AA408" i="22"/>
  <c r="AA223" i="22"/>
  <c r="AA314" i="22"/>
  <c r="AA255" i="22"/>
  <c r="AA142" i="22"/>
  <c r="AA37" i="22"/>
  <c r="AA102" i="22"/>
  <c r="AA33" i="22"/>
  <c r="AA295" i="22"/>
  <c r="AA248" i="22"/>
  <c r="AA231" i="22"/>
  <c r="AA13" i="22"/>
  <c r="AA22" i="22"/>
  <c r="AA158" i="22"/>
  <c r="AA97" i="22"/>
  <c r="AA257" i="22"/>
  <c r="AA325" i="22"/>
  <c r="AA302" i="22"/>
  <c r="AA166" i="22"/>
  <c r="AA285" i="22"/>
  <c r="AA226" i="22"/>
  <c r="AA40" i="22"/>
  <c r="AA336" i="22"/>
  <c r="AA400" i="22"/>
  <c r="AA135" i="22"/>
  <c r="AA148" i="22"/>
  <c r="AM341" i="22"/>
  <c r="AL341" i="22"/>
  <c r="AA348" i="22"/>
  <c r="AA54" i="22"/>
  <c r="AA103" i="22"/>
  <c r="AA305" i="22"/>
  <c r="AA309" i="22"/>
  <c r="AA365" i="22"/>
  <c r="AA333" i="22"/>
  <c r="AA384" i="22"/>
  <c r="AA8" i="22"/>
  <c r="AA169" i="22"/>
  <c r="AA34" i="22"/>
  <c r="AA110" i="22"/>
  <c r="AA335" i="22"/>
  <c r="AA246" i="22"/>
  <c r="AA261" i="22"/>
  <c r="AA165" i="22"/>
  <c r="AA273" i="22"/>
  <c r="AA221" i="22"/>
  <c r="AA352" i="22"/>
  <c r="AA260" i="22"/>
  <c r="AA206" i="22"/>
  <c r="AA122" i="22"/>
  <c r="AA355" i="22"/>
  <c r="AA321" i="22"/>
  <c r="AA11" i="22"/>
  <c r="AA331" i="22"/>
  <c r="AA233" i="22"/>
  <c r="AA132" i="22"/>
  <c r="AA267" i="22"/>
  <c r="AA155" i="22"/>
  <c r="AA215" i="22"/>
  <c r="AA191" i="22"/>
  <c r="AA204" i="22"/>
  <c r="AA240" i="22"/>
  <c r="AM58" i="22"/>
  <c r="AL58" i="22"/>
  <c r="AA187" i="22"/>
  <c r="AA340" i="22"/>
  <c r="AA104" i="22"/>
  <c r="AA347" i="22"/>
  <c r="AA375" i="22"/>
  <c r="AA111" i="22"/>
  <c r="AA377" i="22"/>
  <c r="AA151" i="22"/>
  <c r="AA88" i="22"/>
  <c r="AA62" i="22"/>
  <c r="AA74" i="22"/>
  <c r="AA372" i="22"/>
  <c r="AA222" i="22"/>
  <c r="AA109" i="22"/>
  <c r="AA230" i="22"/>
  <c r="AA386" i="22"/>
  <c r="AA397" i="22"/>
  <c r="AA382" i="22"/>
  <c r="AA198" i="22"/>
  <c r="AA119" i="22"/>
  <c r="AA265" i="22"/>
  <c r="AA116" i="22"/>
  <c r="AA225" i="22"/>
  <c r="AA77" i="22"/>
  <c r="AA373" i="22"/>
  <c r="AA328" i="22"/>
  <c r="AA329" i="22"/>
  <c r="AA6" i="22"/>
  <c r="AA391" i="22"/>
  <c r="AA367" i="22"/>
  <c r="AA153" i="22"/>
  <c r="AA203" i="22"/>
  <c r="AM10" i="22"/>
  <c r="AL10" i="22"/>
  <c r="AA383" i="22"/>
  <c r="AA60" i="22"/>
  <c r="AA356" i="22"/>
  <c r="AA150" i="22"/>
  <c r="AA349" i="22"/>
  <c r="AA277" i="22"/>
  <c r="AA128" i="22"/>
  <c r="AA228" i="22"/>
  <c r="AA117" i="22"/>
  <c r="AA237" i="22"/>
  <c r="AA171" i="22"/>
  <c r="AA358" i="22"/>
  <c r="AA306" i="22"/>
  <c r="AA279" i="22"/>
  <c r="AA232" i="22"/>
  <c r="AA409" i="22"/>
  <c r="AA339" i="22"/>
  <c r="AA292" i="22"/>
  <c r="AA26" i="22"/>
  <c r="AA334" i="22"/>
  <c r="AA140" i="22"/>
  <c r="AA249" i="22"/>
  <c r="AA315" i="22"/>
  <c r="AA268" i="22"/>
  <c r="AA143" i="22"/>
  <c r="AA129" i="22"/>
  <c r="AA318" i="22"/>
  <c r="AA234" i="22"/>
  <c r="AA17" i="22"/>
  <c r="AA174" i="22"/>
  <c r="AA275" i="22"/>
  <c r="AA251" i="22"/>
  <c r="AM393" i="22"/>
  <c r="AL393" i="22"/>
  <c r="AA217" i="22"/>
  <c r="AA45" i="22"/>
  <c r="AA179" i="22"/>
  <c r="AA170" i="22"/>
  <c r="AA141" i="22"/>
  <c r="AA181" i="22"/>
  <c r="AA36" i="22"/>
  <c r="AA56" i="22"/>
  <c r="AA405" i="22"/>
  <c r="AA259" i="22"/>
  <c r="AA212" i="22"/>
  <c r="AA245" i="22"/>
  <c r="AA298" i="22"/>
  <c r="AA55" i="22"/>
  <c r="AA317" i="22"/>
  <c r="AA3" i="22"/>
  <c r="AA399" i="22"/>
  <c r="AA290" i="22"/>
  <c r="AA154" i="22"/>
  <c r="AA118" i="22"/>
  <c r="AA403" i="22"/>
  <c r="AA281" i="22"/>
  <c r="AA134" i="22"/>
  <c r="AA366" i="22"/>
  <c r="AA162" i="22"/>
  <c r="AA177" i="22"/>
  <c r="AA133" i="22"/>
  <c r="AA76" i="22"/>
  <c r="AA304" i="22"/>
  <c r="AA50" i="22"/>
  <c r="AA99" i="22"/>
  <c r="AA312" i="22"/>
  <c r="AA288" i="22"/>
  <c r="AA264" i="22"/>
  <c r="AA4" i="22"/>
  <c r="AA5" i="22"/>
  <c r="AA324" i="22"/>
  <c r="AL53" i="22"/>
  <c r="AM53" i="22"/>
  <c r="AM69" i="22"/>
  <c r="AL69" i="22"/>
  <c r="AA241" i="22"/>
  <c r="AA23" i="22"/>
  <c r="AA407" i="22"/>
  <c r="AA87" i="22"/>
  <c r="AA196" i="22"/>
  <c r="AA378" i="22"/>
  <c r="AA163" i="22"/>
  <c r="AA406" i="22"/>
  <c r="AA145" i="22"/>
  <c r="AA227" i="22"/>
  <c r="AA120" i="22"/>
  <c r="AA20" i="22"/>
  <c r="AA235" i="22"/>
  <c r="AA188" i="22"/>
  <c r="AA208" i="22"/>
  <c r="AA82" i="22"/>
  <c r="AA387" i="22"/>
  <c r="AA211" i="22"/>
  <c r="AA157" i="22"/>
  <c r="AA326" i="22"/>
  <c r="AA197" i="22"/>
  <c r="AA250" i="22"/>
  <c r="AA376" i="22"/>
  <c r="AA287" i="22"/>
  <c r="AA100" i="22"/>
  <c r="AA216" i="22"/>
  <c r="AA413" i="22"/>
  <c r="AL369" i="22"/>
  <c r="AM369" i="22"/>
  <c r="AM9" i="22"/>
  <c r="AL9" i="22"/>
  <c r="AA101" i="22"/>
  <c r="AA218" i="22"/>
  <c r="AA422" i="22"/>
  <c r="AA184" i="22"/>
  <c r="AA396" i="22"/>
  <c r="AA320" i="22"/>
  <c r="AA371" i="22"/>
  <c r="AA209" i="22"/>
  <c r="AA262" i="22"/>
  <c r="AA167" i="22"/>
  <c r="AA108" i="22"/>
  <c r="AA194" i="22"/>
  <c r="AA70" i="22"/>
  <c r="AA357" i="22"/>
  <c r="AA149" i="22"/>
  <c r="AA138" i="22"/>
  <c r="AA385" i="22"/>
  <c r="AA63" i="22"/>
  <c r="AA346" i="22"/>
  <c r="AA274" i="22"/>
  <c r="AA125" i="22"/>
  <c r="AA39" i="22"/>
  <c r="AA381" i="22"/>
  <c r="AA139" i="22"/>
  <c r="AA247" i="22"/>
  <c r="AA200" i="22"/>
  <c r="AA98" i="22"/>
  <c r="AA412" i="22"/>
  <c r="AA124" i="22"/>
  <c r="AA106" i="22"/>
  <c r="AA389" i="22"/>
  <c r="AA323" i="22"/>
  <c r="AM68" i="22"/>
  <c r="AL68" i="22"/>
  <c r="AA44" i="22"/>
  <c r="AA183" i="22"/>
  <c r="AA7" i="22"/>
  <c r="AA67" i="22"/>
  <c r="AA350" i="22"/>
  <c r="AA65" i="22"/>
  <c r="AA38" i="22"/>
  <c r="AA278" i="22"/>
  <c r="AA152" i="22"/>
  <c r="AA202" i="22"/>
  <c r="AA303" i="22"/>
  <c r="AA83" i="22"/>
  <c r="AA182" i="22"/>
  <c r="AA18" i="22"/>
  <c r="AA256" i="22"/>
  <c r="AA131" i="22"/>
  <c r="AA296" i="22"/>
  <c r="AA213" i="22"/>
  <c r="AA364" i="22"/>
  <c r="AA95" i="22"/>
  <c r="AA342" i="22"/>
  <c r="AA271" i="22"/>
  <c r="AA160" i="22"/>
  <c r="AA30" i="22"/>
  <c r="AA414" i="22"/>
  <c r="AA2" i="22"/>
  <c r="AA388" i="22"/>
  <c r="AA180" i="22"/>
  <c r="AA394" i="22"/>
  <c r="AA263" i="22"/>
  <c r="AA16" i="22"/>
  <c r="AA401" i="22"/>
  <c r="AA354" i="22"/>
  <c r="AA112" i="22"/>
  <c r="AA411" i="22"/>
  <c r="AA380" i="22"/>
  <c r="AL311" i="22"/>
  <c r="AM311" i="22"/>
  <c r="AM43" i="22"/>
  <c r="AL43" i="22"/>
  <c r="BM4" i="4"/>
  <c r="BN4" i="4"/>
  <c r="BN5" i="4"/>
  <c r="BM5" i="4"/>
  <c r="BB3" i="4"/>
  <c r="BD3" i="4"/>
  <c r="BC3" i="4"/>
  <c r="BE60" i="2"/>
  <c r="H60" i="2"/>
  <c r="CF4" i="4"/>
  <c r="CG4" i="4"/>
  <c r="BB2" i="4"/>
  <c r="BD2" i="4"/>
  <c r="BC2" i="4"/>
  <c r="AX60" i="2"/>
  <c r="X3" i="4"/>
  <c r="BE75" i="2"/>
  <c r="H75" i="2"/>
  <c r="AX72" i="2"/>
  <c r="BE81" i="2"/>
  <c r="H81" i="2"/>
  <c r="BE63" i="2"/>
  <c r="H63" i="2"/>
  <c r="CF5" i="4"/>
  <c r="CG5" i="4"/>
  <c r="AX57" i="2"/>
  <c r="BU3" i="4"/>
  <c r="BW3" i="4"/>
  <c r="BV3" i="4"/>
  <c r="BE69" i="2"/>
  <c r="H69" i="2"/>
  <c r="AX75" i="2"/>
  <c r="BN2" i="4"/>
  <c r="BM2" i="4"/>
  <c r="AX66" i="2"/>
  <c r="AX81" i="2"/>
  <c r="AX78" i="2"/>
  <c r="BC5" i="4"/>
  <c r="BB5" i="4"/>
  <c r="BD5" i="4"/>
  <c r="CO3" i="4"/>
  <c r="CN3" i="4"/>
  <c r="CP3" i="4"/>
  <c r="BC4" i="4"/>
  <c r="BB4" i="4"/>
  <c r="BD4" i="4"/>
  <c r="BE78" i="2"/>
  <c r="H78" i="2"/>
  <c r="BE57" i="2"/>
  <c r="H57" i="2"/>
  <c r="BE66" i="2"/>
  <c r="H66" i="2"/>
  <c r="AX63" i="2"/>
  <c r="AX69" i="2"/>
  <c r="BE72" i="2"/>
  <c r="H72" i="2"/>
  <c r="AB310" i="22" l="1"/>
  <c r="AC316" i="22"/>
  <c r="AB316" i="22"/>
  <c r="AA73" i="22"/>
  <c r="AB73" i="22"/>
  <c r="AG73" i="22"/>
  <c r="AF73" i="22"/>
  <c r="AD73" i="22"/>
  <c r="AE73" i="22"/>
  <c r="AC353" i="22"/>
  <c r="AA353" i="22"/>
  <c r="AA337" i="22"/>
  <c r="AC337" i="22"/>
  <c r="AD369" i="22"/>
  <c r="AE369" i="22"/>
  <c r="AF369" i="22"/>
  <c r="AG369" i="22"/>
  <c r="AE68" i="22"/>
  <c r="AD68" i="22"/>
  <c r="AG68" i="22"/>
  <c r="AF68" i="22"/>
  <c r="AD69" i="22"/>
  <c r="AE69" i="22"/>
  <c r="AF69" i="22"/>
  <c r="AG69" i="22"/>
  <c r="AE59" i="22"/>
  <c r="AD59" i="22"/>
  <c r="AF59" i="22"/>
  <c r="AG59" i="22"/>
  <c r="AB51" i="22"/>
  <c r="AE51" i="22"/>
  <c r="AD51" i="22"/>
  <c r="AF51" i="22"/>
  <c r="AG51" i="22"/>
  <c r="AD311" i="22"/>
  <c r="AE311" i="22"/>
  <c r="AF311" i="22"/>
  <c r="AG311" i="22"/>
  <c r="AC195" i="22"/>
  <c r="AE195" i="22"/>
  <c r="AD195" i="22"/>
  <c r="AG195" i="22"/>
  <c r="AF195" i="22"/>
  <c r="AD393" i="22"/>
  <c r="AE393" i="22"/>
  <c r="AG393" i="22"/>
  <c r="AF393" i="22"/>
  <c r="AD58" i="22"/>
  <c r="AE58" i="22"/>
  <c r="AF58" i="22"/>
  <c r="AG58" i="22"/>
  <c r="AD310" i="22"/>
  <c r="AE310" i="22"/>
  <c r="AG310" i="22"/>
  <c r="AF310" i="22"/>
  <c r="AD52" i="22"/>
  <c r="AF52" i="22"/>
  <c r="AG52" i="22"/>
  <c r="AE52" i="22"/>
  <c r="AD316" i="22"/>
  <c r="AE316" i="22"/>
  <c r="AF316" i="22"/>
  <c r="AG316" i="22"/>
  <c r="AE49" i="22"/>
  <c r="AD49" i="22"/>
  <c r="AF49" i="22"/>
  <c r="AG49" i="22"/>
  <c r="AD53" i="22"/>
  <c r="AE53" i="22"/>
  <c r="AF53" i="22"/>
  <c r="AG53" i="22"/>
  <c r="AD415" i="22"/>
  <c r="AE415" i="22"/>
  <c r="AF415" i="22"/>
  <c r="AG415" i="22"/>
  <c r="AE341" i="22"/>
  <c r="AF341" i="22"/>
  <c r="AG341" i="22"/>
  <c r="AD341" i="22"/>
  <c r="AD32" i="22"/>
  <c r="AE32" i="22"/>
  <c r="AF32" i="22"/>
  <c r="AG32" i="22"/>
  <c r="AD337" i="22"/>
  <c r="AE337" i="22"/>
  <c r="AF337" i="22"/>
  <c r="AG337" i="22"/>
  <c r="AD48" i="22"/>
  <c r="AF48" i="22"/>
  <c r="AE48" i="22"/>
  <c r="AG48" i="22"/>
  <c r="AE9" i="22"/>
  <c r="AD9" i="22"/>
  <c r="AG9" i="22"/>
  <c r="AF9" i="22"/>
  <c r="AD50" i="22"/>
  <c r="AE50" i="22"/>
  <c r="AF50" i="22"/>
  <c r="AG50" i="22"/>
  <c r="AD353" i="22"/>
  <c r="AE353" i="22"/>
  <c r="AF353" i="22"/>
  <c r="AG353" i="22"/>
  <c r="AD343" i="22"/>
  <c r="AE343" i="22"/>
  <c r="AF343" i="22"/>
  <c r="AG343" i="22"/>
  <c r="AC81" i="22"/>
  <c r="AE81" i="22"/>
  <c r="AD81" i="22"/>
  <c r="AF81" i="22"/>
  <c r="AG81" i="22"/>
  <c r="AB168" i="22"/>
  <c r="AD168" i="22"/>
  <c r="AE168" i="22"/>
  <c r="AF168" i="22"/>
  <c r="AG168" i="22"/>
  <c r="AE43" i="22"/>
  <c r="AD43" i="22"/>
  <c r="AF43" i="22"/>
  <c r="AG43" i="22"/>
  <c r="AD10" i="22"/>
  <c r="AF10" i="22"/>
  <c r="AE10" i="22"/>
  <c r="AG10" i="22"/>
  <c r="AB195" i="22"/>
  <c r="AB81" i="22"/>
  <c r="AH304" i="22"/>
  <c r="AQ304" i="22" s="1"/>
  <c r="AP304" i="22" s="1"/>
  <c r="AH350" i="22"/>
  <c r="AR350" i="22" s="1"/>
  <c r="AA48" i="22"/>
  <c r="AB48" i="22"/>
  <c r="AB49" i="22"/>
  <c r="AA49" i="22"/>
  <c r="AA51" i="22"/>
  <c r="AC168" i="22"/>
  <c r="AC51" i="22"/>
  <c r="AC49" i="22"/>
  <c r="AC32" i="22"/>
  <c r="AA32" i="22"/>
  <c r="AH416" i="22"/>
  <c r="AR416" i="22" s="1"/>
  <c r="AH74" i="22"/>
  <c r="AQ74" i="22" s="1"/>
  <c r="AP74" i="22" s="1"/>
  <c r="AH156" i="22"/>
  <c r="AR156" i="22" s="1"/>
  <c r="AH278" i="22"/>
  <c r="AR278" i="22" s="1"/>
  <c r="AH101" i="22"/>
  <c r="AR101" i="22" s="1"/>
  <c r="AH97" i="22"/>
  <c r="AR97" i="22" s="1"/>
  <c r="AH378" i="22"/>
  <c r="AH66" i="22"/>
  <c r="AR66" i="22" s="1"/>
  <c r="AH183" i="22"/>
  <c r="AR183" i="22" s="1"/>
  <c r="AH281" i="22"/>
  <c r="AR281" i="22" s="1"/>
  <c r="AH279" i="22"/>
  <c r="AR279" i="22" s="1"/>
  <c r="AH325" i="22"/>
  <c r="AQ325" i="22" s="1"/>
  <c r="AP325" i="22" s="1"/>
  <c r="AH34" i="22"/>
  <c r="AR34" i="22" s="1"/>
  <c r="AH100" i="22"/>
  <c r="AR100" i="22" s="1"/>
  <c r="AH177" i="22"/>
  <c r="AR177" i="22" s="1"/>
  <c r="AH199" i="22"/>
  <c r="AR199" i="22" s="1"/>
  <c r="AH179" i="22"/>
  <c r="AH365" i="22"/>
  <c r="AR365" i="22" s="1"/>
  <c r="AH385" i="22"/>
  <c r="AR385" i="22" s="1"/>
  <c r="AH171" i="22"/>
  <c r="AR171" i="22" s="1"/>
  <c r="AH223" i="22"/>
  <c r="AQ223" i="22" s="1"/>
  <c r="AP223" i="22" s="1"/>
  <c r="AH60" i="22"/>
  <c r="AR60" i="22" s="1"/>
  <c r="AH210" i="22"/>
  <c r="AR210" i="22" s="1"/>
  <c r="AH158" i="22"/>
  <c r="AQ158" i="22" s="1"/>
  <c r="AP158" i="22" s="1"/>
  <c r="AH105" i="22"/>
  <c r="AR105" i="22" s="1"/>
  <c r="AH125" i="22"/>
  <c r="AR125" i="22" s="1"/>
  <c r="AH203" i="22"/>
  <c r="AR203" i="22" s="1"/>
  <c r="AH388" i="22"/>
  <c r="AR388" i="22" s="1"/>
  <c r="AH274" i="22"/>
  <c r="AR274" i="22" s="1"/>
  <c r="AH375" i="22"/>
  <c r="AR375" i="22" s="1"/>
  <c r="AH197" i="22"/>
  <c r="AR197" i="22" s="1"/>
  <c r="AH137" i="22"/>
  <c r="AQ137" i="22" s="1"/>
  <c r="AP137" i="22" s="1"/>
  <c r="AH96" i="22"/>
  <c r="AH62" i="22"/>
  <c r="AR62" i="22" s="1"/>
  <c r="AH292" i="22"/>
  <c r="AQ292" i="22" s="1"/>
  <c r="AP292" i="22" s="1"/>
  <c r="AH21" i="22"/>
  <c r="AR21" i="22" s="1"/>
  <c r="AH277" i="22"/>
  <c r="AR277" i="22" s="1"/>
  <c r="AH76" i="22"/>
  <c r="AQ76" i="22" s="1"/>
  <c r="AP76" i="22" s="1"/>
  <c r="AH251" i="22"/>
  <c r="AR251" i="22" s="1"/>
  <c r="AH328" i="22"/>
  <c r="AQ328" i="22" s="1"/>
  <c r="AP328" i="22" s="1"/>
  <c r="AH295" i="22"/>
  <c r="AR295" i="22" s="1"/>
  <c r="AH336" i="22"/>
  <c r="AR336" i="22" s="1"/>
  <c r="AH190" i="22"/>
  <c r="AR190" i="22" s="1"/>
  <c r="AH317" i="22"/>
  <c r="AR317" i="22" s="1"/>
  <c r="AH327" i="22"/>
  <c r="AR327" i="22" s="1"/>
  <c r="AH150" i="22"/>
  <c r="AQ150" i="22" s="1"/>
  <c r="AP150" i="22" s="1"/>
  <c r="AH306" i="22"/>
  <c r="AR306" i="22" s="1"/>
  <c r="AH148" i="22"/>
  <c r="AR148" i="22" s="1"/>
  <c r="AH161" i="22"/>
  <c r="AR161" i="22" s="1"/>
  <c r="AH88" i="22"/>
  <c r="AQ88" i="22" s="1"/>
  <c r="AP88" i="22" s="1"/>
  <c r="AH398" i="22"/>
  <c r="AR398" i="22" s="1"/>
  <c r="AH331" i="22"/>
  <c r="AR331" i="22" s="1"/>
  <c r="AH348" i="22"/>
  <c r="AQ348" i="22" s="1"/>
  <c r="AP348" i="22" s="1"/>
  <c r="AH287" i="22"/>
  <c r="AR287" i="22" s="1"/>
  <c r="AH323" i="22"/>
  <c r="AQ323" i="22" s="1"/>
  <c r="AP323" i="22" s="1"/>
  <c r="AH344" i="22"/>
  <c r="AR344" i="22" s="1"/>
  <c r="AH129" i="22"/>
  <c r="AR129" i="22" s="1"/>
  <c r="AH24" i="22"/>
  <c r="AR24" i="22" s="1"/>
  <c r="AH300" i="22"/>
  <c r="AR300" i="22" s="1"/>
  <c r="AH94" i="22"/>
  <c r="AR94" i="22" s="1"/>
  <c r="AH160" i="22"/>
  <c r="AR160" i="22" s="1"/>
  <c r="AH196" i="22"/>
  <c r="AR196" i="22" s="1"/>
  <c r="AH224" i="22"/>
  <c r="AQ224" i="22" s="1"/>
  <c r="AP224" i="22" s="1"/>
  <c r="AH189" i="22"/>
  <c r="AR189" i="22" s="1"/>
  <c r="AH255" i="22"/>
  <c r="AQ255" i="22" s="1"/>
  <c r="AP255" i="22" s="1"/>
  <c r="AH305" i="22"/>
  <c r="AR305" i="22" s="1"/>
  <c r="AH104" i="22"/>
  <c r="AR104" i="22" s="1"/>
  <c r="AH421" i="22"/>
  <c r="AQ421" i="22" s="1"/>
  <c r="AP421" i="22" s="1"/>
  <c r="AH374" i="22"/>
  <c r="AQ374" i="22" s="1"/>
  <c r="AP374" i="22" s="1"/>
  <c r="AH382" i="22"/>
  <c r="AR382" i="22" s="1"/>
  <c r="AH282" i="22"/>
  <c r="AR282" i="22" s="1"/>
  <c r="AH145" i="22"/>
  <c r="AR145" i="22" s="1"/>
  <c r="AH219" i="22"/>
  <c r="AR219" i="22" s="1"/>
  <c r="AH340" i="22"/>
  <c r="AR340" i="22" s="1"/>
  <c r="AH31" i="22"/>
  <c r="AR31" i="22" s="1"/>
  <c r="AH201" i="22"/>
  <c r="AR201" i="22" s="1"/>
  <c r="AH220" i="22"/>
  <c r="AR220" i="22" s="1"/>
  <c r="AH226" i="22"/>
  <c r="AR226" i="22" s="1"/>
  <c r="AH135" i="22"/>
  <c r="AR135" i="22" s="1"/>
  <c r="AH394" i="22"/>
  <c r="AQ394" i="22" s="1"/>
  <c r="AP394" i="22" s="1"/>
  <c r="AH346" i="22"/>
  <c r="AQ346" i="22" s="1"/>
  <c r="AP346" i="22" s="1"/>
  <c r="AH55" i="22"/>
  <c r="AR55" i="22" s="1"/>
  <c r="AH297" i="22"/>
  <c r="AR297" i="22" s="1"/>
  <c r="AH322" i="22"/>
  <c r="AR322" i="22" s="1"/>
  <c r="AH269" i="22"/>
  <c r="AR269" i="22" s="1"/>
  <c r="AH67" i="22"/>
  <c r="AR67" i="22" s="1"/>
  <c r="AH7" i="22"/>
  <c r="AQ7" i="22" s="1"/>
  <c r="AP7" i="22" s="1"/>
  <c r="AH54" i="22"/>
  <c r="AQ54" i="22" s="1"/>
  <c r="AP54" i="22" s="1"/>
  <c r="AH23" i="22"/>
  <c r="AQ23" i="22" s="1"/>
  <c r="AP23" i="22" s="1"/>
  <c r="AH143" i="22"/>
  <c r="AR143" i="22" s="1"/>
  <c r="AH202" i="22"/>
  <c r="AQ202" i="22" s="1"/>
  <c r="AP202" i="22" s="1"/>
  <c r="AH222" i="22"/>
  <c r="AR222" i="22" s="1"/>
  <c r="AH309" i="22"/>
  <c r="AR309" i="22" s="1"/>
  <c r="AH103" i="22"/>
  <c r="AQ103" i="22" s="1"/>
  <c r="AP103" i="22" s="1"/>
  <c r="AH146" i="22"/>
  <c r="AQ146" i="22" s="1"/>
  <c r="AP146" i="22" s="1"/>
  <c r="AH37" i="22"/>
  <c r="AR37" i="22" s="1"/>
  <c r="AH127" i="22"/>
  <c r="AR127" i="22" s="1"/>
  <c r="AH178" i="22"/>
  <c r="AQ178" i="22" s="1"/>
  <c r="AP178" i="22" s="1"/>
  <c r="AH313" i="22"/>
  <c r="AH47" i="22"/>
  <c r="AR47" i="22" s="1"/>
  <c r="AH389" i="22"/>
  <c r="AR389" i="22" s="1"/>
  <c r="AH141" i="22"/>
  <c r="AR141" i="22" s="1"/>
  <c r="AH12" i="22"/>
  <c r="AR12" i="22" s="1"/>
  <c r="AH138" i="22"/>
  <c r="AR138" i="22" s="1"/>
  <c r="AH379" i="22"/>
  <c r="AR379" i="22" s="1"/>
  <c r="AH256" i="22"/>
  <c r="AR256" i="22" s="1"/>
  <c r="AH332" i="22"/>
  <c r="AR332" i="22" s="1"/>
  <c r="AH180" i="22"/>
  <c r="AR180" i="22" s="1"/>
  <c r="AH228" i="22"/>
  <c r="AR228" i="22" s="1"/>
  <c r="AH303" i="22"/>
  <c r="AR303" i="22" s="1"/>
  <c r="AH372" i="22"/>
  <c r="AR372" i="22" s="1"/>
  <c r="AH121" i="22"/>
  <c r="AQ121" i="22" s="1"/>
  <c r="AP121" i="22" s="1"/>
  <c r="AH259" i="22"/>
  <c r="AR259" i="22" s="1"/>
  <c r="AH153" i="22"/>
  <c r="AR153" i="22" s="1"/>
  <c r="AH373" i="22"/>
  <c r="AR373" i="22" s="1"/>
  <c r="AH321" i="22"/>
  <c r="AR321" i="22" s="1"/>
  <c r="AH229" i="22"/>
  <c r="AQ229" i="22" s="1"/>
  <c r="AP229" i="22" s="1"/>
  <c r="AH290" i="22"/>
  <c r="AQ290" i="22" s="1"/>
  <c r="AP290" i="22" s="1"/>
  <c r="AH298" i="22"/>
  <c r="AR298" i="22" s="1"/>
  <c r="AH71" i="22"/>
  <c r="AR71" i="22" s="1"/>
  <c r="AH402" i="22"/>
  <c r="AQ402" i="22" s="1"/>
  <c r="AP402" i="22" s="1"/>
  <c r="AH377" i="22"/>
  <c r="AR377" i="22" s="1"/>
  <c r="AH8" i="22"/>
  <c r="AR8" i="22" s="1"/>
  <c r="AH252" i="22"/>
  <c r="AQ252" i="22" s="1"/>
  <c r="AP252" i="22" s="1"/>
  <c r="AH109" i="22"/>
  <c r="AR109" i="22" s="1"/>
  <c r="AH221" i="22"/>
  <c r="AR221" i="22" s="1"/>
  <c r="AH358" i="22"/>
  <c r="AR358" i="22" s="1"/>
  <c r="AH404" i="22"/>
  <c r="AR404" i="22" s="1"/>
  <c r="AH42" i="22"/>
  <c r="AR42" i="22" s="1"/>
  <c r="AH280" i="22"/>
  <c r="AQ280" i="22" s="1"/>
  <c r="AP280" i="22" s="1"/>
  <c r="AH231" i="22"/>
  <c r="AQ231" i="22" s="1"/>
  <c r="AP231" i="22" s="1"/>
  <c r="AH235" i="22"/>
  <c r="AQ235" i="22" s="1"/>
  <c r="AP235" i="22" s="1"/>
  <c r="AH89" i="22"/>
  <c r="AR89" i="22" s="1"/>
  <c r="AH293" i="22"/>
  <c r="AR293" i="22" s="1"/>
  <c r="AH286" i="22"/>
  <c r="AR286" i="22" s="1"/>
  <c r="AH174" i="22"/>
  <c r="AQ174" i="22" s="1"/>
  <c r="AP174" i="22" s="1"/>
  <c r="AH200" i="22"/>
  <c r="AR200" i="22" s="1"/>
  <c r="AH242" i="22"/>
  <c r="AR242" i="22" s="1"/>
  <c r="AH391" i="22"/>
  <c r="AQ391" i="22" s="1"/>
  <c r="AP391" i="22" s="1"/>
  <c r="AH318" i="22"/>
  <c r="AR318" i="22" s="1"/>
  <c r="AH291" i="22"/>
  <c r="AQ291" i="22" s="1"/>
  <c r="AP291" i="22" s="1"/>
  <c r="AH225" i="22"/>
  <c r="AQ225" i="22" s="1"/>
  <c r="AP225" i="22" s="1"/>
  <c r="AH116" i="22"/>
  <c r="AR116" i="22" s="1"/>
  <c r="AH119" i="22"/>
  <c r="AR119" i="22" s="1"/>
  <c r="AH387" i="22"/>
  <c r="AR387" i="22" s="1"/>
  <c r="AH82" i="22"/>
  <c r="AR82" i="22" s="1"/>
  <c r="AH214" i="22"/>
  <c r="AR214" i="22" s="1"/>
  <c r="AH227" i="22"/>
  <c r="AQ227" i="22" s="1"/>
  <c r="AP227" i="22" s="1"/>
  <c r="AH406" i="22"/>
  <c r="AQ406" i="22" s="1"/>
  <c r="AP406" i="22" s="1"/>
  <c r="AH36" i="22"/>
  <c r="AR36" i="22" s="1"/>
  <c r="AH126" i="22"/>
  <c r="AR126" i="22" s="1"/>
  <c r="AH176" i="22"/>
  <c r="AR176" i="22" s="1"/>
  <c r="AH206" i="22"/>
  <c r="AR206" i="22" s="1"/>
  <c r="AH120" i="22"/>
  <c r="AQ120" i="22" s="1"/>
  <c r="AP120" i="22" s="1"/>
  <c r="AH351" i="22"/>
  <c r="AQ351" i="22" s="1"/>
  <c r="AP351" i="22" s="1"/>
  <c r="AH246" i="22"/>
  <c r="AQ246" i="22" s="1"/>
  <c r="AP246" i="22" s="1"/>
  <c r="AH163" i="22"/>
  <c r="AR163" i="22" s="1"/>
  <c r="AH283" i="22"/>
  <c r="AR283" i="22" s="1"/>
  <c r="AH123" i="22"/>
  <c r="AR123" i="22" s="1"/>
  <c r="AH83" i="22"/>
  <c r="AQ83" i="22" s="1"/>
  <c r="AP83" i="22" s="1"/>
  <c r="AH111" i="22"/>
  <c r="AQ111" i="22" s="1"/>
  <c r="AP111" i="22" s="1"/>
  <c r="AH320" i="22"/>
  <c r="AQ320" i="22" s="1"/>
  <c r="AP320" i="22" s="1"/>
  <c r="AH184" i="22"/>
  <c r="AQ184" i="22" s="1"/>
  <c r="AP184" i="22" s="1"/>
  <c r="AH347" i="22"/>
  <c r="AR347" i="22" s="1"/>
  <c r="AH218" i="22"/>
  <c r="AQ218" i="22" s="1"/>
  <c r="AP218" i="22" s="1"/>
  <c r="AH366" i="22"/>
  <c r="AQ366" i="22" s="1"/>
  <c r="AP366" i="22" s="1"/>
  <c r="AH232" i="22"/>
  <c r="AQ232" i="22" s="1"/>
  <c r="AP232" i="22" s="1"/>
  <c r="AH25" i="22"/>
  <c r="AQ25" i="22" s="1"/>
  <c r="AP25" i="22" s="1"/>
  <c r="AH240" i="22"/>
  <c r="AR240" i="22" s="1"/>
  <c r="AH264" i="22"/>
  <c r="AQ264" i="22" s="1"/>
  <c r="AP264" i="22" s="1"/>
  <c r="AH124" i="22"/>
  <c r="AR124" i="22" s="1"/>
  <c r="AH239" i="22"/>
  <c r="AR239" i="22" s="1"/>
  <c r="AH41" i="22"/>
  <c r="AR41" i="22" s="1"/>
  <c r="AH79" i="22"/>
  <c r="AQ79" i="22" s="1"/>
  <c r="AP79" i="22" s="1"/>
  <c r="AH267" i="22"/>
  <c r="AQ267" i="22" s="1"/>
  <c r="AP267" i="22" s="1"/>
  <c r="AH250" i="22"/>
  <c r="AR250" i="22" s="1"/>
  <c r="AH11" i="22"/>
  <c r="AQ11" i="22" s="1"/>
  <c r="AP11" i="22" s="1"/>
  <c r="AH157" i="22"/>
  <c r="AQ157" i="22" s="1"/>
  <c r="AP157" i="22" s="1"/>
  <c r="AH355" i="22"/>
  <c r="AR355" i="22" s="1"/>
  <c r="AH410" i="22"/>
  <c r="AR410" i="22" s="1"/>
  <c r="AH33" i="22"/>
  <c r="AR33" i="22" s="1"/>
  <c r="AH117" i="22"/>
  <c r="AR117" i="22" s="1"/>
  <c r="AH18" i="22"/>
  <c r="AQ18" i="22" s="1"/>
  <c r="AP18" i="22" s="1"/>
  <c r="AH345" i="22"/>
  <c r="AR345" i="22" s="1"/>
  <c r="AH241" i="22"/>
  <c r="AQ241" i="22" s="1"/>
  <c r="AP241" i="22" s="1"/>
  <c r="AH307" i="22"/>
  <c r="AR307" i="22" s="1"/>
  <c r="AH216" i="22"/>
  <c r="AR216" i="22" s="1"/>
  <c r="AH407" i="22"/>
  <c r="AR407" i="22" s="1"/>
  <c r="AH338" i="22"/>
  <c r="AQ338" i="22" s="1"/>
  <c r="AP338" i="22" s="1"/>
  <c r="AH84" i="22"/>
  <c r="AR84" i="22" s="1"/>
  <c r="AH110" i="22"/>
  <c r="AR110" i="22" s="1"/>
  <c r="AH258" i="22"/>
  <c r="AR258" i="22" s="1"/>
  <c r="AH253" i="22"/>
  <c r="AH167" i="22"/>
  <c r="AR167" i="22" s="1"/>
  <c r="AH147" i="22"/>
  <c r="AR147" i="22" s="1"/>
  <c r="AH86" i="22"/>
  <c r="AR86" i="22" s="1"/>
  <c r="AH99" i="22"/>
  <c r="AR99" i="22" s="1"/>
  <c r="AH172" i="22"/>
  <c r="AQ172" i="22" s="1"/>
  <c r="AP172" i="22" s="1"/>
  <c r="AH234" i="22"/>
  <c r="AQ234" i="22" s="1"/>
  <c r="AP234" i="22" s="1"/>
  <c r="AH133" i="22"/>
  <c r="AQ133" i="22" s="1"/>
  <c r="AP133" i="22" s="1"/>
  <c r="AH207" i="22"/>
  <c r="AQ207" i="22" s="1"/>
  <c r="AP207" i="22" s="1"/>
  <c r="AH30" i="22"/>
  <c r="AR30" i="22" s="1"/>
  <c r="AH271" i="22"/>
  <c r="AR271" i="22" s="1"/>
  <c r="AH268" i="22"/>
  <c r="AR268" i="22" s="1"/>
  <c r="AH289" i="22"/>
  <c r="AR289" i="22" s="1"/>
  <c r="AH399" i="22"/>
  <c r="AR399" i="22" s="1"/>
  <c r="AH142" i="22"/>
  <c r="AQ142" i="22" s="1"/>
  <c r="AP142" i="22" s="1"/>
  <c r="AH314" i="22"/>
  <c r="AR314" i="22" s="1"/>
  <c r="AH272" i="22"/>
  <c r="AR272" i="22" s="1"/>
  <c r="AH357" i="22"/>
  <c r="AR357" i="22" s="1"/>
  <c r="AH70" i="22"/>
  <c r="AR70" i="22" s="1"/>
  <c r="AH349" i="22"/>
  <c r="AQ349" i="22" s="1"/>
  <c r="AP349" i="22" s="1"/>
  <c r="AH412" i="22"/>
  <c r="AR412" i="22" s="1"/>
  <c r="AH40" i="22"/>
  <c r="AR40" i="22" s="1"/>
  <c r="AH39" i="22"/>
  <c r="AQ39" i="22" s="1"/>
  <c r="AP39" i="22" s="1"/>
  <c r="AH29" i="22"/>
  <c r="AR29" i="22" s="1"/>
  <c r="AH5" i="22"/>
  <c r="AR5" i="22" s="1"/>
  <c r="AH4" i="22"/>
  <c r="AQ4" i="22" s="1"/>
  <c r="AP4" i="22" s="1"/>
  <c r="AH236" i="22"/>
  <c r="AR236" i="22" s="1"/>
  <c r="AH90" i="22"/>
  <c r="AR90" i="22" s="1"/>
  <c r="AH403" i="22"/>
  <c r="AQ403" i="22" s="1"/>
  <c r="AP403" i="22" s="1"/>
  <c r="AH17" i="22"/>
  <c r="AR17" i="22" s="1"/>
  <c r="AH193" i="22"/>
  <c r="AR193" i="22" s="1"/>
  <c r="AH128" i="22"/>
  <c r="AQ128" i="22" s="1"/>
  <c r="AP128" i="22" s="1"/>
  <c r="AH422" i="22"/>
  <c r="AQ422" i="22" s="1"/>
  <c r="AP422" i="22" s="1"/>
  <c r="AH14" i="22"/>
  <c r="AR14" i="22" s="1"/>
  <c r="AH352" i="22"/>
  <c r="AR352" i="22" s="1"/>
  <c r="AH173" i="22"/>
  <c r="AR173" i="22" s="1"/>
  <c r="AH284" i="22"/>
  <c r="AQ284" i="22" s="1"/>
  <c r="AP284" i="22" s="1"/>
  <c r="AH329" i="22"/>
  <c r="AR329" i="22" s="1"/>
  <c r="AH326" i="22"/>
  <c r="AQ326" i="22" s="1"/>
  <c r="AP326" i="22" s="1"/>
  <c r="AH102" i="22"/>
  <c r="AQ102" i="22" s="1"/>
  <c r="AP102" i="22" s="1"/>
  <c r="AH149" i="22"/>
  <c r="AR149" i="22" s="1"/>
  <c r="AH212" i="22"/>
  <c r="AR212" i="22" s="1"/>
  <c r="AH262" i="22"/>
  <c r="AR262" i="22" s="1"/>
  <c r="AH65" i="22"/>
  <c r="AR65" i="22" s="1"/>
  <c r="AH324" i="22"/>
  <c r="AR324" i="22" s="1"/>
  <c r="AH106" i="22"/>
  <c r="AQ106" i="22" s="1"/>
  <c r="AP106" i="22" s="1"/>
  <c r="AH140" i="22"/>
  <c r="AQ140" i="22" s="1"/>
  <c r="AP140" i="22" s="1"/>
  <c r="AH35" i="22"/>
  <c r="AR35" i="22" s="1"/>
  <c r="AH91" i="22"/>
  <c r="AR91" i="22" s="1"/>
  <c r="AH335" i="22"/>
  <c r="AR335" i="22" s="1"/>
  <c r="AH270" i="22"/>
  <c r="AQ270" i="22" s="1"/>
  <c r="AP270" i="22" s="1"/>
  <c r="AH166" i="22"/>
  <c r="AR166" i="22" s="1"/>
  <c r="AH151" i="22"/>
  <c r="AR151" i="22" s="1"/>
  <c r="AH217" i="22"/>
  <c r="AR217" i="22" s="1"/>
  <c r="AH204" i="22"/>
  <c r="AR204" i="22" s="1"/>
  <c r="AH192" i="22"/>
  <c r="AR192" i="22" s="1"/>
  <c r="AH310" i="22"/>
  <c r="AQ310" i="22" s="1"/>
  <c r="AP310" i="22" s="1"/>
  <c r="AH2" i="22"/>
  <c r="AR2" i="22" s="1"/>
  <c r="AH276" i="22"/>
  <c r="AQ276" i="22" s="1"/>
  <c r="AP276" i="22" s="1"/>
  <c r="AH381" i="22"/>
  <c r="AR381" i="22" s="1"/>
  <c r="AH198" i="22"/>
  <c r="AR198" i="22" s="1"/>
  <c r="AH208" i="22"/>
  <c r="AR208" i="22" s="1"/>
  <c r="AH364" i="22"/>
  <c r="AR364" i="22" s="1"/>
  <c r="AH165" i="22"/>
  <c r="AQ165" i="22" s="1"/>
  <c r="AP165" i="22" s="1"/>
  <c r="AH15" i="22"/>
  <c r="AR15" i="22" s="1"/>
  <c r="AH330" i="22"/>
  <c r="AR330" i="22" s="1"/>
  <c r="AH61" i="22"/>
  <c r="AR61" i="22" s="1"/>
  <c r="AH98" i="22"/>
  <c r="AR98" i="22" s="1"/>
  <c r="AH92" i="22"/>
  <c r="AR92" i="22" s="1"/>
  <c r="AH339" i="22"/>
  <c r="AQ339" i="22" s="1"/>
  <c r="AP339" i="22" s="1"/>
  <c r="AH175" i="22"/>
  <c r="AR175" i="22" s="1"/>
  <c r="AH182" i="22"/>
  <c r="AR182" i="22" s="1"/>
  <c r="AH396" i="22"/>
  <c r="AR396" i="22" s="1"/>
  <c r="AH187" i="22"/>
  <c r="AR187" i="22" s="1"/>
  <c r="AH44" i="22"/>
  <c r="AQ44" i="22" s="1"/>
  <c r="AP44" i="22" s="1"/>
  <c r="AH413" i="22"/>
  <c r="AQ413" i="22" s="1"/>
  <c r="AP413" i="22" s="1"/>
  <c r="AH401" i="22"/>
  <c r="AR401" i="22" s="1"/>
  <c r="AH16" i="22"/>
  <c r="AR16" i="22" s="1"/>
  <c r="AH155" i="22"/>
  <c r="AR155" i="22" s="1"/>
  <c r="AH139" i="22"/>
  <c r="AR139" i="22" s="1"/>
  <c r="AH395" i="22"/>
  <c r="AQ395" i="22" s="1"/>
  <c r="AP395" i="22" s="1"/>
  <c r="AH118" i="22"/>
  <c r="AR118" i="22" s="1"/>
  <c r="AH63" i="22"/>
  <c r="AQ63" i="22" s="1"/>
  <c r="AP63" i="22" s="1"/>
  <c r="AH245" i="22"/>
  <c r="AQ245" i="22" s="1"/>
  <c r="AP245" i="22" s="1"/>
  <c r="AH56" i="22"/>
  <c r="AR56" i="22" s="1"/>
  <c r="AH237" i="22"/>
  <c r="AR237" i="22" s="1"/>
  <c r="AH131" i="22"/>
  <c r="AR131" i="22" s="1"/>
  <c r="AH209" i="22"/>
  <c r="AQ209" i="22" s="1"/>
  <c r="AP209" i="22" s="1"/>
  <c r="AH371" i="22"/>
  <c r="AR371" i="22" s="1"/>
  <c r="AH384" i="22"/>
  <c r="AR384" i="22" s="1"/>
  <c r="AH333" i="22"/>
  <c r="AR333" i="22" s="1"/>
  <c r="AH95" i="22"/>
  <c r="AR95" i="22" s="1"/>
  <c r="AH419" i="22"/>
  <c r="AR419" i="22" s="1"/>
  <c r="AH354" i="22"/>
  <c r="AR354" i="22" s="1"/>
  <c r="AH64" i="22"/>
  <c r="AR64" i="22" s="1"/>
  <c r="AH285" i="22"/>
  <c r="AR285" i="22" s="1"/>
  <c r="AH376" i="22"/>
  <c r="AR376" i="22" s="1"/>
  <c r="AH185" i="22"/>
  <c r="AR185" i="22" s="1"/>
  <c r="AH22" i="22"/>
  <c r="AQ22" i="22" s="1"/>
  <c r="AP22" i="22" s="1"/>
  <c r="AH134" i="22"/>
  <c r="AR134" i="22" s="1"/>
  <c r="AH205" i="22"/>
  <c r="AR205" i="22" s="1"/>
  <c r="AH249" i="22"/>
  <c r="AR249" i="22" s="1"/>
  <c r="AH188" i="22"/>
  <c r="AQ188" i="22" s="1"/>
  <c r="AP188" i="22" s="1"/>
  <c r="AH20" i="22"/>
  <c r="AQ20" i="22" s="1"/>
  <c r="AP20" i="22" s="1"/>
  <c r="AH409" i="22"/>
  <c r="AQ409" i="22" s="1"/>
  <c r="AP409" i="22" s="1"/>
  <c r="AH213" i="22"/>
  <c r="AR213" i="22" s="1"/>
  <c r="AH107" i="22"/>
  <c r="AQ107" i="22" s="1"/>
  <c r="AP107" i="22" s="1"/>
  <c r="AH27" i="22"/>
  <c r="AR27" i="22" s="1"/>
  <c r="AH113" i="22"/>
  <c r="AR113" i="22" s="1"/>
  <c r="AH170" i="22"/>
  <c r="AR170" i="22" s="1"/>
  <c r="AH72" i="22"/>
  <c r="AQ72" i="22" s="1"/>
  <c r="AP72" i="22" s="1"/>
  <c r="AH45" i="22"/>
  <c r="AR45" i="22" s="1"/>
  <c r="AH243" i="22"/>
  <c r="AQ243" i="22" s="1"/>
  <c r="AP243" i="22" s="1"/>
  <c r="AH383" i="22"/>
  <c r="AR383" i="22" s="1"/>
  <c r="AH132" i="22"/>
  <c r="AR132" i="22" s="1"/>
  <c r="AH418" i="22"/>
  <c r="AR418" i="22" s="1"/>
  <c r="AH130" i="22"/>
  <c r="AR130" i="22" s="1"/>
  <c r="AH112" i="22"/>
  <c r="AQ112" i="22" s="1"/>
  <c r="AP112" i="22" s="1"/>
  <c r="AH400" i="22"/>
  <c r="AR400" i="22" s="1"/>
  <c r="AH275" i="22"/>
  <c r="AR275" i="22" s="1"/>
  <c r="AH215" i="22"/>
  <c r="AQ215" i="22" s="1"/>
  <c r="AP215" i="22" s="1"/>
  <c r="AH370" i="22"/>
  <c r="AR370" i="22" s="1"/>
  <c r="AH257" i="22"/>
  <c r="AR257" i="22" s="1"/>
  <c r="AH162" i="22"/>
  <c r="AR162" i="22" s="1"/>
  <c r="AH417" i="22"/>
  <c r="AR417" i="22" s="1"/>
  <c r="AH78" i="22"/>
  <c r="AR78" i="22" s="1"/>
  <c r="AH414" i="22"/>
  <c r="AR414" i="22" s="1"/>
  <c r="AH342" i="22"/>
  <c r="AR342" i="22" s="1"/>
  <c r="AH315" i="22"/>
  <c r="AQ315" i="22" s="1"/>
  <c r="AP315" i="22" s="1"/>
  <c r="AH266" i="22"/>
  <c r="AQ266" i="22" s="1"/>
  <c r="AP266" i="22" s="1"/>
  <c r="AH386" i="22"/>
  <c r="AR386" i="22" s="1"/>
  <c r="AH230" i="22"/>
  <c r="AR230" i="22" s="1"/>
  <c r="AH260" i="22"/>
  <c r="AR260" i="22" s="1"/>
  <c r="AH57" i="22"/>
  <c r="AR57" i="22" s="1"/>
  <c r="AH319" i="22"/>
  <c r="AR319" i="22" s="1"/>
  <c r="AH238" i="22"/>
  <c r="AR238" i="22" s="1"/>
  <c r="AH186" i="22"/>
  <c r="AR186" i="22" s="1"/>
  <c r="AH194" i="22"/>
  <c r="AR194" i="22" s="1"/>
  <c r="AH108" i="22"/>
  <c r="AR108" i="22" s="1"/>
  <c r="AH144" i="22"/>
  <c r="AQ144" i="22" s="1"/>
  <c r="AP144" i="22" s="1"/>
  <c r="AH93" i="22"/>
  <c r="AR93" i="22" s="1"/>
  <c r="AH301" i="22"/>
  <c r="AR301" i="22" s="1"/>
  <c r="AH80" i="22"/>
  <c r="AQ80" i="22" s="1"/>
  <c r="AP80" i="22" s="1"/>
  <c r="AH181" i="22"/>
  <c r="AQ181" i="22" s="1"/>
  <c r="AP181" i="22" s="1"/>
  <c r="AH152" i="22"/>
  <c r="AR152" i="22" s="1"/>
  <c r="AH356" i="22"/>
  <c r="AR356" i="22" s="1"/>
  <c r="AH87" i="22"/>
  <c r="AR87" i="22" s="1"/>
  <c r="AH38" i="22"/>
  <c r="AR38" i="22" s="1"/>
  <c r="AH115" i="22"/>
  <c r="AQ115" i="22" s="1"/>
  <c r="AP115" i="22" s="1"/>
  <c r="AH296" i="22"/>
  <c r="AQ296" i="22" s="1"/>
  <c r="AP296" i="22" s="1"/>
  <c r="AH28" i="22"/>
  <c r="AR28" i="22" s="1"/>
  <c r="AH420" i="22"/>
  <c r="AR420" i="22" s="1"/>
  <c r="AH411" i="22"/>
  <c r="AQ411" i="22" s="1"/>
  <c r="AP411" i="22" s="1"/>
  <c r="AH312" i="22"/>
  <c r="AQ312" i="22" s="1"/>
  <c r="AP312" i="22" s="1"/>
  <c r="AH299" i="22"/>
  <c r="AR299" i="22" s="1"/>
  <c r="AH191" i="22"/>
  <c r="AR191" i="22" s="1"/>
  <c r="AH154" i="22"/>
  <c r="AR154" i="22" s="1"/>
  <c r="AH77" i="22"/>
  <c r="AR77" i="22" s="1"/>
  <c r="AH75" i="22"/>
  <c r="AR75" i="22" s="1"/>
  <c r="AH397" i="22"/>
  <c r="AQ397" i="22" s="1"/>
  <c r="AP397" i="22" s="1"/>
  <c r="AH3" i="22"/>
  <c r="AR3" i="22" s="1"/>
  <c r="AH288" i="22"/>
  <c r="AQ288" i="22" s="1"/>
  <c r="AP288" i="22" s="1"/>
  <c r="AH390" i="22"/>
  <c r="AR390" i="22" s="1"/>
  <c r="AH367" i="22"/>
  <c r="AR367" i="22" s="1"/>
  <c r="AH122" i="22"/>
  <c r="AR122" i="22" s="1"/>
  <c r="AH26" i="22"/>
  <c r="AQ26" i="22" s="1"/>
  <c r="AP26" i="22" s="1"/>
  <c r="AH273" i="22"/>
  <c r="AR273" i="22" s="1"/>
  <c r="AH380" i="22"/>
  <c r="AR380" i="22" s="1"/>
  <c r="AH368" i="22"/>
  <c r="AR368" i="22" s="1"/>
  <c r="AH263" i="22"/>
  <c r="AR263" i="22" s="1"/>
  <c r="AH159" i="22"/>
  <c r="AR159" i="22" s="1"/>
  <c r="AH247" i="22"/>
  <c r="AR247" i="22" s="1"/>
  <c r="AH6" i="22"/>
  <c r="AR6" i="22" s="1"/>
  <c r="AH244" i="22"/>
  <c r="AR244" i="22" s="1"/>
  <c r="AH363" i="22"/>
  <c r="AQ363" i="22" s="1"/>
  <c r="AP363" i="22" s="1"/>
  <c r="AH265" i="22"/>
  <c r="AR265" i="22" s="1"/>
  <c r="AH294" i="22"/>
  <c r="AR294" i="22" s="1"/>
  <c r="AH308" i="22"/>
  <c r="AQ308" i="22" s="1"/>
  <c r="AP308" i="22" s="1"/>
  <c r="AH164" i="22"/>
  <c r="AQ164" i="22" s="1"/>
  <c r="AP164" i="22" s="1"/>
  <c r="AH334" i="22"/>
  <c r="AR334" i="22" s="1"/>
  <c r="AH85" i="22"/>
  <c r="AR85" i="22" s="1"/>
  <c r="AH261" i="22"/>
  <c r="AR261" i="22" s="1"/>
  <c r="AH211" i="22"/>
  <c r="AR211" i="22" s="1"/>
  <c r="AH46" i="22"/>
  <c r="AQ46" i="22" s="1"/>
  <c r="AP46" i="22" s="1"/>
  <c r="AH248" i="22"/>
  <c r="AQ248" i="22" s="1"/>
  <c r="AP248" i="22" s="1"/>
  <c r="AH19" i="22"/>
  <c r="AR19" i="22" s="1"/>
  <c r="AH408" i="22"/>
  <c r="AR408" i="22" s="1"/>
  <c r="AH405" i="22"/>
  <c r="AQ405" i="22" s="1"/>
  <c r="AP405" i="22" s="1"/>
  <c r="AH254" i="22"/>
  <c r="AR254" i="22" s="1"/>
  <c r="AH169" i="22"/>
  <c r="AQ169" i="22" s="1"/>
  <c r="AP169" i="22" s="1"/>
  <c r="AH302" i="22"/>
  <c r="AQ302" i="22" s="1"/>
  <c r="AP302" i="22" s="1"/>
  <c r="AH233" i="22"/>
  <c r="AQ233" i="22" s="1"/>
  <c r="AP233" i="22" s="1"/>
  <c r="AH13" i="22"/>
  <c r="AQ13" i="22" s="1"/>
  <c r="AP13" i="22" s="1"/>
  <c r="AH136" i="22"/>
  <c r="AR136" i="22" s="1"/>
  <c r="AH114" i="22"/>
  <c r="AR114" i="22" s="1"/>
  <c r="AB393" i="22"/>
  <c r="AC393" i="22"/>
  <c r="AB10" i="22"/>
  <c r="AC10" i="22"/>
  <c r="AC69" i="22"/>
  <c r="AB69" i="22"/>
  <c r="AB311" i="22"/>
  <c r="AC311" i="22"/>
  <c r="AC9" i="22"/>
  <c r="AB9" i="22"/>
  <c r="AB58" i="22"/>
  <c r="AC58" i="22"/>
  <c r="AB341" i="22"/>
  <c r="AC341" i="22"/>
  <c r="AC68" i="22"/>
  <c r="AB68" i="22"/>
  <c r="AB43" i="22"/>
  <c r="AC43" i="22"/>
  <c r="AB59" i="22"/>
  <c r="AC59" i="22"/>
  <c r="AC52" i="22"/>
  <c r="AB52" i="22"/>
  <c r="AB343" i="22"/>
  <c r="AC343" i="22"/>
  <c r="AB369" i="22"/>
  <c r="AC369" i="22"/>
  <c r="AC53" i="22"/>
  <c r="AB53" i="22"/>
  <c r="AA68" i="22"/>
  <c r="AR328" i="22"/>
  <c r="AQ21" i="22"/>
  <c r="AP21" i="22" s="1"/>
  <c r="AR421" i="22"/>
  <c r="AR96" i="22"/>
  <c r="AQ96" i="22"/>
  <c r="AP96" i="22" s="1"/>
  <c r="AA52" i="22"/>
  <c r="AA58" i="22"/>
  <c r="AQ37" i="22"/>
  <c r="AP37" i="22" s="1"/>
  <c r="AA343" i="22"/>
  <c r="AR394" i="22"/>
  <c r="AA311" i="22"/>
  <c r="AR88" i="22"/>
  <c r="AA341" i="22"/>
  <c r="AR253" i="22"/>
  <c r="AQ253" i="22"/>
  <c r="AP253" i="22" s="1"/>
  <c r="AA9" i="22"/>
  <c r="AA69" i="22"/>
  <c r="AQ336" i="22"/>
  <c r="AP336" i="22" s="1"/>
  <c r="AA59" i="22"/>
  <c r="AQ94" i="22"/>
  <c r="AP94" i="22" s="1"/>
  <c r="AQ127" i="22"/>
  <c r="AP127" i="22" s="1"/>
  <c r="AA10" i="22"/>
  <c r="AR241" i="22"/>
  <c r="AQ378" i="22"/>
  <c r="AP378" i="22" s="1"/>
  <c r="AR378" i="22"/>
  <c r="AR158" i="22"/>
  <c r="AA369" i="22"/>
  <c r="AQ105" i="22"/>
  <c r="AP105" i="22" s="1"/>
  <c r="AQ416" i="22"/>
  <c r="AP416" i="22" s="1"/>
  <c r="AA43" i="22"/>
  <c r="AA53" i="22"/>
  <c r="AR179" i="22"/>
  <c r="AQ179" i="22"/>
  <c r="AP179" i="22" s="1"/>
  <c r="AA393" i="22"/>
  <c r="AQ279" i="22"/>
  <c r="AP279" i="22" s="1"/>
  <c r="R75" i="2"/>
  <c r="K75" i="2" s="1"/>
  <c r="L75" i="2" s="1"/>
  <c r="R72" i="2"/>
  <c r="K72" i="2" s="1"/>
  <c r="L72" i="2" s="1"/>
  <c r="BL5" i="4"/>
  <c r="BK5" i="4"/>
  <c r="BJ5" i="4" s="1"/>
  <c r="BL4" i="4"/>
  <c r="BK4" i="4"/>
  <c r="BJ4" i="4" s="1"/>
  <c r="R57" i="2"/>
  <c r="R69" i="2"/>
  <c r="L69" i="2" s="1"/>
  <c r="BA3" i="4"/>
  <c r="AZ3" i="4"/>
  <c r="AZ5" i="4"/>
  <c r="BA5" i="4"/>
  <c r="R78" i="2"/>
  <c r="K78" i="2" s="1"/>
  <c r="L78" i="2" s="1"/>
  <c r="U3" i="4"/>
  <c r="AJ3" i="4"/>
  <c r="AK3" i="4" s="1"/>
  <c r="AG3" i="4"/>
  <c r="AZ4" i="4"/>
  <c r="BA4" i="4"/>
  <c r="CE4" i="4"/>
  <c r="CD4" i="4"/>
  <c r="CC4" i="4" s="1"/>
  <c r="BT3" i="4"/>
  <c r="BS3" i="4"/>
  <c r="CE5" i="4"/>
  <c r="CD5" i="4"/>
  <c r="CC5" i="4" s="1"/>
  <c r="BK2" i="4"/>
  <c r="BJ2" i="4" s="1"/>
  <c r="BL2" i="4"/>
  <c r="BA2" i="4"/>
  <c r="AZ2" i="4"/>
  <c r="R60" i="2"/>
  <c r="L60" i="2" s="1"/>
  <c r="R63" i="2"/>
  <c r="L63" i="2" s="1"/>
  <c r="CL3" i="4"/>
  <c r="CM3" i="4"/>
  <c r="R66" i="2"/>
  <c r="L66" i="2" s="1"/>
  <c r="R81" i="2"/>
  <c r="K81" i="2" s="1"/>
  <c r="L81" i="2" s="1"/>
  <c r="AH73" i="22" l="1"/>
  <c r="AR73" i="22" s="1"/>
  <c r="AQ117" i="22"/>
  <c r="AP117" i="22" s="1"/>
  <c r="AR150" i="22"/>
  <c r="AQ283" i="22"/>
  <c r="AP283" i="22" s="1"/>
  <c r="AR290" i="22"/>
  <c r="AH337" i="22"/>
  <c r="AR337" i="22" s="1"/>
  <c r="AR304" i="22"/>
  <c r="AH353" i="22"/>
  <c r="AQ353" i="22" s="1"/>
  <c r="AP353" i="22" s="1"/>
  <c r="AH316" i="22"/>
  <c r="AR316" i="22" s="1"/>
  <c r="AR291" i="22"/>
  <c r="K57" i="2"/>
  <c r="L57" i="2" s="1"/>
  <c r="AH195" i="22"/>
  <c r="AR195" i="22" s="1"/>
  <c r="AH81" i="22"/>
  <c r="AQ81" i="22" s="1"/>
  <c r="AP81" i="22" s="1"/>
  <c r="AQ100" i="22"/>
  <c r="AP100" i="22" s="1"/>
  <c r="AQ350" i="22"/>
  <c r="AP350" i="22" s="1"/>
  <c r="AQ60" i="22"/>
  <c r="AP60" i="22" s="1"/>
  <c r="AQ327" i="22"/>
  <c r="AP327" i="22" s="1"/>
  <c r="AQ222" i="22"/>
  <c r="AP222" i="22" s="1"/>
  <c r="AH50" i="22"/>
  <c r="AQ50" i="22" s="1"/>
  <c r="AP50" i="22" s="1"/>
  <c r="AH415" i="22"/>
  <c r="AR415" i="22" s="1"/>
  <c r="AQ322" i="22"/>
  <c r="AP322" i="22" s="1"/>
  <c r="AQ201" i="22"/>
  <c r="AP201" i="22" s="1"/>
  <c r="AR140" i="22"/>
  <c r="AQ419" i="22"/>
  <c r="AP419" i="22" s="1"/>
  <c r="AR39" i="22"/>
  <c r="AQ27" i="22"/>
  <c r="AP27" i="22" s="1"/>
  <c r="AQ398" i="22"/>
  <c r="AP398" i="22" s="1"/>
  <c r="AQ195" i="22"/>
  <c r="AP195" i="22" s="1"/>
  <c r="AQ251" i="22"/>
  <c r="AP251" i="22" s="1"/>
  <c r="AQ309" i="22"/>
  <c r="AP309" i="22" s="1"/>
  <c r="AQ196" i="22"/>
  <c r="AP196" i="22" s="1"/>
  <c r="AQ199" i="22"/>
  <c r="AP199" i="22" s="1"/>
  <c r="AQ160" i="22"/>
  <c r="AP160" i="22" s="1"/>
  <c r="AQ269" i="22"/>
  <c r="AP269" i="22" s="1"/>
  <c r="AR264" i="22"/>
  <c r="AQ332" i="22"/>
  <c r="AP332" i="22" s="1"/>
  <c r="AR374" i="22"/>
  <c r="AQ306" i="22"/>
  <c r="AP306" i="22" s="1"/>
  <c r="AR169" i="22"/>
  <c r="AQ138" i="22"/>
  <c r="AP138" i="22" s="1"/>
  <c r="AQ97" i="22"/>
  <c r="AP97" i="22" s="1"/>
  <c r="AR174" i="22"/>
  <c r="AQ244" i="22"/>
  <c r="AP244" i="22" s="1"/>
  <c r="AR288" i="22"/>
  <c r="AQ108" i="22"/>
  <c r="AP108" i="22" s="1"/>
  <c r="AQ34" i="22"/>
  <c r="AP34" i="22" s="1"/>
  <c r="AQ388" i="22"/>
  <c r="AP388" i="22" s="1"/>
  <c r="AR25" i="22"/>
  <c r="AQ410" i="22"/>
  <c r="AP410" i="22" s="1"/>
  <c r="AQ19" i="22"/>
  <c r="AP19" i="22" s="1"/>
  <c r="AR246" i="22"/>
  <c r="AQ28" i="22"/>
  <c r="AP28" i="22" s="1"/>
  <c r="AQ414" i="22"/>
  <c r="AP414" i="22" s="1"/>
  <c r="AQ407" i="22"/>
  <c r="AP407" i="22" s="1"/>
  <c r="AQ139" i="22"/>
  <c r="AP139" i="22" s="1"/>
  <c r="AR188" i="22"/>
  <c r="AQ275" i="22"/>
  <c r="AP275" i="22" s="1"/>
  <c r="AQ289" i="22"/>
  <c r="AP289" i="22" s="1"/>
  <c r="AQ372" i="22"/>
  <c r="AP372" i="22" s="1"/>
  <c r="AQ293" i="22"/>
  <c r="AP293" i="22" s="1"/>
  <c r="AR292" i="22"/>
  <c r="AQ249" i="22"/>
  <c r="AP249" i="22" s="1"/>
  <c r="AR296" i="22"/>
  <c r="AR227" i="22"/>
  <c r="AR252" i="22"/>
  <c r="AQ78" i="22"/>
  <c r="AP78" i="22" s="1"/>
  <c r="AR346" i="22"/>
  <c r="AR20" i="22"/>
  <c r="AQ167" i="22"/>
  <c r="AP167" i="22" s="1"/>
  <c r="AR128" i="22"/>
  <c r="AQ47" i="22"/>
  <c r="AP47" i="22" s="1"/>
  <c r="AQ145" i="22"/>
  <c r="AP145" i="22" s="1"/>
  <c r="AQ214" i="22"/>
  <c r="AP214" i="22" s="1"/>
  <c r="AR248" i="22"/>
  <c r="AH51" i="22"/>
  <c r="AR51" i="22" s="1"/>
  <c r="AQ219" i="22"/>
  <c r="AP219" i="22" s="1"/>
  <c r="AQ101" i="22"/>
  <c r="AP101" i="22" s="1"/>
  <c r="AQ357" i="22"/>
  <c r="AP357" i="22" s="1"/>
  <c r="AQ203" i="22"/>
  <c r="AP203" i="22" s="1"/>
  <c r="AR325" i="22"/>
  <c r="AH32" i="22"/>
  <c r="AR32" i="22" s="1"/>
  <c r="AR234" i="22"/>
  <c r="AR403" i="22"/>
  <c r="AQ98" i="22"/>
  <c r="AP98" i="22" s="1"/>
  <c r="AR18" i="22"/>
  <c r="AQ333" i="22"/>
  <c r="AP333" i="22" s="1"/>
  <c r="AQ383" i="22"/>
  <c r="AP383" i="22" s="1"/>
  <c r="AH48" i="22"/>
  <c r="AR48" i="22" s="1"/>
  <c r="AQ134" i="22"/>
  <c r="AP134" i="22" s="1"/>
  <c r="AR46" i="22"/>
  <c r="AH49" i="22"/>
  <c r="AR49" i="22" s="1"/>
  <c r="AR223" i="22"/>
  <c r="AQ271" i="22"/>
  <c r="AP271" i="22" s="1"/>
  <c r="AQ119" i="22"/>
  <c r="AP119" i="22" s="1"/>
  <c r="AR402" i="22"/>
  <c r="AQ186" i="22"/>
  <c r="AP186" i="22" s="1"/>
  <c r="AQ247" i="22"/>
  <c r="AP247" i="22" s="1"/>
  <c r="AQ355" i="22"/>
  <c r="AP355" i="22" s="1"/>
  <c r="AR232" i="22"/>
  <c r="AR351" i="22"/>
  <c r="AQ384" i="22"/>
  <c r="AP384" i="22" s="1"/>
  <c r="AR137" i="22"/>
  <c r="AQ192" i="22"/>
  <c r="AP192" i="22" s="1"/>
  <c r="AQ89" i="22"/>
  <c r="AP89" i="22" s="1"/>
  <c r="AQ110" i="22"/>
  <c r="AP110" i="22" s="1"/>
  <c r="AQ303" i="22"/>
  <c r="AP303" i="22" s="1"/>
  <c r="AQ317" i="22"/>
  <c r="AP317" i="22" s="1"/>
  <c r="AQ324" i="22"/>
  <c r="AP324" i="22" s="1"/>
  <c r="AH168" i="22"/>
  <c r="AR168" i="22" s="1"/>
  <c r="AQ238" i="22"/>
  <c r="AP238" i="22" s="1"/>
  <c r="AQ159" i="22"/>
  <c r="AP159" i="22" s="1"/>
  <c r="AQ261" i="22"/>
  <c r="AP261" i="22" s="1"/>
  <c r="AQ197" i="22"/>
  <c r="AP197" i="22" s="1"/>
  <c r="AQ16" i="22"/>
  <c r="AP16" i="22" s="1"/>
  <c r="AQ371" i="22"/>
  <c r="AP371" i="22" s="1"/>
  <c r="AQ30" i="22"/>
  <c r="AP30" i="22" s="1"/>
  <c r="AQ162" i="22"/>
  <c r="AP162" i="22" s="1"/>
  <c r="AQ171" i="22"/>
  <c r="AP171" i="22" s="1"/>
  <c r="AQ87" i="22"/>
  <c r="AP87" i="22" s="1"/>
  <c r="AQ45" i="22"/>
  <c r="AP45" i="22" s="1"/>
  <c r="AQ136" i="22"/>
  <c r="AP136" i="22" s="1"/>
  <c r="AQ65" i="22"/>
  <c r="AP65" i="22" s="1"/>
  <c r="AQ183" i="22"/>
  <c r="AP183" i="22" s="1"/>
  <c r="AQ190" i="22"/>
  <c r="AP190" i="22" s="1"/>
  <c r="AR209" i="22"/>
  <c r="AQ125" i="22"/>
  <c r="AP125" i="22" s="1"/>
  <c r="AQ91" i="22"/>
  <c r="AP91" i="22" s="1"/>
  <c r="AQ221" i="22"/>
  <c r="AP221" i="22" s="1"/>
  <c r="AR146" i="22"/>
  <c r="AQ109" i="22"/>
  <c r="AP109" i="22" s="1"/>
  <c r="AR406" i="22"/>
  <c r="AQ173" i="22"/>
  <c r="AP173" i="22" s="1"/>
  <c r="AQ277" i="22"/>
  <c r="AP277" i="22" s="1"/>
  <c r="AR363" i="22"/>
  <c r="AQ300" i="22"/>
  <c r="AP300" i="22" s="1"/>
  <c r="AQ278" i="22"/>
  <c r="AP278" i="22" s="1"/>
  <c r="AQ5" i="22"/>
  <c r="AP5" i="22" s="1"/>
  <c r="AQ29" i="22"/>
  <c r="AP29" i="22" s="1"/>
  <c r="AQ297" i="22"/>
  <c r="AP297" i="22" s="1"/>
  <c r="AQ123" i="22"/>
  <c r="AP123" i="22" s="1"/>
  <c r="AQ24" i="22"/>
  <c r="AP24" i="22" s="1"/>
  <c r="AQ418" i="22"/>
  <c r="AP418" i="22" s="1"/>
  <c r="AQ177" i="22"/>
  <c r="AP177" i="22" s="1"/>
  <c r="AQ148" i="22"/>
  <c r="AP148" i="22" s="1"/>
  <c r="AQ124" i="22"/>
  <c r="AP124" i="22" s="1"/>
  <c r="AQ156" i="22"/>
  <c r="AP156" i="22" s="1"/>
  <c r="AQ161" i="22"/>
  <c r="AP161" i="22" s="1"/>
  <c r="AR284" i="22"/>
  <c r="AR395" i="22"/>
  <c r="AQ141" i="22"/>
  <c r="AP141" i="22" s="1"/>
  <c r="AQ390" i="22"/>
  <c r="AP390" i="22" s="1"/>
  <c r="AQ282" i="22"/>
  <c r="AP282" i="22" s="1"/>
  <c r="AQ259" i="22"/>
  <c r="AP259" i="22" s="1"/>
  <c r="AQ239" i="22"/>
  <c r="AP239" i="22" s="1"/>
  <c r="AQ200" i="22"/>
  <c r="AP200" i="22" s="1"/>
  <c r="AQ147" i="22"/>
  <c r="AP147" i="22" s="1"/>
  <c r="AQ12" i="22"/>
  <c r="AP12" i="22" s="1"/>
  <c r="AQ342" i="22"/>
  <c r="AP342" i="22" s="1"/>
  <c r="AR276" i="22"/>
  <c r="AR339" i="22"/>
  <c r="AQ385" i="22"/>
  <c r="AP385" i="22" s="1"/>
  <c r="AR348" i="22"/>
  <c r="AQ375" i="22"/>
  <c r="AP375" i="22" s="1"/>
  <c r="AR7" i="22"/>
  <c r="AQ56" i="22"/>
  <c r="AP56" i="22" s="1"/>
  <c r="AQ176" i="22"/>
  <c r="AP176" i="22" s="1"/>
  <c r="AR102" i="22"/>
  <c r="AQ400" i="22"/>
  <c r="AP400" i="22" s="1"/>
  <c r="AQ189" i="22"/>
  <c r="AP189" i="22" s="1"/>
  <c r="AR80" i="22"/>
  <c r="AQ187" i="22"/>
  <c r="AP187" i="22" s="1"/>
  <c r="AR391" i="22"/>
  <c r="AR323" i="22"/>
  <c r="AQ281" i="22"/>
  <c r="AP281" i="22" s="1"/>
  <c r="AR23" i="22"/>
  <c r="AQ305" i="22"/>
  <c r="AP305" i="22" s="1"/>
  <c r="AQ220" i="22"/>
  <c r="AP220" i="22" s="1"/>
  <c r="AQ263" i="22"/>
  <c r="AP263" i="22" s="1"/>
  <c r="AR13" i="22"/>
  <c r="AR22" i="22"/>
  <c r="AQ401" i="22"/>
  <c r="AP401" i="22" s="1"/>
  <c r="AQ257" i="22"/>
  <c r="AP257" i="22" s="1"/>
  <c r="AQ210" i="22"/>
  <c r="AP210" i="22" s="1"/>
  <c r="AQ62" i="22"/>
  <c r="AP62" i="22" s="1"/>
  <c r="AQ356" i="22"/>
  <c r="AP356" i="22" s="1"/>
  <c r="AQ330" i="22"/>
  <c r="AP330" i="22" s="1"/>
  <c r="AR74" i="22"/>
  <c r="AR72" i="22"/>
  <c r="AQ75" i="22"/>
  <c r="AP75" i="22" s="1"/>
  <c r="AR76" i="22"/>
  <c r="AQ66" i="22"/>
  <c r="AP66" i="22" s="1"/>
  <c r="AQ340" i="22"/>
  <c r="AP340" i="22" s="1"/>
  <c r="AR178" i="22"/>
  <c r="AQ365" i="22"/>
  <c r="AP365" i="22" s="1"/>
  <c r="AR409" i="22"/>
  <c r="AR315" i="22"/>
  <c r="AQ274" i="22"/>
  <c r="AP274" i="22" s="1"/>
  <c r="AR142" i="22"/>
  <c r="AQ381" i="22"/>
  <c r="AP381" i="22" s="1"/>
  <c r="AQ373" i="22"/>
  <c r="AP373" i="22" s="1"/>
  <c r="AQ329" i="22"/>
  <c r="AP329" i="22" s="1"/>
  <c r="AR111" i="22"/>
  <c r="AQ265" i="22"/>
  <c r="AP265" i="22" s="1"/>
  <c r="AQ331" i="22"/>
  <c r="AP331" i="22" s="1"/>
  <c r="AQ295" i="22"/>
  <c r="AP295" i="22" s="1"/>
  <c r="AQ358" i="22"/>
  <c r="AP358" i="22" s="1"/>
  <c r="AR172" i="22"/>
  <c r="AR229" i="22"/>
  <c r="AR255" i="22"/>
  <c r="AR184" i="22"/>
  <c r="AQ213" i="22"/>
  <c r="AP213" i="22" s="1"/>
  <c r="AQ285" i="22"/>
  <c r="AP285" i="22" s="1"/>
  <c r="AR267" i="22"/>
  <c r="AR326" i="22"/>
  <c r="AR224" i="22"/>
  <c r="AQ99" i="22"/>
  <c r="AP99" i="22" s="1"/>
  <c r="AR54" i="22"/>
  <c r="AR270" i="22"/>
  <c r="AQ272" i="22"/>
  <c r="AP272" i="22" s="1"/>
  <c r="AQ236" i="22"/>
  <c r="AP236" i="22" s="1"/>
  <c r="AQ216" i="22"/>
  <c r="AP216" i="22" s="1"/>
  <c r="AQ307" i="22"/>
  <c r="AP307" i="22" s="1"/>
  <c r="AR308" i="22"/>
  <c r="AQ126" i="22"/>
  <c r="AP126" i="22" s="1"/>
  <c r="AQ404" i="22"/>
  <c r="AP404" i="22" s="1"/>
  <c r="AQ118" i="22"/>
  <c r="AP118" i="22" s="1"/>
  <c r="AQ396" i="22"/>
  <c r="AP396" i="22" s="1"/>
  <c r="AQ256" i="22"/>
  <c r="AP256" i="22" s="1"/>
  <c r="AQ314" i="22"/>
  <c r="AP314" i="22" s="1"/>
  <c r="AQ31" i="22"/>
  <c r="AP31" i="22" s="1"/>
  <c r="AQ242" i="22"/>
  <c r="AP242" i="22" s="1"/>
  <c r="AQ93" i="22"/>
  <c r="AP93" i="22" s="1"/>
  <c r="AR79" i="22"/>
  <c r="AQ321" i="22"/>
  <c r="AP321" i="22" s="1"/>
  <c r="AR266" i="22"/>
  <c r="AR112" i="22"/>
  <c r="AQ198" i="22"/>
  <c r="AP198" i="22" s="1"/>
  <c r="AR26" i="22"/>
  <c r="AR63" i="22"/>
  <c r="AQ175" i="22"/>
  <c r="AP175" i="22" s="1"/>
  <c r="AR107" i="22"/>
  <c r="AQ386" i="22"/>
  <c r="AP386" i="22" s="1"/>
  <c r="AQ318" i="22"/>
  <c r="AP318" i="22" s="1"/>
  <c r="AQ287" i="22"/>
  <c r="AP287" i="22" s="1"/>
  <c r="AR320" i="22"/>
  <c r="AQ36" i="22"/>
  <c r="AP36" i="22" s="1"/>
  <c r="AR4" i="22"/>
  <c r="AQ135" i="22"/>
  <c r="AP135" i="22" s="1"/>
  <c r="AR413" i="22"/>
  <c r="AR349" i="22"/>
  <c r="AR207" i="22"/>
  <c r="AR202" i="22"/>
  <c r="AR235" i="22"/>
  <c r="AR302" i="22"/>
  <c r="AQ185" i="22"/>
  <c r="AP185" i="22" s="1"/>
  <c r="AQ228" i="22"/>
  <c r="AP228" i="22" s="1"/>
  <c r="AR157" i="22"/>
  <c r="AR44" i="22"/>
  <c r="AQ154" i="22"/>
  <c r="AP154" i="22" s="1"/>
  <c r="AQ129" i="22"/>
  <c r="AP129" i="22" s="1"/>
  <c r="AQ376" i="22"/>
  <c r="AP376" i="22" s="1"/>
  <c r="AQ84" i="22"/>
  <c r="AP84" i="22" s="1"/>
  <c r="AQ152" i="22"/>
  <c r="AP152" i="22" s="1"/>
  <c r="AQ344" i="22"/>
  <c r="AP344" i="22" s="1"/>
  <c r="AQ71" i="22"/>
  <c r="AP71" i="22" s="1"/>
  <c r="AQ116" i="22"/>
  <c r="AP116" i="22" s="1"/>
  <c r="AR366" i="22"/>
  <c r="AQ193" i="22"/>
  <c r="AP193" i="22" s="1"/>
  <c r="AQ104" i="22"/>
  <c r="AP104" i="22" s="1"/>
  <c r="AR233" i="22"/>
  <c r="AR11" i="22"/>
  <c r="AR231" i="22"/>
  <c r="AR218" i="22"/>
  <c r="AR215" i="22"/>
  <c r="AQ17" i="22"/>
  <c r="AP17" i="22" s="1"/>
  <c r="AR225" i="22"/>
  <c r="AR181" i="22"/>
  <c r="AQ191" i="22"/>
  <c r="AP191" i="22" s="1"/>
  <c r="AQ151" i="22"/>
  <c r="AP151" i="22" s="1"/>
  <c r="AR120" i="22"/>
  <c r="AQ380" i="22"/>
  <c r="AP380" i="22" s="1"/>
  <c r="AR133" i="22"/>
  <c r="AQ260" i="22"/>
  <c r="AP260" i="22" s="1"/>
  <c r="AQ143" i="22"/>
  <c r="AP143" i="22" s="1"/>
  <c r="AQ389" i="22"/>
  <c r="AP389" i="22" s="1"/>
  <c r="AQ149" i="22"/>
  <c r="AP149" i="22" s="1"/>
  <c r="AQ347" i="22"/>
  <c r="AP347" i="22" s="1"/>
  <c r="AQ211" i="22"/>
  <c r="AP211" i="22" s="1"/>
  <c r="AQ299" i="22"/>
  <c r="AP299" i="22" s="1"/>
  <c r="AQ230" i="22"/>
  <c r="AP230" i="22" s="1"/>
  <c r="AQ82" i="22"/>
  <c r="AP82" i="22" s="1"/>
  <c r="AR397" i="22"/>
  <c r="AQ40" i="22"/>
  <c r="AP40" i="22" s="1"/>
  <c r="AR164" i="22"/>
  <c r="AQ240" i="22"/>
  <c r="AP240" i="22" s="1"/>
  <c r="AQ166" i="22"/>
  <c r="AP166" i="22" s="1"/>
  <c r="AQ364" i="22"/>
  <c r="AP364" i="22" s="1"/>
  <c r="AQ55" i="22"/>
  <c r="AP55" i="22" s="1"/>
  <c r="AR121" i="22"/>
  <c r="AR243" i="22"/>
  <c r="AQ273" i="22"/>
  <c r="AP273" i="22" s="1"/>
  <c r="AQ8" i="22"/>
  <c r="AP8" i="22" s="1"/>
  <c r="AQ57" i="22"/>
  <c r="AP57" i="22" s="1"/>
  <c r="AR50" i="22"/>
  <c r="AR106" i="22"/>
  <c r="AQ217" i="22"/>
  <c r="AP217" i="22" s="1"/>
  <c r="AQ408" i="22"/>
  <c r="AP408" i="22" s="1"/>
  <c r="AQ212" i="22"/>
  <c r="AP212" i="22" s="1"/>
  <c r="AR103" i="22"/>
  <c r="AR338" i="22"/>
  <c r="AR310" i="22"/>
  <c r="AQ286" i="22"/>
  <c r="AP286" i="22" s="1"/>
  <c r="AQ205" i="22"/>
  <c r="AP205" i="22" s="1"/>
  <c r="AQ335" i="22"/>
  <c r="AP335" i="22" s="1"/>
  <c r="AQ155" i="22"/>
  <c r="AP155" i="22" s="1"/>
  <c r="AQ237" i="22"/>
  <c r="AP237" i="22" s="1"/>
  <c r="AQ38" i="22"/>
  <c r="AP38" i="22" s="1"/>
  <c r="AR144" i="22"/>
  <c r="AQ14" i="22"/>
  <c r="AP14" i="22" s="1"/>
  <c r="AQ113" i="22"/>
  <c r="AP113" i="22" s="1"/>
  <c r="AQ379" i="22"/>
  <c r="AP379" i="22" s="1"/>
  <c r="AQ226" i="22"/>
  <c r="AP226" i="22" s="1"/>
  <c r="AQ268" i="22"/>
  <c r="AP268" i="22" s="1"/>
  <c r="AQ70" i="22"/>
  <c r="AP70" i="22" s="1"/>
  <c r="AQ114" i="22"/>
  <c r="AP114" i="22" s="1"/>
  <c r="AQ417" i="22"/>
  <c r="AP417" i="22" s="1"/>
  <c r="AQ334" i="22"/>
  <c r="AP334" i="22" s="1"/>
  <c r="AQ354" i="22"/>
  <c r="AP354" i="22" s="1"/>
  <c r="AQ67" i="22"/>
  <c r="AP67" i="22" s="1"/>
  <c r="AQ298" i="22"/>
  <c r="AP298" i="22" s="1"/>
  <c r="AQ382" i="22"/>
  <c r="AP382" i="22" s="1"/>
  <c r="AQ367" i="22"/>
  <c r="AP367" i="22" s="1"/>
  <c r="AQ86" i="22"/>
  <c r="AP86" i="22" s="1"/>
  <c r="AQ33" i="22"/>
  <c r="AP33" i="22" s="1"/>
  <c r="AQ163" i="22"/>
  <c r="AP163" i="22" s="1"/>
  <c r="AQ130" i="22"/>
  <c r="AP130" i="22" s="1"/>
  <c r="AQ301" i="22"/>
  <c r="AP301" i="22" s="1"/>
  <c r="AQ313" i="22"/>
  <c r="AP313" i="22" s="1"/>
  <c r="AR313" i="22"/>
  <c r="AQ42" i="22"/>
  <c r="AP42" i="22" s="1"/>
  <c r="AQ41" i="22"/>
  <c r="AP41" i="22" s="1"/>
  <c r="AQ254" i="22"/>
  <c r="AP254" i="22" s="1"/>
  <c r="AQ319" i="22"/>
  <c r="AP319" i="22" s="1"/>
  <c r="AH393" i="22"/>
  <c r="AQ393" i="22" s="1"/>
  <c r="AP393" i="22" s="1"/>
  <c r="AR83" i="22"/>
  <c r="AQ2" i="22"/>
  <c r="AQ131" i="22"/>
  <c r="AP131" i="22" s="1"/>
  <c r="AQ262" i="22"/>
  <c r="AP262" i="22" s="1"/>
  <c r="AQ6" i="22"/>
  <c r="AP6" i="22" s="1"/>
  <c r="AQ182" i="22"/>
  <c r="AP182" i="22" s="1"/>
  <c r="AR115" i="22"/>
  <c r="AQ153" i="22"/>
  <c r="AP153" i="22" s="1"/>
  <c r="AR280" i="22"/>
  <c r="AQ250" i="22"/>
  <c r="AP250" i="22" s="1"/>
  <c r="AQ387" i="22"/>
  <c r="AP387" i="22" s="1"/>
  <c r="AQ122" i="22"/>
  <c r="AP122" i="22" s="1"/>
  <c r="AQ399" i="22"/>
  <c r="AP399" i="22" s="1"/>
  <c r="AQ85" i="22"/>
  <c r="AP85" i="22" s="1"/>
  <c r="AQ206" i="22"/>
  <c r="AP206" i="22" s="1"/>
  <c r="AQ180" i="22"/>
  <c r="AP180" i="22" s="1"/>
  <c r="AQ345" i="22"/>
  <c r="AP345" i="22" s="1"/>
  <c r="AQ377" i="22"/>
  <c r="AP377" i="22" s="1"/>
  <c r="AQ15" i="22"/>
  <c r="AP15" i="22" s="1"/>
  <c r="AQ90" i="22"/>
  <c r="AP90" i="22" s="1"/>
  <c r="AQ64" i="22"/>
  <c r="AP64" i="22" s="1"/>
  <c r="AQ73" i="22"/>
  <c r="AP73" i="22" s="1"/>
  <c r="AR405" i="22"/>
  <c r="AQ258" i="22"/>
  <c r="AP258" i="22" s="1"/>
  <c r="AQ170" i="22"/>
  <c r="AP170" i="22" s="1"/>
  <c r="AQ352" i="22"/>
  <c r="AP352" i="22" s="1"/>
  <c r="AQ412" i="22"/>
  <c r="AP412" i="22" s="1"/>
  <c r="AR165" i="22"/>
  <c r="AQ61" i="22"/>
  <c r="AP61" i="22" s="1"/>
  <c r="AH311" i="22"/>
  <c r="AQ311" i="22" s="1"/>
  <c r="AP311" i="22" s="1"/>
  <c r="AQ208" i="22"/>
  <c r="AP208" i="22" s="1"/>
  <c r="AR245" i="22"/>
  <c r="AQ294" i="22"/>
  <c r="AP294" i="22" s="1"/>
  <c r="AQ95" i="22"/>
  <c r="AP95" i="22" s="1"/>
  <c r="AQ204" i="22"/>
  <c r="AP204" i="22" s="1"/>
  <c r="AQ370" i="22"/>
  <c r="AP370" i="22" s="1"/>
  <c r="AR422" i="22"/>
  <c r="AQ132" i="22"/>
  <c r="AP132" i="22" s="1"/>
  <c r="AQ35" i="22"/>
  <c r="AP35" i="22" s="1"/>
  <c r="AQ194" i="22"/>
  <c r="AP194" i="22" s="1"/>
  <c r="AQ92" i="22"/>
  <c r="AP92" i="22" s="1"/>
  <c r="AQ368" i="22"/>
  <c r="AP368" i="22" s="1"/>
  <c r="AQ3" i="22"/>
  <c r="AP3" i="22" s="1"/>
  <c r="AH52" i="22"/>
  <c r="AQ52" i="22" s="1"/>
  <c r="AP52" i="22" s="1"/>
  <c r="AQ420" i="22"/>
  <c r="AP420" i="22" s="1"/>
  <c r="AR411" i="22"/>
  <c r="AR312" i="22"/>
  <c r="AQ77" i="22"/>
  <c r="AP77" i="22" s="1"/>
  <c r="AH68" i="22"/>
  <c r="AR68" i="22" s="1"/>
  <c r="AH53" i="22"/>
  <c r="AQ53" i="22" s="1"/>
  <c r="AP53" i="22" s="1"/>
  <c r="AH369" i="22"/>
  <c r="AR369" i="22" s="1"/>
  <c r="AH343" i="22"/>
  <c r="AQ343" i="22" s="1"/>
  <c r="AP343" i="22" s="1"/>
  <c r="AH59" i="22"/>
  <c r="AQ59" i="22" s="1"/>
  <c r="AP59" i="22" s="1"/>
  <c r="AH43" i="22"/>
  <c r="AR43" i="22" s="1"/>
  <c r="AH341" i="22"/>
  <c r="AQ341" i="22" s="1"/>
  <c r="AP341" i="22" s="1"/>
  <c r="AH58" i="22"/>
  <c r="AQ58" i="22" s="1"/>
  <c r="AP58" i="22" s="1"/>
  <c r="AH9" i="22"/>
  <c r="AQ9" i="22" s="1"/>
  <c r="AP9" i="22" s="1"/>
  <c r="AH69" i="22"/>
  <c r="AQ69" i="22" s="1"/>
  <c r="AP69" i="22" s="1"/>
  <c r="AH10" i="22"/>
  <c r="AR10" i="22" s="1"/>
  <c r="CK3" i="4"/>
  <c r="CJ3" i="4"/>
  <c r="AY2" i="4"/>
  <c r="AX2" i="4"/>
  <c r="BR3" i="4"/>
  <c r="BQ3" i="4"/>
  <c r="AY5" i="4"/>
  <c r="AX5" i="4"/>
  <c r="AY4" i="4"/>
  <c r="AX4" i="4"/>
  <c r="AY3" i="4"/>
  <c r="AX3" i="4"/>
  <c r="AQ48" i="22" l="1"/>
  <c r="AP48" i="22" s="1"/>
  <c r="AR353" i="22"/>
  <c r="AQ316" i="22"/>
  <c r="AP316" i="22" s="1"/>
  <c r="AQ337" i="22"/>
  <c r="AP337" i="22" s="1"/>
  <c r="AR81" i="22"/>
  <c r="AQ415" i="22"/>
  <c r="AP415" i="22" s="1"/>
  <c r="AQ32" i="22"/>
  <c r="AP32" i="22" s="1"/>
  <c r="AQ168" i="22"/>
  <c r="AP168" i="22" s="1"/>
  <c r="AQ51" i="22"/>
  <c r="AP51" i="22" s="1"/>
  <c r="AQ49" i="22"/>
  <c r="AP49" i="22" s="1"/>
  <c r="AY2" i="22"/>
  <c r="AP2" i="22"/>
  <c r="AR393" i="22"/>
  <c r="AR311" i="22"/>
  <c r="AR52" i="22"/>
  <c r="AR59" i="22"/>
  <c r="AQ68" i="22"/>
  <c r="AP68" i="22" s="1"/>
  <c r="AR58" i="22"/>
  <c r="AR53" i="22"/>
  <c r="AQ369" i="22"/>
  <c r="AP369" i="22" s="1"/>
  <c r="AQ43" i="22"/>
  <c r="AP43" i="22" s="1"/>
  <c r="AR9" i="22"/>
  <c r="AR343" i="22"/>
  <c r="AR69" i="22"/>
  <c r="AQ10" i="22"/>
  <c r="AP10" i="22" s="1"/>
  <c r="AR341" i="22"/>
  <c r="CI3" i="4"/>
  <c r="CH3" i="4"/>
  <c r="BO3" i="4"/>
  <c r="BP3" i="4"/>
  <c r="AW4" i="4"/>
  <c r="AV4" i="4"/>
  <c r="AW5" i="4"/>
  <c r="AV5" i="4"/>
  <c r="AV2" i="4"/>
  <c r="AW2" i="4"/>
  <c r="AV3" i="4"/>
  <c r="AW3" i="4"/>
  <c r="AU2" i="4" l="1"/>
  <c r="AT2" i="4"/>
  <c r="BN3" i="4"/>
  <c r="BM3" i="4"/>
  <c r="CF3" i="4"/>
  <c r="CG3" i="4"/>
  <c r="AU3" i="4"/>
  <c r="AT3" i="4"/>
  <c r="AT5" i="4"/>
  <c r="AU5" i="4"/>
  <c r="AT4" i="4"/>
  <c r="AU4" i="4"/>
  <c r="AS3" i="4" l="1"/>
  <c r="AR3" i="4"/>
  <c r="AQ3" i="4" s="1"/>
  <c r="CE3" i="4"/>
  <c r="CD3" i="4"/>
  <c r="CC3" i="4" s="1"/>
  <c r="AS2" i="4"/>
  <c r="AR2" i="4"/>
  <c r="AQ2" i="4" s="1"/>
  <c r="AS4" i="4"/>
  <c r="AR4" i="4"/>
  <c r="AQ4" i="4" s="1"/>
  <c r="AS5" i="4"/>
  <c r="AR5" i="4"/>
  <c r="AQ5" i="4" s="1"/>
  <c r="BL3" i="4"/>
  <c r="BK3" i="4"/>
  <c r="BJ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<sst xmlns="http://schemas.openxmlformats.org/spreadsheetml/2006/main" count="6617" uniqueCount="2033">
  <si>
    <t>ID</t>
  </si>
  <si>
    <t>Name</t>
  </si>
  <si>
    <t>Classifiers</t>
  </si>
  <si>
    <t>Rules</t>
  </si>
  <si>
    <t>Type</t>
  </si>
  <si>
    <t>Kind</t>
  </si>
  <si>
    <t>Class</t>
  </si>
  <si>
    <t>Property</t>
  </si>
  <si>
    <t>Table</t>
  </si>
  <si>
    <t>Rule</t>
  </si>
  <si>
    <t>Classifier</t>
  </si>
  <si>
    <t>Generalization</t>
  </si>
  <si>
    <t>Feature</t>
  </si>
  <si>
    <t>Owning Class</t>
  </si>
  <si>
    <t>Arity</t>
  </si>
  <si>
    <t>Attribute</t>
  </si>
  <si>
    <t>Reference</t>
  </si>
  <si>
    <t>Applying Kind</t>
  </si>
  <si>
    <t>String</t>
  </si>
  <si>
    <t>1..1</t>
  </si>
  <si>
    <t>Named Element</t>
  </si>
  <si>
    <t>0..1</t>
  </si>
  <si>
    <t>0..*</t>
  </si>
  <si>
    <t>Base</t>
  </si>
  <si>
    <t>Property 1</t>
  </si>
  <si>
    <t>Property 2</t>
  </si>
  <si>
    <t>Cast</t>
  </si>
  <si>
    <t>Property 3</t>
  </si>
  <si>
    <t>Processor</t>
  </si>
  <si>
    <t>Operator</t>
  </si>
  <si>
    <t>Part</t>
  </si>
  <si>
    <t>Line</t>
  </si>
  <si>
    <t>Display</t>
  </si>
  <si>
    <t>Derive</t>
  </si>
  <si>
    <t>Choices</t>
  </si>
  <si>
    <t>Constraint</t>
  </si>
  <si>
    <t>Update LHS</t>
  </si>
  <si>
    <t>Update RHS</t>
  </si>
  <si>
    <t>Initialization</t>
  </si>
  <si>
    <t>self</t>
  </si>
  <si>
    <t>super</t>
  </si>
  <si>
    <t>trg</t>
  </si>
  <si>
    <t>src</t>
  </si>
  <si>
    <t>obj</t>
  </si>
  <si>
    <t>Rule Part Type</t>
  </si>
  <si>
    <t>Rule Base Option</t>
  </si>
  <si>
    <t>Literal</t>
  </si>
  <si>
    <t>Datatype</t>
  </si>
  <si>
    <t>Boolean</t>
  </si>
  <si>
    <t>Parent</t>
  </si>
  <si>
    <t>1..*</t>
  </si>
  <si>
    <t>sdfsdfs1</t>
  </si>
  <si>
    <t>sdfsdfs2</t>
  </si>
  <si>
    <t>sdfsdfs3</t>
  </si>
  <si>
    <t>sdfsdfs4</t>
  </si>
  <si>
    <t>sdfsdfs5</t>
  </si>
  <si>
    <t>sdfsdfs6</t>
  </si>
  <si>
    <t>sdfsdfs7</t>
  </si>
  <si>
    <t>sdfsdfs8</t>
  </si>
  <si>
    <t>sdfsdfs9</t>
  </si>
  <si>
    <t>sdfsdfs10</t>
  </si>
  <si>
    <t>sdfsdfs11</t>
  </si>
  <si>
    <t>sdfsdfs12</t>
  </si>
  <si>
    <t>String Value 1</t>
  </si>
  <si>
    <t>String Value 2</t>
  </si>
  <si>
    <t>Val001</t>
  </si>
  <si>
    <t>Val002</t>
  </si>
  <si>
    <t>Val003</t>
  </si>
  <si>
    <t>Val004</t>
  </si>
  <si>
    <t>Val005</t>
  </si>
  <si>
    <t>Val006</t>
  </si>
  <si>
    <t>[c Tabelle1Row]</t>
  </si>
  <si>
    <t>[c Tabelle2Row]</t>
  </si>
  <si>
    <t>Literals</t>
  </si>
  <si>
    <t>Sheet Name</t>
  </si>
  <si>
    <t>All Properties</t>
  </si>
  <si>
    <t>Manual VBA Code</t>
  </si>
  <si>
    <t>Manual Excel Formula</t>
  </si>
  <si>
    <t>This Class And All Subclasses</t>
  </si>
  <si>
    <t>Union</t>
  </si>
  <si>
    <t>union self</t>
  </si>
  <si>
    <t>Direct Subtype</t>
  </si>
  <si>
    <t>allInstances</t>
  </si>
  <si>
    <t>Constant Label</t>
  </si>
  <si>
    <t>Definition</t>
  </si>
  <si>
    <t>Property values are owned by objects. The objects type, it's class owns the properties, and for every object of such a class, the properties of the class can have values, the property values.</t>
  </si>
  <si>
    <t>Property Value</t>
  </si>
  <si>
    <t>Function</t>
  </si>
  <si>
    <t>Parameter</t>
  </si>
  <si>
    <t>A classifier defines the meaning and structure of the objects or values instantiating this type. Classes or object types define what is the structure in terms of properties of objects created for that type. Data types define, which data values, such as numbers, strings, or dates are valid instances of this type.</t>
  </si>
  <si>
    <t>A part of the function signature, defining the type and arity of allowed arguments for this parameter, when it's owning function signature is called.</t>
  </si>
  <si>
    <t>Owning Property</t>
  </si>
  <si>
    <t>The definition of how many values a typed element, such as a feature or a parameter will return in read behavior, and will allow to store in ist internal value or slot, in write behavior.</t>
  </si>
  <si>
    <t xml:space="preserve">An operator is applied to two chains following each other or two conditions following each other. If the row of subsequent chains or conditions is longer than 2, the usual operator precedence is applied. </t>
  </si>
  <si>
    <t>A processor is the last element of a chain or subchain, and it allows to process the result from the last property in the chain in simple ways. Typical examples of processors are +1, -1, =0, or in case of sequences of values, first(), tail(), head(), last(), includes self, excludes self, or in case of arbitrary values =null, =self, =trg, &lt;&gt;null, &lt;&gt;self, &lt;&gt;trg, e.t.c.</t>
  </si>
  <si>
    <t>Group</t>
  </si>
  <si>
    <t>This is a special kind of rule, defining how we group lists of objects, returning labels on each group level, separated by /.</t>
  </si>
  <si>
    <t>This kind of rule defines from which values a new value of a feature when writing in it can be chosen. If this rule is not given, the default value of choices are all instances of the type of that feature. Thus the default value of choices is the same as allInstances.</t>
  </si>
  <si>
    <t>Update Mode</t>
  </si>
  <si>
    <t>Writing in a feature can be done in redefine, add and remove mode, where add and remove means adding or removing a value for n-ary features, and for unary features add means adding to the existing value, and remove means subtracting from the exitsting value, where adding and substracting from types other than numbers needs to be defined (remark: for instance string removal and addition/concatenation, and feature wise adding and removel on objects TO BE DESIGNED). When writing is triggered by an update rule, the update mode of that rule is determining the behavior. In a GUI; typically the user starts by redefining a unary feature, and adding or removing to n-ary features, and typically a GUI does not support add and remove input to non-n-ary features.</t>
  </si>
  <si>
    <t xml:space="preserve">This kind of rule defines a further constraint on the choosable values to be written in a feature. It starts with the choices, and then applies this constraint, using trg for the potentially chosen value, and for each actually choosable value, this constraint must be fulfilled, e.g. result to true.
For constraints, there is an additional boolean flag "is invariant" which defines whether this constraint must as well be an invariant for each value of that feature at any point in time. If "is invariant" is not set, the constraint is only used to constrain new values, during the selection of possible new values, and even after just setting this new value, it may not fulfill this constraint anymore. </t>
  </si>
  <si>
    <t>Is Invariant</t>
  </si>
  <si>
    <t>Constraint Is Invariant</t>
  </si>
  <si>
    <t>Mode</t>
  </si>
  <si>
    <t>The LHS part of an update rule, defining which objects are updates, when the rule is triggered.</t>
  </si>
  <si>
    <t>The RHS part of an update rule, defining to which values the Update Feature will be updated.</t>
  </si>
  <si>
    <t xml:space="preserve">These kind of rules define updates triggered, if a feature is written. The updates are identified by the Name and updated LHS feature, and they consist of an Update LHS, being a rule determining which objects will be updated by this trigger rule, the LHS Feature being updated, and a Update RHS, being a rule defining to which new values these LHS properties for those objects identified by the Update LHS will be updated. In the RHS rule, the object on which the update is triggered is refered to as obj, and the update on these objects may recursively trigger other updates, as defined by the update rules for that object. </t>
  </si>
  <si>
    <t>LHS Feature</t>
  </si>
  <si>
    <t>Update LHS Argument</t>
  </si>
  <si>
    <t>Arguments for the LHS part, if the updated feature is a Function Signature</t>
  </si>
  <si>
    <t>This kind of rule, defines what is the initial stored inner value of a feature when an object is created.</t>
  </si>
  <si>
    <t>A data type classifying the two values true and false.</t>
  </si>
  <si>
    <t>A data type for so called strings, which are sequences of characters.</t>
  </si>
  <si>
    <t>An object having a name. If a named element is referenced, it's default display label (normally defined by a display rule) is the name of this element.</t>
  </si>
  <si>
    <t>A named element having as well a type such as a feature of a class or a parameter of a function signature. The type of such an element typically denotes type of other objects consumed or produced by this element, and it not the same as the kind, which denots the most specific type of the element.</t>
  </si>
  <si>
    <t>A feature is part of a class, defining a slot or function of the instances of this class. We consider every slot as a mini-object, having read and write behavior, and encapsulating its storage cell, which must have the type of the feature. Thus the feature defining the slot and its behvior can be considered a mini-class. Every feature is owned by a class, but a class has not only it's owned features, but as well all features of it's generalizations.</t>
  </si>
  <si>
    <t xml:space="preserve">An function is owned by a property, and derives from the property the name and return type and arity of the property, as well as the owning class of a function  is the owning class of its owning property. A function is a special type of feature, that has 0 to n ordered and typed parameters, the so called signature. In our view of semantics of objects, functions with 0 parameters are equivalent to properties thus the property represents our signature with 0 parameters, and the actual functions in our model have thus at least one parameter. As mentioned we consider every feature as a mini-object, having read and write behavior, and encapsulating its storage cellhaving  return type of the feature. Unlike properties, which have only one storage cell, functions in this sense have a n-ary typed map of such cells, where the dimensions correspond to the parameters in the signature. If a function is called in write or read modus, src is returning the value stored at the position defined by the actual arguments delivered for the parameters. When store behavior is called, the trg value will be newly stored at this position in the map. As usual, there can be one to many trg values being sent to write behavior.  </t>
  </si>
  <si>
    <t>This kind of rule defines the result of reading a feature. If no display rule is given, the display will be the result of the derive. This is the most basic kind of rule, and a property just having a derive rule, not allowing to store values (e.g. returning no choices that can be written in) is called a derived property or calculated property. As well such a derived property is the same as a function without parameters.
It is not the same as the display rule, which shows how an object is displayed, when we refer to it. The derive rule defines what is the result of reading a feature. If the result is an object, and we show such an object, we then apply the display rule to show how to display that returned object. If there is no derive rule for a feature, the default result of reading a feature is the inner value, or what is returned by src. If the derive rule does not return the src, it can only be accessed in rules, but not be seen. This is called encapsulation of state of objects, as these inner value, or slot value, or src values constitute the state of an object.</t>
  </si>
  <si>
    <t>This are the options for setting the base of a chain or condition. The base of a subchain is the result of it preciding subchain or chain. The options for base are self, src, super, trg, obj, and allInstances. These are of course objects themself, and exist as rows in our Literals table.
Their meaning is the following. 
o self A rule is always define in the context of an object, for which we evaluate the rule on the class level (e.g. a rule without given feature) or for which we evaluate a rule for one of its feature. This context object is self.
o src This base only exists in the contex of a feature, a.k.a. mini object. We defined that such a feature encapsulates an internal value or slot of its type, being part of the state of the owning object. The encapsulation of this state is given, by the fact that the only way how to access this state is by the keyword src in rules. 
o super This base as well only exists in the context of a feature, and denotes the read result of this very feature as defined for the next more general class having a definition for the read result by a derive rule, or the default read result when not having a derive rule, which is the internal value, e.g. src. 
o trg only exists in rules relating to the write behavior, e.g. choice, constraint, update LHS and RHS rules. It denotes the value or values written into the feature.  Please not, that writing can be done in different modes, e.g. redefine, add and remove modes.
o obj like trg as well only exists w.r.t. write behavior, but as well only with respect to additional writes triggere by update rules, to be exeucted on other objects, identified by the LHS Update rule. Exactly these LHS objects, whose features will be written by those rules, are then refered to as obj in the RHS Update rule, which determines the new values to be written in those features, for those obj objects.
o allInstances This base finally returns all instances of the type of the feature for which we give a rule, or of the class for which we give the rule. If it is chosen as base, and then no property 1 and 2 is define, then the cast part of the chain changes its meaning in all instance of the type we set the cast to. Thus the combination of the base option allInstances and the cast in a rule allow to select all instances of the type we cast to, and then we can immediately apply the property 3 to them.</t>
  </si>
  <si>
    <t>Part:displayedChoice</t>
  </si>
  <si>
    <t>Package</t>
  </si>
  <si>
    <t>T2 Name</t>
  </si>
  <si>
    <t>T2 Name:q</t>
  </si>
  <si>
    <t>Table 2 Ref</t>
  </si>
  <si>
    <t>Table 1 Rows</t>
  </si>
  <si>
    <t>Table 2 Rows</t>
  </si>
  <si>
    <t>[c Table 1 Row]</t>
  </si>
  <si>
    <t>[c Table 2 Row]</t>
  </si>
  <si>
    <t>Table 1 Row</t>
  </si>
  <si>
    <t>Table 2 Row</t>
  </si>
  <si>
    <t>Table 2 String Value 2</t>
  </si>
  <si>
    <t>Name:q</t>
  </si>
  <si>
    <t>Part:src</t>
  </si>
  <si>
    <t>Part:q</t>
  </si>
  <si>
    <t>&amp;</t>
  </si>
  <si>
    <t>&lt;&gt;</t>
  </si>
  <si>
    <t>n11</t>
  </si>
  <si>
    <t>n12</t>
  </si>
  <si>
    <t>The rule part type defines whether a part of a rule is a Chain, Argument, Subchain, Operand, Condition, or Collector. A full rule is defined by all rules for which rule kind, applicable type (class), and feature are the same, and inside such a full rule, the line defines an order.
o Chains are the most fundamental rules, they start with a base, and then allow to chain properties, cast to a subtype, and apply processors. The reference to the properties, means that we mean either the property (correspondig to function with 0 parameters) or one if its functions (needing arguments for their signature), depending on the concrete types of the values delivered as Argument. 
o Arguments are the second kind of rule part type, and must follow in line number either a Chain, a Condition, a SubChain, or another Argument. If they follow, a Chain or SubChain, that means, they are meant as arguments to the last property in the immediately above chain or subchain, like this denoting dynamically which function signature of the property is meant. As mentioned, always the signature with the most specific property types is selected.
o Sub Chains are like Chains, but they have no base, as their base is the result of the Chain, or SubChain above them, where there may be arguments in betwee. A SubChain can only follow (directly, or separated by Arguments, indirectly) another SubChain, if this SubChain, or the one it follows, is following a Chain. With other words, we need to start with a Chain, which we can extend with a SubChain, then we can further extend the subchain with another subchain.
o A Chain can as well be followed by an Operand, which means, that the operator of the second chain is applied to both these chains (which may be continued both by subchains of them). Between the chanin and the Operand can be arbitrary Sub Chains and Arguments.
o An Operand can be followed by another Operand, which means, that the operator of the second chain is applied to either the results of the operation consisting of the Chain and the first Operand, or to the first Operand such that the operation of the first and the second operand are the second operator for the operation consisting of the chain and these two. The binding is defined by operator precedence.
o An condition If is like a Chain, and it means that the Chain following a condition If is only evaluated and returned, if this condition evaluates to true.  
   o If a condition is followed (indirectly after arguments, or directly) by a subchain, this subchain extends the chain defined by the condition. 
   o If a condition is followed by an Operand, rather than a chain, then this condition will be combined with the first condition using the operator of the second, in the same way as a chains and an Operand are combined. 
o a completly empty condition can come as the last part of an if, and means the else clause
o Last but not least, a collector, define a select, collect or iterate over the result of the chain it follows. The collector definition will be elaborated later IT IS PLACEHOLDER FOR FUTURE DESIGN</t>
  </si>
  <si>
    <t>excludes trg</t>
  </si>
  <si>
    <t>Property, Function, Parameter</t>
  </si>
  <si>
    <t>Display:q</t>
  </si>
  <si>
    <t>meta</t>
  </si>
  <si>
    <t>belowred</t>
  </si>
  <si>
    <t>Generation</t>
  </si>
  <si>
    <t>Indent</t>
  </si>
  <si>
    <t>Line-1</t>
  </si>
  <si>
    <t>Class:src</t>
  </si>
  <si>
    <t>Rule Biz ID Without Line</t>
  </si>
  <si>
    <t>Rule Biz ID</t>
  </si>
  <si>
    <t>Part:src At Line - 1</t>
  </si>
  <si>
    <t>CHAIN</t>
  </si>
  <si>
    <t>IF</t>
  </si>
  <si>
    <t>ENDIF</t>
  </si>
  <si>
    <t>OPERAND</t>
  </si>
  <si>
    <t>ARGUMENT</t>
  </si>
  <si>
    <t>SUBCHAIN</t>
  </si>
  <si>
    <t>THEN</t>
  </si>
  <si>
    <t>ELSE</t>
  </si>
  <si>
    <t>COLLECTOR</t>
  </si>
  <si>
    <t>_Object</t>
  </si>
  <si>
    <t>Description</t>
  </si>
  <si>
    <t>A package is used in modeling to group classifiers, we use packages to group any object. Any reference from object to object via a readable name will be displayed by default by that name only, if the referring and the referred objects have the same package, potentially none, otherwise a so called qualified version will be used, where the package name is prefixed to that readable name separated with ::
Sub Packaging can be introduced by simply calculating the package name itself from referring to super packages, and building a name with sections typically separated by further ::
If a reference is defined, then the currently chosen referenced objects, as well as the choosable ones are displayed with the display rule of the referred type, or the display rule for that reference, and if packages are used, their name for the referenced object is the default group/order rule, if no separate order/group rule is given. Packages are kind of a built-in grouping/ordering of any object, that can then be overwritten with a grouping/order rule.
For practical reasons, this mechanism can be overwritten by using objects, having an ID starting with _ and then followed by a camel case upper name. In this case, the display of the object is assumed to be the camelCaseToBusiness of this ID. Like this, the qualification via package is not needed, and the reference to the corresponding object is not needed to be resolved. It can even be, that one createss like this an instance, that is not existing, by simply using an _ ID as a new object of the referenced type. Typically, such _ ID objects are introduced as part of the methodology, or when the user wants to extend the methodology. They should never be altered, like UUIDs should not be altered. Specific functionality will be provided to test for potential problems with _ IDs, and to create the objects for all reference _ IDs. This is done statically, while all resolutions of _ IDs are done by simply using the info behind the _ to calculate the display as business or camel case.</t>
  </si>
  <si>
    <t>_Class</t>
  </si>
  <si>
    <t>_Datatype</t>
  </si>
  <si>
    <t>_Function</t>
  </si>
  <si>
    <t>_Parameter</t>
  </si>
  <si>
    <t>_Reference</t>
  </si>
  <si>
    <t>_Attribute</t>
  </si>
  <si>
    <t>_Table</t>
  </si>
  <si>
    <t xml:space="preserve">Tables contain instances of a certain type, and all of it's specializations. They are either internal or external to this excel workbook. 
Tables in Excel sheet are a special case of tables, an example are the internal tables of our Excel workbook. For excel sheets external of our Excel workbook, we need to identify the workbook file. </t>
  </si>
  <si>
    <t>_Display</t>
  </si>
  <si>
    <t>_Group</t>
  </si>
  <si>
    <t>_Derive</t>
  </si>
  <si>
    <t>_Choices</t>
  </si>
  <si>
    <t>_Constraint</t>
  </si>
  <si>
    <t>_UpdateLHS</t>
  </si>
  <si>
    <t>_UpdateLHS_Argument</t>
  </si>
  <si>
    <t>_UpdateRHS</t>
  </si>
  <si>
    <t>_Initialization</t>
  </si>
  <si>
    <t>_String</t>
  </si>
  <si>
    <t>_Boolean</t>
  </si>
  <si>
    <t>_DateYYYY_MM_DD</t>
  </si>
  <si>
    <t>Date YYYY MM DD</t>
  </si>
  <si>
    <t>_Integer</t>
  </si>
  <si>
    <t>_Real</t>
  </si>
  <si>
    <t>Integer</t>
  </si>
  <si>
    <t>Real</t>
  </si>
  <si>
    <t>_CHAIN</t>
  </si>
  <si>
    <t>_ARGUMENT</t>
  </si>
  <si>
    <t>_SUBCHAIN</t>
  </si>
  <si>
    <t>_OPERAND</t>
  </si>
  <si>
    <t>_IF</t>
  </si>
  <si>
    <t>_THEN</t>
  </si>
  <si>
    <t>_ELSE</t>
  </si>
  <si>
    <t>_ENDIF</t>
  </si>
  <si>
    <t>_COLLECTOR</t>
  </si>
  <si>
    <t>_self</t>
  </si>
  <si>
    <t>_super</t>
  </si>
  <si>
    <t>_trg</t>
  </si>
  <si>
    <t>_src</t>
  </si>
  <si>
    <t>_obj</t>
  </si>
  <si>
    <t>_allInstances</t>
  </si>
  <si>
    <t>_0..1</t>
  </si>
  <si>
    <t>_1..1</t>
  </si>
  <si>
    <t>_0..*</t>
  </si>
  <si>
    <t>_1..*</t>
  </si>
  <si>
    <t>_Union</t>
  </si>
  <si>
    <t>_&amp;</t>
  </si>
  <si>
    <t>_&lt;&gt;</t>
  </si>
  <si>
    <t>_NamedElement</t>
  </si>
  <si>
    <t>_Classifier</t>
  </si>
  <si>
    <t>_Feature</t>
  </si>
  <si>
    <t>_Property</t>
  </si>
  <si>
    <t>_Arity</t>
  </si>
  <si>
    <t>_PropertyValue</t>
  </si>
  <si>
    <t>_Literal</t>
  </si>
  <si>
    <t>_Rule</t>
  </si>
  <si>
    <t>_RulePartType</t>
  </si>
  <si>
    <t>_RuleBaseOption</t>
  </si>
  <si>
    <t>_UpdateMode</t>
  </si>
  <si>
    <t>_Operator</t>
  </si>
  <si>
    <t>_Processor</t>
  </si>
  <si>
    <t>_UpdateRule</t>
  </si>
  <si>
    <t>Abstract</t>
  </si>
  <si>
    <t>.left(1)</t>
  </si>
  <si>
    <t>.excludes(trg)</t>
  </si>
  <si>
    <t>internalID()</t>
  </si>
  <si>
    <t xml:space="preserve"> = "_"</t>
  </si>
  <si>
    <t>If this is set, no direct instances of this class can be created, but only of non-abstract specializations. Abstract classes can only generalize other abstract classes.</t>
  </si>
  <si>
    <t>Kind:src</t>
  </si>
  <si>
    <t>Object</t>
  </si>
  <si>
    <t>x</t>
  </si>
  <si>
    <t>c</t>
  </si>
  <si>
    <t>Update Rule</t>
  </si>
  <si>
    <t>_DisplayToObject</t>
  </si>
  <si>
    <t>NEW This rule, reverses the result of the display rule, such that if the calculated, possible choices (calculated with the choices rule), reduced with the constraint rule is delivering a number of possible objects to be set, and if these possible next objects are offered/displayed as a list of strings, as calculated by the display rule, then (and only then) this display to object rule is able, to calculate the object from this display string.</t>
  </si>
  <si>
    <t>Tables</t>
  </si>
  <si>
    <t>Parent:src</t>
  </si>
  <si>
    <t>Super Class 1</t>
  </si>
  <si>
    <t>Super Class 2</t>
  </si>
  <si>
    <t>Super Class 4</t>
  </si>
  <si>
    <t>Super Class 3</t>
  </si>
  <si>
    <t>Super Class 5</t>
  </si>
  <si>
    <t>Super Class 6</t>
  </si>
  <si>
    <t>Name or Type</t>
  </si>
  <si>
    <t>meta::Object.iD</t>
  </si>
  <si>
    <t>meta::Object.kind</t>
  </si>
  <si>
    <t>meta::Object.package</t>
  </si>
  <si>
    <t>meta::NamedElement.name</t>
  </si>
  <si>
    <t>meta::Class.abstract</t>
  </si>
  <si>
    <t>meta::Class.generalization</t>
  </si>
  <si>
    <t>meta::Class.allProperties</t>
  </si>
  <si>
    <t>meta::Class.thisClassAndAllSubclasses</t>
  </si>
  <si>
    <t>meta::Class.directSubtype</t>
  </si>
  <si>
    <t>meta::Property.owningClass</t>
  </si>
  <si>
    <t>meta::TypedElement.type</t>
  </si>
  <si>
    <t>meta::Feature.arity</t>
  </si>
  <si>
    <t>meta::Function.owningProperty</t>
  </si>
  <si>
    <t>meta::Literal.constantLabel</t>
  </si>
  <si>
    <t>meta::Rule.applyingKind</t>
  </si>
  <si>
    <t>meta::Rule.part</t>
  </si>
  <si>
    <t>meta::Rule.line</t>
  </si>
  <si>
    <t>meta::Rule.operator</t>
  </si>
  <si>
    <t>meta::Rule.base</t>
  </si>
  <si>
    <t>meta::Rule.property1</t>
  </si>
  <si>
    <t>meta::Rule.property2</t>
  </si>
  <si>
    <t>meta::Rule.cast</t>
  </si>
  <si>
    <t>meta::Rule.property3</t>
  </si>
  <si>
    <t>meta::Rule.processor</t>
  </si>
  <si>
    <t>meta::Rule.manualVBACode</t>
  </si>
  <si>
    <t>meta::Rule.manualExcelFormula</t>
  </si>
  <si>
    <t>meta::Constraint.isInvariant</t>
  </si>
  <si>
    <t>meta::UpdateRule.name</t>
  </si>
  <si>
    <t>meta::UpdateRule.lHSFeature</t>
  </si>
  <si>
    <t>meta::UpdateRule.mode</t>
  </si>
  <si>
    <t>belowred::Table1Row.stringValue1</t>
  </si>
  <si>
    <t>belowred::Table1Row.table2Ref</t>
  </si>
  <si>
    <t>belowred::Table1Row.table2StringValue2</t>
  </si>
  <si>
    <t>belowred::Table2Row.name:q</t>
  </si>
  <si>
    <t>belowred::Table2Row.stringValue2</t>
  </si>
  <si>
    <t>Super Class 1:display:q.</t>
  </si>
  <si>
    <t>Super Class 2:display:q.</t>
  </si>
  <si>
    <t>Class:display:q.</t>
  </si>
  <si>
    <t>Super Class 6:display:q.</t>
  </si>
  <si>
    <t>Super Class 5:display:q.</t>
  </si>
  <si>
    <t>Super Class 4:display:q.</t>
  </si>
  <si>
    <t>Super Class 3:display:q.</t>
  </si>
  <si>
    <t>Base Super Class 6:display:q.</t>
  </si>
  <si>
    <t>Base Super Class 6</t>
  </si>
  <si>
    <t>Base Super Class 5:display:q.</t>
  </si>
  <si>
    <t>Base Super Class 5</t>
  </si>
  <si>
    <t>Base Super Class 4:display:q.</t>
  </si>
  <si>
    <t>Base Super Class 4</t>
  </si>
  <si>
    <t>Base Super Class 3:display:q.</t>
  </si>
  <si>
    <t>Base Super Class 3</t>
  </si>
  <si>
    <t>Base Super Class 2:display:q.</t>
  </si>
  <si>
    <t>Base Super Class 2</t>
  </si>
  <si>
    <t>Base Super Class 1:display:q.</t>
  </si>
  <si>
    <t>Base Super Class 1</t>
  </si>
  <si>
    <t>Base Class:display:q.</t>
  </si>
  <si>
    <t>Property 1:src</t>
  </si>
  <si>
    <t>Test stringToBusiness</t>
  </si>
  <si>
    <t>Test CamelCaseUpper</t>
  </si>
  <si>
    <t>Test camelCaseToBusiness</t>
  </si>
  <si>
    <t>I was in the  shop</t>
  </si>
  <si>
    <t>camelCaseUpper(s)  = businessToCamelCaseUpper(stringToBusiness(s)), </t>
  </si>
  <si>
    <t xml:space="preserve">camelCaseToBusiness(
businessToCamelCaseUpper(
stringToBusiness(X))) = 
stringToBusiness(X) </t>
  </si>
  <si>
    <t>camelCaseLower(s)  = businessToCamelCaseLower(stringToBusiness(s))</t>
  </si>
  <si>
    <t xml:space="preserve">        No Trailing spaces please</t>
  </si>
  <si>
    <t>Titel
- bullet 1
  - second indent level
- bullet 2</t>
  </si>
  <si>
    <t>Typical Title Case1/Case2::My Good Things. (to be removed!)</t>
  </si>
  <si>
    <t>1. The Intro</t>
  </si>
  <si>
    <t>Input String</t>
  </si>
  <si>
    <t>Function - Owning Property</t>
  </si>
  <si>
    <t>Parameter - Owning Function</t>
  </si>
  <si>
    <t>Hugo Boss</t>
  </si>
  <si>
    <t>Property - Owning Class</t>
  </si>
  <si>
    <t>Branch of Table</t>
  </si>
  <si>
    <t>EntriesDescribing VBA Functions</t>
  </si>
  <si>
    <t>Create Branch</t>
  </si>
  <si>
    <t>Merge Branche</t>
  </si>
  <si>
    <t>File Name</t>
  </si>
  <si>
    <t>Version</t>
  </si>
  <si>
    <t>veri.excel</t>
  </si>
  <si>
    <t>v1.41</t>
  </si>
  <si>
    <t>Date Tag</t>
  </si>
  <si>
    <t>Change Log</t>
  </si>
  <si>
    <t>Merge Branch</t>
  </si>
  <si>
    <t>Branch of Document</t>
  </si>
  <si>
    <t>Freeze Version</t>
  </si>
  <si>
    <t>o We where able to use the transfer code to do a "branch" of a table, and have ideas how to automate it.
o The transfer code is VERY slow.
o As well we found another error in camelCaseUpper, for which we entered a test case.
o We introduced Document Management with a table of DocumentVersions, where we have
  o standardized filenames 
  o Branches of document
  o Freezed Version</t>
  </si>
  <si>
    <t>Update LHS - Mode</t>
  </si>
  <si>
    <t>Update LHS - Feature:src</t>
  </si>
  <si>
    <t>Cast:src</t>
  </si>
  <si>
    <t>Property 2:src</t>
  </si>
  <si>
    <t>Property 1 Super Class 6:display:q.</t>
  </si>
  <si>
    <t>Property 1 Super Class 6</t>
  </si>
  <si>
    <t>Property 1 Super Class 5:display:q.</t>
  </si>
  <si>
    <t>Property 1 Super Class 5</t>
  </si>
  <si>
    <t>Property 1 Super Class 4:display:q.</t>
  </si>
  <si>
    <t>Property 1 Super Class 4</t>
  </si>
  <si>
    <t>Property 1 Super Class 3:display:q.</t>
  </si>
  <si>
    <t>Property 1 Super Class 3</t>
  </si>
  <si>
    <t>Property 1 Super Class 2:display:q.</t>
  </si>
  <si>
    <t>Property 1 Super Class 2</t>
  </si>
  <si>
    <t>Property 1 Super Class 1:display:q.</t>
  </si>
  <si>
    <t>Property 1 Super Class 1</t>
  </si>
  <si>
    <t>Property 1 Class:display:q.</t>
  </si>
  <si>
    <t>sfasdfsdfsa1</t>
  </si>
  <si>
    <t>sfasdfsdfsa2</t>
  </si>
  <si>
    <t>v1.42</t>
  </si>
  <si>
    <t>o added some more rules logic</t>
  </si>
  <si>
    <t>Parameter - Business Key</t>
  </si>
  <si>
    <t>Property - Using Property</t>
  </si>
  <si>
    <t>v1.43</t>
  </si>
  <si>
    <t>o got rid of default parameters</t>
  </si>
  <si>
    <t>o is ignored!</t>
  </si>
  <si>
    <t>Function - Parameters Display</t>
  </si>
  <si>
    <t>belowred::Table2Row.table1Row</t>
  </si>
  <si>
    <t>Test Derived</t>
  </si>
  <si>
    <t>belowred::Table2Row.testDerived</t>
  </si>
  <si>
    <t>meta::Table.branchofTable</t>
  </si>
  <si>
    <t>meta::Table.createBranch</t>
  </si>
  <si>
    <t>meta::Table.mergeBranche</t>
  </si>
  <si>
    <t>Containing Class</t>
  </si>
  <si>
    <t>belowred::Table1Row.stringValue1(String)</t>
  </si>
  <si>
    <t>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</si>
  <si>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belowred::Table2Row.testNumber</t>
  </si>
  <si>
    <t>Test Number</t>
  </si>
  <si>
    <t>belowred::firstParameter</t>
  </si>
  <si>
    <t>First Parameter</t>
  </si>
  <si>
    <t>Property 3:src</t>
  </si>
  <si>
    <t>Property 2 Super Class 6:display:q.</t>
  </si>
  <si>
    <t>Property 2 Super Class 6</t>
  </si>
  <si>
    <t>Property 2 Super Class 5:display:q.</t>
  </si>
  <si>
    <t>Property 2 Super Class 5</t>
  </si>
  <si>
    <t>Property 2 Super Class 4:display:q.</t>
  </si>
  <si>
    <t>Property 2 Super Class 4</t>
  </si>
  <si>
    <t>Property 2 Super Class 3:display:q.</t>
  </si>
  <si>
    <t>Property 2 Super Class 3</t>
  </si>
  <si>
    <t>Property 2 Super Class 2:display:q.</t>
  </si>
  <si>
    <t>Property 2 Super Class 2</t>
  </si>
  <si>
    <t>Property 2 Super Class 1:display:q.</t>
  </si>
  <si>
    <t>Property 2 Super Class 1</t>
  </si>
  <si>
    <t>Property 2 Class:display:q.</t>
  </si>
  <si>
    <t>Line As Text</t>
  </si>
  <si>
    <t>Camel Case Upper</t>
  </si>
  <si>
    <t>Camel Case Lower</t>
  </si>
  <si>
    <t>Camel Case To Business</t>
  </si>
  <si>
    <t>String To Business</t>
  </si>
  <si>
    <t>Business To Camel Case Upper</t>
  </si>
  <si>
    <t>Business To Camel Case Lower</t>
  </si>
  <si>
    <t>util::camelCaseUpper</t>
  </si>
  <si>
    <t>util::camelCaseLower</t>
  </si>
  <si>
    <t>util::camelCaseToBusiness</t>
  </si>
  <si>
    <t>util::stringToBusiness</t>
  </si>
  <si>
    <t>util::businessToCamelCaseUpper</t>
  </si>
  <si>
    <t>util::businessToCamelCaseLower</t>
  </si>
  <si>
    <t>util::camelCaseUpper(String)</t>
  </si>
  <si>
    <t>util::camelCaseLower(String)</t>
  </si>
  <si>
    <t>util::camelCaseToBusiness(String)</t>
  </si>
  <si>
    <t>util::stringToBusiness(String)</t>
  </si>
  <si>
    <t>util::businessToCamelCaseUpper(String)</t>
  </si>
  <si>
    <t>util::businessToCamelCaseLower(String)</t>
  </si>
  <si>
    <t>util::camelCaseUpper(String).inputString</t>
  </si>
  <si>
    <t>util::camelCaseLower(String).inputString</t>
  </si>
  <si>
    <t>util::camelCaseToBusiness(String).inputString</t>
  </si>
  <si>
    <t>util::stringToBusiness(String).inputString</t>
  </si>
  <si>
    <t>util::businessToCamelCaseUpper(String).inputString</t>
  </si>
  <si>
    <t>util::businessToCamelCaseLower(String).inputString</t>
  </si>
  <si>
    <t>Reference - Excel Formula for Display</t>
  </si>
  <si>
    <t>Reference - Referenced Excel Table</t>
  </si>
  <si>
    <t>Type Super Type 1</t>
  </si>
  <si>
    <t>Type Super Type 4</t>
  </si>
  <si>
    <t>Type Super Type 3</t>
  </si>
  <si>
    <t>Type Super Type 2</t>
  </si>
  <si>
    <t>Type Super Type 7</t>
  </si>
  <si>
    <t>Type Super Type 6</t>
  </si>
  <si>
    <t>Type Super Type 5</t>
  </si>
  <si>
    <t>Reference - Refering Column in Excel</t>
  </si>
  <si>
    <t>Feature:src</t>
  </si>
  <si>
    <t>meta::Rule.feature</t>
  </si>
  <si>
    <t>Type Derived</t>
  </si>
  <si>
    <t>Base Type</t>
  </si>
  <si>
    <t>Feature Type</t>
  </si>
  <si>
    <t>Base as Parameter</t>
  </si>
  <si>
    <t>inputString</t>
  </si>
  <si>
    <t>Base Type Kind</t>
  </si>
  <si>
    <t>Feature Base Type Kind</t>
  </si>
  <si>
    <t>Property 1 Type</t>
  </si>
  <si>
    <t>Property 1 Type Kind</t>
  </si>
  <si>
    <t>Property 2 or Cast Type</t>
  </si>
  <si>
    <t>Property 2 or Cast Type Kind</t>
  </si>
  <si>
    <t>Referencce - VBA for Id Change in Subtype</t>
  </si>
  <si>
    <t>Reference - VBA for Id Change in Supertype</t>
  </si>
  <si>
    <t>Class - Generalization</t>
  </si>
  <si>
    <t>Reference - Code</t>
  </si>
  <si>
    <t>Feature - VBA</t>
  </si>
  <si>
    <t>Feature - VBA Header</t>
  </si>
  <si>
    <t>Feature - VBA Type</t>
  </si>
  <si>
    <t>Containing Class:display</t>
  </si>
  <si>
    <t>Name or Type Camel Case Lower</t>
  </si>
  <si>
    <t>Display without Class</t>
  </si>
  <si>
    <t>Function - Parameters in VBA Header</t>
  </si>
  <si>
    <t>ByVal inputString As String</t>
  </si>
  <si>
    <t>Type Derived:display</t>
  </si>
  <si>
    <t>inputString.stringToBusiness.businessToCamelCaseUpper</t>
  </si>
  <si>
    <t>camelCaseUpper = businessToCamelCaseUpper(stringToBusiness(inputString))</t>
  </si>
  <si>
    <t>Rule Code</t>
  </si>
  <si>
    <t>VBA Code</t>
  </si>
  <si>
    <t>Excel Formula</t>
  </si>
  <si>
    <t>String To Business Segments</t>
  </si>
  <si>
    <t>util::stringToBusinessSegments</t>
  </si>
  <si>
    <t>util::stringToBusinessSegments(String)</t>
  </si>
  <si>
    <t>util::stringToBusinessSegments(String).inputString</t>
  </si>
  <si>
    <t>Columns</t>
  </si>
  <si>
    <t>_Column</t>
  </si>
  <si>
    <t>Column</t>
  </si>
  <si>
    <t xml:space="preserve">Columns are owned by tables, and represent a property of the type of that table, or of some specialization of that type. The columns are numbered and correspond exactly to the list of columns a table has. If legacy data structures, such as SQL tables or Excel tables need to be maintained, the columns allow a manual overwritten column name, otherwise the column name follows from the represented property. The rule is that if the represented property is a property of the type of the table, or one of its generalization, the business name of the property is used as column name. If the represented proeprty is a property of a specialization of the class of the table, the column name is the business name of that specialization, followed by the string " - " and then the business name of the property.
Some columns may be independent of the type of the object, such as columns, that are introduced to maintain information on branching, object transfer, or backup versions of columns that where overwritten by synchronization of properties and rules with the actual columns. Such columns are marked with :branching:XYZ, :transfer:XYZ, backup:XYZ 
Otherwise, columns are interpreted to be properties of the type of the object. If their name starts with XYZ - they are interpreted to be properties of XYZ, which must be a subtype of the class of the table. Their names are either corresponding to the property name, or locally overwritten.A last property of a column which may be expressed by a name suffix starting with : is the type of rule defining the column. For derived columns without storage, the main column will show the derived value, and there may be such columns for :display, :order, :init, :choice : constraint, and update LHS and RHS. For stored columns representing reference-properties, there will be a column :src for the stored value, and the main column will show the diaplay value. </t>
  </si>
  <si>
    <t>meta::Object.subPackage</t>
  </si>
  <si>
    <t>Sub Package</t>
  </si>
  <si>
    <t>A sub package defines a further grouping, which is only used to filter, and in the case of global functions to define in which module to generate the VBA code. Sub packages can be freely used to allow filtring out of certain "aspects". They are just a second string. The mechanism how to refer to an object by qualified name will only use the main package for qualification. Subpackage qualified names may be used but have no standard usage, they would be composed by adding :: subpackage to the package qualification. 
Unlike packages, which may be derived from some containing object, subpackages are meant to be defined explicitly. A subpackage name a::b::c will result in the case of global functions in storing the global function in a module util_a_b_c</t>
  </si>
  <si>
    <t>Owning Table</t>
  </si>
  <si>
    <t>Parameters build signatures, and for this the position in the signature is important.</t>
  </si>
  <si>
    <t>Position</t>
  </si>
  <si>
    <t>meta::Parameter.position</t>
  </si>
  <si>
    <t>Parameter - Position</t>
  </si>
  <si>
    <t>Label:backup:previous</t>
  </si>
  <si>
    <t>Property Owning Class</t>
  </si>
  <si>
    <t>Owning Table Instances Class</t>
  </si>
  <si>
    <t>Instances Class</t>
  </si>
  <si>
    <t>Property Owning Class is Specialization of Instance Class</t>
  </si>
  <si>
    <t>Property Owning Class is Instance Class or Generalization</t>
  </si>
  <si>
    <t>Semantics Case</t>
  </si>
  <si>
    <t>Property Changeable</t>
  </si>
  <si>
    <t>display</t>
  </si>
  <si>
    <t>derive</t>
  </si>
  <si>
    <t>meta::Object.display</t>
  </si>
  <si>
    <t>meta::Object.definition</t>
  </si>
  <si>
    <t>Property Name</t>
  </si>
  <si>
    <t>Changeable</t>
  </si>
  <si>
    <t>Property Kind</t>
  </si>
  <si>
    <t>Generalization 1</t>
  </si>
  <si>
    <t>Generalization 4</t>
  </si>
  <si>
    <t>Generalization 3</t>
  </si>
  <si>
    <t>Generalization 2</t>
  </si>
  <si>
    <t>Generalization 6</t>
  </si>
  <si>
    <t>Generalization 5</t>
  </si>
  <si>
    <t>Is From Specialization 1</t>
  </si>
  <si>
    <t>Is From Specialization 2</t>
  </si>
  <si>
    <t>Is From Specialization 3</t>
  </si>
  <si>
    <t>Is From Specialization 4</t>
  </si>
  <si>
    <t>Is From Specialization 5</t>
  </si>
  <si>
    <t>Is From Specialization 6</t>
  </si>
  <si>
    <t>Property Owning Class Name</t>
  </si>
  <si>
    <t>Class - Abstract</t>
  </si>
  <si>
    <t>Feature - Arity</t>
  </si>
  <si>
    <t>Property - Changeable</t>
  </si>
  <si>
    <t>meta::Property.changeable</t>
  </si>
  <si>
    <t>meta::Table.instancesClass</t>
  </si>
  <si>
    <t xml:space="preserve">my start bla…
@g1.p1
@g2.p3
</t>
  </si>
  <si>
    <t>Excel Formula - Target Property</t>
  </si>
  <si>
    <t>VBA Code - Target Module</t>
  </si>
  <si>
    <t>Matched Patern 1:src</t>
  </si>
  <si>
    <t>Matched Pattern 1</t>
  </si>
  <si>
    <t>Template Begin</t>
  </si>
  <si>
    <t>Template Middle</t>
  </si>
  <si>
    <t>Template End</t>
  </si>
  <si>
    <t>Util Code</t>
  </si>
  <si>
    <t>Update LHS - Feature</t>
  </si>
  <si>
    <t>Source Table</t>
  </si>
  <si>
    <t>Match Key Column 1</t>
  </si>
  <si>
    <t>Match Key Column 2</t>
  </si>
  <si>
    <t>Match Key Column 3</t>
  </si>
  <si>
    <t>Match Key Column 4</t>
  </si>
  <si>
    <t>Match Key Column 5</t>
  </si>
  <si>
    <t>Order Column</t>
  </si>
  <si>
    <t>Template Parameter Column 1</t>
  </si>
  <si>
    <t>Template Parameter Column 2</t>
  </si>
  <si>
    <t>Template Parameter Column 3</t>
  </si>
  <si>
    <t>_ExcelFormula</t>
  </si>
  <si>
    <t>Table Pattern</t>
  </si>
  <si>
    <t>Code Template</t>
  </si>
  <si>
    <t>_TablePattern</t>
  </si>
  <si>
    <t>_CodeTemplate</t>
  </si>
  <si>
    <t>_VisualBasic</t>
  </si>
  <si>
    <t>Visual Basic</t>
  </si>
  <si>
    <t>Matched Pattern 2:src</t>
  </si>
  <si>
    <t>Matched Pattern2</t>
  </si>
  <si>
    <t>Matched Pattern 2 Template Column</t>
  </si>
  <si>
    <t>Matched Pattern 1 Template Column</t>
  </si>
  <si>
    <t>Match Filter Column 1</t>
  </si>
  <si>
    <t>Match Filter Column 2</t>
  </si>
  <si>
    <t xml:space="preserve">A table pattern matches against a table, using a list of up to 5 match key columns, such that each match returns a list of object rows in that table, having the same values for the defined match key columns. Further, there one can define two Match Filter Columns, which will be used to filtering. The list is then filtered, and ordered along the values in the order column. Besides these objects, from which a code template then creates a text, by taking from each object a line defined by a feature, a match returns the following when used in a code template:
- values of the pattern keys, accessible in a code template definition as @pNR1.kNR2, 
   where NR1 is the number of the pattern in the template definition, and NR2 the number of the key
- values of up to three template parameters, accessible in a code template definition as @pNR1.pNR2, 
   where NR1 is the number of the pattern in the template definition, and NR2 the number of the template parameter.
As example, if we use two patterns in a template definition, and we used 3 keys and 2 template parameter, we have the following variables available:
@p1.k1, @p1.k2, @p1.k3,  @p1.p1, @p1.p2, 
@p2.k1, @p2.k2, @p2.k3,  @p2.p1, @p2.p2
If we use 5 keys, and 3 template parameters, we can use all of these variables:
@p1.k1, @p1.k2, @p1.k3, @p1.k4, @p1.k5,  @p1.p1, @p1.p2, @p1.p3, 
@p2.k1, @p2.k2, @p2.k3, @p2.k4, @p2.k5,  @p2.p1, @p2.p2, @p2.p3
These variables can then be used in the template, to parametrize the returned text, or to parametrize how the match of the first and second template must be related to each other in a where clause.
The code template parameter are again defined by properties of the table pattern, given as Template Parameter Column 1 to 3. Unlike for the creation of the code, which is done by creating one line per matched object, the template parameter column values are simply concatenated to one string, being then the parameter, accessible as @pNR1.pNR2
</t>
  </si>
  <si>
    <t>A code template applies one or two pattern, and first filters them with Pattern 1 Match Filter Value 1 &amp; 2, and Pattern 1 Match Filter Value 1 &amp; 2. Then it  links the remaining matches of the two pattern to tuples, and further filtes these tuples with a where clause (defining equality (=), inequality (&lt;&gt;), or relation (&lt;,&gt;) between values defined by using the @pNR1.kNR2 and @pNR1,pNR2 variables, where the single clauses are separated with , combining them with an and logic), that must evaluate to true. 
For instance, if we have 5 keys and 3 template parameters in both patterns, and the same number of keys and while these templates may be over differen tables, and columns defined as the keys and template paramets may be different ones for both patterns, we still want that the values of key 1 of first pattern is equal to the value of key 1 of second pattern,  and so on, our where clause would be:
@p1.k1=@p2.k1, @p1.k2=@p2.k2, @p1.k3=@p2.k3, @p1.k4=@p2.k4, @p1.k5=@p2.k5,  @p1.p1=@p2.p1, @p1.p2=@p2.p2, @p1.p3=@p2.p3
Then  the returned pairs of matches of the first and second pattern are processes, by making a text where each line is taken from the match, and defined with a  matched pattern template property. Like this, two blocks of text are calculated from two matched patterns. Then the code template defines a text ahead of the first block, one between the two blocks, and one at the end, defined in properties of the code templates called Template Begin, Template Middle, and Template End. In these properties, text fragments are given, inside which the variables @pNR1.kNR2 and @pNR1,pNR2 returned from the two matches are returned.
As a concrete example, take the generation of VBA code for functions. The first pattern would have as key the Parameter - Owning Function:src column of TypedElements, and as Order Column the number of the parameter. The second pattern would go over the Rules table, and have as key the Feature:src columns, and as Order Column the Line Number. The where clause would be @p1.k1=@p2.k2. The TemplateBegin would then do the name of the function, then in the first pattern match the parameters, then in the second the body, with template middle and end the glue.
In these example we need filter columns and values making sure that only the needed records are processed.</t>
  </si>
  <si>
    <t>Where Clause</t>
  </si>
  <si>
    <t>Matched Pattern 1 Filter Value 1</t>
  </si>
  <si>
    <t>Matched Pattern 1 Filter Value 2</t>
  </si>
  <si>
    <t>Matched Pattern 2 Filter Value 1</t>
  </si>
  <si>
    <t>Matched Pattern 2 Filter Value 2</t>
  </si>
  <si>
    <t>_ExcelTable</t>
  </si>
  <si>
    <t>Excel Table</t>
  </si>
  <si>
    <t>Excel Table - Excel Name</t>
  </si>
  <si>
    <t>meta::ExcelTable.sheetName</t>
  </si>
  <si>
    <t>Excel Table - Sheet Name</t>
  </si>
  <si>
    <t>_ExcelColumn</t>
  </si>
  <si>
    <t>Excel Column</t>
  </si>
  <si>
    <t>Excel Column - Label Overwrite</t>
  </si>
  <si>
    <t>Excel Column - Label</t>
  </si>
  <si>
    <t>Excel Column - Label Actual</t>
  </si>
  <si>
    <t>Stored Column Position</t>
  </si>
  <si>
    <t>Excel Column - Excel Formula</t>
  </si>
  <si>
    <t>Feature - VBA Code</t>
  </si>
  <si>
    <t>Feature - Manual VBA Header</t>
  </si>
  <si>
    <t>Feature - Manual VBA Body</t>
  </si>
  <si>
    <t>Feature - VBA Body</t>
  </si>
  <si>
    <t>meta::TypedElement.containingClass</t>
  </si>
  <si>
    <t>Parameters Display</t>
  </si>
  <si>
    <t>Parameters in VBA Header</t>
  </si>
  <si>
    <t>meta::Function.parametersDisplay</t>
  </si>
  <si>
    <t>meta::Function.parametersInVBA_Header</t>
  </si>
  <si>
    <t>Owning Function</t>
  </si>
  <si>
    <t>meta::Parameter.owningFunction</t>
  </si>
  <si>
    <t>1.1.3 My Subchapter</t>
  </si>
  <si>
    <t>CORRECTION camelCaseUpper</t>
  </si>
  <si>
    <t>CORRECTIOON camelCaseToBusiness</t>
  </si>
  <si>
    <t>hu.habba</t>
  </si>
  <si>
    <t>We are the champions of the world</t>
  </si>
  <si>
    <t xml:space="preserve">The the </t>
  </si>
  <si>
    <t>_Snippet</t>
  </si>
  <si>
    <t>_ModuleSnippet</t>
  </si>
  <si>
    <t>_ClassSnippet</t>
  </si>
  <si>
    <t>_FormSnippet</t>
  </si>
  <si>
    <t>Snippet</t>
  </si>
  <si>
    <t>Module Snippet</t>
  </si>
  <si>
    <t>Class Snippet</t>
  </si>
  <si>
    <t>Form Snippet</t>
  </si>
  <si>
    <t>A form snippet is a kind of snippet from which a form as source code is generated, by combining all snippets defining this form.</t>
  </si>
  <si>
    <t>In programming practice, "snippet" refers narrowly to a portion of source code that is literally included by an editor program into a file, and is a form of copy and paste programming.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
In our tabular approach, snippets are combined sorted by Line number, similar as CodeTemplates are combined. The place where the snippet, representing code as data is pasted to, making out of the data again code, is determined by the package and subpackage. The actual snippet of code is in the property Snippet of the Snippet object.
As well we can use Snippets to store the code of an Excel sheet as data, we then use the package and subpackage to store what was the original name of the module/class as follows: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t>
  </si>
  <si>
    <t>A module snippet is a kind of snippet from which a module of source code is generated, by combining all snippets defining this module. The name of the generated module is derived from the name of the package and subpackage, as follows:
- if package and subpackage are empty, it appends to VBA module named "main"
- if package is "util", and subpackage is empty, it appends to VBA module  named "util"
- if  the package is "first", and subpackage is "::second::third", it appends to VBA module named "first_second_third"
- if the package is "util" and subpackage starts not with ::, but is ANYSTRING, then it appends to VBA module/class named "ANYSTRING"</t>
  </si>
  <si>
    <t>A class snippet is a kind of snippet from which a class in source code is generated, by combining all snippets defining this class. The name of the generated class module is derived from the name of the package and subpackage, as follows:
- if package and subpackage are empty, it appends to VBA class named "main"
- if package is "util", and subpackage is empty, it appends to VBA class  named "util"
- if  the package is "first", and subpackage is "::second::third", it appends to VBA class named "first_second_third"
- if the package is "util" and subpackage starts not with ::, but is ANYSTRING, then it appends to VBA module/class named "ANYSTRING"</t>
  </si>
  <si>
    <t>meta::Snippet.line</t>
  </si>
  <si>
    <t>meta::Snippet.snippet</t>
  </si>
  <si>
    <t>_Snippets</t>
  </si>
  <si>
    <t>Snippets</t>
  </si>
  <si>
    <t>util</t>
  </si>
  <si>
    <t>_DocumentVersionsRowTemplate</t>
  </si>
  <si>
    <t>_ClassifiersRowTemplate</t>
  </si>
  <si>
    <t>_TypedElementsRowTemplate</t>
  </si>
  <si>
    <t>_RulesRowTemplate</t>
  </si>
  <si>
    <t>_LiteralsRowTemplate</t>
  </si>
  <si>
    <t>_Table1RowsRowTemplate</t>
  </si>
  <si>
    <t>_Table2RowsRowTemplate</t>
  </si>
  <si>
    <t>_ExcelTabSnippet</t>
  </si>
  <si>
    <t>43f63047-22d9-429c-8b1c-d622f54b29ba</t>
  </si>
  <si>
    <t>67c33697-15b1-4752-aeee-0b9b588defc4</t>
  </si>
  <si>
    <t>972cd4cd-25b0-4b80-96f9-eab4bfd32907</t>
  </si>
  <si>
    <t>1038d403-a822-4c34-93d0-0f18ac6a9ef1</t>
  </si>
  <si>
    <t>3aec7239-2376-415d-b58c-5a4b1925383a</t>
  </si>
  <si>
    <t>_TablePatternsRowTemplate</t>
  </si>
  <si>
    <t>_CodeTemplatesRowTemplate</t>
  </si>
  <si>
    <t>A class or object type defines the structure of objects, that can be created by instatiating this type. The structure consists of features, which exists as attributes, whose values are data values, and references, whose values are references to other objects, and functions. References and attributes in contrast to functions have no paramenter, and are called properties. Some of these properties (attributes, referendes) can build a business key of the objects of this type. Instances of classes,  whose business keys are equal, are considered duplicates.</t>
  </si>
  <si>
    <t>A data type defines which data values, such as numbers, strings, or dates are valid instances of this type. In contract to object types, the instances of data types exist as mathematical values, independent of the system in which they are used. They need not be created, but exist and can simply be used.</t>
  </si>
  <si>
    <t>974a759c-763e-47d2-9161-3a764a907e0e</t>
  </si>
  <si>
    <t>equal self</t>
  </si>
  <si>
    <t>equal null</t>
  </si>
  <si>
    <t>internal ID</t>
  </si>
  <si>
    <t>equal underscore</t>
  </si>
  <si>
    <t>left 1</t>
  </si>
  <si>
    <t>78c447a8-26c2-4863-af0f-1cac699ef1d5</t>
  </si>
  <si>
    <t>1d944a35-9c37-43e7-bd61-623a364a907e</t>
  </si>
  <si>
    <t>1f38c3f3-9812-4b24-93cf-fe179c599df0</t>
  </si>
  <si>
    <t>b4861bc3-bc10-4ae6-9e25-d4d5a3aec2c4</t>
  </si>
  <si>
    <t>7acbe48a-be54-4cd7-af2e-87768468c55a</t>
  </si>
  <si>
    <t>564b4dc7-4a74-48b6-933a-d2a0916a7649</t>
  </si>
  <si>
    <t>3a58a9c2-299c-44d7-a57d-0c655562f2a3</t>
  </si>
  <si>
    <t>e4563b4d-874a-4748-a662-d6d160512a66</t>
  </si>
  <si>
    <t>6bb28121-45a1-4147-9e39-f530acccd979</t>
  </si>
  <si>
    <t>REMOVED_= IFNA( IF( TRIM( [@[Table 2 Ref:src]] ) = "",
        "",
    IF( LEFT([@[Table 2 Ref:src]],1)
            ="_",
        [@[Table 2 Ref:src]],
    IF( TRIM( [@Package] )
            &lt;&gt; TRIM( INDEX( Table2Rows_data[Package], MATCH( [@[Table 2 Ref:src]], Table2Rows_data[ID],0 ) ) ),
        TRIM( INDEX( Table2Rows_data[Package], MATCH( [@[Table 2 Ref:src]], Table2Rows_data[ID], 0 ) ) )
                &amp; "::"
                &amp; INDEX( Table2Rows_data[T2 Name], MATCH( [@[Table 2 Ref:src]], Table2Rows_data[ID], 0 ) ),
        INDEX( Table2Rows_data[T2 Name], MATCH( [@[Table 2 Ref:src]], Table2Rows_data[ID], 0 ) )
    ))),"" )</t>
  </si>
  <si>
    <t>REMOVED_=stringToBusiness([@[String Value 1]])</t>
  </si>
  <si>
    <t>REMOVED_=camelCaseUpper([@[String Value 1]])</t>
  </si>
  <si>
    <t>REMOVED_=camelCaseToBusiness([@[CORRECTION camelCaseUpper]])</t>
  </si>
  <si>
    <t>REMOVED_=EXACT(camelCaseLower([@[String Value 1]]),businessToCamelCaseLower(stringToBusiness([@[String Value 1]])))</t>
  </si>
  <si>
    <t>REMOVED_=EXACT(camelCaseUpper([@[String Value 1]]),businessToCamelCaseUpper(stringToBusiness([@[String Value 1]])))</t>
  </si>
  <si>
    <t>REMOVED_=EXACT(camelCaseToBusiness(
businessToCamelCaseUpper(
stringToBusiness([@[String Value 1]]))),
stringToBusiness([@[String Value 1]]))</t>
  </si>
  <si>
    <t>REMOVED_=FunctionToBeGenerated()</t>
  </si>
  <si>
    <t>Table 2 Ref STORED</t>
  </si>
  <si>
    <t>Test stringToBusiness STORED</t>
  </si>
  <si>
    <t>Test CamelCaseUpper STORED</t>
  </si>
  <si>
    <t>Test camelCaseToBusiness STORED</t>
  </si>
  <si>
    <t>camelCaseLower(s)  = businessToCamelCaseLower(stringToBusiness(s)) STORED</t>
  </si>
  <si>
    <t>camelCaseUpper(s)  = businessToCamelCaseUpper(stringToBusiness(s)),  STORED</t>
  </si>
  <si>
    <t>camelCaseToBusiness(
businessToCamelCaseUpper(
stringToBusiness(X))) = 
stringToBusiness(X)  STORED</t>
  </si>
  <si>
    <t>Test FunctionToBeGenerated STORED</t>
  </si>
  <si>
    <t>Calculate 3-1</t>
  </si>
  <si>
    <t>(4*6)/5</t>
  </si>
  <si>
    <t>Excel Tab Snippet</t>
  </si>
  <si>
    <t>An excel tab snippet is a kind of snippet from which the VBA code specific to a tab is generated, by combining all snippets defining this tab VBA code. Typical code in such a tab VBA is code that invoces other functions when a cell content is changed.</t>
  </si>
  <si>
    <t>_PackageDocumentation</t>
  </si>
  <si>
    <t>Package Documentation</t>
  </si>
  <si>
    <t>As defined in the class Object, every object has a package and subpackage. These are simple strings, but denote groups of other objects that belong together. The full package is expressed as package::subpackage. The most prominent package is meta, in which everything defining the veri.excel approach itself is defined. Then packages starting with util are used to group VBA code, which is thought as public utilities. For each combination of package and subpackage, there is some specific meaning, and often documentation. As well, when starting to do own models in the sheet, thus not looking at meta, but simply using the infrastructure provided by meta, one introduces new packages, with a meaning. The Package Documentation objects in the Package Documentation table is special in the sense, that while these are objects, having a package/subpackage themselves, and a description, like any other object, the package/subpackage combination of them is denoting which such combination the object documents in its definition column. Thus, if the package documentation is complete, there is exactly one entry per package. We on purpose did not allow a split in lines, as the documentation should fit on a screen, and if it gets more complex, one should create more subpackages. Please be aware, that while subpackages can be used to further group objects, when doing fully qualified references across package borders, only the package, not the subpackage is used for qualification. That means, for reference by name patterns, naming should be unique within a package, and one should not rely on differentiating name spaces by subpackages.</t>
  </si>
  <si>
    <t>Excel Formula for Column "Excel Column - Label Actual" of Table Columns</t>
  </si>
  <si>
    <t xml:space="preserve">ExceFormula Previous Line </t>
  </si>
  <si>
    <t>Property ID from Column Label</t>
  </si>
  <si>
    <t>Topic Order</t>
  </si>
  <si>
    <t>Topic</t>
  </si>
  <si>
    <t>_PackgeDocumentation</t>
  </si>
  <si>
    <t>Titel and Subtitle</t>
  </si>
  <si>
    <t>Layer 0: Snippets
Basic functionality to move macros to data, and to delete data rows.</t>
  </si>
  <si>
    <t>Introduction</t>
  </si>
  <si>
    <t xml:space="preserve">With "Layer 0: Snippets", VBA code is moved into the data, or from that data, in the form of Snippets, the code is generated. Further one can automatically delete all data rows of an excel, just keeping one empty template row, to maintain the Excel formulas and formatting, both static and conditional.
With layer 0 functionality, one can send into an organisation any Excel with macros as a version without macros. There is functionality that automates extraction of macros in a table of snippets and generation of macros from such a table. In some organization, this code, accessing the "VBA Project Object Model"  is not allowed, and thus one may have to do the copy of snippets to modules, classes, forms, and the excel-tab VBA code by hand. 
For Layer 0, we introduced a new class Snippet, and a new table Snippets, which holds instances of class Snippet, which has the minimal columns to allow to consider their package and subpackages column to be a matched pattern, with their Line column the sorting column, and their Snippet column being the instantiated code template. Further, Layer 0 provides two simple functions, Data From Code and Code from Data, as well as code for deleting the data. The details are in the definition of class Snippet, its subclasses for different kind of VBA code, and the defintions of the main and sub functionality of functions of package layer 0 in the TypedElements table, in the corresponding Functions entries.
</t>
  </si>
  <si>
    <t>Background</t>
  </si>
  <si>
    <t>Wiki Definition of Snippet:
In programming practice, "snippet" refers narrowly to a portion of source code that is literally included by an editor program into a file, and is a form of copy and paste programming.[2]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t>
  </si>
  <si>
    <t>Details</t>
  </si>
  <si>
    <t>The other layers dealing with code generation, "Layer2: VBA Code", and "Layer 4: Patterns and Templates", will generate the code not only directly, but as well into snippets of layer 0, to allow such hand copy past, in situations where both macros cannot be sent into an organization, and the automation of layer 0, using the excel VBA Object model cannot be triggered. Therfore, one has to carefully balance splitting of code in various packages, resulting in various modules, classes, and other VBA artifacts, and having the code in as few VBA artifacts as possible, in order to allow copy-paste by hand of code from snipptes to the places where Excel stored macros. A technical limitation, is that per snippet, only 32k long string of macro code is allowed.</t>
  </si>
  <si>
    <t>Data From Code</t>
  </si>
  <si>
    <t>Layer0.dataFromCode
This creates the Snippets table, if it does not yet exist, takes all VBA modules and classes (and ...) of an excel sheet, splits the modules in chunks of less then 256 chars (making sure to split ahead of every newly starting function...), and creates entries in the Snippets table, for each of these chunks, using the package and subpackage column to indicate from which VBA module it came: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
TEMPORARY if the VBA was not a module but a class, then, split the module name by the first underscore, set the first element of the name as package, then for the second, start with ::, and then the rest of the class name, with _ replaced with :: 
Then for the Kind column, set it to _ModuleSnippet if it was a VBA module, and to _ClassSnippet if it was a VBA Class.
Then do this for all chunks created from the same class or module, and set their Line property to 1, 2, 3,....</t>
  </si>
  <si>
    <t>Code from Data.</t>
  </si>
  <si>
    <t>Layer0.codeFromData
Here we turn it around. The idea is, that for ANY Excel sheet with macro (.xlsm), you can apply Layer0.dataFromCode, and it moves all VBA into the Snippet column of Snippet entries of kind _ModuleSnippet or _ClassSnippet, in chunks smaller 256, numbered by Line.
Then you store the sheet as Excel WITHOUT macro (.xlsx), including this new Snippetstable, and send it into any company. Then inside the company you store it as .xlsm. Then you manually use the Snippets for codeToData and dataToCode to create module "util_layer0_snippets" manually, and then you  trigger Layer0.codeFromData, and it recreates exactly the same VBA Code as before.
Thus what is the specification of Layer0.codeFromData?
1 It looks for a table called Snippets, or if it does not find one, a table including the word Snippets in its name.
2 It sorts this table by columns Package, Subpackage, and Line alphabetically
3 then it iterates over all the rows, and appends the content of column Snippet into a VBA module or class defined as follows:
- if the Kind:src column of the row is "_ModuleSnippet" it appends to a VBA module, if the Kind:src column of the row is "_ClassSnippet" it appends to a VBA Class.
- if package and subpackage are empty, it appends to VBA module/class named "main"
- if package is "util", and subpackage is empty, it appends to VBA module/class named "util"
- if  the package is "first", and subpackage is "::second::third", it appends to VBA module/class named "first_second_third"
- if the package is "util" and subpackage starts not with ::, but is ANYSTRING, then it appends to VBA module/class named "ANYSTRING"</t>
  </si>
  <si>
    <t>finance</t>
  </si>
  <si>
    <t>Overview</t>
  </si>
  <si>
    <t>This is the finance example, minimal, consisting of Porfolio, Position, Security, and showing two rules for calculating the value of a postion and a porfolio.</t>
  </si>
  <si>
    <t>Order</t>
  </si>
  <si>
    <t>Security</t>
  </si>
  <si>
    <t>A porfolio is a group of assets, each being a position consisting of a certain number of the same type of security. The value of a porfolio is the sum of the value of its positions.</t>
  </si>
  <si>
    <t>A position is a constituent of a porfolio, and represents a certain quantit of the same security. The value of a position is the price of the security multiplied with the quantity of security in this position.</t>
  </si>
  <si>
    <t>A security is an asset being securized, e.g. made tradable on a regulated market, where the actual asset, such as a part of a company, is clearly defined, and the ownership of that asset is hold by the holders of the full quantity of securities representing this very asset, such as all the stocks representing the total ownership of a company.</t>
  </si>
  <si>
    <t>Owner</t>
  </si>
  <si>
    <t>Value</t>
  </si>
  <si>
    <t>Amount</t>
  </si>
  <si>
    <t>Valuation</t>
  </si>
  <si>
    <t>Trading Symbol</t>
  </si>
  <si>
    <t>Price</t>
  </si>
  <si>
    <t>finance::Porfolio.owner</t>
  </si>
  <si>
    <t>finance::Porfolio.position</t>
  </si>
  <si>
    <t>finance::Porfolio.value</t>
  </si>
  <si>
    <t>finance::Position.security</t>
  </si>
  <si>
    <t>finance::Position.amount</t>
  </si>
  <si>
    <t>finance::Position.valuation</t>
  </si>
  <si>
    <t>finance::Security.tradingSymbol</t>
  </si>
  <si>
    <t>finance::Security.price</t>
  </si>
  <si>
    <t>Portfolio</t>
  </si>
  <si>
    <t>finance::Position.portfolio</t>
  </si>
  <si>
    <t>Reference - Opposite</t>
  </si>
  <si>
    <t>_ContainmentReference</t>
  </si>
  <si>
    <t>_CompositionReference</t>
  </si>
  <si>
    <t>Containment Reference</t>
  </si>
  <si>
    <t>Composition Reference</t>
  </si>
  <si>
    <t>An property whose type is a data type. The values of such a property are data values of said data type.</t>
  </si>
  <si>
    <t>An property whose type is a object type, e.g. a class. The values of such a property are  of said class.</t>
  </si>
  <si>
    <t>A reference, whose values are contained in that reference, and nowhere else, and thus form a tree, rather than a graph.</t>
  </si>
  <si>
    <t>A containment reference, where instances of its type can only be contained in this very reference. Formally this is obtained by having its type feature a reference of arity 1..1 which is opposite of this containment reference, which by this changes its behavior in composition.</t>
  </si>
  <si>
    <t>Opposite</t>
  </si>
  <si>
    <t>meta::Reference.opposite</t>
  </si>
  <si>
    <t>This links two features to be opposite of each other. The types of the opposite features mucht match.</t>
  </si>
  <si>
    <t>finance::Portfolio</t>
  </si>
  <si>
    <t>finance::Position</t>
  </si>
  <si>
    <t>finance::Security</t>
  </si>
  <si>
    <t>Positions</t>
  </si>
  <si>
    <t>Securities</t>
  </si>
  <si>
    <t>Portfolios</t>
  </si>
  <si>
    <t>EE eE</t>
  </si>
  <si>
    <t>eE</t>
  </si>
  <si>
    <t>eE !E</t>
  </si>
  <si>
    <t>USA Foundation</t>
  </si>
  <si>
    <t>USA !</t>
  </si>
  <si>
    <t>U !</t>
  </si>
  <si>
    <t>E !</t>
  </si>
  <si>
    <t>E !E</t>
  </si>
  <si>
    <t>EE !E</t>
  </si>
  <si>
    <t>U!</t>
  </si>
  <si>
    <t>e!</t>
  </si>
  <si>
    <t>a a a a</t>
  </si>
  <si>
    <t>eE eE
e!e!eE !E</t>
  </si>
  <si>
    <t>o first
o second</t>
  </si>
  <si>
    <t>asdasf sdf ddk dkdkd</t>
  </si>
  <si>
    <t>hello
 A</t>
  </si>
  <si>
    <t>o var1 = "Ali Baba"
o var2 = 13
o var3 = True</t>
  </si>
  <si>
    <t>a) asd
b) asdf
c) asdfg</t>
  </si>
  <si>
    <t>i first
ii second
iii third</t>
  </si>
  <si>
    <t>USD EUR Exchange</t>
  </si>
  <si>
    <t>USD_EUR Exchange</t>
  </si>
  <si>
    <t>USD_EURExchange</t>
  </si>
  <si>
    <t>e!e!eE !E</t>
  </si>
  <si>
    <t>?</t>
  </si>
  <si>
    <t>question ?</t>
  </si>
  <si>
    <t>question? Answer</t>
  </si>
  <si>
    <t>question ? Answer</t>
  </si>
  <si>
    <t>A) first
B) second</t>
  </si>
  <si>
    <t>i) hello
ii) my friend</t>
  </si>
  <si>
    <t>_PorfoliosRowTemplate</t>
  </si>
  <si>
    <t>aa</t>
  </si>
  <si>
    <t>_PositionsRowTemplate</t>
  </si>
  <si>
    <t>_SecuritiesRowTemplate</t>
  </si>
  <si>
    <t>Excel Name</t>
  </si>
  <si>
    <t>meta::ExcelTable.excelName</t>
  </si>
  <si>
    <t>A rule defines for an object one part of the read write behaviour of one feature of the object. The parts are sequentially given as single rule objects, the sequence if defined in the Line property of the rule. Possile part types are chain, operator, e.t.c., see the rule part type definition.
Rules are defined for a class and for a feature of this class or for one of it's direct and indirect generalizations. For some concrete object and feature, the rules of the most specialized class for this feature is applied. If the feature is a function signature, the signature with the most specialized parameter types, matching the actual arguments will be selected to determine the right rule. If a rule is given for this most specific signature for several matching types, the one defined for the most specific class matching the object is selected.</t>
  </si>
  <si>
    <t>Update - Name</t>
  </si>
  <si>
    <t>A package is used in modeling to group classifiers, in our approach we use packages to group any object. 
Any reference from object to object via a readable name will be displayed by default by that name only, if the refering and the refered objects have the same package (which can be both having no package), otherwise a so called qualified version will be used, where the package name is prefixed to that readable name separated with ::
Subpackaging can be introduced by simply calculating the package name itself from refering to super packages, and building a name with sections typically separated by further :: The subpackage starts with :: if we want to combine it with the package name, and it starts without :: if the subpackage is used to denote some direct, physical name of a package/module/class in the underlying platform
If a reference is defined, then the currently chosen referenced objects, as well as the choosable ones are displayed with the display rule of the refered type, or the display rule for that reference, and if packages are used, their name for the referenced object is the default group/order rule, if no separate order/group rule is given. Packages are kind of a built in grouping/ordering of any object, that can then be overwritten with a grouping/order rule.</t>
  </si>
  <si>
    <t>This is an example class, in a an example package, to explain all, from tab to table, to new column, to entry in Tables and Columns tables, to entry in this tables, e.g. this row, to entry in Property, Function, and Parameters, e.g. Typed Elements.</t>
  </si>
  <si>
    <t>uuuid234234234</t>
  </si>
  <si>
    <t>uuuid234234235</t>
  </si>
  <si>
    <t>uuuid234234236</t>
  </si>
  <si>
    <t>uuuid234234237</t>
  </si>
  <si>
    <t>The properties are owned by a class, and every instance of that class can have values for these properties. Thus a property is an element of an object type (e.g. class), being part of the structure made by attributes, whose values are data values, and references, whose values consist of references to other objects. 
The value of a property (see property value) is stored in the object, in a so called slot (also called the internal value, and referenced to as "src"), or defined by a rule. Rules come as derivations, or fixed values. Special fixed value are "not applicable" to tell that the actual object does not have such a property, and "not delivered" if this value was missing on creation of the object.
If a property is marked "only rule", then its value is not stored, but just calculated by a rule, otherwise, the value can be stored, and in addition a rule defines the actual value, that may take into consideration the actually stored value.</t>
  </si>
  <si>
    <t>My XYZ Column</t>
  </si>
  <si>
    <t>MyYYZObject</t>
  </si>
  <si>
    <t>myxyzpackage</t>
  </si>
  <si>
    <t>My XYZ Object</t>
  </si>
  <si>
    <t>myxyzpackage::MyXYZ_Object</t>
  </si>
  <si>
    <t>Excel Table - Explicit Sheet Name</t>
  </si>
  <si>
    <t>My XYZ Property</t>
  </si>
  <si>
    <t>myxyzpackage::MyXYZ_Object.myXYZ_Property</t>
  </si>
  <si>
    <t>layer0</t>
  </si>
  <si>
    <t>functions</t>
  </si>
  <si>
    <t>relationtootherlayers</t>
  </si>
  <si>
    <t>background</t>
  </si>
  <si>
    <t>In the myxyzpackage we introduce a minimal usage of our methodology. All new things are marked with "my XYZ" and we do:
- a new sheet "My XYZ Sheet", with a new table, having the columns of the Object class, plus one column "My XYZ Column"
- an entry in table Table for that new table, named "My XYZ Objects", indicating, that the objects in that new table are inteded to by of type My XYZ Object
- an entry in table Column, for the new column "My XYZ Column"
- an entry in table Classifiers, for the new class "My XYZ Object"
- an entry in the table Properties, adding a property "My XYZ Property" to the new class, as definiton for the new column.
To see the Excel table, you need to open the name manager with ctrl-f3, and to actually create a table like this, you need to select it and then home/format as table.
In Layer 3, there is functionality to create all of this for you, for a new table and new columns, and functionality to reflect full tables with columns in the Classifier/Properties, respectively to generate new tables from models in Classifiers/Columns.</t>
  </si>
  <si>
    <t>Filter1</t>
  </si>
  <si>
    <t>Filter2</t>
  </si>
  <si>
    <t>Template</t>
  </si>
  <si>
    <t>Other</t>
  </si>
  <si>
    <t>Test</t>
  </si>
  <si>
    <t>Value1</t>
  </si>
  <si>
    <t>Value2</t>
  </si>
  <si>
    <t>first</t>
  </si>
  <si>
    <t>Value2222</t>
  </si>
  <si>
    <t>nono</t>
  </si>
  <si>
    <t>Value111</t>
  </si>
  <si>
    <t>nonono</t>
  </si>
  <si>
    <t>nononono</t>
  </si>
  <si>
    <t>second</t>
  </si>
  <si>
    <t>DateYYYY_MM_DD</t>
  </si>
  <si>
    <t>My XYZ Table</t>
  </si>
  <si>
    <t>my XYZ value</t>
  </si>
  <si>
    <t>_Row</t>
  </si>
  <si>
    <t>Row</t>
  </si>
  <si>
    <t>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</si>
  <si>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 xml:space="preserve">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t>
  </si>
  <si>
    <t>tabletransfer</t>
  </si>
  <si>
    <t>Table Transfer
Basic performance optimized functionality to transfer the stored columns of one table into the equally named columns of another table.</t>
  </si>
  <si>
    <t>This package contains the VBA code which does basic performance optimized functionality to transfer the stored columns of one table into the equally named columns of another table. In order to make this work smoothly, it as well enforces basic desired properties of an Excel sheet:
o Every Row (Object) has an ID column, defining its identity.
o every Row either has a stored value, or an Excel formula, that is the same for the whole column.
The algorithms are storing transfer and fixing of these properties on a row level, in additional columns.</t>
  </si>
  <si>
    <t>This function, takes as input a table name (e.g. the name of an Excel table, as you see it with ctrl. F3), and then creates a copy of it, only copying the stored columns. TOBECONTINUED</t>
  </si>
  <si>
    <t>Copy Table</t>
  </si>
  <si>
    <t>transfertable</t>
  </si>
  <si>
    <t>Table Name</t>
  </si>
  <si>
    <t>transfertable::copyTable</t>
  </si>
  <si>
    <t>transfertable::copyTable()</t>
  </si>
  <si>
    <t>transfertable::copyTable().tableName</t>
  </si>
  <si>
    <t>Typed Model Element</t>
  </si>
  <si>
    <t>_TypedModelElement</t>
  </si>
  <si>
    <t>layer*</t>
  </si>
  <si>
    <t>Epic</t>
  </si>
  <si>
    <t>Testing of Busines to Camel to Business</t>
  </si>
  <si>
    <t>This is a special kind of rule, defining how a referenced object will be displayed, for instance in a pulldown or a cell, and if such a rule is not given for some property, then the display rule of the class of the referenced object is used, and if this is not given, if the referenced object is a literal, then the constant label of the literal is displayed, or if the object is just a named element, the name of the object is displayed.
If the display rule is used to display a name-like label for an object, that diaplay label will in addition be prefixed with the packages name and "::", if and only if the packages of the refering object and the referenced objects are not equal.</t>
  </si>
  <si>
    <t>As a veri.excel user, I want to have an easy to use means, to do references from one table to the other, in form of a column that storeds the UUID of the referenced row of the referenced tables, but as well in form of a column, that displays a name-like, easy to recognize identifier of that referenced row (remark: that name-like identifiers is declared by so called "display" rules in the Rules sheet of veri.excel, or as simple variant, just declaring a Display property of the referenced rows.) In order to allow changes of the properties used in the name of the referenced rows, without loosing that references, we shall only store the UUID, but allow changing the reference by overwriting the name-like identifier.
Therefore, as a veri.excel user, I want to add a property to a class, and declare its type to be another class (e.g. create a reference property), such that in all tables containing instances of this class two columns are added, one where I can store the ID of an object reference by this new property, and one which displays a name-like easy to read identifier of this referenced object (e.g. the identifier calculated with the display rule, or as a simple variant the identifier given by the property of the referenced class denoted as "Display property") and the behavior of the two columns is, that if I change that name-like identifier, my veri.excel sheet automatically searches for the ID of the object identified by this new name-like identifier, and stores it in the column storing the ID.
Technically, the column with the name-like identifier has a formula calculating this from the column with the UUID, and if we overwrite this formula with the name of a different to be referenced row, then VBA code registered in the Excel Tab (see as well Excel Tab Snippet) will calculate the new UUID, then overwrite the UUID storing column with this, and rewrite the same formula in this name-like identifier column. In the Columns table, both of these columns are refering to the newly introduced reference, but their "Semantic Case" is different, src for the column storing the UUID, and "display" for the one displaying the name-like identifier.
As a result, in Layer 3, we enter a reference, and generate the columns and snippet. Then Layer 2 will create from the colums the new actual columns, and layer 0 will create from the snippets the actual code. Then we go from simple adding to synchronization on all layers: so the columns are synchronized and the properties are synchronized with each other, and the columns in the Columns sheet are two-way synchronized with the actual existing columns in the sheet.</t>
  </si>
  <si>
    <t>belowred2</t>
  </si>
  <si>
    <t>Class - Display Property</t>
  </si>
  <si>
    <t>Class - Business ID Property</t>
  </si>
  <si>
    <t>Class - Business ID Property:src</t>
  </si>
  <si>
    <t>Display Property</t>
  </si>
  <si>
    <t>Business ID Property</t>
  </si>
  <si>
    <t>meta::Class.displayProperty</t>
  </si>
  <si>
    <t>meta::Class.businessIDProperty</t>
  </si>
  <si>
    <t>belowred::Table2Row.t2Name</t>
  </si>
  <si>
    <t>Display Qualified</t>
  </si>
  <si>
    <t>meta::Object.displayQualified</t>
  </si>
  <si>
    <t>_DoActionRule</t>
  </si>
  <si>
    <t>Action Rule</t>
  </si>
  <si>
    <t>do..</t>
  </si>
  <si>
    <t>This special kind of RHS Update rule defines what happends for a do.. Action option equal to the Name of this update rule, and it defines that this do.. Action option appears either:
o in case only the Class property of that rule is set, then this do action option appears in the do.. column cell for each row/object in the table having instances of that class as it´s rows
o otherwise, if as well the Feature property of that rule is set, thenthis do action option appears in the do.. cell above the column, which refers to that feature, for the table corresponding to the class of that rule.
Further, this rule has special properties called VBA Function Step X, leading to the column "Do Action Rule - VBA Function Step 1", "Do Action Rule - VBA Function Step 2", e.t.c.  in the rules table, and in these properties, the VBA functions are defined, which then are called sequentially, if this do... action option is chosen.
Since there are as well actions to be triggered for the full table, another property of Do Action Rule is Apply To Full table, and if this propert is set, then the option is shown in a do.. action cell displayed on the same row as the column actions, but left of the table.</t>
  </si>
  <si>
    <t>Do Action Rule Details</t>
  </si>
  <si>
    <t>VBA Function Step 1</t>
  </si>
  <si>
    <t>VBA Function Step 2</t>
  </si>
  <si>
    <t>VBA Function Step 3</t>
  </si>
  <si>
    <t>Hyperlink to Class of Table</t>
  </si>
  <si>
    <t>Hyperlink to Property</t>
  </si>
  <si>
    <t>Description of Class</t>
  </si>
  <si>
    <t>Description of Property</t>
  </si>
  <si>
    <t>PackageDocumentation</t>
  </si>
  <si>
    <t>layer1</t>
  </si>
  <si>
    <t>repopulateTablesAndColumsMetadata</t>
  </si>
  <si>
    <t>createAndComplementTablesAndColumns</t>
  </si>
  <si>
    <t xml:space="preserve">"repopulateTablesAndColumnsMetadata" simply makes sure, that we have a table Tables, and a table Columns, in which is reflected what tables and columns the Excel sheet has. It can be applied to any excel sheet, or one already having content and behavior managed with Classifiers, TypedElements, and Rules tables, or one having generation of behavior managed with TablePatterns and CodeTemplates.
This VBA function synchronizes an Excel sheet with the Tables and Columns tables, ensuring they reflect the current structure of the sheet. It follows these key steps:
1. Backup Existing Data: If Tables or Columns already exist, they are backed up as Tables_BackupYYYYMMDDHHMMSS.
2. Create Base Tables: If the tables do not exist, they are initialized from a Tables/Columns_TemplateVERSION to ensure formula consistency.
3. Extract Current Structure: The function generates Tables_ExtractYYYYMMDDHHMMSS and Columns_ExtractYYYYMMDDHHMMSS, capturing metadata from all tables except those containing _Backup, _Extract, _Branch, _Template, or _Nonmanaged in their names.
4. Validate Table Structure: Ensures that the Tables and Columns tables contain at least the columns found in the extracted versions.
5. Populate Extract Tables: The function iterates through each Excel table and column, mapping them into the extract tables while applying naming conventions and handling formulas carefully.
6. Merge Updates: The new extracted data is merged into the main Tables and Columns tables.
7. Remove Obsolete Rows: Any rows in Tables and Columns that do not exist in the extract tables are deleted, ensuring only current data remains.
</t>
  </si>
  <si>
    <t>"createAndComplementTablesAndColumns" takes the information in the Tables and Columns tables, and creates or complements all tables with what is written in these tables. An exception are the rows and stored columns in the tables Tables and Columns, which are only created/set by the first function of Layer 1. Again, it can be applied to any excel sheet, or one already having content and behavior managed with Classifiers, TypedElements, and Rules tables, or one having generation of behavior managed with TablePatterns and CodeTemplates.
This function takes the content of Table and Columns tables, and reflects it in the excel. It can only be used if Tables and Columns tables are existing, and it is recommended to use the first algorithm first. HOWEVER, if later we generate new columns and tables from Classfiers and Properties, we will NOT use the first algorithm first, or rather we will use it first, then generate/rename new Tables/Columns from Classifiers/Properties (including generation of Excel Formula in Excel Column - Excel Formula), and then directly apply this second algorithm!
Key steps:
1. Validate Table Existence:
Checks whether each entry in Tables has a corresponding Excel tab and table.
If the table exists but the tab does not, the tab is renamed.
If the tab exists but the table name differs, the table is renamed.
2. Create or Update Tables and Columns:
If a table does not exist on its expected tab, it is created with standard formatting.
For each column in Columns, the function:
Tries to locate the column in the table using Excel Column - Label (not Excel Column - Label Overwrite).
If the column does not exist, it inserts a new column at the correct position based on Position metadata.
If the column has an associated formula (Excel Column - Excel Formula), a backup is created if the existing column contains different formulas or values. The formula is then standardized and applied.
3. Maintain Order and Formatting:
Ensures column order and formatting are preserved while inserting new columns where necessary.
Updates Position and Stored Position metadata in Tables and Columns.
Runs the first algorithm again (repopulateTablesAndColumnsMetadata) to ensure consistency.</t>
  </si>
  <si>
    <t xml:space="preserve">Layer 1: Tables and Columns
Basic functionalities to synchronize between the actual structure of a sheet consisting of tables and their columns (as visible in the name manager, called with ctrl F3) in two specific tables called "meta_Tables" and "meta_Columns". Those two tables can be created from scratch, or the whole Excel sheet can be recreated, just from the content of these two tables. The layer takes into account the pre-existence of entries on both sides, and applies a sophisticated synchronization strategy, to integrate, and not loose information changed or added on either side. </t>
  </si>
  <si>
    <t>In this layer, we synchronize between the actually existing tables and columns in an Excel sheet, and the content of two specific tables meta_Tables and meta_Columns, which hold the meta-data of all existing tables and columns. The corresponding VBA functions are created in package Layer one, and result in their source code in VBA module Layer1 (via Snippets as introduced in Layer0. The layer is established by two functions "repopulateTablesAndColumnsMetadata" and "createAndComplementTablesAndColumns". Both functions will not destroy any existing tables, columns and formulas in it, and can be applied to any version of our veri.excel. The way how newest functonality of a veri.excel is injected in applying these two functions to a user defined sheet is simply by copying the Tables and Columns tables of our newest version of veri.excel and renaming them to Tables/Columns_ExtractYYYYMMDDHHMMSS. For such a user defined sheet, the first function must be used first, to create useful Tables and Columns tables.</t>
  </si>
  <si>
    <t>Reference - Display and Select Property</t>
  </si>
  <si>
    <t>Display and Select Property</t>
  </si>
  <si>
    <t>This is the property in the target table of the reference, that is used to both define what rows/objects are selected (empty entries are not) and how they are displayed. If this is not set, the derive property of the instances class of the table is used.</t>
  </si>
  <si>
    <t>ModuleSnippet</t>
  </si>
  <si>
    <t>ClassSnippet</t>
  </si>
  <si>
    <t>FormSnippet</t>
  </si>
  <si>
    <t>ExcelTabSnippet</t>
  </si>
  <si>
    <t>belowred_Table1Rows</t>
  </si>
  <si>
    <t>belowred_Table2Rows</t>
  </si>
  <si>
    <t>meta_Classifiers</t>
  </si>
  <si>
    <t>meta_TypedModelElements</t>
  </si>
  <si>
    <t>meta_Tables</t>
  </si>
  <si>
    <t>meta_Snippets</t>
  </si>
  <si>
    <t>meta_PackageDocumentation</t>
  </si>
  <si>
    <t>meta_Columns</t>
  </si>
  <si>
    <t>finance_Portfolios</t>
  </si>
  <si>
    <t>finance_Positions</t>
  </si>
  <si>
    <t>finance_Securities</t>
  </si>
  <si>
    <t>meta_Rules</t>
  </si>
  <si>
    <t>meta_Literals</t>
  </si>
  <si>
    <t>myxyzpackage_MyXYZ_Objects</t>
  </si>
  <si>
    <t xml:space="preserve">Private </t>
  </si>
  <si>
    <t>meta_TablePatterns</t>
  </si>
  <si>
    <t>meta_CodeTemplates</t>
  </si>
  <si>
    <t>Class1</t>
  </si>
  <si>
    <t>Class2</t>
  </si>
  <si>
    <t>::CreateForms</t>
  </si>
  <si>
    <t>::Test</t>
  </si>
  <si>
    <t>FastLookup</t>
  </si>
  <si>
    <t>UserForm_TransferMode</t>
  </si>
  <si>
    <t>UserForm_SourceTable</t>
  </si>
  <si>
    <t>UserForm_TargetTable</t>
  </si>
  <si>
    <t>UserForm_SourceInvalid</t>
  </si>
  <si>
    <t>UserForm_TargetInvalid</t>
  </si>
  <si>
    <t>::Layer1</t>
  </si>
  <si>
    <t>::Layer0</t>
  </si>
  <si>
    <t>::CamelCaseAll</t>
  </si>
  <si>
    <t>Excel Column - Explicit Excel Formula</t>
  </si>
  <si>
    <t>meta_DocumentVersions</t>
  </si>
  <si>
    <t>Document Management</t>
  </si>
  <si>
    <t>Table Patterns</t>
  </si>
  <si>
    <t>Code Templates</t>
  </si>
  <si>
    <t>meta_SimpleTestPattern</t>
  </si>
  <si>
    <t>Simple Test Pattern</t>
  </si>
  <si>
    <t>Formula:=[@[Date Tag]]&amp;"_"&amp;[@Name]&amp;"_"&amp;[@Version]&amp;".xlsm"</t>
  </si>
  <si>
    <t>Formula:=IF(TRIM([@Package])="","",TRIM(LOWER([@Package]))&amp;"::")&amp;[@Display]</t>
  </si>
  <si>
    <t>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t>
  </si>
  <si>
    <t>Formula:=IF([@[Containing Class:display]]="","",[@[Containing Class:display]]&amp;".")&amp;[@[Display without Class]]</t>
  </si>
  <si>
    <t>Formula:="[@["&amp;[@[Name or Type]]&amp;":src]]"</t>
  </si>
  <si>
    <t>Formula:=IF([@[Feature - VBA Type]]="public","Public Function "&amp;[@[Name or Type Camel Case Lower]]&amp;"("&amp;[@[Function - Parameters in VBA Header]]&amp;") As "&amp;[@[Type Derived:display]],
IF([@[Feature - VBA Type]]="method","METHOD:TODO",""))</t>
  </si>
  <si>
    <t>Formula:=TRIM(SUBSTITUTE([@Name]," ",""))</t>
  </si>
  <si>
    <t>Formula:= IFNA( IF( TRIM( [@[Parent:src]] ) = "",
        "",
    IF( LEFT([@[Parent:src]],1)="_",
        RIGHT([@[Parent:src]],LEN([@[Parent:src]])-1),
    IF( TRIM( [@Package] )
            &lt;&gt; TRIM( INDEX( [Package], MATCH( [@[Parent:src]], [ID],0 ) ) ),
        TRIM( INDEX( [Package], MATCH( [@[Parent:src]], [ID], 0 ) ) )
            &amp; "::"
            &amp; INDEX( [Display], MATCH( [@[Parent:src]], [ID], 0 ) ),
        INDEX( [Display], MATCH( [@[Parent:src]], [ID], 0 ) )
    ))), "")</t>
  </si>
  <si>
    <t>Formula:=IFNA(IF([@[Class:src]]="","util",INDEX(meta_Classifiers[Package],MATCH([@[Class:src]],meta_Classifiers[ID],0))),"")</t>
  </si>
  <si>
    <t>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t>
  </si>
  <si>
    <t>Formula:=IF(TRIM([@Feature])="","",INDEX(meta_TypedModelElements[Type Derived],MATCH([@[Feature:src]],meta_TypedModelElements[ID],0)))</t>
  </si>
  <si>
    <t>Formula:=IF([@[Class:src]]="","_Datatype","_Class")</t>
  </si>
  <si>
    <t>Formula:= IFNA( IF( TRIM( [@[Feature:src]] ) = "",
        "",
        INDEX( meta_TypedModelElements[Display without Class], MATCH( [@[Feature:src]], meta_TypedModelElements[ID], 0 ) )
 ), "")</t>
  </si>
  <si>
    <t>Formula:=IF(TRIM([@Part])="","",IF(
  TRIM([@Package])="",
          "",
          [@Package]&amp;"::")
&amp;[@Part])</t>
  </si>
  <si>
    <t>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t>
  </si>
  <si>
    <t>Formula:=[@[Class:src]]&amp;"_"&amp;[@Feature]&amp;"_"&amp;[@Kind]</t>
  </si>
  <si>
    <t>Formula:=[@[Rule Biz ID Without Line]]&amp;"_"&amp;[@Line]</t>
  </si>
  <si>
    <t>Formula:=IF([@[Line-1]]="","",INDEX([Part:src],MATCH([@[Rule Biz ID Without Line]]&amp;"_"&amp;[@[Line-1]],[Rule Biz ID],0)))</t>
  </si>
  <si>
    <t>Formula:=IF(TRIM([@Line])="","",IF([@Line]=1,"",[@Line]-1))</t>
  </si>
  <si>
    <t>Formula:=IF(TRIM([@Line])="",0,IF([@Line]=1,0,
999))</t>
  </si>
  <si>
    <t>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t>
  </si>
  <si>
    <t>Formula:=IFNA(INDEX(meta_TypedModelElements[ID],MATCH([@[Feature:src]]&amp;"."&amp;[@Base],meta_TypedModelElements[ID],0)),"")</t>
  </si>
  <si>
    <t>Formula:= IFNA( IF( TRIM( [@[Property 1:src]] ) = "",
        "",
        INDEX( meta_TypedModelElements[Display without Class], MATCH( [@[Property 1:src]], meta_TypedModelElements[ID], 0 ) )
 ), "")</t>
  </si>
  <si>
    <t>Formula:= IFNA( IF( TRIM( [@[Property 2:src]] ) = "",
        "",
        INDEX( meta_TypedModelElements[Display without Class], MATCH( [@[Property 2:src]], meta_TypedModelElements[ID], 0 ) )
 ), "")</t>
  </si>
  <si>
    <t>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t>
  </si>
  <si>
    <t>Formula:= IFNA( IF( TRIM( [@[Property 3:src]] ) = "",
        "",
        INDEX( meta_TypedModelElements[Display without Class], MATCH( [@[Property 3:src]], meta_TypedModelElements[ID], 0 ) )
 ), "")</t>
  </si>
  <si>
    <t>Formula:=+"1"</t>
  </si>
  <si>
    <t>Formula:=IF([@[Manual VBA Code]]&lt;&gt;"",[@[Manual VBA Code]],"TODO")</t>
  </si>
  <si>
    <t>Formula:=IF([@Property]&lt;&gt;"","",[@Package]&amp;"::"&amp;INDEX(meta_Classifiers[Display],MATCH([@[Owning Table Instances Class]],meta_Classifiers[ID],0))&amp;"."&amp;camelCaseLower([@[Excel Column - Label Actual]]))</t>
  </si>
  <si>
    <t>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t>
  </si>
  <si>
    <t>Formula:=OR([@[Is From Specialization 1]],[@[Is From Specialization 2]],[@[Is From Specialization 3]],[@[Is From Specialization 4]],[@[Is From Specialization 5]],[@[Is From Specialization 6]])</t>
  </si>
  <si>
    <t>Formula:=INDEX(meta_TypedModelElements[Name or Type],MATCH([@Property],meta_TypedModelElements[ID],0))</t>
  </si>
  <si>
    <t>Formula:=INDEX(meta_TypedModelElements[Property - Changeable],MATCH([@Property],meta_TypedModelElements[ID],0))</t>
  </si>
  <si>
    <t>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t>
  </si>
  <si>
    <t>Formula:=IF([@Package]="","",[@Package]&amp;"::")&amp;[@Display]</t>
  </si>
  <si>
    <t>Formula:=IF(ROW()=2,"",INDEX([Excel Formula for Column "Excel Column - Label Actual" of Table Columns], ROW()-2))</t>
  </si>
  <si>
    <t>Formula:=TRIM(SUBSTITUTE([@[Template Begin]]," ",""))</t>
  </si>
  <si>
    <t>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t>
  </si>
  <si>
    <t>Formula:=stringToBusiness([@[String Value 1]])</t>
  </si>
  <si>
    <t>Formula:=camelCaseUpper([@[String Value 1]])</t>
  </si>
  <si>
    <t>Formula:=camelCaseToBusiness([@[Test CamelCaseUpper]])</t>
  </si>
  <si>
    <t>Formula:=EXACT(camelCaseLower([@[String Value 1]]),businessToCamelCaseLower(stringToBusiness([@[String Value 1]])))</t>
  </si>
  <si>
    <t>Formula:=EXACT(camelCaseUpper([@[String Value 1]]),businessToCamelCaseUpper(stringToBusiness([@[String Value 1]])))</t>
  </si>
  <si>
    <t>Formula:=EXACT(camelCaseToBusiness(
businessToCamelCaseUpper(
stringToBusiness([@[String Value 1]]))),
stringToBusiness([@[String Value 1]]))</t>
  </si>
  <si>
    <t>Formula:=IF(
  TRIM([@Package])="",
          "",
          [@Package]&amp;"::")
&amp;[@[T2 Name]]</t>
  </si>
  <si>
    <t>Referenced Table</t>
  </si>
  <si>
    <t>::Transfer</t>
  </si>
  <si>
    <t>UserForm_BackupTable</t>
  </si>
  <si>
    <t>Referenced Table Display and Select Column</t>
  </si>
  <si>
    <t>Kind:srcLastSaved</t>
  </si>
  <si>
    <t>_Package</t>
  </si>
  <si>
    <t>RulePartType</t>
  </si>
  <si>
    <t>RuleBaseOption</t>
  </si>
  <si>
    <t>TablePattern</t>
  </si>
  <si>
    <t>UpdateRule</t>
  </si>
  <si>
    <t>UpdateMode</t>
  </si>
  <si>
    <t>Property - Using Property:srcLastSaved</t>
  </si>
  <si>
    <t>n7qwe</t>
  </si>
  <si>
    <t>n8qee</t>
  </si>
  <si>
    <t>n9qwe</t>
  </si>
  <si>
    <t>n10qew234</t>
  </si>
  <si>
    <t>Tatsächlich</t>
  </si>
  <si>
    <t>Öffentlich</t>
  </si>
  <si>
    <t>ÖFFENTLICH</t>
  </si>
  <si>
    <t>äöüéè</t>
  </si>
  <si>
    <t>The instances class is a reference to the class being the common superclass of the kind of each row object. That means, if the instances class is for instance meta::Classifier, then the rows of that table can hold instance of this class, and all subclasses, such as meta::Class, meta::DataType, and meta::Enumeration</t>
  </si>
  <si>
    <t>This property, specific to Excel Tables, denotes the name of the table as implemented as an Excel Table. The existing Excel Tables of your workbook can be seen when pressing ctrl-F3, in the so called name manager. By default, the name of the table is the plural form of the name of the instances class, and the excel table name is the camel case form of the same name.</t>
  </si>
  <si>
    <t>This property, specific to Excel tables, denotes the name of the sheet in which this class will be located. For instance the table meta::TypedModelElements is located in a sheet called "Property, Function, Parameter". By default, the sheet name is the same as the table name.</t>
  </si>
  <si>
    <t>Code</t>
  </si>
  <si>
    <t>Typed Model Elements</t>
  </si>
  <si>
    <t>My XYZ Objects</t>
  </si>
  <si>
    <t>Document Versions</t>
  </si>
  <si>
    <t>belowred::Table1Rows</t>
  </si>
  <si>
    <t>finance::Portfolios</t>
  </si>
  <si>
    <t>finance::Positions</t>
  </si>
  <si>
    <t>finance::Securities</t>
  </si>
  <si>
    <t>belowred::Table2Rows</t>
  </si>
  <si>
    <t>Formula:=INDEX(meta_Classifiers[Name],MATCH(INDEX(meta_TypedModelElements[Property - Owning Class:srcLastSaved],MATCH([@Property],meta_TypedModelElements[ID],0)),meta_Classifiers[ID],0))</t>
  </si>
  <si>
    <t>Formula:=INDEX(meta_TypedModelElements[Property - Owning Class:srcLastSaved],MATCH([@Property],meta_TypedModelElements[ID],0))</t>
  </si>
  <si>
    <t>Formula:=INDEX(meta_TypedModelElements[Kind:srcLastSaved],MATCH([@Property],meta_TypedModelElements[ID],0))</t>
  </si>
  <si>
    <t>Formula:=IF(LEFT([@ID],1)="_",RIGHT([@ID],LEN([@ID])-1),IF(TRIM([@Package])="","",TRIM(LOWER([@Package]))&amp;"::")&amp;[@Display])</t>
  </si>
  <si>
    <t>Formula:=IF([@[Name or Type]]="","",[@[Name or Type Camel Case Lower]])&amp;IF([@[Kind:srcLastSaved]]="_Function","("&amp;[@[Function - Parameters Display]]&amp;")","")</t>
  </si>
  <si>
    <t>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t>
  </si>
  <si>
    <t>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</si>
  <si>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</si>
  <si>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Formula:=IF([@[Kind:srcLastSaved]]="_Parameter","",IF(AND([@Package]="util",[@[Containing Class]]=0), "public", "method"))</t>
  </si>
  <si>
    <t>Formula:=IFNA(INDEX(meta_Classifiers[Display Qualified],MATCH([@[Super Class 6]],meta_Classifiers[ID],0))&amp;".","")</t>
  </si>
  <si>
    <t>Formula:=IFNA(INDEX(meta_Classifiers[Display Qualified],MATCH([@[Super Class 5]],meta_Classifiers[ID],0))&amp;".","")</t>
  </si>
  <si>
    <t>Formula:=IFNA(INDEX(meta_Classifiers[Display Qualified],MATCH([@[Super Class 4]],meta_Classifiers[ID],0))&amp;".","")</t>
  </si>
  <si>
    <t>Formula:=IFNA(INDEX(meta_Classifiers[Display Qualified],MATCH([@[Super Class 3]],meta_Classifiers[ID],0))&amp;".","")</t>
  </si>
  <si>
    <t>Formula:=IFNA(INDEX(meta_Classifiers[Display Qualified],MATCH([@[Super Class 2]],meta_Classifiers[ID],0))&amp;".","")</t>
  </si>
  <si>
    <t>Formula:=IFNA(INDEX(meta_Classifiers[Display Qualified],MATCH([@[Super Class 1]],meta_Classifiers[ID],0))&amp;".","")</t>
  </si>
  <si>
    <t>Formula:=INDEX(meta_Classifiers[Display Qualified],MATCH([@[Class:src]],meta_Classifiers[ID],0))&amp;"."</t>
  </si>
  <si>
    <t>Formula:=IFNA(INDEX(meta_Classifiers[Display Qualified],MATCH([@[Base Super Class 6]],meta_Classifiers[ID],0))&amp;".","")</t>
  </si>
  <si>
    <t>Formula:=IFNA(INDEX(meta_Classifiers[Display Qualified],MATCH([@[Base Super Class 5]],meta_Classifiers[ID],0))&amp;".","")</t>
  </si>
  <si>
    <t>Formula:=IFNA(INDEX(meta_Classifiers[Display Qualified],MATCH([@[Base Super Class 4]],meta_Classifiers[ID],0))&amp;".","")</t>
  </si>
  <si>
    <t>Formula:=IFNA(INDEX(meta_Classifiers[Display Qualified],MATCH([@[Base Super Class 3]],meta_Classifiers[ID],0))&amp;".","")</t>
  </si>
  <si>
    <t>Formula:=IFNA(INDEX(meta_Classifiers[Display Qualified],MATCH([@[Base Super Class 2]],meta_Classifiers[ID],0))&amp;".","")</t>
  </si>
  <si>
    <t>Formula:=IFNA(INDEX(meta_Classifiers[Display Qualified],MATCH([@[Base Super Class 1]],meta_Classifiers[ID],0))&amp;".","")</t>
  </si>
  <si>
    <t>Formula:=INDEX(meta_Classifiers[Display Qualified],MATCH([@[Base Type]],meta_Classifiers[ID],0))&amp;"."</t>
  </si>
  <si>
    <t>Formula:=IFNA(INDEX(meta_Classifiers[Display Qualified],MATCH([@[Property 1 Super Class 6]],meta_Classifiers[ID],0))&amp;".","")</t>
  </si>
  <si>
    <t>Formula:=IFNA(INDEX(meta_Classifiers[Display Qualified],MATCH([@[Property 1 Super Class 5]],meta_Classifiers[ID],0))&amp;".","")</t>
  </si>
  <si>
    <t>Formula:=IFNA(INDEX(meta_Classifiers[Display Qualified],MATCH([@[Property 1 Super Class 4]],meta_Classifiers[ID],0))&amp;".","")</t>
  </si>
  <si>
    <t>Formula:=IFNA(INDEX(meta_Classifiers[Display Qualified],MATCH([@[Property 1 Super Class 3]],meta_Classifiers[ID],0))&amp;".","")</t>
  </si>
  <si>
    <t>Formula:=IFNA(INDEX(meta_Classifiers[Display Qualified],MATCH([@[Property 1 Super Class 2]],meta_Classifiers[ID],0))&amp;".","")</t>
  </si>
  <si>
    <t>Formula:=IFNA(INDEX(meta_Classifiers[Display Qualified],MATCH([@[Property 1 Super Class 1]],meta_Classifiers[ID],0))&amp;".","")</t>
  </si>
  <si>
    <t>Formula:=IFNA(INDEX(meta_Classifiers[Display Qualified],MATCH([@[Property 1 Type]],meta_Classifiers[ID],0))&amp;".",0)</t>
  </si>
  <si>
    <t>Formula:=IFNA(INDEX(meta_Classifiers[Display Qualified],MATCH([@[Property 2 Super Class 6]],meta_Classifiers[ID],0))&amp;".","")</t>
  </si>
  <si>
    <t>Formula:=IFNA(INDEX(meta_Classifiers[Display Qualified],MATCH([@[Property 2 Super Class 5]],meta_Classifiers[ID],0))&amp;".","")</t>
  </si>
  <si>
    <t>Formula:=IFNA(INDEX(meta_Classifiers[Display Qualified],MATCH([@[Property 2 Super Class 4]],meta_Classifiers[ID],0))&amp;".","")</t>
  </si>
  <si>
    <t>Formula:=IFNA(INDEX(meta_Classifiers[Display Qualified],MATCH([@[Property 2 Super Class 3]],meta_Classifiers[ID],0))&amp;".","")</t>
  </si>
  <si>
    <t>Formula:=IFNA(INDEX(meta_Classifiers[Display Qualified],MATCH([@[Property 2 Super Class 2]],meta_Classifiers[ID],0))&amp;".","")</t>
  </si>
  <si>
    <t>Formula:=IFNA(INDEX(meta_Classifiers[Display Qualified],MATCH([@[Property 2 Super Class 1]],meta_Classifiers[ID],0))&amp;".","")</t>
  </si>
  <si>
    <t>Formula:=IFNA(INDEX(meta_Classifiers[Display Qualified],MATCH([@[Property 2 or Cast Type]],meta_Classifiers[ID],0))&amp;".",0)</t>
  </si>
  <si>
    <t>Porfolio:src</t>
  </si>
  <si>
    <t>Security:src</t>
  </si>
  <si>
    <t>Owning Table:src</t>
  </si>
  <si>
    <t>myxyzpackage::MyXYZObjects</t>
  </si>
  <si>
    <t>Referenced Table:src</t>
  </si>
  <si>
    <t>Referenced Table Display and Select Column:src</t>
  </si>
  <si>
    <t>Property:src</t>
  </si>
  <si>
    <t>Property - Owning Class:src</t>
  </si>
  <si>
    <t>Excel Column - Label from Property OLD Formula</t>
  </si>
  <si>
    <t>Excel Column - Label Subtype Prefix</t>
  </si>
  <si>
    <t>Excel Column - Name Prefix</t>
  </si>
  <si>
    <t>Referenced Table Instance Class Name</t>
  </si>
  <si>
    <t>Instances Class:src</t>
  </si>
  <si>
    <t>displayLastSaved</t>
  </si>
  <si>
    <t>Excel Column - Label from Property or Referenced Table</t>
  </si>
  <si>
    <t>Class - Generalization:src</t>
  </si>
  <si>
    <t>Class - Display Property:src</t>
  </si>
  <si>
    <t>Reference - Opposite:src</t>
  </si>
  <si>
    <t>Type:src</t>
  </si>
  <si>
    <t>Function - Owning Property:src</t>
  </si>
  <si>
    <t>Reference - Display and Select Property:src</t>
  </si>
  <si>
    <t>Parameter - Owning Function:src</t>
  </si>
  <si>
    <t>_meta::PackageDocumentation</t>
  </si>
  <si>
    <t>_meta::Snippets</t>
  </si>
  <si>
    <t>_meta::Classifiers</t>
  </si>
  <si>
    <t>_meta::TypedModelElements</t>
  </si>
  <si>
    <t>_meta::Tables</t>
  </si>
  <si>
    <t>_meta::Columns</t>
  </si>
  <si>
    <t>_meta::Rules</t>
  </si>
  <si>
    <t>_meta::Literals</t>
  </si>
  <si>
    <t>_meta::DocumentVersions</t>
  </si>
  <si>
    <t>_meta::TablePatterns</t>
  </si>
  <si>
    <t>_meta::CodeTemplates</t>
  </si>
  <si>
    <t>_meta::SimpleTestPattern</t>
  </si>
  <si>
    <t>belowred::Table1Rows_ID</t>
  </si>
  <si>
    <t>belowred::Table1Rows_Kind:src</t>
  </si>
  <si>
    <t>belowred::Table1Rows_Kind</t>
  </si>
  <si>
    <t>belowred::Table1Rows_Package</t>
  </si>
  <si>
    <t>belowred::Table1Rows_Sub Package</t>
  </si>
  <si>
    <t>belowred::Table1Rows_Table 2 Ref</t>
  </si>
  <si>
    <t>belowred::Table1Rows_String Value 1</t>
  </si>
  <si>
    <t>belowred::Table1Rows_Test stringToBusiness</t>
  </si>
  <si>
    <t>belowred::Table1Rows_Test CamelCaseUpper</t>
  </si>
  <si>
    <t>belowred::Table1Rows_CORRECTION camelCaseUpper</t>
  </si>
  <si>
    <t>belowred::Table1Rows_Test camelCaseToBusiness</t>
  </si>
  <si>
    <t>belowred::Table1Rows_CORRECTIOON camelCaseToBusiness</t>
  </si>
  <si>
    <t>belowred::Table1Rows_camelCaseLower(s)  = businessToCamelCaseLower(stringToBusiness(s))</t>
  </si>
  <si>
    <t>belowred::Table1Rows_camelCaseUpper(s)  = businessToCamelCaseUpper(stringToBusiness(s)), </t>
  </si>
  <si>
    <t xml:space="preserve">belowred::Table1Rows_camelCaseToBusiness(
businessToCamelCaseUpper(
stringToBusiness(X))) = 
stringToBusiness(X) </t>
  </si>
  <si>
    <t>belowred::Table1Rows_Table 2 Ref STORED</t>
  </si>
  <si>
    <t>belowred::Table1Rows_Test stringToBusiness STORED</t>
  </si>
  <si>
    <t>belowred::Table1Rows_Test CamelCaseUpper STORED</t>
  </si>
  <si>
    <t>belowred::Table1Rows_Test camelCaseToBusiness STORED</t>
  </si>
  <si>
    <t>belowred::Table1Rows_camelCaseLower(s)  = businessToCamelCaseLower(stringToBusiness(s)) STORED</t>
  </si>
  <si>
    <t>belowred::Table1Rows_Test FunctionToBeGenerated STORED</t>
  </si>
  <si>
    <t>belowred::Table1Rows_camelCaseUpper(s)  = businessToCamelCaseUpper(stringToBusiness(s)),  STORED</t>
  </si>
  <si>
    <t>belowred::Table1Rows_camelCaseToBusiness(
businessToCamelCaseUpper(
stringToBusiness(X))) = 
stringToBusiness(X)  STORED</t>
  </si>
  <si>
    <t>belowred::Table1Rows_Testing of Busines to Camel to Business</t>
  </si>
  <si>
    <t>belowred::Table2Rows_ID</t>
  </si>
  <si>
    <t>belowred::Table2Rows_Kind:src</t>
  </si>
  <si>
    <t>belowred::Table2Rows_Kind</t>
  </si>
  <si>
    <t>belowred::Table2Rows_Package</t>
  </si>
  <si>
    <t>belowred::Table2Rows_Sub Package</t>
  </si>
  <si>
    <t>belowred::Table2Rows_T2 Name</t>
  </si>
  <si>
    <t>belowred::Table2Rows_T2 Name:q</t>
  </si>
  <si>
    <t>belowred::Table2Rows_String Value 2</t>
  </si>
  <si>
    <t>belowred::Table2Rows_Table 1 Row</t>
  </si>
  <si>
    <t>belowred::Table2Rows_Test Number</t>
  </si>
  <si>
    <t>finance::Portfolios_ID</t>
  </si>
  <si>
    <t>finance::Portfolios_Value</t>
  </si>
  <si>
    <t>finance::Positions_ID</t>
  </si>
  <si>
    <t>finance::Positions_Amount</t>
  </si>
  <si>
    <t>finance::Positions_Valuation</t>
  </si>
  <si>
    <t>finance::Securities_ID</t>
  </si>
  <si>
    <t>finance::Securities_Trading Symbol</t>
  </si>
  <si>
    <t>finance::Securities_Price</t>
  </si>
  <si>
    <t>_meta::Classifiers_ID</t>
  </si>
  <si>
    <t>_meta::Classifiers_Order</t>
  </si>
  <si>
    <t>_meta::Classifiers_Sub Package</t>
  </si>
  <si>
    <t>_meta::Classifiers_Display Qualified</t>
  </si>
  <si>
    <t>_meta::Classifiers_Display</t>
  </si>
  <si>
    <t>_meta::Classifiers_Name</t>
  </si>
  <si>
    <t>_meta::Classifiers_Class - Abstract</t>
  </si>
  <si>
    <t>_meta::CodeTemplates_ID</t>
  </si>
  <si>
    <t>_meta::CodeTemplates_Kind:src</t>
  </si>
  <si>
    <t>_meta::CodeTemplates_Kind</t>
  </si>
  <si>
    <t>_meta::CodeTemplates_Package</t>
  </si>
  <si>
    <t>_meta::CodeTemplates_Sub Package</t>
  </si>
  <si>
    <t>_meta::CodeTemplates_Display:q</t>
  </si>
  <si>
    <t>_meta::CodeTemplates_Display</t>
  </si>
  <si>
    <t>_meta::CodeTemplates_Where Clause</t>
  </si>
  <si>
    <t>_meta::CodeTemplates_Template Begin</t>
  </si>
  <si>
    <t>_meta::CodeTemplates_Matched Patern 1:src</t>
  </si>
  <si>
    <t>_meta::CodeTemplates_Matched Pattern 1</t>
  </si>
  <si>
    <t>_meta::CodeTemplates_Matched Pattern 1 Filter Value 1</t>
  </si>
  <si>
    <t>_meta::CodeTemplates_Matched Pattern 1 Filter Value 2</t>
  </si>
  <si>
    <t>_meta::CodeTemplates_Matched Pattern 1 Template Column</t>
  </si>
  <si>
    <t>_meta::CodeTemplates_Template Middle</t>
  </si>
  <si>
    <t>_meta::CodeTemplates_Matched Pattern 2:src</t>
  </si>
  <si>
    <t>_meta::CodeTemplates_Matched Pattern2</t>
  </si>
  <si>
    <t>_meta::CodeTemplates_Matched Pattern 2 Filter Value 1</t>
  </si>
  <si>
    <t>_meta::CodeTemplates_Matched Pattern 2 Filter Value 2</t>
  </si>
  <si>
    <t>_meta::CodeTemplates_Matched Pattern 2 Template Column</t>
  </si>
  <si>
    <t>_meta::CodeTemplates_Template End</t>
  </si>
  <si>
    <t>_meta::CodeTemplates_Excel Formula - Target Property</t>
  </si>
  <si>
    <t>_meta::CodeTemplates_VBA Code - Target Module</t>
  </si>
  <si>
    <t>_meta::CodeTemplates_Definition</t>
  </si>
  <si>
    <t>_meta::Columns_ID</t>
  </si>
  <si>
    <t>_meta::Columns_Kind:src</t>
  </si>
  <si>
    <t>_meta::Columns_Kind</t>
  </si>
  <si>
    <t>_meta::Columns_Package</t>
  </si>
  <si>
    <t>_meta::Columns_Sub Package</t>
  </si>
  <si>
    <t>_meta::Columns_Owning Table Instances Class</t>
  </si>
  <si>
    <t>_meta::Columns_Owning Table</t>
  </si>
  <si>
    <t>_meta::Columns_Referenced Table</t>
  </si>
  <si>
    <t>_meta::Columns_Referenced Table Display and Select Column</t>
  </si>
  <si>
    <t>_meta::Columns_Property ID from Column Label</t>
  </si>
  <si>
    <t>_meta::Columns_Property</t>
  </si>
  <si>
    <t>_meta::Columns_Semantics Case</t>
  </si>
  <si>
    <t>_meta::Columns_Generalization 6</t>
  </si>
  <si>
    <t>_meta::Columns_Generalization 5</t>
  </si>
  <si>
    <t>_meta::Columns_Generalization 4</t>
  </si>
  <si>
    <t>_meta::Columns_Generalization 3</t>
  </si>
  <si>
    <t>_meta::Columns_Generalization 2</t>
  </si>
  <si>
    <t>_meta::Columns_Generalization 1</t>
  </si>
  <si>
    <t>_meta::Columns_Property Owning Class is Instance Class or Generalization</t>
  </si>
  <si>
    <t>_meta::Columns_Is From Specialization 6</t>
  </si>
  <si>
    <t>_meta::Columns_Is From Specialization 5</t>
  </si>
  <si>
    <t>_meta::Columns_Is From Specialization 4</t>
  </si>
  <si>
    <t>_meta::Columns_Is From Specialization 3</t>
  </si>
  <si>
    <t>_meta::Columns_Is From Specialization 2</t>
  </si>
  <si>
    <t>_meta::Columns_Is From Specialization 1</t>
  </si>
  <si>
    <t>_meta::Columns_Property Owning Class is Specialization of Instance Class</t>
  </si>
  <si>
    <t>_meta::Columns_Property Owning Class Name</t>
  </si>
  <si>
    <t>_meta::Columns_Property Owning Class</t>
  </si>
  <si>
    <t>_meta::Columns_Property Kind</t>
  </si>
  <si>
    <t>_meta::Columns_Property Name</t>
  </si>
  <si>
    <t>_meta::Columns_Property Changeable</t>
  </si>
  <si>
    <t>_meta::Columns_Position</t>
  </si>
  <si>
    <t>_meta::Columns_Stored Column Position</t>
  </si>
  <si>
    <t>_meta::Columns_Excel Column - Label Actual</t>
  </si>
  <si>
    <t>_meta::Columns_Label:backup:previous</t>
  </si>
  <si>
    <t>_meta::Columns_Display Qualified</t>
  </si>
  <si>
    <t>_meta::Columns_Excel Column - Label Overwrite</t>
  </si>
  <si>
    <t>_meta::Columns_Excel Column - Label</t>
  </si>
  <si>
    <t>_meta::Columns_Excel Column - Explicit Excel Formula</t>
  </si>
  <si>
    <t>_meta::Columns_Excel Column - Excel Formula</t>
  </si>
  <si>
    <t>_meta::DocumentVersions_ID</t>
  </si>
  <si>
    <t>_meta::DocumentVersions_Name</t>
  </si>
  <si>
    <t>_meta::DocumentVersions_Version</t>
  </si>
  <si>
    <t>_meta::DocumentVersions_Date Tag</t>
  </si>
  <si>
    <t>_meta::DocumentVersions_File Name</t>
  </si>
  <si>
    <t>_meta::DocumentVersions_Change Log</t>
  </si>
  <si>
    <t>_meta::DocumentVersions_Branch of Document</t>
  </si>
  <si>
    <t>_meta::DocumentVersions_Create Branch</t>
  </si>
  <si>
    <t>_meta::DocumentVersions_Merge Branch</t>
  </si>
  <si>
    <t>_meta::DocumentVersions_Freeze Version</t>
  </si>
  <si>
    <t>_meta::Literals_ID</t>
  </si>
  <si>
    <t>_meta::Literals_Kind</t>
  </si>
  <si>
    <t>_meta::Literals_Package</t>
  </si>
  <si>
    <t>_meta::Literals_Sub Package</t>
  </si>
  <si>
    <t>_meta::Literals_Display:q</t>
  </si>
  <si>
    <t>_meta::Literals_Display</t>
  </si>
  <si>
    <t>_meta::Literals_Name</t>
  </si>
  <si>
    <t>_meta::Literals_Parent:src</t>
  </si>
  <si>
    <t>_meta::Literals_Parent</t>
  </si>
  <si>
    <t>_meta::PackageDocumentation_ID</t>
  </si>
  <si>
    <t>_meta::PackageDocumentation_Sub Package</t>
  </si>
  <si>
    <t>_meta::PackageDocumentation_Topic Order</t>
  </si>
  <si>
    <t>_meta::PackageDocumentation_Topic</t>
  </si>
  <si>
    <t>_meta::Rules_ID</t>
  </si>
  <si>
    <t>_meta::Rules_Kind</t>
  </si>
  <si>
    <t>_meta::Rules_Package</t>
  </si>
  <si>
    <t>_meta::Rules_Sub Package</t>
  </si>
  <si>
    <t>_meta::Rules_Super Class 6:display:q.</t>
  </si>
  <si>
    <t>_meta::Rules_Super Class 6</t>
  </si>
  <si>
    <t>_meta::Rules_Super Class 5:display:q.</t>
  </si>
  <si>
    <t>_meta::Rules_Super Class 5</t>
  </si>
  <si>
    <t>_meta::Rules_Super Class 4:display:q.</t>
  </si>
  <si>
    <t>_meta::Rules_Super Class 4</t>
  </si>
  <si>
    <t>_meta::Rules_Super Class 3:display:q.</t>
  </si>
  <si>
    <t>_meta::Rules_Super Class 3</t>
  </si>
  <si>
    <t>_meta::Rules_Super Class 2:display:q.</t>
  </si>
  <si>
    <t>_meta::Rules_Super Class 2</t>
  </si>
  <si>
    <t>_meta::Rules_Super Class 1:display:q.</t>
  </si>
  <si>
    <t>_meta::Rules_Super Class 1</t>
  </si>
  <si>
    <t>_meta::Rules_Class:display:q.</t>
  </si>
  <si>
    <t>_meta::Rules_Class:src</t>
  </si>
  <si>
    <t>_meta::Rules_Class</t>
  </si>
  <si>
    <t>_meta::Rules_Feature Type</t>
  </si>
  <si>
    <t>_meta::Rules_Feature Base Type Kind</t>
  </si>
  <si>
    <t>_meta::Rules_Feature:src</t>
  </si>
  <si>
    <t>_meta::Rules_Feature</t>
  </si>
  <si>
    <t>_meta::Rules_VBA Function Step 1</t>
  </si>
  <si>
    <t>_meta::Rules_VBA Function Step 2</t>
  </si>
  <si>
    <t>_meta::Rules_VBA Function Step 3</t>
  </si>
  <si>
    <t>_meta::Rules_Do Action Rule Details</t>
  </si>
  <si>
    <t>_meta::Rules_Line</t>
  </si>
  <si>
    <t>_meta::Rules_Part:src</t>
  </si>
  <si>
    <t>_meta::Rules_Part:displayedChoice</t>
  </si>
  <si>
    <t>_meta::Rules_Part:q</t>
  </si>
  <si>
    <t>_meta::Rules_Line As Text</t>
  </si>
  <si>
    <t>_meta::Rules_Part</t>
  </si>
  <si>
    <t>_meta::Rules_Rule Code</t>
  </si>
  <si>
    <t>_meta::Rules_Rule Biz ID Without Line</t>
  </si>
  <si>
    <t>_meta::Rules_Rule Biz ID</t>
  </si>
  <si>
    <t>_meta::Rules_Part:src At Line - 1</t>
  </si>
  <si>
    <t>_meta::Rules_Line-1</t>
  </si>
  <si>
    <t>_meta::Rules_Indent</t>
  </si>
  <si>
    <t>_meta::Rules_Generation</t>
  </si>
  <si>
    <t>_meta::Rules_Operator</t>
  </si>
  <si>
    <t>_meta::Rules_Base Super Class 6:display:q.</t>
  </si>
  <si>
    <t>_meta::Rules_Base Super Class 6</t>
  </si>
  <si>
    <t>_meta::Rules_Base Super Class 5:display:q.</t>
  </si>
  <si>
    <t>_meta::Rules_Base Super Class 5</t>
  </si>
  <si>
    <t>_meta::Rules_Base Super Class 4:display:q.</t>
  </si>
  <si>
    <t>_meta::Rules_Base Super Class 4</t>
  </si>
  <si>
    <t>_meta::Rules_Base Super Class 3:display:q.</t>
  </si>
  <si>
    <t>_meta::Rules_Base Super Class 3</t>
  </si>
  <si>
    <t>_meta::Rules_Base Super Class 2:display:q.</t>
  </si>
  <si>
    <t>_meta::Rules_Base Super Class 2</t>
  </si>
  <si>
    <t>_meta::Rules_Base Super Class 1:display:q.</t>
  </si>
  <si>
    <t>_meta::Rules_Base Super Class 1</t>
  </si>
  <si>
    <t>_meta::Rules_Base Class:display:q.</t>
  </si>
  <si>
    <t>_meta::Rules_Base Type Kind</t>
  </si>
  <si>
    <t>_meta::Rules_Base Type</t>
  </si>
  <si>
    <t>_meta::Rules_Base as Parameter</t>
  </si>
  <si>
    <t>_meta::Rules_Base</t>
  </si>
  <si>
    <t>_meta::Rules_Property 1:src</t>
  </si>
  <si>
    <t>_meta::Rules_Property 1</t>
  </si>
  <si>
    <t>_meta::Rules_Property 1 Super Class 6:display:q.</t>
  </si>
  <si>
    <t>_meta::Rules_Property 1 Super Class 6</t>
  </si>
  <si>
    <t>_meta::Rules_Property 1 Super Class 5:display:q.</t>
  </si>
  <si>
    <t>_meta::Rules_Property 1 Super Class 5</t>
  </si>
  <si>
    <t>_meta::Rules_Property 1 Super Class 4:display:q.</t>
  </si>
  <si>
    <t>_meta::Rules_Property 1 Super Class 4</t>
  </si>
  <si>
    <t>_meta::Rules_Property 1 Super Class 3:display:q.</t>
  </si>
  <si>
    <t>_meta::Rules_Property 1 Super Class 3</t>
  </si>
  <si>
    <t>_meta::Rules_Property 1 Super Class 2:display:q.</t>
  </si>
  <si>
    <t>_meta::Rules_Property 1 Super Class 2</t>
  </si>
  <si>
    <t>_meta::Rules_Property 1 Super Class 1:display:q.</t>
  </si>
  <si>
    <t>_meta::Rules_Property 1 Super Class 1</t>
  </si>
  <si>
    <t>_meta::Rules_Property 1 Class:display:q.</t>
  </si>
  <si>
    <t>_meta::Rules_Property 1 Type Kind</t>
  </si>
  <si>
    <t>_meta::Rules_Property 1 Type</t>
  </si>
  <si>
    <t>_meta::Rules_Property 2:src</t>
  </si>
  <si>
    <t>_meta::Rules_Property 2</t>
  </si>
  <si>
    <t>_meta::Rules_Cast:src</t>
  </si>
  <si>
    <t>_meta::Rules_Cast</t>
  </si>
  <si>
    <t>_meta::Rules_Property 2 Super Class 6:display:q.</t>
  </si>
  <si>
    <t>_meta::Rules_Property 2 Super Class 6</t>
  </si>
  <si>
    <t>_meta::Rules_Property 2 Super Class 5:display:q.</t>
  </si>
  <si>
    <t>_meta::Rules_Property 2 Super Class 5</t>
  </si>
  <si>
    <t>_meta::Rules_Property 2 Super Class 4:display:q.</t>
  </si>
  <si>
    <t>_meta::Rules_Property 2 Super Class 4</t>
  </si>
  <si>
    <t>_meta::Rules_Property 2 Super Class 3:display:q.</t>
  </si>
  <si>
    <t>_meta::Rules_Property 2 Super Class 3</t>
  </si>
  <si>
    <t>_meta::Rules_Property 2 Super Class 2:display:q.</t>
  </si>
  <si>
    <t>_meta::Rules_Property 2 Super Class 2</t>
  </si>
  <si>
    <t>_meta::Rules_Property 2 Super Class 1:display:q.</t>
  </si>
  <si>
    <t>_meta::Rules_Property 2 Super Class 1</t>
  </si>
  <si>
    <t>_meta::Rules_Property 2 Class:display:q.</t>
  </si>
  <si>
    <t>_meta::Rules_Property 2 or Cast Type Kind</t>
  </si>
  <si>
    <t>_meta::Rules_Property 2 or Cast Type</t>
  </si>
  <si>
    <t>_meta::Rules_Property 3:src</t>
  </si>
  <si>
    <t>_meta::Rules_Property 3</t>
  </si>
  <si>
    <t>_meta::Rules_Processor</t>
  </si>
  <si>
    <t>_meta::Rules_Rule</t>
  </si>
  <si>
    <t>_meta::Rules_Manual VBA Code</t>
  </si>
  <si>
    <t>_meta::Rules_VBA Code</t>
  </si>
  <si>
    <t>_meta::Rules_Manual Excel Formula</t>
  </si>
  <si>
    <t>_meta::Rules_Excel Formula</t>
  </si>
  <si>
    <t>_meta::Rules_Constraint Is Invariant</t>
  </si>
  <si>
    <t>_meta::Rules_Update - Name</t>
  </si>
  <si>
    <t>_meta::Rules_Update LHS - Feature:src</t>
  </si>
  <si>
    <t>_meta::Rules_Update LHS - Feature</t>
  </si>
  <si>
    <t>_meta::Rules_Update LHS - Mode</t>
  </si>
  <si>
    <t>_meta::SimpleTestPattern_ID</t>
  </si>
  <si>
    <t>_meta::SimpleTestPattern_Filter1</t>
  </si>
  <si>
    <t>_meta::SimpleTestPattern_Filter2</t>
  </si>
  <si>
    <t>_meta::SimpleTestPattern_Order</t>
  </si>
  <si>
    <t>_meta::SimpleTestPattern_Template</t>
  </si>
  <si>
    <t>_meta::SimpleTestPattern_Other</t>
  </si>
  <si>
    <t>_meta::Snippets_ID</t>
  </si>
  <si>
    <t>_meta::Snippets_Sub Package</t>
  </si>
  <si>
    <t>_meta::Snippets_Snippet</t>
  </si>
  <si>
    <t>_meta::TablePatterns_ID</t>
  </si>
  <si>
    <t>_meta::TablePatterns_Kind:srcLastSaved</t>
  </si>
  <si>
    <t>_meta::TablePatterns_Kind</t>
  </si>
  <si>
    <t>_meta::TablePatterns_Package</t>
  </si>
  <si>
    <t>_meta::TablePatterns_Sub Package</t>
  </si>
  <si>
    <t>_meta::TablePatterns_Display:q</t>
  </si>
  <si>
    <t>_meta::TablePatterns_Display</t>
  </si>
  <si>
    <t>_meta::TablePatterns_Name</t>
  </si>
  <si>
    <t>_meta::TablePatterns_Source Table</t>
  </si>
  <si>
    <t>_meta::TablePatterns_Match Filter Column 1</t>
  </si>
  <si>
    <t>_meta::TablePatterns_Match Filter Column 2</t>
  </si>
  <si>
    <t>_meta::TablePatterns_Match Key Column 1</t>
  </si>
  <si>
    <t>_meta::TablePatterns_Match Key Column 2</t>
  </si>
  <si>
    <t>_meta::TablePatterns_Match Key Column 3</t>
  </si>
  <si>
    <t>_meta::TablePatterns_Match Key Column 4</t>
  </si>
  <si>
    <t>_meta::TablePatterns_Match Key Column 5</t>
  </si>
  <si>
    <t>_meta::TablePatterns_Order Column</t>
  </si>
  <si>
    <t>_meta::TablePatterns_Template Parameter Column 1</t>
  </si>
  <si>
    <t>_meta::TablePatterns_Template Parameter Column 2</t>
  </si>
  <si>
    <t>_meta::TablePatterns_Template Parameter Column 3</t>
  </si>
  <si>
    <t>_meta::TablePatterns_Definition</t>
  </si>
  <si>
    <t>_meta::Tables_ID</t>
  </si>
  <si>
    <t>_meta::TypedModelElements_Kind</t>
  </si>
  <si>
    <t>_meta::Tables_Sub Package</t>
  </si>
  <si>
    <t>_meta::Tables_Excel Table - Excel Name</t>
  </si>
  <si>
    <t>_meta::Tables_Display Qualified</t>
  </si>
  <si>
    <t>_meta::Tables_Display</t>
  </si>
  <si>
    <t>_meta::Tables_Name</t>
  </si>
  <si>
    <t>_meta::Tables_Instances Class</t>
  </si>
  <si>
    <t>_meta::Tables_Excel Table - Sheet Name</t>
  </si>
  <si>
    <t>_meta::Tables_Excel Table - Explicit Sheet Name</t>
  </si>
  <si>
    <t xml:space="preserve">_meta::Tables_ExceFormula Previous Line </t>
  </si>
  <si>
    <t>_meta::Tables_Excel Formula for Column "Excel Column - Label Actual" of Table Columns</t>
  </si>
  <si>
    <t>_meta::TypedModelElements_ID</t>
  </si>
  <si>
    <t>_meta::TypedModelElements_Order</t>
  </si>
  <si>
    <t>_meta::TypedModelElements_Sub Package</t>
  </si>
  <si>
    <t>_meta::TypedModelElements_Display</t>
  </si>
  <si>
    <t>_meta::TypedModelElements_Name or Type Camel Case Lower</t>
  </si>
  <si>
    <t>_meta::TypedModelElements_Display without Class</t>
  </si>
  <si>
    <t>_meta::TypedModelElements_Name or Type</t>
  </si>
  <si>
    <t>_meta::TypedModelElements_Name</t>
  </si>
  <si>
    <t>_meta::TypedModelElements_Type Super Type 7</t>
  </si>
  <si>
    <t>_meta::TypedModelElements_Type Super Type 6</t>
  </si>
  <si>
    <t>_meta::TypedModelElements_Type Super Type 5</t>
  </si>
  <si>
    <t>_meta::TypedModelElements_Type Super Type 4</t>
  </si>
  <si>
    <t>_meta::TypedModelElements_Type Super Type 3</t>
  </si>
  <si>
    <t>_meta::TypedModelElements_Type Super Type 2</t>
  </si>
  <si>
    <t>_meta::TypedModelElements_Type Super Type 1</t>
  </si>
  <si>
    <t>_meta::TypedModelElements_Type Derived:display</t>
  </si>
  <si>
    <t>_meta::TypedModelElements_Type Derived</t>
  </si>
  <si>
    <t>_meta::TypedModelElements_Reference - Opposite</t>
  </si>
  <si>
    <t>_meta::TypedModelElements_Reference - Display and Select Property</t>
  </si>
  <si>
    <t>_meta::TypedModelElements_Parameter - Business Key</t>
  </si>
  <si>
    <t>_meta::TypedModelElements_Parameter - Owning Function</t>
  </si>
  <si>
    <t>_meta::TypedModelElements_Property - Using Property</t>
  </si>
  <si>
    <t>_meta::TypedModelElements_Reference - Referenced Excel Table</t>
  </si>
  <si>
    <t>_meta::TypedModelElements_Reference - Refering Column in Excel</t>
  </si>
  <si>
    <t>_meta::TypedModelElements_Reference - Excel Formula for Display</t>
  </si>
  <si>
    <t>_meta::TypedModelElements_Reference - VBA for Id Change in Supertype</t>
  </si>
  <si>
    <t>_meta::TypedModelElements_Referencce - VBA for Id Change in Subtype</t>
  </si>
  <si>
    <t>_meta::TypedModelElements_Reference - Code</t>
  </si>
  <si>
    <t>_meta::TypedModelElements_Feature - VBA Type</t>
  </si>
  <si>
    <t>_meta::TypedModelElements_Feature - Manual VBA Header</t>
  </si>
  <si>
    <t>_meta::TypedModelElements_Feature - VBA Header</t>
  </si>
  <si>
    <t>_meta::TypedModelElements_Feature - VBA</t>
  </si>
  <si>
    <t>_meta::TypedModelElements_Feature - Manual VBA Body</t>
  </si>
  <si>
    <t>_meta::TypedModelElements_Feature - VBA Body</t>
  </si>
  <si>
    <t>_meta::TypedModelElements_Feature - VBA Code</t>
  </si>
  <si>
    <t>_meta::TypedModelElements_Code</t>
  </si>
  <si>
    <t>_meta::TypedModelElements_Description</t>
  </si>
  <si>
    <t>finance::Portfolios_Kind:src</t>
  </si>
  <si>
    <t>Formula:=IF([@[Kind:srcLastSaved]]="",IF([@Kind]="","",INDEX(meta_Classifiers[ID],MATCH([@Kind],meta_Classifiers[Display Qualified],0))),[@[Kind:srcLastSaved]])</t>
  </si>
  <si>
    <t>finance::Portfolios_Kind</t>
  </si>
  <si>
    <t>finance::Portfolios_Package</t>
  </si>
  <si>
    <t>finance::Portfolios_Owner</t>
  </si>
  <si>
    <t>finance::Positions_Kind:src</t>
  </si>
  <si>
    <t>finance::Positions_Kind</t>
  </si>
  <si>
    <t>finance::Positions_Package</t>
  </si>
  <si>
    <t>finance::Positions_Porfolio:src</t>
  </si>
  <si>
    <t>finance::Positions_Portfolio</t>
  </si>
  <si>
    <t>finance::Positions_Security:src</t>
  </si>
  <si>
    <t>finance::Positions_Security</t>
  </si>
  <si>
    <t>finance::Securities_Kind:src</t>
  </si>
  <si>
    <t>finance::Securities_Kind</t>
  </si>
  <si>
    <t>finance::Securities_Package</t>
  </si>
  <si>
    <t>_meta::Snippets_Kind:src</t>
  </si>
  <si>
    <t>_meta::Snippets_Kind</t>
  </si>
  <si>
    <t>_meta::Snippets_Package</t>
  </si>
  <si>
    <t>_meta::Snippets_Line</t>
  </si>
  <si>
    <t>_meta::PackageDocumentation_Kind:src</t>
  </si>
  <si>
    <t>_meta::PackageDocumentation_Kind</t>
  </si>
  <si>
    <t>_meta::PackageDocumentation_Package</t>
  </si>
  <si>
    <t>_meta::PackageDocumentation_Definition</t>
  </si>
  <si>
    <t>_meta::Tables_Kind:src</t>
  </si>
  <si>
    <t>Formula:=IF([@[Kind:srcLastSaved]]&lt;&gt;"", [@[Kind:srcLastSaved]],
   IF([@Kind]="","",
      INDEX(meta_Classifiers[ID],
         MATCH([@Kind],meta_Classifiers[Display Qualified],0))))</t>
  </si>
  <si>
    <t>_meta::Tables_Kind</t>
  </si>
  <si>
    <t>_meta::Tables_Package</t>
  </si>
  <si>
    <t>_meta::Tables_Instances Class:src</t>
  </si>
  <si>
    <t>_meta::Columns_Owning Table:src</t>
  </si>
  <si>
    <t>_meta::Columns_Referenced Table:src</t>
  </si>
  <si>
    <t>_meta::Columns_Referenced Table Display and Select Column:src</t>
  </si>
  <si>
    <t>_meta::Columns_Changeable</t>
  </si>
  <si>
    <t>Formula:=IF([@[Excel Column - Excel Formula]]="","x","")</t>
  </si>
  <si>
    <t>_meta::Columns_Excel Column - Name Prefix</t>
  </si>
  <si>
    <t>_meta::Columns_Referenced Table Instance Class Name</t>
  </si>
  <si>
    <t>Formula:=IF([@[Referenced Table:src]]="","",INDEX(meta_Tables[Instances Class],MATCH([@[Referenced Table:src]],meta_Tables[ID],0)))</t>
  </si>
  <si>
    <t>_meta::Columns_Property:src</t>
  </si>
  <si>
    <t>_meta::Columns_Excel Column - Label from Property or Referenced Table</t>
  </si>
  <si>
    <t>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t>
  </si>
  <si>
    <t>_meta::Columns_Excel Column - Label Subtype Prefix</t>
  </si>
  <si>
    <t>Formula:= IF([@[Property Owning Class is Specialization of Instance Class]],[@[Property Owning Class Name]]&amp;" - ","")</t>
  </si>
  <si>
    <t>_meta::Columns_Excel Column - Label from Property OLD Formula</t>
  </si>
  <si>
    <t>Formula:=IF(TRIM([@[Excel Column - Label Overwrite]])&lt;&gt;"",[@[Excel Column - Label Overwrite]],[@[Excel Column - Label from Property or Referenced Table]])</t>
  </si>
  <si>
    <t>Formula:=IF([@[Excel Column - Explicit Excel Formula]]="","",[@[Excel Column - Explicit Excel Formula]])</t>
  </si>
  <si>
    <t>_meta::Classifiers_Kind:src</t>
  </si>
  <si>
    <t>_meta::Classifiers_Kind</t>
  </si>
  <si>
    <t>_meta::Classifiers_Package</t>
  </si>
  <si>
    <t>Formula:=camelCaseUpper([@Name])</t>
  </si>
  <si>
    <t>_meta::Classifiers_Class - Generalization:src</t>
  </si>
  <si>
    <t>_meta::Classifiers_Class - Generalization</t>
  </si>
  <si>
    <t>_meta::Classifiers_Definition</t>
  </si>
  <si>
    <t>_meta::Classifiers_Class - Display Property:src</t>
  </si>
  <si>
    <t>Formula:=IF([@[Class - Display Property:srcLastSaved]]&lt;&gt;"", [@[Class - Display Property:srcLastSaved]],
   IF([@[Class - Display Property]]="","",
      INDEX(meta_TypedModelElements[ID],
         MATCH([@[Class - Display Property]],meta_TypedModelElements[Display Qualified],0))))</t>
  </si>
  <si>
    <t>_meta::Classifiers_Class - Display Property</t>
  </si>
  <si>
    <t>_meta::Classifiers_Class - Business ID Property:src</t>
  </si>
  <si>
    <t>Formula:=IF([@[Class - Business ID Property:srcLastSaved]]&lt;&gt;"", [@[Class - Business ID Property:srcLastSaved]],
   IF([@[Class - Business ID Property]]="","",
      INDEX(meta_TypedModelElements[ID],
         MATCH([@[Class - Business ID Property]],meta_TypedModelElements[Display Qualified],0))))</t>
  </si>
  <si>
    <t>_meta::Classifiers_Class - Business ID Property</t>
  </si>
  <si>
    <t>_meta::TypedModelElements_Kind:src</t>
  </si>
  <si>
    <t>_meta::TypedModelElements_Package</t>
  </si>
  <si>
    <t>_meta::TypedModelElements_Containing Class</t>
  </si>
  <si>
    <t>Formula:=IF([@Kind]="Function",
INDEX([Property - Owning Class:srcLastSaved],MATCH([@[Function - Owning Property:src]],[ID],0)),
IF([@Kind]="Parameter", INDEX([Containing Class],MATCH([@[Parameter - Owning Function:src]],[ID],0)),
[@[Property - Owning Class:src]]))</t>
  </si>
  <si>
    <t>_meta::TypedModelElements_Containing Class:display</t>
  </si>
  <si>
    <t>_meta::TypedModelElements_Property - Owning Class:src</t>
  </si>
  <si>
    <t>Formula:=IF([@[Property - Owning Class:srcLastSaved]]&lt;&gt;"", [@[Property - Owning Class:srcLastSaved]],
   IF([@[Property - Owning Class]]="","",
      INDEX(meta_Classifiers[ID],
         MATCH([@[Property - Owning Class]],meta_Classifiers[Display Qualified],0))))</t>
  </si>
  <si>
    <t>_meta::TypedModelElements_Property - Owning Class</t>
  </si>
  <si>
    <t>_meta::TypedModelElements_Display Qualified</t>
  </si>
  <si>
    <t>_meta::TypedModelElements_Function - Parameters Display</t>
  </si>
  <si>
    <t>_meta::TypedModelElements_Function - Parameters in VBA Header</t>
  </si>
  <si>
    <t>Formula:=camelCaseLower([@[Name or Type]])</t>
  </si>
  <si>
    <t>Formula:=IF([@[Kind:srcLastSaved]]&lt;&gt;"_Function",[@Type],INDEX([Type],MATCH([@[Function - Owning Property:src]],[ID],0)))</t>
  </si>
  <si>
    <t>Formula:=IF([@[Kind:srcLastSaved]]&lt;&gt;"_Function",[@[Type:src]],INDEX([Type:src],MATCH([@[Function - Owning Property:src]],[ID],0)))</t>
  </si>
  <si>
    <t>_meta::TypedModelElements_Type:src</t>
  </si>
  <si>
    <t>Formula:=IF([@[Type:srcLastSaved]]&lt;&gt;"", [@[Type:srcLastSaved]],
   IF([@Type]="","",
      INDEX(meta_Classifiers[ID],
         MATCH([@Type],meta_Classifiers[Display Qualified],0))))</t>
  </si>
  <si>
    <t>_meta::TypedModelElements_Type</t>
  </si>
  <si>
    <t>_meta::TypedModelElements_Feature - Arity</t>
  </si>
  <si>
    <t>_meta::TypedModelElements_Property - Changeable</t>
  </si>
  <si>
    <t>_meta::TypedModelElements_Reference - Opposite:src</t>
  </si>
  <si>
    <t>Formula:=IF([@[Reference - Opposite:srcLastSaved]]&lt;&gt;"", [@[Reference - Opposite:srcLastSaved]],
   IF([@[Reference - Opposite]]="","",
      INDEX([ID],
         MATCH([@[Reference - Opposite]],[Display Qualified],0))))</t>
  </si>
  <si>
    <t>_meta::TypedModelElements_Reference - Display and Select Property:src</t>
  </si>
  <si>
    <t>Formula:=IF([@[Reference - Display and Select Property:srcLastSaved]]&lt;&gt;"", [@[Reference - Display and Select Property:srcLastSaved]],
   IF([@[Reference - Display and Select Property]]="","",
      INDEX([ID],
         MATCH([@[Reference - Display and Select Property]],[Display Qualified],0))))</t>
  </si>
  <si>
    <t>_meta::TypedModelElements_Parameter - Position</t>
  </si>
  <si>
    <t>_meta::TypedModelElements_Function - Owning Property:src</t>
  </si>
  <si>
    <t>Formula:=IF([@[Function - Owning Property:srcLastSaved]]&lt;&gt;"", [@[Function - Owning Property:srcLastSaved]],
   IF([@[Function - Owning Property]]="","",
      INDEX([ID],
         MATCH([@[Function - Owning Property]],[Display Qualified],0))))</t>
  </si>
  <si>
    <t>_meta::TypedModelElements_Function - Owning Property</t>
  </si>
  <si>
    <t>_meta::TypedModelElements_Parameter - Owning Function:src</t>
  </si>
  <si>
    <t>Formula:=IF([@[Parameter - Owning Function:srcLastSaved]]&lt;&gt;"", [@[Parameter - Owning Function:srcLastSaved]],
   IF([@[Parameter - Owning Function]]="","",
      INDEX([ID],
         MATCH([@[Parameter - Owning Function]],[Display Qualified],0))))</t>
  </si>
  <si>
    <t>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t>
  </si>
  <si>
    <t>Formula:=IF([@[Property 1:src]]="","",INDEX(meta_TypedModelElements[Type:src],MATCH([@[Property 1:src]],meta_TypedModelElements[ID],0)))</t>
  </si>
  <si>
    <t>Formula:=IF([@[Cast:src]]&lt;&gt;"",[@[Cast:src]],IF([@[Property 2:src]]="","",INDEX(meta_TypedModelElements[Type:src],MATCH([@[Property 2:src]],meta_TypedModelElements[ID],0))))</t>
  </si>
  <si>
    <t>Formula:=IF([@[Owning Table:src]]="","",INDEX(meta_Classifiers[Package],MATCH([@[Owning Table Instances Class]],meta_Classifiers[ID],0)))</t>
  </si>
  <si>
    <t>Formula:=INDEX(meta_Tables[Excel Table - Excel Name],MATCH([@[Owning Table:src]],meta_Tables[ID],0))</t>
  </si>
  <si>
    <t>Formula:=INDEX(meta_Tables[Instances Class:src],MATCH([@[Owning Table:src]],meta_Tables[ID],0))</t>
  </si>
  <si>
    <t>Type Name</t>
  </si>
  <si>
    <t>Formula:= IF([@[Kind:src]]="_Parameter",
  INDEX([Display Qualified],MATCH([@[Parameter - Owning Function:src]],[ID],0))&amp;"."&amp;[@[Display without Class]],
IF(TRIM([@Package])="","",TRIM(LOWER([@Package]))&amp;"::")&amp;[@Display])</t>
  </si>
  <si>
    <t>Formula:=IF([@[Kind:src]]="_Function",INDEX([Name or Type],MATCH([@[Function - Owning Property:src]],[ID],0)),IF(TRIM([@Name])="",[@[Type Name]],[@Name]))</t>
  </si>
  <si>
    <t>_meta::TypedModelElements_Type Name</t>
  </si>
  <si>
    <t>Formula:=IF([@[Type:src]]="","",INDEX(meta_Classifiers[Name],MATCH([@[Type:src]],meta_Classifiers[ID],0)))</t>
  </si>
  <si>
    <t>myxyzpackage::MyXYZ_Objects_ID</t>
  </si>
  <si>
    <t>myxyzpackage::MyXYZ_Objects_Kind:src</t>
  </si>
  <si>
    <t>myxyzpackage::MyXYZ_Objects_Kind</t>
  </si>
  <si>
    <t>myxyzpackage::MyXYZ_Objects_Package</t>
  </si>
  <si>
    <t>myxyzpackage::MyXYZ_Objects_Sub Package</t>
  </si>
  <si>
    <t>myxyzpackage::MyXYZ_Objects_Display:q</t>
  </si>
  <si>
    <t>myxyzpackage::MyXYZ_Objects_Display</t>
  </si>
  <si>
    <t>myxyzpackage::MyXYZ_Objects_My XYZ Column</t>
  </si>
  <si>
    <t>myxyzpackage::MyXYZ_Objects_Definition</t>
  </si>
  <si>
    <t>___meta_ColumnsRowTemplate</t>
  </si>
  <si>
    <t>___meta_TablesRowTemplate</t>
  </si>
  <si>
    <t>Formula:=IFERROR(LEFT([@[Excel Table - Excel Name]],FIND("_",[@[Excel Table - Excel Name]])-1),"")</t>
  </si>
  <si>
    <t>Test 1</t>
  </si>
  <si>
    <t>Test 2</t>
  </si>
  <si>
    <t>test::NewTable</t>
  </si>
  <si>
    <t>test_NewTable</t>
  </si>
  <si>
    <t>New Table</t>
  </si>
  <si>
    <t>test::NewTable_ID</t>
  </si>
  <si>
    <t>test::NewTable_Test 1</t>
  </si>
  <si>
    <t>test::NewTable_Test 2</t>
  </si>
  <si>
    <t>___test_NewTableRowTemplate</t>
  </si>
  <si>
    <t>Excel Column - Validation Formula</t>
  </si>
  <si>
    <t>ValidationFormula:=INDIRECT("meta_Classifiers[Display Qualified]")</t>
  </si>
  <si>
    <t>ValidationFormula:=INDIRECT("meta_Tables[Display Qualified]")</t>
  </si>
  <si>
    <t>ValidationFormula:=INDIRECT("meta_Columns[Display Qualified]")</t>
  </si>
  <si>
    <t>ValidationFormula:=INDIRECT("meta_TypedModelElements[Display Qualified]")</t>
  </si>
  <si>
    <t>_meta::Columns_Excel Column - Validation Formula</t>
  </si>
  <si>
    <t>ValidationFormula:=INDIRECT("belowred_Table2Rows[T2 Name:q]")</t>
  </si>
  <si>
    <t>ValidationFormula:=DynamicDropDownList</t>
  </si>
  <si>
    <t>asdfa</t>
  </si>
  <si>
    <t>asdasdf</t>
  </si>
  <si>
    <t/>
  </si>
  <si>
    <t>_Tables</t>
  </si>
  <si>
    <t>Excel Column - String Type</t>
  </si>
  <si>
    <t>Business</t>
  </si>
  <si>
    <t>Camel Upper</t>
  </si>
  <si>
    <t>Camel Lower</t>
  </si>
  <si>
    <t>Business from Camel</t>
  </si>
  <si>
    <t>Camel Upper from Business</t>
  </si>
  <si>
    <t>Camel Lower from Business</t>
  </si>
  <si>
    <t>___meta_NamesRowTemplate</t>
  </si>
  <si>
    <t>Conversion Check</t>
  </si>
  <si>
    <t>_meta::Names</t>
  </si>
  <si>
    <t>meta_Names</t>
  </si>
  <si>
    <t>Names</t>
  </si>
  <si>
    <t>Formula:= IF( TRIM( [@[Kind:src]] ) = "", "",
        INDEX( meta_Classifiers[Display Qualified], MATCH( [@[Kind:src]], meta_Classifiers[ID], 0 ) ) )</t>
  </si>
  <si>
    <t>Formula:= IF( TRIM( [@[Porfolio:src]] ) = "", "",
        INDEX( finance_Portfolios[Owner], MATCH( [@[Porfolio:src]], finance_Portfolios[ID], 0 ) ) )</t>
  </si>
  <si>
    <t>ValidationFormula:=INDIRECT("finance_Portfolios[Owner]")</t>
  </si>
  <si>
    <t>Formula:= IF( TRIM( [@[Security:src]] ) = "", "",
        INDEX( finance_Securities[Trading Symbol], MATCH( [@[Security:src]], finance_Securities[ID], 0 ) ) )</t>
  </si>
  <si>
    <t>ValidationFormula:=INDIRECT("finance_Securities[Trading Symbol]")</t>
  </si>
  <si>
    <t>Formula:= IF( TRIM( [@[Instances Class:src]] ) = "", "",
        INDEX( meta_Classifiers[Display Qualified], MATCH( [@[Instances Class:src]], meta_Classifiers[ID], 0 ) ) )</t>
  </si>
  <si>
    <t>Formula:=[@[ExceFormula Previous Line ]]&amp;
IF([@[Excel Table - Excel Name]]&lt;&gt;"","IF([@[Owning Table:src]]="&amp;CHAR(34)&amp;[@ID]&amp;CHAR(34)&amp;",INDEX("&amp;[@[Excel Table - Excel Name]]&amp;"[#Headers],[@Position]),
","")</t>
  </si>
  <si>
    <t>_meta::Columns__Tables</t>
  </si>
  <si>
    <t>Formula:=IF(TRIM([@[Owning Table:src]])="","",
    INDEX(meta_Tables[Display Qualified],MATCH([@[Owning Table:src]],meta_Tables[ID],0)))</t>
  </si>
  <si>
    <t>Formula:=IF(TRIM([@[Referenced Table:src]])="","",
    INDEX(meta_Tables[Display Qualified],MATCH([@[Referenced Table:src]],meta_Tables[ID],0)))</t>
  </si>
  <si>
    <t>Formula:= IF( TRIM( [@[Property:src]] ) = "", "",
        INDEX( meta_TypedModelElements[Display Qualified], MATCH( [@[Property:src]], meta_TypedModelElements[ID], 0 ) ) )</t>
  </si>
  <si>
    <t>Formula:=INDEX(#REF!, MATCH([@[Generalization 5]],meta_Classifiers[ID],0))</t>
  </si>
  <si>
    <t>Formula:=INDEX(#REF!, MATCH([@[Generalization 4]],meta_Classifiers[ID],0))</t>
  </si>
  <si>
    <t>Formula:=INDEX(#REF!, MATCH([@[Generalization 3]],meta_Classifiers[ID],0))</t>
  </si>
  <si>
    <t>Formula:=INDEX(#REF!, MATCH([@[Generalization 2]],meta_Classifiers[ID],0))</t>
  </si>
  <si>
    <t>Formula:=INDEX(#REF!, MATCH([@[Generalization 1]],meta_Classifiers[ID],0))</t>
  </si>
  <si>
    <t>Formula:=INDEX(#REF!, MATCH([@[Owning Table Instances Class]],meta_Classifiers[ID],0))</t>
  </si>
  <si>
    <t>Formula:=IFNA(
INDEX(#REF!,MATCH(
INDEX(#REF!,MATCH(
INDEX(#REF!,MATCH(
INDEX(#REF!,MATCH(
INDEX(#REF!,MATCH(
INDEX(#REF!,MATCH([@[Property Owning Class]],meta_Classifiers[ID],0)),meta_Classifiers[ID],0)),meta_Classifiers[ID],0)),meta_Classifiers[ID],0)),meta_Classifiers[ID],0)),meta_Classifiers[ID],0))
=[@[Owning Table Instances Class]],FALSE)</t>
  </si>
  <si>
    <t>Formula:=IFNA(
INDEX(#REF!,MATCH(
INDEX(#REF!,MATCH(
INDEX(#REF!,MATCH(
INDEX(#REF!,MATCH(
INDEX(#REF!,MATCH([@[Property Owning Class]],meta_Classifiers[ID],0)),meta_Classifiers[ID],0)),meta_Classifiers[ID],0)),meta_Classifiers[ID],0)),meta_Classifiers[ID],0))
=[@[Owning Table Instances Class]],FALSE)</t>
  </si>
  <si>
    <t>Formula:=IFNA(
INDEX(#REF!,MATCH(
INDEX(#REF!,MATCH(
INDEX(#REF!,MATCH(
INDEX(#REF!,MATCH([@[Property Owning Class]],meta_Classifiers[ID],0)),meta_Classifiers[ID],0)),meta_Classifiers[ID],0)),meta_Classifiers[ID],0))
=[@[Owning Table Instances Class]],FALSE)</t>
  </si>
  <si>
    <t>Formula:=IFNA(
INDEX(#REF!,MATCH(
INDEX(#REF!,MATCH(
INDEX(#REF!,MATCH([@[Property Owning Class]],meta_Classifiers[ID],0)),meta_Classifiers[ID],0)),meta_Classifiers[ID],0))
=[@[Owning Table Instances Class]],FALSE)</t>
  </si>
  <si>
    <t>Formula:=IFNA(
INDEX(#REF!,MATCH(
INDEX(#REF!,MATCH([@[Property Owning Class]],meta_Classifiers[ID],0)),meta_Classifiers[ID],0))
=[@[Owning Table Instances Class]],FALSE)</t>
  </si>
  <si>
    <t>Formula:=IFNA(INDEX(#REF!,MATCH([@[Property Owning Class]],meta_Classifiers[ID],0))=[@[Owning Table Instances Class]],FALSE)</t>
  </si>
  <si>
    <t>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t>
  </si>
  <si>
    <t>Formula:=[@[Owning Table]]&amp;"."&amp;[@[Excel Column - Label]]</t>
  </si>
  <si>
    <t>_meta::Columns_Excel Column - String Type</t>
  </si>
  <si>
    <t>_meta::Names_ID</t>
  </si>
  <si>
    <t>_meta::Names_String</t>
  </si>
  <si>
    <t>_meta::Names_Business</t>
  </si>
  <si>
    <t>_meta::Names_Camel Upper</t>
  </si>
  <si>
    <t>_meta::Names_Camel Lower</t>
  </si>
  <si>
    <t>_meta::Names_Business from Camel</t>
  </si>
  <si>
    <t>_meta::Names_Camel Upper from Business</t>
  </si>
  <si>
    <t>_meta::Names_Camel Lower from Business</t>
  </si>
  <si>
    <t>_meta::Names_Conversion Check</t>
  </si>
  <si>
    <t>Formula:=[@Business]=[@[Business from Camel]]</t>
  </si>
  <si>
    <t>Formula:= IF( TRIM( [@[Kind:src]] ) = "", "",
        INDEX( [Display Qualified], MATCH( [@[Kind:src]], [ID], 0 ) ) )</t>
  </si>
  <si>
    <t>Formula:= IF( TRIM( [@[Class - Generalization:src]] ) = "", "",
        INDEX( [Display Qualified], MATCH( [@[Class - Generalization:src]], [ID], 0 ) ) )</t>
  </si>
  <si>
    <t>Formula:=INDEX(#REF!,MATCH([@[Type Super Type 6]],meta_Classifiers[ID],0))</t>
  </si>
  <si>
    <t>Formula:=INDEX(#REF!,MATCH([@[Type Super Type 5]],meta_Classifiers[ID],0))</t>
  </si>
  <si>
    <t>Formula:=INDEX(#REF!,MATCH([@[Type Super Type 4]],meta_Classifiers[ID],0))</t>
  </si>
  <si>
    <t>Formula:=INDEX(#REF!,MATCH([@[Type Super Type 3]],meta_Classifiers[ID],0))</t>
  </si>
  <si>
    <t>Formula:=INDEX(#REF!,MATCH([@[Type Super Type 2]],meta_Classifiers[ID],0))</t>
  </si>
  <si>
    <t>Formula:=INDEX(#REF!,MATCH([@[Type Super Type 1]],meta_Classifiers[ID],0))</t>
  </si>
  <si>
    <t>Formula:=INDEX(#REF!,MATCH([@[Type:src]],meta_Classifiers[ID],0))</t>
  </si>
  <si>
    <t>Formula:=IFNA(INDEX(#REF!,MATCH([@[Super Class 5]],meta_Classifiers[ID],0)),0)</t>
  </si>
  <si>
    <t>Formula:=IFNA(INDEX(#REF!,MATCH([@[Super Class 4]],meta_Classifiers[ID],0)),0)</t>
  </si>
  <si>
    <t>Formula:=IFNA(INDEX(#REF!,MATCH([@[Super Class 3]],meta_Classifiers[ID],0)),0)</t>
  </si>
  <si>
    <t>Formula:=IFNA(INDEX(#REF!,MATCH([@[Super Class 2]],meta_Classifiers[ID],0)),0)</t>
  </si>
  <si>
    <t>Formula:=IFNA(INDEX(#REF!,MATCH([@[Super Class 1]],meta_Classifiers[ID],0)),0)</t>
  </si>
  <si>
    <t>Formula:=IFNA(INDEX(#REF!,MATCH([@[Class:src]],meta_Classifiers[ID],0)),0)</t>
  </si>
  <si>
    <t>Formula:=IFNA(INDEX(#REF!,MATCH([@[Base Super Class 5]],meta_Classifiers[ID],0)),0)</t>
  </si>
  <si>
    <t>Formula:=IFNA(INDEX(#REF!,MATCH([@[Base Super Class 4]],meta_Classifiers[ID],0)),0)</t>
  </si>
  <si>
    <t>Formula:=IFNA(INDEX(#REF!,MATCH([@[Base Super Class 3]],meta_Classifiers[ID],0)),0)</t>
  </si>
  <si>
    <t>Formula:=IFNA(INDEX(#REF!,MATCH([@[Base Super Class 2]],meta_Classifiers[ID],0)),0)</t>
  </si>
  <si>
    <t>Formula:=IFNA(INDEX(#REF!,MATCH([@[Base Super Class 1]],meta_Classifiers[ID],0)),0)</t>
  </si>
  <si>
    <t>Formula:=IFNA(INDEX(#REF!,MATCH([@[Base Type]],meta_Classifiers[ID],0)),0)</t>
  </si>
  <si>
    <t>Formula:=INDEX(#REF!,MATCH([@[Base Type]],meta_Classifiers[ID],0))</t>
  </si>
  <si>
    <t>Formula:=IFNA(INDEX(#REF!,MATCH([@[Property 1 Super Class 5]],meta_Classifiers[ID],0)),0)</t>
  </si>
  <si>
    <t>Formula:=IFNA(INDEX(#REF!,MATCH([@[Property 1 Super Class 4]],meta_Classifiers[ID],0)),0)</t>
  </si>
  <si>
    <t>Formula:=IFNA(INDEX(#REF!,MATCH([@[Property 1 Super Class 3]],meta_Classifiers[ID],0)),0)</t>
  </si>
  <si>
    <t>Formula:=IFNA(INDEX(#REF!,MATCH([@[Property 1 Super Class 2]],meta_Classifiers[ID],0)),0)</t>
  </si>
  <si>
    <t>Formula:=IFNA(INDEX(#REF!,MATCH([@[Property 1 Super Class 1]],meta_Classifiers[ID],0)),0)</t>
  </si>
  <si>
    <t>Formula:=IFNA(INDEX(#REF!,MATCH([@[Property 1 Type]],meta_Classifiers[ID],0)),0)</t>
  </si>
  <si>
    <t>Formula:=IF([@[Property 1 Type]]="","",INDEX(#REF!,MATCH([@[Property 1 Type]],meta_Classifiers[ID],0)))</t>
  </si>
  <si>
    <t>Formula:=IFNA(INDEX(#REF!,MATCH([@[Property 2 Super Class 5]],meta_Classifiers[ID],0)),0)</t>
  </si>
  <si>
    <t>Formula:=IFNA(INDEX(#REF!,MATCH([@[Property 2 Super Class 4]],meta_Classifiers[ID],0)),0)</t>
  </si>
  <si>
    <t>Formula:=IFNA(INDEX(#REF!,MATCH([@[Property 2 Super Class 3]],meta_Classifiers[ID],0)),0)</t>
  </si>
  <si>
    <t>Formula:=IFNA(INDEX(#REF!,MATCH([@[Property 2 Super Class 2]],meta_Classifiers[ID],0)),0)</t>
  </si>
  <si>
    <t>Formula:=IFNA(INDEX(#REF!,MATCH([@[Property 2 Super Class 1]],meta_Classifiers[ID],0)),0)</t>
  </si>
  <si>
    <t>Formula:=IFNA(INDEX(#REF!,MATCH([@[Property 2 or Cast Type]],meta_Classifiers[ID],0)),0)</t>
  </si>
  <si>
    <t>Formula:=IF([@[Property 2 or Cast Type]]="","",INDEX(#REF!,MATCH([@[Property 2 or Cast Type]],meta_Classifiers[ID],0)))</t>
  </si>
  <si>
    <t>Business =
Business from Camel</t>
  </si>
  <si>
    <t>Business =
String</t>
  </si>
  <si>
    <t>= self</t>
  </si>
  <si>
    <t>= null</t>
  </si>
  <si>
    <t>cHAIN</t>
  </si>
  <si>
    <t>aRGUMENT</t>
  </si>
  <si>
    <t>sUBCHAIN</t>
  </si>
  <si>
    <t>oPERAND</t>
  </si>
  <si>
    <t>if</t>
  </si>
  <si>
    <t>then</t>
  </si>
  <si>
    <t>eLSE</t>
  </si>
  <si>
    <t>eNDIF</t>
  </si>
  <si>
    <t>cOLLECTOR</t>
  </si>
  <si>
    <t>Self</t>
  </si>
  <si>
    <t>Super</t>
  </si>
  <si>
    <t>Trg</t>
  </si>
  <si>
    <t>Src</t>
  </si>
  <si>
    <t>Obj</t>
  </si>
  <si>
    <t>All Instances</t>
  </si>
  <si>
    <t>AllInstances</t>
  </si>
  <si>
    <t>N0_p___p__1</t>
  </si>
  <si>
    <t>n0_p___p__1</t>
  </si>
  <si>
    <t>N1_p___p__1</t>
  </si>
  <si>
    <t>n1_p___p__1</t>
  </si>
  <si>
    <t>N0_p___p___mul__</t>
  </si>
  <si>
    <t>n0_p___p___mul__</t>
  </si>
  <si>
    <t>N1_p___p___mul__</t>
  </si>
  <si>
    <t>n1_p___p___mul__</t>
  </si>
  <si>
    <t>union</t>
  </si>
  <si>
    <t>_amp__</t>
  </si>
  <si>
    <t>_st___gt__</t>
  </si>
  <si>
    <t>.Excludes(Trg)</t>
  </si>
  <si>
    <t>_p__Excludes_op__Trg_cp__</t>
  </si>
  <si>
    <t>Union Self</t>
  </si>
  <si>
    <t>UnionSelf</t>
  </si>
  <si>
    <t>unionSelf</t>
  </si>
  <si>
    <t>_EQU__Self</t>
  </si>
  <si>
    <t>Internal ID()</t>
  </si>
  <si>
    <t>InternalID_op___cp__</t>
  </si>
  <si>
    <t>internalID_op___cp__</t>
  </si>
  <si>
    <t>_EQU__Null</t>
  </si>
  <si>
    <t>_EQU___quo___u___quo__</t>
  </si>
  <si>
    <t>.Left(1)</t>
  </si>
  <si>
    <t>_p__Left_op__1_cp__</t>
  </si>
  <si>
    <t>= Self</t>
  </si>
  <si>
    <t>= Null</t>
  </si>
  <si>
    <t>= "_"</t>
  </si>
  <si>
    <t>Property Display Qualified</t>
  </si>
  <si>
    <t>Tables Row Template</t>
  </si>
  <si>
    <t>Class Display Qualified</t>
  </si>
  <si>
    <t>Reference Display Qualified</t>
  </si>
  <si>
    <t>Attribute Display Qualified</t>
  </si>
  <si>
    <t>Portfolio:src</t>
  </si>
  <si>
    <t>iD</t>
  </si>
  <si>
    <t>kind</t>
  </si>
  <si>
    <t>package</t>
  </si>
  <si>
    <t>sub Package</t>
  </si>
  <si>
    <t>subPackage</t>
  </si>
  <si>
    <t>DisplayQualified</t>
  </si>
  <si>
    <t>displayQualified</t>
  </si>
  <si>
    <t>definition</t>
  </si>
  <si>
    <t>line</t>
  </si>
  <si>
    <t>snippet</t>
  </si>
  <si>
    <t>name</t>
  </si>
  <si>
    <t>abstract</t>
  </si>
  <si>
    <t>generalization</t>
  </si>
  <si>
    <t>AllProperties</t>
  </si>
  <si>
    <t>allProperties</t>
  </si>
  <si>
    <t>This Class and All Subclasses</t>
  </si>
  <si>
    <t>ThisClassAndAllSubclasses</t>
  </si>
  <si>
    <t>thisClassAndAllSubclasses</t>
  </si>
  <si>
    <t>DirectSubtype</t>
  </si>
  <si>
    <t>directSubtype</t>
  </si>
  <si>
    <t>DisplayProperty</t>
  </si>
  <si>
    <t>displayProperty</t>
  </si>
  <si>
    <t>BusinessID_Property</t>
  </si>
  <si>
    <t>businessID_Property</t>
  </si>
  <si>
    <t>type</t>
  </si>
  <si>
    <t>ContainingClass</t>
  </si>
  <si>
    <t>containingClass</t>
  </si>
  <si>
    <t>arity</t>
  </si>
  <si>
    <t>OwningClass</t>
  </si>
  <si>
    <t>owningClass</t>
  </si>
  <si>
    <t>changeable</t>
  </si>
  <si>
    <t>opposite</t>
  </si>
  <si>
    <t>DisplayAndSelectProperty</t>
  </si>
  <si>
    <t>displayAndSelectProperty</t>
  </si>
  <si>
    <t>OwningProperty</t>
  </si>
  <si>
    <t>owningProperty</t>
  </si>
  <si>
    <t>ParametersDisplay</t>
  </si>
  <si>
    <t>parametersDisplay</t>
  </si>
  <si>
    <t>ParametersInVBA_Header</t>
  </si>
  <si>
    <t>parametersInVBA_Header</t>
  </si>
  <si>
    <t>position</t>
  </si>
  <si>
    <t>OwningFunction</t>
  </si>
  <si>
    <t>owningFunction</t>
  </si>
  <si>
    <t>ConstantLabel</t>
  </si>
  <si>
    <t>constantLabel</t>
  </si>
  <si>
    <t>InstancesClass</t>
  </si>
  <si>
    <t>instancesClass</t>
  </si>
  <si>
    <t>SheetName</t>
  </si>
  <si>
    <t>sheetName</t>
  </si>
  <si>
    <t>ExcelName</t>
  </si>
  <si>
    <t>excelName</t>
  </si>
  <si>
    <t>BranchOfTable</t>
  </si>
  <si>
    <t>branchOfTable</t>
  </si>
  <si>
    <t>CreateBranch</t>
  </si>
  <si>
    <t>createBranch</t>
  </si>
  <si>
    <t>MergeBranche</t>
  </si>
  <si>
    <t>mergeBranche</t>
  </si>
  <si>
    <t>ApplyingKind</t>
  </si>
  <si>
    <t>applyingKind</t>
  </si>
  <si>
    <t>feature</t>
  </si>
  <si>
    <t>part</t>
  </si>
  <si>
    <t>operator</t>
  </si>
  <si>
    <t>base</t>
  </si>
  <si>
    <t>Property1</t>
  </si>
  <si>
    <t>property1</t>
  </si>
  <si>
    <t>Property2</t>
  </si>
  <si>
    <t>property2</t>
  </si>
  <si>
    <t>cast</t>
  </si>
  <si>
    <t>Property3</t>
  </si>
  <si>
    <t>property3</t>
  </si>
  <si>
    <t>processor</t>
  </si>
  <si>
    <t>ManualVBA_Code</t>
  </si>
  <si>
    <t>manualVBA_Code</t>
  </si>
  <si>
    <t>ManualExcelFormula</t>
  </si>
  <si>
    <t>manualExcelFormula</t>
  </si>
  <si>
    <t>IsInvariant</t>
  </si>
  <si>
    <t>isInvariant</t>
  </si>
  <si>
    <t>LHS_Feature</t>
  </si>
  <si>
    <t>lHS_Feature</t>
  </si>
  <si>
    <t>mode</t>
  </si>
  <si>
    <t>CopyTable</t>
  </si>
  <si>
    <t>copyTable</t>
  </si>
  <si>
    <t>Display to Object</t>
  </si>
  <si>
    <t>object</t>
  </si>
  <si>
    <t>row</t>
  </si>
  <si>
    <t>packageDocumentation</t>
  </si>
  <si>
    <t>moduleSnippet</t>
  </si>
  <si>
    <t>classSnippet</t>
  </si>
  <si>
    <t>formSnippet</t>
  </si>
  <si>
    <t>excelTabSnippet</t>
  </si>
  <si>
    <t>NamedElement</t>
  </si>
  <si>
    <t>namedElement</t>
  </si>
  <si>
    <t>TypedModelElement</t>
  </si>
  <si>
    <t>typedModelElement</t>
  </si>
  <si>
    <t>classifier</t>
  </si>
  <si>
    <t>class</t>
  </si>
  <si>
    <t>datatype</t>
  </si>
  <si>
    <t>function</t>
  </si>
  <si>
    <t>parameter</t>
  </si>
  <si>
    <t>property</t>
  </si>
  <si>
    <t>attribute</t>
  </si>
  <si>
    <t>reference</t>
  </si>
  <si>
    <t>ContainmentReference</t>
  </si>
  <si>
    <t>containmentReference</t>
  </si>
  <si>
    <t>CompositionReference</t>
  </si>
  <si>
    <t>compositionReference</t>
  </si>
  <si>
    <t>PropertyValue</t>
  </si>
  <si>
    <t>propertyValue</t>
  </si>
  <si>
    <t>table</t>
  </si>
  <si>
    <t>ExcelTable</t>
  </si>
  <si>
    <t>excelTable</t>
  </si>
  <si>
    <t>column</t>
  </si>
  <si>
    <t>ExcelColumn</t>
  </si>
  <si>
    <t>excelColumn</t>
  </si>
  <si>
    <t>literal</t>
  </si>
  <si>
    <t>rulePartType</t>
  </si>
  <si>
    <t>ruleBaseOption</t>
  </si>
  <si>
    <t>updateMode</t>
  </si>
  <si>
    <t>rule</t>
  </si>
  <si>
    <t>group</t>
  </si>
  <si>
    <t>DisplayToObject</t>
  </si>
  <si>
    <t>displayToObject</t>
  </si>
  <si>
    <t>choices</t>
  </si>
  <si>
    <t>constraint</t>
  </si>
  <si>
    <t>updateRule</t>
  </si>
  <si>
    <t>UpdateLHS</t>
  </si>
  <si>
    <t>updateLHS</t>
  </si>
  <si>
    <t>UpdateLHS_Argument</t>
  </si>
  <si>
    <t>updateLHS_Argument</t>
  </si>
  <si>
    <t>UpdateRHS</t>
  </si>
  <si>
    <t>updateRHS</t>
  </si>
  <si>
    <t>ActionRule</t>
  </si>
  <si>
    <t>actionRule</t>
  </si>
  <si>
    <t>initialization</t>
  </si>
  <si>
    <t>tablePattern</t>
  </si>
  <si>
    <t>CodeTemplate</t>
  </si>
  <si>
    <t>codeTemplate</t>
  </si>
  <si>
    <t>VisualBasic</t>
  </si>
  <si>
    <t>visualBasic</t>
  </si>
  <si>
    <t>ExcelFormula</t>
  </si>
  <si>
    <t>excelFormula</t>
  </si>
  <si>
    <t>boolean</t>
  </si>
  <si>
    <t>integer</t>
  </si>
  <si>
    <t>real</t>
  </si>
  <si>
    <t>Date YYYY mm DD</t>
  </si>
  <si>
    <t>DateYYYY_MmDD</t>
  </si>
  <si>
    <t>dateYYYY_MmDD</t>
  </si>
  <si>
    <t>string</t>
  </si>
  <si>
    <t>Table1Row</t>
  </si>
  <si>
    <t>table1Row</t>
  </si>
  <si>
    <t>Table2Row</t>
  </si>
  <si>
    <t>table2Row</t>
  </si>
  <si>
    <t>portfolio</t>
  </si>
  <si>
    <t>security</t>
  </si>
  <si>
    <t>MyXYZ_Object</t>
  </si>
  <si>
    <t>myXYZ_Object</t>
  </si>
  <si>
    <t>TablesRowTemplate</t>
  </si>
  <si>
    <t>tablesRowTemplate</t>
  </si>
  <si>
    <t>classifiers</t>
  </si>
  <si>
    <t>CodeTemplates</t>
  </si>
  <si>
    <t>codeTemplates</t>
  </si>
  <si>
    <t>columns</t>
  </si>
  <si>
    <t>DocumentVersions</t>
  </si>
  <si>
    <t>documentVersions</t>
  </si>
  <si>
    <t>literals</t>
  </si>
  <si>
    <t>names</t>
  </si>
  <si>
    <t>rules</t>
  </si>
  <si>
    <t>SimpleTestPattern</t>
  </si>
  <si>
    <t>simpleTestPattern</t>
  </si>
  <si>
    <t>snippets</t>
  </si>
  <si>
    <t>TablePatterns</t>
  </si>
  <si>
    <t>tablePatterns</t>
  </si>
  <si>
    <t>tables</t>
  </si>
  <si>
    <t>TypedModelElements</t>
  </si>
  <si>
    <t>typedModelElements</t>
  </si>
  <si>
    <t>Table1Rows</t>
  </si>
  <si>
    <t>table1Rows</t>
  </si>
  <si>
    <t>Table2Rows</t>
  </si>
  <si>
    <t>table2Rows</t>
  </si>
  <si>
    <t>portfolios</t>
  </si>
  <si>
    <t>positions</t>
  </si>
  <si>
    <t>securities</t>
  </si>
  <si>
    <t>MyXYZ_Objects</t>
  </si>
  <si>
    <t>myXYZ_Objects</t>
  </si>
  <si>
    <t>NewTable</t>
  </si>
  <si>
    <t>newTable</t>
  </si>
  <si>
    <t>Function Display Qualified</t>
  </si>
  <si>
    <t>Property ID from Actual Column Label</t>
  </si>
  <si>
    <t>Excel Column - Label Actual Semantic Case</t>
  </si>
  <si>
    <t>Excel Column - Label Actual without Semantic Case</t>
  </si>
  <si>
    <t>Excel Column - Label Actual Property Name</t>
  </si>
  <si>
    <t>Excel Column - Label Actual Subtype</t>
  </si>
  <si>
    <t>Excel Formula for Column Label Actual Calculation</t>
  </si>
  <si>
    <t xml:space="preserve">Excel Formula for Column Label Actual Calculation Previous Line </t>
  </si>
  <si>
    <t>Excel Column - Label Actual
(formula calculated in meta_Tables "Excel Formula for Column Label Actual Calculation" column)</t>
  </si>
  <si>
    <t>Display Allways Qualified</t>
  </si>
  <si>
    <t>Date YYYY-MM-DD</t>
  </si>
  <si>
    <t>Date Time  YYYY MM DD hh mm ss</t>
  </si>
  <si>
    <t>Date Time  YYYY-MM-DD hh:mm:ss</t>
  </si>
  <si>
    <t xml:space="preserve">a b c d e f g </t>
  </si>
  <si>
    <t>A B C D E</t>
  </si>
  <si>
    <t>_PD0000</t>
  </si>
  <si>
    <t>_PD0001</t>
  </si>
  <si>
    <t>_PD0002</t>
  </si>
  <si>
    <t>_PD0003</t>
  </si>
  <si>
    <t>_PD0004</t>
  </si>
  <si>
    <t>_PD0005</t>
  </si>
  <si>
    <t>_PD0006</t>
  </si>
  <si>
    <t>_PD0007</t>
  </si>
  <si>
    <t>_PD0008</t>
  </si>
  <si>
    <t>_PD0009</t>
  </si>
  <si>
    <t>_PD0010</t>
  </si>
  <si>
    <t>_PD0011</t>
  </si>
  <si>
    <t>_PD0012</t>
  </si>
  <si>
    <t>_PD0013</t>
  </si>
  <si>
    <t>_PD0014</t>
  </si>
  <si>
    <t>_PD0015</t>
  </si>
  <si>
    <t>_PD0016</t>
  </si>
  <si>
    <t>_PD0017</t>
  </si>
  <si>
    <t>_PD0018</t>
  </si>
  <si>
    <t>_PD0019</t>
  </si>
  <si>
    <t>_PD0020</t>
  </si>
  <si>
    <t>_PD0021</t>
  </si>
  <si>
    <t>_PD0022</t>
  </si>
  <si>
    <t>_PD0023</t>
  </si>
  <si>
    <t>layer3</t>
  </si>
  <si>
    <t>iterations</t>
  </si>
  <si>
    <t>001: creation of classes</t>
  </si>
  <si>
    <t>002: creation of properties</t>
  </si>
  <si>
    <t>004:</t>
  </si>
  <si>
    <t>005:</t>
  </si>
  <si>
    <t>006:</t>
  </si>
  <si>
    <t>007:</t>
  </si>
  <si>
    <t>Table 2 Ref:src</t>
  </si>
  <si>
    <t>belowred::Table1Rows_Table 2 Ref:src</t>
  </si>
  <si>
    <t>_meta::Literals_Kind:src</t>
  </si>
  <si>
    <t>_meta::Rules_Kind:src</t>
  </si>
  <si>
    <t>_meta::TypedModelElements_Property - Using Property:src</t>
  </si>
  <si>
    <t>Property - Using Property:src</t>
  </si>
  <si>
    <t>ThisWorkbook</t>
  </si>
  <si>
    <t xml:space="preserve">' In ThisWorkbook_x000D_
Option Explicit_x000D_
_x000D_
Private </t>
  </si>
  <si>
    <t xml:space="preserve">Sub Workbook_Open()_x000D_
    ' Initialize the table cache once when the workbook opens_x000D_
    util_Cache.InitializeTableCache_x000D_
End Sub_x000D_
_x000D_
Private </t>
  </si>
  <si>
    <t xml:space="preserve">Sub Workbook_SheetActivate(ByVal Sh As Object)_x000D_
    ' Refresh cache if table structure changed_x000D_
    If util_Cache.NeedsCacheRefresh Then_x000D_
        util_Cache.RefreshTableCache_x000D_
    End If_x000D_
    _x000D_
End Sub_x000D_
_x000D_
Private </t>
  </si>
  <si>
    <t xml:space="preserve">Sub Workbook_SheetDeactivate(ByVal Sh As Object)_x000D_
    ' Refresh cache if table structure changed_x000D_
    If util_Cache.NeedsCacheRefresh Then_x000D_
        util_Cache.RefreshTableCache_x000D_
    End If_x000D_
    _x000D_
End Sub_x000D_
_x000D_
Private </t>
  </si>
  <si>
    <t>Sub Workbook_SheetChange(ByVal Sh As Object, ByVal Target As Range)_x000D_
    ' Check if the change might affect table structure_x000D_
    Dim tbl As ListObject_x000D_
    Dim needsRefresh As Boolean_x000D_
    _x000D_
    needsRefresh = False_x000D_
    For Each tbl In Sh.ListObjects_x000D_
        If Not Intersect(Target, tbl.Range) Is Nothing Then_x000D_
            needsRefresh = True ' Change within a table_x000D_
            Exit For_x000D_
        End If_x000D_
    Next tbl_x000D_
    _x000D_
    ' Also check if table count changed (e.g., new table added)_x000D_
    If util_Cache.NeedsCacheRefresh Then_x000D_
        needsRefresh = True_x000D_
    End If_x000D_
    _x000D_
    If needsRefresh Then_x000D_
        util_Cache.RefreshTableCache_x000D_
        Debug.Print "Table cache refreshed due to sheet change on " &amp; Sh.name_x000D_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</si>
  <si>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"meta_Classifiers" Then_x000D_
            If referingColumnName = "Kind" Then_x000D_
                referedColumnName = "Display Qualified"_x000D_
                Call updateIdOnNameChange(cellRef, referingTableName, referingColumnName, referedTableName, referedColumnName)_x000D_
            End If_x000D_
            If referingColumnName = "Class - Generalization" Then_x000D_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</si>
  <si>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"meta_Tables"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"Instances Class" Then_x000D_
                referedTableName = "meta_Classifiers"_x000D_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</si>
  <si>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"meta_Columns"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"Owning Table" Then_x000D_
                referedTableName = "meta_Tables"_x000D_
                referedColumnName = "Display Qualified"_x000D_
                Call updateIdOnNameChange(cellRef, referingTableName, referingColumnName, referedTableName, referedColumnName)_x000D_
            End If_x000D_
            If referingColumnName = "Referenced Table" Then_x000D_
                referedTableName = "meta_Tables"_x000D_
                referedColumnName = "Display Qualified"_x000D_
                Call updateIdOnNameChange(cellRef, referingTableName, referingColumnName, referedTableName, referedColumnName)_x000D_
            End If_x000D_
            If referingColumnName = "Referenced Table Display and Select Column" Then_x000D_
                referedTableName = "meta_Columns"_x000D_
                referedColumnName = "Display Qualified"_x000D_
                Call updateIdOnNameChange(cellRef, referingTableName, referingColumnName, referedTableName, referedColumnName)_x000D_
            End If_x000D_
            If referingColumnName = "Property" Then_x000D_
                referedTableName = "meta_TypedModelElements"_x000D_
                referedColumnName = "Property Display Qualified"_x000D_
                Call updateIdOnNameChange(cellRef, referingTableName, referingColumnName, referedTableName, referedColumnName)_x000D_
            End If_x000D_
        End If_x000D_
        'ENDO OF PARAMETRIZATION'_x000D_
    End If_x000D_
End Sub</t>
  </si>
  <si>
    <t xml:space="preserve">Sub Worksheet_Activate()_x000D_
    Debug.Print "Worksheet_Activate triggered"_x000D_
    ProcessReferenceColumns "Activate"_x000D_
End Sub_x000D_
_x000D_
Private </t>
  </si>
  <si>
    <t xml:space="preserve">Sub Worksheet_Deactivate()_x000D_
    Debug.Print "Worksheet_Deactivate triggered"_x000D_
    ProcessReferenceColumns "Deactivate"_x000D_
End Sub_x000D_
_x000D_
Private </t>
  </si>
  <si>
    <t xml:space="preserve">Sub ProcessReferenceColumns(ByVal eventType As String)_x000D_
    On Error Resume Next_x000D_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NEW IMPLEMENTATION:_x000D_
    ' We're eliminating the proxy columns and directly computing values_x000D_
    ' Each reference column will only have a single ":srcLastSaved" companion column_x000D_
    ' All calculations are done in code rather than relying on formula columns_x000D_
    _x000D_
    Dim tbl As ListObject_x000D_
    _x000D_
    ' Auto-detect the table_x000D_
    If Me.ListObjects.count &gt; 0 Then_x000D_
        Set tbl = Me.ListObjects(1)_x000D_
        Debug.Print "Automatically detected table: " &amp; tbl.name_x000D_
    Else_x000D_
        Debug.Print "No tables found on this sheet"_x000D_
        Exit Sub_x000D_
    End If_x000D_
    _x000D_
    If tbl Is Nothing Then_x000D_
        Debug.Print "Table not found"_x000D_
        Exit Sub_x000D_
    End If_x000D_
    _x000D_
    Debug.Print "Processing sheet: " &amp; Me.name &amp; ", table: " &amp; tbl.name &amp; " for event: " &amp; eventType_x000D_
    _x000D_
    ' Step 1: Find all columns with INDIRECT data validation as reference columns_x000D_
    ' Collection to store reference columns with INDIRECT validation_x000D_
    Dim possibleRefColumns As Collection_x000D_
    Set possibleRefColumns = New Collection_x000D_
    _x000D_
    ' Collection to store parsed INDIRECT references_x000D_
    Dim refColumnReferences As Collection_x000D_
    Set refColumnReferences = New Collection_x000D_
    _x000D_
    Dim i As Long_x000D_
    For i = 1 To tbl.ListColumns.count_x000D_
        Dim colName As String_x000D_
        colName = tbl.ListColumns(i).name_x000D_
        _x000D_
        ' Check if column has no suffix and has INDIRECT data validation_x000D_
        If InStr(colName, ":") = 0 Then_x000D_
            Dim hasIndirectDV As Boolean_x000D_
            hasIndirectDV = False_x000D_
            Dim tableName As String_x000D_
            Dim refColumnName As String_x000D_
            _x000D_
            ' Check data validation for INDIRECT_x000D_
            If Not tbl.ListColumns(i).DataBodyRange Is Nothing Then_x000D_
                Dim cell As Range_x000D_
                Set cell = tbl.ListColumns(i).DataBodyRange.Cells(1, 1)_x000D_
                If Not cell.Validation Is Nothing Then_x000D_
                    Dim formula As String_x000D_
                    _x000D_
                    On Error Resume Next_x000D_
                    formula = cell.Validation.Formula1_x000D_
                    _x000D_
                    If Err.Number &lt;&gt; 0 Then_x000D_
                        Debug.Print "Error getting validation formula: " &amp; Err.Description_x000D_
                        Err.Clear_x000D_
                        formula = ""_x000D_
                    End If_x000D_
                    _x000D_
                    On Error GoTo 0_x000D_
                    _x000D_
                    If InStr(1, formula, "INDIRECT", vbTextCompare) &gt; 0 Then_x000D_
                        hasIndirectDV = True_x000D_
                        ' Parse the INDIRECT formula_x000D_
                        Dim startPos As Long_x000D_
                        Dim endPos As Long_x000D_
                        startPos = InStr(formula, """") + 1_x000D_
                        endPos = InStrRev(formula, """") - 1_x000D_
                        If startPos &gt; 0 And endPos &gt; startPos Then_x000D_
                            Dim refString As String_x000D_
                            refString = Mid(formula, startPos, endPos - startPos + 1)_x000D_
                            ' Split into table name and column name_x000D_
                            Dim bracketStart As Long_x000D_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 Store the parsed references as a delimited string_x000D_
                refColumnReferences.Add tableName &amp; "|" &amp; refColumnName, colName_x000D_
            End If_x000D_
        End If_x000D_
    Next i_x000D_
    _x000D_
    ' Step 2: Process each reference column_x000D_
Dim refCol As ListColumn_x000D_
For Each refCol In possibleRefColumns_x000D_
    Dim refColName As String_x000D_
    refColName = refCol.name_x000D_
    Debug.Print "Processing base name: " &amp; refColName_x000D_
    _x000D_
    ' Look for matching "srcLastSaved" column anywhere in the table_x000D_
    Dim srcLastSavedCol As ListColumn_x000D_
    Set srcLastSavedCol = Nothing_x000D_
    _x000D_
    For i = 1 To tbl.ListColumns.count_x000D_
        If tbl.ListColumns(i).name = refColName &amp; ":srcLastSaved" Then_x000D_
            Set srcLastSavedCol = tbl.ListColumns(i)_x000D_
            Debug.Print "Found matching srcLastSaved column: " &amp; srcLastSavedCol.name_x000D_
            Exit For_x000D_
        End If_x000D_
    Next i_x000D_
    _x000D_
    ' Process the pair if found_x000D_
    If Not srcLastSavedCol Is Nothing Then_x000D_
        ' Get the target table and column from stored references_x000D_
        Dim refInfo As String_x000D_
        refInfo = refColumnReferences(refColName)_x000D_
        tableName = Split(refInfo, "|")(0)_x000D_
        refColumnName = Split(refInfo, "|")(1)_x000D_
        _x000D_
        Debug.Print "Valid reference pair found: srcLastSavedCol.Name=" &amp; srcLastSavedCol.name &amp; ", refCol.Name=" &amp; refCol.name_x000D_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On Error GoTo 0_x000D_
End Sub_x000D_
_x000D_
' NEW: This function directly handles activation without proxy columns_x000D_
' It replaces the functionality of the ":selectFromSrcLastSaved" column_x000D_
Private </t>
  </si>
  <si>
    <t xml:space="preserve">Sub ProcessActivationDirect(srcLastSavedCol As ListColumn, refCol As ListColumn, tableName As String, columnName As String)_x000D_
    On Error Resume Next_x000D_
    Debug.Print "Activation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Update reference column values from saved IDs_x000D_
        If Not srcLastSavedCol.DataBodyRange Is Nothing Then_x000D_
            Dim i As Long_x000D_
            Dim rowCount As Long_x000D_
            rowCount = srcLastSavedCol.DataBodyRange.Rows.count_x000D_
            Dim valuesCopied As Long_x000D_
            valuesCopied = 0_x000D_
            _x000D_
            For i = 1 To rowCount_x000D_
                Dim idValue As Variant_x000D_
                idValue = srcLastSavedCol.DataBodyRange.Cells(i, 1).Value_x000D_
                _x000D_
                ' Only process non-empty IDs_x000D_
                If Not IsEmpty(idValue) And Not IsError(idValue) Then_x000D_
                    ' Use INDEX/MATCH to find the display value_x000D_
                    ' This replaces the formula:_x000D_
                    ' =INDEX(tablename[columnname],MATCH([@[Ref to Sheet 2:srcLastSaved]],tablename[ID],0))_x000D_
                    Dim foundValue As Variant_x000D_
                    foundValue = Application.WorksheetFunction.Index(srcTbl.ListColumns(columnName).DataBodyRange, __x000D_
                        Application.WorksheetFunction.Match(idValue, srcTbl.ListColumns("ID").DataBodyRange, 0))_x000D_
                    If Not IsError(foundValue) Then_x000D_
                        refCol.DataBodyRange.Cells(i, 1).Value = foundValue_x000D_
                        valuesCopied = valuesCopied + 1_x000D_
                    Else_x000D_
                        refCol.DataBodyRange.Cells(i, 1).Value = ""_x000D_
                    End If_x000D_
                End If_x000D_
            Next i_x000D_
            _x000D_
            ' Clear srcLastSaved after activation_x000D_
            srcLastSavedCol.DataBodyRange.ClearContents_x000D_
            Debug.Print "Copied " &amp; valuesCopied &amp; " values to target column and cleared srcLastSaved"_x000D_
        End If_x000D_
    Else_x000D_
        Debug.Print "Source table " &amp; tableName &amp; " not found"_x000D_
    End If_x000D_
End Sub_x000D_
_x000D_
' NEW: This function directly handles deactivation without proxy columns_x000D_
' It replaces the functionality of the ":srcFromActual" column_x000D_
Private </t>
  </si>
  <si>
    <t xml:space="preserve">Sub ProcessDeactivationDirect(srcLastSavedCol As ListColumn, refCol As ListColumn, tableName As String, columnName As String)_x000D_
    On Error Resume Next_x000D_
    Debug.Print "Deactivation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Save IDs corresponding to reference values_x000D_
        If Not refCol.DataBodyRange Is Nothing Then_x000D_
            Dim i As Long_x000D_
            Dim rowCount As Long_x000D_
            rowCount = refCol.DataBodyRange.Rows.count_x000D_
            Dim idsSaved As Long_x000D_
            idsSaved = 0_x000D_
            _x000D_
            For i = 1 To rowCount_x000D_
                Dim refValue As Variant_x000D_
                refValue = refCol.DataBodyRange.Cells(i, 1).Value_x000D_
                _x000D_
                ' Only process non-empty reference values_x000D_
                If Not IsEmpty(refValue) And Not IsError(refValue) Then_x000D_
                    ' Use INDEX/MATCH to find the corresponding ID_x000D_
                    ' This replaces the formula:_x000D_
                    ' =IFERROR(INDEX(tablename[ID], MATCH([@[refcol]], tablename[colname], 0)), "")_x000D_
                    Dim foundID As Variant_x000D_
                    foundID = Application.WorksheetFunction.Index(srcTbl.ListColumns("ID").DataBodyRange, __x000D_
                        Application.WorksheetFunction.Match(refValue, srcTbl.ListColumns(columnName).DataBodyRange, 0))_x000D_
                    If Not IsError(foundID) Then_x000D_
                        srcLastSavedCol.DataBodyRange.Cells(i, 1).Value = foundID_x000D_
                        idsSaved = idsSaved + 1_x000D_
                    Else_x000D_
                        srcLastSavedCol.DataBodyRange.Cells(i, 1).Value = ""_x000D_
                    End If_x000D_
                End If_x000D_
            Next i_x000D_
            _x000D_
            Debug.Print "Saved " &amp; idsSaved &amp; " IDs to srcLastSaved column"_x000D_
        End If_x000D_
    Else_x000D_
        Debug.Print "Source table " &amp; tableName &amp; " not found"_x000D_
    End If_x000D_
End Sub_x000D_
_x000D_
_x000D_
</t>
  </si>
  <si>
    <t xml:space="preserve">Option Explicit_x000D_
_x000D_
' Module-level variables for table caching_x000D_
Private srcTableCache As Collection_x000D_
Private srcTableNames As Collection_x000D_
_x000D_
Private </t>
  </si>
  <si>
    <t xml:space="preserve">Sub Worksheet_Activate()_x000D_
    Debug.Print "Worksheet_Activate triggered"_x000D_
    InitializeTableCache_x000D_
    ProcessReferenceColumns "Activate"_x000D_
End Sub_x000D_
_x000D_
Private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</si>
  <si>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End Sub_x000D_
_x000D_
Private </t>
  </si>
  <si>
    <t xml:space="preserve">Sub ProcessReferenceColumns(ByVal eventType As String)_x000D_
    Dim origScreenUpdating As Boolean_x000D_
    Dim origCalculation As Long_x000D_
    Dim origEnableEvents As Boolean_x000D_
    Dim tbl As ListObject_x000D_
    Dim possibleRefColumns As Collection_x000D_
    Dim refColumnReferences As Collection_x000D_
    Dim colMap As Collection_x000D_
    Dim i As Long_x000D_
    Dim refCol As ListColumn_x000D_
    Dim srcLastSavedCol As ListColumn_x000D_
    Dim colName As String_x000D_
    Dim hasIndirectDV As Boolean_x000D_
    Dim tableName As String_x000D_
    Dim refColumnName As String_x000D_
    Dim cell As Range_x000D_
    Dim formula As String_x000D_
    Dim startPos As Long_x000D_
    Dim endPos As Long_x000D_
    Dim refString As String_x000D_
    Dim bracketStart As Long_x000D_
    Dim refColName As String_x000D_
    Dim refInfo As String_x000D_
    _x000D_
    ' Save original application states_x000D_
    origScreenUpdating = Application.ScreenUpdating_x000D_
    origCalculation = Application.Calculation_x000D_
    origEnableEvents = Application.EnableEvents_x000D_
    _x000D_
    On Error GoTo ErrorHandler_x000D_
    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Set application states_x000D_
    Application.ScreenUpdating = False_x000D_
    Application.Calculation = xlCalculationManual_x000D_
    Application.EnableEvents = False_x000D_
    Application.Cursor = xlWait_x000D_
    _x000D_
    ' Auto-detect the table_x000D_
    If Me.ListObjects.count &gt; 0 Then_x000D_
        Set tbl = Me.ListObjects(1)_x000D_
        Debug.Print "Automatically detected table: " &amp; tbl.name_x000D_
    Else_x000D_
        Debug.Print "No tables found on this sheet"_x000D_
        GoTo Cleanup_x000D_
    End If_x000D_
    _x000D_
    If tbl Is Nothing Then_x000D_
        Debug.Print "Table not found"_x000D_
        GoTo Cleanup_x000D_
    End If_x000D_
    _x000D_
    Debug.Print "Processing sheet: " &amp; Me.name &amp; ", table: " &amp; tbl.name &amp; " for event: " &amp; eventType_x000D_
    _x000D_
    ' Initialize collections_x000D_
    Set possibleRefColumns = New Collection_x000D_
    Set refColumnReferences = New Collection_x000D_
    Set colMap = New Collection_x000D_
    _x000D_
    ' Build column map for faster lookups_x000D_
    For i = 1 To tbl.ListColumns.count_x000D_
        On Error Resume Next_x000D_
        colMap.Add tbl.ListColumns(i), tbl.ListColumns(i).name_x000D_
        On Error GoTo 0_x000D_
    Next i_x000D_
    _x000D_
    ' Find reference columns with INDIRECT validation_x000D_
    For i = 1 To tbl.ListColumns.count_x000D_
        colName = tbl.ListColumns(i).name_x000D_
        _x000D_
        If InStr(colName, ":") = 0 Then_x000D_
            hasIndirectDV = False_x000D_
            tableName = ""_x000D_
            refColumnName = ""_x000D_
            _x000D_
            If Not tbl.ListColumns(i).DataBodyRange Is Nothing Then_x000D_
                Set cell = tbl.ListColumns(i).DataBodyRange.Cells(1, 1)_x000D_
                If Not cell.Validation Is Nothing Then_x000D_
                    On Error Resume Next_x000D_
                    formula = cell.Validation.Formula1_x000D_
                    If Err.Number &lt;&gt; 0 Then_x000D_
                        Debug.Print "Error getting validation formula: " &amp; Err.Description_x000D_
                        Err.Clear_x000D_
                        formula = ""_x000D_
                    End If_x000D_
                    On Error GoTo ErrorHandler_x000D_
                    _x000D_
                    If InStr(1, formula, "INDIRECT", vbTextCompare) &gt; 0 Then_x000D_
                        hasIndirectDV = True_x000D_
                        startPos = InStr(formula, """") + 1_x000D_
                        endPos = InStrRev(formula, """") - 1_x000D_
                        If startPos &gt; 0 And endPos &gt; startPos Then_x000D_
                            refString = Mid(formula, startPos, endPos - startPos + 1)_x000D_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refColumnReferences.Add tableName &amp; "|" &amp; refColumnName, colName_x000D_
            End If_x000D_
        End If_x000D_
    Next i_x000D_
    _x000D_
    ' Process each reference column_x000D_
    For Each refCol In possibleRefColumns_x000D_
        refColName = refCol.name_x000D_
        Debug.Print "Processing base name: " &amp; refColName_x000D_
        _x000D_
        Set srcLastSavedCol = Nothing_x000D_
        On Error Resume Next_x000D_
        Set srcLastSavedCol = colMap(refColName &amp; ":srcLastSaved")_x000D_
        On Error GoTo ErrorHandler_x000D_
        _x000D_
        If Not srcLastSavedCol Is Nothing Then_x000D_
            refInfo = refColumnReferences(refColName)_x000D_
            tableName = Split(refInfo, "|")(0)_x000D_
            refColumnName = Split(refInfo, "|")(1)_x000D_
            _x000D_
            Debug.Print "Valid reference pair found: srcLastSavedCol.Name=" &amp; srcLastSavedCol.name &amp; ", refCol.Name=" &amp; refCol.name_x000D_
            Application.StatusBar = "Processing " &amp; refColName &amp;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Cleanup:_x000D_
    Application.ScreenUpdating = origScreenUpdating_x000D_
    Application.Calculation = origCalculation_x000D_
    Application.EnableEvents = origEnableEvents_x000D_
    Application.Cursor = xlDefault_x000D_
    Application.StatusBar = False_x000D_
    Exit Sub_x000D_
    _x000D_
ErrorHandler:_x000D_
    Debug.Print "Error " &amp; Err.Number &amp; ": " &amp; Err.Description &amp; " in ProcessReferenceColumns"_x000D_
    Resume Cleanup_x000D_
End Sub_x000D_
_x000D_
Private </t>
  </si>
  <si>
    <t xml:space="preserve">Sub ProcessActivationDirect(srcLastSavedCol As ListColumn, refCol As ListColumn, tableName As String, columnName As String)_x000D_
    Dim rowCount As Long_x000D_
    Dim srcTbl As ListObject_x000D_
    Dim testCol As ListColumn_x000D_
    Dim idArray As Variant_x000D_
    Dim refArray As Variant_x000D_
    Dim srcIDs As Variant_x000D_
    Dim srcValues As Variant_x000D_
    Dim resultArray As Variant_x000D_
    Dim lookup As Collection_x000D_
    Dim keyArray As Collection_x000D_
    Dim i As Long_x000D_
    Dim j As Long_x000D_
    Dim valuesCopied As Long_x000D_
    Dim srcKey As Variant_x000D_
    Dim keyStr As String_x000D_
    Dim keyExists As Boolean_x000D_
    Dim testVal As Variant_x000D_
    _x000D_
    On Error GoTo ErrorHandler_x000D_
    _x000D_
    If srcLastSavedCol.DataBodyRange Is Nothing Then_x000D_
        Debug.Print "Source column has no data"_x000D_
        Exit Sub_x000D_
    End If_x000D_
    _x000D_
    rowCount = srcLastSavedCol.DataBodyRange.Rows.count_x000D_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"Processing pair - refCol: " &amp; refCol.name &amp; ", srcLastSavedCol: " &amp; srcLastSavedCol.name_x000D_
    Debug.Print "Activation for refCol: " &amp; refCol.name &amp; ", using " &amp; tableName &amp; "[" &amp; columnName &amp; "]"_x000D_
    Debug.Print "Found source table " &amp; tableName &amp; " in cache"_x000D_
    _x000D_
    idArray = srcLastSavedCol.DataBodyRange.Value_x000D_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LBound(srcIDs, 1) To UBound(srcIDs, 1)_x000D_
        srcKey = srcIDs(j,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srcValues(j, 1), keyStr_x000D_
                keyArray.Add keyStr_x000D_
                On Error GoTo ErrorHandler_x000D_
            End If_x000D_
        End If_x000D_
    Next j_x000D_
    _x000D_
    valuesCopied = 0_x000D_
    For i = 1 To rowCount_x000D_
        If Not IsEmpty(idArray(i, 1)) And Not IsError(idArray(i, 1)) Then_x000D_
            On Error Resume Next_x000D_
            resultArray(i, 1) = lookup(CStr(idArray(i, 1)))_x000D_
            If Err.Number &lt;&gt; 0 Then resultArray(i, 1) = refArray(i, 1)_x000D_
            If Err.Number = 0 Then valuesCopied = valuesCopied + 1_x000D_
            On Error GoTo ErrorHandler_x000D_
        Else_x000D_
            resultArray(i, 1) = refArray(i, 1)_x000D_
        End If_x000D_
    Next i_x000D_
    _x000D_
    refCol.DataBodyRange.Value = resultArray_x000D_
    If valuesCopied &gt; 0 Then_x000D_
        srcLastSavedCol.DataBodyRange.ClearContents_x000D_
        Debug.Print "Copied " &amp; valuesCopied &amp; " values to target column and cleared srcLastSaved"_x000D_
    Else_x000D_
        Debug.Print "Copied " &amp; valuesCopied &amp; " values to target column, srcLastSaved preserved"_x000D_
    End If_x000D_
    _x000D_
    Exit Sub_x000D_
    _x000D_
ErrorHandler:_x000D_
    Debug.Print "Error " &amp; Err.Number &amp; ": " &amp; Err.Description &amp; " in ProcessActivationDirect"_x000D_
    Exit Sub_x000D_
End Sub_x000D_
_x000D_
Private </t>
  </si>
  <si>
    <t>Sub ProcessDeactivationDirect(srcLastSavedCol As ListColumn, refCol As ListColumn, tableName As String, columnName As String)_x000D_
    Dim rowCount As Long_x000D_
    Dim srcTbl As ListObject_x000D_
    Dim testCol As ListColumn_x000D_
    Dim refArray As Variant_x000D_
    Dim srcIDs As Variant_x000D_
    Dim srcValues As Variant_x000D_
    Dim resultArray As Variant_x000D_
    Dim lookup As Collection_x000D_
    Dim keyArray As Collection_x000D_
    Dim i As Long_x000D_
    Dim j As Long_x000D_
    Dim idsSaved As Long_x000D_
    Dim srcKey As Variant_x000D_
    Dim keyStr As String_x000D_
    Dim keyExists As Boolean_x000D_
    Dim testVal As Variant_x000D_
    _x000D_
    On Error GoTo ErrorHandler_x000D_
    _x000D_
    If refCol.DataBodyRange Is Nothing Then_x000D_
        Debug.Print "Reference column has no data"_x000D_
        Exit Sub_x000D_
    End If_x000D_
    _x000D_
    rowCount = refCol.DataBodyRange.Rows.count_x000D_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"Deactivation for refCol: " &amp; refCol.name &amp; ", using " &amp; tableName &amp; "[" &amp; columnName &amp; "]"_x000D_
    Debug.Print "Found source table " &amp; tableName &amp; " in cache"_x000D_
    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LBound(srcValues, 1) To UBound(srcValues, 1)_x000D_
        srcKey = srcValues(j,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srcIDs(j, 1), keyStr_x000D_
                keyArray.Add keyStr_x000D_
                On Error GoTo ErrorHandler_x000D_
            End If_x000D_
        End If_x000D_
    Next j_x000D_
    _x000D_
    idsSaved = 0_x000D_
    For i = 1 To rowCount_x000D_
        If Not IsEmpty(refArray(i, 1)) And Not IsError(refArray(i, 1)) Then_x000D_
            On Error Resume Next_x000D_
            resultArray(i, 1) = lookup(CStr(refArray(i, 1)))_x000D_
            If Err.Number = 0 Then idsSaved = idsSaved + 1 Else resultArray(i, 1) = ""_x000D_
            On Error GoTo ErrorHandler_x000D_
        Else_x000D_
            resultArray(i, 1) = ""_x000D_
        End If_x000D_
    Next i_x000D_
    _x000D_
    srcLastSavedCol.DataBodyRange.Value = resultArray_x000D_
    Debug.Print "Saved " &amp; idsSaved &amp; " IDs to srcLastSaved column"_x000D_
    _x000D_
    Exit Sub_x000D_
    _x000D_
ErrorHandler:_x000D_
    Debug.Print "Error " &amp; Err.Number &amp; ": " &amp; Err.Description &amp; " in ProcessDeactivationDirect"_x000D_
    Exit Sub_x000D_
End Sub</t>
  </si>
  <si>
    <t xml:space="preserve">' Class1_x000D_
Option Explicit_x000D_
_x000D_
_x000D_
' </t>
  </si>
  <si>
    <t xml:space="preserve">Function implementations_x000D_
Public </t>
  </si>
  <si>
    <t xml:space="preserve">Function resultAttribute_Derive(selfId As String, src As Variant) As String_x000D_
    _x000D_
    resultAttribute_Derive = "Derived String"_x000D_
End Function_x000D_
_x000D_
Public </t>
  </si>
  <si>
    <t xml:space="preserve">Function resultAttribute_Display(selfId As String, src As Variant) As String_x000D_
_x000D_
    resultAttribute_Display = "Displayed String"_x000D_
End Function_x000D_
_x000D_
Public </t>
  </si>
  <si>
    <t xml:space="preserve">Function resultAttribute_Group(selfId As String, src As Variant) As String_x000D_
_x000D_
    resultAttribute_Group = "Grouped String"_x000D_
End Function_x000D_
_x000D_
Public </t>
  </si>
  <si>
    <t xml:space="preserve">Function resultAttribute_Choices(selfId As String, src As Variant) As Variant_x000D_
_x000D_
    resultAttribute_Choices = Array("Choice1", "Choice2", "Choice3")_x000D_
End Function_x000D_
_x000D_
Public </t>
  </si>
  <si>
    <t xml:space="preserve">Function resultAttribute_Constraint(selfId As String, src As Variant, trg As String) As Boolean_x000D_
_x000D_
    resultAttribute_Constraint = True_x000D_
End Function_x000D_
</t>
  </si>
  <si>
    <t xml:space="preserve">' Class2_x000D_
Option Explicit_x000D_
_x000D_
_x000D_
' </t>
  </si>
  <si>
    <t xml:space="preserve">Function resultAttribute_Derive(selfId As String, src As Variant) As String_x000D_
_x000D_
    resultAttribute_Derive = "Derived String from Class2"_x000D_
End Function_x000D_
_x000D_
Public </t>
  </si>
  <si>
    <t xml:space="preserve">Function resultAttribute_Display(selfId As String, src As Variant) As String_x000D_
_x000D_
    resultAttribute_Display = "Displayed String from Class2"_x000D_
End Function_x000D_
_x000D_
Public </t>
  </si>
  <si>
    <t xml:space="preserve">Function resultAttribute_Group(selfId As String, src As Variant) As String_x000D_
_x000D_
    resultAttribute_Group = "Grouped String from Class2"_x000D_
End Function_x000D_
_x000D_
Public </t>
  </si>
  <si>
    <t xml:space="preserve">Function resultAttribute_Choices(selfId As String, src As Variant) As Variant_x000D_
_x000D_
    resultAttribute_Choices = Array("ChoiceA", "ChoiceB", "ChoiceC")_x000D_
End Function_x000D_
_x000D_
Public </t>
  </si>
  <si>
    <t xml:space="preserve">Function resultAttribute_Constraint(selfId As String, src As Variant, trg As String) As Boolean_x000D_
_x000D_
    resultAttribute_Constraint = False_x000D_
End Function_x000D_
</t>
  </si>
  <si>
    <t xml:space="preserve">Sub createForms()_x000D_
_x000D_
    ' Create all forms_x000D_
    Call createTransferModeForm_x000D_
    Call createSourceTableForm_x000D_
    Call createTargetTableForm_x000D_
    Call createSourceInvalidForm_x000D_
    Call createTargetInvalidForm_x000D_
    Call createBackupTableForm_x000D_
_x000D_
    MsgBox "Forms created successfully."_x000D_
_x000D_
End Sub_x000D_
_x000D_
' Subroutine to create UserForm_TransferMode_x000D_
</t>
  </si>
  <si>
    <t xml:space="preserve">Function createTransferModeForm()_x000D_
    Dim MyUserForm As VBComponent_x000D_
    Dim CommandButton1 As MSForms.CommandButton_x000D_
    Dim CommandButton2 As MSForms.CommandButton_x000D_
    Dim N As Integer_x000D_
_x000D_
    ' Check if UserForm_TransferMode already exists_x000D_
    For N = 1 To ThisWorkbook.VBProject.VBComponents.count_x000D_
        If ThisWorkbook.VBProject.VBComponents(N).name = "UserForm_TransferMode" Then_x000D_
            Exit Function_x000D_
        End If_x000D_
    Next N_x000D_
_x000D_
    ' Create UserForm_TransferMode_x000D_
    Set MyUserForm = ThisWorkbook.VBProject.VBComponents.Add(vbext_ct_MSForm)_x000D_
    _x000D_
    MyUserForm.name = "UserForm_TransferMode"_x000D_
    _x000D_
    With MyUserForm_x000D_
        .Properties("Caption") = "Select Transfer Mode"_x000D_
        .Properties("Width") = 300_x000D_
        .Properties("Height") = 200_x000D_
        .Properties("BorderStyle") = 1 ' Makes the form resizable_x000D_
    End With_x000D_
    _x000D_
    _x000D_
_x000D_
    ' Add "Normal Transfer" button_x000D_
    Set CommandButton1 = MyUserForm.Designer.Controls.Add("forms.CommandButton.1")_x000D_
    With CommandButton1_x000D_
        .Caption = "Normal Transfer"_x000D_
        .Height = 30_x000D_
        .Width = 100_x000D_
        .Left = 30_x000D_
        .Top = 50_x000D_
    End With_x000D_
_x000D_
_x000D_
    ' Add event handlers for CommandButtons_x000D_
    With MyUserForm.CodeModule_x000D_
        .InsertLines .CountOfLines + 1, "Private </t>
  </si>
  <si>
    <t xml:space="preserve">Sub CommandButton1_Click()"_x000D_
        .InsertLines .CountOfLines + 1, "    transferMode = ""normal"""_x000D_
        .InsertLines .CountOfLines + 1, "    Unload Me"_x000D_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</si>
  <si>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UserForm_SourceTable_x000D_
</t>
  </si>
  <si>
    <t xml:space="preserve">Function createSourceTableForm()_x000D_
    Dim MyUserForm As VBComponent_x000D_
    Dim CommandButton1 As MSForms.CommandButton_x000D_
    Dim ListBox1 As MSForms.ListBox_x000D_
    Dim N As Integer_x000D_
_x000D_
    ' Check if UserForm_SourceTable already exists_x000D_
    For N = 1 To ThisWorkbook.VBProject.VBComponents.count_x000D_
        If ThisWorkbook.VBProject.VBComponents(N).name = "UserForm_SourceTable" Then_x000D_
            Exit Function_x000D_
        End If_x000D_
    Next N_x000D_
_x000D_
    ' Create UserForm_SourceTable_x000D_
    Set MyUserForm = ThisWorkbook.VBProject.VBComponents.Add(vbext_ct_MSForm)_x000D_
    With MyUserForm_x000D_
        .Properties("Caption") = "Select Source Table"_x000D_
        .Properties("Width") = 300_x000D_
        .Properties("Height") = 300_x000D_
        .Properties("BorderStyle") = 1 ' Makes the form resizable_x000D_
    End With_x000D_
_x000D_
    MyUserForm.name = "UserForm_SourceTable"_x000D_
    _x000D_
    ' Add ListBox_x000D_
    Set ListBox1 = MyUserForm.Designer.Controls.Add("Forms.ListBox.1")_x000D_
    With ListBox1_x000D_
        .name = "ListBox1"_x000D_
        .Left = 30_x000D_
        .Top = 30_x000D_
        .Width = 240_x000D_
        .Height = 150_x000D_
    End With_x000D_
_x000D_
    ' Add "Full Transfer (all tables)" button_x000D_
    Set CommandButton1 = MyUserForm.Designer.Controls.Add("forms.CommandButton.1")_x000D_
    With CommandButton1_x000D_
        .Caption = "Full Transfer (all tables)"_x000D_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</si>
  <si>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fulltransfer = True"_x000D_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</si>
  <si>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sourceTable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</si>
  <si>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For Each sh In ThisWorkbook.Worksheets"_x000D_
        .InsertLines .CountOfLines + 1, "        For Each tbl In sh.ListObjects"_x000D_
        .InsertLines .CountOfLines + 1, "            Me.ListBox1.AddItem tbl.Name"_x000D_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</si>
  <si>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UserForm_TargetTable_x000D_
</t>
  </si>
  <si>
    <t xml:space="preserve">Function createTargetTableForm()_x000D_
    Dim MyUserForm As VBComponent_x000D_
    Dim CommandButton1 As MSForms.CommandButton_x000D_
    Dim ListBox1 As MSForms.ListBox_x000D_
    Dim N As Integer_x000D_
_x000D_
    ' Check if UserForm_TargetTable already exists_x000D_
    For N = 1 To ThisWorkbook.VBProject.VBComponents.count_x000D_
        If ThisWorkbook.VBProject.VBComponents(N).name = "UserForm_TargetTable" Then_x000D_
            Exit Function_x000D_
        End If_x000D_
    Next N_x000D_
_x000D_
    ' Create UserForm_TargetTable_x000D_
    Set MyUserForm = ThisWorkbook.VBProject.VBComponents.Add(vbext_ct_MSForm)_x000D_
    With MyUserForm_x000D_
        .Properties("Caption") = "Select Target Table"_x000D_
        .Properties("Width") = 300_x000D_
        .Properties("Height") = 300_x000D_
        .Properties("BorderStyle") = 1 ' Makes the form resizable_x000D_
    End With_x000D_
    _x000D_
    MyUserForm.name = "UserForm_TargetTable"_x000D_
_x000D_
    ' Add ListBox_x000D_
    Set ListBox1 = MyUserForm.Designer.Controls.Add("Forms.ListBox.1")_x000D_
    With ListBox1_x000D_
        .name = "ListBox1"_x000D_
        .Left = 30_x000D_
        .Top = 30_x000D_
        .Width = 240_x000D_
        .Height = 150_x000D_
    End With_x000D_
_x000D_
    ' Add "Continue without Target" button_x000D_
    Set CommandButton1 = MyUserForm.Designer.Controls.Add("forms.CommandButton.1")_x000D_
    With CommandButton1_x000D_
        .Caption = "Continue without Target"_x000D_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</si>
  <si>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targetTable = ""no selection"""_x000D_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</si>
  <si>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targetTable = Me.ListBox1.Text"_x000D_
        .InsertLines .CountOfLines + 1, "    Unload Me"_x000D_
        .InsertLines .CountOfLines + 1, "End Sub"_x000D_
        _x000D_
        ' UserForm Initialize event_x000D_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</si>
  <si>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UserForm_SourceInvalid_x000D_
</t>
  </si>
  <si>
    <t xml:space="preserve">Function createSourceInvalidForm()_x000D_
    Dim MyUserForm As VBComponent_x000D_
    Dim CommandButton1 As MSForms.CommandButton_x000D_
    Dim CommandButton2 As MSForms.CommandButton_x000D_
    Dim Label As MSForms.Label_x000D_
    Dim N As Integer_x000D_
_x000D_
    ' Check if UserForm_SourceInvalid already exists_x000D_
    For N = 1 To ThisWorkbook.VBProject.VBComponents.count_x000D_
        If ThisWorkbook.VBProject.VBComponents(N).name = "UserForm_SourceInvalid" Then_x000D_
            Exit Function_x000D_
        End If_x000D_
    Next N_x000D_
_x000D_
    ' Create UserForm_SourceInvalid_x000D_
    Set MyUserForm = ThisWorkbook.VBProject.VBComponents.Add(vbext_ct_MSForm)_x000D_
    With MyUserForm_x000D_
        .Properties("Caption") = "Invalid Source Table"_x000D_
        .Properties("Width") = 350_x000D_
        .Properties("Height") = 150_x000D_
        .Properties("BorderStyle") = 1 ' Makes the form resizable_x000D_
    End With_x000D_
_x000D_
    MyUserForm.name = "UserForm_SourceInvalid"_x000D_
    _x000D_
    ' Add Label_x000D_
    Set Label = MyUserForm.Designer.Controls.Add("Forms.Label.1")_x000D_
    With Label_x000D_
        .Caption = "The selected source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</si>
  <si>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source_fix = True"_x000D_
        .InsertLines .CountOfLines + 1, "    Unload Me"_x000D_
        .InsertLines .CountOfLines + 1, "End Sub"_x000D_
_x000D_
        .InsertLines .CountOfLines + 1, "Private </t>
  </si>
  <si>
    <t xml:space="preserve">Sub CommandButton2_Click()"_x000D_
        .InsertLines .CountOfLines + 1, "    Unload Me"_x000D_
        .InsertLines .CountOfLines + 1, "    MsgBox ""Program terminates"""_x000D_
        .InsertLines .CountOfLines + 1, "    End"_x000D_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</si>
  <si>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UserForm_TargetInvalid_x000D_
</t>
  </si>
  <si>
    <t xml:space="preserve">Function createTargetInvalidForm()_x000D_
    Dim MyUserForm As VBComponent_x000D_
    Dim CommandButton1 As MSForms.CommandButton_x000D_
    Dim CommandButton2 As MSForms.CommandButton_x000D_
    Dim Label As MSForms.Label_x000D_
    Dim N As Integer_x000D_
_x000D_
    ' Check if UserForm_TargetInvalid already exists_x000D_
    For N = 1 To ThisWorkbook.VBProject.VBComponents.count_x000D_
        If ThisWorkbook.VBProject.VBComponents(N).name = "UserForm_TargetInvalid" Then_x000D_
            Exit Function_x000D_
        End If_x000D_
    Next N_x000D_
_x000D_
    ' Create UserForm_TargetInvalid_x000D_
    Set MyUserForm = ThisWorkbook.VBProject.VBComponents.Add(vbext_ct_MSForm)_x000D_
    With MyUserForm_x000D_
        .Properties("Caption") = "Invalid Target Table"_x000D_
        .Properties("Width") = 350_x000D_
        .Properties("Height") = 150_x000D_
        .Properties("BorderStyle") = 1 ' Makes the form resizable_x000D_
    End With_x000D_
_x000D_
    MyUserForm.name = "UserForm_TargetInvalid"_x000D_
    _x000D_
    ' Add Label_x000D_
    Set Label = MyUserForm.Designer.Controls.Add("Forms.Label.1")_x000D_
    With Label_x000D_
        .Caption = "The selected target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</si>
  <si>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target_fix = True"_x000D_
        .InsertLines .CountOfLines + 1, "    Unload Me"_x000D_
        .InsertLines .CountOfLines + 1, "End Sub"_x000D_
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</si>
  <si>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UserForm_SourceTable_x000D_
</t>
  </si>
  <si>
    <t xml:space="preserve">Function createBackupTableForm()_x000D_
    Dim MyUserForm As VBComponent_x000D_
    Dim ListBox1 As MSForms.ListBox_x000D_
    Dim N As Integer_x000D_
_x000D_
    ' Check if UserForm_SourceTable already exists_x000D_
    For N = 1 To ThisWorkbook.VBProject.VBComponents.count_x000D_
        If ThisWorkbook.VBProject.VBComponents(N).name = "UserForm_BackupTableForm" Then_x000D_
            Exit Function_x000D_
        End If_x000D_
    Next N_x000D_
_x000D_
    ' Create UserForm_SourceTable_x000D_
    Set MyUserForm = ThisWorkbook.VBProject.VBComponents.Add(vbext_ct_MSForm)_x000D_
    With MyUserForm_x000D_
        .Properties("Caption") = "Select Table for backup via doubleclick.."_x000D_
        .Properties("Width") = 400_x000D_
        .Properties("Height") = 400_x000D_
        .Properties("BorderStyle") = 1 ' Makes the form resizable_x000D_
    End With_x000D_
_x000D_
    MyUserForm.name = "UserForm_BackupTable"_x000D_
    _x000D_
    ' Add ListBox_x000D_
    Set ListBox1 = MyUserForm.Designer.Controls.Add("Forms.ListBox.1")_x000D_
    With ListBox1_x000D_
        .name = "ListBox1"_x000D_
        .Left = 50_x000D_
        .Top = 50_x000D_
        .Width = 300_x000D_
        .Height = 300_x000D_
    End With_x000D_
_x000D_
_x000D_
    ' Add event handlers_x000D_
    With MyUserForm.CodeModule_x000D_
        _x000D_
        ' ListBox1 Double Click event_x000D_
        .InsertLines .CountOfLines + 1, "Private </t>
  </si>
  <si>
    <t xml:space="preserve">Sub ListBox1_DblClick(ByVal Cancel As MSForms.ReturnBoolean)"_x000D_
        .InsertLines .CountOfLines + 1, "    backupTable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</si>
  <si>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Dim str As String"_x000D_
        .InsertLines .CountOfLines + 1, "    For Each sh In ThisWorkbook.Worksheets"_x000D_
        .InsertLines .CountOfLines + 1, "        For Each tbl In sh.ListObjects"_x000D_
        .InsertLines .CountOfLines + 1, "            str = sh.Name &amp; "" ("" &amp; tbl.Name &amp; "")"""_x000D_
        .InsertLines .CountOfLines + 1, "            Me.ListBox1.AddItem str"_x000D_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</si>
  <si>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_x000D_
</t>
  </si>
  <si>
    <t xml:space="preserve">_x000D_
</t>
  </si>
  <si>
    <t xml:space="preserve">Function TestString2Camel()_x000D_
    Dim inp As String_x000D_
    inp = "= helloooo"_x000D_
    Debug.Print "String-Input: (" &amp; inp &amp; ")"_x000D_
    Debug.Print " "_x000D_
    Debug.Print "StringToBusiness: (" &amp; stringToBusiness(inp) &amp; ")"_x000D_
    Debug.Print " "_x000D_
    Debug.Print "camelCaseUpper: (" &amp; camelCaseUpper(inp) &amp; ")"_x000D_
    Debug.Print " "_x000D_
End Function_x000D_
_x000D_
</t>
  </si>
  <si>
    <t xml:space="preserve">Function TestCamel2Business()_x000D_
    Dim inp As String_x000D_
    inp = "HelloAgoAgoAgoHello"_x000D_
    Debug.Print "Camel-Input: (" &amp; inp &amp; ")"_x000D_
    Debug.Print " "_x000D_
    Debug.Print "camelCaseToBusiness: (" &amp; camelCaseToBusiness(inp) &amp; ")"_x000D_
    Debug.Print " "_x000D_
End Function_x000D_
_x000D_
</t>
  </si>
  <si>
    <t xml:space="preserve">Function TestSimplePattern()_x000D_
    Dim patternMatchFilterColumnNames() As String_x000D_
    Dim patternMatchFilterColumnValues() As String_x000D_
    Dim output As String_x000D_
    _x000D_
    ' Define the arrays_x000D_
    patternMatchFilterColumnNames = Split("Filter1,Filter2", ",")_x000D_
    patternMatchFilterColumnValues = Split("Value1,Value2", ",")_x000D_
_x000D_
    output = instantiatedSimpleCodePattern("meta_SimpleTestPattern", patternMatchFilterColumnNames, patternMatchFilterColumnValues, "Order", "Template")_x000D_
    Debug.Print "(" &amp; output &amp; ")"_x000D_
End Function_x000D_
_x000D_
_x000D_
_x000D_
_x000D_
_x000D_
_x000D_
_x000D_
_x000D_
_x000D_
</t>
  </si>
  <si>
    <t xml:space="preserve">Option Explicit_x000D_
_x000D_
Private Type KeyValue_x000D_
    key As String_x000D_
    Value As Long_x000D_
End Type_x000D_
_x000D_
Private Keys() As KeyValue_x000D_
Private keyCount As Long_x000D_
_x000D_
Private </t>
  </si>
  <si>
    <t xml:space="preserve">Sub Class_Initialize()_x000D_
    ReDim Keys(1 To 10) ' Start with an initial size of 10_x000D_
    keyCount = 0_x000D_
End Sub_x000D_
_x000D_
Public </t>
  </si>
  <si>
    <t xml:space="preserve">Sub Add(key As String, Value As Long)_x000D_
    ' Check if key already exists_x000D_
    Dim i As Long_x000D_
    For i = 1 To keyCount_x000D_
        If Keys(i).key = key Then Exit Sub_x000D_
    Next i_x000D_
    _x000D_
    ' Add new key-value pair_x000D_
    keyCount = keyCount + 1_x000D_
    ' Resize array if needed_x000D_
    If keyCount &gt; UBound(Keys) Then_x000D_
        ReDim Preserve Keys(1 To keyCount + 10) ' Increase size by 10_x000D_
    End If_x000D_
    Keys(keyCount).key = key_x000D_
    Keys(keyCount).Value = Value_x000D_
End Sub_x000D_
_x000D_
Public </t>
  </si>
  <si>
    <t>Function Exists(key As String) As Boolean_x000D_
    Dim i As Long_x000D_
    For i = 1 To keyCount_x000D_
        If Keys(i).key = key Then_x000D_
            Exists = True_x000D_
            Exit Function_x000D_
        End If_x000D_
    Next i_x000D_
    Exists = False_x000D_
End Function_x000D_
_x000D_
Public Property Get item(key As String) As Long_x000D_
    Dim i As Long_x000D_
    For i = 1 To keyCount_x000D_
        If Keys(i).key = key Then_x000D_
            item = Keys(i).Value_x000D_
            Exit Property_x000D_
        End If_x000D_
    Next i_x000D_
    item = 0 ' Return 0 if key not found_x000D_
End Property_x000D_
_x000D_
Public Property Get AllKeys() As Variant_x000D_
    Dim result() As String_x000D_
    If keyCount &gt; 0 Then_x000D_
        ReDim result(1 To keyCount)_x000D_
        Dim i As Long_x000D_
        For i = 1 To keyCount_x000D_
            result(i) = Keys(i).key_x000D_
        Next i_x000D_
    Else_x000D_
        ReDim result(0 To 0) ' Return empty array if no keys exist_x000D_
    End If_x000D_
    AllKeys = result_x000D_
End Property_x000D_
_x000D_
Public Property Get count() As Long_x000D_
    count = keyCount_x000D_
End Property</t>
  </si>
  <si>
    <t xml:space="preserve">Sub CommandButton1_Click()_x000D_
    transferMode = "normal"_x000D_
    Unload Me_x000D_
End Sub_x000D_
Private </t>
  </si>
  <si>
    <t>Sub UserForm_QueryClose(Cancel As Integer, CloseMode As Integer)_x000D_
    If CloseMode = vbFormControlMenu Then_x000D_
        MsgBox "Operation canceled. Program terminates.", vbCritical_x000D_
        End_x000D_
    End If_x000D_
End Sub</t>
  </si>
  <si>
    <t xml:space="preserve">Sub CommandButton1_Click()_x000D_
    fulltransfer = True_x000D_
    Unload Me_x000D_
End Sub_x000D_
Private </t>
  </si>
  <si>
    <t xml:space="preserve">Sub ListBox1_DblClick(ByVal Cancel As MSForms.ReturnBoolean)_x000D_
    sourceTable = Me.ListBox1.Text_x000D_
    Unload Me_x000D_
End Sub_x000D_
Private </t>
  </si>
  <si>
    <t xml:space="preserve">Sub UserForm_Initialize()_x000D_
    Dim Sh As Worksheet_x000D_
    Dim tbl As ListObject_x000D_
    For Each Sh In ThisWorkbook.Worksheets_x000D_
        For Each tbl In Sh.ListObjects_x000D_
            Me.ListBox1.AddItem tbl.name_x000D_
        Next tbl_x000D_
    Next Sh_x000D_
End Sub_x000D_
Private </t>
  </si>
  <si>
    <t xml:space="preserve">Sub CommandButton1_Click()_x000D_
    targetTable = "no selection"_x000D_
    Unload Me_x000D_
End Sub_x000D_
Private </t>
  </si>
  <si>
    <t xml:space="preserve">Sub ListBox1_DblClick(ByVal Cancel As MSForms.ReturnBoolean)_x000D_
    targetTable = Me.ListBox1.Text_x000D_
    Unload Me_x000D_
End Sub_x000D_
Private </t>
  </si>
  <si>
    <t xml:space="preserve">Sub CommandButton1_Click()_x000D_
    source_fix = True_x000D_
    Unload Me_x000D_
End Sub_x000D_
Private </t>
  </si>
  <si>
    <t xml:space="preserve">Sub CommandButton2_Click()_x000D_
    Unload Me_x000D_
    MsgBox "Program terminates"_x000D_
    End_x000D_
End Sub_x000D_
Private </t>
  </si>
  <si>
    <t xml:space="preserve">Sub CommandButton1_Click()_x000D_
    target_fix = True_x000D_
    Unload Me_x000D_
End Sub_x000D_
Private </t>
  </si>
  <si>
    <t xml:space="preserve">Public sourceTable As String_x000D_
Public targetTable As String_x000D_
Public transferTime As Date_x000D_
Public sourcevalid As Boolean_x000D_
Public targetvalid As Boolean_x000D_
Public fulltransfer As Boolean_x000D_
Public transferMode As String_x000D_
_x000D_
'ObjectTransfer_x000D_
Private stbl As ListObject_x000D_
Private ttbl As ListObject_x000D_
Private sourceHeaders As Variant_x000D_
Private targetHeaders As Variant_x000D_
_x000D_
'SourceValidation_x000D_
Public source_fix As Boolean_x000D_
_x000D_
'TargertValidation_x000D_
Public target_fix As Boolean_x000D_
_x000D_
_x000D_
</t>
  </si>
  <si>
    <t xml:space="preserve">Sub tableSelection()_x000D_
    'On Error GoTo ErrorHandler_x000D_
_x000D_
    transferTime = Now_x000D_
    fulltransfer = False_x000D_
_x000D_
    ' Mode selection_x000D_
    Dim modeSelection As UserForm_TransferMode_x000D_
    Set modeSelection = New UserForm_TransferMode_x000D_
    modeSelection.Show_x000D_
_x000D_
    If transferMode = "" Then_x000D_
        MsgBox "No transfer mode selected. Program terminates."_x000D_
        Exit Sub_x000D_
    End If_x000D_
_x000D_
    ' Source and target selection_x000D_
    Dim sourceSelection As UserForm_SourceTable_x000D_
    Set sourceSelection = New UserForm_SourceTable_x000D_
    sourceSelection.Show_x000D_
_x000D_
    If fulltransfer = False Then_x000D_
_x000D_
        Dim targetSelection As UserForm_TargetTable_x000D_
        Set targetSelection = New UserForm_TargetTable_x000D_
        targetSelection.Show_x000D_
_x000D_
        If sourceTable = "" Or targetTable = "" Then_x000D_
            ' End program if source or target were not selected_x000D_
            MsgBox "Source or target table was not selected. Program terminates."_x000D_
            Exit Sub_x000D_
        End If_x000D_
_x000D_
        ' Validation_x000D_
        Call validateSource_x000D_
_x000D_
        If targetTable &lt;&gt; "no selection" Then_x000D_
            ' If target table was selected, validate it_x000D_
            Call validateTarget_x000D_
        ElseIf sourcevalid = True Then_x000D_
            ' If not, create new table and begin transfer_x000D_
            MsgBox "No target table selected. New target table will be created."_x000D_
            Call createTargetTable_x000D_
        End If_x000D_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Else_x000D_
        MsgBox "Full transfer was selected. All tables will be validated and transferred."_x000D_
        targetTable = "no selection"_x000D_
_x000D_
        For Each Sh In ThisWorkbook.Worksheets_x000D_
            For Each tbl In Sh.ListObjects_x000D_
                sourceTable = tbl.name_x000D_
                Call validateSource_x000D_
                MsgBox "New target table for " &amp; sourceTable &amp; " will be created."_x000D_
                Call createTargetTable_x000D_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Next tbl_x000D_
        Next Sh_x000D_
_x000D_
        MsgBox "Full transfer completed."_x000D_
    End If_x000D_
_x000D_
    endTime = Now_x000D_
_x000D_
    MsgBox "Transfer successful."_x000D_
    Exit Sub_x000D_
_x000D_
'ErrorHandler:_x000D_
'    MsgBox "An error occurred: " &amp; Err.Description, vbCritical_x000D_
End Sub_x000D_
_x000D_
_x000D_
_x000D_
'############# ObjectTransfer code #############_x000D_
_x000D_
_x000D_
_x000D_
</t>
  </si>
  <si>
    <t xml:space="preserve">Sub transferObject()_x000D_
    ' Turn off Excel's automatic processes for speed_x000D_
    Application.ScreenUpdating = False_x000D_
    Application.EnableEvents = False_x000D_
    Application.Calculation = xlCalculationManual_x000D_
    _x000D_
    ' Create our custom fast lookup object_x000D_
    Dim targetLookup As New FastLookup_x000D_
    _x000D_
    ' Set references to source and target tables using the public variables_x000D_
    Set stbl = Worksheets(Range(sourceTable).Parent.name).ListObjects(sourceTable)_x000D_
    Set ttbl = Worksheets(Range(targetTable).Parent.name).ListObjects(targetTable)_x000D_
    _x000D_
    ' Load all data at once_x000D_
    Dim sourceData As Variant, targetData As Variant_x000D_
    _x000D_
    sourceHeaders = stbl.HeaderRowRange.Value2_x000D_
    targetHeaders = ttbl.HeaderRowRange.Value2_x000D_
    _x000D_
    ' Load source data_x000D_
    With stbl.DataBodyRange_x000D_
        sourceData = .Value2_x000D_
        If Not IsArray(sourceData) Then_x000D_
            Dim tempArray(1 To 1, 1 To 1) As Variant_x000D_
            tempArray(1, 1) = sourceData_x000D_
            sourceData = tempArray_x000D_
        End If_x000D_
    End With_x000D_
    _x000D_
    ' Load target data_x000D_
    With ttbl.DataBodyRange_x000D_
        targetData = .Value2_x000D_
        If Not IsArray(targetData) Then_x000D_
            Dim tempTargetArray(1 To 1, 1 To 1) As Variant_x000D_
            tempTargetArray(1, 1) = targetData_x000D_
            targetData = tempTargetArray_x000D_
        End If_x000D_
    End With_x000D_
    _x000D_
    ' Find ID columns_x000D_
    Dim sourceIdCol As Long, targetIdCol As Long_x000D_
    sourceIdCol = GetIdColumnIndex(sourceHeaders)_x000D_
    targetIdCol = GetIdColumnIndex(targetHeaders)_x000D_
    _x000D_
    ' Build column mapping once_x000D_
    Dim columnMapping As Collection_x000D_
    Set columnMapping = BuildColumnMapping(sourceHeaders, targetHeaders, stbl, ttbl)_x000D_
    _x000D_
    ' Preserve formulas_x000D_
    Dim targetValues As Variant, targetFormulas As Variant_x000D_
    targetValues = ttbl.DataBodyRange.Value2_x000D_
    targetFormulas = ttbl.DataBodyRange.formula_x000D_
    _x000D_
    ' Build lookup of target IDs_x000D_
    Dim i As Long_x000D_
    For i = 1 To UBound(targetData, 1)_x000D_
        targetLookup.Add CStr(targetData(i, targetIdCol)), i_x000D_
    Next i_x000D_
    _x000D_
    ' Prepare arrays for new and updated data_x000D_
    Dim newRows As Collection, updatedRows As Collection_x000D_
    Set newRows = New Collection_x000D_
    Set updatedRows = New Collection_x000D_
    _x000D_
    ' Categorize rows_x000D_
    For i = 1 To UBound(sourceData, 1)_x000D_
        If targetLookup.Exists(CStr(sourceData(i, sourceIdCol))) Then_x000D_
            updatedRows.Add Array(i, targetLookup.item(CStr(sourceData(i, sourceIdCol))))_x000D_
        Else_x000D_
            newRows.Add i_x000D_
        End If_x000D_
    Next i_x000D_
    _x000D_
    ' Process updates while preserving formulas_x000D_
    Dim rowIdx As Long, colIdx As Long_x000D_
    If updatedRows.count &gt; 0 Then_x000D_
        For i = 1 To updatedRows.count_x000D_
            Dim updateInfo As Variant_x000D_
            updateInfo = updatedRows(i)_x000D_
            Dim sourceRowIdx As Long: sourceRowIdx = CLng(updateInfo(0))_x000D_
            Dim targetRowIdx As Long: targetRowIdx = CLng(updateInfo(1))_x000D_
            _x000D_
            Dim j As Long_x000D_
            For j = 1 To columnMapping.count_x000D_
                Dim mapping As Variant_x000D_
                mapping = columnMapping(j)_x000D_
                colIdx = mapping(1)_x000D_
                If Not HasFormula(ttbl, CStr(targetHeaders(1, colIdx))) Then_x000D_
                    targetValues(targetRowIdx, colIdx) = sourceData(sourceRowIdx, mapping(0))_x000D_
                End If_x000D_
            Next j_x000D_
        Next i_x000D_
        _x000D_
        ttbl.DataBodyRange.Value2 = targetValues_x000D_
        ttbl.DataBodyRange.formula = targetFormulas_x000D_
    End If_x000D_
    _x000D_
    ' Handle new rows_x000D_
    If newRows.count &gt; 0 Then_x000D_
        Dim newRowsArray() As Variant_x000D_
        ReDim newRowsArray(1 To newRows.count, 1 To UBound(targetData, 2))_x000D_
        _x000D_
        For i = 1 To newRows.count_x000D_
            CopyRowToArray sourceData, newRowsArray, newRows(i), i, columnMapping_x000D_
        Next i_x000D_
        _x000D_
        Dim newRange As Range_x000D_
        Set newRange = ttbl.ListRows.Add(AlwaysInsert:=True).Range_x000D_
        If newRows.count &gt; 1 Then_x000D_
            Set newRange = newRange.Resize(newRows.count, UBound(targetData, 2))_x000D_
        End If_x000D_
        newRange.Value2 = newRowsArray_x000D_
    End If_x000D_
    _x000D_
ExitSub:_x000D_
    Application.Calculation = xlCalculationAutomatic_x000D_
    Application.EnableEvents = True_x000D_
    Application.ScreenUpdating = True_x000D_
    Exit Sub_x000D_
End Sub_x000D_
_x000D_
Private </t>
  </si>
  <si>
    <t xml:space="preserve">Function BuildColumnMapping(sourceHeaders As Variant, targetHeaders As Variant, __x000D_
                                 stbl As ListObject, ttbl As ListObject) As Collection_x000D_
    Dim mapping As Collection_x000D_
    Set mapping = New Collection_x000D_
    _x000D_
    Dim i As Long, j As Long_x000D_
    Dim sourceCol As String, targetCol As String_x000D_
    _x000D_
    For i = 1 To UBound(sourceHeaders, 2)_x000D_
        sourceCol = CStr(sourceHeaders(1, i))_x000D_
        _x000D_
        If Not (HasFormula(stbl, sourceCol)) Or __x000D_
                InStr(sourceCol, "transfer ") &gt; 0 Or __x000D_
                InStr(sourceCol, "fix kind") &gt; 0 Then_x000D_
                'InStr(sourceCol, "Column") &gt; 0)_x000D_
                _x000D_
            _x000D_
            For j = 1 To UBound(targetHeaders, 2)_x000D_
                targetCol = CStr(targetHeaders(1, j))_x000D_
                If targetCol = sourceCol Then_x000D_
                    mapping.Add Array(i, j, HasFormula(ttbl, targetCol))_x000D_
                    Exit For_x000D_
                End If_x000D_
            Next j_x000D_
        End If_x000D_
    Next i_x000D_
    _x000D_
    Set BuildColumnMapping = mapping_x000D_
End Function_x000D_
_x000D_
Private </t>
  </si>
  <si>
    <t xml:space="preserve">Sub CopyRowToArray(sourceData As Variant, destArray As Variant, __x000D_
                         sourceRowIndex As Long, destRowIndex As Long, __x000D_
                         columnMapping As Collection)_x000D_
    Dim mapping As Variant_x000D_
    Dim i As Long_x000D_
    _x000D_
    For i = 1 To columnMapping.count_x000D_
        mapping = columnMapping(i)_x000D_
        If mapping(2) Then ' Has formula_x000D_
            ' Handle formula columns with stored values_x000D_
            HandleStoredValue stbl, ttbl, sourceRowIndex, destRowIndex, __x000D_
                            CStr(sourceHeaders(1, mapping(0))), CStr(targetHeaders(1, mapping(1)))_x000D_
        Else_x000D_
            ' Direct copy for non-formula columns_x000D_
            destArray(destRowIndex, mapping(1)) = sourceData(sourceRowIndex, mapping(0))_x000D_
        End If_x000D_
    Next i_x000D_
End Sub_x000D_
_x000D_
Private </t>
  </si>
  <si>
    <t xml:space="preserve">Function HasFormula(tbl As ListObject, columnName As String) As Boolean_x000D_
    Dim col As ListColumn_x000D_
    On Error Resume Next_x000D_
    Set col = tbl.ListColumns(columnName)_x000D_
    On Error GoTo 0_x000D_
    _x000D_
    If Not col Is Nothing Then_x000D_
        If col.DataBodyRange.Rows.count &gt; 0 Then_x000D_
            HasFormula = col.DataBodyRange(1).HasFormula_x000D_
        End If_x000D_
    End If_x000D_
End Function_x000D_
_x000D_
Private </t>
  </si>
  <si>
    <t xml:space="preserve">Sub HandleStoredValue(ByVal sourceTbl As ListObject, ByVal targetTbl As ListObject, __x000D_
                            ByVal sourceRow As Long, ByVal targetRow As Long, __x000D_
                            ByVal sourceCol As String, ByVal targetCol As String)_x000D_
    ' Create name for stored value column_x000D_
    Dim storedColName As String_x000D_
    storedColName = targetCol &amp; " STORED"_x000D_
    _x000D_
    ' Check if stored column exists, if not create it_x000D_
    On Error Resume Next_x000D_
    Dim storedCol As ListColumn_x000D_
    Set storedCol = targetTbl.ListColumns(storedColName)_x000D_
    On Error GoTo 0_x000D_
    _x000D_
    If storedCol Is Nothing Then_x000D_
        Set storedCol = targetTbl.ListColumns.Add_x000D_
        storedCol.name = storedColName_x000D_
    End If_x000D_
    _x000D_
    ' Store the value_x000D_
    storedCol.DataBodyRange(targetRow).Value2 = sourceTbl.ListColumns(sourceCol).DataBodyRange(sourceRow).Value2_x000D_
End Sub_x000D_
_x000D_
Private </t>
  </si>
  <si>
    <t xml:space="preserve">Sub UpdateTransferStatus(sourcePartyCol As ListColumn, sourceKindCol As ListColumn, __x000D_
                               targetPartyCol As ListColumn, targetKindCol As ListColumn, __x000D_
                               updatedRows As Collection, newRows As Collection, __x000D_
                               sourceCount As Long, targetCount As Long)_x000D_
    ' Create arrays for bulk status updates_x000D_
    Dim sourceStatus() As Variant_x000D_
    ReDim sourceStatus(1 To sourceCount, 1 To 2)_x000D_
    _x000D_
    Dim targetStatus() As Variant_x000D_
    ReDim targetStatus(1 To targetCount + newRows.count, 1 To 2)_x000D_
    _x000D_
    ' Fill source status array_x000D_
    Dim i As Long_x000D_
    For i = 1 To sourceCount_x000D_
        sourceStatus(i, 1) = "source"_x000D_
        sourceStatus(i, 2) = "update target"_x000D_
    Next i_x000D_
    _x000D_
    ' Update status for new rows_x000D_
    For i = 1 To newRows.count_x000D_
        sourceStatus(newRows(i), 2) = "create target"_x000D_
    Next i_x000D_
    _x000D_
    ' Fill target status array_x000D_
    For i = 1 To targetCount + newRows.count_x000D_
        targetStatus(i, 1) = "target"_x000D_
        targetStatus(i, 2) = "update target"_x000D_
    Next i_x000D_
    _x000D_
    ' Write status arrays in bulk_x000D_
    sourcePartyCol.DataBodyRange.Value2 = Application.Transpose(Application.Transpose(GetColumn(sourceStatus, 1)))_x000D_
    sourceKindCol.DataBodyRange.Value2 = Application.Transpose(Application.Transpose(GetColumn(sourceStatus, 2)))_x000D_
    targetPartyCol.DataBodyRange.Value2 = Application.Transpose(Application.Transpose(GetColumn(targetStatus, 1)))_x000D_
    targetKindCol.DataBodyRange.Value2 = Application.Transpose(Application.Transpose(GetColumn(targetStatus, 2)))_x000D_
End Sub_x000D_
_x000D_
Private </t>
  </si>
  <si>
    <t xml:space="preserve">Function GetColumn(arr As Variant, colIndex As Long) As Variant_x000D_
    Dim result() As Variant_x000D_
    Dim i As Long_x000D_
    _x000D_
    ReDim result(1 To UBound(arr, 1))_x000D_
    For i = 1 To UBound(arr, 1)_x000D_
        result(i) = arr(i, colIndex)_x000D_
    Next i_x000D_
    _x000D_
    GetColumn = result_x000D_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</si>
  <si>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_x000D_
_x000D_
_x000D_
_x000D_
'############# SourceValidation code #############_x000D_
_x000D_
</t>
  </si>
  <si>
    <t xml:space="preserve">Sub validateSource()_x000D_
    MsgBox (sourceTable &amp; " was selected as source table.")_x000D_
    _x000D_
    Dim source_id_count As Integer_x000D_
    Dim source_id_col As String_x000D_
    Dim source_id_duplicate As Boolean_x000D_
    Dim source_table_invalid_value As Boolean_x000D_
    Dim source_table_invalid_formula As Boolean_x000D_
    _x000D_
    Application.ScreenUpdating = False_x000D_
    Application.Calculation = xlCalculationManual_x000D_
    _x000D_
    Set stbl = Worksheets(Range(sourceTable).Parent.name).ListObjects(sourceTable)_x000D_
    _x000D_
    'check for ID column_x000D_
    source_id_count = 0_x000D_
    _x000D_
    ' Get headers as array for faster processing_x000D_
    Dim headers As Variant_x000D_
    headers = stbl.HeaderRowRange.Value2_x000D_
    _x000D_
    Dim i As Long_x000D_
    For i = 1 To UBound(headers, 2)_x000D_
        If UCase$(CStr(headers(1, i))) = "ID" Then_x000D_
            source_id_col = headers(1, i)_x000D_
            source_id_count = 1_x000D_
            Exit For_x000D_
        End If_x000D_
    Next i_x000D_
    _x000D_
    'check for uniqueness of IDs and existence of ID in every row_x000D_
    Dim id_range As Range_x000D_
    Dim id_range_add As String_x000D_
    Dim cel As Range_x000D_
    _x000D_
    If source_id_count = 1 Then_x000D_
        Set id_range = stbl.ListColumns(source_id_col).DataBodyRange_x000D_
        id_range_add = stbl.ListColumns(source_id_col).DataBodyRange.Address_x000D_
        _x000D_
        If Not IsArray(id_range) Then id_range = Array(id_range)_x000D_
        _x000D_
        For Each cel In id_range_x000D_
            If (Application.WorksheetFunction.CountIf(Worksheets(Range(sourceTable).Parent.name).Range(id_range_add), cel) &gt; 1) Then_x000D_
                source_id_duplicate = True_x000D_
                Exit For_x000D_
            ElseIf IsEmpty(cel) Then_x000D_
                source_id_duplicate = True_x000D_
                Exit For_x000D_
            End If_x000D_
        Next_x000D_
    End If_x000D_
    _x000D_
    'check if columns are consistent (either only values or only same formula)_x000D_
    Dim colHeader As Range_x000D_
    Dim strFormula As String_x000D_
    _x000D_
    For Each colHeader In stbl.HeaderRowRange_x000D_
        If stbl.ListColumns(colHeader.Value).DataBodyRange(1).HasFormula Then_x000D_
            'first row is a formula -&gt; check if all rows in the column have same formula_x000D_
            strFormula = stbl.ListColumns(colHeader.Value).DataBodyRange(1).formula_x000D_
            _x000D_
            For Each cel In stbl.ListColumns(colHeader.Value).DataBodyRange_x000D_
                If Not cel.HasFormula Then_x000D_
                    source_table_invalid_formula = True_x000D_
                    Exit For_x000D_
                ElseIf cel.formula &lt;&gt; strFormula Then_x000D_
                    source_table_invalid_formula = True_x000D_
                    Exit For_x000D_
                End If_x000D_
            Next_x000D_
            _x000D_
            If source_table_invalid_formula Then Exit For_x000D_
        Else_x000D_
            'first row is a value -&gt; check if all rows have a value_x000D_
            For Each cel In stbl.ListColumns(colHeader.Value).DataBodyRange_x000D_
                If cel.HasFormula Then_x000D_
                    'if one cell has a formula -&gt; invalid_x000D_
                    source_table_invalid_value = True_x000D_
                    Exit For_x000D_
                End If_x000D_
            Next_x000D_
            _x000D_
            If source_table_invalid_value Then Exit For_x000D_
        End If_x000D_
    Next_x000D_
    _x000D_
    Application.Calculation = xlCalculationAutomatic_x000D_
    Application.ScreenUpdating = True_x000D_
    _x000D_
    If source_id_count = 1 And source_id_duplicate = False And source_table_invalid_formula = False And source_table_invalid_value = False Then_x000D_
        'valid_x000D_
        sourcevalid = True_x000D_
        'MsgBox ("The selected source table is valid.")_x000D_
    Else_x000D_
        'invalid_x000D_
        Dim sourceInvalid As UserForm_SourceInvalid_x000D_
        Set sourceInvalid = New UserForm_SourceInvalid_x000D_
        sourceInvalid.Show_x000D_
        _x000D_
        If source_fix = True Then_x000D_
            'call fix function_x000D_
            Call fixingtable(stbl, sourceTable, source_id_count, source_id_col, source_id_duplicate, source_table_invalid_value, source_table_invalid_formula, False)_x000D_
        End If_x000D_
    End If_x000D_
End Sub_x000D_
_x000D_
_x000D_
'############# TargetValidation code #############_x000D_
_x000D_
</t>
  </si>
  <si>
    <t xml:space="preserve">Sub validateTarget()_x000D_
    MsgBox (targetTable &amp; " was selected as target table.")_x000D_
    _x000D_
    Dim target_id_count As Integer_x000D_
    Dim target_id_col As String_x000D_
    Dim target_id_duplicate As Boolean_x000D_
    Dim target_table_invalid_value As Boolean_x000D_
    Dim target_table_invalid_formula As Boolean_x000D_
    _x000D_
    Application.ScreenUpdating = False_x000D_
    Application.Calculation = xlCalculationManual_x000D_
    _x000D_
    Set ttbl = Worksheets(Range(targetTable).Parent.name).ListObjects(targetTable)_x000D_
    _x000D_
    'check for ID column_x000D_
    target_id_count = 0_x000D_
    _x000D_
    ' Get headers as array for faster processing_x000D_
    Dim headers As Variant_x000D_
    headers = ttbl.HeaderRowRange.Value2_x000D_
    _x000D_
    Dim i As Long_x000D_
    For i = 1 To UBound(headers, 2)_x000D_
        If UCase$(CStr(headers(1, i))) = "ID" Then_x000D_
            target_id_col = headers(1, i)_x000D_
            target_id_count = 1_x000D_
            Exit For_x000D_
        End If_x000D_
    Next i_x000D_
    _x000D_
    'check for uniqueness of IDs and existence of ID in every row_x000D_
    Dim id_range As Range_x000D_
    Dim id_range_add As String_x000D_
    Dim cel As Range_x000D_
    _x000D_
    If target_id_count = 1 Then_x000D_
        Set id_range = ttbl.ListColumns(target_id_col).DataBodyRange_x000D_
        id_range_add = ttbl.ListColumns(target_id_col).DataBodyRange.Address_x000D_
        _x000D_
        If Not IsArray(id_range) Then id_range = Array(id_range)_x000D_
        _x000D_
        For Each cel In id_range_x000D_
            If (Application.WorksheetFunction.CountIf(Worksheets(Range(targetTable).Parent.name).Range(id_range_add), cel) &gt; 1) Then_x000D_
                target_id_duplicate = True_x000D_
                Exit For_x000D_
            ElseIf IsEmpty(cel) Then_x000D_
                target_id_duplicate = True_x000D_
                Exit For_x000D_
            End If_x000D_
        Next_x000D_
    End If_x000D_
    _x000D_
    'check if columns are consistent (either only values or only same formula)_x000D_
    Dim colHeader As Range_x000D_
    Dim strFormula As String_x000D_
    _x000D_
    For Each colHeader In ttbl.HeaderRowRange_x000D_
        If ttbl.ListColumns(colHeader.Value).DataBodyRange(1).HasFormula Then_x000D_
            'first row is a formula -&gt; check if all rows in the column have same formula_x000D_
            strFormula = ttbl.ListColumns(colHeader.Value).DataBodyRange(1).formula_x000D_
            _x000D_
            For Each cel In ttbl.ListColumns(colHeader.Value).DataBodyRange_x000D_
                If Not cel.HasFormula Then_x000D_
                    target_table_invalid_formula = True_x000D_
                    Exit For_x000D_
                ElseIf cel.formula &lt;&gt; strFormula Then_x000D_
                    target_table_invalid_formula = True_x000D_
                    Exit For_x000D_
                End If_x000D_
            Next_x000D_
            _x000D_
            If target_table_invalid_formula Then Exit For_x000D_
        Else_x000D_
            'first row is a value -&gt; check if all rows have a value_x000D_
            For Each cel In ttbl.ListColumns(colHeader.Value).DataBodyRange_x000D_
                If cel.HasFormula Then_x000D_
                    target_table_invalid_value = True_x000D_
                    Exit For_x000D_
                End If_x000D_
            Next_x000D_
            _x000D_
            If target_table_invalid_value Then Exit For_x000D_
        End If_x000D_
    Next_x000D_
    _x000D_
    Application.Calculation = xlCalculationAutomatic_x000D_
    Application.ScreenUpdating = True_x000D_
    _x000D_
    If target_id_count = 1 And target_id_duplicate = False And target_table_invalid_value = False And target_table_invalid_formula = False Then_x000D_
        targetvalid = True_x000D_
        'MsgBox ("The selected target table is valid.")_x000D_
    Else_x000D_
        Dim targetInvalid As UserForm_TargetInvalid_x000D_
        Set targetInvalid = New UserForm_TargetInvalid_x000D_
        targetInvalid.Show_x000D_
        _x000D_
        If target_fix = True Then_x000D_
            'call fix function_x000D_
            Call fixingtable(ttbl, targetTable, target_id_count, target_id_col, target_id_duplicate, target_table_invalid_value, target_table_invalid_formula, True)_x000D_
        End If_x000D_
    End If_x000D_
End Sub_x000D_
_x000D_
_x000D_
_x000D_
'############# TableFix code #############_x000D_
_x000D_
</t>
  </si>
  <si>
    <t xml:space="preserve">Sub fixingtable(tbl, strTable As String, id_count As Integer, id_col As String, id_duplicate As Boolean, table_invalid_value As Boolean, table_invalid_formula As Boolean, party As Boolean)_x000D_
    'tbl - is the listobject (source or target table)_x000D_
    'strTable - name of the table as string (source or target)_x000D_
    'id_count - number of ID columns found in validation_x000D_
    'id_col - which column is the ID column in case there is one (name of column as string)_x000D_
    'id_duplicate - were duplicate IDs found while validating (as boolean)_x000D_
    'table_invalid_value - are there violations of the value rule (as boolean)_x000D_
    'table_invalid_formula - are there violations of the formula rule (as boolean)_x000D_
    'party - 0 -&gt; source, 1 -&gt; target_x000D_
_x000D_
    MsgBox ("Fix process is starting.")_x000D_
    _x000D_
    'add new tracking columns_x000D_
    _x000D_
'    tbl.ListColumns.Add.Name = "fix transfer ts " &amp; Format(transferTime, "YYYYMMDDHHMM")_x000D_
'    tbl.ListColumns("fix transfer ts " &amp; Format(transferTime, "YYYYMMDDHHMM")).DataBodyRange = Format(transferTime, "YYYYMMDDHHMMSS")_x000D_
    _x000D_
    tbl.ListColumns.Add.name = "fix transfer party " &amp; Format(transferTime, "YYYYMMDDHHMMSS")_x000D_
    If party = False Then_x000D_
        tbl.ListColumns("fix transfer party " &amp; Format(transferTime, "YYYYMMDDHHMMSS")).DataBodyRange = "source"_x000D_
    Else_x000D_
        tbl.ListColumns("fix transfer party " &amp; Format(transferTime, "YYYYMMDDHHMMSS")).DataBodyRange = "target"_x000D_
    End If_x000D_
    _x000D_
    tbl.ListColumns.Add.name = "fix kind " &amp; Format(transferTime, "YYYYMMDDHHMMSS")_x000D_
    tbl.ListColumns("fix kind " &amp; Format(transferTime, "YYYYMMDDHHMMSS")).DataBodyRange = ""_x000D_
    _x000D_
    _x000D_
    'ID fixing_x000D_
    _x000D_
    If id_count &gt; 1 Then_x000D_
        _x000D_
        MsgBox ("There are multiple ID columns in the table. Automatic fix is not possible. Program terminates")_x000D_
        _x000D_
        End_x000D_
    _x000D_
    ElseIf id_count = 0 Then_x000D_
    'no ID column -&gt; create ID column and generate GUIDs for each row_x000D_
    _x000D_
        'QUESTION: could this be problematic for any formulas in the table? Should we add ID column to the end?_x000D_
        tbl.ListColumns.Add(1).name = "ID"_x000D_
        _x000D_
        id_range = tbl.ListColumns("ID").DataBodyRange_x000D_
        If Not IsArray(id_range) Then id_range = Array(id_range)_x000D_
_x000D_
_x000D_
        'Error: Range of object _Global failed_x000D_
        _x000D_
        'id_range_add = tbl.ListColumns("ID").DataBodyRange.Address_x000D_
        _x000D_
        'Worksheets(Range(strTable).Parent.Name).Range(id_range_add).Validation.Delete_x000D_
        'Worksheets(tbl.Parent.Name).Range(id_range_add).Validation.Delete_x000D_
    _x000D_
_x000D_
       ThisWorkbook.Worksheets(tbl.Parent.name).Columns(tbl.ListColumns("ID").Range.column).Validation.Delete_x000D_
_x000D_
_x000D_
        i = 1_x000D_
        For Each cel In id_range_x000D_
            tbl.ListColumns("ID").DataBodyRange(i) = GUID(1)_x000D_
            tbl.ListColumns("fix kind " &amp; Format(transferTime, "YYYYMMDDHHMMSS")).DataBodyRange(i) = tbl.ListColumns("fix kind " &amp; Format(transferTime, "YYYYMMDDHHMMSS")).DataBodyRange(i) &amp; "[ID created]"_x000D_
            i = i + 1_x000D_
        Next_x000D_
    _x000D_
    End If_x000D_
    _x000D_
    'handle duplicate IDs_x000D_
    _x000D_
    If id_duplicate = True Then_x000D_
    _x000D_
        id_range = tbl.ListColumns(id_col).DataBodyRange_x000D_
        id_range_add = tbl.ListColumns(id_col).DataBodyRange.Address_x000D_
        _x000D_
        If Not IsArray(id_range) Then id_range = Array(id_range)_x000D_
        _x000D_
        j = 1_x000D_
        For Each cel In id_range_x000D_
            If (Application.WorksheetFunction.CountIf(Worksheets(Range(strTable).Parent.name).Range(id_range_add), cel) &gt; 1) Then_x000D_
            'cel has duplicates_x000D_
            _x000D_
                counter = -1_x000D_
                i = 1_x000D_
                _x000D_
                For Each cel1 In id_range_x000D_
                'find the duplicates of cel_x000D_
                _x000D_
                    If cel1 = cel Then_x000D_
                        counter = counter + 1_x000D_
                        If counter &gt; 0 Then_x000D_
                            tbl.ListColumns(id_col).DataBodyRange(i) = __x000D_
                            tbl.ListColumns(id_col).DataBodyRange(i) &amp; "_DUPLICATE_" &amp; Format(counter, "00000")_x000D_
                            tbl.ListColumns("fix kind " &amp; Format(transferTime, "YYYYMMDDHHMMSS")).DataBodyRange(i) = tbl.ListColumns("fix kind " &amp; Format(transferTime, "YYYYMMDDHHMMSS")).DataBodyRange(i) &amp; "[ID duplicate]"_x000D_
                        End If_x000D_
                    End If_x000D_
                    i = i + 1_x000D_
                Next_x000D_
                _x000D_
            ElseIf IsEmpty(cel) Then_x000D_
            'row has no ID -&gt; create ID_x000D_
            _x000D_
                tbl.ListColumns(id_col).DataBodyRange(j) = GUID(1)_x000D_
                tbl.ListColumns("fix kind " &amp; Format(transferTime, "YYYYMMDDHHMMSS")).DataBodyRange(j) = tbl.ListColumns("fix kind " &amp; Format(transferTime, "YYYYMMDDHHMMSS")).DataBodyRange(j) &amp; "[ID created]"_x000D_
                _x000D_
            End If_x000D_
            j = j + 1_x000D_
        Next_x000D_
    End If_x000D_
    _x000D_
    _x000D_
    'fix formulas within value column_x000D_
    'fix values within formula column -&gt; repeat formula_x000D_
    _x000D_
    If table_invalid_value = True Or table_invalid_formula = True Then_x000D_
    _x000D_
        For Each colHeader In tbl.HeaderRowRange_x000D_
        _x000D_
        If tbl.ListColumns(colHeader.Value).DataBodyRange(1).HasFormula And table_invalid_formula = True Then_x000D_
            'first row is a formula -&gt; check if all rows in the column have same formula_x000D_
            _x000D_
            strFormula = tbl.ListColumns(colHeader.Value).DataBodyRange(1).formula_x000D_
            _x000D_
            i = 1_x000D_
            For Each cel In tbl.ListColumns(colHeader.Value).DataBodyRange_x000D_
                If cel.HasFormula = False Or cel.formula &lt;&gt; strFormula Then_x000D_
                    _x000D_
                    tbl.ListColumns(colHeader.Value).DataBodyRange(i) = strFormula_x000D_
                    tbl.ListColumns("fix kind " &amp; Format(transferTime, "YYYYMMDDHHMMSS")).DataBodyRange(i) = tbl.ListColumns("fix kind " &amp; Format(transferTime, "YYYYMMDDHHMMSS")).DataBodyRange(i) &amp; "[formula overwritten in column " &amp; colHeader.Value &amp; "]"_x000D_
        _x000D_
                End If_x000D_
                i = i + 1_x000D_
            Next_x000D_
            _x000D_
        Else_x000D_
            'first row is a value -&gt; check if all rows have a value_x000D_
            _x000D_
            If table_invalid_value = True Then_x000D_
                i = 1_x000D_
                For Each cel In tbl.ListColumns(colHeader.Value).DataBodyRange_x000D_
                    If cel.HasFormula Then_x000D_
                    _x000D_
                        strFormula = tbl.ListColumns(colHeader.Value).DataBodyRange(i).formula_x000D_
                    _x000D_
                        tbl.ListColumns(colHeader.Value).DataBodyRange(i) = "REMOVED_" &amp; strFormula_x000D_
                        tbl.ListColumns("fix kind " &amp; Format(transferTime, "YYYYMMDDHHMMSS")).DataBodyRange(i) = tbl.ListColumns("fix kind " &amp; Format(transferTime, "YYYYMMDDHHMMSS")).DataBodyRange(i) &amp; "[formula removed in column " &amp; colHeader.Value &amp; "]"_x000D_
                                _x000D_
                    End If_x000D_
                    _x000D_
                    i = i + 1_x000D_
                Next_x000D_
            End If_x000D_
        End If_x000D_
        Next_x000D_
    End If_x000D_
        _x000D_
    'if formula is relative -&gt; exclude from fix_x000D_
    'not done so far_x000D_
    _x000D_
    _x000D_
    _x000D_
    'set fixed flags to true_x000D_
    If party = False Then_x000D_
        sourcevalid = True_x000D_
    Else_x000D_
        targetvalid = True_x000D_
    End If_x000D_
    _x000D_
    _x000D_
    _x000D_
    _x000D_
    _x000D_
_x000D_
End Sub_x000D_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</si>
  <si>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TargetCreation code #############_x000D_
_x000D_
_x000D_
</t>
  </si>
  <si>
    <t xml:space="preserve">Sub createTargetTable()_x000D_
    'create the new sheet_x000D_
    _x000D_
    Dim sheetName As String_x000D_
    Dim i As Integer_x000D_
    i = 2_x000D_
    _x000D_
    ' Store formatted time strings to avoid repeated calculations_x000D_
    Dim timeFormat As String_x000D_
    Dim timeFormatLong As String_x000D_
    timeFormat = Format(transferTime, "DDHHMM")_x000D_
    timeFormatLong = Format(transferTime, "YYYYMMDDHHMMSS")_x000D_
    _x000D_
    'ADDED: trim sheetName due to MS tab name restriction_x000D_
    sheetName = Right(sourceTable &amp; timeFormat, 31)_x000D_
    _x000D_
    Application.ScreenUpdating = False_x000D_
    Application.Calculation = xlCalculationManual_x000D_
    Application.EnableEvents = False_x000D_
    _x000D_
    ' Create new sheet_x000D_
    With ThisWorkbook_x000D_
        _x000D_
        .Sheets.Add(After:=.Sheets(.Sheets.count)).name = sheetName_x000D_
    End With_x000D_
    _x000D_
    ' Create ListObject_x000D_
    Dim ws As Worksheet_x000D_
    Set ws = ThisWorkbook.Sheets(sheetName)_x000D_
    _x000D_
    ws.ListObjects.Add(xlSrcRange, Range("$B$4:$B$4"), , xlYes).name = sheetName    'B4 is the fixed start point for tables_x000D_
    _x000D_
    Set stbl = Worksheets(Range(sourceTable).Parent.name).ListObjects(sourceTable)_x000D_
    Set ttbl = ws.ListObjects(sheetName)_x000D_
    _x000D_
    Dim colHeader As Range_x000D_
    For Each colHeader In stbl.HeaderRowRange_x000D_
        If Not (stbl.ListColumns(colHeader.Value).DataBodyRange(1).HasFormula Or __x000D_
                InStr(colHeader.Value, "transfer ") &gt; 0 Or __x000D_
                InStr(colHeader.Value, "fix kind") &gt; 0) Then_x000D_
            _x000D_
            If i &gt; 2 Then_x000D_
                ttbl.ListColumns.Add_x000D_
            End If_x000D_
            _x000D_
            ' Copy entire range including header_x000D_
            stbl.ListColumns(colHeader.Value).Range.Copy __x000D_
                Destination:=Worksheets(Range(sheetName).Parent.name).Range(Worksheets(Range(sheetName).Parent.name).Cells(4, i), Worksheets(Range(sheetName).Parent.name).Cells(4, i))_x000D_
            i = i + 1_x000D_
            _x000D_
        End If_x000D_
    Next colHeader_x000D_
    _x000D_
    targetTable = sheetName_x000D_
    _x000D_
    ' Add tracking columns for source using bulk operations_x000D_
    Dim sourcePartyCol As ListColumn_x000D_
    Dim sourceKindCol As ListColumn_x000D_
    _x000D_
    ' Add columns_x000D_
    Set sourcePartyCol = stbl.ListColumns.Add_x000D_
    sourcePartyCol.name = "transfer party " &amp; timeFormatLong_x000D_
    _x000D_
    Set sourceKindCol = stbl.ListColumns.Add_x000D_
    sourceKindCol.name = "transfer kind " &amp; timeFormatLong_x000D_
    _x000D_
    ' Prepare arrays for bulk update_x000D_
    Dim rowCount As Long_x000D_
    rowCount = stbl.ListRows.count_x000D_
    _x000D_
    Dim partyValues() As Variant_x000D_
    Dim kindValues() As Variant_x000D_
    ReDim partyValues(1 To rowCount, 1 To 1)_x000D_
    ReDim kindValues(1 To rowCount, 1 To 1)_x000D_
    _x000D_
    ' Fill arrays_x000D_
    Dim j As Long_x000D_
    For j = 1 To rowCount_x000D_
        partyValues(j, 1) = "source"_x000D_
        kindValues(j, 1) = "create target"_x000D_
    Next j_x000D_
    _x000D_
    ' Bulk update source columns_x000D_
    sourcePartyCol.DataBodyRange.Value = partyValues_x000D_
    sourceKindCol.DataBodyRange.Value = kindValues_x000D_
    _x000D_
    ' Add traceability information for target table using bulk operations_x000D_
    Dim targetPartyCol As ListColumn_x000D_
    Dim targetKindCol As ListColumn_x000D_
    _x000D_
    ' Add columns_x000D_
    Set targetPartyCol = ttbl.ListColumns.Add_x000D_
    targetPartyCol.name = "transfer party c " &amp; timeFormatLong_x000D_
    _x000D_
    Set targetKindCol = ttbl.ListColumns.Add_x000D_
    targetKindCol.name = "transfer kind c " &amp; timeFormatLong_x000D_
    _x000D_
    ' Prepare arrays for target table_x000D_
    rowCount = ttbl.ListRows.count_x000D_
    ReDim partyValues(1 To rowCount, 1 To 1)_x000D_
    ReDim kindValues(1 To rowCount, 1 To 1)_x000D_
    _x000D_
    ' Fill arrays_x000D_
    For j = 1 To rowCount_x000D_
        partyValues(j, 1) = "target"_x000D_
        kindValues(j, 1) = "create target"_x000D_
    Next j_x000D_
    _x000D_
    ' Bulk update target columns_x000D_
    targetPartyCol.DataBodyRange.Value = partyValues_x000D_
    targetKindCol.DataBodyRange.Value = kindValues_x000D_
    _x000D_
    Application.EnableEvents = True_x000D_
    Application.Calculation = xlCalculationAutomatic_x000D_
    Application.ScreenUpdating = True_x000D_
End Sub_x000D_
_x000D_
_x000D_
'currently not used_x000D_
</t>
  </si>
  <si>
    <t xml:space="preserve">Sub createBackupTransfer(mode As Boolean)_x000D_
_x000D_
    Application.ScreenUpdating = False_x000D_
    _x000D_
    If mode = False Then_x000D_
_x000D_
        Sheets(sourceTable).Copy After:=Sheets(Sheets.count)_x000D_
        ThisWorkbook.Sheets(Sheets.count).name = "source_backup_bT_" &amp; Format(transferTime, "YYYYMMDDHHMM")_x000D_
    _x000D_
        If targetTable &lt;&gt; "no selection" Then_x000D_
            Sheets(targetTable).Copy After:=Sheets(Sheets.count)_x000D_
            ThisWorkbook.Sheets(Sheets.count).name = "target_backup_bT_" &amp; Format(transferTime, "YYYYMMDDHHMM")_x000D_
        End If_x000D_
        _x000D_
    ElseIf mode = True Then_x000D_
    _x000D_
        Sheets(sourceTable).Copy After:=Sheets(Sheets.count)_x000D_
        ThisWorkbook.Sheets(Sheets.count).name = "source_backup_aT_" &amp; Format(transferTime, "YYYYMMDDHHMM")_x000D_
    _x000D_
        If targetTable &lt;&gt; "no selection" Then_x000D_
            Sheets(targetTable).Copy After:=Sheets(Sheets.count)_x000D_
            ThisWorkbook.Sheets(Sheets.count).name = "target_backup_aT_" &amp; Format(transferTime, "YYYYMMDDHHMM")_x000D_
        End If_x000D_
        _x000D_
    End If_x000D_
_x000D_
    Sheets(1).Select_x000D_
_x000D_
    Application.ScreenUpdating = True_x000D_
_x000D_
End Sub_x000D_
_x000D_
_x000D_
_x000D_
_x000D_
_x000D_
_x000D_
_x000D_
_x000D_
_x000D_
_x000D_
_x000D_
_x000D_
</t>
  </si>
  <si>
    <t xml:space="preserve">Sub ListBox1_DblClick(ByVal Cancel As MSForms.ReturnBoolean)_x000D_
    backupTable = Me.ListBox1.Text_x000D_
    Unload Me_x000D_
End Sub_x000D_
Private </t>
  </si>
  <si>
    <t xml:space="preserve">Sub UserForm_Initialize()_x000D_
    Dim Sh As Worksheet_x000D_
    Dim tbl As ListObject_x000D_
    Dim str As String_x000D_
    For Each Sh In ThisWorkbook.Worksheets_x000D_
        For Each tbl In Sh.ListObjects_x000D_
            str = Sh.name &amp; " (" &amp; tbl.name &amp; ")"_x000D_
            Me.ListBox1.AddItem str_x000D_
        Next tbl_x000D_
    Next Sh_x000D_
End Sub_x000D_
Private </t>
  </si>
  <si>
    <t>::ReferencesByListener</t>
  </si>
  <si>
    <t xml:space="preserve">Sub updateIdOnNameChange(cellRef, referingTableName, referingColumnName, referedTableName, referedColumnName)_x000D_
Dim refTbl As ListObject_x000D_
    Application.EnableEvents = False_x000D_
    Application.Undo_x000D_
    OldFormula = cellRef.formula_x000D_
    Application.Undo_x000D_
    Application.EnableEvents = True_x000D_
    _x000D_
    Set referingTable = ActiveSheet.ListObjects(referingTableName)_x000D_
    'NON GENERIC: Set referingTableRefIdColumn = referingTable.ListColumns("Generalization:src")_x000D_
    Set referingTableRefIdColumn = referingTable.ListColumns(referingColumnName &amp; ":src")_x000D_
    referingRowIndex = getReferingRowIndex(cellRef, referingTable) 'to find out which row of the table changed_x000D_
_x000D_
    'THIS REPLACES LATER refNameValue = referingTable.DataBodyRange.Cells(referingRowIndex, referingTableRefNameColumn.Index)'_x000D_
    _x000D_
    refNameValue = cellRef.Value_x000D_
    'TODO here eventually UPDATE: for now only supporting entering the display column values directly!!_x000D_
    'to have it in synch with inter table ref mechanism... apply CamelCaseUpper instead of just replacing the spaces._x000D_
    refNameValue = Replace(refNameValue, " ", "")_x000D_
    If refNameValue = "" Then_x000D_
        'POSSIBLE IMPROVEMENT: do enable events FALS at very begining, and reset only at very end!!!!_x000D_
        Application.EnableEvents = False_x000D_
        cellRef.formula = OldFormula_x000D_
        referingTableRefIdColumn.DataBodyRange(referingRowIndex) = ""_x000D_
        Application.EnableEvents = True_x000D_
    Else_x000D_
         'NON GENERIC: Set referingTableRefNameColumn = referingTable.ListColumns("Generalization")_x000D_
         'Q stuff removed:_x000D_
         'Set referingTablePackageColumn = referingTable.ListColumns("Package")_x000D_
         Set referingTableRefNameColumn = referingTable.ListColumns(referingColumnName)_x000D_
         '_x000D_
         For Each sht In ActiveWorkbook.Worksheets_x000D_
             For Each tbl In sht.ListObjects_x000D_
                 If tbl.name = referedTableName Then_x000D_
                      Set refTbl = tbl_x000D_
                 End If_x000D_
              Next tbl_x000D_
         Next sht_x000D_
         Set referedTable = refTbl_x000D_
         Set referedTableIdColumn = referedTable.ListColumns("ID")_x000D_
         Set referedTableNameColumn = referedTable.ListColumns(referedColumnName)_x000D_
         referedRowIndex = getMatchingRowIndex(refNameValue, referedTableNameColumn)_x000D_
         'Q stuff removed:_x000D_
         'Set referedTableNameQColumn = referedTable.ListColumns(referedColumnName &amp; ":q")_x000D_
         _x000D_
         'Q stuff removed:_x000D_
         'referingRowPackageValue = referingTable.DataBodyRange.Cells(referingRowIndex, referingTablePackageColumn.Index)_x000D_
         'Q stuff removed:_x000D_
         'TODO: here make the packkage all lower case, accepting only letters and ::_x000D_
         'Q stuff removed:_x000D_
         'referingRowPackageValue = Replace(referingRowPackageValue, " ", "")_x000D_
         'refNameQValue = refNameValue_x000D_
         'Q stuff removed:_x000D_
         'If InStr(refNameValue, "::") = 0 Then_x000D_
         '   If referingRowPackageValue &lt;&gt; "" Then_x000D_
         '         refNameQValue = referingRowPackageValue &amp; "::" &amp; refNameValue_x000D_
         '   End If'_x000D_
         'End If_x000D_
         'referedRowIndex = getMatchingRowIndex(refNameQValue, referedTableNameColumn)_x000D_
         _x000D_
         If referedRowIndex &lt;&gt; -1 Then_x000D_
             'if yes: leave the cell in it's current status, update the ID value, replace cell value by formular_x000D_
             'for that we need the changedSheet so we know which sheet the change was happening_x000D_
             referingTableRefIdColumn.DataBodyRange(referingRowIndex) = referedTable.DataBodyRange.Cells(referedRowIndex, referedTableIdColumn.Index)_x000D_
             Else_x000D_
                'try whether _ ID object exists:_x000D_
                'TODO here apply CamelCaseUpper instead of just replacing the spaces._x000D_
                refNameValue = Replace(refNameValue, " ", "")_x000D_
                refIDValue = "_" &amp; refNameValue_x000D_
                Set referedTableIdColumn = referedTable.ListColumns("ID")_x000D_
                referedRowIndex = getMatchingRowIndex(refIDValue, referedTableIdColumn)_x000D_
                If referedRowIndex &lt;&gt; -1 Then_x000D_
                    referingTableRefIdColumn.DataBodyRange(referingRowIndex) = refIDValue_x000D_
                End If_x000D_
         End If_x000D_
         Application.EnableEvents = False_x000D_
        cellRef.formula = OldFormula_x000D_
        Application.EnableEvents = True_x000D_
   End If_x000D_
End Sub_x000D_
_x000D_
_x000D_
Public </t>
  </si>
  <si>
    <t xml:space="preserve">Function getReferingRowIndex(cellRef, referingTable)_x000D_
    getReferingRowIndex = cellRef.row - referingTable.HeaderRowRange.row_x000D_
End Function_x000D_
_x000D_
_x000D_
_x000D_
Public </t>
  </si>
  <si>
    <t xml:space="preserve">Function getMatchingRowIndex(queryValue, listCol)_x000D_
    Set colValues = listCol.DataBodyRange_x000D_
    cellRowIndex = 0_x000D_
    For Each colValue In colValues    ' go through all possible values_x000D_
        cellRowIndex = cellRowIndex + 1_x000D_
        If colValue = queryValue Then_x000D_
            ' return the matching row_x000D_
            getMatchingRowIndex = cellRowIndex_x000D_
            Exit Function_x000D_
        End If_x000D_
    Next colValue_x000D_
    ' return -1 if not found_x000D_
    getMatchingRowIndex = -1_x000D_
End Function_x000D_
</t>
  </si>
  <si>
    <t>::Cache</t>
  </si>
  <si>
    <t xml:space="preserve">' Module-level variables for table caching_x000D_
Public srcTableCache As Collection_x000D_
Public srcTableNames As Collection_x000D_
Private lastTableCount As Long ' Track table count to detect changes_x000D_
_x000D_
Public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</si>
  <si>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_x000D_
    ' Update table count_x000D_
    lastTableCount = srcTableCache.count_x000D_
    Debug.Print "Table cache initialized with " &amp; lastTableCount &amp; " tables"_x000D_
End Sub_x000D_
_x000D_
' Manual refresh option_x000D_
Public </t>
  </si>
  <si>
    <t xml:space="preserve">Sub RefreshTableCache()_x000D_
    InitializeTableCache_x000D_
End Sub_x000D_
_x000D_
' Check if cache needs refreshing based on table count_x000D_
Public </t>
  </si>
  <si>
    <t>Function NeedsCacheRefresh() As Boolean_x000D_
    Dim ws As Worksheet_x000D_
    Dim tblCount As Long_x000D_
    _x000D_
    tblCount = 0_x000D_
    For Each ws In ThisWorkbook.Worksheets_x000D_
        tblCount = tblCount + ws.ListObjects.count_x000D_
    Next ws_x000D_
    _x000D_
    NeedsCacheRefresh = (tblCount &lt;&gt; lastTableCount)_x000D_
    If NeedsCacheRefresh Then Debug.Print "Table count changed: " &amp; lastTableCount &amp; " -&gt; " &amp; tblCount_x000D_
End Function</t>
  </si>
  <si>
    <t xml:space="preserve"> _x000D_
_x000D_
Public </t>
  </si>
  <si>
    <t xml:space="preserve">Function evaluateExcelFormula(formula As String)_x000D_
Application.Volatile_x000D_
evaluateExcelFormula = Application.Caller.Parent.Evaluate(formula)_x000D_
End Function_x000D_
_x000D_
Public </t>
  </si>
  <si>
    <t xml:space="preserve">Sub clearRefreshNamesTable()_x000D_
    Call clearNamesTable_x000D_
    Call complementNamesTable_x000D_
End Sub_x000D_
_x000D_
Private </t>
  </si>
  <si>
    <t xml:space="preserve">Sub ensureNamesTableExists()_x000D_
_x000D_
    Dim wsNames    As Worksheet_x000D_
    Dim wsCols     As Worksheet_x000D_
    Dim loNames    As ListObject_x000D_
    Dim loCols     As ListObject_x000D_
    Dim hdrs       As Variant_x000D_
_x000D_
    ' 1) Ensure the ÒNamesÓ sheet exists_x000D_
    On Error Resume Next_x000D_
    Set wsNames = ThisWorkbook.Worksheets("Names")_x000D_
    On Error GoTo 0_x000D_
    _x000D_
    If wsNames Is Nothing Then_x000D_
        ' add it at the end of the workbook_x000D_
        Set wsNames = ThisWorkbook.Worksheets.Add( __x000D_
            After:=ThisWorkbook.Worksheets(ThisWorkbook.Worksheets.count))_x000D_
        wsNames.name = "Names"_x000D_
    End If_x000D_
    _x000D_
    ' 2) Ensure meta_Names table exists_x000D_
    On Error Resume Next_x000D_
    Set loNames = wsNames.ListObjects("meta_Names")_x000D_
    On Error GoTo 0_x000D_
    _x000D_
    If loNames Is Nothing Then_x000D_
        hdrs = Array( __x000D_
          "ID", __x000D_
          "String", __x000D_
          "Business", __x000D_
          "Camel Upper", __x000D_
          "Camel Lower", __x000D_
          "Business from Camel", __x000D_
          "Camel Upper from Business", __x000D_
          "Camel Lower from Business" __x000D_
        )_x000D_
        _x000D_
        With wsNames_x000D_
            ' write headers into row 1, cols A:H_x000D_
            .Rows(1).Resize(1, UBound(hdrs) + 1).Value = hdrs_x000D_
            Set loNames = .ListObjects.Add( __x000D_
                SourceType:=xlSrcRange, __x000D_
                Source:=.Range(.Cells(1, 1), .Cells(1, UBound(hdrs) + 1)), __x000D_
                XlListObjectHasHeaders:=xlYes __x000D_
            )_x000D_
            loNames.name = "meta_Names"_x000D_
        End With_x000D_
        loNames.ListRows.Add_x000D_
        loNames.ListRows(1).Range.Cells(1, 1).Value = "___meta_NamesRowTemplate"_x000D_
    End If_x000D_
    _x000D_
End Sub_x000D_
_x000D_
_x000D_
Public </t>
  </si>
  <si>
    <t xml:space="preserve">Sub clearNamesTable()_x000D_
    ' Speed optimizations_x000D_
    With Application_x000D_
        .ScreenUpdating = False_x000D_
        .EnableEvents = False_x000D_
        .Calculation = xlCalculationManual_x000D_
    End With_x000D_
    _x000D_
    Dim wsNames As Worksheet_x000D_
    Dim loNames As ListObject_x000D_
    Dim rngTbl  As Range_x000D_
    _x000D_
    Call ensureNamesTableExists_x000D_
_x000D_
    ' 1 If the "Names" sheet exists_x000D_
    On Error Resume Next_x000D_
    Set wsNames = ThisWorkbook.Worksheets("Names")_x000D_
    On Error GoTo Cleanup_x000D_
_x000D_
    If Not wsNames Is Nothing Then_x000D_
        ' 2 and the meta_Names table existsÉ_x000D_
        On Error Resume Next_x000D_
        Set loNames = wsNames.ListObjects("meta_Names")_x000D_
        On Error GoTo Cleanup_x000D_
_x000D_
        If Not loNames Is Nothing Then_x000D_
            If Not loNames.DataBodyRange Is Nothing Then_x000D_
                loNames.DataBodyRange.Delete_x000D_
                loNames.ListRows.Add.Range.Cells(1, 1).Value = "___meta_NamesRowTemplate"_x000D_
            End If_x000D_
        End If_x000D_
    End If_x000D_
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_x000D_
End Sub_x000D_
_x000D_
Public </t>
  </si>
  <si>
    <t xml:space="preserve">Sub complementNamesTable()_x000D_
    On Error GoTo 0_x000D_
    _x000D_
    Dim wsNames    As Worksheet_x000D_
    Dim wsCols     As Worksheet_x000D_
    Dim loNames    As ListObject_x000D_
    Dim loCols     As ListObject_x000D_
    Dim hdrs       As Variant_x000D_
    Dim i          As Long_x000D_
    _x000D_
    ' Speed optimizations_x000D_
    With Application_x000D_
        .ScreenUpdating = False_x000D_
        .EnableEvents = False_x000D_
        .Calculation = xlCalculationManual_x000D_
    End With_x000D_
    _x000D_
    ' 1) Ensure the ÒNamesÓ sheet exists_x000D_
    Call ensureNamesTableExists_x000D_
    _x000D_
    ' 2) Walk through meta_Columns_x000D_
    Set wsCols = ThisWorkbook.Worksheets("Columns")_x000D_
    Set loCols = wsCols.ListObjects("meta_Columns")_x000D_
    _x000D_
    Dim idxType   As Long_x000D_
    Dim idxTable  As Long_x000D_
    Dim idxLabel  As Long_x000D_
    _x000D_
    With loCols_x000D_
        idxType = .ListColumns("Excel Column - String Type").Index_x000D_
        idxTable = .ListColumns("_Tables").Index_x000D_
        idxLabel = .ListColumns("Excel Column - Label").Index_x000D_
        _x000D_
        For i = 1 To .ListRows.count_x000D_
            With .ListRows(i).Range_x000D_
                If LCase(.Cells(1, idxType).Value) = "x" Then_x000D_
                    Dim tblName As String_x000D_
                    Dim colName As String_x000D_
                    Dim srcTbl  As ListObject_x000D_
                    Dim dataRng As Range_x000D_
                    _x000D_
                    tblName = CStr(.Cells(1, idxTable).Value)_x000D_
                    colName = CStr(.Cells(1, idxLabel).Value)_x000D_
                    _x000D_
                    ' grab the table object from your cache_x000D_
                    Set srcTbl = srcTableCache(tblName)_x000D_
                    _x000D_
                    ' get that column's data_x000D_
                    On Error Resume Next_x000D_
                    Set dataRng = srcTbl.ListColumns(colName).DataBodyRange_x000D_
                    _x000D_
                    _x000D_
                    ' iterate its cells_x000D_
                    If Not dataRng Is Nothing Then_x000D_
                        Dim cell As Range_x000D_
                        For Each cell In dataRng.Cells_x000D_
                            If Len(Trim(cell.Value)) &gt; 0 Then_x000D_
                                addToNames CStr(cell.Value)_x000D_
                            End If_x000D_
                        Next cell_x000D_
                    End If_x000D_
                End If_x000D_
            End With_x000D_
        Next i_x000D_
    End With_x000D_
    _x000D_
    On Error GoTo 0_x000D_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End Sub_x000D_
_x000D_
Private </t>
  </si>
  <si>
    <t xml:space="preserve">Sub addToNames(ByVal x As String)_x000D_
    Dim lo      As ListObject_x000D_
    Dim found   As Range_x000D_
    Dim newRow  As ListRow_x000D_
    Dim arr     As Variant_x000D_
    Dim iCols   As Long_x000D_
    _x000D_
    Call ensureNamesTableExists_x000D_
    _x000D_
    ' point at the meta_Names table_x000D_
    Set lo = ThisWorkbook.Worksheets("Names") __x000D_
                .ListObjects("meta_Names")_x000D_
    _x000D_
    ' if it has any data, try to find x literally in the String column_x000D_
_x000D_
_x000D_
    stringColIndex = lo.ListColumns("String").Index_x000D_
_x000D_
        ' try to find an existing row_x000D_
        If Not lo.DataBodyRange Is Nothing Then_x000D_
            Set found = lo.ListColumns(stringColIndex).DataBodyRange.Find( __x000D_
                What:=Replace(Replace(Replace(x, "~", "~~"), "*", "~*"), "?", "~?"), __x000D_
                LookIn:=xlValues, LookAt:=xlWhole)_x000D_
   _x000D_
        If Not found Is Nothing Then Exit </t>
  </si>
  <si>
    <t xml:space="preserve">Sub   ' already there_x000D_
    End If_x000D_
    _x000D_
    ' compute all transformations_x000D_
    inputString = checkAndReplaceFaultyCharacters(x)_x000D_
    ' business_x000D_
    Set segments = stringToBusinessSegments(inputString)_x000D_
    ReDim segmentsArray(1 To segments.count)_x000D_
    For i = 1 To segments.count_x000D_
        segmentsArray(i) = segments(i)_x000D_
    Next i_x000D_
    _x000D_
    busVal = Join(segmentsArray, "")_x000D_
    _x000D_
    ' camel case upper_x000D_
    Set segments = businessToCamelSegments(busVal)_x000D_
    resultString = ""_x000D_
    For Each segment In segments_x000D_
        resultString = resultString &amp; segment_x000D_
    Next segment_x000D_
    resultString = Replace(resultString, "____", "__")_x000D_
    _x000D_
    upVal = resultString_x000D_
    _x000D_
    ' camel case lower_x000D_
    _x000D_
    loVal = LCase(Left(upVal, 1)) &amp; Mid(upVal, 2)_x000D_
    _x000D_
    ' business from Camel_x000D_
    Set segments = camelToBusinessSegments(upVal)_x000D_
    ReDim segmentsArray(1 To segments.count)_x000D_
    For i = 1 To segments.count_x000D_
        segmentsArray(i) = segments(i)_x000D_
    Next i_x000D_
    Dim busValC As String_x000D_
    busValC = Join(segmentsArray, "")_x000D_
    busValC = standardizeWhiteSpaceAndCapatilization(busValC)_x000D_
    _x000D_
    busValC = handleLists(busValC)_x000D_
_x000D_
    _x000D_
    _x000D_
_x000D_
    '  add a new row at the bottom_x000D_
    Set newRow = lo.ListRows.Add_x000D_
    _x000D_
    ' build array for ALL columns in header order:_x000D_
    '    [ID], [String], [Business], [Camel Upper], [Camel Lower],_x000D_
_x000D_
    colCount = lo.ListColumns.count_x000D_
    ReDim arr(1 To 1, 1 To colCount)_x000D_
    For j = 1 To colCount_x000D_
        arr(1, j) = ""       ' explicitly blank every column_x000D_
    Next j_x000D_
    _x000D_
    Dim idxID   As Long: idxID = lo.ListColumns("ID").Index_x000D_
    Dim idxStr  As Long: idxStr = lo.ListColumns("String").Index_x000D_
    Dim idxBus  As Long: idxBus = lo.ListColumns("Business").Index_x000D_
    Dim idxUp   As Long: idxUp = lo.ListColumns("Camel Upper").Index_x000D_
    Dim idxLo   As Long: idxLo = lo.ListColumns("Camel Lower").Index_x000D_
    Dim idxBusC As Long: idxBusC = lo.ListColumns("Business from Camel").Index_x000D_
    Dim idxUpB  As Long: idxUpB = lo.ListColumns("Camel Upper from Business").Index_x000D_
    Dim idxLoB  As Long: idxLoB = lo.ListColumns("Camel Lower from Business").Index_x000D_
    _x000D_
    ' leave arr(1,1) blank (ID) or fill if you have logic_x000D_
    arr(1, idxStr) = "'" &amp; x ' avoid inconsistencies due to implicit-intersection operator_x000D_
    arr(1, idxBus) = "'" &amp; busVal ' avoid inconsistencies due to implicit-intersection operator_x000D_
    arr(1, idxUp) = upVal_x000D_
    arr(1, idxLo) = loVal_x000D_
    arr(1, idxBusC) = "'" &amp; busValC ' avoid inconsistencies due to implicit-intersection operator_x000D_
    arr(1, idxUpB) = upVal ' same calculation as upVal_x000D_
    arr(1, idxLoB) = loVal ' same calculation as loVal_x000D_
_x000D_
    _x000D_
    ' PUSH all 8 values in one go_x000D_
    newRow.Range.Value = arr_x000D_
    _x000D_
End Sub_x000D_
' MAIN </t>
  </si>
  <si>
    <t xml:space="preserve">Function 1: Converts string to CamelUpper_x000D_
Public </t>
  </si>
  <si>
    <t xml:space="preserve">Function camelCaseUpper(ByVal inputString As String) As String_x000D_
    'On Error GoTo ErrorHandler ' Enable error handling_x000D_
_x000D_
      camelCaseUpper = getName(inputString, "String", "Camel Upper")_x000D_
    _x000D_
    Exit Function_x000D_
ErrorHandler:_x000D_
    ' Error handling logic_x000D_
    camelCaseUpper = "" ' Return an empty string in case of an error_x000D_
End Function_x000D_
_x000D_
' MAIN </t>
  </si>
  <si>
    <t xml:space="preserve">Function 2: Converts string to CamelLower_x000D_
Public </t>
  </si>
  <si>
    <t xml:space="preserve">Function camelCaseLower(ByVal inputString As String) As String_x000D_
    'On Error GoTo ErrorHandler ' Enable error handling_x000D_
    _x000D_
      camelCaseLower = getName(inputString, "String", "Camel Lower")_x000D_
_x000D_
    Exit Function_x000D_
ErrorHandler:_x000D_
    ' Error handling logic_x000D_
    camelCaseLower = "" ' Return an empty string in case of an error_x000D_
End Function_x000D_
_x000D_
' MAIN </t>
  </si>
  <si>
    <t xml:space="preserve">Function 3: Converts Camel case string to Business_x000D_
Public </t>
  </si>
  <si>
    <t xml:space="preserve">Function camelCaseToBusiness(ByVal inputString As String) As String_x000D_
    'On Error GoTo ErrorHandler ' Enable error handling_x000D_
    _x000D_
      camelCaseToBusiness = getName(inputString, "Camel Upper", "Business from Camel")_x000D_
    _x000D_
    Exit Function_x000D_
_x000D_
ErrorHandler:_x000D_
    ' Error handling logic_x000D_
    camelCaseToBusiness = "" ' Return an empty string in case of an error_x000D_
End Function_x000D_
_x000D_
_x000D_
_x000D_
' MAIN </t>
  </si>
  <si>
    <t xml:space="preserve">Function 4: Converts a regular string to Business_x000D_
Public </t>
  </si>
  <si>
    <t xml:space="preserve">Function stringToBusiness(ByVal inputString As String) As String_x000D_
    'On Error GoTo ErrHandler ' Enable error handling_x000D_
    _x000D_
    stringToBusiness = getName(inputString, "String", "Business")_x000D_
    _x000D_
    Exit Function_x000D_
_x000D_
ErrHandler:_x000D_
    'MsgBox "Error #" &amp; Err.Number &amp; ": " &amp; Err.Description, vbExclamation, "error"_x000D_
_x000D_
End Function_x000D_
_x000D_
' MAIN </t>
  </si>
  <si>
    <t xml:space="preserve">Function 5: Converts Business string to CamelUpper_x000D_
Public </t>
  </si>
  <si>
    <t xml:space="preserve">Function businessToCamelCaseUpper(ByVal inputString As String) As String_x000D_
    'On Error GoTo ErrorHandler ' Enable error handling_x000D_
    _x000D_
    businessToCamelCaseUpper = getName(inputString, "Business", "Camel Upper from Business")_x000D_
    _x000D_
    Exit Function_x000D_
_x000D_
ErrorHandler:_x000D_
    ' Error handling logic_x000D_
    businessToCamelCaseUpper = "" ' Return an empty string in case of an error_x000D_
_x000D_
End Function_x000D_
_x000D_
' MAIN </t>
  </si>
  <si>
    <t xml:space="preserve">Function 6: Converts Business string to CamelLower, uses businessToCamelCaseUpper_x000D_
Public </t>
  </si>
  <si>
    <t xml:space="preserve">Function businessToCamelCaseLower(ByVal inputString As String) As String_x000D_
    'On Error GoTo ErrorHandler ' Enable error handling_x000D_
    _x000D_
    businessToCamelCaseLower = getName(inputString, "Business", "Camel Lower from Business")_x000D_
    _x000D_
    Exit Function_x000D_
_x000D_
ErrorHandler:_x000D_
    ' Error handling logic_x000D_
    businessToCamelCaseLower = "" ' Return an empty string in case of an error_x000D_
End Function_x000D_
_x000D_
' helper: find or create a row in meta_Names and fill missing fields_x000D_
Private </t>
  </si>
  <si>
    <t xml:space="preserve">Function getName(ByVal inputString As String, ByVal inputType As String, ByVal targetType As String) As String_x000D_
    On Error GoTo 0_x000D_
    Dim lo            As ListObject_x000D_
    Dim lr            As ListRow_x000D_
    Dim f             As Range_x000D_
    _x000D_
    Call ensureNamesTableExists_x000D_
_x000D_
    Set lo = ThisWorkbook.Sheets("Names").ListObjects("meta_Names")_x000D_
    _x000D_
    With lo_x000D_
    _x000D_
      inputColIndex = .ListColumns(inputType).Index_x000D_
_x000D_
        ' try to find an existing row_x000D_
        If Not .DataBodyRange Is Nothing Then_x000D_
            Set f = .ListColumns(inputColIndex).DataBodyRange.Find( __x000D_
                What:=Replace(Replace(Replace(inputString, "~", "~~"), "*", "~*"), "?", "~?"), __x000D_
                LookIn:=xlValues, LookAt:=xlWhole)_x000D_
        _x000D_
            If Not f Is Nothing Then_x000D_
                ' row found_x000D_
                Set lr = .ListRows(f.row - .HeaderRowRange.row)_x000D_
                targetString = lr.Range.Cells(1, lr.Parent.ListColumns(targetType).Index).Value_x000D_
                If Len(targetString) &gt;= 0 Then_x000D_
                    ' target string found, return it_x000D_
                    getName = targetString_x000D_
                    Exit Function_x000D_
                End If_x000D_
            End If_x000D_
        End If_x000D_
    End With_x000D_
      _x000D_
    Select Case targetType_x000D_
    _x000D_
        Case "Business"_x000D_
            ' business from string_x000D_
            inputString = checkAndReplaceFaultyCharacters(inputString)_x000D_
            Set segments = stringToBusinessSegments(inputString)_x000D_
            ReDim segmentsArray(1 To segments.count)_x000D_
            For i = 1 To segments.count_x000D_
                segmentsArray(i) = segments(i)_x000D_
            Next i_x000D_
            busVal = Join(segmentsArray, "")_x000D_
            getName = busVal_x000D_
            Exit Function_x000D_
    _x000D_
        Case "Business from Camel"_x000D_
            ' business from cc_x000D_
             _x000D_
             Set segments = camelToBusinessSegments(inputString)_x000D_
             ReDim segmentsArray(1 To segments.count)_x000D_
             For i = 1 To segments.count_x000D_
                 segmentsArray(i) = segments(i)_x000D_
             Next i_x000D_
             Dim busValC As String_x000D_
             busValC = Join(segmentsArray, "")_x000D_
             busValC = standardizeWhiteSpaceAndCapatilization(busValC)_x000D_
             busValC = handleLists(busValC)_x000D_
             _x000D_
             getName = busValC_x000D_
             Exit Function_x000D_
        _x000D_
        Case "Camel Upper", "Camel Lower"_x000D_
            ' camel upper_x000D_
_x000D_
            inputString = checkAndReplaceFaultyCharacters(inputString)_x000D_
          _x000D_
            ' business_x000D_
            Set segments = stringToBusinessSegments(inputString)_x000D_
            ReDim segmentsArray(1 To segments.count)_x000D_
            For i = 1 To segments.count_x000D_
                segmentsArray(i) = segments(i)_x000D_
            Next i_x000D_
            busVal = Join(segmentsArray, "")_x000D_
            _x000D_
            _x000D_
            ' camel case upper_x000D_
            Set segments = businessToCamelSegments(busVal)_x000D_
            resultString = ""_x000D_
            For Each segment In segments_x000D_
                'Debug.Print segment_x000D_
                resultString = resultString &amp; segment_x000D_
            Next segment_x000D_
            'handle additional underscores for visibility_x000D_
            resultString = Replace(resultString, "____", "__")_x000D_
            upVal = resultString_x000D_
            _x000D_
            If targetType = "Camel Upper" Then_x000D_
                'cc upper_x000D_
                getName = upVal_x000D_
                Exit Function_x000D_
            Else_x000D_
                ' cc lower_x000D_
                loVal = LCase(Left(upVal, 1)) &amp; Mid(upVal, 2)_x000D_
                getName = loVal_x000D_
                Exit Function_x000D_
            End If_x000D_
            _x000D_
        Case "Camel Upper from Business", "Camel Lower from Business"_x000D_
            _x000D_
            inputString = checkAndReplaceFaultyCharacters(inputString)_x000D_
_x000D_
            Set segments = businessToCamelSegments(inputString)_x000D_
            _x000D_
            resultString = ""_x000D_
            For Each segment In segments_x000D_
                'Debug.Print segment_x000D_
                resultString = resultString &amp; segment_x000D_
            Next segment_x000D_
            _x000D_
            'handle additional underscores for visibility_x000D_
            resultString = Replace(resultString, "____", "__")_x000D_
            _x000D_
            upValB = resultString_x000D_
            _x000D_
            If targetType = "Camel Upper from Business" Then_x000D_
                'cc upper from business_x000D_
                getName = upValB_x000D_
                Exit Function_x000D_
            Else_x000D_
                ' cc lower_x000D_
                loValB = LCase(Left(upValB, 1)) &amp; Mid(upValB, 2)_x000D_
                getName = loValB_x000D_
                Exit Function_x000D_
            End If_x000D_
            _x000D_
            _x000D_
        End Select_x000D_
ErrHandler:_x000D_
    'MsgBox "Error #" &amp; Err.Number &amp; ": " &amp; Err.Description, vbExclamation, "GetOrUpdateNameRow"_x000D_
    _x000D_
End Function_x000D_
_x000D_
'TODO without seperator versions/with fixed length versions_x000D_
_x000D_
' HELPER_x000D_
_x000D_
' Entry from Utils_x000D_
Public </t>
  </si>
  <si>
    <t xml:space="preserve">Function stringToBusinessSegments(ByVal inputString As String) As Collection_x000D_
    Dim segments As New Collection_x000D_
    Dim temp As String_x000D_
    Dim i As Integer_x000D_
    Dim segmentArray() As String_x000D_
    Dim currentSegment As String_x000D_
    _x000D_
    ' Process the string as per the original function_x000D_
    temp = separateCamelCaseWords(inputString)_x000D_
    'Debug.Print temp_x000D_
    temp = standardizeWhiteSpaceAndCapatilization(temp)_x000D_
    'Debug.Print temp_x000D_
    _x000D_
    temp = handleLists(temp)_x000D_
    'Debug.Print temp_x000D_
    'temp = checkAndReplaceFaultyCharacters(temp)_x000D_
    'Debug.Print temp_x000D_
    _x000D_
    ' Initialize currentSegment as an empty string_x000D_
    currentSegment = ""_x000D_
    _x000D_
    ' Iterate through the characters in the string_x000D_
    For i = 1 To Len(temp)_x000D_
        If Mid(temp, i, 1) = " " Then_x000D_
            ' If a space is encountered_x000D_
            If Len(currentSegment) &gt; 0 Then_x000D_
                ' Add the current segment (before space) to the collection_x000D_
                segments.Add currentSegment_x000D_
                'Debug.Print "Segment " &amp; segments.Count &amp; ": (" &amp; currentSegment &amp; ")"_x000D_
                currentSegment = "" ' Reset currentSegment_x000D_
            End If_x000D_
            ' Add the space itself as a segment_x000D_
            segments.Add " "_x000D_
            'Debug.Print "Segment " &amp; segments.Count &amp; ": ( )"_x000D_
        Else_x000D_
            ' If it's not a space, continue building the current segment_x000D_
            currentSegment = currentSegment &amp; Mid(temp, i, 1)_x000D_
        End If_x000D_
    Next i_x000D_
    _x000D_
    ' Add the last segment if it exists_x000D_
    If Len(currentSegment) &gt; 0 Then_x000D_
        segments.Add currentSegment_x000D_
        'Debug.Print "Segment " &amp; segments.Count &amp; ": (" &amp; currentSegment &amp; ")"_x000D_
    End If_x000D_
    _x000D_
    ' Return the Collection_x000D_
    Set stringToBusinessSegments = segments_x000D_
End Function_x000D_
_x000D_
_x000D_
' Entry from Utils_x000D_
Public </t>
  </si>
  <si>
    <t xml:space="preserve">Function businessToCamelSegments(ByVal inputString As String) As Collection_x000D_
    Dim segments As New Collection_x000D_
    Dim i As Integer_x000D_
    Dim isFirstLine As Boolean_x000D_
    Dim lineArray() As String_x000D_
    Dim currentLine As String_x000D_
    Dim encodedLine As String_x000D_
    Dim leadingSpaces As Integer_x000D_
    Dim linePrefix As String_x000D_
_x000D_
    ' Step 1: Split the input string by lines first_x000D_
    lineArray = Split(inputString, Chr(10))_x000D_
    _x000D_
    ' Initialize a flag for the first line_x000D_
    isFirstLine = True_x000D_
    _x000D_
    ' Step 2: Process each line separately_x000D_
    For i = LBound(lineArray) To UBound(lineArray)_x000D_
        ' Preserve leading spaces in each line_x000D_
        leadingSpaces = getLeadingSpaces(lineArray(i))_x000D_
        linePrefix = ""_x000D_
        _x000D_
        _x000D_
        ' Apply "N_" prefix only for the first line if it starts with a number_x000D_
        If isFirstLine And Len(Trim(lineArray(i))) &gt; 0 And IsNumeric(Left(Trim(lineArray(i)), 1)) Then_x000D_
            lineArray(i) = "N" &amp; Trim(lineArray(i))_x000D_
        ElseIf Not isFirstLine And leadingSpaces &gt; 0 Then_x000D_
            linePrefix = "_" &amp; leadingSpaces &amp; "s__"_x000D_
            lineArray(i) = Trim(lineArray(i))_x000D_
        End If_x000D_
        _x000D_
_x000D_
        currentLine = lineArray(i)_x000D_
        _x000D_
        camelSegment = businessSegmentToCamelSegment(currentLine)_x000D_
    _x000D_
        camelSegment = Replace(camelSegment, " ", "")_x000D_
        _x000D_
        camelSegment = linePrefix &amp; camelSegment_x000D_
        _x000D_
            _x000D_
        _x000D_
        ' Add the processed line to the collection_x000D_
        segments.Add camelSegment_x000D_
        _x000D_
        ' Add a new-line-encoding after each line except the last one_x000D_
        If i &lt; UBound(lineArray) Then_x000D_
            segments.Add "_n__"_x000D_
        End If_x000D_
        isFirstLine = False ' Set flag to False after processing the first line_x000D_
    Next i_x000D_
_x000D_
    ' Return the collection of camel-case segments_x000D_
    Set businessToCamelSegments = segments_x000D_
    _x000D_
End Function_x000D_
_x000D_
_x000D_
' </t>
  </si>
  <si>
    <t xml:space="preserve">Function to retrieve the number of leading spaces from a string_x000D_
Public </t>
  </si>
  <si>
    <t xml:space="preserve">Function getLeadingSpaces(ByVal inputLine As String) As Integer_x000D_
    Dim i As Integer_x000D_
    For i = 1 To Len(inputLine)_x000D_
        If Mid(inputLine, i, 1) &lt;&gt; " " Then Exit For_x000D_
    Next i_x000D_
    getLeadingSpaces = i - 1_x000D_
End Function_x000D_
_x000D_
'NEXT 2_x000D_
Public </t>
  </si>
  <si>
    <t xml:space="preserve">Function businessSegmentToCamelSegment(ByVal inputString As String) As String_x000D_
    Dim wordArray() As String_x000D_
    Dim encodedStr As String_x000D_
    Dim result As String_x000D_
    Dim word As String_x000D_
    Dim i As Integer_x000D_
_x000D_
    wordArray = Split(inputString, " ")_x000D_
    _x000D_
    ' Handle Capitalization_x000D_
    For i = LBound(wordArray) + 1 To UBound(wordArray)_x000D_
        word = wordArray(i)_x000D_
        If Len(word) &gt; 0 And Not IsNumeric(Left(word, 1)) Then_x000D_
            encodedStr = UCase(Left(word, 1)) &amp; Mid(word, 2)_x000D_
            wordArray(i) = encodedStr_x000D_
        End If_x000D_
    Next i_x000D_
    _x000D_
    inputString = ""_x000D_
    For i = LBound(wordArray) To UBound(wordArray)_x000D_
        inputString = inputString + wordArray(i)_x000D_
        If i &lt; UBound(wordArray) Then_x000D_
            inputString = inputString + " "_x000D_
        End If_x000D_
    Next i_x000D_
    _x000D_
    'Debug.Print inputString_x000D_
    _x000D_
    'encodedStr = replaceUnderscores(encodedStr)_x000D_
    _x000D_
    encodedStr = Replace(inputString, "_", "_u__")_x000D_
    _x000D_
    encodedStr = addUnderscore(encodedStr)_x000D_
_x000D_
    _x000D_
    _x000D_
    ' Encode special characters in the segment_x000D_
    encodedStr = camelEncodeSpecialCharacters(encodedStr)_x000D_
    _x000D_
    ' Return the result_x000D_
    businessSegmentToCamelSegment = encodedStr_x000D_
End Function_x000D_
_x000D_
_x000D_
_x000D_
Public </t>
  </si>
  <si>
    <t xml:space="preserve">Function stringToCamelSegments(ByVal inputString As String) As Collection_x000D_
'TODO_x000D_
End Function_x000D_
_x000D_
_x000D_
Public </t>
  </si>
  <si>
    <t xml:space="preserve">Function camelToBusinessSegments(ByVal inputString As String) As Collection_x000D_
    Dim segments As New Collection_x000D_
    Dim lineArray() As String_x000D_
    Dim i As Integer_x000D_
    Dim reconstructedLine As String_x000D_
    Dim line As String_x000D_
_x000D_
_x000D_
    If Left(inputString, 2) Like "N[0-9]" Then_x000D_
        inputString = Mid(inputString, 2)_x000D_
    End If_x000D_
    _x000D_
    'inputString = Replace(inputString, "__", "____")_x000D_
    'Debug.Print inputString_x000D_
_x000D_
    ' Step 1: Split the input string by lines first_x000D_
    lineArray = Split(inputString, "_n__")_x000D_
    _x000D_
    ' Step 2: Process each line separately_x000D_
    For i = LBound(lineArray) To UBound(lineArray)_x000D_
        line = lineArray(i)_x000D_
        'Debug.Print line_x000D_
_x000D_
        _x000D_
        ' Check if the string starts with "_" and contains "s__",_x000D_
        ' and the part between them is numeric_x000D_
        If Left(line, 1) = "_" And InStr(line, "s__") &gt; 2 Then_x000D_
            ' Extract the part between "_" and "s__"_x000D_
            numStr = Mid(line, 2, InStr(line, "s__") - 2)_x000D_
            _x000D_
            ' Ensure the extracted part is a number_x000D_
            If IsNumeric(numStr) Then_x000D_
                numSpaces = CInt(numStr)_x000D_
                ' Replace the prefix with the appropriate number of spaces_x000D_
                line = String(numSpaces, " ") &amp; Mid(line, InStr(line, "s__") + 3)_x000D_
            End If_x000D_
        End If_x000D_
        _x000D_
        _x000D_
        _x000D_
        ' Decode special characters in each line_x000D_
        reconstructedLine = camelDecodeSpecialCharacters(line)_x000D_
_x000D_
        _x000D_
        ' Convert each segment in the line_x000D_
        segments.Add camelSegmentToBusinessSegment(reconstructedLine)_x000D_
        'Debug.Print camelSegmentToBusinessSegment(reconstructedLine)_x000D_
        _x000D_
        _x000D_
        _x000D_
        ' Add a vbCrLf after each line except the last one_x000D_
        If i &lt; UBound(lineArray) Then_x000D_
            segments.Add Chr(10)_x000D_
        End If_x000D_
    Next i_x000D_
_x000D_
    ReDim lineArray(1 To segments.count)_x000D_
    _x000D_
    For i = 1 To segments.count_x000D_
        lineArray(i) = segments(i)_x000D_
    Next i_x000D_
    _x000D_
    inputString = Join(lineArray, "")_x000D_
    Set segments = New Collection_x000D_
    inputString = handleLists(inputString)_x000D_
    lineArray = Split(inputString, Chr(10))_x000D_
    For i = LBound(lineArray) To UBound(lineArray)_x000D_
        segments.Add lineArray(i)_x000D_
        If i &lt; UBound(lineArray) Then_x000D_
            segments.Add Chr(10)_x000D_
        End If_x000D_
        Next i_x000D_
_x000D_
    ' Return the collection of business-case segments_x000D_
    Set camelToBusinessSegments = segments_x000D_
End Function_x000D_
_x000D_
_x000D_
_x000D_
Public </t>
  </si>
  <si>
    <t xml:space="preserve">Function camelSegmentToBusinessSegment(ByVal inputString As String) As String_x000D_
    Dim result As String_x000D_
    Dim i As Integer_x000D_
    Dim currentChar As String_x000D_
    Dim previousChar As String_x000D_
    _x000D_
    ' Initialize result with the first character_x000D_
    result = Left(inputString, 1)_x000D_
    previousChar = Left(inputString, 1)_x000D_
    _x000D_
    ' Step 1: Split based on capitalization and specific characters_x000D_
    For i = 2 To Len(inputString)_x000D_
        currentChar = Mid(inputString, i, 1)_x000D_
        _x000D_
        ' Check if the current character indicates a new segment_x000D_
        If (currentChar Like "[A-Z]" And (previousChar Like "[a-z]" Or previousChar Like "[0-9]")) Or __x000D_
           (currentChar Like "[a-z]" And previousChar Like "[0-9]") Or __x000D_
           (currentChar Like "[0-9]" And previousChar Like "[A-Za-z]") Then_x000D_
           'Or _ (Len(result) &gt; 0 And Len(Mid(result, InStrRev(result, " ") + 1)) = 1 And previousChar Like "[A-Z]" And currentChar Like "[A-Z]" And (i = Len(inputString) Or Mid(inputString, i + 1, 1) Like "[a-z]")) Then_x000D_
        _x000D_
            result = result &amp; " "_x000D_
        End If_x000D_
        _x000D_
        ' Append the current character to the result_x000D_
        result = result &amp; currentChar_x000D_
        previousChar = currentChar_x000D_
    Next i_x000D_
    _x000D_
    _x000D_
    'after splitting, handle small words_x000D_
    result = handleCapitalization(result)_x000D_
    result = separateCamelCaseWords(result)_x000D_
    _x000D_
    ' Step 2: Return the reconstructed segment_x000D_
    camelSegmentToBusinessSegment = result_x000D_
End Function_x000D_
_x000D_
_x000D_
Public </t>
  </si>
  <si>
    <t xml:space="preserve">Function camelToCamelSegments(ByVal inputString As String) As Collection_x000D_
'just split Camel segments_x000D_
End Function_x000D_
_x000D_
' HELPER FUNCTIONS'_x000D_
_x000D_
_x000D_
_x000D_
' Helper function: Remove double white spaces and clean up lines_x000D_
Public </t>
  </si>
  <si>
    <t xml:space="preserve">Function standardizeWhiteSpaceAndCapatilization(ByVal str As String) As String_x000D_
    Dim lines() As String_x000D_
    Dim i As Integer_x000D_
    Dim result As String_x000D_
    Dim lineContent As String_x000D_
    Dim firstNonWhitespaceFound As Boolean_x000D_
    Dim temp As String_x000D_
    _x000D_
    ' Step 1: Remove leading whitespaces_x000D_
    firstNonWhitespaceFound = False_x000D_
    For i = 1 To Len(str)_x000D_
        ' Check if the current character is not a space, tab, newline, or carriage return_x000D_
        If Mid(str, i, 1) &lt;&gt; " " And Asc(Mid(str, i, 1)) &lt;&gt; 9 And Asc(Mid(str, i, 1)) &lt;&gt; 10 And Asc(Mid(str, i, 1)) &lt;&gt; 13 Then_x000D_
            firstNonWhitespaceFound = True_x000D_
        End If_x000D_
        _x000D_
        ' If non-whitespace found, exit the loop_x000D_
        If firstNonWhitespaceFound Then_x000D_
            Exit For_x000D_
        End If_x000D_
    Next i_x000D_
    _x000D_
    ' Return the string starting from the first non-whitespace character_x000D_
    str = Mid(str, i)_x000D_
    _x000D_
    _x000D_
    ' Step 2: replace Tabs with three spaces_x000D_
    str = Replace(str, Chr(9), "   ")_x000D_
    _x000D_
    _x000D_
    _x000D_
    ' Split the string into lines based on Chr(10)_x000D_
    lines = Split(str, Chr(10))_x000D_
    _x000D_
    result = ""_x000D_
    _x000D_
    _x000D_
    ' per line..._x000D_
    ' Step 3: remove trailing whitespaces and_x000D_
    ' Step 4: replace multiple spaces with one_x000D_
    ' Step 5: add spaces between numbers and words_x000D_
    ' Step 6: handle capitalization with small words list_x000D_
_x000D_
    For i = LBound(lines) To UBound(lines)_x000D_
        _x000D_
        ' Preserve leading spaces by capturing the leading part of the string_x000D_
        Dim leadingSpaces As String_x000D_
        leadingSpaces = ""_x000D_
        temp = ""_x000D_
        _x000D_
        ' Identify and preserve the leading spaces_x000D_
        Dim j As Integer_x000D_
        For j = 1 To Len(lines(i))_x000D_
            If Mid(lines(i), j, 1) = " " Then_x000D_
                leadingSpaces = leadingSpaces &amp; " "_x000D_
            Else_x000D_
                Exit For_x000D_
            End If_x000D_
        Next j_x000D_
        _x000D_
        ' Trim trailing spaces but preserve internal spaces carefully_x000D_
        lineContent = Trim(lines(i))_x000D_
        _x000D_
        ' Replace multiple spaces within the content (after leading spaces) with a single space_x000D_
        Do While InStr(lineContent, "  ") &gt; 0_x000D_
            lineContent = Replace(lineContent, "  ", " ")_x000D_
        Loop_x000D_
        _x000D_
                _x000D_
        ' Iterate through each character in the string_x000D_
        Dim k As Integer_x000D_
        For k = 1 To Len(lineContent)_x000D_
            currentChar = Mid(lineContent, k, 1)_x000D_
            _x000D_
            ' Check if there is a next character to compare_x000D_
            If k &lt; Len(lineContent) Then_x000D_
                nextChar = Mid(lineContent, k + 1, 1)_x000D_
                _x000D_
                ' Add current character to result_x000D_
                temp = temp &amp; currentChar_x000D_
                _x000D_
                ' Check if current character is a number and the next character is a letter_x000D_
                If IsNumeric(currentChar) And nextChar Like "[A-Za-z]" Then_x000D_
                    temp = temp &amp; " "_x000D_
                ' Check if current character is a letter and the next character is a number_x000D_
                ElseIf currentChar Like "[A-Za-z]" And IsNumeric(nextChar) Then_x000D_
                    temp = temp &amp; " "_x000D_
                End If_x000D_
            Else_x000D_
                ' For the last character, just add it to the result_x000D_
                temp = temp &amp; currentChar_x000D_
            End If_x000D_
        Next k_x000D_
        _x000D_
        lineContent = temp_x000D_
        _x000D_
        'Debug.Print lineContent_x000D_
        lineContent = handleCapitalization(lineContent)_x000D_
        'Debug.Print lineContent_x000D_
        _x000D_
        ' Rebuild the line with the preserved leading spaces_x000D_
        result = result &amp; leadingSpaces &amp; lineContent_x000D_
        _x000D_
        ' Add a newline except after the last line_x000D_
        If i &lt; UBound(lines) Then_x000D_
            result = result &amp; Chr(10)_x000D_
        End If_x000D_
    _x000D_
    Next i_x000D_
    _x000D_
    _x000D_
    standardizeWhiteSpaceAndCapatilization = result_x000D_
    _x000D_
End Function_x000D_
_x000D_
_x000D_
_x000D_
_x000D_
' Helper function: Separate words in CamelCase_x000D_
</t>
  </si>
  <si>
    <t xml:space="preserve">Function separateCamelCaseWords(ByVal str As String) As String_x000D_
    Dim i As Integer_x000D_
    Dim result As String_x000D_
    Dim special As Boolean_x000D_
_x000D_
    ' Check if the string is empty or only one character long_x000D_
    If Len(str) &lt;= 1 Then_x000D_
        separateCamelCaseWords = str_x000D_
        Exit Function_x000D_
    End If_x000D_
_x000D_
    result = ""_x000D_
    special = False ' Initialize special to false_x000D_
_x000D_
    ' Add the first character (no space needed before the first character)_x000D_
    result = Mid(str, 1, 1)_x000D_
_x000D_
    ' Iterate from the second character to the end of the string_x000D_
    For i = 2 To Len(str)_x000D_
        ' Get the current character_x000D_
        Dim currentChar As String_x000D_
        currentChar = Mid(str, i, 1)_x000D_
_x000D_
        ' Check if the current character is a special character_x000D_
        If Not currentChar Like "[A-Za-z0-9 ]" Then_x000D_
            special = False_x000D_
        ElseIf currentChar Like " " Then_x000D_
            special = False_x000D_
        End If_x000D_
_x000D_
        ' Check if the current character is uppercase_x000D_
        If currentChar Like "[A-Z]" Then_x000D_
            ' Add a space based on conditions_x000D_
            If Mid(str, i - 1, 1) Like "[A-Z]" And (i &lt; Len(str) And Mid(str, i + 1, 1) Like "[a-z]") And Not special Then_x000D_
                result = result &amp; " " &amp; currentChar_x000D_
            ElseIf Mid(str, i - 1, 1) Like "[a-z]" And Not special Then_x000D_
                result = result &amp; " " &amp; currentChar_x000D_
            Else_x000D_
                result = result &amp; currentChar_x000D_
            End If_x000D_
        Else_x000D_
            result = result &amp; currentChar_x000D_
        End If_x000D_
    Next i_x000D_
_x000D_
    separateCamelCaseWords = result_x000D_
End Function_x000D_
_x000D_
_x000D_
' Helper function: add Underscore_x000D_
</t>
  </si>
  <si>
    <t xml:space="preserve">Function addUnderscore(ByVal inputString As String) As String_x000D_
    Dim words() As String_x000D_
    Dim result As String_x000D_
    Dim i As Integer_x000D_
    _x000D_
    ' Split the string into words using space as a delimiter_x000D_
    words = Split(inputString, " ")_x000D_
    _x000D_
    ' Initialize the result_x000D_
    result = ""_x000D_
    _x000D_
    ' Process each word_x000D_
    For i = LBound(words) To UBound(words)_x000D_
        ' Debug.Print words(i)_x000D_
_x000D_
        ' After capital words or after strings ending in a digit_x000D_
        If (i &lt; UBound(words) And words(i) = UCase(words(i)) And words(i) Like "[A-Z]*" And Not words(i) Like "*[!A-Z]*" And __x000D_
            i + 1 &lt;= UBound(words)) Then_x000D_
            _x000D_
            If (Left(words(i + 1), 1) Like "[A-Za-z0-9]") Then_x000D_
                result = result &amp; words(i) &amp; "_"_x000D_
            Else_x000D_
                result = result &amp; words(i)_x000D_
            End If_x000D_
_x000D_
        ' New logic: Add underscore after words that end with a capital letter_x000D_
        ElseIf (i &lt; UBound(words) And Right(words(i), 1) Like "[A-Z]") Then_x000D_
            result = result &amp; words(i) &amp; "_"_x000D_
_x000D_
        ' Default behavior: Add the word as is_x000D_
        Else_x000D_
            result = result &amp; words(i)_x000D_
        End If_x000D_
        _x000D_
        ' Add a space if it's not the last word and no underscore was added_x000D_
        If i &lt; UBound(words) And Right(result, 1) &lt;&gt; "_" Then_x000D_
            result = result &amp; " "_x000D_
        End If_x000D_
    Next i_x000D_
    _x000D_
    ' Return the processed string_x000D_
    addUnderscore = result_x000D_
End Function_x000D_
_x000D_
_x000D_
_x000D_
_x000D_
_x000D_
' Helper function: Highlight special signs_x000D_
</t>
  </si>
  <si>
    <t xml:space="preserve">Function checkAndReplaceFaultyCharacters(ByVal inputString As String) As String_x000D_
    Dim allowedChars As String_x000D_
    Dim faultyChars As String_x000D_
    Dim i As Integer_x000D_
    Dim currentChar As String_x000D_
    Dim resultString As String_x000D_
    _x000D_
    ' Define the allowed characters: letters, numbers, and the hardcoded special characters_x000D_
    allowedChars = "ABCDEFGHIJKLMNOPQRSTUVWXYZabcdefghijklmnopqrstuvwxyz0123456789!@#$Ü%^&amp;*()_-+=[]{}|;:'"",.&lt;&gt;?/\`~ " &amp; Chr(10)_x000D_
    _x000D_
    faultyChars = ""_x000D_
    resultString = inputString_x000D_
    _x000D_
    ' Iterate through each character in the input string_x000D_
    For i = 1 To Len(inputString)_x000D_
        currentChar = Mid(inputString, i, 1)_x000D_
        If i &lt; Len(inputString) Then_x000D_
            nextChar = Mid(inputString, i + 1, 1)_x000D_
        Else_x000D_
            nextChar = ""_x000D_
        End If_x000D_
        _x000D_
        ' Check if the current character is not in the allowed characters_x000D_
        If InStr(allowedChars, currentChar) = 0 Then_x000D_
            ' If it's a faulty character, add it to the faultyChars string_x000D_
            If InStr(faultyChars, currentChar) = 0 Then_x000D_
                faultyChars = faultyChars &amp; currentChar_x000D_
            End If_x000D_
            ' Replace the faulty character with '#'_x000D_
            resultString = Replace(resultString, currentChar, "#")_x000D_
_x000D_
_x000D_
        End If_x000D_
    Next i_x000D_
    _x000D_
    ' If there are any faulty characters, show a message box_x000D_
    If Len(faultyChars) &gt; 0 Then_x000D_
        'MsgBox "The following characters are not valid: " &amp; Chr(10) &amp; faultyChars &amp; Chr(10) &amp; "They are replaced with '#'", vbExclamation, "Invalid Characters Found and Replaced"_x000D_
        _x000D_
    End If_x000D_
    _x000D_
    ' Return the modified string_x000D_
    checkAndReplaceFaultyCharacters = resultString_x000D_
End Function_x000D_
_x000D_
_x000D_
_x000D_
_x000D_
_x000D_
'Helper Function: split business string while preserving new lines and spaces after new lines._x000D_
Public </t>
  </si>
  <si>
    <t xml:space="preserve">Function splitPreservingNewLines(ByVal str As String) As Variant_x000D_
    Dim lines() As String_x000D_
    Dim result() As String_x000D_
    Dim i As Integer, j As Integer_x000D_
    Dim currentLine As String_x000D_
_x000D_
    ' Split the string into lines_x000D_
    lines = Split(str, Chr(10))_x000D_
    ReDim result(0)_x000D_
_x000D_
    ' Process each line separately_x000D_
    For i = LBound(lines) To UBound(lines)_x000D_
        currentLine = lines(i)_x000D_
_x000D_
        ' Handle leading spaces at the beginning of the line_x000D_
        If Left(currentLine, 1) = " " Then_x000D_
            j = 1_x000D_
            Do While Mid(currentLine, j, 1) = " "_x000D_
                j = j + 1_x000D_
            Loop_x000D_
            ReDim Preserve result(UBound(result) + 1)_x000D_
            result(UBound(result)) = Left(currentLine, j - 1)_x000D_
            currentLine = Mid(currentLine, j)_x000D_
        End If_x000D_
_x000D_
        ' Split the rest of the line by spaces_x000D_
        If Len(currentLine) &gt; 0 Then_x000D_
            Dim words() As String_x000D_
            words = Split(currentLine, " ")_x000D_
            For j = LBound(words) To UBound(words)_x000D_
                If Len(words(j)) &gt; 0 Then_x000D_
                    ReDim Preserve result(UBound(result) + 1)_x000D_
                    result(UBound(result)) = words(j)_x000D_
                End If_x000D_
            Next j_x000D_
        End If_x000D_
_x000D_
        ' Add a marker for the end of a line if it's not the last one_x000D_
        If i &lt; UBound(lines) Then_x000D_
            ReDim Preserve result(UBound(result) + 1)_x000D_
            result(UBound(result)) = Chr(10)_x000D_
        End If_x000D_
    Next i_x000D_
_x000D_
    splitPreservingNewLines = result_x000D_
End Function_x000D_
_x000D_
_x000D_
_x000D_
' Helper function:  Encode specials_x000D_
Public </t>
  </si>
  <si>
    <t xml:space="preserve">Function camelEncodeSpecialCharacters(ByVal str As String) As String_x000D_
    Dim specialCharEncodings As Collection_x000D_
    Dim key As Variant_x000D_
    Dim quo As String_x000D_
    Dim i As Long_x000D_
    _x000D_
    ' Initialize the collection with special character and encoding pairs_x000D_
    quo = Chr$(34)_x000D_
    Set specialCharEncodings = New Collection_x000D_
    With specialCharEncodings_x000D_
        ' Dot replacements_x000D_
        .Add Array("_P3__", " . ")_x000D_
        .Add Array("_P2__", " .")_x000D_
        .Add Array("_P__", ". ")_x000D_
        .Add Array("_p__", ".")_x000D_
        ' Comma replacements_x000D_
        .Add Array("_C3__", " , ")_x000D_
        .Add Array("_C2__", " ,")_x000D_
        .Add Array("_C__", ", ")_x000D_
        .Add Array("_c__", ",")_x000D_
        ' Question mark replacements_x000D_
        .Add Array("_Q3__", " ? ")_x000D_
        .Add Array("_Q2__", " ?")_x000D_
        .Add Array("_Q__", "? ")_x000D_
        .Add Array("_q__", "?")_x000D_
        ' Exclamation mark replacements_x000D_
        .Add Array("_E3__", " ! ")_x000D_
        .Add Array("_E2__", " !")_x000D_
        .Add Array("_E__", "! ")_x000D_
        .Add Array("_e__", "!")_x000D_
        ' Semicolon replacements_x000D_
        .Add Array("_SC3__", " ; ")_x000D_
        .Add Array("_SC2__", " ;")_x000D_
        .Add Array("_SC__", "; ")_x000D_
        .Add Array("_sc__", ";")_x000D_
        ' Colon replacements_x000D_
        .Add Array("_D3__", " : ")_x000D_
        .Add Array("_D2__", " :")_x000D_
        .Add Array("_D__", ": ")_x000D_
        .Add Array("_d__", ":")_x000D_
        ' Percent sign replacements_x000D_
        .Add Array("_PT3__", " % ")_x000D_
        .Add Array("_PT2__", " %")_x000D_
        .Add Array("_PT__", "% ")_x000D_
        .Add Array("_pt__", "%")_x000D_
        ' Open parenthesis replacements_x000D_
        .Add Array("_OP3__", " ( ")_x000D_
        .Add Array("_OP2__", " (")_x000D_
        .Add Array("_OP__", "( ")_x000D_
        .Add Array("_op__", "(")_x000D_
        ' Close parenthesis replacements_x000D_
        .Add Array("_CP3__", " ) ")_x000D_
        .Add Array("_CP2__", " )")_x000D_
        .Add Array("_CP__", ") ")_x000D_
        .Add Array("_cp__", ")")_x000D_
        ' Open curly brace replacements_x000D_
        .Add Array("_OCP3__", " { ")_x000D_
        .Add Array("_OCP2__", " {")_x000D_
        .Add Array("_OCP__", "{ ")_x000D_
        .Add Array("_ocp__", "{")_x000D_
        ' Close curly brace replacements_x000D_
        .Add Array("_CCP3__", " } ")_x000D_
        .Add Array("_CCP2__", " }")_x000D_
        .Add Array("_CCP__", "} ")_x000D_
        .Add Array("_ccp__", "}")_x000D_
        ' Open square bracket replacements_x000D_
        .Add Array("_OSP3__", " [ ")_x000D_
        .Add Array("_OSP2__", " [")_x000D_
        .Add Array("_OSP__", "[ ")_x000D_
        .Add Array("_osp__", "[")_x000D_
        ' Close square bracket replacements_x000D_
        .Add Array("_CSP3__", " ] ")_x000D_
        .Add Array("_CSP2__", " ]")_x000D_
        .Add Array("_CSP__", "] ")_x000D_
        .Add Array("_csp__", "]")_x000D_
        ' Tilde replacements_x000D_
        .Add Array("_T3__", " ~ ")_x000D_
        .Add Array("_T2__", " ~")_x000D_
        .Add Array("_T__", "~ ")_x000D_
        .Add Array("_t__", "~")_x000D_
        ' Ampersand replacements_x000D_
        .Add Array("_AMP3__", " &amp; ")_x000D_
        .Add Array("_AMP2__", " &amp;")_x000D_
        .Add Array("_AMP__", "&amp; ")_x000D_
        .Add Array("_amp__", "&amp;")_x000D_
        ' Plus sign replacements_x000D_
        .Add Array("_ADD3__", " + ")_x000D_
        .Add Array("_ADD2__", " +")_x000D_
        .Add Array("_ADD__", "+ ")_x000D_
        .Add Array("_add__", "+")_x000D_
        ' Minus sign replacements_x000D_
        .Add Array("_MIN3__", " - ")_x000D_
        .Add Array("_MIN2__", " -")_x000D_
        .Add Array("_MIN__", "- ")_x000D_
        .Add Array("_min__", "-")_x000D_
        ' Division sign replacements_x000D_
        .Add Array("_DIV3__", " / ")_x000D_
        .Add Array("_DIV2__", " /")_x000D_
        .Add Array("_DIV__", "/ ")_x000D_
        .Add Array("_div__", "/")_x000D_
        ' Multiplicator sign replacements_x000D_
        .Add Array("_MUL3__", " * ")_x000D_
        .Add Array("_MUL2__", " *")_x000D_
        .Add Array("_MUL__", "* ")_x000D_
        .Add Array("_mul__", "*")_x000D_
        ' Equal sign replacements_x000D_
        .Add Array("_EQU3__", " = ")_x000D_
        .Add Array("_EQU2__", " =")_x000D_
        .Add Array("_EQU__", "= ")_x000D_
        .Add Array("_equ__", "=")_x000D_
        ' Less than sign replacements_x000D_
        .Add Array("_ST3__", " &lt; ")_x000D_
        .Add Array("_ST2__", " &lt;")_x000D_
        .Add Array("_ST__", "&lt; ")_x000D_
        .Add Array("_st__", "&lt;")_x000D_
        ' Greater than sign replacements_x000D_
        .Add Array("_GT3__", " &gt; ")_x000D_
        .Add Array("_GT2__", " &gt;")_x000D_
        .Add Array("_GT__", "&gt; ")_x000D_
        .Add Array("_gt__", "&gt;")_x000D_
        ' Hash/pound sign replacements_x000D_
        .Add Array("_NR3__", " # ")_x000D_
        .Add Array("_NR2__", " #")_x000D_
        .Add Array("_NR__", "# ")_x000D_
        .Add Array("_nr__", "#")_x000D_
        ' Quotation mark replacements_x000D_
        .Add Array("_QUO3__", " " &amp; quo &amp; " ")_x000D_
        .Add Array("_QUO2__", " " &amp; quo)_x000D_
        .Add Array("_QUO__", quo &amp; " ")_x000D_
        .Add Array("_quo__", quo)_x000D_
        ' @ replacements_x000D_
        .Add Array("_AT3__", " @ ")_x000D_
        .Add Array("_AT2__", " @")_x000D_
        .Add Array("_AT__", "@ ")_x000D_
        .Add Array("_at__", "@")_x000D_
        ' Ü replacements_x000D_
        .Add Array("_EUR3__", " Ü ")_x000D_
        .Add Array("_EUR2__", " Ü")_x000D_
        .Add Array("_EUR__", "Ü ")_x000D_
        .Add Array("_eur__", "Ü")_x000D_
        ' Ü replacements_x000D_
        .Add Array("_USD3__", " $ ")_x000D_
        .Add Array("_USD2__", " $")_x000D_
        .Add Array("_USD__", "$ ")_x000D_
        .Add Array("_usd__", "$")_x000D_
        ' Apostrophe (')_x000D_
        .Add Array("_A3__", " ' ")_x000D_
        .Add Array("_A2__", " '")_x000D_
        .Add Array("_A__", "' ")_x000D_
        .Add Array("_a__", "'")_x000D_
        ' Backslash (\)_x000D_
        .Add Array("_BSL3__", " \ ")_x000D_
        .Add Array("_BSL2__", " \")_x000D_
        .Add Array("_BSL__", "\ ")_x000D_
        .Add Array("_bsl__", "\")_x000D_
    End With_x000D_
    _x000D_
    ' Replace each special character with its corresponding encoding_x000D_
    For i = 1 To specialCharEncodings.count_x000D_
        key = specialCharEncodings(i)_x000D_
        str = Replace(str, key(1), key(0))_x000D_
    Next i_x000D_
    _x000D_
    ' Handle multiple consecutive special characters with only two underscores separating them_x000D_
    'str = Replace(str, "____", "__")_x000D_
    _x000D_
    camelEncodeSpecialCharacters = str_x000D_
End Function_x000D_
_x000D_
_x000D_
Public </t>
  </si>
  <si>
    <t xml:space="preserve">Function camelDecodeSpecialCharacters(ByVal str As String) As String_x000D_
    Dim specialCharEncodings As Collection_x000D_
    Dim key As Variant_x000D_
    Dim quo As String_x000D_
    _x000D_
    'str = Replace(str, "__", "____")_x000D_
    _x000D_
    ' Initialize the collection with special character and encoding pairs_x000D_
    quo = Chr$(34)_x000D_
    _x000D_
    Set specialCharDecodings = New Collection_x000D_
    With specialCharDecodings_x000D_
        ' Dot replacements_x000D_
        .Add Array(" . ", "_P3__")_x000D_
        .Add Array(" .", "_P2__")_x000D_
        .Add Array(". ", "_P__")_x000D_
        .Add Array(".", "_p__")_x000D_
    _x000D_
        ' Comma replacements_x000D_
        .Add Array(" , ", "_C3__")_x000D_
        .Add Array(" ,", "_C2__")_x000D_
        .Add Array(", ", "_C__")_x000D_
        .Add Array(",", "_c__")_x000D_
    _x000D_
        ' Question mark replacements_x000D_
        .Add Array(" ? ", "_Q3__")_x000D_
        .Add Array(" ?", "_Q2__")_x000D_
        .Add Array("? ", "_Q__")_x000D_
        .Add Array("?", "_q__")_x000D_
_x000D_
        ' Exclamation mark replacements_x000D_
        .Add Array(" ! ", "_E3__")_x000D_
        .Add Array(" !", "_E2__")_x000D_
        .Add Array("! ", "_E__")_x000D_
        .Add Array("!", "_e__")_x000D_
    _x000D_
        ' Semicolon replacements_x000D_
        .Add Array(" ; ", "_SC3__")_x000D_
        .Add Array(" ;", "_SC2__")_x000D_
        .Add Array("; ", "_SC__")_x000D_
        .Add Array(";", "_sc__")_x000D_
    _x000D_
        ' Colon replacements_x000D_
        .Add Array(" : ", "_D3__")_x000D_
        .Add Array(" :", "_D2__")_x000D_
        .Add Array(": ", "_D__")_x000D_
        .Add Array(":", "_d__")_x000D_
    _x000D_
        ' Percent sign replacements_x000D_
        .Add Array(" % ", "_PT3__")_x000D_
        .Add Array(" %", "_PT2__")_x000D_
        .Add Array("% ", "_PT__")_x000D_
        .Add Array("%", "_pt__")_x000D_
    _x000D_
        ' Open parenthesis replacements_x000D_
        .Add Array(" ( ", "_OP3__")_x000D_
        .Add Array(" (", "_OP2__")_x000D_
        .Add Array("( ", "_OP__")_x000D_
        .Add Array("(", "_op__")_x000D_
    _x000D_
        ' Close parenthesis replacements_x000D_
        .Add Array(" ) ", "_CP3__")_x000D_
        .Add Array(" )", "_CP2__")_x000D_
        .Add Array(") ", "_CP__")_x000D_
        .Add Array(")", "_cp__")_x000D_
    _x000D_
        ' Open curly brace replacements_x000D_
        .Add Array(" { ", "_OCP3__")_x000D_
        .Add Array(" {", "_OCP2__")_x000D_
        .Add Array("{ ", "_OCP__")_x000D_
        .Add Array("{", "_ocp__")_x000D_
    _x000D_
        ' Close curly brace replacements_x000D_
        .Add Array(" } ", "_CCP3__")_x000D_
        .Add Array(" }", "_CCP2__")_x000D_
        .Add Array("} ", "_CCP__")_x000D_
        .Add Array("}", "_ccp__")_x000D_
    _x000D_
        ' Open square bracket replacements_x000D_
        .Add Array(" [ ", "_OSP3__")_x000D_
        .Add Array(" [", "_OSP2__")_x000D_
        .Add Array("[ ", "_OSP__")_x000D_
        .Add Array("[", "_osp__")_x000D_
    _x000D_
        ' Close square bracket replacements_x000D_
        .Add Array(" ] ", "_CSP3__")_x000D_
        .Add Array(" ]", "_CSP2__")_x000D_
        .Add Array("] ", "_CSP__")_x000D_
        .Add Array("]", "_csp__")_x000D_
    _x000D_
        ' Tilde replacements_x000D_
        .Add Array(" ~ ", "_T3__")_x000D_
        .Add Array(" ~", "_T2__")_x000D_
        .Add Array("~ ", "_T__")_x000D_
        .Add Array("~", "_t__")_x000D_
    _x000D_
        ' Ampersand replacements_x000D_
        .Add Array(" &amp; ", "_AMP3__")_x000D_
        .Add Array(" &amp;", "_AMP2__")_x000D_
        .Add Array("&amp; ", "_AMP__")_x000D_
        .Add Array("&amp;", "_amp__")_x000D_
    _x000D_
        ' Plus sign replacements_x000D_
        .Add Array(" + ", "_ADD3__")_x000D_
        .Add Array(" +", "_ADD2__")_x000D_
        .Add Array("+ ", "_ADD__")_x000D_
        .Add Array("+", "_add__")_x000D_
    _x000D_
        ' Minus sign replacements_x000D_
        .Add Array(" - ", "_MIN3__")_x000D_
        .Add Array(" -", "_MIN2__")_x000D_
        .Add Array("- ", "_MIN__")_x000D_
        .Add Array("-", "_min__")_x000D_
    _x000D_
        ' Division sign replacements_x000D_
        .Add Array(" / ", "_DIV3__")_x000D_
        .Add Array(" /", "_DIV2__")_x000D_
        .Add Array("/ ", "_DIV__")_x000D_
        .Add Array("/", "_div__")_x000D_
        _x000D_
        ' Multiplicator sign replacements_x000D_
        .Add Array(" * ", "_MUL3__")_x000D_
        .Add Array(" *", "_MUL2__")_x000D_
        .Add Array("* ", "_MUL__")_x000D_
        .Add Array("*", "_mul__")_x000D_
    _x000D_
        ' Equal sign replacements_x000D_
        .Add Array(" = ", "_EQU3__")_x000D_
        .Add Array(" =", "_EQU2__")_x000D_
        .Add Array("= ", "_EQU__")_x000D_
        .Add Array("=", "_equ__")_x000D_
    _x000D_
        ' Less than sign replacements_x000D_
        .Add Array(" &lt; ", "_ST3__")_x000D_
        .Add Array(" &lt;", "_ST2__")_x000D_
        .Add Array("&lt; ", "_ST__")_x000D_
        .Add Array("&lt;", "_st__")_x000D_
    _x000D_
        ' Greater than sign replacements_x000D_
        .Add Array(" &gt; ", "_GT3__")_x000D_
        .Add Array(" &gt;", "_GT2__")_x000D_
        .Add Array("&gt; ", "_GT__")_x000D_
        .Add Array("&gt;", "_gt__")_x000D_
    _x000D_
        ' Hash/pound sign replacements_x000D_
        .Add Array(" # ", "_NR3__")_x000D_
        .Add Array(" #", "_NR2__")_x000D_
        .Add Array("# ", "_NR__")_x000D_
        .Add Array("#", "_nr__")_x000D_
    _x000D_
        ' Quotation mark replacements_x000D_
        .Add Array(" " &amp; quo &amp; " ", "_QUO3__")_x000D_
        .Add Array(" " &amp; quo, "_QUO2__")_x000D_
        .Add Array(quo &amp; " ", "_QUO__")_x000D_
        .Add Array(quo, "_quo__")_x000D_
    _x000D_
        ' @ replacements_x000D_
        .Add Array(" @ ", "_AT3__")_x000D_
        .Add Array(" @", "_AT2__")_x000D_
        .Add Array("@ ", "_AT__")_x000D_
        .Add Array("@", "_at__")_x000D_
    _x000D_
        ' Ü replacements_x000D_
        .Add Array(" Ü ", "_EUR3__")_x000D_
        .Add Array(" Ü", "_EUR2__")_x000D_
        .Add Array("Ü ", "_EUR__")_x000D_
        .Add Array("Ü", "_eur__")_x000D_
    _x000D_
        ' $ replacements_x000D_
        .Add Array(" $ ", "_USD3__")_x000D_
        .Add Array(" $", "_USD2__")_x000D_
        .Add Array("$ ", "_USD__")_x000D_
        .Add Array("$", "_usd__")_x000D_
    _x000D_
        ' Apostrophe (')_x000D_
        .Add Array(" ' ", "_A3__")_x000D_
        .Add Array(" '", "_A2__")_x000D_
        .Add Array("' ", "_A__")_x000D_
        .Add Array("'", "_a__")_x000D_
    _x000D_
        ' Backslash (\)_x000D_
        .Add Array(" \ ", "_BSL3__")_x000D_
        .Add Array(" \", "_BSL2__")_x000D_
        .Add Array("\ ", "_BSL__")_x000D_
        .Add Array("\", "_bsl__")_x000D_
        _x000D_
        .Add Array("¤", "_u__") 'workaround to preserve underscores from input, any ¤ from input is replaced so its a safe placeholder_x000D_
        _x000D_
        '.add Array("", "__") ' remove remaining double underscores_x000D_
        .Add Array(" ", "_") 'replaces single underscores used to for abbreviations back to spaces_x000D_
        _x000D_
        .Add Array("_", "¤")_x000D_
    _x000D_
    End With_x000D_
_x000D_
_x000D_
        _x000D_
_x000D_
    _x000D_
    ' Replace each encoded string with its corresponding special character_x000D_
    For i = 1 To specialCharDecodings.count_x000D_
        key = specialCharDecodings(i)_x000D_
        str = Replace(str, key(1), key(0))_x000D_
        'Debug.Print (str)_x000D_
    Next i_x000D_
_x000D_
    _x000D_
    camelDecodeSpecialCharacters = str_x000D_
End Function_x000D_
_x000D_
</t>
  </si>
  <si>
    <t xml:space="preserve">Function handleCapitalization(inputString As String) As String_x000D_
    ' Define multiple arrays for the non-capitalized words_x000D_
    nonCapitalizedWords1 = Array("a", "aboard", "about", "above", "abreast", "abroad", "absent", "across", "adrift", "aft", "after", "afterwards", "against", "ago", "ahead", "aloft", "along", "alongside", "although", "amid", "amidst", "among", "amongst", "an", "and", "anti", "apart", "apropos", "around", "as", "ashore", "aside", "aslant", "astride", "at", "atop", "away", "back", "backward", "backwards", "bar", "barring", "because", "before", "beforehand", "behind", "below", "beneath", "beside", "besides", "between", "beyond", "but", "by")_x000D_
_x000D_
    nonCapitalizedWords2 = Array("c", "ca.", "cc", "ccc", "cci", "ccii", "cciii", "cciv", "ccix", "ccl", "ccli", "cclii", "ccliii", "ccliv", "cclix", "cclv", "cclvi", "cclvii", "cclviii", "cclx", "cclxi", "cclxii", "cclxiii", "cclxiv", "cclxix", "cclxv", "cclxvi", "cclxvii", "cclxviii", "cclxx", "cclxxi", "cclxxii", "cclxxiii", "cclxxiv", "cclxxix", "cclxxv", "cclxxvi", "cclxxvii", "cclxxviii", "cclxxx", "cclxxxi", "cclxxxii", "cclxxxiii", "cclxxxiv", "cclxxxix", "cclxxxv", "cclxxxvi", "cclxxxvii", "cclxxxviii", "ccv", "ccvi")_x000D_
    _x000D_
    nonCapitalizedWords3 = Array("ccvii", "ccviii", "ccx", "ccxc", "ccxci", "ccxcii", "ccxciii", "ccxciv", "ccxcix", "ccxcv", "ccxcvi", "ccxcvii", "ccxcviii", "ccxi", "ccxii", "ccxiii", "ccxiv", "ccxix", "ccxl", "ccxli", "ccxlii", "ccxliii", "ccxliv", "ccxlix", "ccxlv", "ccxlvi", "ccxlvii", "ccxlviii", "ccxv", "ccxvi", "ccxvii", "ccxviii", "ccxx", "ccxxi", "ccxxii", "ccxxiii", "ccxxiv", "ccxxix", "ccxxv", "ccxxvi", "ccxxvii", "ccxxviii", "ccxxx", "ccxxxi", "ccxxxii")_x000D_
    _x000D_
    nonCapitalizedWords4 = Array("ccxxxiii", "ccxxxiv", "ccxxxix", "ccxxxv", "ccxxxvi", "ccxxxvii", "ccxxxviii", "cd", "chez", "ci", "cii", "ciii", "circa", "civ", "cix", "cl", "cli", "clii", "cliii", "cliv", "clix", "clv", "clvi", "clvii", "clviii", "clx", "clxi", "clxii", "clxiii", "clxiv", "clxix", "clxv", "clxvi", "clxvii", "clxviii", "clxx", "clxxi", "clxxii", "clxxiii", "clxxiv", "clxxix", "clxxv", "clxxvi")_x000D_
    _x000D_
    nonCapitalizedWords5 = Array("clxxvii", "clxxviii", "clxxx", "clxxxi", "clxxxii", "clxxxiii", "clxxxiv", "clxxxix", "clxxxv", "clxxxvi", "clxxxvii", "clxxxviii", "cm", "come", "concerning", "considering", "contra", "counting", "cum", "cv", "cvi", "cvii", "cviii", "cx", "cxc", "cxci", "cxcii", "cxciii", "cxciv", "cxcix", "cxcv", "cxcvi", "cxcvii", "cxcviii", "cxi", "cxii", "cxiii", "cxiv", "cxix", "cxl", "cxli", "cxlii")_x000D_
    _x000D_
    nonCapitalizedWords6 = Array("cxliii", "cxliv", "cxlix", "cxlv", "cxlvi", "cxlvii", "cxlviii", "cxv", "cxvi", "cxvii", "cxviii", "cxx", "cxxi", "cxxii", "cxxiii", "cxxiv", "cxxix", "cxxv", "cxxvi", "cxxvii", "cxxviii", "cxxx", "cxxxi", "cxxxii", "cxxxiii", "cxxxiv", "cxxxix", "cxxxv", "cxxxvi", "cxxxvii", "cxxxviii", "d", "dc", "dcc", "dccc", "despite", "down", "downhill", "downstage", "downstairs", "downstream", "downward", "downwards", "downwind", "during", "east", "eastwards")_x000D_
    _x000D_
    nonCapitalizedWords7 = Array("easward", "effective", "ere", "except", "excepting", "excluding", "failing", "following", "for", "forth", "forward", "forwards", "from", "given", "granted", "heavenward", "heavenwards", "hence", "henceforth", "here", "hereby", "herein", "hereof", "hereto", "herewith", "home", "homeward", "homewards", "i", "if", "ii", "iii", "in", "including", "indoors", "inside", "into", "inward", "inwards", "iv", "ix", "l", "leftward", "leftwards")_x000D_
    _x000D_
    nonCapitalizedWords8 = Array("less", "lest", "li", "lii", "liii", "like", "liv", "lix", "lv", "lvi", "lvii", "lviii", "lx", "lxi", "lxii", "lxiii", "lxiv", "lxix", "lxv", "lxvi", "lxvii", "lxviii", "lxx", "lxxi", "lxxii", "lxxiii", "lxxiv", "lxxix", "lxxv", "lxxvi", "lxxvii", "lxxviii", "lxxx", "lxxxi", "lxxxii", "lxxxiii", "lxxxiv", "lxxxix", "lxxxv", "lxxxvi", "lxxxvii", "lxxxviii", "m", "mc", "mcc", "mccc", "mcd", "mcm", "md")_x000D_
    _x000D_
    nonCapitalizedWords9 = Array("mdc", "mdcc", "mdccc", "mid", "midst", "minus", "mm", "mmd", "mmm", "mmmd", "modulo", "near", "neath", "next", "nor", "north", "northeast", "northward", "northwards", "northwest", "notwithstanding", "now", "o", "of", "off", "offshore", "on", "once", "onto", "ontop", "onward", "onwards", "opposite", "or", "out", "outdoors", "outside", "outward", "outwards", "over", "overboard", "overhead", "overland", "overseas", "pace", "past", "pending")_x000D_
    _x000D_
    nonCapitalizedWords10 = Array("per", "plus", "post", "pre", "pro", "provided", "providing", "qua", "re", "regarding", "respecting", "rightward", "rightwards", "round", "sans", "save", "saving", "seaward", "seawards", "seeing", "short", "since", "skyward", "skywards", "so", "south", "southeast", "southward", "southwards", "southwest", "sub", "supposing", "than", "that", "the", "then", "thence", "thenceforth", "there", "thereby", "therein", "thereof", "thereto", "therewith", "though", "through", "throughout")_x000D_
    _x000D_
    nonCapitalizedWords11 = Array("till", "times", "to", "together", "touching", "toward", "towards", "under", "underfoot", "underground", "underneath", "unless", "unlike", "until", "unto", "up", "uphill", "upon", "upstage", "upstairs", "upstream", "upward", "upwards", "upwind")_x000D_
_x000D_
    nonCapitalizedWords12 = Array("v", "versus", "vi", "via", "vice", "vii", "viii", "vis-ˆ-vis", "vs.", "w/i", "w/o", "wanting", "west", "westward", "westwards", "when", "whence", "whenever", "where", "whereas", "whereby", "wherein", "whereto", "wherever", "wherewith", "while", "whilst", "with", "within", "without", "worth")_x000D_
    _x000D_
    nonCapitalizedWords13 = Array("x", "xc", "xci", "xcii", "xciii", "xciv", "xcix", "xcv", "xcvi", "xcvii", "xcviii", "xi", "xii", "xiii", "xiv", "xix", "xl", "xli", "xlii", "xliii", "xliv", "xlix", "xlv", "xlvi", "xlvii", "xlviii", "xv", "xvi", "xvii", "xviii")_x000D_
    _x000D_
    nonCapitalizedWords14 = Array("xx", "xxi", "xxii", "xxiii", "xxiv", "xxix", "xxv", "xxvi", "xxvii", "xxviii", "xxx", "xxxi", "xxxii", "xxxiii", "xxxiv", "xxxix", "xxxv", "xxxvi", "xxxvii", "xxxviii", "yet")_x000D_
    _x000D_
_x000D_
    ' Initialize variables_x000D_
    Dim currentWord As String_x000D_
    Dim separators As String_x000D_
    Dim result As String_x000D_
    Dim char As String_x000D_
    Dim isWord As Boolean_x000D_
    Dim i As Long_x000D_
_x000D_
    currentWord = ""_x000D_
    separators = ""_x000D_
    result = ""_x000D_
    isWord = True_x000D_
_x000D_
    ' Loop through each character in the input string_x000D_
    For i = 1 To Len(inputString)_x000D_
        char = Mid(inputString, i, 1)_x000D_
_x000D_
        If char Like "[A-Za-z]" Then_x000D_
            If Not isWord Then_x000D_
                result = result &amp; separators_x000D_
                separators = ""_x000D_
                isWord = True_x000D_
            End If_x000D_
            currentWord = currentWord &amp; char_x000D_
        Else_x000D_
            If isWord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currentWord = ""_x000D_
                isWord = False_x000D_
            End If_x000D_
            separators = separators &amp; char_x000D_
        End If_x000D_
    Next i_x000D_
_x000D_
    ' Handle remaining word after the loop_x000D_
    If currentWord &lt;&gt; ""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End If_x000D_
_x000D_
    ' Append any remaining separators_x000D_
    If separators &lt;&gt; "" Then_x000D_
        result = result &amp; separators_x000D_
    End If_x000D_
_x000D_
    ' Return the result_x000D_
    handleCapitalization = result_x000D_
End Function_x000D_
_x000D_
' Helper function to check if an element exists in the array_x000D_
</t>
  </si>
  <si>
    <t xml:space="preserve">Function IsInArray(val As String, arr As Variant) As Boolean_x000D_
    Dim element As Variant_x000D_
    On Error Resume Next_x000D_
    IsInArray = False_x000D_
    For Each element In arr_x000D_
        If element = val Then_x000D_
            IsInArray = True_x000D_
            Exit Function_x000D_
        End If_x000D_
    Next_x000D_
    On Error GoTo 0_x000D_
End Function_x000D_
_x000D_
</t>
  </si>
  <si>
    <t xml:space="preserve">Function replaceUnderscores(ByVal inputStr As String) As String_x000D_
    Dim resultStr As String_x000D_
    Dim i As Long_x000D_
    Dim strLength As Long_x000D_
    Dim currentChar As String_x000D_
    Dim previousChar As String_x000D_
    Dim nextChar As String_x000D_
    _x000D_
    resultStr = ""_x000D_
    strLength = Len(inputStr)_x000D_
    _x000D_
    For i = 1 To strLength_x000D_
        currentChar = Mid(inputStr, i, 1)_x000D_
        _x000D_
        ' Get the previous character (if exists)_x000D_
        If i &gt; 1 Then_x000D_
            previousChar = Mid(inputStr, i - 1, 1)_x000D_
        Else_x000D_
            previousChar = ""_x000D_
        End If_x000D_
        _x000D_
        ' Get the next character (if exists)_x000D_
        If i &lt; strLength Then_x000D_
            nextChar = Mid(inputStr, i + 1, 1)_x000D_
        Else_x000D_
            nextChar = ""_x000D_
        End If_x000D_
        _x000D_
        ' Check if the current character is an underscore_x000D_
        If currentChar = "_" Then_x000D_
            ' Replace underscore only if the previous character is not a capitalized letter or digit and the next is a character_x000D_
            ' Replace only the underscores we did not create in "AddUnderscore"_x000D_
            If Not ((previousChar Like "[A-Z]") Or (previousChar Like "[0-9]") And nextChar &lt;&gt; "") Then_x000D_
                resultStr = resultStr &amp; "_u__"_x000D_
            Else_x000D_
                resultStr = resultStr &amp; "_"_x000D_
            End If_x000D_
        Else_x000D_
            ' Append the current character if it's not an underscore_x000D_
            resultStr = resultStr &amp; currentChar_x000D_
        End If_x000D_
    Next i_x000D_
    _x000D_
    replaceUnderscores = resultStr_x000D_
    'Debug.Print ReplaceUnderscores_x000D_
End Function_x000D_
_x000D_
</t>
  </si>
  <si>
    <t xml:space="preserve">Function handleLists(inputString As String) As String_x000D_
    Dim lines() As String_x000D_
    Dim i As Long_x000D_
    Dim currentLine As String_x000D_
    Dim firstWord As String_x000D_
    Dim romanNumerals As Variant_x000D_
    Dim needsLowercase As Boolean_x000D_
    _x000D_
    ' Define Roman numeral patterns_x000D_
    romanNumerals = Array("i", "ii", "iii", "iv", "v", "vi", "vii", "viii", "ix", "x")_x000D_
    _x000D_
    ' Split the input string into lines (using Chr(10) for line breaks)_x000D_
    lines = Split(inputString, Chr(10))_x000D_
    _x000D_
    ' Loop through each line_x000D_
    For i = LBound(lines) To UBound(lines)_x000D_
        currentLine = lines(i)_x000D_
        needsLowercase = False_x000D_
        _x000D_
        ' Extract the first word of the current line_x000D_
        If InStr(1, LTrim(currentLine), " ") &gt; 0 Then_x000D_
            firstWord = Left(LTrim(currentLine), InStr(1, LTrim(currentLine), " ") - 1)_x000D_
        Else_x000D_
            firstWord = LTrim(currentLine)_x000D_
        End If_x000D_
        _x000D_
        ' Check if the first word is a single letter or a Roman numeral_x000D_
        If (Len(firstWord) = 1 And firstWord Like "[A-Za-z]") Or __x000D_
           Not IsError(Application.Match(LCase(firstWord), romanNumerals, 0)) Then_x000D_
            ' Check the previous line (ignoring leading spaces)_x000D_
            If i &gt; LBound(lines) Then_x000D_
                Dim prevFirstWord As String_x000D_
                If InStr(1, LTrim(lines(i - 1)), " ") &gt; 0 Then_x000D_
                    prevFirstWord = Left(LTrim(lines(i - 1)), InStr(1, LTrim(lines(i - 1)), " ") - 1)_x000D_
                Else_x000D_
                    prevFirstWord = LTrim(lines(i - 1))_x000D_
                End If_x000D_
                If (Len(prevFirstWord) = 1 And prevFirstWord Like "[A-Za-z]") Or __x000D_
                   Not IsError(Application.Match(LCase(prevFirstWord), romanNumerals, 0)) Then_x000D_
                    needsLowercase = True_x000D_
                End If_x000D_
            End If_x000D_
            _x000D_
            ' Check the next line (ignoring leading spaces)_x000D_
            If i &lt; UBound(lines) Then_x000D_
                Dim nextFirstWord As String_x000D_
                If InStr(1, LTrim(lines(i + 1)), " ") &gt; 0 Then_x000D_
                    nextFirstWord = Left(LTrim(lines(i + 1)), InStr(1, LTrim(lines(i + 1)), " ") - 1)_x000D_
                Else_x000D_
                    nextFirstWord = LTrim(lines(i + 1))_x000D_
                End If_x000D_
                If (Len(nextFirstWord) = 1 And nextFirstWord Like "[A-Za-z]") Or __x000D_
                   Not IsError(Application.Match(LCase(nextFirstWord), romanNumerals, 0)) Then_x000D_
                    needsLowercase = True_x000D_
                End If_x000D_
            End If_x000D_
        End If_x000D_
        _x000D_
        ' Check if the first word starts with a single lowercase letter followed by any special character_x000D_
        'Debug.Print firstWord_x000D_
        'Debug.Print Mid(firstWord, 1, 1)_x000D_
        'Debug.Print Mid(firstWord, 2, 1)_x000D_
        If Len(firstWord) &gt;= 2 And Mid(firstWord, 1, 1) Like "[A-Za-z]" And Not Mid(firstWord, 2, 1) Like "[A-Za-z0-9]" Then_x000D_
            needsLowercase = True_x000D_
        End If_x000D_
        _x000D_
        ' Apply lowercase to the entire first word if conditions are met_x000D_
        If needsLowercase Then_x000D_
            lines(i) = Replace(currentLine, firstWord, LCase(firstWord), 1, 1)_x000D_
        End If_x000D_
    Next i_x000D_
    _x000D_
    ' Rejoin the lines into a single string_x000D_
    handleLists = Join(lines, Chr(10))_x000D_
End Function_x000D_
_x000D_
_x000D_
</t>
  </si>
  <si>
    <t xml:space="preserve">Sub dataFromCodeDefault()_x000D_
    Call dataFromCode("Function", 256)_x000D_
End Sub_x000D_
_x000D_
Sub dataFromCodeByModule()_x000D_
    Call dataFromCode("Module", 32767)_x000D_
End Sub_x000D_
_x000D_
Sub dataFromCodeByFunctionOrSub()_x000D_
    Call dataFromCode("Function", 32767)_x000D_
End Sub_x000D_
_x000D_
' Helper - Exports all existing VBA Modules and Class Modules from this excel workbook into a table "Snippets" in a excel tab "Snippets"_x000D_
' If a table "Snippets" already exists, it is deleted and replaced with a new one_x000D_
Function dataFromCode(splitType As String, snippetSize As Double)_x000D_
    Dim ws As Worksheet_x000D_
    Dim tbl As ListObject_x000D_
    Dim columnNames As Variant_x000D_
    Dim vbaModule As Object_x000D_
    Dim vbaContent As String_x000D_
    Dim chunks() As String_x000D_
    Dim i As Long, j As Long_x000D_
    Dim packageName As String, subPackageName As String, kind As String_x000D_
    Dim snippetID As Long, vbaComponentCounter As Long_x000D_
    Dim vbaComponentHandledCounter As Long, vbaComponentNonEmptyCounter As Long_x000D_
    Dim currentLine As Long, chunk As String_x000D_
    Dim startTime As Double, elapsedTime As Double_x000D_
    Dim splitTypeBackup As String, snippetSizeBackup As Double_x000D_
    _x000D_
    ' Speed Optimization: Disable events, screen updates, and calculations_x000D_
    Application.ScreenUpdating = False_x000D_
    Application.Calculation = xlCalculationManual_x000D_
    Application.EnableEvents = False_x000D_
    _x000D_
    splitTypeBackup = splitType_x000D_
    snippetSizeBackup = snippetSize_x000D_
    startTime = Timer_x000D_
    _x000D_
    ' Check if "Snippets" sheet exists and create if necessary_x000D_
    On Error Resume Next_x000D_
    Set ws = ThisWorkbook.Sheets("Snippets")_x000D_
    If ws Is Nothing Then_x000D_
        Set ws = ThisWorkbook.Sheets.Add_x000D_
        ws.name = "Snippets"_x000D_
    End If_x000D_
    On Error GoTo 0_x000D_
    _x000D_
    ' Delete existing table if it exists_x000D_
    On Error Resume Next_x000D_
    Set tbl = ws.ListObjects("meta_Snippets")_x000D_
    If Not tbl Is Nothing Then tbl.Delete_x000D_
    On Error GoTo 0_x000D_
    _x000D_
    ' Create table_x000D_
    columnNames = Array("ID", "Kind:src", "Kind", "Package", "Sub Package", "Line", "Snippet")_x000D_
    Set tbl = ws.ListObjects.Add(xlSrcRange, ws.Range("A1:G1"), , xlYes)_x000D_
    tbl.name = "meta_Snippets"_x000D_
    ws.Range("A1:G1").Value = columnNames_x000D_
    _x000D_
    Call setTechnicalName(ws, tbl.name)_x000D_
    _x000D_
    snippetID = 1_x000D_
    vbaComponentCounter = 0_x000D_
    vbaComponentHandledCounter = 0_x000D_
    vbaComponentNonEmptyCounter = 0_x000D_
    _x000D_
    ' Loop through all VBA components_x000D_
    For Each vbaModule In ThisWorkbook.VBProject.VBComponents_x000D_
        vbaComponentCounter = vbaComponentCounter + 1_x000D_
        vbaComponentHandledCounter = vbaComponentHandledCounter + 1_x000D_
        _x000D_
        ' Get module content if it has lines of code_x000D_
        If vbaModule.CodeModule.CountOfLines &gt; 0 Then_x000D_
            vbaContent = vbaModule.CodeModule.lines(1, vbaModule.CodeModule.CountOfLines)_x000D_
        Else_x000D_
            vbaContent = ""_x000D_
        End If_x000D_
        _x000D_
        ' Process only non-empty modules_x000D_
        If vbaContent &lt;&gt; "" Then_x000D_
            vbaComponentNonEmptyCounter = vbaComponentNonEmptyCounter + 1_x000D_
            _x000D_
            ' Determine package, subpackage, and kind_x000D_
            Dim moduleName As String_x000D_
            moduleName = vbaModule.CodeModule.name_x000D_
            Select Case vbaModule.Type_x000D_
                Case 1: ' vbext_ct_StdModule_x000D_
                    kind = "_ModuleSnippet"_x000D_
                    If moduleName = "main" Then_x000D_
                        packageName = ""_x000D_
                        subPackageName = ""_x000D_
                    ElseIf moduleName = "util" Then_x000D_
                        packageName = "util"_x000D_
                        subPackageName = ""_x000D_
                    ElseIf InStr(moduleName, "_") &gt; 0 Then_x000D_
                        packageName = Split(moduleName, "_")(0)_x000D_
                        subPackageName = "::" &amp; Replace(Mid(moduleName, Len(packageName) + 2), "_", "::")_x000D_
                    Else_x000D_
                        packageName = "util"_x000D_
                        subPackageName = moduleName_x000D_
                    End If_x000D_
                Case 2: ' vbext_ct_ClassModule_x000D_
                    kind = "_ClassSnippet"_x000D_
                    Dim classParts() As String_x000D_
                    classParts = Split(moduleName, "_", 2)_x000D_
                    packageName = classParts(0)_x000D_
                    If UBound(classParts) &gt;= 1 Then_x000D_
                        subPackageName = "::" &amp; Replace(classParts(1), "_", "::")_x000D_
                    Else_x000D_
                        subPackageName = ""_x000D_
                    End If_x000D_
                Case 100: ' vbext_ct_Document_x000D_
                    kind = "_ExcelTabSnippet"_x000D_
                    packageName = moduleName_x000D_
                    subPackageName = ""_x000D_
                Case 3: ' vbext_ct_MSForm_x000D_
                    kind = "_FormSnippet"_x000D_
                    packageName = moduleName_x000D_
                    subPackageName = ""_x000D_
                Case Else_x000D_
                    GoTo NextModule_x000D_
            End Select_x000D_
            _x000D_
            ' Force large chunk extraction for "Layer0"_x000D_
            If InStr(moduleName, "Layer0") &gt; 0 Then_x000D_
                splitType = "Module"_x000D_
                snippetSize = 32767_x000D_
            End If_x000D_
            _x000D_
            ' Split module into chunks_x000D_
            chunks = splitModuleIntoChunks(vbaContent, splitType, snippetSize)_x000D_
            splitType = splitTypeBackup_x000D_
            snippetSize = snippetSizeBackup_x000D_
            _x000D_
            ' Add chunks to the table_x000D_
            currentLine = 1_x000D_
            For j = LBound(chunks) To UBound(chunks)_x000D_
                chunk = chunks(j)_x000D_
                With tbl.ListRows.Add_x000D_
                    .Range(1, 1).Value = "_Snippets"_x000D_
                    .Range(1, 2).Value = kind_x000D_
                    .Range(1, 3).Value = Replace(kind, "_", "")_x000D_
                    .Range(1, 4).Value = packageName_x000D_
                    .Range(1, 5).Value = subPackageName_x000D_
                    .Range(1, 6).Value = currentLine_x000D_
                    .Range(1, 7).Value = chunk_x000D_
                End With_x000D_
                snippetID = snippetID + 1_x000D_
                currentLine = currentLine + 1_x000D_
            Next j_x000D_
        End If_x000D_
NextModule:_x000D_
    Next vbaModule_x000D_
    _x000D_
    ' Restore settings and calculate elapsed time_x000D_
    Application.ScreenUpdating = True_x000D_
    Application.Calculation = xlCalculationAutomatic_x000D_
    Application.EnableEvents = True_x000D_
    _x000D_
    elapsedTime = Timer - startTime_x000D_
    MsgBox "Export completed in " &amp; Format(elapsedTime, "0.00") &amp; " seconds. " &amp; vbaComponentHandledCounter &amp; " out of " &amp; vbaComponentCounter &amp; " components processed. " &amp; vbaComponentNonEmptyCounter &amp; " non-empty components exported. " &amp; "Total snippets: " &amp; snippetID, vbInformation_x000D_
    _x000D_
End Function_x000D_
_x000D_
' Helper - Function to split the module content into chunks_x000D_
Function splitModuleIntoChunks(content As String, splitType As String, snippetSize As Double) As Variant_x000D_
    Dim result() As String_x000D_
    Dim position As Long_x000D_
    Dim start As Long_x000D_
    Dim length As Long_x000D_
    Dim part As String_x000D_
    Dim chunkIndex As Long_x000D_
    Dim funcPosition As Long_x000D_
    Dim subPosition As Long_x000D_
    Dim minPosition As Long_x000D_
    Dim nextFuncPosition As Long_x000D_
    Dim nextSubPosition As Long_x000D_
    Dim nextMinPosition As Long_x000D_
_x000D_
    position = 1_x000D_
    chunkIndex = 0_x000D_
    start = 1_x000D_
_x000D_
    Do While position &lt;= Len(content)_x000D_
        If splitType = "Function" Then_x000D_
            ' Stopword-based splitting logic_x000D_
            subPosition = InStr(position, content, "Sub ")_x000D_
            funcPosition = InStr(position, content, "Function ")_x000D_
_x000D_
            If subPosition &gt; 0 And funcPosition &gt; 0 Then_x000D_
                minPosition = Application.WorksheetFunction.Min(subPosition, funcPosition)_x000D_
            ElseIf subPosition &gt; 0 Then_x000D_
                minPosition = subPosition_x000D_
            ElseIf funcPosition &gt; 0 Then_x000D_
                minPosition = funcPosition_x000D_
            Else_x000D_
                minPosition = 0_x000D_
            End If_x000D_
_x000D_
            If minPosition = start Then_x000D_
                ' Search for the next occurrence of "Sub" or "Function"_x000D_
                nextSubPosition = InStr(start + 1, content, "Sub ")_x000D_
                nextFuncPosition = InStr(start + 1, content, "Function ")_x000D_
_x000D_
                If nextSubPosition &gt; 0 And nextFuncPosition &gt; 0 Then_x000D_
                    nextMinPosition = Application.WorksheetFunction.Min(nextSubPosition, nextFuncPosition)_x000D_
                ElseIf nextSubPosition &gt; 0 Then_x000D_
                    nextMinPosition = nextSubPosition_x000D_
                ElseIf nextFuncPosition &gt; 0 Then_x000D_
                    nextMinPosition = nextFuncPosition_x000D_
                Else_x000D_
                    nextMinPosition = 0_x000D_
                End If_x000D_
_x000D_
                ' Determine the length based on the next keyword position or snippetSize char limit_x000D_
                If nextMinPosition = 0 Or (nextMinPosition - start) &gt;= snippetSize Then_x000D_
                    length = snippetSize_x000D_
                Else_x000D_
                    length = nextMinPosition - start_x000D_
                End If_x000D_
            Else_x000D_
                If minPosition = 0 Or (minPosition - start) &gt;= snippetSize Then_x000D_
                    length = snippetSize_x000D_
                Else_x000D_
                    length = minPosition - start_x000D_
                End If_x000D_
            End If_x000D_
        ElseIf splitType = "Module" Then_x000D_
            ' Split only by snippetSize_x000D_
            length = snippetSize_x000D_
        End If_x000D_
_x000D_
        ' Extract the part of the content for this chunk_x000D_
        part = Mid(content, start, length)_x000D_
_x000D_
        ' Add the chunk to the result array_x000D_
        ReDim Preserve result(chunkIndex)_x000D_
        result(chunkIndex) = part_x000D_
_x000D_
        ' Escape chunk if it starts with "=" or a single quote_x000D_
        If Left(result(chunkIndex), 1) = "=" Then_x000D_
            result(chunkIndex) = "'" &amp; result(chunkIndex)_x000D_
        ElseIf Left(result(chunkIndex), 1) = "'" Then_x000D_
            result(chunkIndex) = "'" &amp; result(chunkIndex)_x000D_
        End If_x000D_
_x000D_
        chunkIndex = chunkIndex + 1_x000D_
        start = start + length_x000D_
        position = start_x000D_
    Loop_x000D_
_x000D_
    splitModuleIntoChunks = result_x000D_
End Function_x000D_
_x000D_
_x000D_
_x000D_
'ATTENTION, action is irreversible, make sure to have backup / export / snippets_x000D_
Sub deleteAllVBA()_x000D_
    Dim vbComp As VBComponent_x000D_
    Dim vbProj As VBProject_x000D_
_x000D_
    ' Ensure the VBA Extensibility reference is enabled_x000D_
    On Error Resume Next_x000D_
    Set vbProj = ThisWorkbook.VBProject_x000D_
    On Error GoTo 0_x000D_
_x000D_
    For Each vbComp In vbProj.VBComponents_x000D_
        Select Case vbComp.Type_x000D_
            ' Delete Class Modules and Standard Modules_x000D_
            Case vbext_ct_ClassModule, vbext_ct_StdModule, vbext_ct_MSForm_x000D_
                vbProj.VBComponents.Remove vbComp_x000D_
_x000D_
            ' Empty all Document modules (e.g., ThisWorkbook, worksheets)_x000D_
            Case vbext_ct_Document_x000D_
                With vbComp.CodeModule_x000D_
                    .DeleteLines 1, .CountOfLines_x000D_
                End With_x000D_
        End Select_x000D_
    Next vbComp_x000D_
End Sub_x000D_
_x000D_
'Creates VBA code from Snippets table_x000D_
_x000D_
'Remark: The following error:_x000D_
' An error occurred: Method 'Add' of object '_VBComponents' failed_x000D_
'is handled with -&gt; VBA editor -&gt; "Tools" -&gt; "References" -&gt; activating "Microsoft Visual Basic for Applications Extensibility 5.3"_x000D_
_x000D_
Sub codeFromData()_x000D_
    Dim ws As Worksheet_x000D_
    Dim tbl As ListObject_x000D_
    Dim row As ListRow_x000D_
    Dim moduleName As String_x000D_
    Dim package As String_x000D_
    Dim subPackage As String_x000D_
    Dim kindSrc As String_x000D_
    Dim snippet As String_x000D_
    Dim vbaComponent As Object_x000D_
    Dim foundTable As Boolean_x000D_
    Dim i As Long_x000D_
    _x000D_
    ' Arrays to store module names, types, and their concatenated code snippets_x000D_
    Dim moduleNames() As String_x000D_
    Dim moduleTypes() As String_x000D_
    Dim moduleCode() As String_x000D_
    Dim moduleCount As Long_x000D_
    Dim moduleCreatedCount As Long_x000D_
    Dim moduleFilledCount As Long_x000D_
    _x000D_
    moduleCount = 0_x000D_
    moduleFilledCount = 0_x000D_
    moduleCreatedCount = 0_x000D_
    _x000D_
    _x000D_
    ' Find the "Snippets" table or a table containing "Snippets" in its name_x000D_
    foundTable = False_x000D_
    For Each ws In ThisWorkbook.Worksheets_x000D_
        For Each tbl In ws.ListObjects_x000D_
            If tbl.name = "meta_Snippets" Or InStr(1, tbl.name, "meta_Snippets", vbTextCompare) &gt; 0 Then_x000D_
                foundTable = True_x000D_
                Exit For_x000D_
            End If_x000D_
        Next tbl_x000D_
        If foundTable Then Exit For_x000D_
    Next ws_x000D_
    _x000D_
    If Not foundTable Then_x000D_
        MsgBox "Table 'meta_Snippets' not found. Attempting to create VBA from TablesAsFile."_x000D_
        _x000D_
        Set tbl = createSnippetsFromTemplate()_x000D_
        If tbl Is Nothing Then_x000D_
            MsgBox "No TablesAsFile found. VBA code can't be generated. Stopping execution."_x000D_
            Exit Sub_x000D_
        End If_x000D_
    End If_x000D_
    _x000D_
    ' Sort the table by Package, Subpackage, and Line columns_x000D_
    With tbl.Sort_x000D_
        .SortFields.Clear_x000D_
        .SortFields.Add key:=tbl.ListColumns("Package").Range, SortOn:=xlSortOnValues, Order:=xlAscending_x000D_
        .SortFields.Add key:=tbl.ListColumns("Sub Package").Range, SortOn:=xlSortOnValues, Order:=xlAscending_x000D_
        .SortFields.Add key:=tbl.ListColumns("Line").Range, SortOn:=xlSortOnValues, Order:=xlAscending_x000D_
        .Header = xlYes_x000D_
        .Apply_x000D_
    End With_x000D_
    _x000D_
    For Each row In tbl.ListRows_x000D_
        If Not (row.Range(tbl.ListColumns("ID").Index).Value = "_SnippetsRowTemplate") Then_x000D_
            package = row.Range(tbl.ListColumns("Package").Index).Value_x000D_
            subPackage = row.Range(tbl.ListColumns("Sub Package").Index).Value_x000D_
            kindSrc = row.Range(tbl.ListColumns("Kind:src").Index).Value_x000D_
            snippet = row.Range(tbl.ListColumns("Snippet").Index).Value_x000D_
            If Left(snippet, 2) = "''" Then_x000D_
                snippet = Mid(snippet, 2)_x000D_
            End If_x000D_
            _x000D_
            ' Determine the name of the VBA module/class based on Package and Subpackage_x000D_
            Select Case True_x000D_
                Case package = "" And subPackage = ""_x000D_
                    moduleName = "main"_x000D_
                Case package = "util" And subPackage = ""_x000D_
                    moduleName = "util"_x000D_
                Case package = "util" And Left(subPackage, 2) &lt;&gt; "::"_x000D_
                    moduleName = subPackage_x000D_
                Case package &lt;&gt; "" And subPackage Like "::*"_x000D_
                    moduleName = package &amp; Replace(subPackage, "::", "_")_x000D_
                Case Else_x000D_
                    moduleName = package_x000D_
            End Select_x000D_
            _x000D_
            ' Check if the moduleName already exists in the array_x000D_
            Dim Exists As Boolean_x000D_
            Exists = False_x000D_
            For i = 0 To moduleCount - 1_x000D_
                If moduleNames(i) = moduleName Then_x000D_
                    moduleCode(i) = moduleCode(i) &amp; snippet_x000D_
                    Exists = True_x000D_
                    Exit For_x000D_
                End If_x000D_
            Next i_x000D_
            _x000D_
            If Not Exists Then_x000D_
                ' Resize the arrays and add the new module name and snippet_x000D_
                ReDim Preserve moduleNames(moduleCount)_x000D_
                ReDim Preserve moduleTypes(moduleCount)_x000D_
                ReDim Preserve moduleCode(moduleCount)_x000D_
                moduleNames(moduleCount) = moduleName_x000D_
                moduleCode(moduleCount) = snippet_x000D_
                moduleTypes(moduleCount) = kindSrc_x000D_
                _x000D_
                Debug.Print moduleNames(moduleCount) &amp; " is stored in position " &amp; moduleCount &amp; " with Type " &amp; moduleTypes(moduleCount)_x000D_
             _x000D_
                moduleCount = moduleCount + 1_x000D_
                _x000D_
            End If_x000D_
        End If_x000D_
    Next row_x000D_
    _x000D_
_x000D_
    For i = 0 To moduleCount - 1_x000D_
        _x000D_
        ' DO NOT re-generate Layer0, as this has to be generated manually prior to this code execution_x000D_
        If moduleNames(i) &lt;&gt; "Layer0" Then_x000D_
            On Error Resume Next_x000D_
            Set vbaComponent = ThisWorkbook.VBProject.VBComponents(moduleNames(i))_x000D_
            On Error GoTo 0_x000D_
            _x000D_
            If vbaComponent Is Nothing Then_x000D_
                ' Determine the type based on the module name_x000D_
                If InStr(1, moduleTypes(i), "_ClassSnippet") &gt; 0 Then_x000D_
                    Set vbaComponent = ThisWorkbook.VBProject.VBComponents.Add(vbext_ct_ClassModule)_x000D_
                ElseIf InStr(1, moduleTypes(i), "_ModuleSnippet") &gt; 0 Then_x000D_
                    Set vbaComponent = ThisWorkbook.VBProject.VBComponents.Add(vbext_ct_StdModule)_x000D_
                ElseIf InStr(1, moduleTypes(i), "_ExcelTabSnippet") &gt; 0 Then_x000D_
                    'Set vbaComponent = ThisWorkbook.VBProject.VBComponents.Add(vbext_ct_Document)_x000D_
                    GoTo NextIteration_x000D_
                ElseIf InStr(1, moduleTypes(i), "_FormSnippet") &gt; 0 Then_x000D_
                    ' Skip the iteration for "_FormSnippet"_x000D_
                    GoTo NextIteration_x000D_
                End If_x000D_
                vbaComponent.name = moduleNames(i)_x000D_
                Debug.Print moduleNames(i) &amp; " created!"_x000D_
                moduleCreatedCount = moduleCreatedCount + 1_x000D_
            End If_x000D_
            _x000D_
            ' Clear any existing code in the module and insert the concatenated content_x000D_
            vbaComponent.CodeModule.DeleteLines 1, vbaComponent.CodeModule.CountOfLines_x000D_
            vbaComponent.CodeModule.InsertLines 1, moduleCode(i)_x000D_
            moduleFilledCount = moduleFilledCount + 1_x000D_
            Debug.Print moduleNames(i) &amp; " filled!"_x000D_
            Set vbaComponent = Nothing_x000D_
        End If_x000D_
NextIteration:_x000D_
    Next i_x000D_
    _x000D_
    MsgBox "Import from 'meta_Snippets' table to VBA components completed." &amp; vbCrLf &amp; moduleCount &amp; " VBA components were identified in 'Snippets' table." &amp; vbCrLf &amp; " - thereof " &amp; moduleCreatedCount &amp; " new componets were created." &amp; vbCrLf &amp; " - thereof " &amp; moduleFilledCount &amp; " componets were filled." &amp; vbCrLf &amp; vbCrLf &amp; "(Layer0 is identified but never created/filled, as this should be done manually. Forms are identified but never created/filled, these need to be created using CreateForms.CreateForms)"_x000D_
End Sub_x000D_
_x000D_
' Helper - removes all data from tables except for  specified tables / tables-package combinations_x000D_
Function removeAllButFirstRowAndResizeTables()_x000D_
_x000D_
    Dim ws As Worksheet_x000D_
    Dim tbl As ListObject_x000D_
    Dim tblName As String_x000D_
    Dim rowTemplateID As String_x000D_
    Dim dataRange As Range_x000D_
    Dim cell As Range_x000D_
    Dim columnPackage As Range_x000D_
    Dim packageValue As Variant_x000D_
    Dim excludeTables As Variant_x000D_
    Dim checkPackageTables As Variant_x000D_
    Dim rowsToKeep() As Variant_x000D_
    Dim keepRowCount As Long_x000D_
    Dim i As Long_x000D_
    _x000D_
    ' Define tables to skip unconditionally_x000D_
    excludeTables = Array("meta_Tables", "meta_Columns", "meta_NonCapitalizedTitleWords", "meta_TablePatterns", "meta_CodeTemplates", "meta_DocumentVersions", "meta_PackageDocumentation")_x000D_
    _x000D_
    ' Define tables to check for "Package" column_x000D_
    checkPackageTables = Array("meta_Classifiers", "meta_TypedElements", "meta_Rules", "meta_Literals")_x000D_
    _x000D_
    ' Loop through each worksheet and each table_x000D_
    For Each ws In ThisWorkbook.Worksheets_x000D_
        For Each tbl In ws.ListObjects_x000D_
            tblName = tbl.name_x000D_
            _x000D_
            ' Skip excluded tables_x000D_
            If IsInArray(tblName, excludeTables) Then_x000D_
                GoTo SkipTable_x000D_
            End If_x000D_
            _x000D_
            ' Special handling for "checkPackageTables"_x000D_
            If IsInArray(tblName, checkPackageTables) Then_x000D_
                On Error Resume Next_x000D_
                Set columnPackage = tbl.ListColumns("Package").DataBodyRange_x000D_
                On Error GoTo 0_x000D_
                _x000D_
                ' Only proceed if the "Package" column exists_x000D_
                If Not columnPackage Is Nothing Then_x000D_
                    ' Initialize the array to store rows to keep_x000D_
                    ReDim rowsToKeep(1 To tbl.ListRows.count, 1 To tbl.DataBodyRange.Columns.count)_x000D_
                    keepRowCount = 0_x000D_
                    _x000D_
                    ' Collect rows to keep_x000D_
                    For i = 1 To columnPackage.Rows.count_x000D_
                        packageValue = columnPackage.Cells(i, 1).Value_x000D_
                        _x000D_
                        ' Check the type and value of the package column cell_x000D_
                        If Not IsError(packageValue) And VarType(packageValue) = vbString Then_x000D_
                            If packageValue = "meta" Or packageValue = "util" Then_x000D_
                                keepRowCount = keepRowCount + 1_x000D_
                                rowsToKeep(keepRowCount, 1) = tbl.DataBodyRange.Rows(i).Value_x000D_
                            End If_x000D_
                        End If_x000D_
                    Next i_x000D_
                    _x000D_
                    ' Clear the table entirely_x000D_
                    If tbl.ListRows.count &gt; 0 Then_x000D_
                        tbl.DataBodyRange.ClearContents_x000D_
                    End If_x000D_
                    _x000D_
                    ' Add back the rows to keep_x000D_
                    If keepRowCount &gt; 0 Then_x000D_
                        tbl.Resize tbl.HeaderRowRange.Resize(1 + keepRowCount, tbl.HeaderRowRange.Columns.count)_x000D_
                        For i = 1 To keepRowCount_x000D_
                            tbl.ListRows.Add_x000D_
                            tbl.DataBodyRange.Rows(i).Value = rowsToKeep(i, 1)_x000D_
                        Next i_x000D_
                        _x000D_
                        ' Resize again to remove any extra rows_x000D_
                        Dim lastRow As Long_x000D_
                        On Error Resume Next_x000D_
                        lastRow = tbl.DataBodyRange.Find("*", SearchOrder:=xlByRows, SearchDirection:=xlPrevious).row_x000D_
                        On Error GoTo 0_x000D_
                        If lastRow &gt; tbl.HeaderRowRange.row Then_x000D_
                            tbl.Resize tbl.HeaderRowRange.Resize(lastRow - tbl.HeaderRowRange.row + 1, tbl.HeaderRowRange.Columns.count)_x000D_
                        Else_x000D_
                            tbl.Resize tbl.HeaderRowRange.Resize(2, tbl.HeaderRowRange.Columns.count)_x000D_
                        End If_x000D_
                    Else_x000D_
                        ' If no rows to keep, resize to one empty row_x000D_
                        If Not tbl.DataBodyRange Is Nothing Then_x000D_
                            tbl.Resize tbl.HeaderRowRange.Resize(2, tbl.HeaderRowRange.Columns.count)_x000D_
                            tbl.DataBodyRange.ClearContents_x000D_
                        End If_x000D_
                    End If_x000D_
                    _x000D_
                    GoTo SkipTable_x000D_
                End If_x000D_
            End If_x000D_
            _x000D_
            ' General case: Remove all rows but the first row_x000D_
            rowTemplateID = "_" &amp; tblName &amp; "RowTemplate"_x000D_
            _x000D_
            'Debug.Print rowTemplateID_x000D_
            _x000D_
            If tbl.ListRows.count &gt; 1 Then_x000D_
                ' Delete all rows except the first_x000D_
                tbl.DataBodyRange.Offset(1, 0).Resize(tbl.DataBodyRange.Rows.count - 1).Delete_x000D_
            ElseIf tbl.ListRows.count = 0 Then_x000D_
                tbl.ListRows.Add_x000D_
            End If_x000D_
            _x000D_
            ' Add the row template ID to the first row, column 1_x000D_
            tbl.ListRows(1).Range.Cells(1, 1).Value = rowTemplateID_x000D_
            _x000D_
            ' Preserve formulas in the first row, clear non-formula cells_x000D_
            With tbl.ListRows(1).Range_x000D_
                For Each cell In .Cells_x000D_
                    If Not cell.HasFormula And cell.column &lt;&gt; tbl.ListColumns(1).Range.column Then_x000D_
                        cell.ClearContents_x000D_
                    End If_x000D_
                Next cell_x000D_
            End With_x000D_
            _x000D_
            ' Resize table to only the first row_x000D_
            With tbl_x000D_
                .Resize tbl.HeaderRowRange.Resize(2, .HeaderRowRange.Columns.count)_x000D_
            End With_x000D_
            _x000D_
SkipTable:_x000D_
        Next tbl_x000D_
    Next ws_x000D_
    _x000D_
_x000D_
End Function_x000D_
' Helper_x000D_
Function IsInArray(valueToFind As String, arr As Variant) As Boolean_x000D_
    Dim i As Variant_x000D_
    For Each i In arr_x000D_
        If i = valueToFind Then_x000D_
            IsInArray = True_x000D_
            Exit Function_x000D_
        End If_x000D_
    Next i_x000D_
    IsInArray = False_x000D_
End Function_x000D_
_x000D_
Sub createVersionWithoutDataAndCode()_x000D_
    _x000D_
    Dim startTime As Single_x000D_
    Dim elapsedTime As Single_x000D_
    _x000D_
    _x000D_
    If MsgBox("Press OK to remove data (meta/util data not removed).", vbOKCancel + vbExclamation, "Continue or Cancel") = vbCancel Then_x000D_
        Exit Sub ' Exit the macro_x000D_
    End If_x000D_
    _x000D_
    startTime = Timer_x000D_
    _x000D_
    Application.EnableEvents = False_x000D_
    _x000D_
    ' call RemoveAllButFirstRowAndResizeTables to remove data_x000D_
   Call removeAllButFirstRowAndResizeTables_x000D_
_x000D_
    elapsedTime = Timer - startTime_x000D_
    _x000D_
    Dim hours As Long_x000D_
    Dim minutes As Long_x000D_
    Dim seconds As Long_x000D_
    _x000D_
    hours = Int(elapsedTime / 3600)_x000D_
    minutes = Int((elapsedTime Mod 3600) / 60)_x000D_
    seconds = Int(elapsedTime Mod 60)_x000D_
    _x000D_
    If MsgBox("Successfully removed data in " &amp; Format(hours, "00") &amp; ":" &amp; Format(minutes, "00") &amp; ":" &amp; Format(seconds, "00") &amp; " Press OK to execute dataFromCode and create VBA snippets.", vbOKCancel + vbExclamation, "Continue or Cancel") = vbCancel Then_x000D_
        Exit Sub ' Exit the macro_x000D_
    End If_x000D_
    _x000D_
    ' Call dataFromCodeDefault to extract code to snippets table_x000D_
    Call dataFromCodeDefault_x000D_
    _x000D_
    If MsgBox("Successfully created snippets. Press OK to execute deleteModulesAndEmptyDocuments and remove all VBA content.", vbOKCancel + vbExclamation, "Continue or Cancel") = vbCancel Then_x000D_
        Exit Sub ' Exit the macro_x000D_
    End If_x000D_
_x000D_
    ' Call deleteAllVBA to remove code modules_x000D_
    Call deleteAllVBA_x000D_
_x000D_
    'MsgBox "Successfully removed all VBA content. Saving file as .xlsx ..."_x000D_
    ' Save the modified workbook with "_noDataNoCode" suffix_x000D_
    _x000D_
    'skipping for now, due to error_x000D_
    _x000D_
    'Application.DisplayAlerts = False_x000D_
    _x000D_
    ' Construct the new file name with .xlsx extension_x000D_
    'newFileName = ThisWorkbook.Path &amp; "/" &amp; Replace(ThisWorkbook.Name, ".xlsm", "_noDataNoCode.xlsx")_x000D_
    _x000D_
    ' Save a copy of the workbook as .xlsx_x000D_
    'ThisWorkbook.SaveAs FileName:=newFileName, FileFormat:=51_x000D_
    _x000D_
    'Application.DisplayAlerts = True_x000D_
_x000D_
    elapsedTime = Timer - startTime_x000D_
    _x000D_
    hours = Int(elapsedTime / 3600)_x000D_
    minutes = Int((elapsedTime Mod 3600) / 60)_x000D_
    seconds = Int(elapsedTime Mod 60)_x000D_
_x000D_
    MsgBox "Execution completed in " &amp; Format(hours, "00") &amp; ":" &amp; Format(minutes, "00") &amp; ":" &amp; Format(seconds, "00") &amp; vbCrLf &amp; "Workbook does not contain any data or vba content anymore." &amp; vbCrLf &amp; "Please proceed to save as .xlsx manually."_x000D_
    _x000D_
    Application.EnableEvents = True_x000D_
End Sub_x000D_
_x000D_
Sub setAllTechnicalNames()_x000D_
    Dim ws As Worksheet_x000D_
    Dim vbComp As VBIDE.VBComponent_x000D_
    _x000D_
    For Each ws In ThisWorkbook.Worksheets_x000D_
        For Each vbComp In ThisWorkbook.VBProject.VBComponents_x000D_
            If ws.CodeName = vbComp.name Then_x000D_
            _x000D_
                newName = ws.name_x000D_
                _x000D_
                '(Name) property has to start with letter_x000D_
                If Not (Mid(newName, 1, 1) Like "[A-Za-z]") Then_x000D_
                    newName = "A" &amp; newName_x000D_
                End If_x000D_
                _x000D_
                '(Name) property only allows for max 31 characters_x000D_
                vbComp.name = Left(newName, 31)_x000D_
            End If_x000D_
        Next vbComp_x000D_
    Next ws_x000D_
    _x000D_
End Sub_x000D_
_x000D_
Function setTechnicalName(ws As Worksheet, tableName As String)_x000D_
    Dim vbComp As VBIDE.VBComponent_x000D_
    Dim backupNameTable As String_x000D_
    Dim startTime As Double_x000D_
_x000D_
    backupNameTable = Left(tableName, 30)_x000D_
_x000D_
    ' Ensure name starts with a letter_x000D_
    If Not (Mid(backupNameTable, 1, 1) Like "[A-Za-z]") Then_x000D_
        backupNameTable = "A" &amp; backupNameTable_x000D_
    End If_x000D_
_x000D_
    ' Try to get the VBComponent with a short wait loop_x000D_
    startTime = Timer_x000D_
    Do_x000D_
        On Error Resume Next_x000D_
        Set vbComp = ThisWorkbook.VBProject.VBComponents(ws.CodeName)_x000D_
        On Error GoTo 0_x000D_
        If Not vbComp Is Nothing Then Exit Do_x000D_
        DoEvents_x000D_
        If Timer - startTime &gt; 2 Then Exit Do ' continue, just skip renaming_x000D_
    Loop_x000D_
_x000D_
    ' Rename only if VBComponent was successfully set_x000D_
    If Not vbComp Is Nothing Then_x000D_
        On Error Resume Next_x000D_
        vbComp.name = backupNameTable_x000D_
        On Error GoTo 0_x000D_
    End If_x000D_
End Function_x000D_
_x000D_
_x000D_
Function createSnippetsFromTemplate() As ListObject_x000D_
    Dim wsTemplate As Worksheet_x000D_
    Set wb = ThisWorkbook_x000D_
_x000D_
    ' Locate the template sheet dynamically_x000D_
    For Each wsTemplate In wb.Sheets_x000D_
        If InStr(1, wsTemplate.name, "_File", vbTextCompare) &gt; 0 Then Exit For_x000D_
    Next wsTemplate_x000D_
    If wsTemplate Is Nothing Then_x000D_
        MsgBox "Template sheet not found!", vbCritical_x000D_
        Set createSnippetsFromtTemplate = Nothing_x000D_
        Exit Function_x000D_
    End If_x000D_
_x000D_
    Set wsSnippets = wb.Sheets.Add_x000D_
    wsSnippets.name = "Snippets"_x000D_
    _x000D_
    ' Locate and copy VBA Snippets Data_x000D_
    rowIndex = FindRow(wsTemplate, "## Snippets ## meta_Snippets ##") + 1_x000D_
    _x000D_
    ' Find the end of the Snippets section (next '##' or end of data)_x000D_
    lastRow = wsTemplate.Cells(wsTemplate.Rows.count, 1).End(xlUp).row_x000D_
    endRow = lastRow_x000D_
    _x000D_
    For i = rowIndex + 1 To lastRow_x000D_
        If Left(Trim(wsTemplate.Cells(i, 1).Value), 2) = "##" Then_x000D_
            endRow = i - 1_x000D_
            Exit For_x000D_
        End If_x000D_
    Next i_x000D_
    _x000D_
    ' Copy header row_x000D_
    wsTemplate.Rows(rowIndex).Copy_x000D_
    wsSnippets.Cells(1, 1).PasteSpecial Paste:=xlPasteValues_x000D_
    _x000D_
    ' Copy snippet data (if any)_x000D_
    If endRow &gt; rowIndex Then_x000D_
        wsTemplate.Range(wsTemplate.Cells(rowIndex + 1, 1), wsTemplate.Cells(endRow, wsTemplate.UsedRange.Columns.count)).Copy_x000D_
        wsSnippets.Cells(2, 1).PasteSpecial Paste:=xlPasteValues_x000D_
    End If_x000D_
_x000D_
    ' Create Snippets Table_x000D_
    Set rng = wsSnippets.Range("A1").CurrentRegion_x000D_
    Set tbl = wsSnippets.ListObjects.Add(xlSrcRange, rng, , xlYes)_x000D_
    tbl.name = "meta_Snippets"_x000D_
_x000D_
    Set createSnippetsFromTemplate = tbl_x000D_
End Function_x000D_
_x000D_
' Finds the row where a specific keyword is found in column A_x000D_
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_x000D_
_x000D_
_x000D_
_x000D_
</t>
  </si>
  <si>
    <t xml:space="preserve">Public backupTable As String_x000D_
_x000D_
</t>
  </si>
  <si>
    <t xml:space="preserve">Sub createAndComplementTablesAndColums()_x000D_
    Dim tblTables As ListObject, tblColumns As ListObject_x000D_
    Dim rowTable As ListRow, rowColumn As ListRow_x000D_
    Dim wsTarget As Worksheet, tblTarget As ListObject_x000D_
    Dim sheetName As String, tableName As String_x000D_
    Dim colLabel As String, colFormula As String_x000D_
    Dim colPos As Long, existingFormula As String_x000D_
    Dim mode As String_x000D_
    Dim rngColumn As Range_x000D_
    Dim cell As Range_x000D_
    Dim colCount As Long_x000D_
    Dim currentDateTime As String_x000D_
    Dim transferTime As Date_x000D_
    Dim userChoice As Variant_x000D_
    Dim startTime As Double_x000D_
_x000D_
    transferTime = Now()_x000D_
    currentDateTime = Format(transferTime, "yyyymmddhhmmss")_x000D_
    startTime = Timer_x000D_
_x000D_
    Application.ScreenUpdating = False_x000D_
    Application.Calculation = xlCalculationManual_x000D_
    Application.EnableEvents = False_x000D_
_x000D_
    userChoice = Application.InputBox( __x000D_
        "Choose handling of old values/formulas:" &amp; vbNewLine &amp; vbNewLine &amp; __x000D_
        "1 - Overwrite (lose old overwritten values/formulas!)" &amp; vbNewLine &amp; __x000D_
        "2 - BackupValues (save old overwritten formula-VALUES in '_backup'' column.)" &amp; vbNewLine &amp; __x000D_
        "3 - BackupFormulas (save old overwritten formula in '_backup'' column.)", __x000D_
        "Select Mode", Type:=1)_x000D_
_x000D_
    Select Case userChoice_x000D_
        Case 1_x000D_
            mode = "overwrite"_x000D_
        Case 2_x000D_
            mode = "backupV"_x000D_
        Case 3_x000D_
            mode = "backupF"_x000D_
        Case Else_x000D_
            MsgBox "Invalid Number. Stopping execution..", vbInformation_x000D_
            Exit Sub_x000D_
    End Select_x000D_
_x000D_
    MsgBox "Attempting to create and complement tables and columns based on entries in 'meta_Tables' and 'meta_Columns' ..", vbInformation_x000D_
_x000D_
    On Error Resume Next_x000D_
    Set tblTables = ThisWorkbook.Sheets("Tables").ListObjects("meta_Tables")_x000D_
    Set tblColumns = ThisWorkbook.Sheets("Columns").ListObjects("meta_Columns")_x000D_
    On Error GoTo 0_x000D_
_x000D_
    If tblTables Is Nothing Then_x000D_
        MsgBox "Table 'meta_Tables' in sheet 'Tables' not found. Stopping execution..", vbInformation_x000D_
        Exit Sub_x000D_
    End If_x000D_
_x000D_
    If tblColumns Is Nothing Then_x000D_
        MsgBox "Table 'meta_Columns' in sheet 'Columns' not found. Stopping execution..", vbInformation_x000D_
        Exit Sub_x000D_
    End If_x000D_
_x000D_
   ' === STEP 1: Ensure existence and correct alignment of sheets and tables ===_x000D_
For Each rowTable In tblTables.ListRows_x000D_
    sheetName = rowTable.Range(1, tblTables.ListColumns("Excel Table - Sheet Name").Index).Value_x000D_
    tableName = rowTable.Range(1, tblTables.ListColumns("Excel Table - Excel Name").Index).Value_x000D_
    _x000D_
    If sheetName = "" Then GoTo Skip_x000D_
_x000D_
    Dim wsExpected As Worksheet_x000D_
    Dim wsActual As Worksheet_x000D_
    Dim tblFound As ListObject_x000D_
    Dim tableExists As Boolean: tableExists = False_x000D_
    Dim sheetExists As Boolean: sheetExists = False_x000D_
_x000D_
    ' Check if sheet with expected name exists_x000D_
    On Error Resume Next_x000D_
    Set wsExpected = ThisWorkbook.Sheets(sheetName)_x000D_
    On Error GoTo 0_x000D_
    sheetExists = Not wsExpected Is Nothing_x000D_
_x000D_
    ' Check if table exists anywhere in workbook and track the sheet it's in_x000D_
    Set tblFound = Nothing_x000D_
    For Each wsActual In ThisWorkbook.Worksheets_x000D_
        On Error Resume Next_x000D_
        Set tblFound = wsActual.ListObjects(tableName)_x000D_
        On Error GoTo 0_x000D_
        If Not tblFound Is Nothing Then Exit For_x000D_
    Next wsActual_x000D_
    tableExists = Not tblFound Is Nothing_x000D_
_x000D_
    ' === Case 1: Table and Sheet exist but not aligned ===_x000D_
    If tableExists And sheetExists And Not wsActual Is wsExpected Then_x000D_
        ' Clear expected sheet and move table_x000D_
            wsExpected.Cells.Clear_x000D_
            tblFound.Range.Copy Destination:=wsExpected.Range("A1")_x000D_
            tblFound.Delete_x000D_
        _x000D_
            ' Use existing pasted table instead of adding a new one_x000D_
            Dim pastedTable As ListObject_x000D_
            On Error Resume Next_x000D_
            Set pastedTable = wsExpected.ListObjects(1)_x000D_
            On Error GoTo 0_x000D_
        _x000D_
            If Not pastedTable Is Nothing Then_x000D_
                pastedTable.name = tableName_x000D_
                Set tblFound = pastedTable_x000D_
            Else_x000D_
                ' Fallback in case paste didn't include a table (just in case)_x000D_
                Set tblFound = wsExpected.ListObjects.Add(xlSrcRange, wsExpected.Range("A1").CurrentRegion, , xlYes)_x000D_
                tblFound.name = tableName_x000D_
            End If_x000D_
_x000D_
    ' === Case 2: Sheet exists, Table does not ===_x000D_
    ElseIf sheetExists And Not tableExists Then_x000D_
        wsExpected.Cells.Clear_x000D_
        wsExpected.Cells(1, 1).Value = "ID"_x000D_
        wsExpected.Cells(2, 1).Value = "___" &amp; tableName &amp; "RowTemplate"_x000D_
        Set tblFound = wsExpected.ListObjects.Add(xlSrcRange, wsExpected.Range("A1").CurrentRegion, , xlYes)_x000D_
        tblFound.name = tableName_x000D_
_x000D_
    ' === Case 3: Table exists, Sheet does not ===_x000D_
    ElseIf tableExists And Not sheetExists Then_x000D_
        wsActual.name = sheetName ' Rename the existing sheet holding the table_x000D_
_x000D_
    ' === Case 4: Neither exists ===_x000D_
    ElseIf Not tableExists And Not sheetExists Then_x000D_
        Set wsExpected = ThisWorkbook.Sheets.Add(After:=Sheets(Sheets.count))_x000D_
        wsExpected.name = sheetName_x000D_
        wsExpected.Cells(1, 1).Value = "ID"_x000D_
        wsExpected.Cells(2, 1).Value = "___" &amp; tableName &amp; "RowTemplate"_x000D_
        Set tblFound = wsExpected.ListObjects.Add(xlSrcRange, wsExpected.Range("A1").CurrentRegion, , xlYes)_x000D_
        tblFound.name = tableName_x000D_
    End If_x000D_
_x000D_
_x000D_
    ' Cleanup_x000D_
    Set wsExpected = Nothing_x000D_
    Set wsActual = Nothing_x000D_
    Set tblFound = Nothing_x000D_
    _x000D_
Skip:_x000D_
Next rowTable_x000D_
_x000D_
_x000D_
   ' === STEP 2: Efficiently create, update, position or remove columns ===_x000D_
_x000D_
    Dim processedTable As String_x000D_
    Dim tableLabels() As String_x000D_
    Dim tableRow As ListRow_x000D_
    Dim count As Long_x000D_
    _x000D_
    ' Get unique table names from meta_Columns_x000D_
    For Each tableRow In tblColumns.ListRows_x000D_
        _x000D_
_x000D_
        processedTable = CStr(tableRow.Range(1, tblColumns.ListColumns("_Tables").Index).Value)_x000D_
        If processedTable = "" Then GoTo Skip2_x000D_
        _x000D_
        ' Avoid duplicates (simple array check)_x000D_
        Dim found As Boolean: found = False_x000D_
        For i = 1 To count_x000D_
            If tableLabels(i) = processedTable Then_x000D_
                found = True_x000D_
                Exit For_x000D_
            End If_x000D_
        Next i_x000D_
        If Not found Then_x000D_
            count = count + 1_x000D_
            ReDim Preserve tableLabels(1 To count)_x000D_
            tableLabels(count) = processedTable_x000D_
        End If_x000D_
        _x000D_
Skip2:_x000D_
    Next tableRow_x000D_
    _x000D_
    ' Process each table_x000D_
    For i = 1 To count_x000D_
        Call processTableColumns(tableLabels(i), tblColumns, mode, currentDateTime)_x000D_
    Next i_x000D_
_x000D_
_x000D_
_x000D_
  ' === STEP 3: Delete sheets not listed in meta_Tables ===_x000D_
    Dim ws As Worksheet_x000D_
    Dim keepSheets As String, idx As Long_x000D_
    _x000D_
    ' Build pipe-delimited list of sheet names to keep_x000D_
    keepSheets = "|Tables|Columns|Invalid" &amp; currentDateTime_x000D_
    For Each rowTable In tblTables.ListRows_x000D_
        keepSheets = keepSheets &amp; rowTable.Range(1, tblTables.ListColumns("Excel Table - Sheet Name").Index).Value &amp; "|"_x000D_
    Next rowTable_x000D_
    _x000D_
    ' Delete all sheets not in keep list_x000D_
    Application.DisplayAlerts = False_x000D_
    For Each ws In ThisWorkbook.Worksheets_x000D_
        If InStr(keepSheets, "|" &amp; ws.name &amp; "|") = 0 And Not ws.name Like "*Backup*" Then ws.Delete_x000D_
    Next ws_x000D_
    Application.DisplayAlerts = True_x000D_
_x000D_
_x000D_
    Application.Calculation = xlCalculationAutomatic_x000D_
    Application.ScreenUpdating = True_x000D_
    Application.EnableEvents = True_x000D_
_x000D_
    MsgBox "Workbook structure update completed in " &amp; Format(Timer - startTime, "0.00") &amp; " seconds.", vbInformation_x000D_
End Sub_x000D_
_x000D_
Private </t>
  </si>
  <si>
    <t xml:space="preserve">Function processTableColumns(ByVal tableName As String, ByRef tblColumns As ListObject, ByVal mode As String, ByVal currentDateTime As String)_x000D_
    Dim wsTarget As Worksheet, tblTarget As ListObject_x000D_
    Dim rowColumn As ListRow_x000D_
    Dim colLabel As String, colFormula As String, existingFormula As String_x000D_
    Dim colPos As Long, i As Long_x000D_
    Dim foundCol As ListColumn, rngColumn As Range_x000D_
    Dim expectedLabels() As String, labelCount As Long_x000D_
    Dim backupRequests As Collection_x000D_
    Set backupRequests = New Collection_x000D_
    Dim failedFormulas As Collection_x000D_
    Set failedFormulas = New Collection_x000D_
    Dim tableInfo As String_x000D_
_x000D_
    ' Find the table_x000D_
    For Each wsTarget In ThisWorkbook.Worksheets_x000D_
        On Error Resume Next_x000D_
        Set tblTarget = wsTarget.ListObjects(tableName)_x000D_
        On Error GoTo 0_x000D_
        If Not tblTarget Is Nothing Then Exit For_x000D_
    Next wsTarget_x000D_
    If tblTarget Is Nothing Then Exit Function_x000D_
_x000D_
    ' Prepare expected column list_x000D_
    labelCount = 0_x000D_
    For Each rowColumn In tblColumns.ListRows_x000D_
    tableInfo = CStr(rowColumn.Range(1, tblColumns.ListColumns("_Tables").Index).Value)_x000D_
        If tableInfo = tableName Then_x000D_
            colLabel = rowColumn.Range(1, tblColumns.ListColumns("Excel Column - Label").Index).Value_x000D_
            colFormula = rowColumn.Range(1, tblColumns.ListColumns("Excel Column - Excel Formula").Index).Value_x000D_
            colValidation = rowColumn.Range(1, tblColumns.ListColumns("Excel Column - Validation Formula").Index).Value_x000D_
            colPos = rowColumn.Range(1, tblColumns.ListColumns("Position").Index).Value_x000D_
            _x000D_
            'handle referencing, waiting for now_x000D_
            'colRef = rowColumn.Range(1, tblColumns.ListColumns("Referenced Table:src").Index).Value_x000D_
            'colRefDisplay = rowColumn.Range(1, tblColumns.ListColumns("Referenced Table Display and Select Column:src").Index).Value_x000D_
            _x000D_
_x000D_
            ' Track expected labels_x000D_
            labelCount = labelCount + 1_x000D_
            ReDim Preserve expectedLabels(1 To labelCount)_x000D_
            expectedLabels(labelCount) = colLabel_x000D_
_x000D_
            ' Check if column exists_x000D_
            Set foundCol = Nothing_x000D_
            On Error Resume Next_x000D_
            Set foundCol = tblTarget.ListColumns(colLabel)_x000D_
            On Error GoTo 0_x000D_
_x000D_
            If Not foundCol Is Nothing Then_x000D_
                ' Move if needed_x000D_
                If foundCol.Index &lt;&gt; colPos Then_x000D_
                    foundCol.Range.Cut_x000D_
                    tblTarget.ListColumns(colPos).Range.Insert Shift:=xlToRight_x000D_
                End If_x000D_
_x000D_
                ' Handle formula_x000D_
                If colFormula &lt;&gt; "" And Left(colFormula, 8) = "Formula:" Then_x000D_
                    Set rngColumn = tblTarget.ListColumns(colLabel).DataBodyRange_x000D_
                    existingFormula = ""_x000D_
                    On Error Resume Next_x000D_
                    existingFormula = rngColumn.Cells(1, 1).formula_x000D_
                    On Error GoTo 0_x000D_
_x000D_
                    If mode = "overwrite" Then_x000D_
                        On Error Resume Next_x000D_
                        Err.Clear_x000D_
                        rngColumn.formula = Mid(colFormula, 9)_x000D_
                        If Err.Number &lt;&gt; 0 Then_x000D_
_x000D_
                        failedFormulas.Add Array(colLabel, tableName, Mid(colFormula, 9))_x000D_
                        'MsgBox "Invalid Formula. Skipping this column." &amp; vbCrLf &amp; "Failed to apply formula in column '" &amp; colLabel &amp; "' of table '" &amp; tableName &amp; "'." &amp; vbCrLf &amp; __x000D_
                               "Formula: " &amp; Mid(colFormula, 9) &amp; vbCrLf &amp; "End.", vbExclamation, "Formula Error - Skipping Column"_x000D_
                        Err.Clear_x000D_
                        _x000D_
                        End If_x000D_
                        On Error GoTo 0_x000D_
_x000D_
_x000D_
                    ElseIf mode = "backupV" Or mode = "backupF" Then_x000D_
                        If existingFormula &lt;&gt; Mid(colFormula, 9) Then_x000D_
                            ' Queue backup request for later_x000D_
                            _x000D_
                            _x000D_
                            Dim valuesArray As Variant_x000D_
                            valuesArray = rngColumn.Value2_x000D_
                            _x000D_
                            Dim firstFormula As String_x000D_
                            firstFormula = rngColumn.Cells(1, 1).formula_x000D_
_x000D_
                            backupRequests.Add Array(colLabel, firstFormula, valuesArray)_x000D_
                        End If_x000D_
                        On Error Resume Next_x000D_
                        Err.Clear_x000D_
                        rngColumn.formula = Mid(colFormula, 9)_x000D_
                        If Err.Number &lt;&gt; 0 Then_x000D_
                        failedFormulas.Add Array(colLabel, tableName, Mid(colFormula, 9))_x000D_
                        Err.Clear_x000D_
_x000D_
                        End If_x000D_
                        On Error GoTo 0_x000D_
_x000D_
_x000D_
                    End If_x000D_
                End If_x000D_
                ' Handle Validation if applicable_x000D_
                If colValidation &lt;&gt; "" And Left(colValidation, 18) = "ValidationFormula:" Then_x000D_
                    Set rngColumn = tblTarget.ListColumns(colLabel).DataBodyRange_x000D_
                    On Error Resume Next_x000D_
                    rngColumn.Validation.Delete_x000D_
                    On Error GoTo 0_x000D_
                    ' Apply new data validation_x000D_
                    With rngColumn.Validation_x000D_
                        .Add Type:=xlValidateList, AlertStyle:=xlValidAlertStop, Operator:=xlBetween, Formula1:=Mid(colValidation, 19)_x000D_
                        .IgnoreBlank = True_x000D_
                        .InCellDropdown = True ' Make sure dropdown appears_x000D_
                        .ShowInput = True_x000D_
                        .ShowError = True_x000D_
                    End With_x000D_
                End If_x000D_
            Else_x000D_
                ' Add new column_x000D_
                Dim newCol As ListColumn_x000D_
                Set newCol = tblTarget.ListColumns.Add(position:=colPos)_x000D_
                newCol.name = colLabel_x000D_
                If colFormula &lt;&gt; "" And Left(colFormula, 8) = "Formula:" Then_x000D_
                        On Error Resume Next_x000D_
                        Err.Clear_x000D_
                        newCol.DataBodyRange.formula = Mid(colFormula, 9)_x000D_
                        If Err.Number &lt;&gt; 0 Then_x000D_
                        failedFormulas.Add Array(colLabel, tableName, Mid(colFormula, 9))_x000D_
                        Err.Clear_x000D_
_x000D_
                        End If_x000D_
                        On Error GoTo 0_x000D_
_x000D_
                End If_x000D_
                ' Handle Validation if applicable_x000D_
                If colValidation &lt;&gt; "" And Left(colValidation, 18) = "ValidationFormula:" Then_x000D_
                    On Error Resume Next_x000D_
                    newCol.DataBodyRange.Validation.Delete_x000D_
                    On Error GoTo 0_x000D_
                    ' Apply new data validation_x000D_
                    With newCol.DataBodyRange.Validation_x000D_
                        .Add Type:=xlValidateList, AlertStyle:=xlValidAlertStop, Operator:=xlBetween, Formula1:=Mid(colValidation, 19)_x000D_
                        .IgnoreBlank = True_x000D_
                        .InCellDropdown = True ' Make sure dropdown appears_x000D_
                        .ShowInput = True_x000D_
                        .ShowError = True_x000D_
                    End With_x000D_
                End If_x000D_
            End If_x000D_
        End If_x000D_
    Next rowColumn_x000D_
_x000D_
    ' === Apply backup columns after all standard columns ===_x000D_
    Dim b As Variant_x000D_
    For Each b In backupRequests_x000D_
        colLabel = b(0)_x000D_
        existingFormula = b(1)_x000D_
        Dim storedValues As Variant: storedValues = b(2)_x000D_
_x000D_
        Dim backupName As String: backupName = colLabel &amp; "_backup" &amp; currentDateTime_x000D_
        On Error Resume Next_x000D_
        tblTarget.ListColumns(backupName).Delete_x000D_
        On Error GoTo 0_x000D_
_x000D_
        Dim backupCol As ListColumn_x000D_
        Set backupCol = tblTarget.ListColumns.Add_x000D_
        backupCol.name = backupName_x000D_
_x000D_
        If mode = "backupV" Then_x000D_
            backupCol.DataBodyRange.Value = storedValues_x000D_
        ElseIf mode = "backupF" Then_x000D_
            backupCol.DataBodyRange.formula = existingFormula_x000D_
        End If_x000D_
_x000D_
    Next b_x000D_
_x000D_
    ' === Remove extra columns not in meta_Columns ===_x000D_
    For i = tblTarget.ListColumns.count To 1 Step -1_x000D_
        Dim currentLabel As String_x000D_
        currentLabel = tblTarget.ListColumns(i).name_x000D_
        If currentLabel Like "*backup*" Then GoTo SkipDelete_x000D_
_x000D_
        Dim keep As Boolean: keep = False_x000D_
        For j = 1 To labelCount_x000D_
            If expectedLabels(j) = currentLabel Then_x000D_
                keep = True_x000D_
                Exit For_x000D_
            End If_x000D_
        Next j_x000D_
_x000D_
        If Not keep Then tblTarget.ListColumns(i).Delete_x000D_
SkipDelete:_x000D_
    Next i_x000D_
    _x000D_
    If failedFormulas.count &gt; 0 Then_x000D_
_x000D_
        _x000D_
        ' Create new worksheet_x000D_
        Set ws = ThisWorkbook.Sheets.Add_x000D_
        ws.name = "Invalid" &amp; currentDateTime_x000D_
        _x000D_
        ' Write headers_x000D_
        ws.Cells(1, 1).Value = "Column Name"_x000D_
        ws.Cells(1, 2).Value = "Table Name"_x000D_
        ws.Cells(1, 3).Value = "Formula"_x000D_
        _x000D_
        ' Write each entry_x000D_
        For i = 1 To failedFormulas.count_x000D_
            entry = failedFormulas(i)_x000D_
            ws.Cells(i + 1, 1).Value = entry(0) ' Column Name_x000D_
            ws.Cells(i + 1, 2).Value = entry(1) ' Table Name_x000D_
            ws.Cells(i + 1, 3).Value = "Formula:" &amp; entry(2) ' Formula_x000D_
        Next i_x000D_
        MsgBox "Invalid formulas in the 'Excel Column - Excel Formula' Column of the 'Columns' Table that led to errors were identified and skipped. The sheet Invalid" &amp; currentDateTime &amp; " provides a list these invalid formulas that were skipped. Please review..", vbExclamation, "Formula Errors identified"_x000D_
    End If_x000D_
_x000D_
    Set tblTarget = Nothing_x000D_
    Set wsTarget = Nothing_x000D_
End Function_x000D_
_x000D_
_x000D_
_x000D_
</t>
  </si>
  <si>
    <t xml:space="preserve">Sub createTableBackup()_x000D_
    Dim sheetName As String_x000D_
    Dim tableName As String_x000D_
    Dim currentDateTime As String_x000D_
    _x000D_
    Dim backupForm As UserForm_BackupTable_x000D_
    Set backupForm = New UserForm_BackupTable_x000D_
    backupForm.Show_x000D_
    _x000D_
    transferTime = Now()_x000D_
    currentDateTime = Format(transferTime, "yymmddhhmm")_x000D_
    _x000D_
    sheetName = Trim(Left(backupTable, InStr(backupTable, "(") - 1))_x000D_
    tableName = Trim(Mid(backupTable, InStr(backupTable, "(") + 1, InStr(backupTable, ")") - InStr(backupTable, "(") - 1))_x000D_
    _x000D_
    Call createBackup(sheetName, tableName, currentDateTime)_x000D_
    _x000D_
    MsgBox "Backup of the Table: " &amp; vbNewLine &amp; tableName &amp; vbNewLine &amp; "in the Sheet:" &amp; vbNewLine &amp; sheetName &amp; vbNewLine &amp; "was created with the following name:" &amp; vbNewLine &amp; Left(sheetName, 15) &amp; "Backup" &amp; currentDateTime, vbInformation_x000D_
    _x000D_
End Sub_x000D_
_x000D_
</t>
  </si>
  <si>
    <t xml:space="preserve">Function instantiatedSimpleCodePattern(patternSourceTable As String, patternMatchFilterColumnNames As Variant, patternMatchFilterColumnValues As Variant, patternOrderColumnName As String, instantiatedTemplateColumnFromPatternSourceTable As String) As String_x000D_
_x000D_
    Dim ws As Worksheet_x000D_
    Dim tbl As ListObject_x000D_
    Dim wsFound As Boolean_x000D_
    Dim sheet As Worksheet_x000D_
    Dim filterCriteria As Collection_x000D_
    Dim matchedRows As Collection_x000D_
    Dim orderColumnIndex As Long_x000D_
    Dim instantiatedColumnIndex As Long_x000D_
    Dim rowIndex As Long_x000D_
    Dim colIndex As Long_x000D_
    Dim filterMatched As Boolean_x000D_
    Dim output As String_x000D_
    Dim tempArray() As Variant_x000D_
    Dim i As Long_x000D_
_x000D_
    ' Search for the table across all worksheets_x000D_
    wsFound = False_x000D_
    For Each sheet In ThisWorkbook.Worksheets_x000D_
        On Error Resume Next_x000D_
        Set tbl = sheet.ListObjects(patternSourceTable)_x000D_
        On Error GoTo 0_x000D_
        If Not tbl Is Nothing Then_x000D_
            Set ws = sheet_x000D_
            wsFound = True_x000D_
            Exit For_x000D_
        End If_x000D_
    Next sheet_x000D_
    _x000D_
    ' Validate if the table was found_x000D_
    If Not wsFound Or tbl Is Nothing Then_x000D_
        MsgBox "Error: Pattern source table '" &amp; patternSourceTable &amp; "' not found in any worksheet.", vbCritical_x000D_
        Exit Function_x000D_
    End If_x000D_
    _x000D_
     ' Ensure the number of filter columns matches the number of filter values_x000D_
    If UBound(patternMatchFilterColumnNames) &lt;&gt; UBound(patternMatchFilterColumnValues) Then_x000D_
        MsgBox "Error: Mismatch between filter column names and filter column values.", vbCritical_x000D_
        Exit Function_x000D_
    End If_x000D_
_x000D_
    ' Find the order column and instantiated template column indexes_x000D_
    orderColumnIndex = 0_x000D_
    instantiatedColumnIndex = 0_x000D_
    For colIndex = 1 To tbl.ListColumns.count_x000D_
        If tbl.ListColumns(colIndex).name = patternOrderColumnName Then_x000D_
            orderColumnIndex = colIndex_x000D_
        End If_x000D_
        If tbl.ListColumns(colIndex).name = instantiatedTemplateColumnFromPatternSourceTable Then_x000D_
            instantiatedColumnIndex = colIndex_x000D_
        End If_x000D_
    Next colIndex_x000D_
_x000D_
    If orderColumnIndex = 0 Or instantiatedColumnIndex = 0 Then_x000D_
        MsgBox "Error: Order column or instantiated template column not found in table.", vbCritical_x000D_
        Exit Function_x000D_
    End If_x000D_
_x000D_
    ' Find matching rows_x000D_
    Set matchedRows = New Collection_x000D_
    tempArray = tbl.DataBodyRange.Value_x000D_
    For rowIndex = 1 To UBound(tempArray, 1)_x000D_
        filterMatched = True_x000D_
        For i = LBound(patternMatchFilterColumnNames) To UBound(patternMatchFilterColumnNames)_x000D_
            Dim columnName As String, columnValue As String_x000D_
            columnName = patternMatchFilterColumnNames(i)_x000D_
            columnValue = patternMatchFilterColumnValues(i)_x000D_
            Dim columnIndex As Long_x000D_
            columnIndex = 0_x000D_
_x000D_
            ' Find the column index for the filter_x000D_
            For colIndex = 1 To tbl.ListColumns.count_x000D_
                If tbl.ListColumns(colIndex).name = columnName Then_x000D_
                    columnIndex = colIndex_x000D_
                    Exit For_x000D_
                End If_x000D_
            Next colIndex_x000D_
_x000D_
            If columnIndex = 0 Then_x000D_
                MsgBox "Error: Filter column '" &amp; columnName &amp; "' not found in table.", vbCritical_x000D_
                Exit Function_x000D_
            End If_x000D_
_x000D_
            ' Check if the value matches_x000D_
            If tempArray(rowIndex, columnIndex) &lt;&gt; columnValue Then_x000D_
                filterMatched = False_x000D_
                Exit For_x000D_
            End If_x000D_
        Next i_x000D_
_x000D_
        ' If all criteria match, add to the collection_x000D_
        If filterMatched Then_x000D_
            matchedRows.Add Array(tempArray(rowIndex, orderColumnIndex), tempArray(rowIndex, instantiatedColumnIndex))_x000D_
        End If_x000D_
    Next rowIndex_x000D_
_x000D_
    ' Sort matched rows by the order column_x000D_
    If matchedRows.count &gt; 1 Then_x000D_
        Dim j As Long, k As Long_x000D_
        Dim temp As Variant_x000D_
        For j = 1 To matchedRows.count - 1_x000D_
            For k = j + 1 To matchedRows.count_x000D_
                If matchedRows(j)(0) &gt; matchedRows(k)(0) Then_x000D_
                    temp = matchedRows(j)_x000D_
                    matchedRows(j) = matchedRows(k)_x000D_
                    matchedRows(k) = temp_x000D_
                End If_x000D_
            Next k_x000D_
        Next j_x000D_
    End If_x000D_
_x000D_
    output = ""_x000D_
_x000D_
    For i = 1 To matchedRows.count_x000D_
        output = output &amp; matchedRows(i)(1)_x000D_
    _x000D_
    _x000D_
        If i &lt; matchedRows.count Then_x000D_
            output = output &amp; vbNewLine_x000D_
        End If_x000D_
    Next i_x000D_
_x000D_
    instantiatedSimpleCodePattern = output_x000D_
_x000D_
End Function_x000D_
_x000D_
</t>
  </si>
  <si>
    <t xml:space="preserve">Sub repopulateTablesAndColumnsMetadata()_x000D_
    Dim wsTables As Worksheet, wsColumns As Worksheet_x000D_
    Dim tblTables As ListObject, tblColumns As ListObject_x000D_
    Dim extractTables As ListObject, extractColumns As ListObject_x000D_
    Dim currentDateTime As String_x000D_
    Dim foundT As Boolean, foundC As Boolean_x000D_
    Dim backupName As String_x000D_
    _x000D_
    transferTime = Now()_x000D_
    currentDateTime = Format(transferTime, "yymmddhhmm")_x000D_
    _x000D_
    startTime = Timer_x000D_
    _x000D_
    Application.ScreenUpdating = False_x000D_
    Application.Calculation = xlCalculationManual_x000D_
    Application.EnableEvents = False_x000D_
    _x000D_
    _x000D_
    MsgBox "Creating backups of 'meta_Tables' and 'meta_Columns' and creating temporary extract tables..", vbInformation_x000D_
    _x000D_
    ' Step 1: Backup existing Tables and Columns if they exist_x000D_
    Set tblTables = createBackup("Tables", "meta_Tables", currentDateTime)_x000D_
_x000D_
    Set tblColumns = createBackup("Columns", "meta_Columns", currentDateTime)_x000D_
_x000D_
    ' Step 2: Create Extract Tables_x000D_
    Set extractTables = createExtract("Tables", currentDateTime)_x000D_
    _x000D_
    Set extractColumns = createExtract("Columns", currentDateTime)_x000D_
    _x000D_
    ' Step 3: Validate Extract Against Base Tables_x000D_
    Set tblTables = compareExtract("Tables", currentDateTime)_x000D_
    _x000D_
    Set tblColumns = compareExtract("Columns", currentDateTime)_x000D_
    _x000D_
    ' Step 4: Process Metadata from Current Workbook_x000D_
    processMetaData (currentDateTime)_x000D_
    _x000D_
    ' Step 5: Merge Extract Data into Main Tables_x000D_
    Call mergeTables(currentDateTime)_x000D_
    _x000D_
    elapsedTime = Timer - startTime_x000D_
    formattedTime = Format(Int(elapsedTime / 60), "00") &amp; ":" &amp; Format(elapsedTime Mod 60, "00")_x000D_
    MsgBox "Current sheet-structure successfully documented in meta_Tables and meta_Columns. Duration: " &amp; formattedTime &amp; " minutes.", vbInformation_x000D_
    _x000D_
    _x000D_
    Application.Calculation = xlCalculationAutomatic_x000D_
    Application.ScreenUpdating = True_x000D_
    Application.StatusBar = False_x000D_
    Application.EnableEvents = True_x000D_
End Sub_x000D_
_x000D_
_x000D_
_x000D_
' Helper_x000D_
</t>
  </si>
  <si>
    <t xml:space="preserve">Function createBackup(tabName As String, tableName As String, currentDateTime As String) As ListObject_x000D_
_x000D_
    Dim NewSheet As Worksheet_x000D_
    Dim backupNameTable As String_x000D_
    _x000D_
    _x000D_
    Set createBackup = Nothing_x000D_
    Set wsTables = Nothing_x000D_
    _x000D_
    _x000D_
    backupNameSheet = Left(tabName, 15) &amp; "Backup" &amp; currentDateTime_x000D_
    backupNameTable = Left(tableName, 15) &amp; "Backup" &amp; currentDateTime_x000D_
    _x000D_
    On Error Resume Next_x000D_
    Set wsTables = ThisWorkbook.Sheets(tabName)_x000D_
    If Not wsTables Is Nothing Then_x000D_
        Set tblTables = wsTables.ListObjects(tableName)_x000D_
        If Not tblTables Is Nothing Then_x000D_
        _x000D_
            wsTables.Copy After:=ThisWorkbook.Sheets(tabName)_x000D_
            Set NewSheet = ActiveSheet_x000D_
        _x000D_
        _x000D_
        _x000D_
            'Set NewSheet = ThisWorkbook.Sheets.Add(After:=ThisWorkbook.Sheets(ThisWorkbook.Sheets.count))_x000D_
            NewSheet.name = backupNameSheet_x000D_
            _x000D_
            'Set fullRange = tblTables.Range_x000D_
            'fullRange.Copy_x000D_
            'NewSheet.Range("A1").PasteSpecial Paste:=xlPasteAll_x000D_
            Application.CutCopyMode = False_x000D_
            _x000D_
            Set newTable = NewSheet.ListObjects(1)_x000D_
            newTable.name = backupNameTable_x000D_
            _x000D_
            Call setTechnicalName(NewSheet, backupNameTable)_x000D_
            _x000D_
            Set createBackup = tblTables_x000D_
_x000D_
        End If_x000D_
    End If_x000D_
    On Error GoTo 0_x000D_
End Function_x000D_
_x000D_
' Helper_x000D_
</t>
  </si>
  <si>
    <t xml:space="preserve">Function createExtract(tableType As String, currentDateTime As String) As ListObject_x000D_
    _x000D_
    If tableType = "Tables" Then_x000D_
    _x000D_
        ' Create 'Tables_Extract' sheet with specific columns_x000D_
        Set NewSheet = ThisWorkbook.Sheets.Add(After:=ThisWorkbook.Sheets(ThisWorkbook.Sheets.count))_x000D_
        NewSheet.name = "Tables_Extract" &amp; currentDateTime_x000D_
        _x000D_
        ' Add headers to the new sheet_x000D_
        With NewSheet_x000D_
            .Cells(1, 1).Value = "ID"_x000D_
            .Cells(1, 2).Value = "Kind"_x000D_
            .Cells(1, 3).Value = "Excel Table - Excel Name"_x000D_
            .Cells(1, 4).Value = "Name"_x000D_
            .Cells(1, 5).Value = "Excel Table - Sheet Name"_x000D_
        End With_x000D_
        _x000D_
        ' Create the 'Tables_Extract' table object_x000D_
        Set newTable = NewSheet.ListObjects.Add(xlSrcRange, NewSheet.Range("A1:E1").CurrentRegion, , xlYes)_x000D_
        newTable.name = "meta_Tables_Extract" &amp; currentDateTime_x000D_
        _x000D_
    ElseIf tableType = "Columns" Then_x000D_
    _x000D_
        ' Create 'Columns_Extract' sheet with specific columns_x000D_
        Set NewSheet = ThisWorkbook.Sheets.Add(After:=ThisWorkbook.Sheets(ThisWorkbook.Sheets.count))_x000D_
        NewSheet.name = "Columns_Extract" &amp; currentDateTime_x000D_
        _x000D_
        ' Add headers to the new sheet_x000D_
        With NewSheet_x000D_
            .Cells(1, 1).Value = "ID"_x000D_
            .Cells(1, 2).Value = "Kind"_x000D_
            .Cells(1, 3).Value = "Owning Table"_x000D_
            .Cells(1, 4).Value = "Position"_x000D_
            .Cells(1, 5).Value = "Stored Column Position"_x000D_
            .Cells(1, 6).Value = "Excel Column - Label Overwrite"_x000D_
            .Cells(1, 7).Value = "Excel Column - Explicit Excel Formula"_x000D_
            .Cells(1, 8).Value = "Excel Column - Validation Formula"_x000D_
        End With_x000D_
        _x000D_
        ' Create the 'Columns_Extract' table object_x000D_
        Set newTable = NewSheet.ListObjects.Add(xlSrcRange, NewSheet.Range("A1:H1").CurrentRegion, , xlYes)_x000D_
        newTable.name = "meta_Columns_Extract" &amp; currentDateTime_x000D_
        _x000D_
    End If_x000D_
    _x000D_
    Set createExtract = newTable_x000D_
_x000D_
End Function_x000D_
_x000D_
_x000D_
_x000D_
_x000D_
'Helper_x000D_
</t>
  </si>
  <si>
    <t xml:space="preserve">Function compareExtract(Target As String, DateTime As String) As ListObject_x000D_
    Dim wsMain As Worksheet_x000D_
    Dim wsExtract As Worksheet_x000D_
    Dim tblMain As ListObject_x000D_
    Dim tblExtract As ListObject_x000D_
    Dim tblMainHeaders As Collection_x000D_
    Dim tblExtractHeaders As Collection_x000D_
    Dim cell As Range_x000D_
    Dim columnFound As Boolean_x000D_
    Dim missingColumns As String_x000D_
    Dim formulaColumns As String_x000D_
    Dim mainSheetName As String_x000D_
    Dim extractSheetName As String_x000D_
    Dim mainTableName As String_x000D_
    Dim extractTableName As String_x000D_
_x000D_
    ' Determine sheet and table names based on the Target_x000D_
    If Target = "Tables" Then_x000D_
        mainSheetName = "Tables"_x000D_
        extractSheetName = "Tables_Extract" &amp; DateTime_x000D_
        mainTableName = "meta_Tables"_x000D_
        extractTableName = "meta_Tables_Extract" &amp; DateTime_x000D_
    ElseIf Target = "Columns" Then_x000D_
        mainSheetName = "Columns"_x000D_
        extractSheetName = "Columns_Extract" &amp; DateTime_x000D_
        mainTableName = "meta_Columns"_x000D_
        extractTableName = "meta_Columns_Extract" &amp; DateTime_x000D_
    End If_x000D_
_x000D_
    On Error Resume Next_x000D_
    ' Get the main worksheet and table_x000D_
    Set wsMain = ThisWorkbook.Worksheets(mainSheetName)_x000D_
    Set tblMain = wsMain.ListObjects(mainTableName)_x000D_
_x000D_
    ' Get the extract worksheet and table_x000D_
    Set wsExtract = ThisWorkbook.Worksheets(extractSheetName)_x000D_
    Set tblExtract = wsExtract.ListObjects(extractTableName)_x000D_
    On Error GoTo 0_x000D_
_x000D_
    ' Validate tables_x000D_
    If tblMain Is Nothing Then_x000D_
        MsgBox "Table '" &amp; mainTableName &amp; "' not found in sheet '" &amp; mainSheetName &amp; "'. Creating it..", vbCritical_x000D_
        Set NewSheet = ThisWorkbook.Sheets.Add(After:=ThisWorkbook.Sheets(ThisWorkbook.Sheets.count))_x000D_
        NewSheet.name = mainSheetName_x000D_
        _x000D_
        ' Copy the template as base table_x000D_
        tblExtract.Range.Copy_x000D_
        NewSheet.Range("A1").PasteSpecial Paste:=xlPasteAll_x000D_
        Application.CutCopyMode = False_x000D_
        _x000D_
        Set tblMain = NewSheet.ListObjects(1)_x000D_
        tblMain.name = mainTableName_x000D_
        With tblMain.ListRows.Add_x000D_
            .Range.Cells(1, 1).Value = "___" &amp; mainTableName &amp; "RowTemplate"_x000D_
        End With_x000D_
_x000D_
    End If_x000D_
_x000D_
_x000D_
_x000D_
    ' Create collections for column headers_x000D_
    Set tblMainHeaders = New Collection_x000D_
    Set tblExtractHeaders = New Collection_x000D_
_x000D_
    ' Collect main table headers_x000D_
    For Each cell In tblMain.HeaderRowRange_x000D_
        tblMainHeaders.Add cell.Value, cell.Value_x000D_
    Next cell_x000D_
_x000D_
    ' Collect extract table headers_x000D_
    For Each cell In tblExtract.HeaderRowRange_x000D_
        tblExtractHeaders.Add cell.Value, cell.Value_x000D_
    Next cell_x000D_
_x000D_
    ' Check for missing columns in tblMain_x000D_
    missingColumns = ""_x000D_
_x000D_
    For Each colName In tblExtractHeaders_x000D_
        On Error Resume Next_x000D_
        columnFound = False_x000D_
        columnFound = Not IsError(tblMainHeaders(colName))_x000D_
        On Error GoTo 0_x000D_
_x000D_
        If Not columnFound Then_x000D_
            ' Column is missing, add it to tblMain_x000D_
            tblMain.ListColumns.Add.name = colName_x000D_
            missingColumns = missingColumns &amp; colName &amp; vbNewLine_x000D_
        End If_x000D_
    Next colName_x000D_
_x000D_
    ' Display a message if columns were added_x000D_
    If missingColumns &lt;&gt; "" Then_x000D_
        MsgBox "The following mandatory columns were missing and added to the table '" &amp; mainTableName &amp; "':" &amp; vbNewLine &amp; missingColumns, vbInformation_x000D_
    Else_x000D_
        'MsgBox "All required columns already exist in the main table.", vbInformation_x000D_
    End If_x000D_
    _x000D_
    Set compareExtract = tblMain_x000D_
End Function_x000D_
_x000D_
'Helper_x000D_
</t>
  </si>
  <si>
    <t xml:space="preserve">Function processMetaData(currentDateTime As String)_x000D_
    Dim wsTables As Worksheet, wsColumns As Worksheet_x000D_
    Dim wsTablesExtract As Worksheet, wsColumnsExtract As Worksheet_x000D_
    Dim tblTables As ListObject, tblColumns As ListObject_x000D_
    Dim tblTablesExtract As ListObject, tblColumnsExtract As ListObject_x000D_
    _x000D_
    Dim sheet As Worksheet, table As ListObject, column As ListColumn_x000D_
    Dim tableExtractArray() As Variant, columnExtractArray() As Variant_x000D_
    Dim tableCount As Long, columnCount As Long_x000D_
    Dim tableIndex As Long, columnIndex As Long_x000D_
    Dim id As String, columnID As String, newName As String_x000D_
    Dim StoredPosition As Long, i As Long_x000D_
_x000D_
    MsgBox "Processing workbook meta-data and storing it in the temporary _extract tables. This may take some time..", vbInformation_x000D_
    _x000D_
    ' Cache Sheets &amp; Tables_x000D_
    Set wsTables = ThisWorkbook.Sheets("Tables")_x000D_
    Set tblTables = wsTables.ListObjects(1)_x000D_
    _x000D_
    Set wsColumns = ThisWorkbook.Sheets("Columns")_x000D_
    Set tblColumns = wsColumns.ListObjects(1)_x000D_
    _x000D_
    Set wsTablesExtract = ThisWorkbook.Sheets("Tables_Extract" &amp; currentDateTime)_x000D_
    Set wsColumnsExtract = ThisWorkbook.Sheets("Columns_Extract" &amp; currentDateTime)_x000D_
    _x000D_
    Set tblTablesExtract = wsTablesExtract.ListObjects(1)_x000D_
    Set tblColumnsExtract = wsColumnsExtract.ListObjects(1)_x000D_
_x000D_
    ' Load Tables and Columns Data into Arrays for Faster Lookup_x000D_
    Dim tableData As Variant, columnData As Variant_x000D_
    If Not tblTables.DataBodyRange Is Nothing Then tableData = tblTables.DataBodyRange.Value_x000D_
    If Not tblColumns.DataBodyRange Is Nothing Then columnData = tblColumns.DataBodyRange.Value_x000D_
_x000D_
    _x000D_
    'Config accessed column names_x000D_
    _x000D_
    'Tables_x000D_
    nameColIndexT = FindColumnIndex(tblTables, "Excel Table - Excel Name")_x000D_
    idColIndexT = FindColumnIndex(tblTables, "ID")_x000D_
    _x000D_
    'Columns_x000D_
    idColIndexC = FindColumnIndex(tblColumns, "ID")_x000D_
    nameColIndexC = FindColumnIndex(tblColumns, "Excel Column - Label Overwrite")_x000D_
    tableColIndexC = FindColumnIndex(tblColumns, "Owning Table:src")_x000D_
    _x000D_
_x000D_
    _x000D_
    ' Store Table IDs in Arrays for Faster Lookup_x000D_
    Dim tableIDs() As String, tableNames() As String_x000D_
    If Not IsEmpty(tableData) And nameColIndexT &gt; 0 And idColIndexT &gt; 0 Then_x000D_
        ReDim tableIDs(1 To UBound(tableData, 1))_x000D_
        ReDim tableNames(1 To UBound(tableData, 1))_x000D_
        _x000D_
        For i = 1 To UBound(tableData, 1)_x000D_
            tableIDs(i) = CStr(tableData(i, idColIndexT))_x000D_
            tableNames(i) = CStr(tableData(i, nameColIndexT))_x000D_
        Next i_x000D_
    End If_x000D_
_x000D_
    ' Store Column IDs in Arrays for Faster Lookup_x000D_
    Dim columnIDs() As String, columnNames() As String_x000D_
    If Not IsEmpty(columnData) And idColIndexC &gt; 0 And nameColIndexC &gt; 0 And tableColIndexC &gt; 0 Then_x000D_
        ReDim columnIDs(1 To UBound(columnData, 1))_x000D_
        ReDim columnNames(1 To UBound(columnData, 1))_x000D_
        _x000D_
        For i = 1 To UBound(columnData, 1)_x000D_
            If Not CStr(columnData(i, idColIndexC)) Like "*Template" Then_x000D_
                columnIDs(i) = CStr(columnData(i, idColIndexC))_x000D_
                columnNames(i) = CStr(columnData(i, tableColIndexC) &amp; "_" &amp; columnData(i, nameColIndexC))_x000D_
            End If_x000D_
        Next i_x000D_
    End If_x000D_
_x000D_
    ' Initialize Counters_x000D_
    tableCount = 0_x000D_
    columnCount = 0_x000D_
_x000D_
    ' **Iterate Once Through Sheets &amp; Tables**_x000D_
    For Each sheet In ThisWorkbook.Sheets_x000D_
        If sheet.name Like "*_Backup*" Or sheet.name Like "*_Extract*" Or __x000D_
           sheet.name Like "*_Branch*" Or sheet.name Like "*_Template*" Or __x000D_
           sheet.name Like "*_Nonmanaged*" Or InStr(sheet.name, currentDateTime) &gt; 0 Then GoTo NextSheet_x000D_
_x000D_
        For Each table In sheet.ListObjects_x000D_
            tableCount = tableCount + 1_x000D_
            _x000D_
            businessName = camelCaseToBusiness(Mid(table.name, InStr(table.name, "_") + 1))_x000D_
            tableDisplayName = Replace(table.name, "_", "::", 1, 1)_x000D_
            _x000D_
           _x000D_
            _x000D_
            'not generating UUIDs for now_x000D_
            'idTable = GUID_x000D_
            _x000D_
            If Left(tableDisplayName, 4) = "meta" Then_x000D_
                idTable = "_" &amp; tableDisplayName_x000D_
            Else_x000D_
                idTable = tableDisplayName_x000D_
            End If_x000D_
        _x000D_
            On Error Resume Next_x000D_
             ' Lookup and use potentially pre-existing Table ID using a simple loop_x000D_
            For i = 1 To UBound(tableNames)_x000D_
                If tableNames(i) = table.name Then_x000D_
                    idTable = tableIDs(i)_x000D_
                    Exit For_x000D_
                End If_x000D_
            Next i_x000D_
            On Error GoTo 0_x000D_
_x000D_
            ' Store table data_x000D_
            ReDim Preserve tableExtractArray(1 To 5, 1 To tableCount)_x000D_
            tableExtractArray(1, tableCount) = idTable 'ID_x000D_
            tableExtractArray(2, tableCount) = "ExcelTable" 'Kind_x000D_
            tableExtractArray(3, tableCount) = table.name 'Excel Table - Excel Name_x000D_
            tableExtractArray(4, tableCount) = businessName 'Name_x000D_
            tableExtractArray(5, tableCount) = sheet.name 'Excel Table - Sheet Name_x000D_
_x000D_
            ' Iterate through table columns_x000D_
            StoredPosition = 1_x000D_
            For Each column In table.ListColumns_x000D_
                If column.name Like "*transfer*" Or column.name Like "*fix kind*" Then GoTo NextColumn_x000D_
_x000D_
                columnCount = columnCount + 1_x000D_
                _x000D_
                'not generating UUIDs for now_x000D_
                'columnID = GUID_x000D_
                _x000D_
                If Left(tableDisplayName, 4) = "meta" Then_x000D_
                    idColumn = "_" &amp; tableDisplayName &amp; "_" &amp; column.name_x000D_
                Else_x000D_
                    idColumn = tableDisplayName &amp; "_" &amp; column.name_x000D_
                End If_x000D_
_x000D_
                On Error Resume Next_x000D_
                ' Lookup Column ID using a simple loop_x000D_
                For i = 1 To UBound(columnNames)_x000D_
                    If columnNames(i) = (tableDisplayName &amp; "_" &amp; column.name) Or columnNames(i) = ("_" &amp; tableDisplayName &amp; "_" &amp; column.name) Then_x000D_
                        idColumn = columnIDs(i)_x000D_
                        Exit For_x000D_
                    End If_x000D_
                Next i_x000D_
                On Error GoTo 0_x000D_
                _x000D_
                'Get Validation Formula_x000D_
                Dim valType As Long_x000D_
                valType = xlValidateNone_x000D_
                On Error Resume Next_x000D_
                valType = column.DataBodyRange.Cells(1, 1).Validation.Type_x000D_
                On Error GoTo 0_x000D_
                If valType &lt;&gt; xlValidateNone Then_x000D_
                    validationFormula = "ValidationFormula:" &amp; column.DataBodyRange.Cells(1, 1).Validation.Formula1_x000D_
                    'Debug.Print "Validation formula: " &amp; formula_x000D_
                Else_x000D_
                    validationFormula = ""_x000D_
                    'Debug.Print "No validation on this column's first cell."_x000D_
                End If_x000D_
                _x000D_
                ' Store column data_x000D_
                ReDim Preserve columnExtractArray(1 To 8, 1 To columnCount)_x000D_
                columnExtractArray(1, columnCount) = idColumn 'ID_x000D_
                columnExtractArray(2, columnCount) = "ExcelColumn" 'Kind_x000D_
                columnExtractArray(3, columnCount) = tableDisplayName 'Owning Table_x000D_
                columnExtractArray(4, columnCount) = column.Index 'Position_x000D_
                columnExtractArray(5, columnCount) = IIf(column.DataBodyRange.Cells(1, 1).HasFormula, "", StoredPosition) 'Stored Column Position_x000D_
                If Not column.DataBodyRange.Cells(1, 1).HasFormula Then StoredPosition = StoredPosition + 1_x000D_
                columnExtractArray(6, columnCount) = column.name 'Excel Column - Label Overwrite_x000D_
                columnExtractArray(7, columnCount) = IIf(column.DataBodyRange.Cells(1, 1).HasFormula, "Formula:" &amp; column.DataBodyRange.Cells(1, 1).formula, "") 'Excel Column - Explicit Excel Formula_x000D_
                columnExtractArray(8, columnCount) = validationFormula 'Excel Column - Validation Formula_x000D_
NextColumn:_x000D_
            Next column_x000D_
        Next table_x000D_
NextSheet:_x000D_
    Next sheet_x000D_
_x000D_
    ' **Write Data in Bulk**_x000D_
    If tableCount &gt; 0 Then_x000D_
        tblTablesExtract.ListRows.Add_x000D_
        tblTablesExtract.DataBodyRange.Resize(UBound(tableExtractArray, 2), 5).Value2 = Application.Transpose(tableExtractArray)_x000D_
    End If_x000D_
    If columnCount &gt; 0 Then_x000D_
        tblColumnsExtract.ListRows.Add_x000D_
        tblColumnsExtract.DataBodyRange.Resize(UBound(columnExtractArray, 2), 8).Value2 = Application.Transpose(columnExtractArray)_x000D_
    End If_x000D_
    _x000D_
    MsgBox "Workbook meta-data processed and stored in temporary _extract tables.", vbInformation_x000D_
    _x000D_
    Erase tableExtractArray_x000D_
    Erase columnExtractArray_x000D_
    _x000D_
    Set tblTablesExtract = Nothing_x000D_
    Set tblColumnsExtract = Nothing_x000D_
    _x000D_
    _x000D_
End Function_x000D_
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</si>
  <si>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Helper_x000D_
</t>
  </si>
  <si>
    <t xml:space="preserve">Function FindColumnIndex(tbl As ListObject, colName As String) As Long_x000D_
    Dim i As Long_x000D_
    For i = 1 To tbl.ListColumns.count_x000D_
        If tbl.ListColumns(i).name = colName Then_x000D_
            FindColumnIndex = i_x000D_
            Exit Function_x000D_
        End If_x000D_
    Next i_x000D_
    FindColumnIndex = 0 ' Return 0 if not found_x000D_
End Function_x000D_
_x000D_
</t>
  </si>
  <si>
    <t xml:space="preserve">Function mergeTables(currentDateTime As String)_x000D_
    Dim wsTablesExtract As Worksheet, wsColumnsExtract As Worksheet_x000D_
    Dim wsTables As Worksheet, wsColumns As Worksheet_x000D_
    Dim tblTablesExtract As ListObject, tblColumnsExtract As ListObject_x000D_
    Dim tblTables As ListObject, tblColumns As ListObject_x000D_
    Dim validIDs As Collection_x000D_
    _x000D_
    ' Optimize for performance_x000D_
    Application.ScreenUpdating = False_x000D_
    Application.EnableEvents = False_x000D_
    Application.Calculation = xlCalculationManual_x000D_
    _x000D_
    MsgBox "Merging updated meta-data into existing meta_Tables and meta_Columns tables. Confirmation about successfull merge will be provided. Please wait..", vbInformation_x000D_
_x000D_
    ' Cache extract table sheets_x000D_
    Set wsTablesExtract = ThisWorkbook.Sheets("Tables_Extract" &amp; currentDateTime)_x000D_
    Set wsColumnsExtract = ThisWorkbook.Sheets("Columns_Extract" &amp; currentDateTime)_x000D_
    _x000D_
    ' Cache target table sheets_x000D_
    Set wsTables = ThisWorkbook.Sheets("Tables")_x000D_
    Set wsColumns = ThisWorkbook.Sheets("Columns")_x000D_
    _x000D_
    ' Access extract tables_x000D_
    Set tblTablesExtract = wsTablesExtract.ListObjects(1)_x000D_
    Set tblColumnsExtract = wsColumnsExtract.ListObjects(1)_x000D_
    _x000D_
    ' Access target tables_x000D_
    Set tblTables = wsTables.ListObjects(1)_x000D_
    Set tblColumns = wsColumns.ListObjects(1)_x000D_
_x000D_
    ' Step 1: Validate and Merge Tables_x000D_
    _x000D_
    ' Set source and target table names for global transfer variables_x000D_
    sourceTable = tblTablesExtract.name_x000D_
    targetTable = tblTables.name_x000D_
    _x000D_
    ' Extract valid IDs after merge_x000D_
    Set validIDs = ExtractIDs(tblTablesExtract)_x000D_
    _x000D_
    Call mergeObject_x000D_
    _x000D_
    Set tblTablesExtract = Nothing_x000D_
_x000D_
    ' Delete rows not in validIDs_x000D_
    Call deleteUnmatchedRows(tblTables, validIDs)_x000D_
    _x000D_
    Call copyDownFormulasAndValidation(tblTables)_x000D_
_x000D_
    ' Step 2: Validate and Merge Columns_x000D_
_x000D_
    ' Set source and target table names for global transfer variables_x000D_
    sourceTable = tblColumnsExtract.name_x000D_
    targetTable = tblColumns.name_x000D_
    _x000D_
    ' Extract valid IDs after merge_x000D_
    Set validIDs = ExtractIDs(tblColumnsExtract)_x000D_
    _x000D_
    Call mergeObject_x000D_
_x000D_
    _x000D_
    Set tblColumnsExtract = Nothing_x000D_
_x000D_
    ' Delete rows not in validIDs_x000D_
    Call deleteUnmatchedRows(tblColumns, validIDs)_x000D_
    _x000D_
    Call copyDownFormulasAndValidation(tblColumns)_x000D_
    _x000D_
    Call ClearMatchingOverwrites_x000D_
    _x000D_
    Call sortColumnsAndTablesTable_x000D_
    _x000D_
    ' Step 3: remove unneeded sheets_x000D_
    _x000D_
    ' Delete extracts_x000D_
    Application.DisplayAlerts = False_x000D_
    wsTablesExtract.Delete_x000D_
    wsColumnsExtract.Delete_x000D_
    Application.DisplayAlerts = True_x000D_
    _x000D_
    Application.Calculation = xlCalculationAutomatic_x000D_
    Application.EnableEvents = True_x000D_
    Application.ScreenUpdating = True_x000D_
_x000D_
    _x000D_
    _x000D_
End Function_x000D_
_x000D_
</t>
  </si>
  <si>
    <t xml:space="preserve">Sub sortColumnsAndTablesTable()_x000D_
    Dim ws As Worksheet_x000D_
    Dim lo As ListObject_x000D_
    Dim rngOwning As Range, rngPosition As Range_x000D_
    _x000D_
    'Columns_x000D_
    _x000D_
    Set ws = ThisWorkbook.Sheets("Columns")_x000D_
    Set lo = ws.ListObjects("meta_Columns")_x000D_
    _x000D_
    ' Clear filters (optional but good practice)_x000D_
    If lo.AutoFilter.FilterMode Then lo.AutoFilter.ShowAllData_x000D_
    _x000D_
    ' Attempt to get the ranges for the sort keys._x000D_
    On Error Resume Next_x000D_
    Set rngTable = lo.DataBodyRange.Columns(lo.ListColumns("Owning Table").Index)_x000D_
    Set rngPosition = lo.DataBodyRange.Columns(lo.ListColumns("Position").Index)_x000D_
    On Error GoTo 0_x000D_
    _x000D_
    If rngTable Is Nothing Then_x000D_
        MsgBox "Column 'ID' was not found in the table Columns. Sorting not successful.", vbExclamation_x000D_
        Exit Sub_x000D_
    End If_x000D_
    _x000D_
    If rngPosition Is Nothing Then_x000D_
        MsgBox "Column 'Position' was not found in the table Columns. Sorting not successful.", vbExclamation_x000D_
        Exit Sub_x000D_
    End If_x000D_
    _x000D_
    ' Clear any previous sort fields and add the new sort criteria._x000D_
    With lo.Sort_x000D_
        .SortFields.Clear_x000D_
        _x000D_
        ' Sort first by ID (primary key)_x000D_
        .SortFields.Add key:=rngTable, __x000D_
                        SortOn:=xlSortOnValues, __x000D_
                        Order:=xlAscending, __x000D_
                        DataOption:=xlSortNormal_x000D_
    _x000D_
        ' Then by Position (secondary key)_x000D_
        .SortFields.Add key:=rngPosition,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_x000D_
    _x000D_
    ' Tables_x000D_
    _x000D_
    Set ws = ThisWorkbook.Sheets("Tables")_x000D_
    Set lo = ws.ListObjects("meta_Tables")_x000D_
    _x000D_
    ' Attempt to get the ranges for the sort keys._x000D_
    On Error Resume Next_x000D_
    Set rngID = lo.ListColumns("ID").Range_x000D_
    On Error GoTo 0_x000D_
    _x000D_
    If rngID Is Nothing Then_x000D_
        MsgBox "Column 'ID' was not found in the table Tables. Sorting not successful.", vbExclamation_x000D_
        Exit Sub_x000D_
    End If_x000D_
    _x000D_
    _x000D_
    ' Clear any previous sort fields and add the new sort criteria._x000D_
    With lo.Sort_x000D_
        .SortFields.Clear_x000D_
        _x000D_
        ' Sort by the "ID" column (ascending)._x000D_
        .SortFields.Add key:=rngID,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End Sub_x000D_
_x000D_
_x000D_
' Helper_x000D_
</t>
  </si>
  <si>
    <t xml:space="preserve">Function ExtractIDs(tbl As ListObject) As Collection_x000D_
    Dim colIDs As New Collection_x000D_
    Dim idRange As Range_x000D_
    Dim idArray As Variant_x000D_
    Dim i As Long_x000D_
    Dim idColumn As Integer_x000D_
_x000D_
    ' Find the "ID" column index_x000D_
    On Error Resume Next_x000D_
    idColumn = Application.Match("ID", tbl.HeaderRowRange, 0)_x000D_
    On Error GoTo 0_x000D_
    _x000D_
    If idColumn = 0 Then Exit </t>
  </si>
  <si>
    <t xml:space="preserve">Function ' Exit if "ID" column is not found_x000D_
_x000D_
    ' Define the range containing IDs (excluding the header)_x000D_
    Set idRange = tbl.ListColumns(idColumn).DataBodyRange_x000D_
    If idRange Is Nothing Then Exit </t>
  </si>
  <si>
    <t xml:space="preserve">Function ' Exit if there is no data_x000D_
_x000D_
    ' Load range into an array for performance_x000D_
    idArray = idRange.Value_x000D_
_x000D_
    ' Add items to collection (handle both single and multi-row cases)_x000D_
    If IsArray(idArray) Then_x000D_
        For i = 1 To UBound(idArray, 1)_x000D_
            colIDs.Add idArray(i, 1)_x000D_
        Next i_x000D_
    Else_x000D_
        colIDs.Add idArray_x000D_
    End If_x000D_
_x000D_
    ' Return the collection_x000D_
    Set ExtractIDs = colIDs_x000D_
End Function_x000D_
_x000D_
_x000D_
_x000D_
</t>
  </si>
  <si>
    <t xml:space="preserve">Function deleteUnmatchedRows(targetTable As ListObject, validIDs As Collection)_x000D_
    Dim idRange As Range_x000D_
    Dim idArray As Variant_x000D_
    Dim i As Long_x000D_
    Dim idColumn As Integer_x000D_
    Dim deleteRows As Range_x000D_
_x000D_
    ' Check if table has data_x000D_
    If targetTable.ListRows.count = 0 Then Exit Function_x000D_
_x000D_
    ' Find the "ID" column index_x000D_
    On Error Resume Next_x000D_
    idColumn = Application.Match("ID", targetTable.HeaderRowRange, 0)_x000D_
    On Error GoTo 0_x000D_
_x000D_
    If idColumn = 0 Then Exit </t>
  </si>
  <si>
    <t xml:space="preserve">Function ' Exit if "ID" column is not found_x000D_
_x000D_
    ' Define the range containing IDs (excluding header)_x000D_
    Set idRange = targetTable.ListColumns(idColumn).DataBodyRange_x000D_
    If idRange Is Nothing Then Exit </t>
  </si>
  <si>
    <t xml:space="preserve">Function ' Exit if there is no data_x000D_
_x000D_
    ' Load IDs into an array for faster processing_x000D_
    idArray = idRange.Value_x000D_
_x000D_
    ' Identify rows to delete_x000D_
    For i = UBound(idArray, 1) To 1 Step -1 ' Loop in reverse to avoid shifting issues_x000D_
        If Not CollectionContains(validIDs, idArray(i, 1)) Then_x000D_
            If Not idArray(i, 1) Like "*RowTemplate" Then_x000D_
                targetTable.ListRows(i).Delete ' Delete row directly_x000D_
            End If_x000D_
        End If_x000D_
    Next i_x000D_
End Function_x000D_
_x000D_
' Helper function to check if Collection contains an item_x000D_
</t>
  </si>
  <si>
    <t xml:space="preserve">Function CollectionContains(col As Collection, key As Variant) As Boolean_x000D_
    Dim item As Variant_x000D_
    On Error Resume Next_x000D_
    For Each item In col_x000D_
        If item = key Then_x000D_
            CollectionContains = True_x000D_
            Exit Function_x000D_
        End If_x000D_
    Next item_x000D_
    CollectionContains = False_x000D_
End Function_x000D_
_x000D_
</t>
  </si>
  <si>
    <t xml:space="preserve">Function copyDownFormulasAndValidation(tbl As ListObject)_x000D_
    Dim lc As ListColumn_x000D_
    Dim colData As Range_x000D_
    Dim strFormula As String_x000D_
    Dim sourceCell As Range_x000D_
    Dim targetRange As Range_x000D_
    _x000D_
    ' Loop through all columns in the table_x000D_
    For Each lc In tbl.ListColumns_x000D_
        Set colData = lc.DataBodyRange_x000D_
        _x000D_
        ' Ensure column has data_x000D_
        If Not colData Is Nothing Then_x000D_
            Set sourceCell = colData.Cells(1, 1)_x000D_
            _x000D_
            ' Copy formula if first cell has one_x000D_
            If sourceCell.HasFormula Then_x000D_
                strFormula = sourceCell.formula_x000D_
                colData.formula = strFormula_x000D_
                Exit </t>
  </si>
  <si>
    <t xml:space="preserve">Function 'if formula -&gt; no validation!!_x000D_
            End If_x000D_
            _x000D_
            Dim hasValidation As Boolean_x000D_
            hasValidation = False_x000D_
            _x000D_
            On Error Resume Next_x000D_
            hasValidation = (sourceCell.Validation.Type &lt;&gt; xlValidateNone)_x000D_
            On Error GoTo 0_x000D_
            _x000D_
            If hasValidation Then_x000D_
                ' Define target range (excluding first cell)_x000D_
                If colData.Rows.count &gt; 1 Then_x000D_
                    Set targetRange = sourceCell.Offset(1, 0).Resize(colData.Rows.count - 1, 1)_x000D_
                    _x000D_
                    ' Clear existing validation first_x000D_
                    targetRange.Validation.Delete_x000D_
                    _x000D_
                    ' Apply the same validation to the rest of the column_x000D_
                    With sourceCell.Validation_x000D_
                        targetRange.Validation.Add Type:=.Type, __x000D_
                            AlertStyle:=.AlertStyle, __x000D_
                            Operator:=.Operator, __x000D_
                            Formula1:=.Formula1, __x000D_
                            Formula2:=.Formula2_x000D_
                        _x000D_
                        ' Optional: copy error messages/settings_x000D_
                        targetRange.Validation.IgnoreBlank = .IgnoreBlank_x000D_
                        targetRange.Validation.InCellDropdown = .InCellDropdown_x000D_
                        targetRange.Validation.InputTitle = .InputTitle_x000D_
                        targetRange.Validation.ErrorTitle = .ErrorTitle_x000D_
                        targetRange.Validation.InputMessage = .InputMessage_x000D_
                        targetRange.Validation.ErrorMessage = .ErrorMessage_x000D_
                        targetRange.Validation.ShowInput = .ShowInput_x000D_
                        targetRange.Validation.ShowError = .ShowError_x000D_
                    End With_x000D_
                End If_x000D_
            End If_x000D_
_x000D_
        End If_x000D_
    Next lc_x000D_
End Function_x000D_
_x000D_
_x000D_
</t>
  </si>
  <si>
    <t xml:space="preserve">Sub createTablesAsFiles()_x000D_
    Dim ws As Worksheet_x000D_
    Dim tbl As ListObject_x000D_
    Dim wb As Workbook_x000D_
    Dim newWs As Worksheet_x000D_
    Dim rowIndex As Long_x000D_
    Dim transferTime As String_x000D_
    Dim currentDateTime As String_x000D_
    Dim copyMode As String_x000D_
    Dim sheet As Worksheet_x000D_
    Dim includeSheet As Boolean_x000D_
    Dim includeRow As Boolean_x000D_
    Dim headerRange As Range_x000D_
    Dim dataRange As Range_x000D_
    Dim r As Range_x000D_
    Dim userChoice As Variant_x000D_
    Dim snippetTable As ListObject_x000D_
    Dim snippetText As String_x000D_
    Dim foundSnippet As Boolean_x000D_
    _x000D_
    ' User selection for export mode_x000D_
    userChoice = Application.InputBox( __x000D_
        "Select export mode:" &amp; vbNewLine &amp; vbNewLine &amp; __x000D_
        "1 Full (all tables + content)" &amp; vbNewLine &amp; __x000D_
        "2 Model (all meta tables + content)" &amp; vbNewLine &amp; __x000D_
        "3 Veri.Excel (all meta tables +  only meta content in Tables/Columns)" &amp; vbNewLine &amp; __x000D_
        "4 Domain + VBA (all non-meta tables + content + VBA)" &amp; vbNewLine &amp; __x000D_
        "5 Domain (all non-meta tables + content)", __x000D_
        "Select Export Mode", Type:=1)_x000D_
_x000D_
    ' Set the copy mode flag based on selection_x000D_
    Select Case userChoice_x000D_
        Case 1_x000D_
            copyMode = "full"_x000D_
        Case 2_x000D_
            copyMode = "model"_x000D_
        Case 3_x000D_
            copyMode = "veri"_x000D_
        Case 4_x000D_
            copyMode = "domainVba"_x000D_
        Case 5_x000D_
            copyMode = "domain"_x000D_
        Case Else_x000D_
            MsgBox "Invalid Number. Stopping execution..", vbInformation_x000D_
            Exit </t>
  </si>
  <si>
    <t>Sub ' Exit if the user cancels or enters an invalid value_x000D_
    End Select_x000D_
_x000D_
    ' Optimize performance_x000D_
    Application.Calculation = xlCalculationManual_x000D_
    Application.ScreenUpdating = False_x000D_
    Application.EnableEvents = False_x000D_
_x000D_
    ' Create "Framework_Template"_x000D_
    transferTime = Now()_x000D_
    currentDateTime = Format(transferTime, "yymmddhhmm")_x000D_
    _x000D_
    Set ws = ThisWorkbook.Sheets.Add_x000D_
    ws.name = copyMode &amp; "_File_" &amp; currentDateTime_x000D_
    _x000D_
    rowIndex = 1_x000D_
    _x000D_
    ws.Cells(rowIndex, 1).Value = copyMode &amp; "_File_" &amp; currentDateTime_x000D_
    rowIndex = rowIndex + 2_x000D_
_x000D_
    ' Check if "meta_Snippets" exists and contains a "Layer0" snippet_x000D_
    On Error Resume Next_x000D_
    Set snippetTable = ThisWorkbook.Sheets("Snippets").ListObjects(1)_x000D_
    On Error GoTo 0_x000D_
    _x000D_
    If Not snippetTable Is Nothing Then_x000D_
        ' Find the correct column indexes_x000D_
        Dim subPackageCol As ListColumn_x000D_
        Dim snippetCol As ListColumn_x000D_
        Dim snippetRow As ListRow ' Correct declaration_x000D_
        _x000D_
        ' Get the column references_x000D_
        On Error Resume Next_x000D_
        Set subPackageCol = snippetTable.ListColumns("</t>
  </si>
  <si>
    <t>Sub Package")_x000D_
        Set snippetCol = snippetTable.ListColumns("Snippet")_x000D_
        On Error GoTo 0_x000D_
        _x000D_
        ' Ensure both columns exist before proceeding_x000D_
        If Not subPackageCol Is Nothing And Not snippetCol Is Nothing Then_x000D_
            foundSnippet = False_x000D_
            _x000D_
            ' Loop through each row in the table_x000D_
            For Each snippetRow In snippetTable.ListRows_x000D_
                ' Check if the "</t>
  </si>
  <si>
    <t xml:space="preserve">Sub Package" column contains "::Layer0"_x000D_
                If snippetRow.Range.Cells(1, subPackageCol.Index).Value = "::Layer0" Then_x000D_
                    ' Retrieve the corresponding "Snippet" column value_x000D_
                    snippetText = snippetRow.Range.Cells(1, snippetCol.Index).Value_x000D_
                    foundSnippet = True_x000D_
                    Exit For_x000D_
                End If_x000D_
            Next snippetRow_x000D_
            _x000D_
            ' If found, insert at the top of the template_x000D_
            If foundSnippet And Not copyMode = "domain" Then_x000D_
                ws.Cells(rowIndex, 1).Value = "#### Layer 0 snippet for manual copy into VBA project ####"_x000D_
                rowIndex = rowIndex + 1_x000D_
                ws.Cells(rowIndex, 1).Value = snippetText_x000D_
                rowIndex = rowIndex + 2 ' Leave space before next content_x000D_
            End If_x000D_
        End If_x000D_
    End If_x000D_
_x000D_
    ' Loop through all sheets in the workbook_x000D_
    For Each sheet In ThisWorkbook.Sheets_x000D_
        includeSheet = False_x000D_
    _x000D_
        ' Determine if the sheet should be included based on mode_x000D_
        On Error Resume Next_x000D_
        Set tbl = sheet.ListObjects(1)_x000D_
        On Error GoTo 0_x000D_
        _x000D_
        If Not tbl Is Nothing Then_x000D_
            includeSheet = False ' Reset for each table_x000D_
        _x000D_
            Select Case copyMode_x000D_
                Case "full"_x000D_
                    includeSheet = True ' Include all tables_x000D_
                Case "model"_x000D_
                    If InStr(1, tbl.name, "meta_", vbTextCompare) &gt; 0 Then includeSheet = True ' Include meta_ tables only_x000D_
                Case "veri"_x000D_
                    If InStr(1, tbl.name, "meta_", vbTextCompare) &gt; 0 Then includeSheet = True ' Start by including meta_ tables_x000D_
                Case "domainVba"_x000D_
                    If Not InStr(1, tbl.name, "meta_", vbTextCompare) &gt; 0 Or InStr(1, tbl.name, "Snippets", vbTextCompare) &gt; 0 Then includeSheet = True ' Exclude meta_but include snippets_x000D_
                Case "domain"_x000D_
                    If Not InStr(1, tbl.name, "meta_", vbTextCompare) &gt; 0 Then includeSheet = True ' Exclude meta__x000D_
            End Select_x000D_
    _x000D_
            ' If sheet is included, process its tables_x000D_
            If includeSheet Then_x000D_
                includeRow = True_x000D_
            _x000D_
                ' Additional filtering for "plain veri.excel" mode_x000D_
                If copyMode = "veri" Then_x000D_
                    If tbl.name = "meta_Tables" Or tbl.name = "meta_Columns" Then_x000D_
                        ' Only include rows where ID contains "meta_"_x000D_
                        includeRow = False_x000D_
                        Dim rowCell As Range_x000D_
                        Dim rowIndexOffset As Long_x000D_
                        rowIndexOffset = rowIndex ' Start position for filtered rows_x000D_
                _x000D_
                        ' Insert ## (sheetname) ## (tablename) ##_x000D_
                        ws.Cells(rowIndexOffset, 1).Value = "## " &amp; sheet.name &amp; " ## " &amp; tbl.name &amp; " ##"_x000D_
                        rowIndexOffset = rowIndexOffset + 1_x000D_
                _x000D_
                        ' Copy Table Headers_x000D_
                        tbl.HeaderRowRange.Copy_x000D_
                        ws.Cells(rowIndexOffset, 1).PasteSpecial Paste:=xlPasteValues_x000D_
                        rowIndexOffset = rowIndexOffset + 1_x000D_
                _x000D_
                        ' Loop through "ID" column to check rows_x000D_
                        For Each rowCell In tbl.ListColumns("ID").DataBodyRange_x000D_
                            If InStr(1, rowCell.Value, "meta_", vbTextCompare) &gt; 0 Then_x000D_
                                rowCell.EntireRow.Copy_x000D_
                                ws.Cells(rowIndexOffset, 1).PasteSpecial Paste:=xlPasteValues_x000D_
                                rowIndexOffset = rowIndexOffset + 1_x000D_
                                includeRow = True ' At least one row was copied_x000D_
                            End If_x000D_
                        Next rowCell_x000D_
                _x000D_
                        ' Move to next section only if rows were copied_x000D_
                        If includeRow Then rowIndex = rowIndexOffset + 2_x000D_
                        includeRow = False_x000D_
                    End If_x000D_
                End If_x000D_
            _x000D_
                ' Export table if it's included_x000D_
                If includeRow Then_x000D_
                    ws.Cells(rowIndex, 1).Value = "## " &amp; sheet.name &amp; " ## " &amp; tbl.name &amp; " ##"_x000D_
                    rowIndex = rowIndex + 1_x000D_
            _x000D_
                    ' Copy Table Headers_x000D_
                    tbl.HeaderRowRange.Copy_x000D_
                    ws.Cells(rowIndex, 1).PasteSpecial Paste:=xlPasteValues_x000D_
                    rowIndex = rowIndex + 1_x000D_
_x000D_
                    ' Copy full table for other modes_x000D_
                    If Not tbl.DataBodyRange Is Nothing Then_x000D_
                        tbl.DataBodyRange.Copy_x000D_
                        ws.Cells(rowIndex, 1).PasteSpecial Paste:=xlPasteValues_x000D_
                        rowIndex = rowIndex + tbl.DataBodyRange.Rows.count + 2_x000D_
                    End If_x000D_
                End If_x000D_
            End If_x000D_
        End If_x000D_
        Set tbl = Nothing_x000D_
    Next sheet_x000D_
    _x000D_
    ' Notify user of success_x000D_
    MsgBox "TablesAsFile created successfully!", vbInformation_x000D_
    _x000D_
    ' Restore application settings_x000D_
    Application.Calculation = xlCalculationAutomatic_x000D_
    Application.ScreenUpdating = True_x000D_
    Application.EnableEvents = True_x000D_
    _x000D_
End Sub_x000D_
</t>
  </si>
  <si>
    <t xml:space="preserve">Sub importTablesAsFiles()_x000D_
    Dim wsTemplate As Worksheet_x000D_
    Dim wb As Workbook_x000D_
    Dim ws As Worksheet_x000D_
    Dim rowIndex As Long, lastRow As Long_x000D_
    Dim sheetName As String, tableName As String_x000D_
    Dim headerRow As Range, dataStartRow As Long, dataEndRow As Long_x000D_
    Dim currentLine As String, nextLine As String_x000D_
    Dim parts() As String_x000D_
    Dim tblRange As Range, targetSheet As Worksheet_x000D_
    Dim pasteTopLeft As Range_x000D_
    Dim tbl As ListObject_x000D_
    Dim nowStamp As String_x000D_
    Dim colCount As Long_x000D_
    Dim existsTable As Boolean_x000D_
    Dim currentDateTime As String_x000D_
    _x000D_
    Set wb = ThisWorkbook_x000D_
    _x000D_
    transferTime = Now()_x000D_
    currentDateTime = Format(transferTime, "yymmddhhmm")_x000D_
_x000D_
    ' Find the _File sheet_x000D_
    For Each ws In wb.Sheets_x000D_
        If InStr(1, ws.name, "_File", vbTextCompare) &gt; 0 Then_x000D_
            If Not wsTemplate Is Nothing Then_x000D_
                MsgBox "Multiple ""_File"" sheets found! </t>
  </si>
  <si>
    <t xml:space="preserve">Sub requires exactly one file. Stopping execution..", vbCritical_x000D_
                Exit Sub_x000D_
            End If_x000D_
            Set wsTemplate = ws_x000D_
        End If_x000D_
    Next ws_x000D_
_x000D_
    If wsTemplate Is Nothing Then_x000D_
        MsgBox """_File"" sheet not found! Stopping execution..", vbCritical_x000D_
        Exit Sub_x000D_
    End If_x000D_
_x000D_
    Application.ScreenUpdating = False_x000D_
    Application.Calculation = xlCalculationManual_x000D_
    Application.EnableEvents = False_x000D_
_x000D_
    rowIndex = 1_x000D_
    lastRow = wsTemplate.Cells(wsTemplate.Rows.count, 1).End(xlUp).row_x000D_
_x000D_
    Do While rowIndex &lt;= lastRow_x000D_
        currentLine = Trim(wsTemplate.Cells(rowIndex, 1).Value)_x000D_
_x000D_
        If Left(currentLine, 3) = "## " Then_x000D_
            ' Parse line: ## SheetName ## TableName ##_x000D_
            parts = Split(currentLine, "##")_x000D_
            If UBound(parts) &lt; 2 Then_x000D_
                MsgBox "Malformed header at row " &amp; rowIndex, vbExclamation_x000D_
                Exit Sub_x000D_
            End If_x000D_
            sheetName = Trim(parts(1))_x000D_
            tableName = Trim(parts(2))_x000D_
_x000D_
            ' Headers_x000D_
            rowIndex = rowIndex + 1_x000D_
            colCount = wsTemplate.Cells(rowIndex, wsTemplate.Columns.count).End(xlToLeft).column_x000D_
            Set headerRow = wsTemplate.Range(wsTemplate.Cells(rowIndex, 1), wsTemplate.Cells(rowIndex, colCount))_x000D_
_x000D_
            ' Data starts here_x000D_
            rowIndex = rowIndex + 1_x000D_
            dataStartRow = rowIndex_x000D_
_x000D_
            Do While rowIndex &lt;= lastRow_x000D_
                nextLine = Trim(wsTemplate.Cells(rowIndex, 1).Value)_x000D_
                If nextLine = "" Or Left(nextLine, 2) = "##" Then Exit Do_x000D_
                rowIndex = rowIndex + 1_x000D_
            Loop_x000D_
            dataEndRow = rowIndex - 1_x000D_
_x000D_
            ' Ensure target sheet exists_x000D_
            On Error Resume Next_x000D_
            Set targetSheet = wb.Sheets(sheetName)_x000D_
            On Error GoTo 0_x000D_
            If targetSheet Is Nothing Then_x000D_
                Set targetSheet = wb.Sheets.Add(After:=wb.Sheets(wb.Sheets.count))_x000D_
                targetSheet.name = sheetName_x000D_
            End If_x000D_
_x000D_
            ' Check if table already exists_x000D_
            existsTable = False_x000D_
            For Each tbl In targetSheet.ListObjects_x000D_
                If tbl.name = tableName Then_x000D_
                    existsTable = True_x000D_
                    Exit For_x000D_
                End If_x000D_
            Next tbl_x000D_
_x000D_
            If existsTable Then_x000D_
                Call createBackup(sheetName, tableName, currentDateTime)_x000D_
                MsgBox "Preexisting table '" &amp; tableName &amp; "' on sheet '" &amp; sheetName &amp; "' was backed up and replaced.", vbInformation_x000D_
                tbl.Delete_x000D_
            End If_x000D_
_x000D_
            ' Paste table values_x000D_
            Set tblRange = wsTemplate.Range(wsTemplate.Cells(headerRow.row, 1), wsTemplate.Cells(dataEndRow, colCount))_x000D_
            Set pasteTopLeft = targetSheet.Cells(targetSheet.Cells(targetSheet.Rows.count, 1).End(xlUp).row + 2, 1)_x000D_
_x000D_
            tblRange.Copy_x000D_
            pasteTopLeft.PasteSpecial Paste:=xlPasteValues_x000D_
_x000D_
_x000D_
            ' Create new table_x000D_
            targetSheet.ListObjects.Add(xlSrcRange, __x000D_
                pasteTopLeft.Resize(tblRange.Rows.count, tblRange.Columns.count), , xlYes).name = tableName_x000D_
                _x000D_
            Set targetSheet = Nothing_x000D_
        Else_x000D_
            rowIndex = rowIndex + 1_x000D_
        End If_x000D_
    Loop_x000D_
_x000D_
    Application.ScreenUpdating = True_x000D_
    Application.Calculation = xlCalculationAutomatic_x000D_
    Application.EnableEvents = True_x000D_
_x000D_
    MsgBox "All table data imported and updated." &amp; vbNewLine &amp; "Note: Only calculated values of formulas were stored. Use createAndComplementTablesAndColumns to restore formulas in tables.", vbInformation_x000D_
End Sub_x000D_
_x000D_
_x000D_
' Finds the row where a specific keyword is found in column A_x000D_
</t>
  </si>
  <si>
    <t xml:space="preserve">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 Gets the column index of a column name in the first row_x000D_
</t>
  </si>
  <si>
    <t xml:space="preserve">Function GetColumnIndex(ws As Worksheet, colName As String) As Long_x000D_
    Dim i As Long_x000D_
    For i = 1 To ws.Cells(1, ws.Columns.count).End(xlToLeft).column_x000D_
        If ws.Cells(1, i).Value = colName Then_x000D_
            GetColumnIndex = i_x000D_
            Exit Function_x000D_
        End If_x000D_
    Next i_x000D_
    GetColumnIndex = 0_x000D_
End Function_x000D_
_x000D_
' Checks if a sheet exists_x000D_
</t>
  </si>
  <si>
    <t xml:space="preserve">Function sheetExists(sheetName As String, wb As Workbook) As Boolean_x000D_
    Dim ws As Worksheet_x000D_
    On Error Resume Next_x000D_
    Set ws = wb.Sheets(sheetName)_x000D_
    sheetExists = Not ws Is Nothing_x000D_
    On Error GoTo 0_x000D_
End Function_x000D_
_x000D_
_x000D_
</t>
  </si>
  <si>
    <t xml:space="preserve">Function mergeObject()_x000D_
_x000D_
    _x000D_
    Dim ttbl As ListObject_x000D_
    _x000D_
    ' Set references to source and target tables_x000D_
    Set stbl = Worksheets(Range(sourceTable).Parent.name).ListObjects(sourceTable)_x000D_
    Set ttbl = Worksheets(Range(targetTable).Parent.name).ListObjects(targetTable)_x000D_
    _x000D_
    ' Load headers_x000D_
    sourceHeaders = stbl.HeaderRowRange.Value2_x000D_
    targetHeaders = ttbl.HeaderRowRange.Value2_x000D_
    _x000D_
    ' Load data_x000D_
    Dim sourceData As Variant, targetData As Variant, targetFormulas As Variant_x000D_
    sourceData = stbl.DataBodyRange.Value2_x000D_
    targetData = ttbl.DataBodyRange.Value2_x000D_
    targetFormulas = ttbl.DataBodyRange.formula ' Store formulas_x000D_
    _x000D_
    ' Find ID columns_x000D_
    Dim sourceIdCol As Long, targetIdCol As Long_x000D_
    sourceIdCol = GetIdColumnIndex(sourceHeaders)_x000D_
    targetIdCol = GetIdColumnIndex(targetHeaders)_x000D_
    _x000D_
    ' Build column mapping_x000D_
    Dim columnMapping As Collection_x000D_
    Set columnMapping = New Collection_x000D_
    Dim matchedColumns As Collection_x000D_
    Set matchedColumns = New Collection_x000D_
    _x000D_
    Dim i As Long, j As Long_x000D_
    For i = 1 To UBound(sourceHeaders, 2)_x000D_
        For j = 1 To UBound(targetHeaders, 2)_x000D_
            If CStr(sourceHeaders(1, i)) = CStr(targetHeaders(1, j)) Then_x000D_
                columnMapping.Add Array(i, j) ' Store source and target column indexes_x000D_
                matchedColumns.Add j ' Track columns that are being updated_x000D_
                Exit For_x000D_
            End If_x000D_
        Next j_x000D_
    Next i_x000D_
    _x000D_
    ' Identify formula columns_x000D_
    Dim formulaColumns As Collection_x000D_
    Set formulaColumns = New Collection_x000D_
    _x000D_
    For j = 1 To ttbl.DataBodyRange.Columns.count_x000D_
        If ColumnHasFormula(ttbl.DataBodyRange.Columns(j)) Then_x000D_
            formulaColumns.Add j_x000D_
        End If_x000D_
    Next j_x000D_
    _x000D_
    ' Create an array-based lookup for target IDs_x000D_
    Dim targetLookup() As String_x000D_
    Dim targetLookupIndex() As Long_x000D_
    Dim targetCount As Long_x000D_
    targetCount = UBound(targetData, 1)_x000D_
    _x000D_
    ReDim targetLookup(1 To targetCount)_x000D_
    ReDim targetLookupIndex(1 To targetCount)_x000D_
    _x000D_
    For i = 1 To targetCount_x000D_
        targetLookup(i) = CStr(targetData(i, targetIdCol))_x000D_
        targetLookupIndex(i) = i_x000D_
    Next i_x000D_
    _x000D_
    ' Update or insert data_x000D_
    Dim newRows As Collection_x000D_
    Set newRows = New Collection_x000D_
    _x000D_
    For i = 1 To UBound(sourceData, 1)_x000D_
        Dim id As String_x000D_
        id = CStr(sourceData(i, sourceIdCol))_x000D_
    _x000D_
        Dim foundIndex As Long_x000D_
        foundIndex = MatchID(targetLookup, id)_x000D_
    _x000D_
        If foundIndex &gt; 0 Then_x000D_
            ' Update existing row_x000D_
            Dim targetRowIdx As Long_x000D_
            targetRowIdx = targetLookupIndex(foundIndex)_x000D_
    _x000D_
            ' Always update matched columns_x000D_
            For j = 1 To columnMapping.count_x000D_
                Dim mapping As Variant_x000D_
                mapping = columnMapping(j)_x000D_
    _x000D_
                If mapping(1) &gt; 0 And mapping(0) &gt; 0 Then_x000D_
                    targetData(targetRowIdx, mapping(1)) = sourceData(i, mapping(0))_x000D_
                End If_x000D_
            Next j_x000D_
        Else_x000D_
            ' Collect new row for insertion_x000D_
            newRows.Add i_x000D_
        End If_x000D_
    Next i_x000D_
_x000D_
_x000D_
    ' Write back updated data while preserving formulas in unmatched columns_x000D_
    Dim colIndex As Long, rowIndex As Long_x000D_
    For rowIndex = 1 To UBound(targetData, 1)_x000D_
        For colIndex = 1 To UBound(targetData, 2)_x000D_
            ' If column was not in the matched list, preserve formula_x000D_
            If Not IsColumnMatched(colIndex, matchedColumns) And ColumnHasFormula(ttbl.DataBodyRange.Columns(colIndex)) Then_x000D_
                targetData(rowIndex, colIndex) = targetFormulas(rowIndex, colIndex)_x000D_
            End If_x000D_
        Next colIndex_x000D_
    Next rowIndex_x000D_
    _x000D_
    ' Apply updated data_x000D_
    ttbl.DataBodyRange.Value2 = targetData_x000D_
    _x000D_
    ' Insert new rows_x000D_
    If newRows.count &gt; 0 Then_x000D_
        InsertNewRows newRows, sourceData, columnMapping, ttbl_x000D_
    End If_x000D_
    _x000D_
_x000D_
_x000D_
_x000D_
    Exit Function_x000D_
End Function_x000D_
_x000D_
' </t>
  </si>
  <si>
    <t xml:space="preserve">Function to check if a column contains formulas_x000D_
</t>
  </si>
  <si>
    <t xml:space="preserve">Function ColumnHasFormula(colRange As Range) As Boolean_x000D_
    Dim cell As Range_x000D_
    For Each cell In colRange.Cells_x000D_
        If cell.HasFormula Then_x000D_
            ColumnHasFormula = True_x000D_
            Exit Function_x000D_
        End If_x000D_
    Next cell_x000D_
    ColumnHasFormula = False_x000D_
End Function_x000D_
_x000D_
' </t>
  </si>
  <si>
    <t xml:space="preserve">Function to check if a column is in the matched list_x000D_
</t>
  </si>
  <si>
    <t xml:space="preserve">Function IsColumnMatched(colIndex As Long, matchedCols As Collection) As Boolean_x000D_
    Dim item As Variant_x000D_
    For Each item In matchedCols_x000D_
        If item = colIndex Then_x000D_
            IsColumnMatched = True_x000D_
            Exit Function_x000D_
        End If_x000D_
    Next item_x000D_
    IsColumnMatched = False_x000D_
End Function_x000D_
_x000D_
Private </t>
  </si>
  <si>
    <t xml:space="preserve">Function InsertNewRows(newRows As Collection, sourceData As Variant, columnMapping As Collection, ttbl As ListObject)_x000D_
    Dim targetColCount As Long_x000D_
    targetColCount = ttbl.ListColumns.count ' Ensure we account for dynamically added columns_x000D_
    _x000D_
    Dim newRowsArray() As Variant_x000D_
    ReDim newRowsArray(1 To newRows.count, 1 To targetColCount) ' Resize based on target table columns_x000D_
    _x000D_
    Dim i As Long, j As Long_x000D_
    For i = 1 To newRows.count_x000D_
        Dim sourceIdx As Long_x000D_
        sourceIdx = newRows(i)_x000D_
        _x000D_
        For j = 1 To columnMapping.count_x000D_
            Dim mapping As Variant_x000D_
            mapping = columnMapping(j)_x000D_
            If mapping(1) &lt;= targetColCount And mapping(0) &lt;= UBound(sourceData, 2) Then ' Ensure bounds_x000D_
                newRowsArray(i, mapping(1)) = sourceData(sourceIdx, mapping(0))_x000D_
            End If_x000D_
        Next j_x000D_
    Next i_x000D_
    _x000D_
    Dim newRange As Range_x000D_
    Set newRange = ttbl.ListRows.Add(AlwaysInsert:=True).Range_x000D_
    If newRows.count &gt; 1 Then_x000D_
        Set newRange = newRange.Resize(newRows.count, targetColCount)_x000D_
    End If_x000D_
    newRange.Value2 = newRowsArray_x000D_
End Function_x000D_
_x000D_
_x000D_
Private </t>
  </si>
  <si>
    <t xml:space="preserve">Function MatchID(targetLookup As Variant, searchID As String) As Long_x000D_
    Dim i As Long_x000D_
    For i = 1 To UBound(targetLookup)_x000D_
        If targetLookup(i) = searchID Then_x000D_
            MatchID = i_x000D_
            Exit Function_x000D_
        End If_x000D_
    Next i_x000D_
    MatchID = 0_x000D_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</si>
  <si>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t>
  </si>
  <si>
    <t xml:space="preserve">Sub ClearMatchingOverwrites()_x000D_
_x000D_
    Dim ws As Worksheet_x000D_
    Dim lo As ListObject_x000D_
    Dim i As Long_x000D_
    Dim colFromProperty As ListColumn_x000D_
    Dim colOverwrite As ListColumn_x000D_
    Dim rngFromProperty As Range_x000D_
    Dim rngOverwrite As Range_x000D_
_x000D_
    ' Set worksheet and table_x000D_
    Set ws = ThisWorkbook.Sheets("Columns")_x000D_
    Set lo = ws.ListObjects("meta_Columns")_x000D_
    _x000D_
    ' Set columns_x000D_
    Set colFromProperty = lo.ListColumns("Excel Column - Label from Property or Referenced Table")_x000D_
    Set colOverwrite = lo.ListColumns("Excel Column - Label Overwrite")_x000D_
    _x000D_
    ' Set data ranges (only data body, no headers)_x000D_
    Set rngFromProperty = colFromProperty.DataBodyRange_x000D_
    Set rngOverwrite = colOverwrite.DataBodyRange_x000D_
_x000D_
    ' Loop through rows safely_x000D_
        For i = 1 To lo.ListRows.count_x000D_
            valFromProperty = colFromProperty.DataBodyRange.Cells(i).Value_x000D_
            valOverwrite = colOverwrite.DataBodyRange.Cells(i).Value_x000D_
            _x000D_
            If Not IsError(valFromProperty) And Not IsError(valOverwrite) Then_x000D_
                If Len(valOverwrite) &gt; 0 Then_x000D_
                    If CStr(valFromProperty) = CStr(valOverwrite) Then_x000D_
                        colOverwrite.DataBodyRange.Cells(i).ClearContents_x000D_
                    End If_x000D_
                End If_x000D_
            End If_x000D_
        Next i_x000D_
_x000D_
End Sub_x000D_
_x000D_
_x000D_
_x000D_
_x000D_
_x000D_
_x000D_
_x000D_
_x000D_
_x000D_
_x000D_
_x000D_
_x000D_
_x000D_
_x000D_
_x000D_
_x000D_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</si>
</sst>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theme="0"/>
      <name val="Calibri"/>
      <family val="2"/>
      <scheme val="minor"/>
    </font>
    <font>
      <sz val="8"/>
      <name val="Calibri"/>
      <family val="2"/>
      <scheme val="minor"/>
    </font>
    <font>
      <sz val="11"/>
      <name val="Calibri"/>
      <family val="2"/>
      <scheme val="minor"/>
    </font>
    <font>
      <sz val="11"/>
      <color rgb="FF00B0F0"/>
      <name val="Calibri"/>
      <family val="2"/>
      <scheme val="minor"/>
    </font>
    <font>
      <sz val="11"/>
      <color theme="1"/>
      <name val="Calibri"/>
      <family val="2"/>
      <scheme val="minor"/>
    </font>
    <font>
      <sz val="11"/>
      <color theme="1"/>
      <name val="Credit Suisse Type Light"/>
      <family val="2"/>
    </font>
    <font>
      <sz val="11"/>
      <name val="Arial"/>
      <family val="2"/>
    </font>
    <font>
      <u/>
      <sz val="11"/>
      <color theme="10"/>
      <name val="Calibri"/>
      <family val="2"/>
      <scheme val="minor"/>
    </font>
    <font>
      <u/>
      <sz val="11"/>
      <color theme="10"/>
      <name val="Credit Suisse Type Light"/>
      <family val="2"/>
    </font>
    <font>
      <sz val="11"/>
      <color theme="1"/>
      <name val="Courier New"/>
      <family val="3"/>
    </font>
    <font>
      <sz val="11"/>
      <color rgb="FFFF0000"/>
      <name val="Calibri"/>
      <family val="2"/>
      <scheme val="minor"/>
    </font>
    <font>
      <sz val="11"/>
      <color theme="0"/>
      <name val="Calibri"/>
      <family val="2"/>
      <scheme val="minor"/>
    </font>
    <font>
      <sz val="10"/>
      <color theme="1"/>
      <name val="Courier New"/>
      <family val="3"/>
    </font>
    <font>
      <sz val="8"/>
      <color theme="1"/>
      <name val="Calibri"/>
      <family val="2"/>
      <scheme val="minor"/>
    </font>
    <font>
      <sz val="10"/>
      <color theme="1"/>
      <name val="Courier New"/>
      <family val="1"/>
    </font>
    <font>
      <b/>
      <sz val="11"/>
      <color theme="1"/>
      <name val="Calibri"/>
      <family val="2"/>
      <scheme val="minor"/>
    </font>
    <font>
      <sz val="11"/>
      <color rgb="FF000000"/>
      <name val="Calibri"/>
      <family val="2"/>
      <scheme val="minor"/>
    </font>
    <font>
      <sz val="11"/>
      <color theme="1"/>
      <name val="Courier New"/>
      <family val="1"/>
    </font>
    <font>
      <sz val="11"/>
      <color theme="1"/>
      <name val="Calibri"/>
      <family val="2"/>
      <scheme val="minor"/>
    </font>
    <font>
      <sz val="11"/>
      <color theme="1"/>
      <name val="Calibri"/>
      <scheme val="minor"/>
    </font>
  </fonts>
  <fills count="22">
    <fill>
      <patternFill patternType="none"/>
    </fill>
    <fill>
      <patternFill patternType="gray125"/>
    </fill>
    <fill>
      <patternFill patternType="solid">
        <fgColor theme="4"/>
        <bgColor theme="4"/>
      </patternFill>
    </fill>
    <fill>
      <patternFill patternType="solid">
        <fgColor rgb="FFDFC9EF"/>
        <bgColor indexed="64"/>
      </patternFill>
    </fill>
    <fill>
      <patternFill patternType="solid">
        <fgColor theme="0"/>
        <bgColor indexed="64"/>
      </patternFill>
    </fill>
    <fill>
      <patternFill patternType="solid">
        <fgColor rgb="FFFF0000"/>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rgb="FFF8CAAA"/>
        <bgColor indexed="64"/>
      </patternFill>
    </fill>
    <fill>
      <patternFill patternType="solid">
        <fgColor theme="7" tint="-0.499984740745262"/>
        <bgColor indexed="64"/>
      </patternFill>
    </fill>
    <fill>
      <patternFill patternType="solid">
        <fgColor theme="9"/>
        <bgColor indexed="64"/>
      </patternFill>
    </fill>
    <fill>
      <patternFill patternType="solid">
        <fgColor rgb="FFFFFFCD"/>
        <bgColor indexed="64"/>
      </patternFill>
    </fill>
    <fill>
      <patternFill patternType="solid">
        <fgColor rgb="FF92D050"/>
        <bgColor indexed="64"/>
      </patternFill>
    </fill>
    <fill>
      <patternFill patternType="solid">
        <fgColor rgb="FF00B0F0"/>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FFFFCC"/>
        <bgColor indexed="64"/>
      </patternFill>
    </fill>
    <fill>
      <patternFill patternType="solid">
        <fgColor rgb="FFDBECD0"/>
        <bgColor indexed="64"/>
      </patternFill>
    </fill>
    <fill>
      <patternFill patternType="solid">
        <fgColor rgb="FFFFFFCC"/>
        <bgColor theme="4" tint="0.79998168889431442"/>
      </patternFill>
    </fill>
    <fill>
      <patternFill patternType="solid">
        <fgColor theme="8"/>
        <bgColor theme="4"/>
      </patternFill>
    </fill>
    <fill>
      <patternFill patternType="solid">
        <fgColor theme="8"/>
        <bgColor indexed="64"/>
      </patternFill>
    </fill>
    <fill>
      <patternFill patternType="solid">
        <fgColor rgb="FFFFFF00"/>
        <bgColor indexed="64"/>
      </patternFill>
    </fill>
  </fills>
  <borders count="19">
    <border>
      <left/>
      <right/>
      <top/>
      <bottom/>
      <diagonal/>
    </border>
    <border>
      <left/>
      <right/>
      <top style="thin">
        <color theme="4"/>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4"/>
      </left>
      <right/>
      <top style="thin">
        <color theme="4"/>
      </top>
      <bottom/>
      <diagonal/>
    </border>
    <border>
      <left style="thin">
        <color theme="4"/>
      </left>
      <right/>
      <top/>
      <bottom/>
      <diagonal/>
    </border>
    <border>
      <left style="thin">
        <color auto="1"/>
      </left>
      <right style="thin">
        <color auto="1"/>
      </right>
      <top style="thin">
        <color auto="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style="thin">
        <color theme="0" tint="-0.14996795556505021"/>
      </left>
      <right style="thin">
        <color theme="0" tint="-0.14996795556505021"/>
      </right>
      <top style="thin">
        <color theme="0" tint="-0.14996795556505021"/>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right/>
      <top style="thin">
        <color theme="4"/>
      </top>
      <bottom style="thin">
        <color theme="4"/>
      </bottom>
      <diagonal/>
    </border>
    <border>
      <left/>
      <right style="thin">
        <color indexed="64"/>
      </right>
      <top style="thin">
        <color indexed="64"/>
      </top>
      <bottom style="thin">
        <color indexed="64"/>
      </bottom>
      <diagonal/>
    </border>
  </borders>
  <cellStyleXfs count="10">
    <xf numFmtId="0" fontId="0" fillId="0" borderId="0"/>
    <xf numFmtId="0" fontId="7" fillId="0" borderId="0"/>
    <xf numFmtId="0" fontId="6" fillId="0" borderId="0"/>
    <xf numFmtId="0" fontId="9" fillId="0" borderId="0" applyNumberFormat="0" applyFill="0" applyBorder="0" applyAlignment="0" applyProtection="0"/>
    <xf numFmtId="0" fontId="6" fillId="0" borderId="0"/>
    <xf numFmtId="0" fontId="6" fillId="0" borderId="0"/>
    <xf numFmtId="0" fontId="5" fillId="0" borderId="0"/>
    <xf numFmtId="0" fontId="8" fillId="0" borderId="0" applyNumberFormat="0" applyFill="0" applyBorder="0" applyAlignment="0" applyProtection="0"/>
    <xf numFmtId="0" fontId="6" fillId="0" borderId="0"/>
    <xf numFmtId="0" fontId="6" fillId="0" borderId="0"/>
  </cellStyleXfs>
  <cellXfs count="130">
    <xf numFmtId="0" fontId="0" fillId="0" borderId="0" xfId="0"/>
    <xf numFmtId="0" fontId="0" fillId="0" borderId="1" xfId="0" applyBorder="1"/>
    <xf numFmtId="0" fontId="0" fillId="0" borderId="2" xfId="0" applyBorder="1" applyAlignment="1">
      <alignment vertical="top" textRotation="45"/>
    </xf>
    <xf numFmtId="0" fontId="3" fillId="3" borderId="2" xfId="0" applyFont="1" applyFill="1" applyBorder="1" applyAlignment="1">
      <alignment vertical="top" textRotation="45"/>
    </xf>
    <xf numFmtId="0" fontId="3" fillId="3" borderId="3" xfId="0" applyFont="1" applyFill="1" applyBorder="1" applyAlignment="1">
      <alignment vertical="top" textRotation="45"/>
    </xf>
    <xf numFmtId="0" fontId="0" fillId="0" borderId="0" xfId="0" applyAlignment="1">
      <alignment vertical="top"/>
    </xf>
    <xf numFmtId="0" fontId="4" fillId="0" borderId="0" xfId="0" applyFont="1" applyAlignment="1">
      <alignment vertical="top"/>
    </xf>
    <xf numFmtId="0" fontId="0" fillId="0" borderId="0" xfId="0" applyAlignment="1">
      <alignment vertical="top" wrapText="1"/>
    </xf>
    <xf numFmtId="0" fontId="0" fillId="4" borderId="0" xfId="0" applyFill="1" applyAlignment="1">
      <alignment vertical="top"/>
    </xf>
    <xf numFmtId="0" fontId="0" fillId="6" borderId="2" xfId="0" applyFill="1" applyBorder="1" applyAlignment="1">
      <alignment vertical="top" textRotation="45"/>
    </xf>
    <xf numFmtId="0" fontId="0" fillId="0" borderId="4" xfId="0" applyBorder="1" applyAlignment="1">
      <alignment vertical="top"/>
    </xf>
    <xf numFmtId="0" fontId="0" fillId="0" borderId="1" xfId="0" applyBorder="1" applyAlignment="1">
      <alignment vertical="top"/>
    </xf>
    <xf numFmtId="0" fontId="0" fillId="7" borderId="0" xfId="0" applyFill="1"/>
    <xf numFmtId="0" fontId="0" fillId="8" borderId="0" xfId="0" applyFill="1"/>
    <xf numFmtId="0" fontId="10" fillId="0" borderId="0" xfId="0" applyFont="1" applyAlignment="1">
      <alignment vertical="top"/>
    </xf>
    <xf numFmtId="0" fontId="10" fillId="0" borderId="2" xfId="0" applyFont="1" applyBorder="1" applyAlignment="1">
      <alignment vertical="top" textRotation="45"/>
    </xf>
    <xf numFmtId="0" fontId="0" fillId="0" borderId="2" xfId="0" applyBorder="1" applyAlignment="1">
      <alignment vertical="center" textRotation="45"/>
    </xf>
    <xf numFmtId="0" fontId="0" fillId="0" borderId="0" xfId="0" applyAlignment="1">
      <alignment vertical="center"/>
    </xf>
    <xf numFmtId="0" fontId="0" fillId="7" borderId="2" xfId="0" applyFill="1" applyBorder="1" applyAlignment="1">
      <alignment textRotation="45" wrapText="1"/>
    </xf>
    <xf numFmtId="0" fontId="0" fillId="9" borderId="2" xfId="0" applyFill="1" applyBorder="1" applyAlignment="1">
      <alignment vertical="top" textRotation="45"/>
    </xf>
    <xf numFmtId="0" fontId="0" fillId="0" borderId="2" xfId="0" applyBorder="1" applyAlignment="1">
      <alignment vertical="top" textRotation="45" wrapText="1"/>
    </xf>
    <xf numFmtId="0" fontId="0" fillId="0" borderId="3" xfId="0" applyBorder="1" applyAlignment="1">
      <alignment vertical="center" textRotation="45"/>
    </xf>
    <xf numFmtId="0" fontId="0" fillId="11" borderId="0" xfId="0" applyFill="1" applyAlignment="1">
      <alignment vertical="top"/>
    </xf>
    <xf numFmtId="0" fontId="0" fillId="11" borderId="5" xfId="0" applyFill="1" applyBorder="1" applyAlignment="1">
      <alignment vertical="top"/>
    </xf>
    <xf numFmtId="0" fontId="0" fillId="11" borderId="0" xfId="0" applyFill="1"/>
    <xf numFmtId="0" fontId="0" fillId="11" borderId="0" xfId="0" applyFill="1" applyAlignment="1">
      <alignment vertical="top" wrapText="1"/>
    </xf>
    <xf numFmtId="0" fontId="0" fillId="0" borderId="0" xfId="0" applyAlignment="1">
      <alignment horizontal="left" vertical="top"/>
    </xf>
    <xf numFmtId="0" fontId="0" fillId="0" borderId="0" xfId="0" applyAlignment="1">
      <alignment horizontal="left" vertical="top" wrapText="1"/>
    </xf>
    <xf numFmtId="0" fontId="10" fillId="13" borderId="2" xfId="0" applyFont="1" applyFill="1" applyBorder="1" applyAlignment="1">
      <alignment vertical="top" textRotation="45"/>
    </xf>
    <xf numFmtId="0" fontId="0" fillId="13" borderId="2" xfId="0" applyFill="1" applyBorder="1" applyAlignment="1">
      <alignment vertical="top" textRotation="45"/>
    </xf>
    <xf numFmtId="0" fontId="0" fillId="14" borderId="2" xfId="0" applyFill="1" applyBorder="1" applyAlignment="1">
      <alignment vertical="top" textRotation="45"/>
    </xf>
    <xf numFmtId="0" fontId="0" fillId="0" borderId="6" xfId="0" applyBorder="1" applyAlignment="1">
      <alignment vertical="top" textRotation="45"/>
    </xf>
    <xf numFmtId="0" fontId="0" fillId="14" borderId="6" xfId="0" applyFill="1" applyBorder="1" applyAlignment="1">
      <alignment vertical="top" textRotation="45"/>
    </xf>
    <xf numFmtId="0" fontId="12" fillId="0" borderId="6" xfId="0" applyFont="1" applyBorder="1" applyAlignment="1">
      <alignment vertical="top" textRotation="45"/>
    </xf>
    <xf numFmtId="0" fontId="0" fillId="11" borderId="7" xfId="0" applyFill="1" applyBorder="1" applyAlignment="1">
      <alignment vertical="top"/>
    </xf>
    <xf numFmtId="0" fontId="0" fillId="0" borderId="7" xfId="0" applyBorder="1" applyAlignment="1">
      <alignment vertical="top"/>
    </xf>
    <xf numFmtId="0" fontId="0" fillId="4" borderId="7" xfId="0" applyFill="1" applyBorder="1" applyAlignment="1">
      <alignment vertical="top"/>
    </xf>
    <xf numFmtId="0" fontId="10" fillId="4" borderId="0" xfId="0" applyFont="1" applyFill="1" applyAlignment="1">
      <alignment vertical="top"/>
    </xf>
    <xf numFmtId="0" fontId="4" fillId="4" borderId="0" xfId="0" applyFont="1" applyFill="1" applyAlignment="1">
      <alignment vertical="top"/>
    </xf>
    <xf numFmtId="0" fontId="10" fillId="11" borderId="7" xfId="0" applyFont="1" applyFill="1" applyBorder="1" applyAlignment="1">
      <alignment vertical="top"/>
    </xf>
    <xf numFmtId="0" fontId="13" fillId="0" borderId="0" xfId="0" applyFont="1" applyAlignment="1">
      <alignment vertical="top" wrapText="1"/>
    </xf>
    <xf numFmtId="0" fontId="11" fillId="0" borderId="0" xfId="0" applyFont="1" applyAlignment="1">
      <alignment vertical="top"/>
    </xf>
    <xf numFmtId="0" fontId="10" fillId="11" borderId="0" xfId="0" applyFont="1" applyFill="1" applyAlignment="1">
      <alignment vertical="top"/>
    </xf>
    <xf numFmtId="0" fontId="0" fillId="11" borderId="1" xfId="0" applyFill="1" applyBorder="1" applyAlignment="1">
      <alignment vertical="top"/>
    </xf>
    <xf numFmtId="0" fontId="0" fillId="4" borderId="1" xfId="0" applyFill="1" applyBorder="1" applyAlignment="1">
      <alignment vertical="top"/>
    </xf>
    <xf numFmtId="0" fontId="1" fillId="2" borderId="8" xfId="0" applyFont="1" applyFill="1" applyBorder="1" applyAlignment="1">
      <alignment vertical="top" textRotation="45"/>
    </xf>
    <xf numFmtId="0" fontId="0" fillId="0" borderId="8" xfId="0" applyBorder="1" applyAlignment="1">
      <alignment vertical="top" textRotation="45"/>
    </xf>
    <xf numFmtId="0" fontId="0" fillId="0" borderId="8" xfId="0" applyBorder="1" applyAlignment="1">
      <alignment horizontal="left" vertical="top" textRotation="45"/>
    </xf>
    <xf numFmtId="0" fontId="1" fillId="2" borderId="9" xfId="0" applyFont="1" applyFill="1" applyBorder="1" applyAlignment="1">
      <alignment vertical="top" textRotation="45"/>
    </xf>
    <xf numFmtId="0" fontId="10" fillId="11" borderId="10" xfId="0" applyFont="1" applyFill="1" applyBorder="1" applyAlignment="1">
      <alignment vertical="top"/>
    </xf>
    <xf numFmtId="0" fontId="0" fillId="0" borderId="10" xfId="0" applyBorder="1" applyAlignment="1">
      <alignment vertical="top"/>
    </xf>
    <xf numFmtId="0" fontId="0" fillId="11" borderId="10" xfId="0" applyFill="1" applyBorder="1" applyAlignment="1">
      <alignment vertical="top"/>
    </xf>
    <xf numFmtId="0" fontId="0" fillId="4" borderId="10" xfId="0" applyFill="1" applyBorder="1" applyAlignment="1">
      <alignment vertical="top"/>
    </xf>
    <xf numFmtId="0" fontId="4" fillId="11" borderId="0" xfId="0" applyFont="1" applyFill="1" applyAlignment="1">
      <alignment vertical="top"/>
    </xf>
    <xf numFmtId="0" fontId="10" fillId="0" borderId="10" xfId="0" applyFont="1" applyBorder="1" applyAlignment="1">
      <alignment vertical="top"/>
    </xf>
    <xf numFmtId="0" fontId="0" fillId="10" borderId="3" xfId="0" applyFill="1" applyBorder="1" applyAlignment="1">
      <alignment vertical="top" textRotation="45" wrapText="1"/>
    </xf>
    <xf numFmtId="0" fontId="0" fillId="5" borderId="3" xfId="0" applyFill="1" applyBorder="1" applyAlignment="1">
      <alignment vertical="top" textRotation="45" wrapText="1"/>
    </xf>
    <xf numFmtId="0" fontId="0" fillId="12" borderId="3" xfId="0" applyFill="1" applyBorder="1" applyAlignment="1">
      <alignment vertical="top" textRotation="45" wrapText="1"/>
    </xf>
    <xf numFmtId="0" fontId="0" fillId="7" borderId="3" xfId="0" applyFill="1" applyBorder="1" applyAlignment="1">
      <alignment vertical="top" textRotation="45" wrapText="1"/>
    </xf>
    <xf numFmtId="0" fontId="0" fillId="8" borderId="0" xfId="0" applyFill="1" applyAlignment="1">
      <alignment vertical="top"/>
    </xf>
    <xf numFmtId="0" fontId="0" fillId="8" borderId="0" xfId="0" applyFill="1" applyAlignment="1">
      <alignment vertical="top" wrapText="1"/>
    </xf>
    <xf numFmtId="16" fontId="0" fillId="8" borderId="0" xfId="0" applyNumberFormat="1" applyFill="1" applyAlignment="1">
      <alignment vertical="top"/>
    </xf>
    <xf numFmtId="0" fontId="14" fillId="0" borderId="3" xfId="0" applyFont="1" applyBorder="1" applyAlignment="1">
      <alignment vertical="center" textRotation="45"/>
    </xf>
    <xf numFmtId="0" fontId="14" fillId="0" borderId="0" xfId="0" applyFont="1"/>
    <xf numFmtId="0" fontId="1" fillId="2" borderId="12" xfId="0" applyFont="1" applyFill="1" applyBorder="1" applyAlignment="1">
      <alignment horizontal="left" vertical="top"/>
    </xf>
    <xf numFmtId="0" fontId="0" fillId="0" borderId="13" xfId="0" applyBorder="1" applyAlignment="1">
      <alignment horizontal="left" vertical="top"/>
    </xf>
    <xf numFmtId="0" fontId="0" fillId="0" borderId="0" xfId="0" applyAlignment="1">
      <alignment wrapText="1"/>
    </xf>
    <xf numFmtId="0" fontId="0" fillId="7" borderId="2" xfId="0" applyFill="1" applyBorder="1" applyAlignment="1">
      <alignment vertical="top" textRotation="45" wrapText="1"/>
    </xf>
    <xf numFmtId="0" fontId="1" fillId="2" borderId="3" xfId="0" applyFont="1" applyFill="1" applyBorder="1" applyAlignment="1">
      <alignment vertical="top" textRotation="45" wrapText="1"/>
    </xf>
    <xf numFmtId="0" fontId="15" fillId="0" borderId="0" xfId="0" applyFont="1" applyAlignment="1">
      <alignment vertical="top" wrapText="1"/>
    </xf>
    <xf numFmtId="0" fontId="0" fillId="5" borderId="0" xfId="0" applyFill="1" applyAlignment="1">
      <alignment vertical="top"/>
    </xf>
    <xf numFmtId="0" fontId="0" fillId="0" borderId="14" xfId="0" applyBorder="1" applyAlignment="1">
      <alignment vertical="top" textRotation="45"/>
    </xf>
    <xf numFmtId="0" fontId="0" fillId="9" borderId="14" xfId="0" applyFill="1" applyBorder="1" applyAlignment="1">
      <alignment vertical="top" textRotation="45"/>
    </xf>
    <xf numFmtId="0" fontId="0" fillId="7" borderId="15" xfId="0" applyFill="1" applyBorder="1" applyAlignment="1">
      <alignment textRotation="45" wrapText="1"/>
    </xf>
    <xf numFmtId="0" fontId="0" fillId="0" borderId="15" xfId="0" applyBorder="1" applyAlignment="1">
      <alignment vertical="top" textRotation="45"/>
    </xf>
    <xf numFmtId="0" fontId="0" fillId="11" borderId="2" xfId="0" applyFill="1" applyBorder="1" applyAlignment="1">
      <alignment vertical="top"/>
    </xf>
    <xf numFmtId="0" fontId="0" fillId="5" borderId="2" xfId="0" applyFill="1" applyBorder="1" applyAlignment="1">
      <alignment vertical="top"/>
    </xf>
    <xf numFmtId="0" fontId="0" fillId="0" borderId="15" xfId="0" applyBorder="1" applyAlignment="1">
      <alignment vertical="top" textRotation="45" wrapText="1"/>
    </xf>
    <xf numFmtId="0" fontId="0" fillId="11" borderId="2" xfId="0" applyFill="1" applyBorder="1" applyAlignment="1">
      <alignment vertical="top" wrapText="1"/>
    </xf>
    <xf numFmtId="0" fontId="0" fillId="5" borderId="15" xfId="0" applyFill="1" applyBorder="1" applyAlignment="1">
      <alignment vertical="top" textRotation="45"/>
    </xf>
    <xf numFmtId="0" fontId="0" fillId="4" borderId="0" xfId="0" applyFill="1"/>
    <xf numFmtId="0" fontId="1" fillId="2" borderId="12" xfId="0" applyFont="1" applyFill="1" applyBorder="1" applyAlignment="1">
      <alignment vertical="top"/>
    </xf>
    <xf numFmtId="0" fontId="0" fillId="15" borderId="11" xfId="0" applyFill="1" applyBorder="1" applyAlignment="1">
      <alignment vertical="top"/>
    </xf>
    <xf numFmtId="0" fontId="16" fillId="13" borderId="0" xfId="0" applyFont="1" applyFill="1"/>
    <xf numFmtId="0" fontId="0" fillId="17" borderId="0" xfId="0" applyFill="1"/>
    <xf numFmtId="0" fontId="0" fillId="11" borderId="3" xfId="0" applyFill="1" applyBorder="1" applyAlignment="1">
      <alignment vertical="top" wrapText="1"/>
    </xf>
    <xf numFmtId="0" fontId="0" fillId="0" borderId="16" xfId="0" applyBorder="1" applyAlignment="1">
      <alignment vertical="top" textRotation="45" wrapText="1"/>
    </xf>
    <xf numFmtId="0" fontId="0" fillId="16" borderId="13" xfId="0" applyFill="1" applyBorder="1" applyAlignment="1">
      <alignment horizontal="left" vertical="top"/>
    </xf>
    <xf numFmtId="0" fontId="0" fillId="18" borderId="11" xfId="0" applyFill="1" applyBorder="1" applyAlignment="1">
      <alignment vertical="top"/>
    </xf>
    <xf numFmtId="0" fontId="0" fillId="16" borderId="0" xfId="0" applyFill="1" applyAlignment="1">
      <alignment vertical="top"/>
    </xf>
    <xf numFmtId="0" fontId="0" fillId="16" borderId="0" xfId="0" applyFill="1" applyAlignment="1">
      <alignment vertical="top" wrapText="1"/>
    </xf>
    <xf numFmtId="0" fontId="0" fillId="16" borderId="13" xfId="0" applyFill="1" applyBorder="1" applyAlignment="1">
      <alignment vertical="top"/>
    </xf>
    <xf numFmtId="0" fontId="16" fillId="11" borderId="2" xfId="0" applyFont="1" applyFill="1" applyBorder="1" applyAlignment="1">
      <alignment vertical="top"/>
    </xf>
    <xf numFmtId="0" fontId="16" fillId="5" borderId="2" xfId="0" applyFont="1" applyFill="1" applyBorder="1" applyAlignment="1">
      <alignment vertical="top"/>
    </xf>
    <xf numFmtId="0" fontId="10" fillId="0" borderId="7" xfId="0" applyFont="1" applyBorder="1" applyAlignment="1">
      <alignment vertical="top"/>
    </xf>
    <xf numFmtId="0" fontId="0" fillId="4" borderId="3" xfId="0" applyFill="1" applyBorder="1" applyAlignment="1">
      <alignment vertical="top" wrapText="1"/>
    </xf>
    <xf numFmtId="0" fontId="0" fillId="4" borderId="2" xfId="0" applyFill="1" applyBorder="1" applyAlignment="1">
      <alignment vertical="top" wrapText="1"/>
    </xf>
    <xf numFmtId="0" fontId="0" fillId="4" borderId="6" xfId="0" applyFill="1" applyBorder="1" applyAlignment="1">
      <alignment vertical="top" wrapText="1"/>
    </xf>
    <xf numFmtId="0" fontId="0" fillId="11" borderId="18" xfId="0" applyFill="1" applyBorder="1" applyAlignment="1">
      <alignment vertical="top"/>
    </xf>
    <xf numFmtId="0" fontId="17" fillId="0" borderId="1" xfId="0" applyFont="1" applyBorder="1" applyAlignment="1">
      <alignment vertical="top"/>
    </xf>
    <xf numFmtId="0" fontId="17" fillId="0" borderId="17" xfId="0" applyFont="1" applyBorder="1" applyAlignment="1">
      <alignment vertical="top"/>
    </xf>
    <xf numFmtId="0" fontId="18" fillId="0" borderId="0" xfId="0" applyFont="1" applyAlignment="1">
      <alignment vertical="top"/>
    </xf>
    <xf numFmtId="0" fontId="18" fillId="11" borderId="0" xfId="0" applyFont="1" applyFill="1" applyAlignment="1">
      <alignment vertical="top"/>
    </xf>
    <xf numFmtId="0" fontId="0" fillId="18" borderId="13" xfId="0" applyFill="1" applyBorder="1" applyAlignment="1">
      <alignment vertical="top"/>
    </xf>
    <xf numFmtId="0" fontId="1" fillId="19" borderId="9" xfId="0" applyFont="1" applyFill="1" applyBorder="1" applyAlignment="1">
      <alignment vertical="top" textRotation="45"/>
    </xf>
    <xf numFmtId="0" fontId="1" fillId="19" borderId="8" xfId="0" applyFont="1" applyFill="1" applyBorder="1" applyAlignment="1">
      <alignment vertical="top" textRotation="45"/>
    </xf>
    <xf numFmtId="0" fontId="0" fillId="20" borderId="2" xfId="0" applyFill="1" applyBorder="1" applyAlignment="1">
      <alignment vertical="center" textRotation="45"/>
    </xf>
    <xf numFmtId="0" fontId="0" fillId="21" borderId="4" xfId="0" applyFill="1" applyBorder="1" applyAlignment="1">
      <alignment vertical="top"/>
    </xf>
    <xf numFmtId="0" fontId="0" fillId="0" borderId="8" xfId="0" applyBorder="1" applyAlignment="1">
      <alignment vertical="top" textRotation="45" wrapText="1"/>
    </xf>
    <xf numFmtId="0" fontId="0" fillId="0" borderId="0" xfId="0" quotePrefix="1"/>
    <xf numFmtId="0" fontId="0" fillId="16" borderId="0" xfId="0" applyFill="1"/>
    <xf numFmtId="0" fontId="19" fillId="0" borderId="4" xfId="0" applyFont="1" applyBorder="1" applyAlignment="1">
      <alignment vertical="top"/>
    </xf>
    <xf numFmtId="0" fontId="19" fillId="11" borderId="1" xfId="0" applyFont="1" applyFill="1" applyBorder="1" applyAlignment="1">
      <alignment vertical="top"/>
    </xf>
    <xf numFmtId="0" fontId="19" fillId="4" borderId="1" xfId="0" applyFont="1" applyFill="1" applyBorder="1" applyAlignment="1">
      <alignment vertical="top"/>
    </xf>
    <xf numFmtId="0" fontId="19" fillId="11" borderId="0" xfId="0" applyFont="1" applyFill="1" applyAlignment="1">
      <alignment vertical="top"/>
    </xf>
    <xf numFmtId="0" fontId="19" fillId="4" borderId="0" xfId="0" applyFont="1" applyFill="1" applyAlignment="1">
      <alignment vertical="top"/>
    </xf>
    <xf numFmtId="0" fontId="19" fillId="0" borderId="0" xfId="0" applyFont="1" applyAlignment="1">
      <alignment vertical="top"/>
    </xf>
    <xf numFmtId="0" fontId="0" fillId="21" borderId="0" xfId="0" applyFill="1"/>
    <xf numFmtId="0" fontId="0" fillId="5" borderId="0" xfId="0" applyFill="1"/>
    <xf numFmtId="0" fontId="0" fillId="0" borderId="1" xfId="0" quotePrefix="1" applyBorder="1"/>
    <xf numFmtId="0" fontId="0" fillId="0" borderId="0" xfId="0" quotePrefix="1" applyAlignment="1">
      <alignment vertical="top"/>
    </xf>
    <xf numFmtId="0" fontId="1" fillId="2" borderId="8" xfId="0" applyFont="1" applyFill="1" applyBorder="1" applyAlignment="1">
      <alignment vertical="top" textRotation="45" wrapText="1"/>
    </xf>
    <xf numFmtId="0" fontId="0" fillId="18" borderId="0" xfId="0" applyFill="1" applyAlignment="1">
      <alignment vertical="top"/>
    </xf>
    <xf numFmtId="0" fontId="20" fillId="0" borderId="4" xfId="0" applyFont="1" applyBorder="1" applyAlignment="1">
      <alignment vertical="top"/>
    </xf>
    <xf numFmtId="0" fontId="20" fillId="11" borderId="1" xfId="0" applyFont="1" applyFill="1" applyBorder="1" applyAlignment="1">
      <alignment vertical="top"/>
    </xf>
    <xf numFmtId="0" fontId="20" fillId="4" borderId="1" xfId="0" applyFont="1" applyFill="1" applyBorder="1" applyAlignment="1">
      <alignment vertical="top"/>
    </xf>
    <xf numFmtId="0" fontId="20" fillId="11"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0" fillId="0" borderId="0" xfId="0" quotePrefix="1" applyAlignment="1">
      <alignment vertical="top" wrapText="1"/>
    </xf>
  </cellXfs>
  <cellStyles count="10">
    <cellStyle name="Hyperlink 2" xfId="3" xr:uid="{00000000-0005-0000-0000-000000000000}"/>
    <cellStyle name="Hyperlink 3" xfId="7" xr:uid="{00000000-0005-0000-0000-000001000000}"/>
    <cellStyle name="Normal" xfId="0" builtinId="0"/>
    <cellStyle name="Normal 2" xfId="2" xr:uid="{00000000-0005-0000-0000-000003000000}"/>
    <cellStyle name="Normal 2 2" xfId="8" xr:uid="{00000000-0005-0000-0000-000004000000}"/>
    <cellStyle name="Normal 3" xfId="4" xr:uid="{00000000-0005-0000-0000-000005000000}"/>
    <cellStyle name="Normal 3 2" xfId="9" xr:uid="{00000000-0005-0000-0000-000006000000}"/>
    <cellStyle name="Normal 4" xfId="5" xr:uid="{00000000-0005-0000-0000-000007000000}"/>
    <cellStyle name="Normal 5" xfId="1" xr:uid="{00000000-0005-0000-0000-000008000000}"/>
    <cellStyle name="Normal 6" xfId="6" xr:uid="{00000000-0005-0000-0000-000009000000}"/>
  </cellStyles>
  <dxfs count="435">
    <dxf>
      <numFmt numFmtId="0" formatCode="General"/>
      <fill>
        <patternFill patternType="solid">
          <fgColor indexed="64"/>
          <bgColor theme="0"/>
        </patternFill>
      </fill>
      <alignment vertical="top"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color rgb="FF006100"/>
      </font>
      <fill>
        <patternFill>
          <bgColor rgb="FFC6EFCE"/>
        </patternFill>
      </fill>
    </dxf>
    <dxf>
      <font>
        <color rgb="FFFF0000"/>
      </font>
    </dxf>
    <dxf>
      <font>
        <color rgb="FFFF0000"/>
      </font>
    </dxf>
    <dxf>
      <font>
        <color rgb="FF006100"/>
      </font>
      <fill>
        <patternFill>
          <bgColor rgb="FFC6EFCE"/>
        </patternFill>
      </fill>
    </dxf>
    <dxf>
      <fill>
        <patternFill>
          <bgColor rgb="FFFF0000"/>
        </patternFill>
      </fill>
    </dxf>
    <dxf>
      <alignment horizontal="general" vertical="top" textRotation="45" wrapText="0" indent="0" justifyLastLine="0" shrinkToFit="0" readingOrder="0"/>
      <border diagonalUp="0" diagonalDown="0" outline="0">
        <left style="thick">
          <color theme="0"/>
        </left>
        <right style="thick">
          <color theme="0"/>
        </right>
        <top/>
        <bottom/>
      </border>
    </dxf>
    <dxf>
      <numFmt numFmtId="0" formatCode="General"/>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alignment horizontal="general" vertical="top"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8CAAA"/>
        </patternFill>
      </fill>
      <alignment horizontal="general" vertical="top" indent="0" justifyLastLine="0" shrinkToFit="0" readingOrder="0"/>
    </dxf>
    <dxf>
      <numFmt numFmtId="0" formatCode="General"/>
      <fill>
        <patternFill patternType="solid">
          <fgColor indexed="64"/>
          <bgColor rgb="FFFFFFCC"/>
        </patternFill>
      </fill>
      <alignment horizontal="general" vertical="top" indent="0" justifyLastLine="0" shrinkToFit="0" readingOrder="0"/>
    </dxf>
    <dxf>
      <fill>
        <patternFill patternType="solid">
          <fgColor indexed="64"/>
          <bgColor theme="0"/>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alignment horizontal="general" vertical="top" indent="0" justifyLastLine="0" shrinkToFit="0" readingOrder="0"/>
    </dxf>
    <dxf>
      <alignment horizontal="general" vertical="top"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fill>
        <patternFill>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indent="0" justifyLastLine="0" shrinkToFit="0" readingOrder="0"/>
    </dxf>
    <dxf>
      <font>
        <strike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textRotation="0" wrapText="0" indent="0" justifyLastLine="0" shrinkToFit="0" readingOrder="0"/>
    </dxf>
    <dxf>
      <alignment horizontal="general" vertical="top"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fill>
        <patternFill>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numFmt numFmtId="0" formatCode="General"/>
    </dxf>
    <dxf>
      <numFmt numFmtId="0" formatCode="General"/>
    </dxf>
    <dxf>
      <fill>
        <patternFill patternType="solid">
          <fgColor indexed="64"/>
          <bgColor rgb="FFFFFFCD"/>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border diagonalUp="0" diagonalDown="0" outline="0">
        <left/>
        <right/>
        <top style="thin">
          <color theme="4"/>
        </top>
        <bottom/>
      </border>
    </dxf>
    <dxf>
      <numFmt numFmtId="0" formatCode="General"/>
    </dxf>
    <dxf>
      <numFmt numFmtId="0" formatCode="General"/>
    </dxf>
    <dxf>
      <border outline="0">
        <left style="thin">
          <color theme="4"/>
        </left>
        <top style="thin">
          <color theme="4"/>
        </top>
      </border>
    </dxf>
    <dxf>
      <font>
        <b val="0"/>
        <i val="0"/>
        <strike val="0"/>
        <condense val="0"/>
        <extend val="0"/>
        <outline val="0"/>
        <shadow val="0"/>
        <u val="none"/>
        <vertAlign val="baseline"/>
        <sz val="11"/>
        <color theme="1"/>
        <name val="Calibri"/>
        <scheme val="minor"/>
      </font>
    </dxf>
    <dxf>
      <border outline="0">
        <bottom style="thin">
          <color auto="1"/>
        </bottom>
      </border>
    </dxf>
    <dxf>
      <font>
        <b val="0"/>
        <i val="0"/>
        <strike val="0"/>
        <condense val="0"/>
        <extend val="0"/>
        <outline val="0"/>
        <shadow val="0"/>
        <u val="none"/>
        <vertAlign val="baseline"/>
        <sz val="11"/>
        <color theme="1"/>
        <name val="Courier New"/>
        <scheme val="none"/>
      </font>
      <alignment horizontal="general" vertical="top" textRotation="45" wrapText="0" indent="0" justifyLastLine="0" shrinkToFit="0" readingOrder="0"/>
      <border diagonalUp="0" diagonalDown="0" outline="0">
        <left style="thin">
          <color auto="1"/>
        </left>
        <right style="thin">
          <color auto="1"/>
        </right>
        <top/>
        <bottom/>
      </border>
    </dxf>
    <dxf>
      <alignment vertical="top"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strike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solid">
          <fgColor indexed="64"/>
          <bgColor rgb="FFFFFFCC"/>
        </patternFill>
      </fill>
      <alignment vertical="top"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alignment horizontal="general" vertical="top" textRotation="0" wrapText="0"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alignment vertical="top" indent="0" justifyLastLine="0" shrinkToFit="0" readingOrder="0"/>
    </dxf>
    <dxf>
      <border>
        <bottom style="thick">
          <color theme="0" tint="-4.9989318521683403E-2"/>
        </bottom>
      </border>
    </dxf>
    <dxf>
      <alignment vertical="top" indent="0" justifyLastLine="0" shrinkToFit="0" readingOrder="0"/>
      <border diagonalUp="0" diagonalDown="0">
        <left style="thick">
          <color theme="0" tint="-4.9989318521683403E-2"/>
        </left>
        <right style="thick">
          <color theme="0" tint="-4.9989318521683403E-2"/>
        </right>
        <top/>
        <bottom/>
        <vertical style="thick">
          <color theme="0" tint="-4.9989318521683403E-2"/>
        </vertical>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outline="0">
        <left style="thin">
          <color auto="1"/>
        </left>
        <right style="thin">
          <color auto="1"/>
        </right>
        <top style="thin">
          <color indexed="64"/>
        </top>
        <bottom style="thin">
          <color indexed="64"/>
        </bottom>
      </border>
    </dxf>
    <dxf>
      <numFmt numFmtId="0" formatCode="General"/>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border>
    </dxf>
    <dxf>
      <fill>
        <patternFill patternType="solid">
          <fgColor indexed="64"/>
          <bgColor rgb="FFFFFFCD"/>
        </patternFill>
      </fill>
      <alignment horizontal="general"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font>
        <b/>
      </font>
      <fill>
        <patternFill patternType="solid">
          <fgColor indexed="64"/>
          <bgColor rgb="FFFFFFCD"/>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ck">
          <color theme="0"/>
        </bottom>
      </border>
    </dxf>
    <dxf>
      <alignment horizontal="general" vertical="top" textRotation="45" indent="0" justifyLastLine="0" shrinkToFit="0" readingOrder="0"/>
      <border diagonalUp="0" diagonalDown="0">
        <left style="thick">
          <color theme="0"/>
        </left>
        <right style="thick">
          <color theme="0"/>
        </right>
        <top/>
        <bottom/>
        <vertical style="thick">
          <color theme="0"/>
        </vertical>
        <horizontal/>
      </border>
    </dxf>
    <dxf>
      <numFmt numFmtId="0" formatCode="General"/>
      <alignment horizontal="general" vertical="top" textRotation="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alignment horizontal="general"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border diagonalUp="0" diagonalDown="0" outline="0">
        <left style="thin">
          <color theme="4"/>
        </left>
        <right/>
        <top style="thin">
          <color theme="4"/>
        </top>
        <bottom/>
      </border>
    </dxf>
    <dxf>
      <border outline="0">
        <top style="thin">
          <color theme="4"/>
        </top>
      </border>
    </dxf>
    <dxf>
      <border outline="0">
        <top style="thin">
          <color auto="1"/>
        </top>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bottom style="thick">
          <color theme="0" tint="-4.9989318521683403E-2"/>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45" wrapText="0" indent="0" justifyLastLine="0" shrinkToFit="0" readingOrder="0"/>
      <border diagonalUp="0" diagonalDown="0" outline="0">
        <left style="thick">
          <color theme="0" tint="-4.9989318521683403E-2"/>
        </left>
        <right style="thick">
          <color theme="0" tint="-4.9989318521683403E-2"/>
        </right>
        <top/>
        <bottom/>
      </border>
    </dxf>
    <dxf>
      <font>
        <strike val="0"/>
        <outline val="0"/>
        <shadow val="0"/>
        <u val="none"/>
        <vertAlign val="baseline"/>
        <sz val="8"/>
        <color theme="1"/>
        <name val="Calibri"/>
        <family val="2"/>
        <scheme val="minor"/>
      </font>
      <numFmt numFmtId="0" formatCode="General"/>
      <alignment horizontal="general" vertical="bottom" textRotation="0" wrapText="0" indent="0" justifyLastLine="0" shrinkToFit="0" readingOrder="0"/>
    </dxf>
    <dxf>
      <numFmt numFmtId="0" formatCode="General"/>
      <alignment horizontal="general" wrapText="0" indent="0" justifyLastLine="0" shrinkToFit="0" readingOrder="0"/>
    </dxf>
    <dxf>
      <fill>
        <patternFill patternType="solid">
          <fgColor indexed="64"/>
          <bgColor rgb="FFFFFFCC"/>
        </patternFill>
      </fill>
      <alignment horizontal="general" wrapText="0" indent="0" justifyLastLine="0" shrinkToFit="0" readingOrder="0"/>
    </dxf>
    <dxf>
      <numFmt numFmtId="0" formatCode="General"/>
      <fill>
        <patternFill patternType="solid">
          <fgColor indexed="64"/>
          <bgColor theme="0"/>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fill>
        <patternFill>
          <fgColor indexed="64"/>
          <bgColor rgb="FFFFFFCD"/>
        </patternFill>
      </fill>
      <alignment horizontal="general" vertical="bottom" textRotation="0"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fill>
        <patternFill>
          <fgColor indexed="64"/>
          <bgColor rgb="FFFFFFCD"/>
        </patternFill>
      </fill>
      <alignment horizontal="general" wrapText="0" indent="0" justifyLastLine="0" shrinkToFit="0" readingOrder="0"/>
    </dxf>
    <dxf>
      <fill>
        <patternFill>
          <fgColor indexed="64"/>
          <bgColor rgb="FFFFFFCD"/>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border>
        <bottom style="thin">
          <color auto="1"/>
        </bottom>
      </border>
    </dxf>
    <dxf>
      <alignment horizontal="general" vertical="center" textRotation="45" wrapText="0" indent="0" justifyLastLine="0" shrinkToFit="0" readingOrder="0"/>
      <border diagonalUp="0" diagonalDown="0" outline="0">
        <left style="thin">
          <color auto="1"/>
        </left>
        <right style="thin">
          <color auto="1"/>
        </right>
        <top/>
        <bottom/>
      </border>
    </dxf>
    <dxf>
      <fill>
        <patternFill>
          <bgColor rgb="FFFFFFCC"/>
        </patternFill>
      </fill>
      <alignment horizontal="general" vertical="top" textRotation="0" wrapText="1"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patternType="solid">
          <fgColor indexed="64"/>
          <bgColor rgb="FFFFFFCC"/>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alignmen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indent="0" justifyLastLine="0" shrinkToFit="0" readingOrder="0"/>
    </dxf>
    <dxf>
      <numFmt numFmtId="0" formatCode="General"/>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fill>
        <patternFill patternType="solid">
          <fgColor indexed="64"/>
          <bgColor rgb="FFFFFFCD"/>
        </patternFill>
      </fill>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CD"/>
      <color rgb="FFFFFFCC"/>
      <color rgb="FFFFB3B3"/>
      <color rgb="FFDBECD0"/>
      <color rgb="FFF8CAAA"/>
      <color rgb="FFDFC9EF"/>
      <color rgb="FFFFE0C1"/>
      <color rgb="FFF6D1FF"/>
      <color rgb="FFF2B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5037879-D638-41CA-BC3C-A09C30E02942}" name="finance_Portfolios" displayName="finance_Portfolios" ref="A1:F2" totalsRowShown="0" headerRowDxfId="434" headerRowBorderDxfId="433" tableBorderDxfId="432">
  <autoFilter ref="A1:F2" xr:uid="{25037879-D638-41CA-BC3C-A09C30E02942}"/>
  <tableColumns count="6">
    <tableColumn id="1" xr3:uid="{155820A8-4454-45CF-88E8-511231C6B171}" name="ID"/>
    <tableColumn id="2" xr3:uid="{78BEFECE-D812-4DBC-8C34-4D40A1284A01}" name="Kind:src"/>
    <tableColumn id="3" xr3:uid="{E322332C-9E54-4107-871F-955998B9900F}" name="Kind" dataDxfId="431">
      <calculatedColumnFormula xml:space="preserve"> IF( TRIM( finance_Portfolios[[#This Row],[Kind:src]] ) = "", "",
        INDEX( meta_Classifiers[Display Qualified], MATCH( finance_Portfolios[[#This Row],[Kind:src]], meta_Classifiers[ID], 0 ) ) )</calculatedColumnFormula>
    </tableColumn>
    <tableColumn id="5" xr3:uid="{22547BBF-5FCA-4A1E-B937-85128D6A3147}" name="Package"/>
    <tableColumn id="4" xr3:uid="{218A46C3-1A3E-4E23-9240-9D465E00E968}" name="Owner"/>
    <tableColumn id="10" xr3:uid="{4CE77B86-BEC0-304C-9794-CF4BCDD29FB3}" name="Value"/>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41897A-4E9B-4AF0-8FAF-4F427F97D3CC}" name="finance_Positions" displayName="finance_Positions" ref="A1:J2" totalsRowShown="0" headerRowDxfId="430" headerRowBorderDxfId="429" tableBorderDxfId="428">
  <autoFilter ref="A1:J2" xr:uid="{25037879-D638-41CA-BC3C-A09C30E02942}"/>
  <tableColumns count="10">
    <tableColumn id="1" xr3:uid="{410D3616-A12B-4569-99C8-B31567D218F5}" name="ID"/>
    <tableColumn id="2" xr3:uid="{791ECF31-6B62-4ED1-9B3A-2D54E8FA0E30}" name="Kind:src"/>
    <tableColumn id="3" xr3:uid="{F2D599DB-7A92-43BC-B0D6-27C2A486A540}" name="Kind" dataDxfId="427">
      <calculatedColumnFormula xml:space="preserve"> IF( TRIM( finance_Positions[[#This Row],[Kind:src]] ) = "", "",
        INDEX( meta_Classifiers[Display Qualified], MATCH( finance_Positions[[#This Row],[Kind:src]], meta_Classifiers[ID], 0 ) ) )</calculatedColumnFormula>
    </tableColumn>
    <tableColumn id="4" xr3:uid="{BD6A0918-45C2-4DC3-A399-D28A9B904684}" name="Package"/>
    <tableColumn id="10" xr3:uid="{39AA7D50-5390-4C2C-BDE4-9C245C06649A}" name="Portfolio:src"/>
    <tableColumn id="5" xr3:uid="{F62B84A2-DA72-42D2-B668-3CBF12C5C991}" name="Portfolio" dataDxfId="426">
      <calculatedColumnFormula xml:space="preserve"> IF( TRIM( finance_Positions[[#This Row],[Portfolio:src]] ) = "", "",
        INDEX( finance_Portfolios[Owner], MATCH( finance_Positions[[#This Row],[Portfolio:src]], finance_Portfolios[ID], 0 ) ) )</calculatedColumnFormula>
    </tableColumn>
    <tableColumn id="12" xr3:uid="{7C611447-0EF1-4971-A4E9-04491247A037}" name="Security:src"/>
    <tableColumn id="6" xr3:uid="{528E714D-894B-4CD4-A5AE-4BA6CFE1D031}" name="Security" dataDxfId="425">
      <calculatedColumnFormula xml:space="preserve"> IF( TRIM( finance_Positions[[#This Row],[Security:src]] ) = "", "",
        INDEX( finance_Securities[Trading Symbol], MATCH( finance_Positions[[#This Row],[Security:src]], finance_Securities[ID], 0 ) ) )</calculatedColumnFormula>
    </tableColumn>
    <tableColumn id="7" xr3:uid="{8C001AAA-A244-485E-8BBA-778E3B5D8950}" name="Amount"/>
    <tableColumn id="8" xr3:uid="{82CE1338-DB53-432C-994A-74813E641E06}" name="Valuatio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2F27C16-AD17-4BE8-BB18-6C7F65995640}" name="finance_Securities" displayName="finance_Securities" ref="A1:F2" totalsRowShown="0" headerRowDxfId="424" headerRowBorderDxfId="423" tableBorderDxfId="422">
  <autoFilter ref="A1:F2" xr:uid="{25037879-D638-41CA-BC3C-A09C30E02942}"/>
  <tableColumns count="6">
    <tableColumn id="1" xr3:uid="{923CD685-5088-40A2-93C0-DC4A11D317E6}" name="ID"/>
    <tableColumn id="2" xr3:uid="{CC93D02E-5B50-4B24-AD68-036422196FE9}" name="Kind:src"/>
    <tableColumn id="3" xr3:uid="{2F7AB5F1-0EA8-4F4A-B066-F350BEE20EBE}" name="Kind" dataDxfId="421">
      <calculatedColumnFormula xml:space="preserve"> IF( TRIM( finance_Securities[[#This Row],[Kind:src]] ) = "", "",
        INDEX( meta_Classifiers[Display Qualified], MATCH( finance_Securities[[#This Row],[Kind:src]], meta_Classifiers[ID], 0 ) ) )</calculatedColumnFormula>
    </tableColumn>
    <tableColumn id="4" xr3:uid="{EB244B4B-71B6-40F6-91EA-5A059D6E6136}" name="Package"/>
    <tableColumn id="5" xr3:uid="{410E52BF-6655-4F0F-B8E9-DED56B5B8877}" name="Trading Symbol"/>
    <tableColumn id="6" xr3:uid="{E47BD243-8FA5-4CE9-A40A-D100149F459F}" name="Price"/>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0000000}" name="meta_DocumentVersions" displayName="meta_DocumentVersions" ref="A2:J10" totalsRowShown="0" headerRowDxfId="420" dataDxfId="419">
  <autoFilter ref="A2:J10" xr:uid="{00000000-0009-0000-0100-00000F000000}"/>
  <tableColumns count="10">
    <tableColumn id="1" xr3:uid="{00000000-0010-0000-0000-000001000000}" name="ID" dataDxfId="418"/>
    <tableColumn id="2" xr3:uid="{00000000-0010-0000-0000-000002000000}" name="Name" dataDxfId="417"/>
    <tableColumn id="3" xr3:uid="{00000000-0010-0000-0000-000003000000}" name="Version" dataDxfId="416"/>
    <tableColumn id="4" xr3:uid="{00000000-0010-0000-0000-000004000000}" name="Date Tag" dataDxfId="415"/>
    <tableColumn id="5" xr3:uid="{00000000-0010-0000-0000-000005000000}" name="File Name" dataDxfId="414">
      <calculatedColumnFormula>meta_DocumentVersions[[#This Row],[Date Tag]]&amp;"_"&amp;meta_DocumentVersions[[#This Row],[Name]]&amp;"_"&amp;meta_DocumentVersions[[#This Row],[Version]]&amp;".xlsm"</calculatedColumnFormula>
    </tableColumn>
    <tableColumn id="6" xr3:uid="{00000000-0010-0000-0000-000006000000}" name="Change Log" dataDxfId="413"/>
    <tableColumn id="9" xr3:uid="{00000000-0010-0000-0000-000009000000}" name="Branch of Document" dataDxfId="412"/>
    <tableColumn id="7" xr3:uid="{00000000-0010-0000-0000-000007000000}" name="Create Branch" dataDxfId="411"/>
    <tableColumn id="8" xr3:uid="{00000000-0010-0000-0000-000008000000}" name="Merge Branch" dataDxfId="410"/>
    <tableColumn id="10" xr3:uid="{00000000-0010-0000-0000-00000A000000}" name="Freeze Version" dataDxfId="40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62156AB-9B91-4FBB-9F02-9ABD0880D2F6}" name="meta_Snippets" displayName="meta_Snippets" ref="A1:G205" totalsRowShown="0" headerRowDxfId="2" dataDxfId="1">
  <autoFilter ref="A1:G205" xr:uid="{562156AB-9B91-4FBB-9F02-9ABD0880D2F6}"/>
  <tableColumns count="7">
    <tableColumn id="1" xr3:uid="{BB2F4ADE-0D7D-4D13-912E-019FF7FF1AC6}" name="ID" dataDxfId="9"/>
    <tableColumn id="2" xr3:uid="{4A9AE7E1-8A7F-4300-A4E7-67FEAA60EAD9}" name="Kind:src" dataDxfId="8"/>
    <tableColumn id="3" xr3:uid="{4F54C0D4-4738-45F0-B498-B1D619E2BADA}" name="Kind" dataDxfId="7"/>
    <tableColumn id="4" xr3:uid="{C9BCC81A-225C-47C8-A413-44BEF397C333}" name="Package" dataDxfId="6"/>
    <tableColumn id="5" xr3:uid="{121AA17D-7A8E-4175-BD7D-33619E5912CF}" name="Sub Package" dataDxfId="5"/>
    <tableColumn id="6" xr3:uid="{FAD13CD6-D7EE-4E24-AA68-06BF359A6D24}" name="Line" dataDxfId="4"/>
    <tableColumn id="7" xr3:uid="{3FFF7657-D193-472C-B840-B1279D9BE850}" name="Snippet" dataDxfId="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D1D787-80C1-41B3-A5E1-361C96CBA839}" name="meta_PackageDocumentation" displayName="meta_PackageDocumentation" ref="A1:H25" totalsRowShown="0" headerRowDxfId="408" dataDxfId="406" headerRowBorderDxfId="407" tableBorderDxfId="405" totalsRowBorderDxfId="404">
  <autoFilter ref="A1:H25" xr:uid="{72D1D787-80C1-41B3-A5E1-361C96CBA839}"/>
  <tableColumns count="8">
    <tableColumn id="1" xr3:uid="{F69362F0-9487-44C4-993A-5B2A248EFEFC}" name="ID" dataDxfId="403"/>
    <tableColumn id="2" xr3:uid="{DEE0911D-8686-4E73-9CBA-9D80643E8EA5}" name="Kind:src" dataDxfId="402"/>
    <tableColumn id="3" xr3:uid="{CB794C21-D1C3-48B1-8E5D-79BBADE1C529}" name="Kind" dataDxfId="401"/>
    <tableColumn id="4" xr3:uid="{95386E7E-2DB3-484E-AA98-50A8CAD62D87}" name="Package" dataDxfId="400"/>
    <tableColumn id="5" xr3:uid="{FC7BB08F-0ED4-4A9E-A0A1-FC8AB8C0FB4B}" name="Sub Package" dataDxfId="399"/>
    <tableColumn id="6" xr3:uid="{2301BADC-4346-4B97-ADAA-F066AC1A9D66}" name="Topic Order" dataDxfId="398"/>
    <tableColumn id="8" xr3:uid="{58EBC06B-6057-42D0-B230-9B5F5DEFF0AD}" name="Topic" dataDxfId="397"/>
    <tableColumn id="9" xr3:uid="{3B170A2B-1D49-4772-8781-3E2FA0A71920}" name="Definition" dataDxfId="396"/>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eta_Tables" displayName="meta_Tables" ref="A1:O22" totalsRowShown="0" headerRowDxfId="395" dataDxfId="393" headerRowBorderDxfId="394">
  <autoFilter ref="A1:O22" xr:uid="{00000000-0009-0000-0100-000004000000}"/>
  <sortState xmlns:xlrd2="http://schemas.microsoft.com/office/spreadsheetml/2017/richdata2" ref="A2:O22">
    <sortCondition ref="A1:A22"/>
  </sortState>
  <tableColumns count="15">
    <tableColumn id="1" xr3:uid="{00000000-0010-0000-0300-000001000000}" name="ID" dataDxfId="392"/>
    <tableColumn id="21" xr3:uid="{61D4FD97-EA15-48B9-A19D-F3B5B7FF39E8}" name="Kind:src" dataDxfId="391"/>
    <tableColumn id="5" xr3:uid="{00000000-0010-0000-0300-000005000000}" name="Kind" dataDxfId="390">
      <calculatedColumnFormula xml:space="preserve"> IF( TRIM( meta_Tables[[#This Row],[Kind:src]] ) = "", "",
        INDEX( meta_Classifiers[Display Qualified], MATCH( meta_Tables[[#This Row],[Kind:src]], meta_Classifiers[ID], 0 ) ) )</calculatedColumnFormula>
    </tableColumn>
    <tableColumn id="6" xr3:uid="{00000000-0010-0000-0300-000006000000}" name="Package" dataDxfId="389">
      <calculatedColumnFormula>IFERROR(LEFT(meta_Tables[[#This Row],[Excel Table - Excel Name]],FIND("_",meta_Tables[[#This Row],[Excel Table - Excel Name]])-1),"")</calculatedColumnFormula>
    </tableColumn>
    <tableColumn id="15" xr3:uid="{00000000-0010-0000-0300-00000F000000}" name="Sub Package" dataDxfId="388"/>
    <tableColumn id="10" xr3:uid="{00000000-0010-0000-0300-00000A000000}" name="Excel Table - Excel Name" dataDxfId="387"/>
    <tableColumn id="17" xr3:uid="{00000000-0010-0000-0300-000011000000}" name="Display Qualified" dataDxfId="386">
      <calculatedColumnFormula>IF(meta_Tables[[#This Row],[Package]]="","",meta_Tables[[#This Row],[Package]]&amp;"::")&amp;meta_Tables[[#This Row],[Display]]</calculatedColumnFormula>
    </tableColumn>
    <tableColumn id="16" xr3:uid="{00000000-0010-0000-0300-000010000000}" name="Display" dataDxfId="385">
      <calculatedColumnFormula array="1">_xlfn.IFNA(INDEX(meta_Names[Camel Upper], MATCH(meta_Tables[[#This Row],[Name]],meta_Names[String],0)),camelCaseUpper(meta_Tables[[#This Row],[Name]]))</calculatedColumnFormula>
    </tableColumn>
    <tableColumn id="2" xr3:uid="{00000000-0010-0000-0300-000002000000}" name="Name" dataDxfId="384"/>
    <tableColumn id="9" xr3:uid="{00000000-0010-0000-0300-000009000000}" name="Instances Class:src" dataDxfId="383"/>
    <tableColumn id="3" xr3:uid="{00000000-0010-0000-0300-000003000000}" name="Instances Class" dataDxfId="382">
      <calculatedColumnFormula xml:space="preserve"> IF( TRIM( meta_Tables[[#This Row],[Instances Class:src]] ) = "", "",
        INDEX( meta_Classifiers[Display Qualified], MATCH( meta_Tables[[#This Row],[Instances Class:src]], meta_Classifiers[ID], 0 ) ) )</calculatedColumnFormula>
    </tableColumn>
    <tableColumn id="19" xr3:uid="{2E9AB9A0-3980-4D30-94F0-03C98A613773}" name="Excel Table - Sheet Name" dataDxfId="381"/>
    <tableColumn id="4" xr3:uid="{00000000-0010-0000-0300-000004000000}" name="Excel Table - Explicit Sheet Name" dataDxfId="380"/>
    <tableColumn id="18" xr3:uid="{69532265-581F-457F-BE63-025A68679E82}" name="Excel Formula for Column Label Actual Calculation Previous Line " dataDxfId="379">
      <calculatedColumnFormula>IF(ROW()=2,"",INDEX(meta_Tables[Excel Formula for Column Label Actual Calculation], ROW()-2))</calculatedColumnFormula>
    </tableColumn>
    <tableColumn id="7" xr3:uid="{8BC3F362-2D86-4BB2-800A-49AAE2C934CD}" name="Excel Formula for Column Label Actual Calculation" dataDxfId="378">
      <calculatedColumnFormula>meta_Tables[[#This Row],[Excel Formula for Column Label Actual Calculation Previous Line ]]&amp;
IF(meta_Tables[[#This Row],[Excel Table - Excel Name]]&lt;&gt;"","IF([@[Owning Table:src]]="&amp;CHAR(34)&amp;meta_Tables[[#This Row],[ID]]&amp;CHAR(34)&amp;",INDEX("&amp;meta_Tables[[#This Row],[Excel Table - Excel Name]]&amp;"[#Headers],[@Position]),
","")</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4000000}" name="meta_Columns" displayName="meta_Columns" ref="A1:BE422" totalsRowShown="0" headerRowDxfId="377" dataDxfId="375" headerRowBorderDxfId="376" tableBorderDxfId="374" totalsRowBorderDxfId="373">
  <autoFilter ref="A1:BE422" xr:uid="{00000000-0009-0000-0100-00000E000000}"/>
  <tableColumns count="57">
    <tableColumn id="1" xr3:uid="{00000000-0010-0000-0400-000001000000}" name="ID" dataDxfId="372"/>
    <tableColumn id="49" xr3:uid="{6E72B505-24D7-4338-9A65-D70EFDFFC57B}" name="Kind:src" dataDxfId="371"/>
    <tableColumn id="3" xr3:uid="{00000000-0010-0000-0400-000003000000}" name="Kind" dataDxfId="370">
      <calculatedColumnFormula xml:space="preserve"> IF( TRIM( meta_Columns[[#This Row],[Kind:src]] ) = "", "",
        INDEX( meta_Classifiers[Display Qualified], MATCH( meta_Columns[[#This Row],[Kind:src]], meta_Classifiers[ID], 0 ) ) )</calculatedColumnFormula>
    </tableColumn>
    <tableColumn id="4" xr3:uid="{00000000-0010-0000-0400-000004000000}" name="Package" dataDxfId="369">
      <calculatedColumnFormula>IF(meta_Columns[[#This Row],[Owning Table:src]]="","",INDEX(meta_Classifiers[Package],MATCH(meta_Columns[[#This Row],[Owning Table Instances Class]],meta_Classifiers[ID],0)))</calculatedColumnFormula>
    </tableColumn>
    <tableColumn id="5" xr3:uid="{00000000-0010-0000-0400-000005000000}" name="Sub Package" dataDxfId="368"/>
    <tableColumn id="14" xr3:uid="{00000000-0010-0000-0400-00000E000000}" name="_Tables" dataDxfId="367">
      <calculatedColumnFormula>INDEX(meta_Tables[Excel Table - Excel Name],MATCH(meta_Columns[[#This Row],[Owning Table:src]],meta_Tables[ID],0))</calculatedColumnFormula>
    </tableColumn>
    <tableColumn id="10" xr3:uid="{00000000-0010-0000-0400-00000A000000}" name="Owning Table Instances Class" dataDxfId="366">
      <calculatedColumnFormula>INDEX(meta_Tables[Instances Class:src],MATCH(meta_Columns[[#This Row],[Owning Table:src]],meta_Tables[ID],0))</calculatedColumnFormula>
    </tableColumn>
    <tableColumn id="40" xr3:uid="{C54BA0C1-D44D-4CFE-B1CA-3F830A4C1A66}" name="Owning Table:src" dataDxfId="365"/>
    <tableColumn id="9" xr3:uid="{00000000-0010-0000-0400-000009000000}" name="Owning Table" dataDxfId="364">
      <calculatedColumnFormula xml:space="preserve"> IF( TRIM( meta_Columns[[#This Row],[Owning Table:src]] ) = "", "",
        INDEX( meta_Tables[Display Qualified], MATCH( meta_Columns[[#This Row],[Owning Table:src]], meta_Tables[ID], 0 ) ) )</calculatedColumnFormula>
    </tableColumn>
    <tableColumn id="48" xr3:uid="{3D7A0EDF-AF51-40A8-8A98-34751314A8CC}" name="Referenced Table:src" dataDxfId="363"/>
    <tableColumn id="45" xr3:uid="{B2BC55F0-4617-47EF-A1AE-AA473E4D6E63}" name="Referenced Table" dataDxfId="362">
      <calculatedColumnFormula>IF(TRIM(meta_Columns[[#This Row],[Referenced Table:src]])="","",
    INDEX(meta_Tables[Display Qualified],MATCH(meta_Columns[[#This Row],[Referenced Table:src]],meta_Tables[ID],0)))</calculatedColumnFormula>
    </tableColumn>
    <tableColumn id="50" xr3:uid="{26D77C09-C15A-4576-B795-02A30483B8C0}" name="Referenced Table Display and Select Column:src" dataDxfId="361"/>
    <tableColumn id="41" xr3:uid="{B2C65460-A4E0-A340-BFA4-E6287331A5B3}" name="Referenced Table Display and Select Column" dataDxfId="360"/>
    <tableColumn id="52" xr3:uid="{2BF52C4F-C41A-48F9-A0B1-82565B174F58}" name="Changeable" dataDxfId="359">
      <calculatedColumnFormula>IF(meta_Columns[[#This Row],[Excel Column - Excel Formula]]="","x","")</calculatedColumnFormula>
    </tableColumn>
    <tableColumn id="55" xr3:uid="{2BE28D52-EA0C-469A-B592-F2C9E6B6F804}" name="Excel Column - Name Prefix" dataDxfId="358"/>
    <tableColumn id="56" xr3:uid="{A1AFBA24-E5F8-4960-925A-492F12DA3C5C}" name="Referenced Table Instance Class Name" dataDxfId="357">
      <calculatedColumnFormula>IF(meta_Columns[[#This Row],[Referenced Table:src]]="","",INDEX(meta_Tables[Instances Class],MATCH(meta_Columns[[#This Row],[Referenced Table:src]],meta_Tables[ID],0)))</calculatedColumnFormula>
    </tableColumn>
    <tableColumn id="42" xr3:uid="{4ACD9FB3-716D-41F9-B56B-10D55CF2D047}" name="Property ID from Actual Column Label" dataDxfId="356">
      <calculatedColumnFormula>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calculatedColumnFormula>
    </tableColumn>
    <tableColumn id="51" xr3:uid="{D3240530-5921-4FC7-8CFA-08C30FAB1469}" name="Property:src" dataDxfId="355"/>
    <tableColumn id="22" xr3:uid="{00000000-0010-0000-0400-000016000000}" name="Property" dataDxfId="354">
      <calculatedColumnFormula xml:space="preserve"> IF( TRIM( meta_Columns[[#This Row],[Property:src]] ) = "", "",
        INDEX( meta_TypedModelElements[Display Qualified], MATCH( meta_Columns[[#This Row],[Property:src]], meta_TypedModelElements[ID], 0 ) ) )</calculatedColumnFormula>
    </tableColumn>
    <tableColumn id="26" xr3:uid="{00000000-0010-0000-0400-00001A000000}" name="Semantics Case" dataDxfId="353"/>
    <tableColumn id="13" xr3:uid="{00000000-0010-0000-0400-00000D000000}" name="Generalization 6" dataDxfId="352">
      <calculatedColumnFormula>INDEX(meta_Classifiers[Class - Generalization:src], MATCH(meta_Columns[[#This Row],[Generalization 5]],meta_Classifiers[ID],0))</calculatedColumnFormula>
    </tableColumn>
    <tableColumn id="29" xr3:uid="{00000000-0010-0000-0400-00001D000000}" name="Generalization 5" dataDxfId="351">
      <calculatedColumnFormula>INDEX(meta_Classifiers[Class - Generalization:src], MATCH(meta_Columns[[#This Row],[Generalization 4]],meta_Classifiers[ID],0))</calculatedColumnFormula>
    </tableColumn>
    <tableColumn id="28" xr3:uid="{00000000-0010-0000-0400-00001C000000}" name="Generalization 4" dataDxfId="350">
      <calculatedColumnFormula>INDEX(meta_Classifiers[Class - Generalization:src], MATCH(meta_Columns[[#This Row],[Generalization 3]],meta_Classifiers[ID],0))</calculatedColumnFormula>
    </tableColumn>
    <tableColumn id="21" xr3:uid="{00000000-0010-0000-0400-000015000000}" name="Generalization 3" dataDxfId="349">
      <calculatedColumnFormula>INDEX(meta_Classifiers[Class - Generalization:src], MATCH(meta_Columns[[#This Row],[Generalization 2]],meta_Classifiers[ID],0))</calculatedColumnFormula>
    </tableColumn>
    <tableColumn id="20" xr3:uid="{00000000-0010-0000-0400-000014000000}" name="Generalization 2" dataDxfId="348">
      <calculatedColumnFormula>INDEX(meta_Classifiers[Class - Generalization:src], MATCH(meta_Columns[[#This Row],[Generalization 1]],meta_Classifiers[ID],0))</calculatedColumnFormula>
    </tableColumn>
    <tableColumn id="16" xr3:uid="{00000000-0010-0000-0400-000010000000}" name="Generalization 1" dataDxfId="347">
      <calculatedColumnFormula>INDEX(meta_Classifiers[Class - Generalization:src], MATCH(meta_Columns[[#This Row],[Owning Table Instances Class]],meta_Classifiers[ID],0))</calculatedColumnFormula>
    </tableColumn>
    <tableColumn id="25" xr3:uid="{00000000-0010-0000-0400-000019000000}" name="Property Owning Class is Instance Class or Generalization" dataDxfId="346">
      <calculatedColumnFormula>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calculatedColumnFormula>
    </tableColumn>
    <tableColumn id="35" xr3:uid="{00000000-0010-0000-0400-000023000000}" name="Is From Specialization 6" dataDxfId="345">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calculatedColumnFormula>
    </tableColumn>
    <tableColumn id="34" xr3:uid="{00000000-0010-0000-0400-000022000000}" name="Is From Specialization 5" dataDxfId="344">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calculatedColumnFormula>
    </tableColumn>
    <tableColumn id="33" xr3:uid="{00000000-0010-0000-0400-000021000000}" name="Is From Specialization 4" dataDxfId="343">
      <calculatedColumnFormula>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calculatedColumnFormula>
    </tableColumn>
    <tableColumn id="32" xr3:uid="{00000000-0010-0000-0400-000020000000}" name="Is From Specialization 3" dataDxfId="342">
      <calculatedColumnFormula>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calculatedColumnFormula>
    </tableColumn>
    <tableColumn id="31" xr3:uid="{00000000-0010-0000-0400-00001F000000}" name="Is From Specialization 2" dataDxfId="341">
      <calculatedColumnFormula>_xlfn.IFNA(
INDEX(meta_Classifiers[Class - Generalization:src],MATCH(
INDEX(meta_Classifiers[Class - Generalization:src],MATCH(meta_Columns[[#This Row],[Property Owning Class]],meta_Classifiers[ID],0)),meta_Classifiers[ID],0))
=meta_Columns[[#This Row],[Owning Table Instances Class]],FALSE)</calculatedColumnFormula>
    </tableColumn>
    <tableColumn id="30" xr3:uid="{00000000-0010-0000-0400-00001E000000}" name="Is From Specialization 1" dataDxfId="340">
      <calculatedColumnFormula>_xlfn.IFNA(INDEX(meta_Classifiers[Class - Generalization:src],MATCH(meta_Columns[[#This Row],[Property Owning Class]],meta_Classifiers[ID],0))=meta_Columns[[#This Row],[Owning Table Instances Class]],FALSE)</calculatedColumnFormula>
    </tableColumn>
    <tableColumn id="24" xr3:uid="{00000000-0010-0000-0400-000018000000}" name="Property Owning Class is Specialization of Instance Class" dataDxfId="339">
      <calculatedColumnFormula>OR(meta_Columns[[#This Row],[Is From Specialization 1]],meta_Columns[[#This Row],[Is From Specialization 2]],meta_Columns[[#This Row],[Is From Specialization 3]],meta_Columns[[#This Row],[Is From Specialization 4]],meta_Columns[[#This Row],[Is From Specialization 5]],meta_Columns[[#This Row],[Is From Specialization 6]])</calculatedColumnFormula>
    </tableColumn>
    <tableColumn id="36" xr3:uid="{00000000-0010-0000-0400-000024000000}" name="Property Owning Class Name" dataDxfId="338">
      <calculatedColumnFormula>INDEX(meta_Classifiers[Name],MATCH(INDEX(meta_TypedModelElements[Property - Owning Class:src],MATCH(meta_Columns[[#This Row],[Property]],meta_TypedModelElements[ID],0)),meta_Classifiers[ID],0))</calculatedColumnFormula>
    </tableColumn>
    <tableColumn id="23" xr3:uid="{00000000-0010-0000-0400-000017000000}" name="Property Owning Class" dataDxfId="337">
      <calculatedColumnFormula>INDEX(meta_TypedModelElements[Property - Owning Class:src],MATCH(meta_Columns[[#This Row],[Property]],meta_TypedModelElements[ID],0))</calculatedColumnFormula>
    </tableColumn>
    <tableColumn id="12" xr3:uid="{00000000-0010-0000-0400-00000C000000}" name="Property Kind" dataDxfId="336">
      <calculatedColumnFormula>INDEX(meta_TypedModelElements[Kind:src],MATCH(meta_Columns[[#This Row],[Property]],meta_TypedModelElements[ID],0))</calculatedColumnFormula>
    </tableColumn>
    <tableColumn id="19" xr3:uid="{00000000-0010-0000-0400-000013000000}" name="Property Name" dataDxfId="335">
      <calculatedColumnFormula>INDEX(meta_TypedModelElements[Name or Type],MATCH(meta_Columns[[#This Row],[Property]],meta_TypedModelElements[ID],0))</calculatedColumnFormula>
    </tableColumn>
    <tableColumn id="27" xr3:uid="{00000000-0010-0000-0400-00001B000000}" name="Property Changeable" dataDxfId="334">
      <calculatedColumnFormula>INDEX(meta_TypedModelElements[Property - Changeable],MATCH(meta_Columns[[#This Row],[Property]],meta_TypedModelElements[ID],0))</calculatedColumnFormula>
    </tableColumn>
    <tableColumn id="7" xr3:uid="{00000000-0010-0000-0400-000007000000}" name="Position" dataDxfId="333"/>
    <tableColumn id="37" xr3:uid="{00000000-0010-0000-0400-000025000000}" name="Stored Column Position" dataDxfId="332"/>
    <tableColumn id="18" xr3:uid="{00000000-0010-0000-0400-000012000000}" name="Excel Column - Label from Property or Referenced Table" dataDxfId="331">
      <calculatedColumnFormula>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calculatedColumnFormula>
    </tableColumn>
    <tableColumn id="54" xr3:uid="{BEAE76B9-3FBA-194A-AEE7-293AB8666AE4}" name="Excel Column - Label Subtype Prefix" dataDxfId="330">
      <calculatedColumnFormula xml:space="preserve"> IF(meta_Columns[[#This Row],[Property Owning Class is Specialization of Instance Class]],meta_Columns[[#This Row],[Property Owning Class Name]]&amp;" - ","")</calculatedColumnFormula>
    </tableColumn>
    <tableColumn id="53" xr3:uid="{5F392C7A-6704-204E-878F-DECAEFC93B72}" name="Excel Column - Label from Property OLD Formula" dataDxfId="329">
      <calculatedColumnFormula>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calculatedColumnFormula>
    </tableColumn>
    <tableColumn id="47" xr3:uid="{F09CD71B-D776-49DF-9801-D7E8E7B50956}" name="Excel Column - Label Actual Property Name" dataDxfId="328">
      <calculatedColumnFormula>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calculatedColumnFormula>
    </tableColumn>
    <tableColumn id="44" xr3:uid="{D7A0038E-47AF-42B7-BA9E-078DB4BC6DA2}" name="Excel Column - Label Actual Subtype" dataDxfId="327">
      <calculatedColumnFormula>IFERROR(LEFT(meta_Columns[[#This Row],[Excel Column - Label Actual without Semantic Case]],FIND("-",
meta_Columns[[#This Row],[Excel Column - Label Actual without Semantic Case]])-2),"")</calculatedColumnFormula>
    </tableColumn>
    <tableColumn id="43" xr3:uid="{5BC61B25-8F0A-4B96-8B32-00EBCB1C4C0B}" name="Excel Column - Label Actual without Semantic Case" dataDxfId="326">
      <calculatedColumnFormula>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calculatedColumnFormula>
    </tableColumn>
    <tableColumn id="6" xr3:uid="{3057A0C6-62FA-445B-B0A0-6B042E6FF7A9}" name="Excel Column - Label Actual Semantic Case" dataDxfId="325">
      <calculatedColumnFormula>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calculatedColumnFormula>
    </tableColumn>
    <tableColumn id="15" xr3:uid="{00000000-0010-0000-0400-00000F000000}" name="Excel Column - Label Actual_x000a_(formula calculated in meta_Tables &quot;Excel Formula for Column Label Actual Calculation&quot; column)" dataDxfId="324">
      <calculatedColumnFormula>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calculatedColumnFormula>
    </tableColumn>
    <tableColumn id="11" xr3:uid="{00000000-0010-0000-0400-00000B000000}" name="Label:backup:previous" dataDxfId="323"/>
    <tableColumn id="46" xr3:uid="{72F9B8E6-EC9A-4F83-89CF-8F88F28F6218}" name="Display Qualified" dataDxfId="322">
      <calculatedColumnFormula>meta_Columns[[#This Row],[Owning Table]]&amp;"."&amp;meta_Columns[[#This Row],[Excel Column - Label]]</calculatedColumnFormula>
    </tableColumn>
    <tableColumn id="8" xr3:uid="{00000000-0010-0000-0400-000008000000}" name="Excel Column - Label Overwrite" dataDxfId="321"/>
    <tableColumn id="17" xr3:uid="{00000000-0010-0000-0400-000011000000}" name="Excel Column - Label" dataDxfId="320">
      <calculatedColumnFormula>IF(TRIM(meta_Columns[[#This Row],[Excel Column - Label Overwrite]])&lt;&gt;"",meta_Columns[[#This Row],[Excel Column - Label Overwrite]],meta_Columns[[#This Row],[Excel Column - Label from Property or Referenced Table]])</calculatedColumnFormula>
    </tableColumn>
    <tableColumn id="38" xr3:uid="{00000000-0010-0000-0400-000026000000}" name="Excel Column - Explicit Excel Formula" dataDxfId="319"/>
    <tableColumn id="39" xr3:uid="{00000000-0010-0000-0400-000027000000}" name="Excel Column - Excel Formula" dataDxfId="318">
      <calculatedColumnFormula>IF(meta_Columns[[#This Row],[Excel Column - Explicit Excel Formula]]="","",meta_Columns[[#This Row],[Excel Column - Explicit Excel Formula]])</calculatedColumnFormula>
    </tableColumn>
    <tableColumn id="57" xr3:uid="{C2776EE3-610F-C044-84D9-D4ECD4E36C59}" name="Excel Column - Validation Formula" dataDxfId="317"/>
    <tableColumn id="2" xr3:uid="{C6EC425D-35C3-094D-B676-8DF67F65D351}" name="Excel Column - String Type" dataDxfId="31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D077CE-2522-E54B-8795-DD96B8910310}" name="meta_Names" displayName="meta_Names" ref="A1:J157" totalsRowShown="0" headerRowDxfId="315" dataDxfId="314">
  <autoFilter ref="A1:J157" xr:uid="{7CD077CE-2522-E54B-8795-DD96B8910310}"/>
  <sortState xmlns:xlrd2="http://schemas.microsoft.com/office/spreadsheetml/2017/richdata2" ref="A2:J2">
    <sortCondition ref="B1:B2"/>
  </sortState>
  <tableColumns count="10">
    <tableColumn id="1" xr3:uid="{039C78D3-8B0F-A241-97FA-094A8046FF0F}" name="ID" dataDxfId="313"/>
    <tableColumn id="2" xr3:uid="{0AD79BEA-8662-8647-AAEF-78F179AB323F}" name="String" dataDxfId="312"/>
    <tableColumn id="3" xr3:uid="{CAA01845-91A3-F149-8742-D365F2921AC7}" name="Business" dataDxfId="311"/>
    <tableColumn id="4" xr3:uid="{C501D843-BE84-B84F-835C-B89F00987244}" name="Camel Upper" dataDxfId="310"/>
    <tableColumn id="5" xr3:uid="{EA94684F-8CB1-4D46-9F91-EEEEB67CE87D}" name="Camel Lower" dataDxfId="309"/>
    <tableColumn id="6" xr3:uid="{349D27A8-7D60-234A-854F-27A2BE2BA59E}" name="Business from Camel" dataDxfId="308"/>
    <tableColumn id="7" xr3:uid="{A3A5C058-B556-A842-AA1C-9CAEFA6CD30B}" name="Camel Upper from Business" dataDxfId="307"/>
    <tableColumn id="8" xr3:uid="{B32416A6-067A-0848-AE3B-CFE4CFA6A267}" name="Camel Lower from Business" dataDxfId="306"/>
    <tableColumn id="9" xr3:uid="{E6DD6C77-BEDD-7845-AE35-F805A41CAFF4}" name="Business =_x000a_Business from Camel" dataDxfId="305">
      <calculatedColumnFormula>meta_Names[[#This Row],[Business]]=meta_Names[[#This Row],[Business from Camel]]</calculatedColumnFormula>
    </tableColumn>
    <tableColumn id="10" xr3:uid="{48C49937-9D72-4E0D-BFD6-B4417D2170FD}" name="Business =_x000a_String" dataDxfId="304">
      <calculatedColumnFormula>meta_Names[[#This Row],[Business]]=meta_Names[[#This Row],[String]]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_Classifiers" displayName="meta_Classifiers" ref="A2:S65" totalsRowShown="0" headerRowDxfId="303" dataDxfId="301" headerRowBorderDxfId="302">
  <autoFilter ref="A2:S65" xr:uid="{00000000-0009-0000-0100-000002000000}">
    <filterColumn colId="10">
      <filters>
        <filter val="Package"/>
        <filter val="Package Documentation"/>
      </filters>
    </filterColumn>
  </autoFilter>
  <tableColumns count="19">
    <tableColumn id="1" xr3:uid="{00000000-0010-0000-0100-000001000000}" name="ID" dataDxfId="300"/>
    <tableColumn id="18" xr3:uid="{2BE72F52-E16A-4A6E-B454-1FDF1FC0AC76}" name="Kind:src" dataDxfId="299"/>
    <tableColumn id="3" xr3:uid="{00000000-0010-0000-0100-000003000000}" name="Kind" dataDxfId="298">
      <calculatedColumnFormula xml:space="preserve"> IF( TRIM( meta_Classifiers[[#This Row],[Kind:src]] ) = "", "",
        INDEX( meta_Classifiers[Display Qualified], MATCH( meta_Classifiers[[#This Row],[Kind:src]], meta_Classifiers[ID], 0 ) ) )</calculatedColumnFormula>
    </tableColumn>
    <tableColumn id="17" xr3:uid="{C15F333B-6398-4ED0-8E83-CB851911C29C}" name="Order" dataDxfId="297"/>
    <tableColumn id="6" xr3:uid="{00000000-0010-0000-0100-000006000000}" name="Package" dataDxfId="296"/>
    <tableColumn id="11" xr3:uid="{00000000-0010-0000-0100-00000B000000}" name="Sub Package" dataDxfId="295"/>
    <tableColumn id="8" xr3:uid="{00000000-0010-0000-0100-000008000000}" name="Display Qualified" dataDxfId="294">
      <calculatedColumnFormula>IF(LEFT(meta_Classifiers[[#This Row],[ID]],1)="_",RIGHT(meta_Classifiers[[#This Row],[ID]],LEN(meta_Classifiers[[#This Row],[ID]])-1),IF(TRIM(meta_Classifiers[[#This Row],[Package]])="","",TRIM(LOWER(meta_Classifiers[[#This Row],[Package]]))&amp;"::")&amp;meta_Classifiers[[#This Row],[Display]])</calculatedColumnFormula>
    </tableColumn>
    <tableColumn id="12" xr3:uid="{C4932769-4A2F-4CCD-846B-6F83E29A3C65}" name="Display Allways Qualified" dataDxfId="293">
      <calculatedColumnFormula>IF(TRIM(meta_Classifiers[[#This Row],[Package]])="","",TRIM(LOWER(meta_Classifiers[[#This Row],[Package]]))&amp;"::")&amp;meta_Classifiers[[#This Row],[Display]]</calculatedColumnFormula>
    </tableColumn>
    <tableColumn id="4" xr3:uid="{1F96AF77-F561-498C-83C6-97508193393F}" name="Class Display Qualified" dataDxfId="292">
      <calculatedColumnFormula>IF(meta_Classifiers[[#This Row],[Kind:src]]="_Class",meta_Classifiers[[#This Row],[Display Qualified]],"")</calculatedColumnFormula>
    </tableColumn>
    <tableColumn id="7" xr3:uid="{00000000-0010-0000-0100-000007000000}" name="Display" dataDxfId="291">
      <calculatedColumnFormula array="1">_xlfn.IFNA(INDEX(meta_Names[Camel Upper], MATCH(meta_Classifiers[[#This Row],[Name]],meta_Names[String],0)),camelCaseUpper(meta_Classifiers[[#This Row],[Name]]))</calculatedColumnFormula>
    </tableColumn>
    <tableColumn id="2" xr3:uid="{00000000-0010-0000-0100-000002000000}" name="Name" dataDxfId="290"/>
    <tableColumn id="10" xr3:uid="{00000000-0010-0000-0100-00000A000000}" name="Class - Abstract" dataDxfId="289"/>
    <tableColumn id="19" xr3:uid="{ED60A2E8-F17C-4073-BE76-82B6FA2B86D4}" name="Class - Generalization:src" dataDxfId="288"/>
    <tableColumn id="9" xr3:uid="{00000000-0010-0000-0100-000009000000}" name="Class - Generalization" dataDxfId="287">
      <calculatedColumnFormula xml:space="preserve"> IF( TRIM( meta_Classifiers[[#This Row],[Class - Generalization:src]] ) = "", "",
        INDEX( meta_Classifiers[Display Qualified], MATCH( meta_Classifiers[[#This Row],[Class - Generalization:src]], meta_Classifiers[ID], 0 ) ) )</calculatedColumnFormula>
    </tableColumn>
    <tableColumn id="5" xr3:uid="{00000000-0010-0000-0100-000005000000}" name="Definition" dataDxfId="286"/>
    <tableColumn id="15" xr3:uid="{67827286-A0CE-49AE-BFD2-FA4C08880A6B}" name="Class - Display Property:src" dataDxfId="285"/>
    <tableColumn id="13" xr3:uid="{FBD4F397-3D8C-4243-AF74-B11E28814CC7}" name="Class - Display Property" dataDxfId="284">
      <calculatedColumnFormula xml:space="preserve"> IF( TRIM( meta_Classifiers[[#This Row],[Class - Display Property:src]] ) = "", "",
        INDEX( meta_TypedModelElements[Display Qualified], MATCH( meta_Classifiers[[#This Row],[Class - Display Property:src]], meta_TypedModelElements[ID], 0 ) ) )</calculatedColumnFormula>
    </tableColumn>
    <tableColumn id="16" xr3:uid="{6EB0D161-6AFB-4810-AC28-A47D7D3FC7C6}" name="Class - Business ID Property:src"/>
    <tableColumn id="14" xr3:uid="{5DEE7546-0461-4D10-BEC9-28B98283AB48}" name="Class - Business ID Property" dataDxfId="283">
      <calculatedColumnFormula xml:space="preserve"> IF( TRIM( meta_Classifiers[[#This Row],[Class - Business ID Property:src]] ) = "", "",
        INDEX( meta_TypedModelElements[Display Qualified], MATCH( meta_Classifiers[[#This Row],[Class - Business ID Property:src]], meta_TypedModelElements[ID], 0 ) ) )</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_TypedModelElements" displayName="meta_TypedModelElements" ref="A1:BK100" totalsRowShown="0" headerRowDxfId="282" dataDxfId="280" headerRowBorderDxfId="281">
  <autoFilter ref="A1:BK100" xr:uid="{00000000-0009-0000-0100-000003000000}"/>
  <tableColumns count="63">
    <tableColumn id="1" xr3:uid="{00000000-0010-0000-0200-000001000000}" name="ID" dataDxfId="279"/>
    <tableColumn id="60" xr3:uid="{22C14872-E9C6-4C69-AABF-C7FE84BF94C5}" name="Kind:src" dataDxfId="278"/>
    <tableColumn id="3" xr3:uid="{00000000-0010-0000-0200-000003000000}" name="Kind" dataDxfId="277">
      <calculatedColumnFormula xml:space="preserve"> IF( TRIM( meta_TypedModelElements[[#This Row],[Kind:src]] ) = "", "",
        INDEX( meta_Classifiers[Display Qualified], MATCH( meta_TypedModelElements[[#This Row],[Kind:src]], meta_Classifiers[ID], 0 ) ) )</calculatedColumnFormula>
    </tableColumn>
    <tableColumn id="59" xr3:uid="{AB3D0A1F-2AD4-49E6-A921-EEFCB6AB0BF5}" name="Order" dataDxfId="276"/>
    <tableColumn id="9" xr3:uid="{00000000-0010-0000-0200-000009000000}" name="Package" dataDxfId="275"/>
    <tableColumn id="49" xr3:uid="{00000000-0010-0000-0200-000031000000}" name="Sub Package" dataDxfId="274"/>
    <tableColumn id="20" xr3:uid="{00000000-0010-0000-0200-000014000000}" name="Containing Class" dataDxfId="0">
      <calculatedColumnFormula>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calculatedColumnFormula>
    </tableColumn>
    <tableColumn id="25" xr3:uid="{00000000-0010-0000-0200-000019000000}" name="Containing Class:display" dataDxfId="273">
      <calculatedColumnFormula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calculatedColumnFormula>
    </tableColumn>
    <tableColumn id="55" xr3:uid="{35300FB6-B5C2-4276-9BF1-0A165A71FCD4}" name="Property - Owning Class:src" dataDxfId="272"/>
    <tableColumn id="4" xr3:uid="{00000000-0010-0000-0200-000004000000}" name="Property - Owning Class" dataDxfId="271">
      <calculatedColumnFormula xml:space="preserve"> IF( TRIM( meta_TypedModelElements[[#This Row],[Property - Owning Class:src]] ) = "", "",
        INDEX( meta_Classifiers[Display Qualified], MATCH( meta_TypedModelElements[[#This Row],[Property - Owning Class:src]], meta_Classifiers[ID], 0 ) ) )</calculatedColumnFormula>
    </tableColumn>
    <tableColumn id="15" xr3:uid="{00000000-0010-0000-0200-00000F000000}" name="Display Qualified" dataDxfId="270">
      <calculatedColumnFormula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calculatedColumnFormula>
    </tableColumn>
    <tableColumn id="61" xr3:uid="{4A6FCA08-96F4-4D00-8533-79D4A5CE90B4}" name="Function Display Qualified" dataDxfId="269">
      <calculatedColumnFormula>IF(meta_TypedModelElements[[#This Row],[Kind:src]]="_Function",meta_TypedModelElements[[#This Row],[Display Qualified]],"")</calculatedColumnFormula>
    </tableColumn>
    <tableColumn id="14" xr3:uid="{A39D399D-CE9B-4CED-B0F2-EA4D1F04D511}" name="Attribute Display Qualified" dataDxfId="268">
      <calculatedColumnFormula>IF(meta_TypedModelElements[[#This Row],[Kind:src]]="_Attribute",meta_TypedModelElements[[#This Row],[Display Qualified]],"")</calculatedColumnFormula>
    </tableColumn>
    <tableColumn id="10" xr3:uid="{23E6FB92-8780-4BD5-95CD-5EB986F257A6}" name="Reference Display Qualified" dataDxfId="267">
      <calculatedColumnFormula>IF(meta_TypedModelElements[[#This Row],[Kind:src]]="_Reference",meta_TypedModelElements[[#This Row],[Display Qualified]],"")</calculatedColumnFormula>
    </tableColumn>
    <tableColumn id="67" xr3:uid="{592AD66C-C5D3-4B92-8A96-534BF43FB8E8}" name="Property Display Qualified" dataDxfId="266">
      <calculatedColumnFormula>IF(OR(meta_TypedModelElements[[#This Row],[Kind:src]]="_Attribute",meta_TypedModelElements[[#This Row],[Kind:src]]="_Reference"),meta_TypedModelElements[[#This Row],[Display Qualified]],"")</calculatedColumnFormula>
    </tableColumn>
    <tableColumn id="19" xr3:uid="{00000000-0010-0000-0200-000013000000}" name="Function - Parameters Display" dataDxfId="265"/>
    <tableColumn id="46" xr3:uid="{00000000-0010-0000-0200-00002E000000}" name="Function - Parameters in VBA Header" dataDxfId="264"/>
    <tableColumn id="13" xr3:uid="{00000000-0010-0000-0200-00000D000000}" name="Display" dataDxfId="263">
      <calculatedColumnFormula>IF(meta_TypedModelElements[[#This Row],[Containing Class:display]]="","",meta_TypedModelElements[[#This Row],[Containing Class:display]]&amp;".")&amp;meta_TypedModelElements[[#This Row],[Display without Class]]</calculatedColumnFormula>
    </tableColumn>
    <tableColumn id="45" xr3:uid="{00000000-0010-0000-0200-00002D000000}" name="Name or Type Camel Case Lower" dataDxfId="262">
      <calculatedColumnFormula array="1">_xlfn.IFNA(INDEX(meta_Names[Camel Lower], MATCH(meta_TypedModelElements[[#This Row],[Name or Type]],meta_Names[String],0)),camelCaseLower(meta_TypedModelElements[[#This Row],[Name or Type]]))</calculatedColumnFormula>
    </tableColumn>
    <tableColumn id="16" xr3:uid="{00000000-0010-0000-0200-000010000000}" name="Display without Class" dataDxfId="261">
      <calculatedColumnFormula>IF(meta_TypedModelElements[[#This Row],[Name or Type]]="","",meta_TypedModelElements[[#This Row],[Name or Type Camel Case Lower]])&amp;IF(meta_TypedModelElements[[#This Row],[Kind:src]]="_Function","("&amp;meta_TypedModelElements[[#This Row],[Function - Parameters Display]]&amp;")","")</calculatedColumnFormula>
    </tableColumn>
    <tableColumn id="17" xr3:uid="{00000000-0010-0000-0200-000011000000}" name="Name or Type" dataDxfId="260">
      <calculatedColumnFormula>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calculatedColumnFormula>
    </tableColumn>
    <tableColumn id="2" xr3:uid="{00000000-0010-0000-0200-000002000000}" name="Name" dataDxfId="259"/>
    <tableColumn id="35" xr3:uid="{00000000-0010-0000-0200-000023000000}" name="Type Super Type 7" dataDxfId="258">
      <calculatedColumnFormula>INDEX(meta_Classifiers[Class - Generalization:src],MATCH(meta_TypedModelElements[[#This Row],[Type Super Type 6]],meta_Classifiers[ID],0))</calculatedColumnFormula>
    </tableColumn>
    <tableColumn id="34" xr3:uid="{00000000-0010-0000-0200-000022000000}" name="Type Super Type 6" dataDxfId="257">
      <calculatedColumnFormula>INDEX(meta_Classifiers[Class - Generalization:src],MATCH(meta_TypedModelElements[[#This Row],[Type Super Type 5]],meta_Classifiers[ID],0))</calculatedColumnFormula>
    </tableColumn>
    <tableColumn id="33" xr3:uid="{00000000-0010-0000-0200-000021000000}" name="Type Super Type 5" dataDxfId="256">
      <calculatedColumnFormula>INDEX(meta_Classifiers[Class - Generalization:src],MATCH(meta_TypedModelElements[[#This Row],[Type Super Type 4]],meta_Classifiers[ID],0))</calculatedColumnFormula>
    </tableColumn>
    <tableColumn id="32" xr3:uid="{00000000-0010-0000-0200-000020000000}" name="Type Super Type 4" dataDxfId="255">
      <calculatedColumnFormula>INDEX(meta_Classifiers[Class - Generalization:src],MATCH(meta_TypedModelElements[[#This Row],[Type Super Type 3]],meta_Classifiers[ID],0))</calculatedColumnFormula>
    </tableColumn>
    <tableColumn id="31" xr3:uid="{00000000-0010-0000-0200-00001F000000}" name="Type Super Type 3" dataDxfId="254">
      <calculatedColumnFormula>INDEX(meta_Classifiers[Class - Generalization:src],MATCH(meta_TypedModelElements[[#This Row],[Type Super Type 2]],meta_Classifiers[ID],0))</calculatedColumnFormula>
    </tableColumn>
    <tableColumn id="30" xr3:uid="{00000000-0010-0000-0200-00001E000000}" name="Type Super Type 2" dataDxfId="253">
      <calculatedColumnFormula>INDEX(meta_Classifiers[Class - Generalization:src],MATCH(meta_TypedModelElements[[#This Row],[Type Super Type 1]],meta_Classifiers[ID],0))</calculatedColumnFormula>
    </tableColumn>
    <tableColumn id="29" xr3:uid="{00000000-0010-0000-0200-00001D000000}" name="Type Super Type 1" dataDxfId="252">
      <calculatedColumnFormula>INDEX(meta_Classifiers[Class - Generalization:src],MATCH(meta_TypedModelElements[[#This Row],[Type:src]],meta_Classifiers[ID],0))</calculatedColumnFormula>
    </tableColumn>
    <tableColumn id="47" xr3:uid="{00000000-0010-0000-0200-00002F000000}" name="Type Derived:display" dataDxfId="251">
      <calculatedColumnFormula>IF(meta_TypedModelElements[[#This Row],[Kind:src]]&lt;&gt;"_Function",meta_TypedModelElements[[#This Row],[Type]],INDEX(meta_TypedModelElements[Type],MATCH(meta_TypedModelElements[[#This Row],[Function - Owning Property:src]],meta_TypedModelElements[ID],0)))</calculatedColumnFormula>
    </tableColumn>
    <tableColumn id="38" xr3:uid="{00000000-0010-0000-0200-000026000000}" name="Type Derived" dataDxfId="250">
      <calculatedColumnFormula>IF(meta_TypedModelElements[[#This Row],[Kind:src]]&lt;&gt;"_Function",meta_TypedModelElements[[#This Row],[Type:src]],INDEX(meta_TypedModelElements[Type:src],MATCH(meta_TypedModelElements[[#This Row],[Function - Owning Property:src]],meta_TypedModelElements[ID],0)))</calculatedColumnFormula>
    </tableColumn>
    <tableColumn id="66" xr3:uid="{D1DF4876-424E-48C9-9EF6-410FB83ADF71}" name="Type Name" dataDxfId="249">
      <calculatedColumnFormula>IF(meta_TypedModelElements[[#This Row],[Type:src]]="","",INDEX(meta_Classifiers[Name],MATCH(meta_TypedModelElements[[#This Row],[Type:src]],meta_Classifiers[ID],0)))</calculatedColumnFormula>
    </tableColumn>
    <tableColumn id="11" xr3:uid="{00000000-0010-0000-0200-00000B000000}" name="Type:src" dataDxfId="248"/>
    <tableColumn id="5" xr3:uid="{00000000-0010-0000-0200-000005000000}" name="Type" dataDxfId="247">
      <calculatedColumnFormula xml:space="preserve"> IF( TRIM( meta_TypedModelElements[[#This Row],[Type:src]] ) = "", "",
        INDEX( meta_Classifiers[Display Qualified], MATCH( meta_TypedModelElements[[#This Row],[Type:src]], meta_Classifiers[ID], 0 ) ) )</calculatedColumnFormula>
    </tableColumn>
    <tableColumn id="6" xr3:uid="{00000000-0010-0000-0200-000006000000}" name="Feature - Arity" dataDxfId="246"/>
    <tableColumn id="50" xr3:uid="{00000000-0010-0000-0200-000032000000}" name="Property - Changeable" dataDxfId="245"/>
    <tableColumn id="58" xr3:uid="{9E7F4ABC-E0DA-4357-9BB2-46A1146750FF}" name="Reference - Opposite:src" dataDxfId="244"/>
    <tableColumn id="57" xr3:uid="{96F48300-C9E1-40B3-805C-02D5E99508F5}" name="Reference - Opposite" dataDxfId="243">
      <calculatedColumnFormula xml:space="preserve"> IF( TRIM( meta_TypedModelElements[[#This Row],[Reference - Opposite:src]] ) = "", "",
        INDEX( meta_TypedModelElements[Display Qualified], MATCH( meta_TypedModelElements[[#This Row],[Reference - Opposite:src]], meta_TypedModelElements[ID], 0 ) ) )</calculatedColumnFormula>
    </tableColumn>
    <tableColumn id="54" xr3:uid="{5655D1FE-727C-4B9D-B4CA-29B9873B1345}" name="Reference - Display and Select Property:src" dataDxfId="242"/>
    <tableColumn id="43" xr3:uid="{44952ACE-694A-4E95-9E6E-306F3B9D6EA8}" name="Reference - Display and Select Property" dataDxfId="241">
      <calculatedColumnFormula xml:space="preserve"> IF( TRIM( meta_TypedModelElements[[#This Row],[Reference - Display and Select Property:src]] ) = "", "",
        INDEX( meta_TypedModelElements[Display Qualified], MATCH( meta_TypedModelElements[[#This Row],[Reference - Display and Select Property:src]], meta_TypedModelElements[ID], 0 ) ) )</calculatedColumnFormula>
    </tableColumn>
    <tableColumn id="48" xr3:uid="{00000000-0010-0000-0200-000030000000}" name="Parameter - Position" dataDxfId="240"/>
    <tableColumn id="26" xr3:uid="{00000000-0010-0000-0200-00001A000000}" name="Function - Owning Property:src"/>
    <tableColumn id="7" xr3:uid="{00000000-0010-0000-0200-000007000000}" name="Function - Owning Property" dataDxfId="239">
      <calculatedColumnFormula xml:space="preserve"> IF( TRIM( meta_TypedModelElements[[#This Row],[Function - Owning Property:src]] ) = "", "",
        INDEX( meta_TypedModelElements[Display Qualified], MATCH( meta_TypedModelElements[[#This Row],[Function - Owning Property:src]], meta_TypedModelElements[ID], 0 ) ) )</calculatedColumnFormula>
    </tableColumn>
    <tableColumn id="21" xr3:uid="{00000000-0010-0000-0200-000015000000}" name="Parameter - Business Key" dataDxfId="238"/>
    <tableColumn id="65" xr3:uid="{B27CF9EB-6CA4-46B8-B3EE-B959D8F16FA4}" name="Parameter - Owning Function:src" dataDxfId="237"/>
    <tableColumn id="8" xr3:uid="{00000000-0010-0000-0200-000008000000}" name="Parameter - Owning Function" dataDxfId="236">
      <calculatedColumnFormula>IF(meta_TypedModelElements[[#This Row],[Parameter - Owning Function:src]]="","",INDEX(meta_TypedModelElements[Display Qualified],MATCH(meta_TypedModelElements[[#This Row],[Parameter - Owning Function:src]],meta_TypedModelElements[ID],0)))</calculatedColumnFormula>
    </tableColumn>
    <tableColumn id="24" xr3:uid="{00000000-0010-0000-0200-000018000000}" name="Property - Using Property:srcLastSaved" dataDxfId="235"/>
    <tableColumn id="23" xr3:uid="{00000000-0010-0000-0200-000017000000}" name="Property - Using Property" dataDxfId="234"/>
    <tableColumn id="28" xr3:uid="{00000000-0010-0000-0200-00001C000000}" name="Reference - Referenced Excel Table" dataDxfId="233">
      <calculatedColumnFormula>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calculatedColumnFormula>
    </tableColumn>
    <tableColumn id="36" xr3:uid="{00000000-0010-0000-0200-000024000000}" name="Reference - Refering Column in Excel" dataDxfId="232">
      <calculatedColumnFormula>"[@["&amp;meta_TypedModelElements[[#This Row],[Name or Type]]&amp;":src]]"</calculatedColumnFormula>
    </tableColumn>
    <tableColumn id="27" xr3:uid="{00000000-0010-0000-0200-00001B000000}" name="Reference - Excel Formula for Display" dataDxfId="231">
      <calculatedColumnFormula>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calculatedColumnFormula>
    </tableColumn>
    <tableColumn id="37" xr3:uid="{00000000-0010-0000-0200-000025000000}" name="Reference - VBA for Id Change in Supertype" dataDxfId="230">
      <calculatedColumnFormula>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39" xr3:uid="{00000000-0010-0000-0200-000027000000}" name="Referencce - VBA for Id Change in Subtype" dataDxfId="229">
      <calculatedColumnFormula>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40" xr3:uid="{00000000-0010-0000-0200-000028000000}" name="Reference - Code" dataDxfId="228"/>
    <tableColumn id="44" xr3:uid="{00000000-0010-0000-0200-00002C000000}" name="Feature - VBA Type" dataDxfId="227">
      <calculatedColumnFormula>IF(meta_TypedModelElements[[#This Row],[Kind:src]]="_Parameter","",IF(AND(meta_TypedModelElements[[#This Row],[Package]]="util",meta_TypedModelElements[[#This Row],[Containing Class]]=0), "public", "method"))</calculatedColumnFormula>
    </tableColumn>
    <tableColumn id="52" xr3:uid="{00000000-0010-0000-0200-000034000000}" name="Feature - Manual VBA Header" dataDxfId="226"/>
    <tableColumn id="42" xr3:uid="{00000000-0010-0000-0200-00002A000000}" name="Feature - VBA Header" dataDxfId="225">
      <calculatedColumnFormula>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calculatedColumnFormula>
    </tableColumn>
    <tableColumn id="41" xr3:uid="{00000000-0010-0000-0200-000029000000}" name="Feature - VBA" dataDxfId="224"/>
    <tableColumn id="18" xr3:uid="{00000000-0010-0000-0200-000012000000}" name="Feature - Manual VBA Body" dataDxfId="223"/>
    <tableColumn id="53" xr3:uid="{00000000-0010-0000-0200-000035000000}" name="Feature - VBA Body" dataDxfId="222"/>
    <tableColumn id="51" xr3:uid="{00000000-0010-0000-0200-000033000000}" name="Feature - VBA Code" dataDxfId="221"/>
    <tableColumn id="56" xr3:uid="{308D7EAC-363C-424D-90DD-C718CDAD73DE}" name="Code" dataDxfId="220"/>
    <tableColumn id="12" xr3:uid="{00000000-0010-0000-0200-00000C000000}" name="Description" dataDxfId="219"/>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meta_Literals" displayName="meta_Literals" ref="A1:J31" totalsRowShown="0" headerRowDxfId="218" dataDxfId="216" headerRowBorderDxfId="217" tableBorderDxfId="215">
  <autoFilter ref="A1:J31" xr:uid="{00000000-0009-0000-0100-000005000000}"/>
  <tableColumns count="10">
    <tableColumn id="8" xr3:uid="{00000000-0010-0000-0800-000008000000}" name="ID" dataDxfId="214"/>
    <tableColumn id="5" xr3:uid="{00000000-0010-0000-0800-000005000000}" name="Kind:src" dataDxfId="213"/>
    <tableColumn id="2" xr3:uid="{00000000-0010-0000-0800-000002000000}" name="Kind" dataDxfId="212">
      <calculatedColumnFormula>IF(meta_Literals[[#This Row],[Kind:src]]="","",INDEX(meta_Classifiers[Display Qualified],MATCH(meta_Literals[[#This Row],[Kind:src]],meta_Classifiers[ID],0)))</calculatedColumnFormula>
    </tableColumn>
    <tableColumn id="6" xr3:uid="{00000000-0010-0000-0800-000006000000}" name="Package"/>
    <tableColumn id="1" xr3:uid="{00000000-0010-0000-0800-000001000000}" name="Sub Package" dataDxfId="211"/>
    <tableColumn id="10" xr3:uid="{00000000-0010-0000-0800-00000A000000}" name="Display:q" dataDxfId="210">
      <calculatedColumnFormula>IF(TRIM(meta_Literals[[#This Row],[Package]])="","",TRIM(LOWER(meta_Literals[[#This Row],[Package]]))&amp;"::")&amp;meta_Literals[[#This Row],[Display]]</calculatedColumnFormula>
    </tableColumn>
    <tableColumn id="9" xr3:uid="{00000000-0010-0000-0800-000009000000}" name="Display" dataDxfId="209">
      <calculatedColumnFormula>TRIM(SUBSTITUTE(meta_Literals[[#This Row],[Name]]," ",""))</calculatedColumnFormula>
    </tableColumn>
    <tableColumn id="3" xr3:uid="{00000000-0010-0000-0800-000003000000}" name="Name" dataDxfId="208"/>
    <tableColumn id="7" xr3:uid="{00000000-0010-0000-0800-000007000000}" name="Parent:src"/>
    <tableColumn id="4" xr3:uid="{00000000-0010-0000-0800-000004000000}" name="Parent" dataDxfId="207">
      <calculatedColumnFormula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meta_Rules" displayName="meta_Rules" ref="A1:DD5" totalsRowShown="0" headerRowDxfId="206" dataDxfId="204" headerRowBorderDxfId="205">
  <autoFilter ref="A1:DD5" xr:uid="{00000000-0009-0000-0100-000001000000}"/>
  <tableColumns count="108">
    <tableColumn id="1" xr3:uid="{00000000-0010-0000-0500-000001000000}" name="ID" dataDxfId="203"/>
    <tableColumn id="32" xr3:uid="{00000000-0010-0000-0500-000020000000}" name="Kind:src" dataDxfId="202"/>
    <tableColumn id="3" xr3:uid="{00000000-0010-0000-0500-000003000000}" name="Kind" dataDxfId="201">
      <calculatedColumnFormula>IF(meta_Rules[[#This Row],[Kind:src]]="","",INDEX(meta_Classifiers[Display Qualified],MATCH(meta_Rules[[#This Row],[Kind:src]],meta_Classifiers[ID],0)))</calculatedColumnFormula>
    </tableColumn>
    <tableColumn id="23" xr3:uid="{00000000-0010-0000-0500-000017000000}" name="Package" dataDxfId="200">
      <calculatedColumnFormula>_xlfn.IFNA(IF(meta_Rules[[#This Row],[Class:src]]="","util",INDEX(meta_Classifiers[Package],MATCH(meta_Rules[[#This Row],[Class:src]],meta_Classifiers[ID],0))),"")</calculatedColumnFormula>
    </tableColumn>
    <tableColumn id="104" xr3:uid="{00000000-0010-0000-0500-000068000000}" name="Sub Package" dataDxfId="199"/>
    <tableColumn id="46" xr3:uid="{00000000-0010-0000-0500-00002E000000}" name="Super Class 6:display:q." dataDxfId="198">
      <calculatedColumnFormula>_xlfn.IFNA(INDEX(meta_Classifiers[Display Qualified],MATCH(meta_Rules[[#This Row],[Super Class 6]],meta_Classifiers[ID],0))&amp;".","")</calculatedColumnFormula>
    </tableColumn>
    <tableColumn id="38" xr3:uid="{00000000-0010-0000-0500-000026000000}" name="Super Class 6" dataDxfId="197">
      <calculatedColumnFormula>_xlfn.IFNA(INDEX(meta_Classifiers[Class - Generalization:src],MATCH(meta_Rules[[#This Row],[Super Class 5]],meta_Classifiers[ID],0)),0)</calculatedColumnFormula>
    </tableColumn>
    <tableColumn id="45" xr3:uid="{00000000-0010-0000-0500-00002D000000}" name="Super Class 5:display:q." dataDxfId="196">
      <calculatedColumnFormula>_xlfn.IFNA(INDEX(meta_Classifiers[Display Qualified],MATCH(meta_Rules[[#This Row],[Super Class 5]],meta_Classifiers[ID],0))&amp;".","")</calculatedColumnFormula>
    </tableColumn>
    <tableColumn id="37" xr3:uid="{00000000-0010-0000-0500-000025000000}" name="Super Class 5" dataDxfId="195">
      <calculatedColumnFormula>_xlfn.IFNA(INDEX(meta_Classifiers[Class - Generalization:src],MATCH(meta_Rules[[#This Row],[Super Class 4]],meta_Classifiers[ID],0)),0)</calculatedColumnFormula>
    </tableColumn>
    <tableColumn id="44" xr3:uid="{00000000-0010-0000-0500-00002C000000}" name="Super Class 4:display:q." dataDxfId="194">
      <calculatedColumnFormula>_xlfn.IFNA(INDEX(meta_Classifiers[Display Qualified],MATCH(meta_Rules[[#This Row],[Super Class 4]],meta_Classifiers[ID],0))&amp;".","")</calculatedColumnFormula>
    </tableColumn>
    <tableColumn id="36" xr3:uid="{00000000-0010-0000-0500-000024000000}" name="Super Class 4" dataDxfId="193">
      <calculatedColumnFormula>_xlfn.IFNA(INDEX(meta_Classifiers[Class - Generalization:src],MATCH(meta_Rules[[#This Row],[Super Class 3]],meta_Classifiers[ID],0)),0)</calculatedColumnFormula>
    </tableColumn>
    <tableColumn id="43" xr3:uid="{00000000-0010-0000-0500-00002B000000}" name="Super Class 3:display:q." dataDxfId="192">
      <calculatedColumnFormula>_xlfn.IFNA(INDEX(meta_Classifiers[Display Qualified],MATCH(meta_Rules[[#This Row],[Super Class 3]],meta_Classifiers[ID],0))&amp;".","")</calculatedColumnFormula>
    </tableColumn>
    <tableColumn id="35" xr3:uid="{00000000-0010-0000-0500-000023000000}" name="Super Class 3" dataDxfId="191">
      <calculatedColumnFormula>_xlfn.IFNA(INDEX(meta_Classifiers[Class - Generalization:src],MATCH(meta_Rules[[#This Row],[Super Class 2]],meta_Classifiers[ID],0)),0)</calculatedColumnFormula>
    </tableColumn>
    <tableColumn id="42" xr3:uid="{00000000-0010-0000-0500-00002A000000}" name="Super Class 2:display:q." dataDxfId="190">
      <calculatedColumnFormula>_xlfn.IFNA(INDEX(meta_Classifiers[Display Qualified],MATCH(meta_Rules[[#This Row],[Super Class 2]],meta_Classifiers[ID],0))&amp;".","")</calculatedColumnFormula>
    </tableColumn>
    <tableColumn id="34" xr3:uid="{00000000-0010-0000-0500-000022000000}" name="Super Class 2" dataDxfId="189">
      <calculatedColumnFormula>_xlfn.IFNA(INDEX(meta_Classifiers[Class - Generalization:src],MATCH(meta_Rules[[#This Row],[Super Class 1]],meta_Classifiers[ID],0)),0)</calculatedColumnFormula>
    </tableColumn>
    <tableColumn id="40" xr3:uid="{00000000-0010-0000-0500-000028000000}" name="Super Class 1:display:q." dataDxfId="188">
      <calculatedColumnFormula>_xlfn.IFNA(INDEX(meta_Classifiers[Display Qualified],MATCH(meta_Rules[[#This Row],[Super Class 1]],meta_Classifiers[ID],0))&amp;".","")</calculatedColumnFormula>
    </tableColumn>
    <tableColumn id="33" xr3:uid="{00000000-0010-0000-0500-000021000000}" name="Super Class 1" dataDxfId="187">
      <calculatedColumnFormula>_xlfn.IFNA(INDEX(meta_Classifiers[Class - Generalization:src],MATCH(meta_Rules[[#This Row],[Class:src]],meta_Classifiers[ID],0)),0)</calculatedColumnFormula>
    </tableColumn>
    <tableColumn id="41" xr3:uid="{00000000-0010-0000-0500-000029000000}" name="Class:display:q." dataDxfId="186">
      <calculatedColumnFormula>INDEX(meta_Classifiers[Display Qualified],MATCH(meta_Rules[[#This Row],[Class:src]],meta_Classifiers[ID],0))&amp;"."</calculatedColumnFormula>
    </tableColumn>
    <tableColumn id="4" xr3:uid="{00000000-0010-0000-0500-000004000000}" name="Class:src" dataDxfId="185"/>
    <tableColumn id="30" xr3:uid="{00000000-0010-0000-0500-00001E000000}" name="Class" dataDxfId="184">
      <calculatedColumnFormula xml:space="preserve"> IF( TRIM( meta_Rules[[#This Row],[Class:src]] ) = "", "",
        INDEX( meta_Classifiers[Display Qualified], MATCH( meta_Rules[[#This Row],[Class:src]], meta_Classifiers[ID], 0 ) ) )</calculatedColumnFormula>
    </tableColumn>
    <tableColumn id="48" xr3:uid="{00000000-0010-0000-0500-000030000000}" name="Feature Type" dataDxfId="183">
      <calculatedColumnFormula>IF(TRIM(meta_Rules[[#This Row],[Feature]])="","",INDEX(meta_TypedModelElements[Type Derived],MATCH(meta_Rules[[#This Row],[Feature:src]],meta_TypedModelElements[ID],0)))</calculatedColumnFormula>
    </tableColumn>
    <tableColumn id="99" xr3:uid="{00000000-0010-0000-0500-000063000000}" name="Feature Base Type Kind" dataDxfId="182">
      <calculatedColumnFormula>IF(meta_Rules[[#This Row],[Class:src]]="","_Datatype","_Class")</calculatedColumnFormula>
    </tableColumn>
    <tableColumn id="39" xr3:uid="{00000000-0010-0000-0500-000027000000}" name="Feature:src" dataDxfId="181"/>
    <tableColumn id="5" xr3:uid="{00000000-0010-0000-0500-000005000000}" name="Feature" dataDxfId="180">
      <calculatedColumnFormula xml:space="preserve"> _xlfn.IFNA( IF( TRIM( meta_Rules[[#This Row],[Feature:src]] ) = "",
        "",
        INDEX( meta_TypedModelElements[Display without Class], MATCH( meta_Rules[[#This Row],[Feature:src]], meta_TypedModelElements[ID], 0 ) )
 ), "")</calculatedColumnFormula>
    </tableColumn>
    <tableColumn id="114" xr3:uid="{6FFBDF1C-B3B4-1243-9B10-6C1BCF68BF28}" name="VBA Function Step 1" dataDxfId="179"/>
    <tableColumn id="113" xr3:uid="{48E2B363-37B5-F842-903F-FA77081BCE10}" name="VBA Function Step 2" dataDxfId="178"/>
    <tableColumn id="112" xr3:uid="{28CD41D5-218C-4942-89C9-F94630A9FC92}" name="VBA Function Step 3" dataDxfId="177"/>
    <tableColumn id="111" xr3:uid="{D81BFF57-55DF-E948-A4C2-C4202E263512}" name="Do Action Rule Details" dataDxfId="176"/>
    <tableColumn id="19" xr3:uid="{00000000-0010-0000-0500-000013000000}" name="Line" dataDxfId="175"/>
    <tableColumn id="21" xr3:uid="{00000000-0010-0000-0500-000015000000}" name="Part:src" dataDxfId="174"/>
    <tableColumn id="22" xr3:uid="{00000000-0010-0000-0500-000016000000}" name="Part:displayedChoice" dataDxfId="173"/>
    <tableColumn id="24" xr3:uid="{00000000-0010-0000-0500-000018000000}" name="Part:q" dataDxfId="172">
      <calculatedColumnFormula>IF(TRIM(meta_Rules[[#This Row],[Part]])="","",IF(
  TRIM(meta_Rules[[#This Row],[Package]])="",
          "",
          meta_Rules[[#This Row],[Package]]&amp;"::")
&amp;meta_Rules[[#This Row],[Part]])</calculatedColumnFormula>
    </tableColumn>
    <tableColumn id="97" xr3:uid="{00000000-0010-0000-0500-000061000000}" name="Line As Text" dataDxfId="171">
      <calculatedColumnFormula>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calculatedColumnFormula>
    </tableColumn>
    <tableColumn id="16" xr3:uid="{00000000-0010-0000-0500-000010000000}" name="Part" dataDxfId="170"/>
    <tableColumn id="9" xr3:uid="{00000000-0010-0000-0500-000009000000}" name="Rule Code" dataDxfId="169"/>
    <tableColumn id="29" xr3:uid="{00000000-0010-0000-0500-00001D000000}" name="Rule Biz ID Without Line" dataDxfId="168">
      <calculatedColumnFormula>meta_Rules[[#This Row],[Class:src]]&amp;"_"&amp;meta_Rules[[#This Row],[Feature]]&amp;"_"&amp;meta_Rules[[#This Row],[Kind]]</calculatedColumnFormula>
    </tableColumn>
    <tableColumn id="27" xr3:uid="{00000000-0010-0000-0500-00001B000000}" name="Rule Biz ID" dataDxfId="167">
      <calculatedColumnFormula>meta_Rules[[#This Row],[Rule Biz ID Without Line]]&amp;"_"&amp;meta_Rules[[#This Row],[Line]]</calculatedColumnFormula>
    </tableColumn>
    <tableColumn id="31" xr3:uid="{00000000-0010-0000-0500-00001F000000}" name="Part:src At Line - 1" dataDxfId="166">
      <calculatedColumnFormula>IF(meta_Rules[[#This Row],[Line-1]]="","",INDEX(meta_Rules[Part:src],MATCH(meta_Rules[[#This Row],[Rule Biz ID Without Line]]&amp;"_"&amp;meta_Rules[[#This Row],[Line-1]],meta_Rules[Rule Biz ID],0)))</calculatedColumnFormula>
    </tableColumn>
    <tableColumn id="28" xr3:uid="{00000000-0010-0000-0500-00001C000000}" name="Line-1" dataDxfId="165">
      <calculatedColumnFormula>IF(TRIM(meta_Rules[[#This Row],[Line]])="","",IF(meta_Rules[[#This Row],[Line]]=1,"",meta_Rules[[#This Row],[Line]]-1))</calculatedColumnFormula>
    </tableColumn>
    <tableColumn id="26" xr3:uid="{00000000-0010-0000-0500-00001A000000}" name="Indent" dataDxfId="164">
      <calculatedColumnFormula>IF(TRIM(meta_Rules[[#This Row],[Line]])="",0,IF(meta_Rules[[#This Row],[Line]]=1,0,
999))</calculatedColumnFormula>
    </tableColumn>
    <tableColumn id="25" xr3:uid="{00000000-0010-0000-0500-000019000000}" name="Generation" dataDxfId="163"/>
    <tableColumn id="17" xr3:uid="{00000000-0010-0000-0500-000011000000}" name="Operator" dataDxfId="162"/>
    <tableColumn id="62" xr3:uid="{00000000-0010-0000-0500-00003E000000}" name="Base Super Class 6:display:q." dataDxfId="161">
      <calculatedColumnFormula>_xlfn.IFNA(INDEX(meta_Classifiers[Display Qualified],MATCH(meta_Rules[[#This Row],[Base Super Class 6]],meta_Classifiers[ID],0))&amp;".","")</calculatedColumnFormula>
    </tableColumn>
    <tableColumn id="61" xr3:uid="{00000000-0010-0000-0500-00003D000000}" name="Base Super Class 6" dataDxfId="160">
      <calculatedColumnFormula>_xlfn.IFNA(INDEX(#REF!,MATCH(meta_Rules[[#This Row],[Base Super Class 5]],meta_Classifiers[ID],0)),0)</calculatedColumnFormula>
    </tableColumn>
    <tableColumn id="60" xr3:uid="{00000000-0010-0000-0500-00003C000000}" name="Base Super Class 5:display:q." dataDxfId="159">
      <calculatedColumnFormula>_xlfn.IFNA(INDEX(meta_Classifiers[Display Qualified],MATCH(meta_Rules[[#This Row],[Base Super Class 5]],meta_Classifiers[ID],0))&amp;".","")</calculatedColumnFormula>
    </tableColumn>
    <tableColumn id="59" xr3:uid="{00000000-0010-0000-0500-00003B000000}" name="Base Super Class 5" dataDxfId="158">
      <calculatedColumnFormula>_xlfn.IFNA(INDEX(#REF!,MATCH(meta_Rules[[#This Row],[Base Super Class 4]],meta_Classifiers[ID],0)),0)</calculatedColumnFormula>
    </tableColumn>
    <tableColumn id="58" xr3:uid="{00000000-0010-0000-0500-00003A000000}" name="Base Super Class 4:display:q." dataDxfId="157">
      <calculatedColumnFormula>_xlfn.IFNA(INDEX(meta_Classifiers[Display Qualified],MATCH(meta_Rules[[#This Row],[Base Super Class 4]],meta_Classifiers[ID],0))&amp;".","")</calculatedColumnFormula>
    </tableColumn>
    <tableColumn id="57" xr3:uid="{00000000-0010-0000-0500-000039000000}" name="Base Super Class 4" dataDxfId="156">
      <calculatedColumnFormula>_xlfn.IFNA(INDEX(#REF!,MATCH(meta_Rules[[#This Row],[Base Super Class 3]],meta_Classifiers[ID],0)),0)</calculatedColumnFormula>
    </tableColumn>
    <tableColumn id="56" xr3:uid="{00000000-0010-0000-0500-000038000000}" name="Base Super Class 3:display:q." dataDxfId="155">
      <calculatedColumnFormula>_xlfn.IFNA(INDEX(meta_Classifiers[Display Qualified],MATCH(meta_Rules[[#This Row],[Base Super Class 3]],meta_Classifiers[ID],0))&amp;".","")</calculatedColumnFormula>
    </tableColumn>
    <tableColumn id="55" xr3:uid="{00000000-0010-0000-0500-000037000000}" name="Base Super Class 3" dataDxfId="154">
      <calculatedColumnFormula>_xlfn.IFNA(INDEX(#REF!,MATCH(meta_Rules[[#This Row],[Base Super Class 2]],meta_Classifiers[ID],0)),0)</calculatedColumnFormula>
    </tableColumn>
    <tableColumn id="54" xr3:uid="{00000000-0010-0000-0500-000036000000}" name="Base Super Class 2:display:q." dataDxfId="153">
      <calculatedColumnFormula>_xlfn.IFNA(INDEX(meta_Classifiers[Display Qualified],MATCH(meta_Rules[[#This Row],[Base Super Class 2]],meta_Classifiers[ID],0))&amp;".","")</calculatedColumnFormula>
    </tableColumn>
    <tableColumn id="53" xr3:uid="{00000000-0010-0000-0500-000035000000}" name="Base Super Class 2" dataDxfId="152">
      <calculatedColumnFormula>_xlfn.IFNA(INDEX(#REF!,MATCH(meta_Rules[[#This Row],[Base Super Class 1]],meta_Classifiers[ID],0)),0)</calculatedColumnFormula>
    </tableColumn>
    <tableColumn id="52" xr3:uid="{00000000-0010-0000-0500-000034000000}" name="Base Super Class 1:display:q." dataDxfId="151">
      <calculatedColumnFormula>_xlfn.IFNA(INDEX(meta_Classifiers[Display Qualified],MATCH(meta_Rules[[#This Row],[Base Super Class 1]],meta_Classifiers[ID],0))&amp;".","")</calculatedColumnFormula>
    </tableColumn>
    <tableColumn id="51" xr3:uid="{00000000-0010-0000-0500-000033000000}" name="Base Super Class 1" dataDxfId="150">
      <calculatedColumnFormula>_xlfn.IFNA(INDEX(#REF!,MATCH(meta_Rules[[#This Row],[Base Type]],meta_Classifiers[ID],0)),0)</calculatedColumnFormula>
    </tableColumn>
    <tableColumn id="50" xr3:uid="{00000000-0010-0000-0500-000032000000}" name="Base Class:display:q." dataDxfId="149">
      <calculatedColumnFormula>INDEX(meta_Classifiers[Display Qualified],MATCH(meta_Rules[[#This Row],[Base Type]],meta_Classifiers[ID],0))&amp;"."</calculatedColumnFormula>
    </tableColumn>
    <tableColumn id="98" xr3:uid="{00000000-0010-0000-0500-000062000000}" name="Base Type Kind" dataDxfId="148">
      <calculatedColumnFormula>INDEX(#REF!,MATCH(meta_Rules[[#This Row],[Base Type]],meta_Classifiers[ID],0))</calculatedColumnFormula>
    </tableColumn>
    <tableColumn id="49" xr3:uid="{00000000-0010-0000-0500-000031000000}" name="Base Type" dataDxfId="147">
      <calculatedColumnFormula>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calculatedColumnFormula>
    </tableColumn>
    <tableColumn id="81" xr3:uid="{00000000-0010-0000-0500-000051000000}" name="Base as Parameter" dataDxfId="146">
      <calculatedColumnFormula>_xlfn.IFNA(INDEX(meta_TypedModelElements[ID],MATCH(meta_Rules[[#This Row],[Feature:src]]&amp;"."&amp;meta_Rules[[#This Row],[Base]],meta_TypedModelElements[ID],0)),"")</calculatedColumnFormula>
    </tableColumn>
    <tableColumn id="15" xr3:uid="{00000000-0010-0000-0500-00000F000000}" name="Base" dataDxfId="145"/>
    <tableColumn id="63" xr3:uid="{00000000-0010-0000-0500-00003F000000}" name="Property 1:src" dataDxfId="144"/>
    <tableColumn id="14" xr3:uid="{00000000-0010-0000-0500-00000E000000}" name="Property 1" dataDxfId="143">
      <calculatedColumnFormula xml:space="preserve"> _xlfn.IFNA( IF( TRIM( meta_Rules[[#This Row],[Property 1:src]] ) = "",
        "",
        INDEX( meta_TypedModelElements[Display without Class], MATCH( meta_Rules[[#This Row],[Property 1:src]], meta_TypedModelElements[ID], 0 ) )
 ), "")</calculatedColumnFormula>
    </tableColumn>
    <tableColumn id="80" xr3:uid="{00000000-0010-0000-0500-000050000000}" name="Property 1 Super Class 6:display:q." dataDxfId="142">
      <calculatedColumnFormula>_xlfn.IFNA(INDEX(meta_Classifiers[Display Qualified],MATCH(meta_Rules[[#This Row],[Property 1 Super Class 6]],meta_Classifiers[ID],0))&amp;".","")</calculatedColumnFormula>
    </tableColumn>
    <tableColumn id="79" xr3:uid="{00000000-0010-0000-0500-00004F000000}" name="Property 1 Super Class 6" dataDxfId="141">
      <calculatedColumnFormula>_xlfn.IFNA(INDEX(#REF!,MATCH(meta_Rules[[#This Row],[Property 1 Super Class 5]],meta_Classifiers[ID],0)),0)</calculatedColumnFormula>
    </tableColumn>
    <tableColumn id="78" xr3:uid="{00000000-0010-0000-0500-00004E000000}" name="Property 1 Super Class 5:display:q." dataDxfId="140">
      <calculatedColumnFormula>_xlfn.IFNA(INDEX(meta_Classifiers[Display Qualified],MATCH(meta_Rules[[#This Row],[Property 1 Super Class 5]],meta_Classifiers[ID],0))&amp;".","")</calculatedColumnFormula>
    </tableColumn>
    <tableColumn id="77" xr3:uid="{00000000-0010-0000-0500-00004D000000}" name="Property 1 Super Class 5" dataDxfId="139">
      <calculatedColumnFormula>_xlfn.IFNA(INDEX(#REF!,MATCH(meta_Rules[[#This Row],[Property 1 Super Class 4]],meta_Classifiers[ID],0)),0)</calculatedColumnFormula>
    </tableColumn>
    <tableColumn id="76" xr3:uid="{00000000-0010-0000-0500-00004C000000}" name="Property 1 Super Class 4:display:q." dataDxfId="138">
      <calculatedColumnFormula>_xlfn.IFNA(INDEX(meta_Classifiers[Display Qualified],MATCH(meta_Rules[[#This Row],[Property 1 Super Class 4]],meta_Classifiers[ID],0))&amp;".","")</calculatedColumnFormula>
    </tableColumn>
    <tableColumn id="75" xr3:uid="{00000000-0010-0000-0500-00004B000000}" name="Property 1 Super Class 4" dataDxfId="137">
      <calculatedColumnFormula>_xlfn.IFNA(INDEX(#REF!,MATCH(meta_Rules[[#This Row],[Property 1 Super Class 3]],meta_Classifiers[ID],0)),0)</calculatedColumnFormula>
    </tableColumn>
    <tableColumn id="74" xr3:uid="{00000000-0010-0000-0500-00004A000000}" name="Property 1 Super Class 3:display:q." dataDxfId="136">
      <calculatedColumnFormula>_xlfn.IFNA(INDEX(meta_Classifiers[Display Qualified],MATCH(meta_Rules[[#This Row],[Property 1 Super Class 3]],meta_Classifiers[ID],0))&amp;".","")</calculatedColumnFormula>
    </tableColumn>
    <tableColumn id="73" xr3:uid="{00000000-0010-0000-0500-000049000000}" name="Property 1 Super Class 3" dataDxfId="135">
      <calculatedColumnFormula>_xlfn.IFNA(INDEX(#REF!,MATCH(meta_Rules[[#This Row],[Property 1 Super Class 2]],meta_Classifiers[ID],0)),0)</calculatedColumnFormula>
    </tableColumn>
    <tableColumn id="72" xr3:uid="{00000000-0010-0000-0500-000048000000}" name="Property 1 Super Class 2:display:q." dataDxfId="134">
      <calculatedColumnFormula>_xlfn.IFNA(INDEX(meta_Classifiers[Display Qualified],MATCH(meta_Rules[[#This Row],[Property 1 Super Class 2]],meta_Classifiers[ID],0))&amp;".","")</calculatedColumnFormula>
    </tableColumn>
    <tableColumn id="71" xr3:uid="{00000000-0010-0000-0500-000047000000}" name="Property 1 Super Class 2" dataDxfId="133">
      <calculatedColumnFormula>_xlfn.IFNA(INDEX(#REF!,MATCH(meta_Rules[[#This Row],[Property 1 Super Class 1]],meta_Classifiers[ID],0)),0)</calculatedColumnFormula>
    </tableColumn>
    <tableColumn id="70" xr3:uid="{00000000-0010-0000-0500-000046000000}" name="Property 1 Super Class 1:display:q." dataDxfId="132">
      <calculatedColumnFormula>_xlfn.IFNA(INDEX(meta_Classifiers[Display Qualified],MATCH(meta_Rules[[#This Row],[Property 1 Super Class 1]],meta_Classifiers[ID],0))&amp;".","")</calculatedColumnFormula>
    </tableColumn>
    <tableColumn id="69" xr3:uid="{00000000-0010-0000-0500-000045000000}" name="Property 1 Super Class 1" dataDxfId="131">
      <calculatedColumnFormula>_xlfn.IFNA(INDEX(#REF!,MATCH(meta_Rules[[#This Row],[Property 1 Type]],meta_Classifiers[ID],0)),0)</calculatedColumnFormula>
    </tableColumn>
    <tableColumn id="68" xr3:uid="{00000000-0010-0000-0500-000044000000}" name="Property 1 Class:display:q." dataDxfId="130">
      <calculatedColumnFormula>_xlfn.IFNA(INDEX(meta_Classifiers[Display Qualified],MATCH(meta_Rules[[#This Row],[Property 1 Type]],meta_Classifiers[ID],0))&amp;".",0)</calculatedColumnFormula>
    </tableColumn>
    <tableColumn id="100" xr3:uid="{00000000-0010-0000-0500-000064000000}" name="Property 1 Type Kind" dataDxfId="129">
      <calculatedColumnFormula>IF(meta_Rules[[#This Row],[Property 1 Type]]="","",INDEX(#REF!,MATCH(meta_Rules[[#This Row],[Property 1 Type]],meta_Classifiers[ID],0)))</calculatedColumnFormula>
    </tableColumn>
    <tableColumn id="67" xr3:uid="{00000000-0010-0000-0500-000043000000}" name="Property 1 Type" dataDxfId="128">
      <calculatedColumnFormula>IF(meta_Rules[[#This Row],[Property 1:src]]="","",INDEX(meta_TypedModelElements[Type:src],MATCH(meta_Rules[[#This Row],[Property 1:src]],meta_TypedModelElements[ID],0)))</calculatedColumnFormula>
    </tableColumn>
    <tableColumn id="66" xr3:uid="{00000000-0010-0000-0500-000042000000}" name="Property 2:src" dataDxfId="127"/>
    <tableColumn id="13" xr3:uid="{00000000-0010-0000-0500-00000D000000}" name="Property 2" dataDxfId="126">
      <calculatedColumnFormula xml:space="preserve"> _xlfn.IFNA( IF( TRIM( meta_Rules[[#This Row],[Property 2:src]] ) = "",
        "",
        INDEX( meta_TypedModelElements[Display without Class], MATCH( meta_Rules[[#This Row],[Property 2:src]], meta_TypedModelElements[ID], 0 ) )
 ), "")</calculatedColumnFormula>
    </tableColumn>
    <tableColumn id="65" xr3:uid="{00000000-0010-0000-0500-000041000000}" name="Cast:src" dataDxfId="125"/>
    <tableColumn id="12" xr3:uid="{00000000-0010-0000-0500-00000C000000}" name="Cast" dataDxfId="124">
      <calculatedColumnFormula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calculatedColumnFormula>
    </tableColumn>
    <tableColumn id="96" xr3:uid="{00000000-0010-0000-0500-000060000000}" name="Property 2 Super Class 6:display:q." dataDxfId="123">
      <calculatedColumnFormula>_xlfn.IFNA(INDEX(meta_Classifiers[Display Qualified],MATCH(meta_Rules[[#This Row],[Property 2 Super Class 6]],meta_Classifiers[ID],0))&amp;".","")</calculatedColumnFormula>
    </tableColumn>
    <tableColumn id="95" xr3:uid="{00000000-0010-0000-0500-00005F000000}" name="Property 2 Super Class 6" dataDxfId="122">
      <calculatedColumnFormula>_xlfn.IFNA(INDEX(#REF!,MATCH(meta_Rules[[#This Row],[Property 2 Super Class 5]],meta_Classifiers[ID],0)),0)</calculatedColumnFormula>
    </tableColumn>
    <tableColumn id="94" xr3:uid="{00000000-0010-0000-0500-00005E000000}" name="Property 2 Super Class 5:display:q." dataDxfId="121">
      <calculatedColumnFormula>_xlfn.IFNA(INDEX(meta_Classifiers[Display Qualified],MATCH(meta_Rules[[#This Row],[Property 2 Super Class 5]],meta_Classifiers[ID],0))&amp;".","")</calculatedColumnFormula>
    </tableColumn>
    <tableColumn id="93" xr3:uid="{00000000-0010-0000-0500-00005D000000}" name="Property 2 Super Class 5" dataDxfId="120">
      <calculatedColumnFormula>_xlfn.IFNA(INDEX(#REF!,MATCH(meta_Rules[[#This Row],[Property 2 Super Class 4]],meta_Classifiers[ID],0)),0)</calculatedColumnFormula>
    </tableColumn>
    <tableColumn id="92" xr3:uid="{00000000-0010-0000-0500-00005C000000}" name="Property 2 Super Class 4:display:q." dataDxfId="119">
      <calculatedColumnFormula>_xlfn.IFNA(INDEX(meta_Classifiers[Display Qualified],MATCH(meta_Rules[[#This Row],[Property 2 Super Class 4]],meta_Classifiers[ID],0))&amp;".","")</calculatedColumnFormula>
    </tableColumn>
    <tableColumn id="91" xr3:uid="{00000000-0010-0000-0500-00005B000000}" name="Property 2 Super Class 4" dataDxfId="118">
      <calculatedColumnFormula>_xlfn.IFNA(INDEX(#REF!,MATCH(meta_Rules[[#This Row],[Property 2 Super Class 3]],meta_Classifiers[ID],0)),0)</calculatedColumnFormula>
    </tableColumn>
    <tableColumn id="90" xr3:uid="{00000000-0010-0000-0500-00005A000000}" name="Property 2 Super Class 3:display:q." dataDxfId="117">
      <calculatedColumnFormula>_xlfn.IFNA(INDEX(meta_Classifiers[Display Qualified],MATCH(meta_Rules[[#This Row],[Property 2 Super Class 3]],meta_Classifiers[ID],0))&amp;".","")</calculatedColumnFormula>
    </tableColumn>
    <tableColumn id="89" xr3:uid="{00000000-0010-0000-0500-000059000000}" name="Property 2 Super Class 3" dataDxfId="116">
      <calculatedColumnFormula>_xlfn.IFNA(INDEX(#REF!,MATCH(meta_Rules[[#This Row],[Property 2 Super Class 2]],meta_Classifiers[ID],0)),0)</calculatedColumnFormula>
    </tableColumn>
    <tableColumn id="88" xr3:uid="{00000000-0010-0000-0500-000058000000}" name="Property 2 Super Class 2:display:q." dataDxfId="115">
      <calculatedColumnFormula>_xlfn.IFNA(INDEX(meta_Classifiers[Display Qualified],MATCH(meta_Rules[[#This Row],[Property 2 Super Class 2]],meta_Classifiers[ID],0))&amp;".","")</calculatedColumnFormula>
    </tableColumn>
    <tableColumn id="87" xr3:uid="{00000000-0010-0000-0500-000057000000}" name="Property 2 Super Class 2" dataDxfId="114">
      <calculatedColumnFormula>_xlfn.IFNA(INDEX(#REF!,MATCH(meta_Rules[[#This Row],[Property 2 Super Class 1]],meta_Classifiers[ID],0)),0)</calculatedColumnFormula>
    </tableColumn>
    <tableColumn id="86" xr3:uid="{00000000-0010-0000-0500-000056000000}" name="Property 2 Super Class 1:display:q." dataDxfId="113">
      <calculatedColumnFormula>_xlfn.IFNA(INDEX(meta_Classifiers[Display Qualified],MATCH(meta_Rules[[#This Row],[Property 2 Super Class 1]],meta_Classifiers[ID],0))&amp;".","")</calculatedColumnFormula>
    </tableColumn>
    <tableColumn id="85" xr3:uid="{00000000-0010-0000-0500-000055000000}" name="Property 2 Super Class 1" dataDxfId="112">
      <calculatedColumnFormula>_xlfn.IFNA(INDEX(#REF!,MATCH(meta_Rules[[#This Row],[Property 2 or Cast Type]],meta_Classifiers[ID],0)),0)</calculatedColumnFormula>
    </tableColumn>
    <tableColumn id="84" xr3:uid="{00000000-0010-0000-0500-000054000000}" name="Property 2 Class:display:q." dataDxfId="111">
      <calculatedColumnFormula>_xlfn.IFNA(INDEX(meta_Classifiers[Display Qualified],MATCH(meta_Rules[[#This Row],[Property 2 or Cast Type]],meta_Classifiers[ID],0))&amp;".",0)</calculatedColumnFormula>
    </tableColumn>
    <tableColumn id="101" xr3:uid="{00000000-0010-0000-0500-000065000000}" name="Property 2 or Cast Type Kind" dataDxfId="110">
      <calculatedColumnFormula>IF(meta_Rules[[#This Row],[Property 2 or Cast Type]]="","",INDEX(#REF!,MATCH(meta_Rules[[#This Row],[Property 2 or Cast Type]],meta_Classifiers[ID],0)))</calculatedColumnFormula>
    </tableColumn>
    <tableColumn id="83" xr3:uid="{00000000-0010-0000-0500-000053000000}" name="Property 2 or Cast Type" dataDxfId="109">
      <calculatedColumnFormula>IF(meta_Rules[[#This Row],[Cast:src]]&lt;&gt;"",meta_Rules[[#This Row],[Cast:src]],IF(meta_Rules[[#This Row],[Property 2:src]]="","",INDEX(meta_TypedModelElements[Type:src],MATCH(meta_Rules[[#This Row],[Property 2:src]],meta_TypedModelElements[ID],0))))</calculatedColumnFormula>
    </tableColumn>
    <tableColumn id="82" xr3:uid="{00000000-0010-0000-0500-000052000000}" name="Property 3:src" dataDxfId="108"/>
    <tableColumn id="11" xr3:uid="{00000000-0010-0000-0500-00000B000000}" name="Property 3" dataDxfId="107">
      <calculatedColumnFormula xml:space="preserve"> _xlfn.IFNA( IF( TRIM( meta_Rules[[#This Row],[Property 3:src]] ) = "",
        "",
        INDEX( meta_TypedModelElements[Display without Class], MATCH( meta_Rules[[#This Row],[Property 3:src]], meta_TypedModelElements[ID], 0 ) )
 ), "")</calculatedColumnFormula>
    </tableColumn>
    <tableColumn id="10" xr3:uid="{00000000-0010-0000-0500-00000A000000}" name="Processor" dataDxfId="106"/>
    <tableColumn id="47" xr3:uid="{00000000-0010-0000-0500-00002F000000}" name="Rule" dataDxfId="105">
      <calculatedColumnFormula>+"1"</calculatedColumnFormula>
    </tableColumn>
    <tableColumn id="6" xr3:uid="{00000000-0010-0000-0500-000006000000}" name="Manual VBA Code" dataDxfId="104"/>
    <tableColumn id="102" xr3:uid="{00000000-0010-0000-0500-000066000000}" name="VBA Code" dataDxfId="103">
      <calculatedColumnFormula>IF(meta_Rules[[#This Row],[Manual VBA Code]]&lt;&gt;"",meta_Rules[[#This Row],[Manual VBA Code]],"TODO")</calculatedColumnFormula>
    </tableColumn>
    <tableColumn id="7" xr3:uid="{00000000-0010-0000-0500-000007000000}" name="Manual Excel Formula" dataDxfId="102"/>
    <tableColumn id="103" xr3:uid="{00000000-0010-0000-0500-000067000000}" name="Excel Formula" dataDxfId="101"/>
    <tableColumn id="20" xr3:uid="{00000000-0010-0000-0500-000014000000}" name="Constraint Is Invariant" dataDxfId="100"/>
    <tableColumn id="18" xr3:uid="{00000000-0010-0000-0500-000012000000}" name="Update - Name" dataDxfId="99"/>
    <tableColumn id="64" xr3:uid="{00000000-0010-0000-0500-000040000000}" name="Update LHS - Feature:src" dataDxfId="98"/>
    <tableColumn id="2" xr3:uid="{00000000-0010-0000-0500-000002000000}" name="Update LHS - Feature" dataDxfId="97"/>
    <tableColumn id="8" xr3:uid="{00000000-0010-0000-0500-000008000000}" name="Update LHS - Mode" dataDxfId="96"/>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meta_TablePatterns" displayName="meta_TablePatterns" ref="A2:U4" totalsRowShown="0" headerRowDxfId="95" dataDxfId="93" headerRowBorderDxfId="94">
  <autoFilter ref="A2:U4" xr:uid="{00000000-0009-0000-0100-000011000000}"/>
  <tableColumns count="21">
    <tableColumn id="1" xr3:uid="{00000000-0010-0000-0600-000001000000}" name="ID" dataDxfId="92"/>
    <tableColumn id="12" xr3:uid="{00000000-0010-0000-0600-00000C000000}" name="Kind:src" dataDxfId="91"/>
    <tableColumn id="3" xr3:uid="{00000000-0010-0000-0600-000003000000}" name="Kind" dataDxfId="90">
      <calculatedColumnFormula>IF(meta_TablePatterns[[#This Row],[Kind:src]]="","",INDEX(meta_Classifiers[Display Qualified],MATCH(meta_TablePatterns[[#This Row],[Kind:src]],meta_Classifiers[ID],0)))</calculatedColumnFormula>
    </tableColumn>
    <tableColumn id="6" xr3:uid="{00000000-0010-0000-0600-000006000000}" name="Package" dataDxfId="89"/>
    <tableColumn id="11" xr3:uid="{00000000-0010-0000-0600-00000B000000}" name="Sub Package" dataDxfId="88"/>
    <tableColumn id="8" xr3:uid="{00000000-0010-0000-0600-000008000000}" name="Display:q" dataDxfId="87">
      <calculatedColumnFormula>IF(TRIM(meta_TablePatterns[[#This Row],[Package]])="","",TRIM(LOWER(meta_TablePatterns[[#This Row],[Package]]))&amp;"::")&amp;meta_TablePatterns[[#This Row],[Display]]</calculatedColumnFormula>
    </tableColumn>
    <tableColumn id="7" xr3:uid="{00000000-0010-0000-0600-000007000000}" name="Display" dataDxfId="86">
      <calculatedColumnFormula>TRIM(SUBSTITUTE(meta_TablePatterns[[#This Row],[Name]]," ",""))</calculatedColumnFormula>
    </tableColumn>
    <tableColumn id="2" xr3:uid="{00000000-0010-0000-0600-000002000000}" name="Name" dataDxfId="85"/>
    <tableColumn id="18" xr3:uid="{00000000-0010-0000-0600-000012000000}" name="Source Table" dataDxfId="84"/>
    <tableColumn id="4" xr3:uid="{00000000-0010-0000-0600-000004000000}" name="Match Filter Column 1" dataDxfId="83"/>
    <tableColumn id="9" xr3:uid="{00000000-0010-0000-0600-000009000000}" name="Match Filter Column 2" dataDxfId="82"/>
    <tableColumn id="17" xr3:uid="{00000000-0010-0000-0600-000011000000}" name="Match Key Column 1" dataDxfId="81"/>
    <tableColumn id="16" xr3:uid="{00000000-0010-0000-0600-000010000000}" name="Match Key Column 2" dataDxfId="80"/>
    <tableColumn id="15" xr3:uid="{00000000-0010-0000-0600-00000F000000}" name="Match Key Column 3" dataDxfId="79"/>
    <tableColumn id="14" xr3:uid="{00000000-0010-0000-0600-00000E000000}" name="Match Key Column 4" dataDxfId="78"/>
    <tableColumn id="13" xr3:uid="{00000000-0010-0000-0600-00000D000000}" name="Match Key Column 5" dataDxfId="77"/>
    <tableColumn id="19" xr3:uid="{00000000-0010-0000-0600-000013000000}" name="Order Column" dataDxfId="76"/>
    <tableColumn id="22" xr3:uid="{00000000-0010-0000-0600-000016000000}" name="Template Parameter Column 1" dataDxfId="75"/>
    <tableColumn id="21" xr3:uid="{00000000-0010-0000-0600-000015000000}" name="Template Parameter Column 2" dataDxfId="74"/>
    <tableColumn id="20" xr3:uid="{00000000-0010-0000-0600-000014000000}" name="Template Parameter Column 3" dataDxfId="73"/>
    <tableColumn id="5" xr3:uid="{00000000-0010-0000-0600-000005000000}" name="Definition" dataDxfId="72"/>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meta_CodeTemplates" displayName="meta_CodeTemplates" ref="A2:X5" totalsRowShown="0" headerRowDxfId="71" dataDxfId="69" headerRowBorderDxfId="70">
  <autoFilter ref="A2:X5" xr:uid="{00000000-0009-0000-0100-000012000000}"/>
  <tableColumns count="24">
    <tableColumn id="1" xr3:uid="{00000000-0010-0000-0700-000001000000}" name="ID" dataDxfId="68"/>
    <tableColumn id="12" xr3:uid="{00000000-0010-0000-0700-00000C000000}" name="Kind:src" dataDxfId="67"/>
    <tableColumn id="3" xr3:uid="{00000000-0010-0000-0700-000003000000}" name="Kind" dataDxfId="66"/>
    <tableColumn id="6" xr3:uid="{00000000-0010-0000-0700-000006000000}" name="Package" dataDxfId="65"/>
    <tableColumn id="11" xr3:uid="{00000000-0010-0000-0700-00000B000000}" name="Sub Package" dataDxfId="64"/>
    <tableColumn id="8" xr3:uid="{00000000-0010-0000-0700-000008000000}" name="Display:q" dataDxfId="63">
      <calculatedColumnFormula>IF(TRIM(meta_CodeTemplates[[#This Row],[Package]])="","",TRIM(LOWER(meta_CodeTemplates[[#This Row],[Package]]))&amp;"::")&amp;meta_CodeTemplates[[#This Row],[Display]]</calculatedColumnFormula>
    </tableColumn>
    <tableColumn id="7" xr3:uid="{00000000-0010-0000-0700-000007000000}" name="Display" dataDxfId="62">
      <calculatedColumnFormula>TRIM(SUBSTITUTE(meta_CodeTemplates[[#This Row],[Template Begin]]," ",""))</calculatedColumnFormula>
    </tableColumn>
    <tableColumn id="10" xr3:uid="{00000000-0010-0000-0700-00000A000000}" name="Where Clause" dataDxfId="61"/>
    <tableColumn id="2" xr3:uid="{00000000-0010-0000-0700-000002000000}" name="Template Begin" dataDxfId="60"/>
    <tableColumn id="4" xr3:uid="{00000000-0010-0000-0700-000004000000}" name="Matched Patern 1:src" dataDxfId="59"/>
    <tableColumn id="9" xr3:uid="{00000000-0010-0000-0700-000009000000}" name="Matched Pattern 1" dataDxfId="58">
      <calculatedColumnFormula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calculatedColumnFormula>
    </tableColumn>
    <tableColumn id="19" xr3:uid="{00000000-0010-0000-0700-000013000000}" name="Matched Pattern 1 Filter Value 1" dataDxfId="57"/>
    <tableColumn id="20" xr3:uid="{00000000-0010-0000-0700-000014000000}" name="Matched Pattern 1 Filter Value 2" dataDxfId="56"/>
    <tableColumn id="28" xr3:uid="{00000000-0010-0000-0700-00001C000000}" name="Matched Pattern 1 Template Column" dataDxfId="55"/>
    <tableColumn id="18" xr3:uid="{00000000-0010-0000-0700-000012000000}" name="Template Middle" dataDxfId="54"/>
    <tableColumn id="29" xr3:uid="{00000000-0010-0000-0700-00001D000000}" name="Matched Pattern 2:src" dataDxfId="53"/>
    <tableColumn id="27" xr3:uid="{00000000-0010-0000-0700-00001B000000}" name="Matched Pattern2" dataDxfId="52"/>
    <tableColumn id="21" xr3:uid="{00000000-0010-0000-0700-000015000000}" name="Matched Pattern 2 Filter Value 1" dataDxfId="51"/>
    <tableColumn id="22" xr3:uid="{00000000-0010-0000-0700-000016000000}" name="Matched Pattern 2 Filter Value 2" dataDxfId="50"/>
    <tableColumn id="17" xr3:uid="{00000000-0010-0000-0700-000011000000}" name="Matched Pattern 2 Template Column" dataDxfId="49"/>
    <tableColumn id="16" xr3:uid="{00000000-0010-0000-0700-000010000000}" name="Template End" dataDxfId="48"/>
    <tableColumn id="14" xr3:uid="{00000000-0010-0000-0700-00000E000000}" name="Excel Formula - Target Property" dataDxfId="47"/>
    <tableColumn id="13" xr3:uid="{00000000-0010-0000-0700-00000D000000}" name="VBA Code - Target Module" dataDxfId="46"/>
    <tableColumn id="5" xr3:uid="{00000000-0010-0000-0700-000005000000}" name="Definition" dataDxfId="45"/>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belowred_Table1Rows" displayName="belowred_Table1Rows" ref="B4:Z62" totalsRowShown="0" headerRowDxfId="44" dataDxfId="42" headerRowBorderDxfId="43">
  <autoFilter ref="B4:Z62" xr:uid="{00000000-0009-0000-0100-000006000000}"/>
  <tableColumns count="25">
    <tableColumn id="1" xr3:uid="{00000000-0010-0000-0900-000001000000}" name="ID" dataDxfId="41"/>
    <tableColumn id="11" xr3:uid="{83728BB8-FD3C-4294-9C12-F0266DF2CCAD}" name="Kind:src" dataDxfId="40"/>
    <tableColumn id="2" xr3:uid="{00000000-0010-0000-0900-000002000000}" name="Kind" dataDxfId="39"/>
    <tableColumn id="7" xr3:uid="{00000000-0010-0000-0900-000007000000}" name="Package" dataDxfId="38"/>
    <tableColumn id="12" xr3:uid="{8A817A20-4F8E-436B-AB4E-461EBA2A8598}" name="Sub Package" dataDxfId="37"/>
    <tableColumn id="6" xr3:uid="{00000000-0010-0000-0900-000006000000}" name="Table 2 Ref:src" dataDxfId="36"/>
    <tableColumn id="3" xr3:uid="{00000000-0010-0000-0900-000003000000}" name="Table 2 Ref" dataDxfId="35">
      <calculatedColumnFormula>IF(belowred_Table1Rows[[#This Row],[Table 2 Ref:src]]="","",INDEX(belowred_Table2Rows[T2 Name:q],MATCH(belowred_Table1Rows[[#This Row],[Table 2 Ref:src]],belowred_Table2Rows[ID],0)))</calculatedColumnFormula>
    </tableColumn>
    <tableColumn id="5" xr3:uid="{00000000-0010-0000-0900-000005000000}" name="String Value 1" dataDxfId="34"/>
    <tableColumn id="4" xr3:uid="{00000000-0010-0000-0900-000004000000}" name="Test stringToBusiness" dataDxfId="33">
      <calculatedColumnFormula>stringToBusiness(belowred_Table1Rows[[#This Row],[String Value 1]])</calculatedColumnFormula>
    </tableColumn>
    <tableColumn id="10" xr3:uid="{00000000-0010-0000-0900-00000A000000}" name="Test CamelCaseUpper" dataDxfId="32">
      <calculatedColumnFormula>camelCaseUpper(belowred_Table1Rows[[#This Row],[String Value 1]])</calculatedColumnFormula>
    </tableColumn>
    <tableColumn id="16" xr3:uid="{00000000-0010-0000-0900-000010000000}" name="CORRECTION camelCaseUpper" dataDxfId="31"/>
    <tableColumn id="9" xr3:uid="{00000000-0010-0000-0900-000009000000}" name="Test camelCaseToBusiness" dataDxfId="30">
      <calculatedColumnFormula>camelCaseToBusiness(belowred_Table1Rows[[#This Row],[Test CamelCaseUpper]])</calculatedColumnFormula>
    </tableColumn>
    <tableColumn id="17" xr3:uid="{00000000-0010-0000-0900-000011000000}" name="CORRECTIOON camelCaseToBusiness" dataDxfId="29"/>
    <tableColumn id="15" xr3:uid="{00000000-0010-0000-0900-00000F000000}" name="camelCaseLower(s)  = businessToCamelCaseLower(stringToBusiness(s))" dataDxfId="28">
      <calculatedColumnFormula>EXACT(camelCaseLower(belowred_Table1Rows[[#This Row],[String Value 1]]),businessToCamelCaseLower(stringToBusiness(belowred_Table1Rows[[#This Row],[String Value 1]])))</calculatedColumnFormula>
    </tableColumn>
    <tableColumn id="14" xr3:uid="{00000000-0010-0000-0900-00000E000000}" name="camelCaseUpper(s)  = businessToCamelCaseUpper(stringToBusiness(s)), " dataDxfId="27">
      <calculatedColumnFormula>EXACT(camelCaseUpper(belowred_Table1Rows[[#This Row],[String Value 1]]),businessToCamelCaseUpper(stringToBusiness(belowred_Table1Rows[[#This Row],[String Value 1]])))</calculatedColumnFormula>
    </tableColumn>
    <tableColumn id="13" xr3:uid="{00000000-0010-0000-0900-00000D000000}" name="camelCaseToBusiness(_x000a_businessToCamelCaseUpper(_x000a_stringToBusiness(X))) = _x000a_stringToBusiness(X) " dataDxfId="26">
      <calculatedColumnFormula>EXACT(camelCaseToBusiness(
businessToCamelCaseUpper(
stringToBusiness(belowred_Table1Rows[[#This Row],[String Value 1]]))),
stringToBusiness(belowred_Table1Rows[[#This Row],[String Value 1]]))</calculatedColumnFormula>
    </tableColumn>
    <tableColumn id="20" xr3:uid="{4F159604-6371-4EDD-BFFD-BAC77E343DDE}" name="Table 2 Ref STORED" dataDxfId="25"/>
    <tableColumn id="21" xr3:uid="{770C2C9A-BBAB-4457-97BD-69E2595153E5}" name="Test stringToBusiness STORED" dataDxfId="24"/>
    <tableColumn id="22" xr3:uid="{17F64D8B-C998-4629-9067-1A50C2BCD590}" name="Test CamelCaseUpper STORED" dataDxfId="23"/>
    <tableColumn id="23" xr3:uid="{15A7580F-85BA-4065-9247-8A85E613DEE3}" name="Test camelCaseToBusiness STORED" dataDxfId="22"/>
    <tableColumn id="24" xr3:uid="{547C9E96-2E99-428A-8AF0-E7784322D1BF}" name="camelCaseLower(s)  = businessToCamelCaseLower(stringToBusiness(s)) STORED" dataDxfId="21"/>
    <tableColumn id="27" xr3:uid="{D00AA065-D27C-44C3-8130-D7F750719136}" name="Test FunctionToBeGenerated STORED" dataDxfId="20"/>
    <tableColumn id="25" xr3:uid="{D9B503A0-FF77-4C18-958A-2830436D071D}" name="camelCaseUpper(s)  = businessToCamelCaseUpper(stringToBusiness(s)),  STORED" dataDxfId="19"/>
    <tableColumn id="26" xr3:uid="{E62907A2-C5FF-4807-BA57-D095283A8E1D}" name="camelCaseToBusiness(_x000a_businessToCamelCaseUpper(_x000a_stringToBusiness(X))) = _x000a_stringToBusiness(X)  STORED" dataDxfId="18"/>
    <tableColumn id="8" xr3:uid="{3B3DCB7E-0556-4E7A-A4F4-5E24D45942E7}" name="Testing of Busines to Camel to Business" dataDxfId="17"/>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belowred_Table2Rows" displayName="belowred_Table2Rows" ref="A1:J8" totalsRowShown="0">
  <autoFilter ref="A1:J8" xr:uid="{00000000-0009-0000-0100-000007000000}"/>
  <tableColumns count="10">
    <tableColumn id="1" xr3:uid="{00000000-0010-0000-0A00-000001000000}" name="ID"/>
    <tableColumn id="10" xr3:uid="{74AA9A7B-3C6A-48FD-9458-C573FCCB611A}" name="Kind:src"/>
    <tableColumn id="2" xr3:uid="{00000000-0010-0000-0A00-000002000000}" name="Kind"/>
    <tableColumn id="4" xr3:uid="{00000000-0010-0000-0A00-000004000000}" name="Package"/>
    <tableColumn id="11" xr3:uid="{40477CE1-1F72-4803-929E-82F47D9A1D3B}" name="Sub Package"/>
    <tableColumn id="5" xr3:uid="{00000000-0010-0000-0A00-000005000000}" name="T2 Name"/>
    <tableColumn id="6" xr3:uid="{00000000-0010-0000-0A00-000006000000}" name="T2 Name:q" dataDxfId="16">
      <calculatedColumnFormula>IF(
  TRIM(belowred_Table2Rows[[#This Row],[Package]])="",
          "",
          belowred_Table2Rows[[#This Row],[Package]]&amp;"::")
&amp;belowred_Table2Rows[[#This Row],[T2 Name]]</calculatedColumnFormula>
    </tableColumn>
    <tableColumn id="3" xr3:uid="{00000000-0010-0000-0A00-000003000000}" name="String Value 2"/>
    <tableColumn id="7" xr3:uid="{00000000-0010-0000-0A00-000007000000}" name="Table 1 Row"/>
    <tableColumn id="9" xr3:uid="{00000000-0010-0000-0A00-000009000000}" name="Test Number"/>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E82748-FB58-403F-9E1F-7784742F26DB}" name="myxyzpackage_MyXYZ_Objects" displayName="myxyzpackage_MyXYZ_Objects" ref="C6:K10" totalsRowShown="0" headerRowDxfId="15">
  <autoFilter ref="C6:K10" xr:uid="{5FE82748-FB58-403F-9E1F-7784742F26DB}"/>
  <tableColumns count="9">
    <tableColumn id="1" xr3:uid="{8AB7F535-90F6-4711-BF14-D0D7987BDD7C}" name="ID"/>
    <tableColumn id="9" xr3:uid="{2C859E15-E6C1-49E2-893A-9C5DCC6209ED}" name="Kind:src"/>
    <tableColumn id="2" xr3:uid="{587FCA75-3CD1-4FA4-87BD-1CB9BD033EF3}" name="Kind"/>
    <tableColumn id="3" xr3:uid="{12C9DB65-2E31-462F-BF67-4B1D73850974}" name="Package"/>
    <tableColumn id="4" xr3:uid="{0035E8CF-C5FF-4B1C-8AE4-8998595836D1}" name="Sub Package"/>
    <tableColumn id="5" xr3:uid="{9C67959F-1BB4-4E39-A8E9-E74A3B10B124}" name="Display:q"/>
    <tableColumn id="6" xr3:uid="{7598D3F1-E67A-4462-A267-4C8B842DBD46}" name="Display"/>
    <tableColumn id="7" xr3:uid="{84B00812-B7CB-451E-B6BD-A81A0B0B5423}" name="My XYZ Column"/>
    <tableColumn id="8" xr3:uid="{27BF9B98-EA16-4CAE-A40F-692E5DE02CCE}" name="Definition"/>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4ACDF1-8B9C-4146-9658-B48D1A5D4E4F}" name="meta_SimpleTestPattern" displayName="meta_SimpleTestPattern" ref="A1:F6" totalsRowShown="0">
  <autoFilter ref="A1:F6" xr:uid="{DE81D584-781D-5B4D-AE74-678F1631F9EF}"/>
  <tableColumns count="6">
    <tableColumn id="1" xr3:uid="{753D2FC2-3454-D64B-A350-598E906A9E9B}" name="ID"/>
    <tableColumn id="2" xr3:uid="{ACB4C01E-FDA3-EB46-BBBA-4FEC21830EB6}" name="Filter1"/>
    <tableColumn id="6" xr3:uid="{437F09AC-C381-7042-9CCF-F769498276A4}" name="Filter2"/>
    <tableColumn id="3" xr3:uid="{EA277429-6A9A-224D-A11F-228DFEC721FD}" name="Order"/>
    <tableColumn id="4" xr3:uid="{9CD06F2D-54E2-2144-BC40-52F5878CF95D}" name="Template"/>
    <tableColumn id="5" xr3:uid="{23F2823C-9678-6543-9CC3-C46BD97C721C}" name="Other"/>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746125F-CC51-F044-95CB-5C264211A3B7}" name="test_NewTable" displayName="test_NewTable" ref="A1:C3" totalsRowShown="0">
  <autoFilter ref="A1:C3" xr:uid="{E746125F-CC51-F044-95CB-5C264211A3B7}"/>
  <tableColumns count="3">
    <tableColumn id="1" xr3:uid="{10925867-2FC3-9545-BFC6-6EC1CB5F9BEF}" name="ID"/>
    <tableColumn id="2" xr3:uid="{470E61E4-F8E5-3545-8F57-D81205558317}" name="Test 1"/>
    <tableColumn id="3" xr3:uid="{2129436D-82A2-9A47-A857-80F9C06380FF}" name="Test 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2B826-3F92-4D48-A3E8-6DB45F5A4E08}">
  <sheetPr codeName="finance_Porfolios">
    <tabColor theme="8" tint="0.79998168889431442"/>
  </sheetPr>
  <dimension ref="A1:F2"/>
  <sheetViews>
    <sheetView zoomScale="120" zoomScaleNormal="120" workbookViewId="0">
      <selection sqref="A1:F2"/>
    </sheetView>
  </sheetViews>
  <sheetFormatPr defaultColWidth="8.85546875" defaultRowHeight="15" outlineLevelCol="1"/>
  <cols>
    <col min="1" max="1" width="22.42578125" bestFit="1" customWidth="1"/>
    <col min="2" max="2" width="12.42578125" customWidth="1" outlineLevel="1"/>
    <col min="3" max="3" width="15.28515625" bestFit="1" customWidth="1"/>
    <col min="4" max="4" width="10.42578125" customWidth="1"/>
  </cols>
  <sheetData>
    <row r="1" spans="1:6" ht="74.25" customHeight="1">
      <c r="A1" s="68" t="s">
        <v>0</v>
      </c>
      <c r="B1" s="68" t="s">
        <v>230</v>
      </c>
      <c r="C1" s="68" t="s">
        <v>5</v>
      </c>
      <c r="D1" s="68" t="s">
        <v>120</v>
      </c>
      <c r="E1" s="68" t="s">
        <v>668</v>
      </c>
      <c r="F1" s="68" t="s">
        <v>669</v>
      </c>
    </row>
    <row r="2" spans="1:6">
      <c r="A2" t="s">
        <v>731</v>
      </c>
      <c r="B2" t="s">
        <v>696</v>
      </c>
      <c r="C2" s="24" t="str">
        <f xml:space="preserve"> IF( TRIM( finance_Portfolios[[#This Row],[Kind:src]] ) = "", "",
        INDEX( meta_Classifiers[Display Qualified], MATCH( finance_Portfolios[[#This Row],[Kind:src]], meta_Classifiers[ID], 0 ) ) )</f>
        <v>finance::Portfolio</v>
      </c>
      <c r="D2" t="s">
        <v>660</v>
      </c>
    </row>
  </sheetData>
  <phoneticPr fontId="2" type="noConversion"/>
  <dataValidations count="1">
    <dataValidation type="list" allowBlank="1" showInputMessage="1" showErrorMessage="1" sqref="C2" xr:uid="{9F86D80D-406E-4279-AE43-9307BAFB46C8}">
      <formula1>INDIRECT("meta_Classifiers[Display Qualified]")</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8E77-5A2D-440B-8F61-5CD26E4EEC6A}">
  <sheetPr codeName="finance_Positions">
    <tabColor theme="8" tint="0.79998168889431442"/>
  </sheetPr>
  <dimension ref="A1:J2"/>
  <sheetViews>
    <sheetView workbookViewId="0">
      <selection activeCell="E1" sqref="E1"/>
    </sheetView>
  </sheetViews>
  <sheetFormatPr defaultColWidth="8.85546875" defaultRowHeight="15" outlineLevelCol="1"/>
  <cols>
    <col min="1" max="1" width="22.42578125" bestFit="1" customWidth="1"/>
    <col min="2" max="2" width="16.140625" bestFit="1" customWidth="1" outlineLevel="1"/>
    <col min="3" max="3" width="14.7109375" bestFit="1" customWidth="1"/>
    <col min="5" max="5" width="8.85546875" outlineLevel="1"/>
    <col min="6" max="6" width="10.42578125" customWidth="1"/>
    <col min="7" max="7" width="10.42578125" customWidth="1" outlineLevel="1"/>
  </cols>
  <sheetData>
    <row r="1" spans="1:10" ht="103.5" customHeight="1">
      <c r="A1" s="68" t="s">
        <v>0</v>
      </c>
      <c r="B1" s="68" t="s">
        <v>230</v>
      </c>
      <c r="C1" s="68" t="s">
        <v>5</v>
      </c>
      <c r="D1" s="68" t="s">
        <v>120</v>
      </c>
      <c r="E1" s="68" t="s">
        <v>1608</v>
      </c>
      <c r="F1" s="68" t="s">
        <v>682</v>
      </c>
      <c r="G1" s="68" t="s">
        <v>987</v>
      </c>
      <c r="H1" s="68" t="s">
        <v>664</v>
      </c>
      <c r="I1" s="68" t="s">
        <v>670</v>
      </c>
      <c r="J1" s="68" t="s">
        <v>671</v>
      </c>
    </row>
    <row r="2" spans="1:10">
      <c r="A2" t="s">
        <v>733</v>
      </c>
      <c r="B2" t="s">
        <v>697</v>
      </c>
      <c r="C2" s="24" t="str">
        <f xml:space="preserve"> IF( TRIM( finance_Positions[[#This Row],[Kind:src]] ) = "", "",
        INDEX( meta_Classifiers[Display Qualified], MATCH( finance_Positions[[#This Row],[Kind:src]], meta_Classifiers[ID], 0 ) ) )</f>
        <v>finance::Position</v>
      </c>
      <c r="D2" t="s">
        <v>660</v>
      </c>
      <c r="F2" s="24" t="str">
        <f xml:space="preserve"> IF( TRIM( finance_Positions[[#This Row],[Portfolio:src]] ) = "", "",
        INDEX( finance_Portfolios[Owner], MATCH( finance_Positions[[#This Row],[Portfolio:src]], finance_Portfolios[ID], 0 ) ) )</f>
        <v/>
      </c>
      <c r="H2" s="24" t="str">
        <f xml:space="preserve"> IF( TRIM( finance_Positions[[#This Row],[Security:src]] ) = "", "",
        INDEX( finance_Securities[Trading Symbol], MATCH( finance_Positions[[#This Row],[Security:src]], finance_Securities[ID], 0 ) ) )</f>
        <v/>
      </c>
    </row>
  </sheetData>
  <dataValidations count="3">
    <dataValidation type="list" allowBlank="1" showInputMessage="1" showErrorMessage="1" sqref="C2" xr:uid="{686935E1-B9A1-421E-8590-1B66B6EDF6A3}">
      <formula1>INDIRECT("meta_Classifiers[Display Qualified]")</formula1>
    </dataValidation>
    <dataValidation type="list" allowBlank="1" sqref="F2" xr:uid="{94A79A62-D0BF-4792-B6CE-2DE3F423FF62}">
      <formula1>INDIRECT("finance_Portfolios[Owner]")</formula1>
    </dataValidation>
    <dataValidation type="list" allowBlank="1" sqref="H2" xr:uid="{AC24E8B3-B953-480D-A698-6E374968F32A}">
      <formula1>INDIRECT("finance_Securities[Trading Symbol]")</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184B-6169-41EA-92B6-A84D59C2DC12}">
  <sheetPr codeName="finance_Securities">
    <tabColor theme="8" tint="0.79998168889431442"/>
  </sheetPr>
  <dimension ref="A1:F2"/>
  <sheetViews>
    <sheetView workbookViewId="0">
      <selection activeCell="C2" sqref="C2"/>
    </sheetView>
  </sheetViews>
  <sheetFormatPr defaultColWidth="8.85546875" defaultRowHeight="15" outlineLevelCol="1"/>
  <cols>
    <col min="1" max="1" width="22.42578125" bestFit="1" customWidth="1"/>
    <col min="2" max="2" width="16" bestFit="1" customWidth="1" outlineLevel="1"/>
    <col min="3" max="3" width="16" bestFit="1" customWidth="1"/>
    <col min="5" max="5" width="10.42578125" customWidth="1"/>
  </cols>
  <sheetData>
    <row r="1" spans="1:6" ht="63" customHeight="1">
      <c r="A1" s="68" t="s">
        <v>0</v>
      </c>
      <c r="B1" s="68" t="s">
        <v>230</v>
      </c>
      <c r="C1" s="68" t="s">
        <v>5</v>
      </c>
      <c r="D1" s="68" t="s">
        <v>120</v>
      </c>
      <c r="E1" s="68" t="s">
        <v>672</v>
      </c>
      <c r="F1" s="68" t="s">
        <v>673</v>
      </c>
    </row>
    <row r="2" spans="1:6">
      <c r="A2" t="s">
        <v>734</v>
      </c>
      <c r="B2" t="s">
        <v>698</v>
      </c>
      <c r="C2" s="24" t="str">
        <f xml:space="preserve"> IF( TRIM( finance_Securities[[#This Row],[Kind:src]] ) = "", "",
        INDEX( meta_Classifiers[Display Qualified], MATCH( finance_Securities[[#This Row],[Kind:src]], meta_Classifiers[ID], 0 ) ) )</f>
        <v>finance::Security</v>
      </c>
    </row>
  </sheetData>
  <dataValidations count="1">
    <dataValidation type="list" allowBlank="1" sqref="C2" xr:uid="{2E468C15-4072-417C-8F59-C062BFCBA1F0}">
      <formula1>INDIRECT("meta_Classifiers[Display Qualified]")</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versioning_DocumentManagement"/>
  <dimension ref="A2:J10"/>
  <sheetViews>
    <sheetView topLeftCell="F2" workbookViewId="0">
      <selection activeCell="I16" sqref="I16"/>
    </sheetView>
  </sheetViews>
  <sheetFormatPr defaultColWidth="8.42578125" defaultRowHeight="15"/>
  <cols>
    <col min="1" max="1" width="11.85546875" style="26" bestFit="1" customWidth="1"/>
    <col min="2" max="2" width="8.42578125" style="26"/>
    <col min="3" max="3" width="9.42578125" style="26" customWidth="1"/>
    <col min="4" max="4" width="10.140625" style="26" customWidth="1"/>
    <col min="5" max="5" width="28.42578125" style="26" bestFit="1" customWidth="1"/>
    <col min="6" max="6" width="92.42578125" style="26" customWidth="1"/>
    <col min="7" max="7" width="20.42578125" style="26" bestFit="1" customWidth="1"/>
    <col min="8" max="8" width="16" style="26" customWidth="1"/>
    <col min="9" max="9" width="15.140625" style="26" bestFit="1" customWidth="1"/>
    <col min="10" max="10" width="25.42578125" style="26" customWidth="1"/>
    <col min="11" max="16384" width="8.42578125" style="26"/>
  </cols>
  <sheetData>
    <row r="2" spans="1:10">
      <c r="A2" s="26" t="s">
        <v>0</v>
      </c>
      <c r="B2" s="26" t="s">
        <v>1</v>
      </c>
      <c r="C2" s="26" t="s">
        <v>323</v>
      </c>
      <c r="D2" s="26" t="s">
        <v>326</v>
      </c>
      <c r="E2" s="26" t="s">
        <v>322</v>
      </c>
      <c r="F2" s="26" t="s">
        <v>327</v>
      </c>
      <c r="G2" s="26" t="s">
        <v>329</v>
      </c>
      <c r="H2" s="26" t="s">
        <v>320</v>
      </c>
      <c r="I2" s="26" t="s">
        <v>328</v>
      </c>
      <c r="J2" s="26" t="s">
        <v>330</v>
      </c>
    </row>
    <row r="3" spans="1:10">
      <c r="A3" s="26" t="s">
        <v>587</v>
      </c>
      <c r="E3" s="26" t="str">
        <f>meta_DocumentVersions[[#This Row],[Date Tag]]&amp;"_"&amp;meta_DocumentVersions[[#This Row],[Name]]&amp;"_"&amp;meta_DocumentVersions[[#This Row],[Version]]&amp;".xlsm"</f>
        <v>__.xlsm</v>
      </c>
      <c r="F3" s="27"/>
      <c r="G3" s="27"/>
      <c r="H3" s="27"/>
      <c r="I3" s="27"/>
      <c r="J3" s="27"/>
    </row>
    <row r="4" spans="1:10" ht="120">
      <c r="A4" s="26" t="s">
        <v>349</v>
      </c>
      <c r="B4" s="26" t="s">
        <v>324</v>
      </c>
      <c r="C4" s="26" t="s">
        <v>325</v>
      </c>
      <c r="D4" s="26">
        <v>20240826</v>
      </c>
      <c r="E4" s="26" t="str">
        <f>meta_DocumentVersions[[#This Row],[Date Tag]]&amp;"_"&amp;meta_DocumentVersions[[#This Row],[Name]]&amp;"_"&amp;meta_DocumentVersions[[#This Row],[Version]]&amp;".xlsm"</f>
        <v>20240826_veri.excel_v1.41.xlsm</v>
      </c>
      <c r="F4" s="27" t="s">
        <v>331</v>
      </c>
    </row>
    <row r="5" spans="1:10">
      <c r="A5" s="26" t="s">
        <v>350</v>
      </c>
      <c r="B5" s="26" t="s">
        <v>324</v>
      </c>
      <c r="C5" s="26" t="s">
        <v>351</v>
      </c>
      <c r="D5" s="26">
        <v>20240826</v>
      </c>
      <c r="E5" s="26" t="str">
        <f>meta_DocumentVersions[[#This Row],[Date Tag]]&amp;"_"&amp;meta_DocumentVersions[[#This Row],[Name]]&amp;"_"&amp;meta_DocumentVersions[[#This Row],[Version]]&amp;".xlsm"</f>
        <v>20240826_veri.excel_v1.42.xlsm</v>
      </c>
      <c r="F5" s="26" t="s">
        <v>352</v>
      </c>
    </row>
    <row r="6" spans="1:10">
      <c r="A6" s="26" t="s">
        <v>595</v>
      </c>
      <c r="C6" s="26" t="s">
        <v>355</v>
      </c>
      <c r="E6" s="26" t="str">
        <f>meta_DocumentVersions[[#This Row],[Date Tag]]&amp;"_"&amp;meta_DocumentVersions[[#This Row],[Name]]&amp;"_"&amp;meta_DocumentVersions[[#This Row],[Version]]&amp;".xlsm"</f>
        <v>__v1.43.xlsm</v>
      </c>
      <c r="F6" s="26" t="s">
        <v>356</v>
      </c>
    </row>
    <row r="7" spans="1:10">
      <c r="A7" s="26" t="s">
        <v>596</v>
      </c>
      <c r="E7" s="26" t="str">
        <f>meta_DocumentVersions[[#This Row],[Date Tag]]&amp;"_"&amp;meta_DocumentVersions[[#This Row],[Name]]&amp;"_"&amp;meta_DocumentVersions[[#This Row],[Version]]&amp;".xlsm"</f>
        <v>__.xlsm</v>
      </c>
    </row>
    <row r="8" spans="1:10">
      <c r="A8" s="26" t="s">
        <v>597</v>
      </c>
      <c r="E8" s="26" t="str">
        <f>meta_DocumentVersions[[#This Row],[Date Tag]]&amp;"_"&amp;meta_DocumentVersions[[#This Row],[Name]]&amp;"_"&amp;meta_DocumentVersions[[#This Row],[Version]]&amp;".xlsm"</f>
        <v>__.xlsm</v>
      </c>
    </row>
    <row r="9" spans="1:10">
      <c r="A9" s="26" t="s">
        <v>598</v>
      </c>
      <c r="E9" s="26" t="str">
        <f>meta_DocumentVersions[[#This Row],[Date Tag]]&amp;"_"&amp;meta_DocumentVersions[[#This Row],[Name]]&amp;"_"&amp;meta_DocumentVersions[[#This Row],[Version]]&amp;".xlsm"</f>
        <v>__.xlsm</v>
      </c>
    </row>
    <row r="10" spans="1:10">
      <c r="A10" s="26" t="s">
        <v>599</v>
      </c>
      <c r="E10" s="26" t="str">
        <f>meta_DocumentVersions[[#This Row],[Date Tag]]&amp;"_"&amp;meta_DocumentVersions[[#This Row],[Name]]&amp;"_"&amp;meta_DocumentVersions[[#This Row],[Version]]&amp;".xlsm"</f>
        <v>__.xlsm</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9E4C2-EB16-594A-94A2-65550BBF5EB3}">
  <sheetPr codeName="meta_Snippets"/>
  <dimension ref="A1:G205"/>
  <sheetViews>
    <sheetView topLeftCell="A10" workbookViewId="0">
      <selection sqref="A1:XFD1048576"/>
    </sheetView>
  </sheetViews>
  <sheetFormatPr defaultColWidth="10.85546875" defaultRowHeight="15" outlineLevelCol="1"/>
  <cols>
    <col min="1" max="1" width="11" style="5" customWidth="1"/>
    <col min="2" max="2" width="15.42578125" style="5" bestFit="1" customWidth="1" outlineLevel="1"/>
    <col min="3" max="3" width="11" style="5" customWidth="1"/>
    <col min="4" max="4" width="14.42578125" style="5" bestFit="1" customWidth="1"/>
    <col min="5" max="6" width="11" style="5" customWidth="1"/>
    <col min="7" max="7" width="197.7109375" style="5" customWidth="1"/>
    <col min="8" max="16384" width="10.85546875" style="5"/>
  </cols>
  <sheetData>
    <row r="1" spans="1:7">
      <c r="A1" s="5" t="s">
        <v>0</v>
      </c>
      <c r="B1" s="5" t="s">
        <v>230</v>
      </c>
      <c r="C1" s="5" t="s">
        <v>5</v>
      </c>
      <c r="D1" s="5" t="s">
        <v>120</v>
      </c>
      <c r="E1" s="5" t="s">
        <v>461</v>
      </c>
      <c r="F1" s="5" t="s">
        <v>31</v>
      </c>
      <c r="G1" s="5" t="s">
        <v>574</v>
      </c>
    </row>
    <row r="2" spans="1:7" ht="60">
      <c r="A2" s="5" t="s">
        <v>584</v>
      </c>
      <c r="B2" s="5" t="s">
        <v>594</v>
      </c>
      <c r="C2" s="5" t="s">
        <v>834</v>
      </c>
      <c r="D2" s="5" t="s">
        <v>1848</v>
      </c>
      <c r="F2" s="5">
        <v>1</v>
      </c>
      <c r="G2" s="129" t="s">
        <v>1849</v>
      </c>
    </row>
    <row r="3" spans="1:7" ht="90">
      <c r="A3" s="5" t="s">
        <v>584</v>
      </c>
      <c r="B3" s="5" t="s">
        <v>594</v>
      </c>
      <c r="C3" s="5" t="s">
        <v>834</v>
      </c>
      <c r="D3" s="5" t="s">
        <v>1848</v>
      </c>
      <c r="F3" s="5">
        <v>2</v>
      </c>
      <c r="G3" s="129" t="s">
        <v>1850</v>
      </c>
    </row>
    <row r="4" spans="1:7" ht="135">
      <c r="A4" s="5" t="s">
        <v>584</v>
      </c>
      <c r="B4" s="5" t="s">
        <v>594</v>
      </c>
      <c r="C4" s="5" t="s">
        <v>834</v>
      </c>
      <c r="D4" s="5" t="s">
        <v>1848</v>
      </c>
      <c r="F4" s="5">
        <v>3</v>
      </c>
      <c r="G4" s="129" t="s">
        <v>1851</v>
      </c>
    </row>
    <row r="5" spans="1:7" ht="135">
      <c r="A5" s="5" t="s">
        <v>584</v>
      </c>
      <c r="B5" s="5" t="s">
        <v>594</v>
      </c>
      <c r="C5" s="5" t="s">
        <v>834</v>
      </c>
      <c r="D5" s="5" t="s">
        <v>1848</v>
      </c>
      <c r="F5" s="5">
        <v>4</v>
      </c>
      <c r="G5" s="129" t="s">
        <v>1852</v>
      </c>
    </row>
    <row r="6" spans="1:7" ht="345">
      <c r="A6" s="5" t="s">
        <v>584</v>
      </c>
      <c r="B6" s="5" t="s">
        <v>594</v>
      </c>
      <c r="C6" s="5" t="s">
        <v>834</v>
      </c>
      <c r="D6" s="5" t="s">
        <v>1848</v>
      </c>
      <c r="F6" s="5">
        <v>5</v>
      </c>
      <c r="G6" s="129" t="s">
        <v>1853</v>
      </c>
    </row>
    <row r="7" spans="1:7">
      <c r="A7" s="5" t="s">
        <v>584</v>
      </c>
      <c r="B7" s="5" t="s">
        <v>594</v>
      </c>
      <c r="C7" s="5" t="s">
        <v>834</v>
      </c>
      <c r="D7" s="5" t="s">
        <v>837</v>
      </c>
      <c r="F7" s="5">
        <v>1</v>
      </c>
      <c r="G7" s="129" t="s">
        <v>849</v>
      </c>
    </row>
    <row r="8" spans="1:7" ht="360">
      <c r="A8" s="5" t="s">
        <v>584</v>
      </c>
      <c r="B8" s="5" t="s">
        <v>594</v>
      </c>
      <c r="C8" s="5" t="s">
        <v>834</v>
      </c>
      <c r="D8" s="5" t="s">
        <v>837</v>
      </c>
      <c r="F8" s="5">
        <v>2</v>
      </c>
      <c r="G8" s="129" t="s">
        <v>1854</v>
      </c>
    </row>
    <row r="9" spans="1:7">
      <c r="A9" s="5" t="s">
        <v>584</v>
      </c>
      <c r="B9" s="5" t="s">
        <v>594</v>
      </c>
      <c r="C9" s="5" t="s">
        <v>834</v>
      </c>
      <c r="D9" s="5" t="s">
        <v>839</v>
      </c>
      <c r="F9" s="5">
        <v>1</v>
      </c>
      <c r="G9" s="129" t="s">
        <v>849</v>
      </c>
    </row>
    <row r="10" spans="1:7" ht="390">
      <c r="A10" s="5" t="s">
        <v>584</v>
      </c>
      <c r="B10" s="5" t="s">
        <v>594</v>
      </c>
      <c r="C10" s="5" t="s">
        <v>834</v>
      </c>
      <c r="D10" s="5" t="s">
        <v>839</v>
      </c>
      <c r="F10" s="5">
        <v>2</v>
      </c>
      <c r="G10" s="129" t="s">
        <v>1855</v>
      </c>
    </row>
    <row r="11" spans="1:7">
      <c r="A11" s="5" t="s">
        <v>584</v>
      </c>
      <c r="B11" s="5" t="s">
        <v>594</v>
      </c>
      <c r="C11" s="5" t="s">
        <v>834</v>
      </c>
      <c r="D11" s="5" t="s">
        <v>842</v>
      </c>
      <c r="F11" s="5">
        <v>1</v>
      </c>
      <c r="G11" s="129" t="s">
        <v>849</v>
      </c>
    </row>
    <row r="12" spans="1:7" ht="409.5">
      <c r="A12" s="5" t="s">
        <v>584</v>
      </c>
      <c r="B12" s="5" t="s">
        <v>594</v>
      </c>
      <c r="C12" s="5" t="s">
        <v>834</v>
      </c>
      <c r="D12" s="5" t="s">
        <v>842</v>
      </c>
      <c r="F12" s="5">
        <v>2</v>
      </c>
      <c r="G12" s="129" t="s">
        <v>1856</v>
      </c>
    </row>
    <row r="13" spans="1:7">
      <c r="A13" s="5" t="s">
        <v>584</v>
      </c>
      <c r="B13" s="5" t="s">
        <v>594</v>
      </c>
      <c r="C13" s="5" t="s">
        <v>834</v>
      </c>
      <c r="D13" s="5" t="s">
        <v>847</v>
      </c>
      <c r="F13" s="5">
        <v>1</v>
      </c>
      <c r="G13" s="129" t="s">
        <v>849</v>
      </c>
    </row>
    <row r="14" spans="1:7" ht="90">
      <c r="A14" s="5" t="s">
        <v>584</v>
      </c>
      <c r="B14" s="5" t="s">
        <v>594</v>
      </c>
      <c r="C14" s="5" t="s">
        <v>834</v>
      </c>
      <c r="D14" s="5" t="s">
        <v>847</v>
      </c>
      <c r="F14" s="5">
        <v>2</v>
      </c>
      <c r="G14" s="129" t="s">
        <v>1857</v>
      </c>
    </row>
    <row r="15" spans="1:7" ht="90">
      <c r="A15" s="5" t="s">
        <v>584</v>
      </c>
      <c r="B15" s="5" t="s">
        <v>594</v>
      </c>
      <c r="C15" s="5" t="s">
        <v>834</v>
      </c>
      <c r="D15" s="5" t="s">
        <v>847</v>
      </c>
      <c r="F15" s="5">
        <v>3</v>
      </c>
      <c r="G15" s="129" t="s">
        <v>1858</v>
      </c>
    </row>
    <row r="16" spans="1:7" ht="409.5">
      <c r="A16" s="5" t="s">
        <v>584</v>
      </c>
      <c r="B16" s="5" t="s">
        <v>594</v>
      </c>
      <c r="C16" s="5" t="s">
        <v>834</v>
      </c>
      <c r="D16" s="5" t="s">
        <v>847</v>
      </c>
      <c r="F16" s="5">
        <v>4</v>
      </c>
      <c r="G16" s="129" t="s">
        <v>1859</v>
      </c>
    </row>
    <row r="17" spans="1:7" ht="409.5">
      <c r="A17" s="5" t="s">
        <v>584</v>
      </c>
      <c r="B17" s="5" t="s">
        <v>594</v>
      </c>
      <c r="C17" s="5" t="s">
        <v>834</v>
      </c>
      <c r="D17" s="5" t="s">
        <v>847</v>
      </c>
      <c r="F17" s="5">
        <v>5</v>
      </c>
      <c r="G17" s="129" t="s">
        <v>1860</v>
      </c>
    </row>
    <row r="18" spans="1:7" ht="409.5">
      <c r="A18" s="5" t="s">
        <v>584</v>
      </c>
      <c r="B18" s="5" t="s">
        <v>594</v>
      </c>
      <c r="C18" s="5" t="s">
        <v>834</v>
      </c>
      <c r="D18" s="5" t="s">
        <v>847</v>
      </c>
      <c r="F18" s="5">
        <v>6</v>
      </c>
      <c r="G18" s="129" t="s">
        <v>1861</v>
      </c>
    </row>
    <row r="19" spans="1:7" ht="105">
      <c r="A19" s="5" t="s">
        <v>584</v>
      </c>
      <c r="B19" s="5" t="s">
        <v>594</v>
      </c>
      <c r="C19" s="5" t="s">
        <v>834</v>
      </c>
      <c r="D19" s="5" t="s">
        <v>835</v>
      </c>
      <c r="F19" s="5">
        <v>1</v>
      </c>
      <c r="G19" s="129" t="s">
        <v>1862</v>
      </c>
    </row>
    <row r="20" spans="1:7" ht="105">
      <c r="A20" s="5" t="s">
        <v>584</v>
      </c>
      <c r="B20" s="5" t="s">
        <v>594</v>
      </c>
      <c r="C20" s="5" t="s">
        <v>834</v>
      </c>
      <c r="D20" s="5" t="s">
        <v>835</v>
      </c>
      <c r="F20" s="5">
        <v>2</v>
      </c>
      <c r="G20" s="129" t="s">
        <v>1863</v>
      </c>
    </row>
    <row r="21" spans="1:7" ht="90">
      <c r="A21" s="5" t="s">
        <v>584</v>
      </c>
      <c r="B21" s="5" t="s">
        <v>594</v>
      </c>
      <c r="C21" s="5" t="s">
        <v>834</v>
      </c>
      <c r="D21" s="5" t="s">
        <v>835</v>
      </c>
      <c r="F21" s="5">
        <v>3</v>
      </c>
      <c r="G21" s="129" t="s">
        <v>1858</v>
      </c>
    </row>
    <row r="22" spans="1:7" ht="409.5">
      <c r="A22" s="5" t="s">
        <v>584</v>
      </c>
      <c r="B22" s="5" t="s">
        <v>594</v>
      </c>
      <c r="C22" s="5" t="s">
        <v>834</v>
      </c>
      <c r="D22" s="5" t="s">
        <v>835</v>
      </c>
      <c r="F22" s="5">
        <v>4</v>
      </c>
      <c r="G22" s="129" t="s">
        <v>1864</v>
      </c>
    </row>
    <row r="23" spans="1:7" ht="409.5">
      <c r="A23" s="5" t="s">
        <v>584</v>
      </c>
      <c r="B23" s="5" t="s">
        <v>594</v>
      </c>
      <c r="C23" s="5" t="s">
        <v>834</v>
      </c>
      <c r="D23" s="5" t="s">
        <v>835</v>
      </c>
      <c r="F23" s="5">
        <v>5</v>
      </c>
      <c r="G23" s="129" t="s">
        <v>1865</v>
      </c>
    </row>
    <row r="24" spans="1:7" ht="409.5">
      <c r="A24" s="5" t="s">
        <v>584</v>
      </c>
      <c r="B24" s="5" t="s">
        <v>594</v>
      </c>
      <c r="C24" s="5" t="s">
        <v>834</v>
      </c>
      <c r="D24" s="5" t="s">
        <v>835</v>
      </c>
      <c r="F24" s="5">
        <v>6</v>
      </c>
      <c r="G24" s="129" t="s">
        <v>1866</v>
      </c>
    </row>
    <row r="25" spans="1:7" ht="409.5">
      <c r="A25" s="5" t="s">
        <v>584</v>
      </c>
      <c r="B25" s="5" t="s">
        <v>594</v>
      </c>
      <c r="C25" s="5" t="s">
        <v>834</v>
      </c>
      <c r="D25" s="5" t="s">
        <v>835</v>
      </c>
      <c r="F25" s="5">
        <v>7</v>
      </c>
      <c r="G25" s="129" t="s">
        <v>1867</v>
      </c>
    </row>
    <row r="26" spans="1:7" ht="75">
      <c r="A26" s="5" t="s">
        <v>584</v>
      </c>
      <c r="B26" s="5" t="s">
        <v>572</v>
      </c>
      <c r="C26" s="5" t="s">
        <v>832</v>
      </c>
      <c r="D26" s="5" t="s">
        <v>852</v>
      </c>
      <c r="F26" s="5">
        <v>1</v>
      </c>
      <c r="G26" s="129" t="s">
        <v>1868</v>
      </c>
    </row>
    <row r="27" spans="1:7" ht="30">
      <c r="A27" s="5" t="s">
        <v>584</v>
      </c>
      <c r="B27" s="5" t="s">
        <v>572</v>
      </c>
      <c r="C27" s="5" t="s">
        <v>832</v>
      </c>
      <c r="D27" s="5" t="s">
        <v>852</v>
      </c>
      <c r="F27" s="5">
        <v>2</v>
      </c>
      <c r="G27" s="129" t="s">
        <v>1869</v>
      </c>
    </row>
    <row r="28" spans="1:7" ht="90">
      <c r="A28" s="5" t="s">
        <v>584</v>
      </c>
      <c r="B28" s="5" t="s">
        <v>572</v>
      </c>
      <c r="C28" s="5" t="s">
        <v>832</v>
      </c>
      <c r="D28" s="5" t="s">
        <v>852</v>
      </c>
      <c r="F28" s="5">
        <v>3</v>
      </c>
      <c r="G28" s="129" t="s">
        <v>1870</v>
      </c>
    </row>
    <row r="29" spans="1:7" ht="90">
      <c r="A29" s="5" t="s">
        <v>584</v>
      </c>
      <c r="B29" s="5" t="s">
        <v>572</v>
      </c>
      <c r="C29" s="5" t="s">
        <v>832</v>
      </c>
      <c r="D29" s="5" t="s">
        <v>852</v>
      </c>
      <c r="F29" s="5">
        <v>4</v>
      </c>
      <c r="G29" s="129" t="s">
        <v>1871</v>
      </c>
    </row>
    <row r="30" spans="1:7" ht="90">
      <c r="A30" s="5" t="s">
        <v>584</v>
      </c>
      <c r="B30" s="5" t="s">
        <v>572</v>
      </c>
      <c r="C30" s="5" t="s">
        <v>832</v>
      </c>
      <c r="D30" s="5" t="s">
        <v>852</v>
      </c>
      <c r="F30" s="5">
        <v>5</v>
      </c>
      <c r="G30" s="129" t="s">
        <v>1872</v>
      </c>
    </row>
    <row r="31" spans="1:7" ht="90">
      <c r="A31" s="5" t="s">
        <v>584</v>
      </c>
      <c r="B31" s="5" t="s">
        <v>572</v>
      </c>
      <c r="C31" s="5" t="s">
        <v>832</v>
      </c>
      <c r="D31" s="5" t="s">
        <v>852</v>
      </c>
      <c r="F31" s="5">
        <v>6</v>
      </c>
      <c r="G31" s="129" t="s">
        <v>1873</v>
      </c>
    </row>
    <row r="32" spans="1:7" ht="75">
      <c r="A32" s="5" t="s">
        <v>584</v>
      </c>
      <c r="B32" s="5" t="s">
        <v>572</v>
      </c>
      <c r="C32" s="5" t="s">
        <v>832</v>
      </c>
      <c r="D32" s="5" t="s">
        <v>852</v>
      </c>
      <c r="F32" s="5">
        <v>7</v>
      </c>
      <c r="G32" s="129" t="s">
        <v>1874</v>
      </c>
    </row>
    <row r="33" spans="1:7" ht="75">
      <c r="A33" s="5" t="s">
        <v>584</v>
      </c>
      <c r="B33" s="5" t="s">
        <v>572</v>
      </c>
      <c r="C33" s="5" t="s">
        <v>832</v>
      </c>
      <c r="D33" s="5" t="s">
        <v>853</v>
      </c>
      <c r="F33" s="5">
        <v>1</v>
      </c>
      <c r="G33" s="129" t="s">
        <v>1875</v>
      </c>
    </row>
    <row r="34" spans="1:7" ht="30">
      <c r="A34" s="5" t="s">
        <v>584</v>
      </c>
      <c r="B34" s="5" t="s">
        <v>572</v>
      </c>
      <c r="C34" s="5" t="s">
        <v>832</v>
      </c>
      <c r="D34" s="5" t="s">
        <v>853</v>
      </c>
      <c r="F34" s="5">
        <v>2</v>
      </c>
      <c r="G34" s="129" t="s">
        <v>1869</v>
      </c>
    </row>
    <row r="35" spans="1:7" ht="90">
      <c r="A35" s="5" t="s">
        <v>584</v>
      </c>
      <c r="B35" s="5" t="s">
        <v>572</v>
      </c>
      <c r="C35" s="5" t="s">
        <v>832</v>
      </c>
      <c r="D35" s="5" t="s">
        <v>853</v>
      </c>
      <c r="F35" s="5">
        <v>3</v>
      </c>
      <c r="G35" s="129" t="s">
        <v>1876</v>
      </c>
    </row>
    <row r="36" spans="1:7" ht="90">
      <c r="A36" s="5" t="s">
        <v>584</v>
      </c>
      <c r="B36" s="5" t="s">
        <v>572</v>
      </c>
      <c r="C36" s="5" t="s">
        <v>832</v>
      </c>
      <c r="D36" s="5" t="s">
        <v>853</v>
      </c>
      <c r="F36" s="5">
        <v>4</v>
      </c>
      <c r="G36" s="129" t="s">
        <v>1877</v>
      </c>
    </row>
    <row r="37" spans="1:7" ht="90">
      <c r="A37" s="5" t="s">
        <v>584</v>
      </c>
      <c r="B37" s="5" t="s">
        <v>572</v>
      </c>
      <c r="C37" s="5" t="s">
        <v>832</v>
      </c>
      <c r="D37" s="5" t="s">
        <v>853</v>
      </c>
      <c r="F37" s="5">
        <v>5</v>
      </c>
      <c r="G37" s="129" t="s">
        <v>1878</v>
      </c>
    </row>
    <row r="38" spans="1:7" ht="90">
      <c r="A38" s="5" t="s">
        <v>584</v>
      </c>
      <c r="B38" s="5" t="s">
        <v>572</v>
      </c>
      <c r="C38" s="5" t="s">
        <v>832</v>
      </c>
      <c r="D38" s="5" t="s">
        <v>853</v>
      </c>
      <c r="F38" s="5">
        <v>6</v>
      </c>
      <c r="G38" s="129" t="s">
        <v>1879</v>
      </c>
    </row>
    <row r="39" spans="1:7" ht="75">
      <c r="A39" s="5" t="s">
        <v>584</v>
      </c>
      <c r="B39" s="5" t="s">
        <v>572</v>
      </c>
      <c r="C39" s="5" t="s">
        <v>832</v>
      </c>
      <c r="D39" s="5" t="s">
        <v>853</v>
      </c>
      <c r="F39" s="5">
        <v>7</v>
      </c>
      <c r="G39" s="129" t="s">
        <v>1880</v>
      </c>
    </row>
    <row r="40" spans="1:7" ht="240">
      <c r="A40" s="5" t="s">
        <v>584</v>
      </c>
      <c r="B40" s="5" t="s">
        <v>571</v>
      </c>
      <c r="C40" s="5" t="s">
        <v>831</v>
      </c>
      <c r="D40" s="5" t="s">
        <v>586</v>
      </c>
      <c r="E40" s="5" t="s">
        <v>854</v>
      </c>
      <c r="F40" s="5">
        <v>1</v>
      </c>
      <c r="G40" s="129" t="s">
        <v>1881</v>
      </c>
    </row>
    <row r="41" spans="1:7" ht="409.5">
      <c r="A41" s="5" t="s">
        <v>584</v>
      </c>
      <c r="B41" s="5" t="s">
        <v>571</v>
      </c>
      <c r="C41" s="5" t="s">
        <v>831</v>
      </c>
      <c r="D41" s="5" t="s">
        <v>586</v>
      </c>
      <c r="E41" s="5" t="s">
        <v>854</v>
      </c>
      <c r="F41" s="5">
        <v>2</v>
      </c>
      <c r="G41" s="129" t="s">
        <v>1882</v>
      </c>
    </row>
    <row r="42" spans="1:7" ht="105">
      <c r="A42" s="5" t="s">
        <v>584</v>
      </c>
      <c r="B42" s="5" t="s">
        <v>571</v>
      </c>
      <c r="C42" s="5" t="s">
        <v>831</v>
      </c>
      <c r="D42" s="5" t="s">
        <v>586</v>
      </c>
      <c r="E42" s="5" t="s">
        <v>854</v>
      </c>
      <c r="F42" s="5">
        <v>3</v>
      </c>
      <c r="G42" s="129" t="s">
        <v>1883</v>
      </c>
    </row>
    <row r="43" spans="1:7" ht="180">
      <c r="A43" s="5" t="s">
        <v>584</v>
      </c>
      <c r="B43" s="5" t="s">
        <v>571</v>
      </c>
      <c r="C43" s="5" t="s">
        <v>831</v>
      </c>
      <c r="D43" s="5" t="s">
        <v>586</v>
      </c>
      <c r="E43" s="5" t="s">
        <v>854</v>
      </c>
      <c r="F43" s="5">
        <v>4</v>
      </c>
      <c r="G43" s="129" t="s">
        <v>1884</v>
      </c>
    </row>
    <row r="44" spans="1:7" ht="409.5">
      <c r="A44" s="5" t="s">
        <v>584</v>
      </c>
      <c r="B44" s="5" t="s">
        <v>571</v>
      </c>
      <c r="C44" s="5" t="s">
        <v>831</v>
      </c>
      <c r="D44" s="5" t="s">
        <v>586</v>
      </c>
      <c r="E44" s="5" t="s">
        <v>854</v>
      </c>
      <c r="F44" s="5">
        <v>5</v>
      </c>
      <c r="G44" s="129" t="s">
        <v>1885</v>
      </c>
    </row>
    <row r="45" spans="1:7" ht="105">
      <c r="A45" s="5" t="s">
        <v>584</v>
      </c>
      <c r="B45" s="5" t="s">
        <v>571</v>
      </c>
      <c r="C45" s="5" t="s">
        <v>831</v>
      </c>
      <c r="D45" s="5" t="s">
        <v>586</v>
      </c>
      <c r="E45" s="5" t="s">
        <v>854</v>
      </c>
      <c r="F45" s="5">
        <v>6</v>
      </c>
      <c r="G45" s="129" t="s">
        <v>1886</v>
      </c>
    </row>
    <row r="46" spans="1:7" ht="105">
      <c r="A46" s="5" t="s">
        <v>584</v>
      </c>
      <c r="B46" s="5" t="s">
        <v>571</v>
      </c>
      <c r="C46" s="5" t="s">
        <v>831</v>
      </c>
      <c r="D46" s="5" t="s">
        <v>586</v>
      </c>
      <c r="E46" s="5" t="s">
        <v>854</v>
      </c>
      <c r="F46" s="5">
        <v>7</v>
      </c>
      <c r="G46" s="129" t="s">
        <v>1887</v>
      </c>
    </row>
    <row r="47" spans="1:7" ht="180">
      <c r="A47" s="5" t="s">
        <v>584</v>
      </c>
      <c r="B47" s="5" t="s">
        <v>571</v>
      </c>
      <c r="C47" s="5" t="s">
        <v>831</v>
      </c>
      <c r="D47" s="5" t="s">
        <v>586</v>
      </c>
      <c r="E47" s="5" t="s">
        <v>854</v>
      </c>
      <c r="F47" s="5">
        <v>8</v>
      </c>
      <c r="G47" s="129" t="s">
        <v>1888</v>
      </c>
    </row>
    <row r="48" spans="1:7" ht="180">
      <c r="A48" s="5" t="s">
        <v>584</v>
      </c>
      <c r="B48" s="5" t="s">
        <v>571</v>
      </c>
      <c r="C48" s="5" t="s">
        <v>831</v>
      </c>
      <c r="D48" s="5" t="s">
        <v>586</v>
      </c>
      <c r="E48" s="5" t="s">
        <v>854</v>
      </c>
      <c r="F48" s="5">
        <v>9</v>
      </c>
      <c r="G48" s="129" t="s">
        <v>1889</v>
      </c>
    </row>
    <row r="49" spans="1:7" ht="409.5">
      <c r="A49" s="5" t="s">
        <v>584</v>
      </c>
      <c r="B49" s="5" t="s">
        <v>571</v>
      </c>
      <c r="C49" s="5" t="s">
        <v>831</v>
      </c>
      <c r="D49" s="5" t="s">
        <v>586</v>
      </c>
      <c r="E49" s="5" t="s">
        <v>854</v>
      </c>
      <c r="F49" s="5">
        <v>10</v>
      </c>
      <c r="G49" s="129" t="s">
        <v>1890</v>
      </c>
    </row>
    <row r="50" spans="1:7" ht="105">
      <c r="A50" s="5" t="s">
        <v>584</v>
      </c>
      <c r="B50" s="5" t="s">
        <v>571</v>
      </c>
      <c r="C50" s="5" t="s">
        <v>831</v>
      </c>
      <c r="D50" s="5" t="s">
        <v>586</v>
      </c>
      <c r="E50" s="5" t="s">
        <v>854</v>
      </c>
      <c r="F50" s="5">
        <v>11</v>
      </c>
      <c r="G50" s="129" t="s">
        <v>1891</v>
      </c>
    </row>
    <row r="51" spans="1:7" ht="105">
      <c r="A51" s="5" t="s">
        <v>584</v>
      </c>
      <c r="B51" s="5" t="s">
        <v>571</v>
      </c>
      <c r="C51" s="5" t="s">
        <v>831</v>
      </c>
      <c r="D51" s="5" t="s">
        <v>586</v>
      </c>
      <c r="E51" s="5" t="s">
        <v>854</v>
      </c>
      <c r="F51" s="5">
        <v>12</v>
      </c>
      <c r="G51" s="129" t="s">
        <v>1892</v>
      </c>
    </row>
    <row r="52" spans="1:7" ht="180">
      <c r="A52" s="5" t="s">
        <v>584</v>
      </c>
      <c r="B52" s="5" t="s">
        <v>571</v>
      </c>
      <c r="C52" s="5" t="s">
        <v>831</v>
      </c>
      <c r="D52" s="5" t="s">
        <v>586</v>
      </c>
      <c r="E52" s="5" t="s">
        <v>854</v>
      </c>
      <c r="F52" s="5">
        <v>13</v>
      </c>
      <c r="G52" s="129" t="s">
        <v>1888</v>
      </c>
    </row>
    <row r="53" spans="1:7" ht="165">
      <c r="A53" s="5" t="s">
        <v>584</v>
      </c>
      <c r="B53" s="5" t="s">
        <v>571</v>
      </c>
      <c r="C53" s="5" t="s">
        <v>831</v>
      </c>
      <c r="D53" s="5" t="s">
        <v>586</v>
      </c>
      <c r="E53" s="5" t="s">
        <v>854</v>
      </c>
      <c r="F53" s="5">
        <v>14</v>
      </c>
      <c r="G53" s="129" t="s">
        <v>1893</v>
      </c>
    </row>
    <row r="54" spans="1:7" ht="409.5">
      <c r="A54" s="5" t="s">
        <v>584</v>
      </c>
      <c r="B54" s="5" t="s">
        <v>571</v>
      </c>
      <c r="C54" s="5" t="s">
        <v>831</v>
      </c>
      <c r="D54" s="5" t="s">
        <v>586</v>
      </c>
      <c r="E54" s="5" t="s">
        <v>854</v>
      </c>
      <c r="F54" s="5">
        <v>15</v>
      </c>
      <c r="G54" s="129" t="s">
        <v>1894</v>
      </c>
    </row>
    <row r="55" spans="1:7" ht="90">
      <c r="A55" s="5" t="s">
        <v>584</v>
      </c>
      <c r="B55" s="5" t="s">
        <v>571</v>
      </c>
      <c r="C55" s="5" t="s">
        <v>831</v>
      </c>
      <c r="D55" s="5" t="s">
        <v>586</v>
      </c>
      <c r="E55" s="5" t="s">
        <v>854</v>
      </c>
      <c r="F55" s="5">
        <v>16</v>
      </c>
      <c r="G55" s="129" t="s">
        <v>1895</v>
      </c>
    </row>
    <row r="56" spans="1:7" ht="120">
      <c r="A56" s="5" t="s">
        <v>584</v>
      </c>
      <c r="B56" s="5" t="s">
        <v>571</v>
      </c>
      <c r="C56" s="5" t="s">
        <v>831</v>
      </c>
      <c r="D56" s="5" t="s">
        <v>586</v>
      </c>
      <c r="E56" s="5" t="s">
        <v>854</v>
      </c>
      <c r="F56" s="5">
        <v>17</v>
      </c>
      <c r="G56" s="129" t="s">
        <v>1896</v>
      </c>
    </row>
    <row r="57" spans="1:7" ht="165">
      <c r="A57" s="5" t="s">
        <v>584</v>
      </c>
      <c r="B57" s="5" t="s">
        <v>571</v>
      </c>
      <c r="C57" s="5" t="s">
        <v>831</v>
      </c>
      <c r="D57" s="5" t="s">
        <v>586</v>
      </c>
      <c r="E57" s="5" t="s">
        <v>854</v>
      </c>
      <c r="F57" s="5">
        <v>18</v>
      </c>
      <c r="G57" s="129" t="s">
        <v>1897</v>
      </c>
    </row>
    <row r="58" spans="1:7" ht="409.5">
      <c r="A58" s="5" t="s">
        <v>584</v>
      </c>
      <c r="B58" s="5" t="s">
        <v>571</v>
      </c>
      <c r="C58" s="5" t="s">
        <v>831</v>
      </c>
      <c r="D58" s="5" t="s">
        <v>586</v>
      </c>
      <c r="E58" s="5" t="s">
        <v>854</v>
      </c>
      <c r="F58" s="5">
        <v>19</v>
      </c>
      <c r="G58" s="129" t="s">
        <v>1898</v>
      </c>
    </row>
    <row r="59" spans="1:7" ht="90">
      <c r="A59" s="5" t="s">
        <v>584</v>
      </c>
      <c r="B59" s="5" t="s">
        <v>571</v>
      </c>
      <c r="C59" s="5" t="s">
        <v>831</v>
      </c>
      <c r="D59" s="5" t="s">
        <v>586</v>
      </c>
      <c r="E59" s="5" t="s">
        <v>854</v>
      </c>
      <c r="F59" s="5">
        <v>20</v>
      </c>
      <c r="G59" s="129" t="s">
        <v>1899</v>
      </c>
    </row>
    <row r="60" spans="1:7" ht="120">
      <c r="A60" s="5" t="s">
        <v>584</v>
      </c>
      <c r="B60" s="5" t="s">
        <v>571</v>
      </c>
      <c r="C60" s="5" t="s">
        <v>831</v>
      </c>
      <c r="D60" s="5" t="s">
        <v>586</v>
      </c>
      <c r="E60" s="5" t="s">
        <v>854</v>
      </c>
      <c r="F60" s="5">
        <v>21</v>
      </c>
      <c r="G60" s="129" t="s">
        <v>1896</v>
      </c>
    </row>
    <row r="61" spans="1:7" ht="165">
      <c r="A61" s="5" t="s">
        <v>584</v>
      </c>
      <c r="B61" s="5" t="s">
        <v>571</v>
      </c>
      <c r="C61" s="5" t="s">
        <v>831</v>
      </c>
      <c r="D61" s="5" t="s">
        <v>586</v>
      </c>
      <c r="E61" s="5" t="s">
        <v>854</v>
      </c>
      <c r="F61" s="5">
        <v>22</v>
      </c>
      <c r="G61" s="129" t="s">
        <v>1900</v>
      </c>
    </row>
    <row r="62" spans="1:7" ht="409.5">
      <c r="A62" s="5" t="s">
        <v>584</v>
      </c>
      <c r="B62" s="5" t="s">
        <v>571</v>
      </c>
      <c r="C62" s="5" t="s">
        <v>831</v>
      </c>
      <c r="D62" s="5" t="s">
        <v>586</v>
      </c>
      <c r="E62" s="5" t="s">
        <v>854</v>
      </c>
      <c r="F62" s="5">
        <v>23</v>
      </c>
      <c r="G62" s="129" t="s">
        <v>1901</v>
      </c>
    </row>
    <row r="63" spans="1:7" ht="105">
      <c r="A63" s="5" t="s">
        <v>584</v>
      </c>
      <c r="B63" s="5" t="s">
        <v>571</v>
      </c>
      <c r="C63" s="5" t="s">
        <v>831</v>
      </c>
      <c r="D63" s="5" t="s">
        <v>586</v>
      </c>
      <c r="E63" s="5" t="s">
        <v>854</v>
      </c>
      <c r="F63" s="5">
        <v>24</v>
      </c>
      <c r="G63" s="129" t="s">
        <v>1902</v>
      </c>
    </row>
    <row r="64" spans="1:7" ht="210">
      <c r="A64" s="5" t="s">
        <v>584</v>
      </c>
      <c r="B64" s="5" t="s">
        <v>571</v>
      </c>
      <c r="C64" s="5" t="s">
        <v>831</v>
      </c>
      <c r="D64" s="5" t="s">
        <v>586</v>
      </c>
      <c r="E64" s="5" t="s">
        <v>854</v>
      </c>
      <c r="F64" s="5">
        <v>25</v>
      </c>
      <c r="G64" s="129" t="s">
        <v>1903</v>
      </c>
    </row>
    <row r="65" spans="1:7" ht="180">
      <c r="A65" s="5" t="s">
        <v>584</v>
      </c>
      <c r="B65" s="5" t="s">
        <v>571</v>
      </c>
      <c r="C65" s="5" t="s">
        <v>831</v>
      </c>
      <c r="D65" s="5" t="s">
        <v>586</v>
      </c>
      <c r="E65" s="5" t="s">
        <v>854</v>
      </c>
      <c r="F65" s="5">
        <v>26</v>
      </c>
      <c r="G65" s="129" t="s">
        <v>1904</v>
      </c>
    </row>
    <row r="66" spans="1:7" ht="30">
      <c r="A66" s="5" t="s">
        <v>584</v>
      </c>
      <c r="B66" s="5" t="s">
        <v>571</v>
      </c>
      <c r="C66" s="5" t="s">
        <v>831</v>
      </c>
      <c r="D66" s="5" t="s">
        <v>586</v>
      </c>
      <c r="E66" s="5" t="s">
        <v>855</v>
      </c>
      <c r="F66" s="5">
        <v>1</v>
      </c>
      <c r="G66" s="129" t="s">
        <v>1905</v>
      </c>
    </row>
    <row r="67" spans="1:7" ht="180">
      <c r="A67" s="5" t="s">
        <v>584</v>
      </c>
      <c r="B67" s="5" t="s">
        <v>571</v>
      </c>
      <c r="C67" s="5" t="s">
        <v>831</v>
      </c>
      <c r="D67" s="5" t="s">
        <v>586</v>
      </c>
      <c r="E67" s="5" t="s">
        <v>855</v>
      </c>
      <c r="F67" s="5">
        <v>2</v>
      </c>
      <c r="G67" s="129" t="s">
        <v>1906</v>
      </c>
    </row>
    <row r="68" spans="1:7" ht="150">
      <c r="A68" s="5" t="s">
        <v>584</v>
      </c>
      <c r="B68" s="5" t="s">
        <v>571</v>
      </c>
      <c r="C68" s="5" t="s">
        <v>831</v>
      </c>
      <c r="D68" s="5" t="s">
        <v>586</v>
      </c>
      <c r="E68" s="5" t="s">
        <v>855</v>
      </c>
      <c r="F68" s="5">
        <v>3</v>
      </c>
      <c r="G68" s="129" t="s">
        <v>1907</v>
      </c>
    </row>
    <row r="69" spans="1:7" ht="330">
      <c r="A69" s="5" t="s">
        <v>584</v>
      </c>
      <c r="B69" s="5" t="s">
        <v>571</v>
      </c>
      <c r="C69" s="5" t="s">
        <v>831</v>
      </c>
      <c r="D69" s="5" t="s">
        <v>586</v>
      </c>
      <c r="E69" s="5" t="s">
        <v>855</v>
      </c>
      <c r="F69" s="5">
        <v>4</v>
      </c>
      <c r="G69" s="129" t="s">
        <v>1908</v>
      </c>
    </row>
    <row r="70" spans="1:7" ht="165">
      <c r="A70" s="5" t="s">
        <v>584</v>
      </c>
      <c r="B70" s="5" t="s">
        <v>572</v>
      </c>
      <c r="C70" s="5" t="s">
        <v>832</v>
      </c>
      <c r="D70" s="5" t="s">
        <v>856</v>
      </c>
      <c r="F70" s="5">
        <v>1</v>
      </c>
      <c r="G70" s="129" t="s">
        <v>1909</v>
      </c>
    </row>
    <row r="71" spans="1:7" ht="90">
      <c r="A71" s="5" t="s">
        <v>584</v>
      </c>
      <c r="B71" s="5" t="s">
        <v>572</v>
      </c>
      <c r="C71" s="5" t="s">
        <v>832</v>
      </c>
      <c r="D71" s="5" t="s">
        <v>856</v>
      </c>
      <c r="F71" s="5">
        <v>2</v>
      </c>
      <c r="G71" s="129" t="s">
        <v>1910</v>
      </c>
    </row>
    <row r="72" spans="1:7" ht="270">
      <c r="A72" s="5" t="s">
        <v>584</v>
      </c>
      <c r="B72" s="5" t="s">
        <v>572</v>
      </c>
      <c r="C72" s="5" t="s">
        <v>832</v>
      </c>
      <c r="D72" s="5" t="s">
        <v>856</v>
      </c>
      <c r="F72" s="5">
        <v>3</v>
      </c>
      <c r="G72" s="129" t="s">
        <v>1911</v>
      </c>
    </row>
    <row r="73" spans="1:7" ht="409.5">
      <c r="A73" s="5" t="s">
        <v>584</v>
      </c>
      <c r="B73" s="5" t="s">
        <v>572</v>
      </c>
      <c r="C73" s="5" t="s">
        <v>832</v>
      </c>
      <c r="D73" s="5" t="s">
        <v>856</v>
      </c>
      <c r="F73" s="5">
        <v>4</v>
      </c>
      <c r="G73" s="129" t="s">
        <v>1912</v>
      </c>
    </row>
    <row r="74" spans="1:7">
      <c r="A74" s="5" t="s">
        <v>584</v>
      </c>
      <c r="B74" s="5" t="s">
        <v>573</v>
      </c>
      <c r="C74" s="5" t="s">
        <v>833</v>
      </c>
      <c r="D74" s="5" t="s">
        <v>857</v>
      </c>
      <c r="F74" s="5">
        <v>1</v>
      </c>
      <c r="G74" s="129" t="s">
        <v>849</v>
      </c>
    </row>
    <row r="75" spans="1:7" ht="75">
      <c r="A75" s="5" t="s">
        <v>584</v>
      </c>
      <c r="B75" s="5" t="s">
        <v>573</v>
      </c>
      <c r="C75" s="5" t="s">
        <v>833</v>
      </c>
      <c r="D75" s="5" t="s">
        <v>857</v>
      </c>
      <c r="F75" s="5">
        <v>2</v>
      </c>
      <c r="G75" s="129" t="s">
        <v>1913</v>
      </c>
    </row>
    <row r="76" spans="1:7" ht="90">
      <c r="A76" s="5" t="s">
        <v>584</v>
      </c>
      <c r="B76" s="5" t="s">
        <v>573</v>
      </c>
      <c r="C76" s="5" t="s">
        <v>833</v>
      </c>
      <c r="D76" s="5" t="s">
        <v>857</v>
      </c>
      <c r="F76" s="5">
        <v>3</v>
      </c>
      <c r="G76" s="129" t="s">
        <v>1914</v>
      </c>
    </row>
    <row r="77" spans="1:7">
      <c r="A77" s="5" t="s">
        <v>584</v>
      </c>
      <c r="B77" s="5" t="s">
        <v>573</v>
      </c>
      <c r="C77" s="5" t="s">
        <v>833</v>
      </c>
      <c r="D77" s="5" t="s">
        <v>858</v>
      </c>
      <c r="F77" s="5">
        <v>1</v>
      </c>
      <c r="G77" s="129" t="s">
        <v>849</v>
      </c>
    </row>
    <row r="78" spans="1:7" ht="75">
      <c r="A78" s="5" t="s">
        <v>584</v>
      </c>
      <c r="B78" s="5" t="s">
        <v>573</v>
      </c>
      <c r="C78" s="5" t="s">
        <v>833</v>
      </c>
      <c r="D78" s="5" t="s">
        <v>858</v>
      </c>
      <c r="F78" s="5">
        <v>2</v>
      </c>
      <c r="G78" s="129" t="s">
        <v>1915</v>
      </c>
    </row>
    <row r="79" spans="1:7" ht="75">
      <c r="A79" s="5" t="s">
        <v>584</v>
      </c>
      <c r="B79" s="5" t="s">
        <v>573</v>
      </c>
      <c r="C79" s="5" t="s">
        <v>833</v>
      </c>
      <c r="D79" s="5" t="s">
        <v>858</v>
      </c>
      <c r="F79" s="5">
        <v>3</v>
      </c>
      <c r="G79" s="129" t="s">
        <v>1916</v>
      </c>
    </row>
    <row r="80" spans="1:7" ht="150">
      <c r="A80" s="5" t="s">
        <v>584</v>
      </c>
      <c r="B80" s="5" t="s">
        <v>573</v>
      </c>
      <c r="C80" s="5" t="s">
        <v>833</v>
      </c>
      <c r="D80" s="5" t="s">
        <v>858</v>
      </c>
      <c r="F80" s="5">
        <v>4</v>
      </c>
      <c r="G80" s="129" t="s">
        <v>1917</v>
      </c>
    </row>
    <row r="81" spans="1:7" ht="90">
      <c r="A81" s="5" t="s">
        <v>584</v>
      </c>
      <c r="B81" s="5" t="s">
        <v>573</v>
      </c>
      <c r="C81" s="5" t="s">
        <v>833</v>
      </c>
      <c r="D81" s="5" t="s">
        <v>858</v>
      </c>
      <c r="F81" s="5">
        <v>5</v>
      </c>
      <c r="G81" s="129" t="s">
        <v>1914</v>
      </c>
    </row>
    <row r="82" spans="1:7">
      <c r="A82" s="5" t="s">
        <v>584</v>
      </c>
      <c r="B82" s="5" t="s">
        <v>573</v>
      </c>
      <c r="C82" s="5" t="s">
        <v>833</v>
      </c>
      <c r="D82" s="5" t="s">
        <v>859</v>
      </c>
      <c r="F82" s="5">
        <v>1</v>
      </c>
      <c r="G82" s="129" t="s">
        <v>849</v>
      </c>
    </row>
    <row r="83" spans="1:7" ht="75">
      <c r="A83" s="5" t="s">
        <v>584</v>
      </c>
      <c r="B83" s="5" t="s">
        <v>573</v>
      </c>
      <c r="C83" s="5" t="s">
        <v>833</v>
      </c>
      <c r="D83" s="5" t="s">
        <v>859</v>
      </c>
      <c r="F83" s="5">
        <v>2</v>
      </c>
      <c r="G83" s="129" t="s">
        <v>1918</v>
      </c>
    </row>
    <row r="84" spans="1:7" ht="75">
      <c r="A84" s="5" t="s">
        <v>584</v>
      </c>
      <c r="B84" s="5" t="s">
        <v>573</v>
      </c>
      <c r="C84" s="5" t="s">
        <v>833</v>
      </c>
      <c r="D84" s="5" t="s">
        <v>859</v>
      </c>
      <c r="F84" s="5">
        <v>3</v>
      </c>
      <c r="G84" s="129" t="s">
        <v>1919</v>
      </c>
    </row>
    <row r="85" spans="1:7" ht="150">
      <c r="A85" s="5" t="s">
        <v>584</v>
      </c>
      <c r="B85" s="5" t="s">
        <v>573</v>
      </c>
      <c r="C85" s="5" t="s">
        <v>833</v>
      </c>
      <c r="D85" s="5" t="s">
        <v>859</v>
      </c>
      <c r="F85" s="5">
        <v>4</v>
      </c>
      <c r="G85" s="129" t="s">
        <v>1917</v>
      </c>
    </row>
    <row r="86" spans="1:7" ht="90">
      <c r="A86" s="5" t="s">
        <v>584</v>
      </c>
      <c r="B86" s="5" t="s">
        <v>573</v>
      </c>
      <c r="C86" s="5" t="s">
        <v>833</v>
      </c>
      <c r="D86" s="5" t="s">
        <v>859</v>
      </c>
      <c r="F86" s="5">
        <v>5</v>
      </c>
      <c r="G86" s="129" t="s">
        <v>1914</v>
      </c>
    </row>
    <row r="87" spans="1:7">
      <c r="A87" s="5" t="s">
        <v>584</v>
      </c>
      <c r="B87" s="5" t="s">
        <v>573</v>
      </c>
      <c r="C87" s="5" t="s">
        <v>833</v>
      </c>
      <c r="D87" s="5" t="s">
        <v>860</v>
      </c>
      <c r="F87" s="5">
        <v>1</v>
      </c>
      <c r="G87" s="129" t="s">
        <v>849</v>
      </c>
    </row>
    <row r="88" spans="1:7" ht="75">
      <c r="A88" s="5" t="s">
        <v>584</v>
      </c>
      <c r="B88" s="5" t="s">
        <v>573</v>
      </c>
      <c r="C88" s="5" t="s">
        <v>833</v>
      </c>
      <c r="D88" s="5" t="s">
        <v>860</v>
      </c>
      <c r="F88" s="5">
        <v>2</v>
      </c>
      <c r="G88" s="129" t="s">
        <v>1920</v>
      </c>
    </row>
    <row r="89" spans="1:7" ht="90">
      <c r="A89" s="5" t="s">
        <v>584</v>
      </c>
      <c r="B89" s="5" t="s">
        <v>573</v>
      </c>
      <c r="C89" s="5" t="s">
        <v>833</v>
      </c>
      <c r="D89" s="5" t="s">
        <v>860</v>
      </c>
      <c r="F89" s="5">
        <v>3</v>
      </c>
      <c r="G89" s="129" t="s">
        <v>1921</v>
      </c>
    </row>
    <row r="90" spans="1:7" ht="90">
      <c r="A90" s="5" t="s">
        <v>584</v>
      </c>
      <c r="B90" s="5" t="s">
        <v>573</v>
      </c>
      <c r="C90" s="5" t="s">
        <v>833</v>
      </c>
      <c r="D90" s="5" t="s">
        <v>860</v>
      </c>
      <c r="F90" s="5">
        <v>4</v>
      </c>
      <c r="G90" s="129" t="s">
        <v>1914</v>
      </c>
    </row>
    <row r="91" spans="1:7">
      <c r="A91" s="5" t="s">
        <v>584</v>
      </c>
      <c r="B91" s="5" t="s">
        <v>573</v>
      </c>
      <c r="C91" s="5" t="s">
        <v>833</v>
      </c>
      <c r="D91" s="5" t="s">
        <v>861</v>
      </c>
      <c r="F91" s="5">
        <v>1</v>
      </c>
      <c r="G91" s="129" t="s">
        <v>849</v>
      </c>
    </row>
    <row r="92" spans="1:7" ht="75">
      <c r="A92" s="5" t="s">
        <v>584</v>
      </c>
      <c r="B92" s="5" t="s">
        <v>573</v>
      </c>
      <c r="C92" s="5" t="s">
        <v>833</v>
      </c>
      <c r="D92" s="5" t="s">
        <v>861</v>
      </c>
      <c r="F92" s="5">
        <v>2</v>
      </c>
      <c r="G92" s="129" t="s">
        <v>1922</v>
      </c>
    </row>
    <row r="93" spans="1:7" ht="90">
      <c r="A93" s="5" t="s">
        <v>584</v>
      </c>
      <c r="B93" s="5" t="s">
        <v>573</v>
      </c>
      <c r="C93" s="5" t="s">
        <v>833</v>
      </c>
      <c r="D93" s="5" t="s">
        <v>861</v>
      </c>
      <c r="F93" s="5">
        <v>3</v>
      </c>
      <c r="G93" s="129" t="s">
        <v>1921</v>
      </c>
    </row>
    <row r="94" spans="1:7" ht="90">
      <c r="A94" s="5" t="s">
        <v>584</v>
      </c>
      <c r="B94" s="5" t="s">
        <v>573</v>
      </c>
      <c r="C94" s="5" t="s">
        <v>833</v>
      </c>
      <c r="D94" s="5" t="s">
        <v>861</v>
      </c>
      <c r="F94" s="5">
        <v>4</v>
      </c>
      <c r="G94" s="129" t="s">
        <v>1914</v>
      </c>
    </row>
    <row r="95" spans="1:7" ht="330">
      <c r="A95" s="5" t="s">
        <v>584</v>
      </c>
      <c r="B95" s="5" t="s">
        <v>571</v>
      </c>
      <c r="C95" s="5" t="s">
        <v>831</v>
      </c>
      <c r="D95" s="5" t="s">
        <v>586</v>
      </c>
      <c r="E95" s="5" t="s">
        <v>918</v>
      </c>
      <c r="F95" s="5">
        <v>1</v>
      </c>
      <c r="G95" s="129" t="s">
        <v>1923</v>
      </c>
    </row>
    <row r="96" spans="1:7" ht="409.5">
      <c r="A96" s="5" t="s">
        <v>584</v>
      </c>
      <c r="B96" s="5" t="s">
        <v>571</v>
      </c>
      <c r="C96" s="5" t="s">
        <v>831</v>
      </c>
      <c r="D96" s="5" t="s">
        <v>586</v>
      </c>
      <c r="E96" s="5" t="s">
        <v>918</v>
      </c>
      <c r="F96" s="5">
        <v>2</v>
      </c>
      <c r="G96" s="129" t="s">
        <v>1924</v>
      </c>
    </row>
    <row r="97" spans="1:7" ht="409.5">
      <c r="A97" s="5" t="s">
        <v>584</v>
      </c>
      <c r="B97" s="5" t="s">
        <v>571</v>
      </c>
      <c r="C97" s="5" t="s">
        <v>831</v>
      </c>
      <c r="D97" s="5" t="s">
        <v>586</v>
      </c>
      <c r="E97" s="5" t="s">
        <v>918</v>
      </c>
      <c r="F97" s="5">
        <v>3</v>
      </c>
      <c r="G97" s="129" t="s">
        <v>1925</v>
      </c>
    </row>
    <row r="98" spans="1:7" ht="409.5">
      <c r="A98" s="5" t="s">
        <v>584</v>
      </c>
      <c r="B98" s="5" t="s">
        <v>571</v>
      </c>
      <c r="C98" s="5" t="s">
        <v>831</v>
      </c>
      <c r="D98" s="5" t="s">
        <v>586</v>
      </c>
      <c r="E98" s="5" t="s">
        <v>918</v>
      </c>
      <c r="F98" s="5">
        <v>4</v>
      </c>
      <c r="G98" s="129" t="s">
        <v>1926</v>
      </c>
    </row>
    <row r="99" spans="1:7" ht="300">
      <c r="A99" s="5" t="s">
        <v>584</v>
      </c>
      <c r="B99" s="5" t="s">
        <v>571</v>
      </c>
      <c r="C99" s="5" t="s">
        <v>831</v>
      </c>
      <c r="D99" s="5" t="s">
        <v>586</v>
      </c>
      <c r="E99" s="5" t="s">
        <v>918</v>
      </c>
      <c r="F99" s="5">
        <v>5</v>
      </c>
      <c r="G99" s="129" t="s">
        <v>1927</v>
      </c>
    </row>
    <row r="100" spans="1:7" ht="210">
      <c r="A100" s="5" t="s">
        <v>584</v>
      </c>
      <c r="B100" s="5" t="s">
        <v>571</v>
      </c>
      <c r="C100" s="5" t="s">
        <v>831</v>
      </c>
      <c r="D100" s="5" t="s">
        <v>586</v>
      </c>
      <c r="E100" s="5" t="s">
        <v>918</v>
      </c>
      <c r="F100" s="5">
        <v>6</v>
      </c>
      <c r="G100" s="129" t="s">
        <v>1928</v>
      </c>
    </row>
    <row r="101" spans="1:7" ht="345">
      <c r="A101" s="5" t="s">
        <v>584</v>
      </c>
      <c r="B101" s="5" t="s">
        <v>571</v>
      </c>
      <c r="C101" s="5" t="s">
        <v>831</v>
      </c>
      <c r="D101" s="5" t="s">
        <v>586</v>
      </c>
      <c r="E101" s="5" t="s">
        <v>918</v>
      </c>
      <c r="F101" s="5">
        <v>7</v>
      </c>
      <c r="G101" s="129" t="s">
        <v>1929</v>
      </c>
    </row>
    <row r="102" spans="1:7" ht="409.5">
      <c r="A102" s="5" t="s">
        <v>584</v>
      </c>
      <c r="B102" s="5" t="s">
        <v>571</v>
      </c>
      <c r="C102" s="5" t="s">
        <v>831</v>
      </c>
      <c r="D102" s="5" t="s">
        <v>586</v>
      </c>
      <c r="E102" s="5" t="s">
        <v>918</v>
      </c>
      <c r="F102" s="5">
        <v>8</v>
      </c>
      <c r="G102" s="129" t="s">
        <v>1930</v>
      </c>
    </row>
    <row r="103" spans="1:7" ht="195">
      <c r="A103" s="5" t="s">
        <v>584</v>
      </c>
      <c r="B103" s="5" t="s">
        <v>571</v>
      </c>
      <c r="C103" s="5" t="s">
        <v>831</v>
      </c>
      <c r="D103" s="5" t="s">
        <v>586</v>
      </c>
      <c r="E103" s="5" t="s">
        <v>918</v>
      </c>
      <c r="F103" s="5">
        <v>9</v>
      </c>
      <c r="G103" s="129" t="s">
        <v>1931</v>
      </c>
    </row>
    <row r="104" spans="1:7" ht="285">
      <c r="A104" s="5" t="s">
        <v>584</v>
      </c>
      <c r="B104" s="5" t="s">
        <v>571</v>
      </c>
      <c r="C104" s="5" t="s">
        <v>831</v>
      </c>
      <c r="D104" s="5" t="s">
        <v>586</v>
      </c>
      <c r="E104" s="5" t="s">
        <v>918</v>
      </c>
      <c r="F104" s="5">
        <v>10</v>
      </c>
      <c r="G104" s="129" t="s">
        <v>1932</v>
      </c>
    </row>
    <row r="105" spans="1:7" ht="409.5">
      <c r="A105" s="5" t="s">
        <v>584</v>
      </c>
      <c r="B105" s="5" t="s">
        <v>571</v>
      </c>
      <c r="C105" s="5" t="s">
        <v>831</v>
      </c>
      <c r="D105" s="5" t="s">
        <v>586</v>
      </c>
      <c r="E105" s="5" t="s">
        <v>918</v>
      </c>
      <c r="F105" s="5">
        <v>11</v>
      </c>
      <c r="G105" s="129" t="s">
        <v>1933</v>
      </c>
    </row>
    <row r="106" spans="1:7" ht="409.5">
      <c r="A106" s="5" t="s">
        <v>584</v>
      </c>
      <c r="B106" s="5" t="s">
        <v>571</v>
      </c>
      <c r="C106" s="5" t="s">
        <v>831</v>
      </c>
      <c r="D106" s="5" t="s">
        <v>586</v>
      </c>
      <c r="E106" s="5" t="s">
        <v>918</v>
      </c>
      <c r="F106" s="5">
        <v>12</v>
      </c>
      <c r="G106" s="129" t="s">
        <v>1934</v>
      </c>
    </row>
    <row r="107" spans="1:7" ht="409.5">
      <c r="A107" s="5" t="s">
        <v>584</v>
      </c>
      <c r="B107" s="5" t="s">
        <v>571</v>
      </c>
      <c r="C107" s="5" t="s">
        <v>831</v>
      </c>
      <c r="D107" s="5" t="s">
        <v>586</v>
      </c>
      <c r="E107" s="5" t="s">
        <v>918</v>
      </c>
      <c r="F107" s="5">
        <v>13</v>
      </c>
      <c r="G107" s="129" t="s">
        <v>1935</v>
      </c>
    </row>
    <row r="108" spans="1:7" ht="390">
      <c r="A108" s="5" t="s">
        <v>584</v>
      </c>
      <c r="B108" s="5" t="s">
        <v>571</v>
      </c>
      <c r="C108" s="5" t="s">
        <v>831</v>
      </c>
      <c r="D108" s="5" t="s">
        <v>586</v>
      </c>
      <c r="E108" s="5" t="s">
        <v>918</v>
      </c>
      <c r="F108" s="5">
        <v>14</v>
      </c>
      <c r="G108" s="129" t="s">
        <v>1936</v>
      </c>
    </row>
    <row r="109" spans="1:7" ht="409.5">
      <c r="A109" s="5" t="s">
        <v>584</v>
      </c>
      <c r="B109" s="5" t="s">
        <v>571</v>
      </c>
      <c r="C109" s="5" t="s">
        <v>831</v>
      </c>
      <c r="D109" s="5" t="s">
        <v>586</v>
      </c>
      <c r="E109" s="5" t="s">
        <v>918</v>
      </c>
      <c r="F109" s="5">
        <v>15</v>
      </c>
      <c r="G109" s="129" t="s">
        <v>1937</v>
      </c>
    </row>
    <row r="110" spans="1:7" ht="409.5">
      <c r="A110" s="5" t="s">
        <v>584</v>
      </c>
      <c r="B110" s="5" t="s">
        <v>571</v>
      </c>
      <c r="C110" s="5" t="s">
        <v>831</v>
      </c>
      <c r="D110" s="5" t="s">
        <v>586</v>
      </c>
      <c r="E110" s="5" t="s">
        <v>918</v>
      </c>
      <c r="F110" s="5">
        <v>16</v>
      </c>
      <c r="G110" s="129" t="s">
        <v>1938</v>
      </c>
    </row>
    <row r="111" spans="1:7">
      <c r="A111" s="5" t="s">
        <v>584</v>
      </c>
      <c r="B111" s="5" t="s">
        <v>573</v>
      </c>
      <c r="C111" s="5" t="s">
        <v>833</v>
      </c>
      <c r="D111" s="5" t="s">
        <v>919</v>
      </c>
      <c r="F111" s="5">
        <v>1</v>
      </c>
      <c r="G111" s="129" t="s">
        <v>849</v>
      </c>
    </row>
    <row r="112" spans="1:7" ht="75">
      <c r="A112" s="5" t="s">
        <v>584</v>
      </c>
      <c r="B112" s="5" t="s">
        <v>573</v>
      </c>
      <c r="C112" s="5" t="s">
        <v>833</v>
      </c>
      <c r="D112" s="5" t="s">
        <v>919</v>
      </c>
      <c r="F112" s="5">
        <v>2</v>
      </c>
      <c r="G112" s="129" t="s">
        <v>1939</v>
      </c>
    </row>
    <row r="113" spans="1:7" ht="180">
      <c r="A113" s="5" t="s">
        <v>584</v>
      </c>
      <c r="B113" s="5" t="s">
        <v>573</v>
      </c>
      <c r="C113" s="5" t="s">
        <v>833</v>
      </c>
      <c r="D113" s="5" t="s">
        <v>919</v>
      </c>
      <c r="F113" s="5">
        <v>3</v>
      </c>
      <c r="G113" s="129" t="s">
        <v>1940</v>
      </c>
    </row>
    <row r="114" spans="1:7" ht="90">
      <c r="A114" s="5" t="s">
        <v>584</v>
      </c>
      <c r="B114" s="5" t="s">
        <v>573</v>
      </c>
      <c r="C114" s="5" t="s">
        <v>833</v>
      </c>
      <c r="D114" s="5" t="s">
        <v>919</v>
      </c>
      <c r="F114" s="5">
        <v>4</v>
      </c>
      <c r="G114" s="129" t="s">
        <v>1914</v>
      </c>
    </row>
    <row r="115" spans="1:7" ht="409.5">
      <c r="A115" s="5" t="s">
        <v>584</v>
      </c>
      <c r="B115" s="5" t="s">
        <v>571</v>
      </c>
      <c r="C115" s="5" t="s">
        <v>831</v>
      </c>
      <c r="D115" s="5" t="s">
        <v>586</v>
      </c>
      <c r="E115" s="5" t="s">
        <v>1941</v>
      </c>
      <c r="F115" s="5">
        <v>1</v>
      </c>
      <c r="G115" s="129" t="s">
        <v>1942</v>
      </c>
    </row>
    <row r="116" spans="1:7" ht="105">
      <c r="A116" s="5" t="s">
        <v>584</v>
      </c>
      <c r="B116" s="5" t="s">
        <v>571</v>
      </c>
      <c r="C116" s="5" t="s">
        <v>831</v>
      </c>
      <c r="D116" s="5" t="s">
        <v>586</v>
      </c>
      <c r="E116" s="5" t="s">
        <v>1941</v>
      </c>
      <c r="F116" s="5">
        <v>2</v>
      </c>
      <c r="G116" s="129" t="s">
        <v>1943</v>
      </c>
    </row>
    <row r="117" spans="1:7" ht="225">
      <c r="A117" s="5" t="s">
        <v>584</v>
      </c>
      <c r="B117" s="5" t="s">
        <v>571</v>
      </c>
      <c r="C117" s="5" t="s">
        <v>831</v>
      </c>
      <c r="D117" s="5" t="s">
        <v>586</v>
      </c>
      <c r="E117" s="5" t="s">
        <v>1941</v>
      </c>
      <c r="F117" s="5">
        <v>3</v>
      </c>
      <c r="G117" s="129" t="s">
        <v>1944</v>
      </c>
    </row>
    <row r="118" spans="1:7" ht="90">
      <c r="A118" s="5" t="s">
        <v>584</v>
      </c>
      <c r="B118" s="5" t="s">
        <v>571</v>
      </c>
      <c r="C118" s="5" t="s">
        <v>831</v>
      </c>
      <c r="D118" s="5" t="s">
        <v>586</v>
      </c>
      <c r="E118" s="5" t="s">
        <v>1945</v>
      </c>
      <c r="F118" s="5">
        <v>1</v>
      </c>
      <c r="G118" s="129" t="s">
        <v>1946</v>
      </c>
    </row>
    <row r="119" spans="1:7" ht="409.5">
      <c r="A119" s="5" t="s">
        <v>584</v>
      </c>
      <c r="B119" s="5" t="s">
        <v>571</v>
      </c>
      <c r="C119" s="5" t="s">
        <v>831</v>
      </c>
      <c r="D119" s="5" t="s">
        <v>586</v>
      </c>
      <c r="E119" s="5" t="s">
        <v>1945</v>
      </c>
      <c r="F119" s="5">
        <v>2</v>
      </c>
      <c r="G119" s="129" t="s">
        <v>1947</v>
      </c>
    </row>
    <row r="120" spans="1:7" ht="90">
      <c r="A120" s="5" t="s">
        <v>584</v>
      </c>
      <c r="B120" s="5" t="s">
        <v>571</v>
      </c>
      <c r="C120" s="5" t="s">
        <v>831</v>
      </c>
      <c r="D120" s="5" t="s">
        <v>586</v>
      </c>
      <c r="E120" s="5" t="s">
        <v>1945</v>
      </c>
      <c r="F120" s="5">
        <v>3</v>
      </c>
      <c r="G120" s="129" t="s">
        <v>1948</v>
      </c>
    </row>
    <row r="121" spans="1:7" ht="180">
      <c r="A121" s="5" t="s">
        <v>584</v>
      </c>
      <c r="B121" s="5" t="s">
        <v>571</v>
      </c>
      <c r="C121" s="5" t="s">
        <v>831</v>
      </c>
      <c r="D121" s="5" t="s">
        <v>586</v>
      </c>
      <c r="E121" s="5" t="s">
        <v>1945</v>
      </c>
      <c r="F121" s="5">
        <v>4</v>
      </c>
      <c r="G121" s="129" t="s">
        <v>1949</v>
      </c>
    </row>
    <row r="122" spans="1:7" ht="45">
      <c r="A122" s="5" t="s">
        <v>584</v>
      </c>
      <c r="B122" s="5" t="s">
        <v>571</v>
      </c>
      <c r="C122" s="5" t="s">
        <v>831</v>
      </c>
      <c r="D122" s="5" t="s">
        <v>586</v>
      </c>
      <c r="E122" s="5" t="s">
        <v>864</v>
      </c>
      <c r="F122" s="5">
        <v>1</v>
      </c>
      <c r="G122" s="129" t="s">
        <v>1950</v>
      </c>
    </row>
    <row r="123" spans="1:7" ht="90">
      <c r="A123" s="5" t="s">
        <v>584</v>
      </c>
      <c r="B123" s="5" t="s">
        <v>571</v>
      </c>
      <c r="C123" s="5" t="s">
        <v>831</v>
      </c>
      <c r="D123" s="5" t="s">
        <v>586</v>
      </c>
      <c r="E123" s="5" t="s">
        <v>864</v>
      </c>
      <c r="F123" s="5">
        <v>2</v>
      </c>
      <c r="G123" s="129" t="s">
        <v>1951</v>
      </c>
    </row>
    <row r="124" spans="1:7" ht="90">
      <c r="A124" s="5" t="s">
        <v>584</v>
      </c>
      <c r="B124" s="5" t="s">
        <v>571</v>
      </c>
      <c r="C124" s="5" t="s">
        <v>831</v>
      </c>
      <c r="D124" s="5" t="s">
        <v>586</v>
      </c>
      <c r="E124" s="5" t="s">
        <v>864</v>
      </c>
      <c r="F124" s="5">
        <v>3</v>
      </c>
      <c r="G124" s="129" t="s">
        <v>1952</v>
      </c>
    </row>
    <row r="125" spans="1:7" ht="409.5">
      <c r="A125" s="5" t="s">
        <v>584</v>
      </c>
      <c r="B125" s="5" t="s">
        <v>571</v>
      </c>
      <c r="C125" s="5" t="s">
        <v>831</v>
      </c>
      <c r="D125" s="5" t="s">
        <v>586</v>
      </c>
      <c r="E125" s="5" t="s">
        <v>864</v>
      </c>
      <c r="F125" s="5">
        <v>4</v>
      </c>
      <c r="G125" s="129" t="s">
        <v>1953</v>
      </c>
    </row>
    <row r="126" spans="1:7" ht="409.5">
      <c r="A126" s="5" t="s">
        <v>584</v>
      </c>
      <c r="B126" s="5" t="s">
        <v>571</v>
      </c>
      <c r="C126" s="5" t="s">
        <v>831</v>
      </c>
      <c r="D126" s="5" t="s">
        <v>586</v>
      </c>
      <c r="E126" s="5" t="s">
        <v>864</v>
      </c>
      <c r="F126" s="5">
        <v>5</v>
      </c>
      <c r="G126" s="129" t="s">
        <v>1954</v>
      </c>
    </row>
    <row r="127" spans="1:7" ht="409.5">
      <c r="A127" s="5" t="s">
        <v>584</v>
      </c>
      <c r="B127" s="5" t="s">
        <v>571</v>
      </c>
      <c r="C127" s="5" t="s">
        <v>831</v>
      </c>
      <c r="D127" s="5" t="s">
        <v>586</v>
      </c>
      <c r="E127" s="5" t="s">
        <v>864</v>
      </c>
      <c r="F127" s="5">
        <v>6</v>
      </c>
      <c r="G127" s="129" t="s">
        <v>1955</v>
      </c>
    </row>
    <row r="128" spans="1:7" ht="375">
      <c r="A128" s="5" t="s">
        <v>584</v>
      </c>
      <c r="B128" s="5" t="s">
        <v>571</v>
      </c>
      <c r="C128" s="5" t="s">
        <v>831</v>
      </c>
      <c r="D128" s="5" t="s">
        <v>586</v>
      </c>
      <c r="E128" s="5" t="s">
        <v>864</v>
      </c>
      <c r="F128" s="5">
        <v>7</v>
      </c>
      <c r="G128" s="129" t="s">
        <v>1956</v>
      </c>
    </row>
    <row r="129" spans="1:7" ht="409.5">
      <c r="A129" s="5" t="s">
        <v>584</v>
      </c>
      <c r="B129" s="5" t="s">
        <v>571</v>
      </c>
      <c r="C129" s="5" t="s">
        <v>831</v>
      </c>
      <c r="D129" s="5" t="s">
        <v>586</v>
      </c>
      <c r="E129" s="5" t="s">
        <v>864</v>
      </c>
      <c r="F129" s="5">
        <v>8</v>
      </c>
      <c r="G129" s="129" t="s">
        <v>1957</v>
      </c>
    </row>
    <row r="130" spans="1:7" ht="30">
      <c r="A130" s="5" t="s">
        <v>584</v>
      </c>
      <c r="B130" s="5" t="s">
        <v>571</v>
      </c>
      <c r="C130" s="5" t="s">
        <v>831</v>
      </c>
      <c r="D130" s="5" t="s">
        <v>586</v>
      </c>
      <c r="E130" s="5" t="s">
        <v>864</v>
      </c>
      <c r="F130" s="5">
        <v>9</v>
      </c>
      <c r="G130" s="129" t="s">
        <v>1958</v>
      </c>
    </row>
    <row r="131" spans="1:7" ht="180">
      <c r="A131" s="5" t="s">
        <v>584</v>
      </c>
      <c r="B131" s="5" t="s">
        <v>571</v>
      </c>
      <c r="C131" s="5" t="s">
        <v>831</v>
      </c>
      <c r="D131" s="5" t="s">
        <v>586</v>
      </c>
      <c r="E131" s="5" t="s">
        <v>864</v>
      </c>
      <c r="F131" s="5">
        <v>10</v>
      </c>
      <c r="G131" s="129" t="s">
        <v>1959</v>
      </c>
    </row>
    <row r="132" spans="1:7" ht="30">
      <c r="A132" s="5" t="s">
        <v>584</v>
      </c>
      <c r="B132" s="5" t="s">
        <v>571</v>
      </c>
      <c r="C132" s="5" t="s">
        <v>831</v>
      </c>
      <c r="D132" s="5" t="s">
        <v>586</v>
      </c>
      <c r="E132" s="5" t="s">
        <v>864</v>
      </c>
      <c r="F132" s="5">
        <v>11</v>
      </c>
      <c r="G132" s="129" t="s">
        <v>1960</v>
      </c>
    </row>
    <row r="133" spans="1:7" ht="180">
      <c r="A133" s="5" t="s">
        <v>584</v>
      </c>
      <c r="B133" s="5" t="s">
        <v>571</v>
      </c>
      <c r="C133" s="5" t="s">
        <v>831</v>
      </c>
      <c r="D133" s="5" t="s">
        <v>586</v>
      </c>
      <c r="E133" s="5" t="s">
        <v>864</v>
      </c>
      <c r="F133" s="5">
        <v>12</v>
      </c>
      <c r="G133" s="129" t="s">
        <v>1961</v>
      </c>
    </row>
    <row r="134" spans="1:7" ht="30">
      <c r="A134" s="5" t="s">
        <v>584</v>
      </c>
      <c r="B134" s="5" t="s">
        <v>571</v>
      </c>
      <c r="C134" s="5" t="s">
        <v>831</v>
      </c>
      <c r="D134" s="5" t="s">
        <v>586</v>
      </c>
      <c r="E134" s="5" t="s">
        <v>864</v>
      </c>
      <c r="F134" s="5">
        <v>13</v>
      </c>
      <c r="G134" s="129" t="s">
        <v>1962</v>
      </c>
    </row>
    <row r="135" spans="1:7" ht="225">
      <c r="A135" s="5" t="s">
        <v>584</v>
      </c>
      <c r="B135" s="5" t="s">
        <v>571</v>
      </c>
      <c r="C135" s="5" t="s">
        <v>831</v>
      </c>
      <c r="D135" s="5" t="s">
        <v>586</v>
      </c>
      <c r="E135" s="5" t="s">
        <v>864</v>
      </c>
      <c r="F135" s="5">
        <v>14</v>
      </c>
      <c r="G135" s="129" t="s">
        <v>1963</v>
      </c>
    </row>
    <row r="136" spans="1:7" ht="30">
      <c r="A136" s="5" t="s">
        <v>584</v>
      </c>
      <c r="B136" s="5" t="s">
        <v>571</v>
      </c>
      <c r="C136" s="5" t="s">
        <v>831</v>
      </c>
      <c r="D136" s="5" t="s">
        <v>586</v>
      </c>
      <c r="E136" s="5" t="s">
        <v>864</v>
      </c>
      <c r="F136" s="5">
        <v>15</v>
      </c>
      <c r="G136" s="129" t="s">
        <v>1964</v>
      </c>
    </row>
    <row r="137" spans="1:7" ht="195">
      <c r="A137" s="5" t="s">
        <v>584</v>
      </c>
      <c r="B137" s="5" t="s">
        <v>571</v>
      </c>
      <c r="C137" s="5" t="s">
        <v>831</v>
      </c>
      <c r="D137" s="5" t="s">
        <v>586</v>
      </c>
      <c r="E137" s="5" t="s">
        <v>864</v>
      </c>
      <c r="F137" s="5">
        <v>16</v>
      </c>
      <c r="G137" s="129" t="s">
        <v>1965</v>
      </c>
    </row>
    <row r="138" spans="1:7" ht="30">
      <c r="A138" s="5" t="s">
        <v>584</v>
      </c>
      <c r="B138" s="5" t="s">
        <v>571</v>
      </c>
      <c r="C138" s="5" t="s">
        <v>831</v>
      </c>
      <c r="D138" s="5" t="s">
        <v>586</v>
      </c>
      <c r="E138" s="5" t="s">
        <v>864</v>
      </c>
      <c r="F138" s="5">
        <v>17</v>
      </c>
      <c r="G138" s="129" t="s">
        <v>1966</v>
      </c>
    </row>
    <row r="139" spans="1:7" ht="210">
      <c r="A139" s="5" t="s">
        <v>584</v>
      </c>
      <c r="B139" s="5" t="s">
        <v>571</v>
      </c>
      <c r="C139" s="5" t="s">
        <v>831</v>
      </c>
      <c r="D139" s="5" t="s">
        <v>586</v>
      </c>
      <c r="E139" s="5" t="s">
        <v>864</v>
      </c>
      <c r="F139" s="5">
        <v>18</v>
      </c>
      <c r="G139" s="129" t="s">
        <v>1967</v>
      </c>
    </row>
    <row r="140" spans="1:7" ht="30">
      <c r="A140" s="5" t="s">
        <v>584</v>
      </c>
      <c r="B140" s="5" t="s">
        <v>571</v>
      </c>
      <c r="C140" s="5" t="s">
        <v>831</v>
      </c>
      <c r="D140" s="5" t="s">
        <v>586</v>
      </c>
      <c r="E140" s="5" t="s">
        <v>864</v>
      </c>
      <c r="F140" s="5">
        <v>19</v>
      </c>
      <c r="G140" s="129" t="s">
        <v>1968</v>
      </c>
    </row>
    <row r="141" spans="1:7" ht="210">
      <c r="A141" s="5" t="s">
        <v>584</v>
      </c>
      <c r="B141" s="5" t="s">
        <v>571</v>
      </c>
      <c r="C141" s="5" t="s">
        <v>831</v>
      </c>
      <c r="D141" s="5" t="s">
        <v>586</v>
      </c>
      <c r="E141" s="5" t="s">
        <v>864</v>
      </c>
      <c r="F141" s="5">
        <v>20</v>
      </c>
      <c r="G141" s="129" t="s">
        <v>1969</v>
      </c>
    </row>
    <row r="142" spans="1:7" ht="409.5">
      <c r="A142" s="5" t="s">
        <v>584</v>
      </c>
      <c r="B142" s="5" t="s">
        <v>571</v>
      </c>
      <c r="C142" s="5" t="s">
        <v>831</v>
      </c>
      <c r="D142" s="5" t="s">
        <v>586</v>
      </c>
      <c r="E142" s="5" t="s">
        <v>864</v>
      </c>
      <c r="F142" s="5">
        <v>21</v>
      </c>
      <c r="G142" s="129" t="s">
        <v>1970</v>
      </c>
    </row>
    <row r="143" spans="1:7" ht="409.5">
      <c r="A143" s="5" t="s">
        <v>584</v>
      </c>
      <c r="B143" s="5" t="s">
        <v>571</v>
      </c>
      <c r="C143" s="5" t="s">
        <v>831</v>
      </c>
      <c r="D143" s="5" t="s">
        <v>586</v>
      </c>
      <c r="E143" s="5" t="s">
        <v>864</v>
      </c>
      <c r="F143" s="5">
        <v>22</v>
      </c>
      <c r="G143" s="129" t="s">
        <v>1971</v>
      </c>
    </row>
    <row r="144" spans="1:7" ht="409.5">
      <c r="A144" s="5" t="s">
        <v>584</v>
      </c>
      <c r="B144" s="5" t="s">
        <v>571</v>
      </c>
      <c r="C144" s="5" t="s">
        <v>831</v>
      </c>
      <c r="D144" s="5" t="s">
        <v>586</v>
      </c>
      <c r="E144" s="5" t="s">
        <v>864</v>
      </c>
      <c r="F144" s="5">
        <v>23</v>
      </c>
      <c r="G144" s="129" t="s">
        <v>1972</v>
      </c>
    </row>
    <row r="145" spans="1:7" ht="30">
      <c r="A145" s="5" t="s">
        <v>584</v>
      </c>
      <c r="B145" s="5" t="s">
        <v>571</v>
      </c>
      <c r="C145" s="5" t="s">
        <v>831</v>
      </c>
      <c r="D145" s="5" t="s">
        <v>586</v>
      </c>
      <c r="E145" s="5" t="s">
        <v>864</v>
      </c>
      <c r="F145" s="5">
        <v>24</v>
      </c>
      <c r="G145" s="129" t="s">
        <v>1973</v>
      </c>
    </row>
    <row r="146" spans="1:7" ht="150">
      <c r="A146" s="5" t="s">
        <v>584</v>
      </c>
      <c r="B146" s="5" t="s">
        <v>571</v>
      </c>
      <c r="C146" s="5" t="s">
        <v>831</v>
      </c>
      <c r="D146" s="5" t="s">
        <v>586</v>
      </c>
      <c r="E146" s="5" t="s">
        <v>864</v>
      </c>
      <c r="F146" s="5">
        <v>25</v>
      </c>
      <c r="G146" s="129" t="s">
        <v>1974</v>
      </c>
    </row>
    <row r="147" spans="1:7" ht="409.5">
      <c r="A147" s="5" t="s">
        <v>584</v>
      </c>
      <c r="B147" s="5" t="s">
        <v>571</v>
      </c>
      <c r="C147" s="5" t="s">
        <v>831</v>
      </c>
      <c r="D147" s="5" t="s">
        <v>586</v>
      </c>
      <c r="E147" s="5" t="s">
        <v>864</v>
      </c>
      <c r="F147" s="5">
        <v>26</v>
      </c>
      <c r="G147" s="129" t="s">
        <v>1975</v>
      </c>
    </row>
    <row r="148" spans="1:7" ht="90">
      <c r="A148" s="5" t="s">
        <v>584</v>
      </c>
      <c r="B148" s="5" t="s">
        <v>571</v>
      </c>
      <c r="C148" s="5" t="s">
        <v>831</v>
      </c>
      <c r="D148" s="5" t="s">
        <v>586</v>
      </c>
      <c r="E148" s="5" t="s">
        <v>864</v>
      </c>
      <c r="F148" s="5">
        <v>27</v>
      </c>
      <c r="G148" s="129" t="s">
        <v>1976</v>
      </c>
    </row>
    <row r="149" spans="1:7" ht="409.5">
      <c r="A149" s="5" t="s">
        <v>584</v>
      </c>
      <c r="B149" s="5" t="s">
        <v>571</v>
      </c>
      <c r="C149" s="5" t="s">
        <v>831</v>
      </c>
      <c r="D149" s="5" t="s">
        <v>586</v>
      </c>
      <c r="E149" s="5" t="s">
        <v>864</v>
      </c>
      <c r="F149" s="5">
        <v>28</v>
      </c>
      <c r="G149" s="129" t="s">
        <v>1977</v>
      </c>
    </row>
    <row r="150" spans="1:7" ht="409.5">
      <c r="A150" s="5" t="s">
        <v>584</v>
      </c>
      <c r="B150" s="5" t="s">
        <v>571</v>
      </c>
      <c r="C150" s="5" t="s">
        <v>831</v>
      </c>
      <c r="D150" s="5" t="s">
        <v>586</v>
      </c>
      <c r="E150" s="5" t="s">
        <v>864</v>
      </c>
      <c r="F150" s="5">
        <v>29</v>
      </c>
      <c r="G150" s="129" t="s">
        <v>1978</v>
      </c>
    </row>
    <row r="151" spans="1:7" ht="150">
      <c r="A151" s="5" t="s">
        <v>584</v>
      </c>
      <c r="B151" s="5" t="s">
        <v>571</v>
      </c>
      <c r="C151" s="5" t="s">
        <v>831</v>
      </c>
      <c r="D151" s="5" t="s">
        <v>586</v>
      </c>
      <c r="E151" s="5" t="s">
        <v>864</v>
      </c>
      <c r="F151" s="5">
        <v>30</v>
      </c>
      <c r="G151" s="129" t="s">
        <v>1979</v>
      </c>
    </row>
    <row r="152" spans="1:7" ht="409.5">
      <c r="A152" s="5" t="s">
        <v>584</v>
      </c>
      <c r="B152" s="5" t="s">
        <v>571</v>
      </c>
      <c r="C152" s="5" t="s">
        <v>831</v>
      </c>
      <c r="D152" s="5" t="s">
        <v>586</v>
      </c>
      <c r="E152" s="5" t="s">
        <v>864</v>
      </c>
      <c r="F152" s="5">
        <v>31</v>
      </c>
      <c r="G152" s="129" t="s">
        <v>1980</v>
      </c>
    </row>
    <row r="153" spans="1:7" ht="409.5">
      <c r="A153" s="5" t="s">
        <v>584</v>
      </c>
      <c r="B153" s="5" t="s">
        <v>571</v>
      </c>
      <c r="C153" s="5" t="s">
        <v>831</v>
      </c>
      <c r="D153" s="5" t="s">
        <v>586</v>
      </c>
      <c r="E153" s="5" t="s">
        <v>864</v>
      </c>
      <c r="F153" s="5">
        <v>32</v>
      </c>
      <c r="G153" s="129" t="s">
        <v>1981</v>
      </c>
    </row>
    <row r="154" spans="1:7" ht="409.5">
      <c r="A154" s="5" t="s">
        <v>584</v>
      </c>
      <c r="B154" s="5" t="s">
        <v>571</v>
      </c>
      <c r="C154" s="5" t="s">
        <v>831</v>
      </c>
      <c r="D154" s="5" t="s">
        <v>586</v>
      </c>
      <c r="E154" s="5" t="s">
        <v>864</v>
      </c>
      <c r="F154" s="5">
        <v>33</v>
      </c>
      <c r="G154" s="129" t="s">
        <v>1982</v>
      </c>
    </row>
    <row r="155" spans="1:7" ht="409.5">
      <c r="A155" s="5" t="s">
        <v>584</v>
      </c>
      <c r="B155" s="5" t="s">
        <v>571</v>
      </c>
      <c r="C155" s="5" t="s">
        <v>831</v>
      </c>
      <c r="D155" s="5" t="s">
        <v>586</v>
      </c>
      <c r="E155" s="5" t="s">
        <v>864</v>
      </c>
      <c r="F155" s="5">
        <v>34</v>
      </c>
      <c r="G155" s="129" t="s">
        <v>1983</v>
      </c>
    </row>
    <row r="156" spans="1:7" ht="409.5">
      <c r="A156" s="5" t="s">
        <v>584</v>
      </c>
      <c r="B156" s="5" t="s">
        <v>571</v>
      </c>
      <c r="C156" s="5" t="s">
        <v>831</v>
      </c>
      <c r="D156" s="5" t="s">
        <v>586</v>
      </c>
      <c r="E156" s="5" t="s">
        <v>864</v>
      </c>
      <c r="F156" s="5">
        <v>35</v>
      </c>
      <c r="G156" s="129" t="s">
        <v>1984</v>
      </c>
    </row>
    <row r="157" spans="1:7" ht="409.5">
      <c r="A157" s="5" t="s">
        <v>584</v>
      </c>
      <c r="B157" s="5" t="s">
        <v>571</v>
      </c>
      <c r="C157" s="5" t="s">
        <v>831</v>
      </c>
      <c r="D157" s="5" t="s">
        <v>586</v>
      </c>
      <c r="E157" s="5" t="s">
        <v>864</v>
      </c>
      <c r="F157" s="5">
        <v>36</v>
      </c>
      <c r="G157" s="129" t="s">
        <v>1985</v>
      </c>
    </row>
    <row r="158" spans="1:7" ht="409.5">
      <c r="A158" s="5" t="s">
        <v>584</v>
      </c>
      <c r="B158" s="5" t="s">
        <v>571</v>
      </c>
      <c r="C158" s="5" t="s">
        <v>831</v>
      </c>
      <c r="D158" s="5" t="s">
        <v>586</v>
      </c>
      <c r="E158" s="5" t="s">
        <v>864</v>
      </c>
      <c r="F158" s="5">
        <v>37</v>
      </c>
      <c r="G158" s="129" t="s">
        <v>1986</v>
      </c>
    </row>
    <row r="159" spans="1:7" ht="409.5">
      <c r="A159" s="5" t="s">
        <v>584</v>
      </c>
      <c r="B159" s="5" t="s">
        <v>571</v>
      </c>
      <c r="C159" s="5" t="s">
        <v>831</v>
      </c>
      <c r="D159" s="5" t="s">
        <v>586</v>
      </c>
      <c r="E159" s="5" t="s">
        <v>864</v>
      </c>
      <c r="F159" s="5">
        <v>38</v>
      </c>
      <c r="G159" s="129" t="s">
        <v>1987</v>
      </c>
    </row>
    <row r="160" spans="1:7" ht="210">
      <c r="A160" s="5" t="s">
        <v>584</v>
      </c>
      <c r="B160" s="5" t="s">
        <v>571</v>
      </c>
      <c r="C160" s="5" t="s">
        <v>831</v>
      </c>
      <c r="D160" s="5" t="s">
        <v>586</v>
      </c>
      <c r="E160" s="5" t="s">
        <v>864</v>
      </c>
      <c r="F160" s="5">
        <v>39</v>
      </c>
      <c r="G160" s="129" t="s">
        <v>1988</v>
      </c>
    </row>
    <row r="161" spans="1:7" ht="409.5">
      <c r="A161" s="5" t="s">
        <v>584</v>
      </c>
      <c r="B161" s="5" t="s">
        <v>571</v>
      </c>
      <c r="C161" s="5" t="s">
        <v>831</v>
      </c>
      <c r="D161" s="5" t="s">
        <v>586</v>
      </c>
      <c r="E161" s="5" t="s">
        <v>864</v>
      </c>
      <c r="F161" s="5">
        <v>40</v>
      </c>
      <c r="G161" s="129" t="s">
        <v>1989</v>
      </c>
    </row>
    <row r="162" spans="1:7" ht="409.5">
      <c r="A162" s="5" t="s">
        <v>584</v>
      </c>
      <c r="B162" s="5" t="s">
        <v>571</v>
      </c>
      <c r="C162" s="5" t="s">
        <v>831</v>
      </c>
      <c r="D162" s="5" t="s">
        <v>586</v>
      </c>
      <c r="E162" s="5" t="s">
        <v>864</v>
      </c>
      <c r="F162" s="5">
        <v>41</v>
      </c>
      <c r="G162" s="129" t="s">
        <v>1990</v>
      </c>
    </row>
    <row r="163" spans="1:7" ht="409.5">
      <c r="A163" s="5" t="s">
        <v>584</v>
      </c>
      <c r="B163" s="5" t="s">
        <v>571</v>
      </c>
      <c r="C163" s="5" t="s">
        <v>831</v>
      </c>
      <c r="D163" s="5" t="s">
        <v>586</v>
      </c>
      <c r="E163" s="5" t="s">
        <v>863</v>
      </c>
      <c r="F163" s="5">
        <v>1</v>
      </c>
      <c r="G163" s="129" t="s">
        <v>1991</v>
      </c>
    </row>
    <row r="164" spans="1:7" ht="45">
      <c r="A164" s="5" t="s">
        <v>584</v>
      </c>
      <c r="B164" s="5" t="s">
        <v>571</v>
      </c>
      <c r="C164" s="5" t="s">
        <v>831</v>
      </c>
      <c r="D164" s="5" t="s">
        <v>586</v>
      </c>
      <c r="E164" s="5" t="s">
        <v>862</v>
      </c>
      <c r="F164" s="5">
        <v>1</v>
      </c>
      <c r="G164" s="129" t="s">
        <v>1992</v>
      </c>
    </row>
    <row r="165" spans="1:7" ht="409.5">
      <c r="A165" s="5" t="s">
        <v>584</v>
      </c>
      <c r="B165" s="5" t="s">
        <v>571</v>
      </c>
      <c r="C165" s="5" t="s">
        <v>831</v>
      </c>
      <c r="D165" s="5" t="s">
        <v>586</v>
      </c>
      <c r="E165" s="5" t="s">
        <v>862</v>
      </c>
      <c r="F165" s="5">
        <v>2</v>
      </c>
      <c r="G165" s="129" t="s">
        <v>1993</v>
      </c>
    </row>
    <row r="166" spans="1:7" ht="409.5">
      <c r="A166" s="5" t="s">
        <v>584</v>
      </c>
      <c r="B166" s="5" t="s">
        <v>571</v>
      </c>
      <c r="C166" s="5" t="s">
        <v>831</v>
      </c>
      <c r="D166" s="5" t="s">
        <v>586</v>
      </c>
      <c r="E166" s="5" t="s">
        <v>862</v>
      </c>
      <c r="F166" s="5">
        <v>3</v>
      </c>
      <c r="G166" s="129" t="s">
        <v>1994</v>
      </c>
    </row>
    <row r="167" spans="1:7" ht="345">
      <c r="A167" s="5" t="s">
        <v>584</v>
      </c>
      <c r="B167" s="5" t="s">
        <v>571</v>
      </c>
      <c r="C167" s="5" t="s">
        <v>831</v>
      </c>
      <c r="D167" s="5" t="s">
        <v>586</v>
      </c>
      <c r="E167" s="5" t="s">
        <v>862</v>
      </c>
      <c r="F167" s="5">
        <v>4</v>
      </c>
      <c r="G167" s="129" t="s">
        <v>1995</v>
      </c>
    </row>
    <row r="168" spans="1:7" ht="409.5">
      <c r="A168" s="5" t="s">
        <v>584</v>
      </c>
      <c r="B168" s="5" t="s">
        <v>571</v>
      </c>
      <c r="C168" s="5" t="s">
        <v>831</v>
      </c>
      <c r="D168" s="5" t="s">
        <v>586</v>
      </c>
      <c r="E168" s="5" t="s">
        <v>862</v>
      </c>
      <c r="F168" s="5">
        <v>5</v>
      </c>
      <c r="G168" s="129" t="s">
        <v>1996</v>
      </c>
    </row>
    <row r="169" spans="1:7" ht="409.5">
      <c r="A169" s="5" t="s">
        <v>584</v>
      </c>
      <c r="B169" s="5" t="s">
        <v>571</v>
      </c>
      <c r="C169" s="5" t="s">
        <v>831</v>
      </c>
      <c r="D169" s="5" t="s">
        <v>586</v>
      </c>
      <c r="E169" s="5" t="s">
        <v>862</v>
      </c>
      <c r="F169" s="5">
        <v>6</v>
      </c>
      <c r="G169" s="129" t="s">
        <v>1997</v>
      </c>
    </row>
    <row r="170" spans="1:7" ht="409.5">
      <c r="A170" s="5" t="s">
        <v>584</v>
      </c>
      <c r="B170" s="5" t="s">
        <v>571</v>
      </c>
      <c r="C170" s="5" t="s">
        <v>831</v>
      </c>
      <c r="D170" s="5" t="s">
        <v>586</v>
      </c>
      <c r="E170" s="5" t="s">
        <v>862</v>
      </c>
      <c r="F170" s="5">
        <v>7</v>
      </c>
      <c r="G170" s="129" t="s">
        <v>1998</v>
      </c>
    </row>
    <row r="171" spans="1:7" ht="409.5">
      <c r="A171" s="5" t="s">
        <v>584</v>
      </c>
      <c r="B171" s="5" t="s">
        <v>571</v>
      </c>
      <c r="C171" s="5" t="s">
        <v>831</v>
      </c>
      <c r="D171" s="5" t="s">
        <v>586</v>
      </c>
      <c r="E171" s="5" t="s">
        <v>862</v>
      </c>
      <c r="F171" s="5">
        <v>8</v>
      </c>
      <c r="G171" s="129" t="s">
        <v>1999</v>
      </c>
    </row>
    <row r="172" spans="1:7" ht="409.5">
      <c r="A172" s="5" t="s">
        <v>584</v>
      </c>
      <c r="B172" s="5" t="s">
        <v>571</v>
      </c>
      <c r="C172" s="5" t="s">
        <v>831</v>
      </c>
      <c r="D172" s="5" t="s">
        <v>586</v>
      </c>
      <c r="E172" s="5" t="s">
        <v>862</v>
      </c>
      <c r="F172" s="5">
        <v>9</v>
      </c>
      <c r="G172" s="129" t="s">
        <v>2000</v>
      </c>
    </row>
    <row r="173" spans="1:7" ht="409.5">
      <c r="A173" s="5" t="s">
        <v>584</v>
      </c>
      <c r="B173" s="5" t="s">
        <v>571</v>
      </c>
      <c r="C173" s="5" t="s">
        <v>831</v>
      </c>
      <c r="D173" s="5" t="s">
        <v>586</v>
      </c>
      <c r="E173" s="5" t="s">
        <v>862</v>
      </c>
      <c r="F173" s="5">
        <v>10</v>
      </c>
      <c r="G173" s="129" t="s">
        <v>2001</v>
      </c>
    </row>
    <row r="174" spans="1:7" ht="360">
      <c r="A174" s="5" t="s">
        <v>584</v>
      </c>
      <c r="B174" s="5" t="s">
        <v>571</v>
      </c>
      <c r="C174" s="5" t="s">
        <v>831</v>
      </c>
      <c r="D174" s="5" t="s">
        <v>586</v>
      </c>
      <c r="E174" s="5" t="s">
        <v>862</v>
      </c>
      <c r="F174" s="5">
        <v>11</v>
      </c>
      <c r="G174" s="129" t="s">
        <v>2002</v>
      </c>
    </row>
    <row r="175" spans="1:7" ht="180">
      <c r="A175" s="5" t="s">
        <v>584</v>
      </c>
      <c r="B175" s="5" t="s">
        <v>571</v>
      </c>
      <c r="C175" s="5" t="s">
        <v>831</v>
      </c>
      <c r="D175" s="5" t="s">
        <v>586</v>
      </c>
      <c r="E175" s="5" t="s">
        <v>862</v>
      </c>
      <c r="F175" s="5">
        <v>12</v>
      </c>
      <c r="G175" s="129" t="s">
        <v>2003</v>
      </c>
    </row>
    <row r="176" spans="1:7" ht="409.5">
      <c r="A176" s="5" t="s">
        <v>584</v>
      </c>
      <c r="B176" s="5" t="s">
        <v>571</v>
      </c>
      <c r="C176" s="5" t="s">
        <v>831</v>
      </c>
      <c r="D176" s="5" t="s">
        <v>586</v>
      </c>
      <c r="E176" s="5" t="s">
        <v>862</v>
      </c>
      <c r="F176" s="5">
        <v>13</v>
      </c>
      <c r="G176" s="129" t="s">
        <v>2004</v>
      </c>
    </row>
    <row r="177" spans="1:7" ht="409.5">
      <c r="A177" s="5" t="s">
        <v>584</v>
      </c>
      <c r="B177" s="5" t="s">
        <v>571</v>
      </c>
      <c r="C177" s="5" t="s">
        <v>831</v>
      </c>
      <c r="D177" s="5" t="s">
        <v>586</v>
      </c>
      <c r="E177" s="5" t="s">
        <v>862</v>
      </c>
      <c r="F177" s="5">
        <v>14</v>
      </c>
      <c r="G177" s="129" t="s">
        <v>2005</v>
      </c>
    </row>
    <row r="178" spans="1:7" ht="195">
      <c r="A178" s="5" t="s">
        <v>584</v>
      </c>
      <c r="B178" s="5" t="s">
        <v>571</v>
      </c>
      <c r="C178" s="5" t="s">
        <v>831</v>
      </c>
      <c r="D178" s="5" t="s">
        <v>586</v>
      </c>
      <c r="E178" s="5" t="s">
        <v>862</v>
      </c>
      <c r="F178" s="5">
        <v>15</v>
      </c>
      <c r="G178" s="129" t="s">
        <v>2006</v>
      </c>
    </row>
    <row r="179" spans="1:7" ht="75">
      <c r="A179" s="5" t="s">
        <v>584</v>
      </c>
      <c r="B179" s="5" t="s">
        <v>571</v>
      </c>
      <c r="C179" s="5" t="s">
        <v>831</v>
      </c>
      <c r="D179" s="5" t="s">
        <v>586</v>
      </c>
      <c r="E179" s="5" t="s">
        <v>862</v>
      </c>
      <c r="F179" s="5">
        <v>16</v>
      </c>
      <c r="G179" s="129" t="s">
        <v>2007</v>
      </c>
    </row>
    <row r="180" spans="1:7" ht="315">
      <c r="A180" s="5" t="s">
        <v>584</v>
      </c>
      <c r="B180" s="5" t="s">
        <v>571</v>
      </c>
      <c r="C180" s="5" t="s">
        <v>831</v>
      </c>
      <c r="D180" s="5" t="s">
        <v>586</v>
      </c>
      <c r="E180" s="5" t="s">
        <v>862</v>
      </c>
      <c r="F180" s="5">
        <v>17</v>
      </c>
      <c r="G180" s="129" t="s">
        <v>2008</v>
      </c>
    </row>
    <row r="181" spans="1:7" ht="240">
      <c r="A181" s="5" t="s">
        <v>584</v>
      </c>
      <c r="B181" s="5" t="s">
        <v>571</v>
      </c>
      <c r="C181" s="5" t="s">
        <v>831</v>
      </c>
      <c r="D181" s="5" t="s">
        <v>586</v>
      </c>
      <c r="E181" s="5" t="s">
        <v>862</v>
      </c>
      <c r="F181" s="5">
        <v>18</v>
      </c>
      <c r="G181" s="129" t="s">
        <v>2009</v>
      </c>
    </row>
    <row r="182" spans="1:7" ht="75">
      <c r="A182" s="5" t="s">
        <v>584</v>
      </c>
      <c r="B182" s="5" t="s">
        <v>571</v>
      </c>
      <c r="C182" s="5" t="s">
        <v>831</v>
      </c>
      <c r="D182" s="5" t="s">
        <v>586</v>
      </c>
      <c r="E182" s="5" t="s">
        <v>862</v>
      </c>
      <c r="F182" s="5">
        <v>19</v>
      </c>
      <c r="G182" s="129" t="s">
        <v>2010</v>
      </c>
    </row>
    <row r="183" spans="1:7" ht="255">
      <c r="A183" s="5" t="s">
        <v>584</v>
      </c>
      <c r="B183" s="5" t="s">
        <v>571</v>
      </c>
      <c r="C183" s="5" t="s">
        <v>831</v>
      </c>
      <c r="D183" s="5" t="s">
        <v>586</v>
      </c>
      <c r="E183" s="5" t="s">
        <v>862</v>
      </c>
      <c r="F183" s="5">
        <v>20</v>
      </c>
      <c r="G183" s="129" t="s">
        <v>2011</v>
      </c>
    </row>
    <row r="184" spans="1:7" ht="195">
      <c r="A184" s="5" t="s">
        <v>584</v>
      </c>
      <c r="B184" s="5" t="s">
        <v>571</v>
      </c>
      <c r="C184" s="5" t="s">
        <v>831</v>
      </c>
      <c r="D184" s="5" t="s">
        <v>586</v>
      </c>
      <c r="E184" s="5" t="s">
        <v>862</v>
      </c>
      <c r="F184" s="5">
        <v>21</v>
      </c>
      <c r="G184" s="129" t="s">
        <v>2012</v>
      </c>
    </row>
    <row r="185" spans="1:7" ht="300">
      <c r="A185" s="5" t="s">
        <v>584</v>
      </c>
      <c r="B185" s="5" t="s">
        <v>571</v>
      </c>
      <c r="C185" s="5" t="s">
        <v>831</v>
      </c>
      <c r="D185" s="5" t="s">
        <v>586</v>
      </c>
      <c r="E185" s="5" t="s">
        <v>862</v>
      </c>
      <c r="F185" s="5">
        <v>22</v>
      </c>
      <c r="G185" s="129" t="s">
        <v>2013</v>
      </c>
    </row>
    <row r="186" spans="1:7" ht="409.5">
      <c r="A186" s="5" t="s">
        <v>584</v>
      </c>
      <c r="B186" s="5" t="s">
        <v>571</v>
      </c>
      <c r="C186" s="5" t="s">
        <v>831</v>
      </c>
      <c r="D186" s="5" t="s">
        <v>586</v>
      </c>
      <c r="E186" s="5" t="s">
        <v>862</v>
      </c>
      <c r="F186" s="5">
        <v>23</v>
      </c>
      <c r="G186" s="129" t="s">
        <v>2014</v>
      </c>
    </row>
    <row r="187" spans="1:7" ht="409.5">
      <c r="A187" s="5" t="s">
        <v>584</v>
      </c>
      <c r="B187" s="5" t="s">
        <v>571</v>
      </c>
      <c r="C187" s="5" t="s">
        <v>831</v>
      </c>
      <c r="D187" s="5" t="s">
        <v>586</v>
      </c>
      <c r="E187" s="5" t="s">
        <v>862</v>
      </c>
      <c r="F187" s="5">
        <v>24</v>
      </c>
      <c r="G187" s="129" t="s">
        <v>2015</v>
      </c>
    </row>
    <row r="188" spans="1:7" ht="409.5">
      <c r="A188" s="5" t="s">
        <v>584</v>
      </c>
      <c r="B188" s="5" t="s">
        <v>571</v>
      </c>
      <c r="C188" s="5" t="s">
        <v>831</v>
      </c>
      <c r="D188" s="5" t="s">
        <v>586</v>
      </c>
      <c r="E188" s="5" t="s">
        <v>862</v>
      </c>
      <c r="F188" s="5">
        <v>25</v>
      </c>
      <c r="G188" s="129" t="s">
        <v>2016</v>
      </c>
    </row>
    <row r="189" spans="1:7" ht="165">
      <c r="A189" s="5" t="s">
        <v>584</v>
      </c>
      <c r="B189" s="5" t="s">
        <v>571</v>
      </c>
      <c r="C189" s="5" t="s">
        <v>831</v>
      </c>
      <c r="D189" s="5" t="s">
        <v>586</v>
      </c>
      <c r="E189" s="5" t="s">
        <v>862</v>
      </c>
      <c r="F189" s="5">
        <v>26</v>
      </c>
      <c r="G189" s="129" t="s">
        <v>2017</v>
      </c>
    </row>
    <row r="190" spans="1:7" ht="409.5">
      <c r="A190" s="5" t="s">
        <v>584</v>
      </c>
      <c r="B190" s="5" t="s">
        <v>571</v>
      </c>
      <c r="C190" s="5" t="s">
        <v>831</v>
      </c>
      <c r="D190" s="5" t="s">
        <v>586</v>
      </c>
      <c r="E190" s="5" t="s">
        <v>862</v>
      </c>
      <c r="F190" s="5">
        <v>27</v>
      </c>
      <c r="G190" s="129" t="s">
        <v>2018</v>
      </c>
    </row>
    <row r="191" spans="1:7" ht="405">
      <c r="A191" s="5" t="s">
        <v>584</v>
      </c>
      <c r="B191" s="5" t="s">
        <v>571</v>
      </c>
      <c r="C191" s="5" t="s">
        <v>831</v>
      </c>
      <c r="D191" s="5" t="s">
        <v>586</v>
      </c>
      <c r="E191" s="5" t="s">
        <v>862</v>
      </c>
      <c r="F191" s="5">
        <v>28</v>
      </c>
      <c r="G191" s="129" t="s">
        <v>2019</v>
      </c>
    </row>
    <row r="192" spans="1:7" ht="409.5">
      <c r="A192" s="5" t="s">
        <v>584</v>
      </c>
      <c r="B192" s="5" t="s">
        <v>571</v>
      </c>
      <c r="C192" s="5" t="s">
        <v>831</v>
      </c>
      <c r="D192" s="5" t="s">
        <v>586</v>
      </c>
      <c r="E192" s="5" t="s">
        <v>862</v>
      </c>
      <c r="F192" s="5">
        <v>29</v>
      </c>
      <c r="G192" s="129" t="s">
        <v>2020</v>
      </c>
    </row>
    <row r="193" spans="1:7" ht="210">
      <c r="A193" s="5" t="s">
        <v>584</v>
      </c>
      <c r="B193" s="5" t="s">
        <v>571</v>
      </c>
      <c r="C193" s="5" t="s">
        <v>831</v>
      </c>
      <c r="D193" s="5" t="s">
        <v>586</v>
      </c>
      <c r="E193" s="5" t="s">
        <v>862</v>
      </c>
      <c r="F193" s="5">
        <v>30</v>
      </c>
      <c r="G193" s="129" t="s">
        <v>2021</v>
      </c>
    </row>
    <row r="194" spans="1:7" ht="195">
      <c r="A194" s="5" t="s">
        <v>584</v>
      </c>
      <c r="B194" s="5" t="s">
        <v>571</v>
      </c>
      <c r="C194" s="5" t="s">
        <v>831</v>
      </c>
      <c r="D194" s="5" t="s">
        <v>586</v>
      </c>
      <c r="E194" s="5" t="s">
        <v>862</v>
      </c>
      <c r="F194" s="5">
        <v>31</v>
      </c>
      <c r="G194" s="129" t="s">
        <v>2022</v>
      </c>
    </row>
    <row r="195" spans="1:7" ht="150">
      <c r="A195" s="5" t="s">
        <v>584</v>
      </c>
      <c r="B195" s="5" t="s">
        <v>571</v>
      </c>
      <c r="C195" s="5" t="s">
        <v>831</v>
      </c>
      <c r="D195" s="5" t="s">
        <v>586</v>
      </c>
      <c r="E195" s="5" t="s">
        <v>862</v>
      </c>
      <c r="F195" s="5">
        <v>32</v>
      </c>
      <c r="G195" s="129" t="s">
        <v>2023</v>
      </c>
    </row>
    <row r="196" spans="1:7" ht="409.5">
      <c r="A196" s="5" t="s">
        <v>584</v>
      </c>
      <c r="B196" s="5" t="s">
        <v>571</v>
      </c>
      <c r="C196" s="5" t="s">
        <v>831</v>
      </c>
      <c r="D196" s="5" t="s">
        <v>586</v>
      </c>
      <c r="E196" s="5" t="s">
        <v>862</v>
      </c>
      <c r="F196" s="5">
        <v>33</v>
      </c>
      <c r="G196" s="129" t="s">
        <v>2024</v>
      </c>
    </row>
    <row r="197" spans="1:7" ht="30">
      <c r="A197" s="5" t="s">
        <v>584</v>
      </c>
      <c r="B197" s="5" t="s">
        <v>571</v>
      </c>
      <c r="C197" s="5" t="s">
        <v>831</v>
      </c>
      <c r="D197" s="5" t="s">
        <v>586</v>
      </c>
      <c r="E197" s="5" t="s">
        <v>862</v>
      </c>
      <c r="F197" s="5">
        <v>34</v>
      </c>
      <c r="G197" s="129" t="s">
        <v>2025</v>
      </c>
    </row>
    <row r="198" spans="1:7" ht="180">
      <c r="A198" s="5" t="s">
        <v>584</v>
      </c>
      <c r="B198" s="5" t="s">
        <v>571</v>
      </c>
      <c r="C198" s="5" t="s">
        <v>831</v>
      </c>
      <c r="D198" s="5" t="s">
        <v>586</v>
      </c>
      <c r="E198" s="5" t="s">
        <v>862</v>
      </c>
      <c r="F198" s="5">
        <v>35</v>
      </c>
      <c r="G198" s="129" t="s">
        <v>2026</v>
      </c>
    </row>
    <row r="199" spans="1:7" ht="30">
      <c r="A199" s="5" t="s">
        <v>584</v>
      </c>
      <c r="B199" s="5" t="s">
        <v>571</v>
      </c>
      <c r="C199" s="5" t="s">
        <v>831</v>
      </c>
      <c r="D199" s="5" t="s">
        <v>586</v>
      </c>
      <c r="E199" s="5" t="s">
        <v>862</v>
      </c>
      <c r="F199" s="5">
        <v>36</v>
      </c>
      <c r="G199" s="129" t="s">
        <v>2027</v>
      </c>
    </row>
    <row r="200" spans="1:7" ht="180">
      <c r="A200" s="5" t="s">
        <v>584</v>
      </c>
      <c r="B200" s="5" t="s">
        <v>571</v>
      </c>
      <c r="C200" s="5" t="s">
        <v>831</v>
      </c>
      <c r="D200" s="5" t="s">
        <v>586</v>
      </c>
      <c r="E200" s="5" t="s">
        <v>862</v>
      </c>
      <c r="F200" s="5">
        <v>37</v>
      </c>
      <c r="G200" s="129" t="s">
        <v>2028</v>
      </c>
    </row>
    <row r="201" spans="1:7" ht="409.5">
      <c r="A201" s="5" t="s">
        <v>584</v>
      </c>
      <c r="B201" s="5" t="s">
        <v>571</v>
      </c>
      <c r="C201" s="5" t="s">
        <v>831</v>
      </c>
      <c r="D201" s="5" t="s">
        <v>586</v>
      </c>
      <c r="E201" s="5" t="s">
        <v>862</v>
      </c>
      <c r="F201" s="5">
        <v>38</v>
      </c>
      <c r="G201" s="129" t="s">
        <v>2029</v>
      </c>
    </row>
    <row r="202" spans="1:7" ht="180">
      <c r="A202" s="5" t="s">
        <v>584</v>
      </c>
      <c r="B202" s="5" t="s">
        <v>571</v>
      </c>
      <c r="C202" s="5" t="s">
        <v>831</v>
      </c>
      <c r="D202" s="5" t="s">
        <v>586</v>
      </c>
      <c r="E202" s="5" t="s">
        <v>862</v>
      </c>
      <c r="F202" s="5">
        <v>39</v>
      </c>
      <c r="G202" s="129" t="s">
        <v>2030</v>
      </c>
    </row>
    <row r="203" spans="1:7" ht="195">
      <c r="A203" s="5" t="s">
        <v>584</v>
      </c>
      <c r="B203" s="5" t="s">
        <v>571</v>
      </c>
      <c r="C203" s="5" t="s">
        <v>831</v>
      </c>
      <c r="D203" s="5" t="s">
        <v>586</v>
      </c>
      <c r="E203" s="5" t="s">
        <v>862</v>
      </c>
      <c r="F203" s="5">
        <v>40</v>
      </c>
      <c r="G203" s="129" t="s">
        <v>1931</v>
      </c>
    </row>
    <row r="204" spans="1:7" ht="195">
      <c r="A204" s="5" t="s">
        <v>584</v>
      </c>
      <c r="B204" s="5" t="s">
        <v>571</v>
      </c>
      <c r="C204" s="5" t="s">
        <v>831</v>
      </c>
      <c r="D204" s="5" t="s">
        <v>586</v>
      </c>
      <c r="E204" s="5" t="s">
        <v>862</v>
      </c>
      <c r="F204" s="5">
        <v>41</v>
      </c>
      <c r="G204" s="129" t="s">
        <v>2031</v>
      </c>
    </row>
    <row r="205" spans="1:7" ht="409.5">
      <c r="A205" s="5" t="s">
        <v>584</v>
      </c>
      <c r="B205" s="5" t="s">
        <v>571</v>
      </c>
      <c r="C205" s="5" t="s">
        <v>831</v>
      </c>
      <c r="D205" s="5" t="s">
        <v>586</v>
      </c>
      <c r="E205" s="5" t="s">
        <v>862</v>
      </c>
      <c r="F205" s="5">
        <v>42</v>
      </c>
      <c r="G205" s="129" t="s">
        <v>2032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A846-5918-48C1-BF9A-FF268A45C0E5}">
  <sheetPr codeName="meta_PackageDocumentation"/>
  <dimension ref="A1:J25"/>
  <sheetViews>
    <sheetView zoomScale="120" zoomScaleNormal="120" workbookViewId="0">
      <pane ySplit="1" topLeftCell="A14" activePane="bottomLeft" state="frozen"/>
      <selection activeCell="F11" sqref="F11"/>
      <selection pane="bottomLeft" activeCell="E14" sqref="E14"/>
    </sheetView>
  </sheetViews>
  <sheetFormatPr defaultColWidth="8.85546875" defaultRowHeight="15" outlineLevelCol="1"/>
  <cols>
    <col min="1" max="1" width="9.42578125" style="5" customWidth="1" outlineLevel="1"/>
    <col min="2" max="2" width="16.42578125" style="5" customWidth="1" outlineLevel="1"/>
    <col min="3" max="3" width="21.140625" style="5" bestFit="1" customWidth="1"/>
    <col min="4" max="4" width="16.5703125" style="5" customWidth="1"/>
    <col min="5" max="5" width="16.140625" style="5" customWidth="1"/>
    <col min="6" max="6" width="11.85546875" style="5" customWidth="1"/>
    <col min="7" max="7" width="16.85546875" style="5" customWidth="1"/>
    <col min="8" max="8" width="143.42578125" style="5" customWidth="1"/>
    <col min="9" max="16384" width="8.85546875" style="5"/>
  </cols>
  <sheetData>
    <row r="1" spans="1:10">
      <c r="A1" s="81" t="s">
        <v>0</v>
      </c>
      <c r="B1" s="81" t="s">
        <v>230</v>
      </c>
      <c r="C1" s="81" t="s">
        <v>5</v>
      </c>
      <c r="D1" s="64" t="s">
        <v>120</v>
      </c>
      <c r="E1" s="64" t="s">
        <v>461</v>
      </c>
      <c r="F1" s="64" t="s">
        <v>645</v>
      </c>
      <c r="G1" s="64" t="s">
        <v>646</v>
      </c>
      <c r="H1" s="64" t="s">
        <v>84</v>
      </c>
    </row>
    <row r="2" spans="1:10" ht="345">
      <c r="A2" s="82" t="s">
        <v>1810</v>
      </c>
      <c r="B2" s="65" t="s">
        <v>639</v>
      </c>
      <c r="C2" s="87" t="s">
        <v>820</v>
      </c>
      <c r="D2" s="88" t="s">
        <v>792</v>
      </c>
      <c r="E2" s="88"/>
      <c r="F2" s="88">
        <v>1</v>
      </c>
      <c r="G2" s="89" t="s">
        <v>793</v>
      </c>
      <c r="H2" s="90" t="s">
        <v>796</v>
      </c>
    </row>
    <row r="3" spans="1:10" ht="30">
      <c r="A3" s="82" t="s">
        <v>1811</v>
      </c>
      <c r="B3" s="65" t="s">
        <v>639</v>
      </c>
      <c r="C3" s="87" t="s">
        <v>820</v>
      </c>
      <c r="D3" s="88" t="s">
        <v>754</v>
      </c>
      <c r="E3" s="88"/>
      <c r="F3" s="88">
        <v>1</v>
      </c>
      <c r="G3" s="89" t="s">
        <v>648</v>
      </c>
      <c r="H3" s="90" t="s">
        <v>649</v>
      </c>
    </row>
    <row r="4" spans="1:10" ht="270">
      <c r="A4" s="82" t="s">
        <v>1812</v>
      </c>
      <c r="B4" s="65" t="s">
        <v>639</v>
      </c>
      <c r="C4" s="87" t="s">
        <v>820</v>
      </c>
      <c r="D4" s="88" t="s">
        <v>754</v>
      </c>
      <c r="E4" s="91"/>
      <c r="F4" s="91">
        <v>2</v>
      </c>
      <c r="G4" s="89" t="s">
        <v>650</v>
      </c>
      <c r="H4" s="90" t="s">
        <v>651</v>
      </c>
    </row>
    <row r="5" spans="1:10" ht="150">
      <c r="A5" s="82" t="s">
        <v>1813</v>
      </c>
      <c r="B5" s="65" t="s">
        <v>639</v>
      </c>
      <c r="C5" s="87" t="str">
        <f xml:space="preserve"> IF( TRIM( meta_PackageDocumentation[[#This Row],[Kind:src]] ) = "", "",
        INDEX( meta_Classifiers[Display Qualified], MATCH( meta_PackageDocumentation[[#This Row],[Kind:src]], meta_Classifiers[ID], 0 ) ) )</f>
        <v>PackageDocumentation</v>
      </c>
      <c r="D5" s="88" t="s">
        <v>754</v>
      </c>
      <c r="E5" s="89" t="s">
        <v>757</v>
      </c>
      <c r="F5" s="89">
        <v>3</v>
      </c>
      <c r="G5" s="89" t="s">
        <v>652</v>
      </c>
      <c r="H5" s="90" t="s">
        <v>653</v>
      </c>
    </row>
    <row r="6" spans="1:10" ht="75">
      <c r="A6" s="82" t="s">
        <v>1814</v>
      </c>
      <c r="B6" s="65" t="s">
        <v>639</v>
      </c>
      <c r="C6" s="87" t="s">
        <v>820</v>
      </c>
      <c r="D6" s="88" t="s">
        <v>754</v>
      </c>
      <c r="E6" s="89" t="s">
        <v>756</v>
      </c>
      <c r="F6" s="89">
        <v>4</v>
      </c>
      <c r="G6" s="89" t="s">
        <v>654</v>
      </c>
      <c r="H6" s="90" t="s">
        <v>655</v>
      </c>
    </row>
    <row r="7" spans="1:10" ht="195">
      <c r="A7" s="82" t="s">
        <v>1815</v>
      </c>
      <c r="B7" s="65" t="s">
        <v>639</v>
      </c>
      <c r="C7" s="87" t="s">
        <v>820</v>
      </c>
      <c r="D7" s="88" t="s">
        <v>754</v>
      </c>
      <c r="E7" s="89" t="s">
        <v>755</v>
      </c>
      <c r="F7" s="89">
        <v>5</v>
      </c>
      <c r="G7" s="89" t="s">
        <v>656</v>
      </c>
      <c r="H7" s="90" t="s">
        <v>657</v>
      </c>
    </row>
    <row r="8" spans="1:10" ht="270">
      <c r="A8" s="82" t="s">
        <v>1816</v>
      </c>
      <c r="B8" s="65" t="s">
        <v>639</v>
      </c>
      <c r="C8" s="87" t="s">
        <v>820</v>
      </c>
      <c r="D8" s="88" t="s">
        <v>754</v>
      </c>
      <c r="E8" s="89" t="s">
        <v>755</v>
      </c>
      <c r="F8" s="89">
        <v>6</v>
      </c>
      <c r="G8" s="89" t="s">
        <v>658</v>
      </c>
      <c r="H8" s="90" t="s">
        <v>659</v>
      </c>
    </row>
    <row r="9" spans="1:10" ht="75">
      <c r="A9" s="82" t="s">
        <v>1817</v>
      </c>
      <c r="B9" s="65" t="s">
        <v>639</v>
      </c>
      <c r="C9" s="87" t="s">
        <v>820</v>
      </c>
      <c r="D9" s="88" t="s">
        <v>821</v>
      </c>
      <c r="E9" s="88"/>
      <c r="F9" s="88">
        <v>1</v>
      </c>
      <c r="G9" s="89" t="s">
        <v>648</v>
      </c>
      <c r="H9" s="90" t="s">
        <v>826</v>
      </c>
    </row>
    <row r="10" spans="1:10" ht="105">
      <c r="A10" s="82" t="s">
        <v>1818</v>
      </c>
      <c r="B10" s="65" t="s">
        <v>639</v>
      </c>
      <c r="C10" s="87" t="s">
        <v>820</v>
      </c>
      <c r="D10" s="88" t="s">
        <v>821</v>
      </c>
      <c r="E10" s="91"/>
      <c r="F10" s="91">
        <v>2</v>
      </c>
      <c r="G10" s="89" t="s">
        <v>650</v>
      </c>
      <c r="H10" s="90" t="s">
        <v>827</v>
      </c>
    </row>
    <row r="11" spans="1:10">
      <c r="A11" s="82" t="s">
        <v>1819</v>
      </c>
      <c r="B11" s="65" t="s">
        <v>639</v>
      </c>
      <c r="C11" s="87" t="s">
        <v>820</v>
      </c>
      <c r="D11" s="88" t="s">
        <v>821</v>
      </c>
      <c r="E11" s="89" t="s">
        <v>757</v>
      </c>
      <c r="F11" s="89">
        <v>3</v>
      </c>
      <c r="G11" s="89" t="s">
        <v>652</v>
      </c>
      <c r="H11" s="90"/>
    </row>
    <row r="12" spans="1:10">
      <c r="A12" s="82" t="s">
        <v>1820</v>
      </c>
      <c r="B12" s="65" t="s">
        <v>639</v>
      </c>
      <c r="C12" s="87" t="s">
        <v>820</v>
      </c>
      <c r="D12" s="103" t="s">
        <v>821</v>
      </c>
      <c r="E12" s="89" t="s">
        <v>756</v>
      </c>
      <c r="F12" s="89">
        <v>4</v>
      </c>
      <c r="G12" s="89" t="s">
        <v>654</v>
      </c>
      <c r="H12" s="90"/>
    </row>
    <row r="13" spans="1:10" ht="240">
      <c r="A13" s="82" t="s">
        <v>1821</v>
      </c>
      <c r="B13" s="65" t="s">
        <v>639</v>
      </c>
      <c r="C13" s="87" t="s">
        <v>820</v>
      </c>
      <c r="D13" s="103" t="s">
        <v>821</v>
      </c>
      <c r="E13" s="89" t="s">
        <v>755</v>
      </c>
      <c r="F13" s="89">
        <v>5</v>
      </c>
      <c r="G13" s="89" t="s">
        <v>822</v>
      </c>
      <c r="H13" s="90" t="s">
        <v>824</v>
      </c>
      <c r="J13" s="7"/>
    </row>
    <row r="14" spans="1:10" ht="409.5">
      <c r="A14" s="82" t="s">
        <v>1822</v>
      </c>
      <c r="B14" s="65" t="s">
        <v>639</v>
      </c>
      <c r="C14" s="87" t="s">
        <v>820</v>
      </c>
      <c r="D14" s="103" t="s">
        <v>821</v>
      </c>
      <c r="E14" s="89" t="s">
        <v>755</v>
      </c>
      <c r="F14" s="89">
        <v>6</v>
      </c>
      <c r="G14" s="89" t="s">
        <v>823</v>
      </c>
      <c r="H14" s="90" t="s">
        <v>825</v>
      </c>
    </row>
    <row r="15" spans="1:10">
      <c r="A15" s="82" t="s">
        <v>1823</v>
      </c>
      <c r="B15" s="65" t="s">
        <v>639</v>
      </c>
      <c r="C15" s="87"/>
      <c r="D15" s="122" t="s">
        <v>1834</v>
      </c>
      <c r="E15" s="89" t="s">
        <v>1835</v>
      </c>
      <c r="F15" s="89">
        <v>1</v>
      </c>
      <c r="G15" s="89" t="s">
        <v>1836</v>
      </c>
      <c r="H15" s="90"/>
    </row>
    <row r="16" spans="1:10">
      <c r="A16" s="82" t="s">
        <v>1824</v>
      </c>
      <c r="B16" s="65" t="s">
        <v>639</v>
      </c>
      <c r="C16" s="87"/>
      <c r="D16" s="122" t="s">
        <v>1834</v>
      </c>
      <c r="E16" s="89" t="s">
        <v>1835</v>
      </c>
      <c r="F16" s="89"/>
      <c r="G16" s="89" t="s">
        <v>1837</v>
      </c>
      <c r="H16" s="90"/>
    </row>
    <row r="17" spans="1:8">
      <c r="A17" s="82" t="s">
        <v>1825</v>
      </c>
      <c r="B17" s="65" t="s">
        <v>639</v>
      </c>
      <c r="C17" s="87"/>
      <c r="D17" s="122" t="s">
        <v>1834</v>
      </c>
      <c r="E17" s="89" t="s">
        <v>1835</v>
      </c>
      <c r="F17" s="89"/>
      <c r="G17" s="89" t="s">
        <v>1838</v>
      </c>
      <c r="H17" s="90"/>
    </row>
    <row r="18" spans="1:8">
      <c r="A18" s="82" t="s">
        <v>1826</v>
      </c>
      <c r="B18" s="65" t="s">
        <v>639</v>
      </c>
      <c r="C18" s="87"/>
      <c r="D18" s="122" t="s">
        <v>1834</v>
      </c>
      <c r="E18" s="89" t="s">
        <v>1835</v>
      </c>
      <c r="F18" s="89"/>
      <c r="G18" s="89" t="s">
        <v>1839</v>
      </c>
      <c r="H18" s="90"/>
    </row>
    <row r="19" spans="1:8">
      <c r="A19" s="82" t="s">
        <v>1827</v>
      </c>
      <c r="B19" s="65" t="s">
        <v>639</v>
      </c>
      <c r="C19" s="87"/>
      <c r="D19" s="122" t="s">
        <v>1834</v>
      </c>
      <c r="E19" s="89" t="s">
        <v>1835</v>
      </c>
      <c r="F19" s="89"/>
      <c r="G19" s="89" t="s">
        <v>1840</v>
      </c>
      <c r="H19" s="90"/>
    </row>
    <row r="20" spans="1:8">
      <c r="A20" s="82" t="s">
        <v>1828</v>
      </c>
      <c r="B20" s="65" t="s">
        <v>639</v>
      </c>
      <c r="C20" s="87"/>
      <c r="D20" s="122" t="s">
        <v>1834</v>
      </c>
      <c r="E20" s="89" t="s">
        <v>1835</v>
      </c>
      <c r="F20" s="89"/>
      <c r="G20" s="89" t="s">
        <v>1841</v>
      </c>
      <c r="H20" s="90"/>
    </row>
    <row r="21" spans="1:8">
      <c r="A21" s="82" t="s">
        <v>1829</v>
      </c>
      <c r="B21" s="65" t="s">
        <v>647</v>
      </c>
      <c r="C21" s="87" t="s">
        <v>820</v>
      </c>
      <c r="D21" s="89" t="s">
        <v>660</v>
      </c>
      <c r="E21" s="89"/>
      <c r="F21" s="89"/>
      <c r="G21" s="89" t="s">
        <v>661</v>
      </c>
      <c r="H21" s="90" t="s">
        <v>662</v>
      </c>
    </row>
    <row r="22" spans="1:8" ht="165">
      <c r="A22" s="82" t="s">
        <v>1830</v>
      </c>
      <c r="B22" s="65" t="s">
        <v>647</v>
      </c>
      <c r="C22" s="87" t="s">
        <v>820</v>
      </c>
      <c r="D22" s="89" t="s">
        <v>748</v>
      </c>
      <c r="E22" s="89"/>
      <c r="F22" s="89"/>
      <c r="G22" s="89" t="s">
        <v>661</v>
      </c>
      <c r="H22" s="90" t="s">
        <v>758</v>
      </c>
    </row>
    <row r="23" spans="1:8" ht="30">
      <c r="A23" s="82" t="s">
        <v>1831</v>
      </c>
      <c r="B23" s="65" t="s">
        <v>647</v>
      </c>
      <c r="C23" s="87" t="s">
        <v>820</v>
      </c>
      <c r="D23" s="89" t="s">
        <v>780</v>
      </c>
      <c r="E23" s="89"/>
      <c r="F23" s="89">
        <v>1</v>
      </c>
      <c r="G23" s="89" t="s">
        <v>648</v>
      </c>
      <c r="H23" s="90" t="s">
        <v>781</v>
      </c>
    </row>
    <row r="24" spans="1:8" ht="75">
      <c r="A24" s="82" t="s">
        <v>1832</v>
      </c>
      <c r="C24" s="87" t="s">
        <v>820</v>
      </c>
      <c r="D24" s="89" t="s">
        <v>780</v>
      </c>
      <c r="E24" s="89"/>
      <c r="F24" s="89">
        <v>2</v>
      </c>
      <c r="G24" s="89" t="s">
        <v>650</v>
      </c>
      <c r="H24" s="90" t="s">
        <v>782</v>
      </c>
    </row>
    <row r="25" spans="1:8" ht="30">
      <c r="A25" s="82" t="s">
        <v>1833</v>
      </c>
      <c r="C25" s="87" t="s">
        <v>820</v>
      </c>
      <c r="D25" s="89" t="s">
        <v>780</v>
      </c>
      <c r="E25" s="89" t="s">
        <v>755</v>
      </c>
      <c r="F25" s="89">
        <v>3</v>
      </c>
      <c r="G25" s="89" t="s">
        <v>784</v>
      </c>
      <c r="H25" s="90" t="s">
        <v>783</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eta_Tables">
    <tabColor theme="9" tint="0.39997558519241921"/>
  </sheetPr>
  <dimension ref="A1:O22"/>
  <sheetViews>
    <sheetView zoomScaleNormal="100" workbookViewId="0">
      <selection activeCell="C2" sqref="C2"/>
    </sheetView>
  </sheetViews>
  <sheetFormatPr defaultColWidth="11.42578125" defaultRowHeight="13.5" customHeight="1" outlineLevelCol="1"/>
  <cols>
    <col min="1" max="1" width="21.42578125" customWidth="1"/>
    <col min="2" max="2" width="16.42578125" customWidth="1" outlineLevel="1"/>
    <col min="3" max="3" width="18.42578125" customWidth="1"/>
    <col min="4" max="4" width="13.42578125" bestFit="1" customWidth="1"/>
    <col min="5" max="5" width="6.85546875" bestFit="1" customWidth="1"/>
    <col min="6" max="6" width="20.42578125" customWidth="1"/>
    <col min="7" max="8" width="43.42578125" customWidth="1" outlineLevel="1"/>
    <col min="9" max="9" width="14.42578125" customWidth="1"/>
    <col min="10" max="10" width="44.140625" customWidth="1" outlineLevel="1"/>
    <col min="11" max="11" width="28.140625" bestFit="1" customWidth="1"/>
    <col min="12" max="12" width="24.42578125" customWidth="1" outlineLevel="1"/>
    <col min="13" max="13" width="26.140625" bestFit="1" customWidth="1"/>
    <col min="14" max="14" width="9.42578125" customWidth="1"/>
    <col min="15" max="15" width="107.85546875" style="63" customWidth="1"/>
  </cols>
  <sheetData>
    <row r="1" spans="1:15" s="17" customFormat="1" ht="112.5" customHeight="1">
      <c r="A1" s="106" t="s">
        <v>0</v>
      </c>
      <c r="B1" s="16" t="s">
        <v>230</v>
      </c>
      <c r="C1" s="106" t="s">
        <v>5</v>
      </c>
      <c r="D1" s="16" t="s">
        <v>120</v>
      </c>
      <c r="E1" s="16" t="s">
        <v>461</v>
      </c>
      <c r="F1" s="106" t="s">
        <v>543</v>
      </c>
      <c r="G1" s="16" t="s">
        <v>806</v>
      </c>
      <c r="H1" s="16" t="s">
        <v>32</v>
      </c>
      <c r="I1" s="106" t="s">
        <v>1</v>
      </c>
      <c r="J1" s="16" t="s">
        <v>998</v>
      </c>
      <c r="K1" s="16" t="s">
        <v>471</v>
      </c>
      <c r="L1" s="106" t="s">
        <v>545</v>
      </c>
      <c r="M1" s="16" t="s">
        <v>751</v>
      </c>
      <c r="N1" s="21" t="s">
        <v>1802</v>
      </c>
      <c r="O1" s="62" t="s">
        <v>1801</v>
      </c>
    </row>
    <row r="2" spans="1:15" ht="13.5" customHeight="1">
      <c r="A2" s="117" t="s">
        <v>1449</v>
      </c>
      <c r="B2" t="s">
        <v>541</v>
      </c>
      <c r="C2" s="24" t="str">
        <f xml:space="preserve"> IF( TRIM( meta_Tables[[#This Row],[Kind:src]] ) = "", "",
        INDEX( meta_Classifiers[Display Qualified], MATCH( meta_Tables[[#This Row],[Kind:src]], meta_Classifiers[ID], 0 ) ) )</f>
        <v>ExcelTable</v>
      </c>
      <c r="D2" s="24" t="s">
        <v>142</v>
      </c>
      <c r="E2" s="24"/>
      <c r="F2" s="109"/>
      <c r="G2" s="109" t="str">
        <f>IF(meta_Tables[[#This Row],[Package]]="","",meta_Tables[[#This Row],[Package]]&amp;"::")&amp;meta_Tables[[#This Row],[Display]]</f>
        <v>meta::TablesRowTemplate</v>
      </c>
      <c r="H2" s="109" t="str" cm="1">
        <f t="array" ref="H2">_xlfn.IFNA(INDEX(meta_Names[Camel Upper], MATCH(meta_Tables[[#This Row],[Name]],meta_Names[String],0)),camelCaseUpper(meta_Tables[[#This Row],[Name]]))</f>
        <v>TablesRowTemplate</v>
      </c>
      <c r="I2" s="24" t="s">
        <v>1604</v>
      </c>
      <c r="K2" s="24" t="str">
        <f xml:space="preserve"> IF( TRIM( meta_Tables[[#This Row],[Instances Class:src]] ) = "", "",
        INDEX( meta_Classifiers[Display Qualified], MATCH( meta_Tables[[#This Row],[Instances Class:src]], meta_Classifiers[ID], 0 ) ) )</f>
        <v/>
      </c>
      <c r="L2" s="80"/>
      <c r="M2" s="110"/>
      <c r="N2" t="str">
        <f>IF(ROW()=2,"",INDEX(meta_Tables[Excel Formula for Column Label Actual Calculation], ROW()-2))</f>
        <v/>
      </c>
      <c r="O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c>
    </row>
    <row r="3" spans="1:15" ht="13.5" customHeight="1">
      <c r="A3" t="s">
        <v>1010</v>
      </c>
      <c r="B3" t="s">
        <v>541</v>
      </c>
      <c r="C3" s="24" t="str">
        <f xml:space="preserve"> IF( TRIM( meta_Tables[[#This Row],[Kind:src]] ) = "", "",
        INDEX( meta_Classifiers[Display Qualified], MATCH( meta_Tables[[#This Row],[Kind:src]], meta_Classifiers[ID], 0 ) ) )</f>
        <v>ExcelTable</v>
      </c>
      <c r="D3" s="24" t="str">
        <f>IFERROR(LEFT(meta_Tables[[#This Row],[Excel Table - Excel Name]],FIND("_",meta_Tables[[#This Row],[Excel Table - Excel Name]])-1),"")</f>
        <v>meta</v>
      </c>
      <c r="E3" s="24"/>
      <c r="F3" s="109" t="s">
        <v>837</v>
      </c>
      <c r="G3" t="str">
        <f>IF(meta_Tables[[#This Row],[Package]]="","",meta_Tables[[#This Row],[Package]]&amp;"::")&amp;meta_Tables[[#This Row],[Display]]</f>
        <v>meta::Classifiers</v>
      </c>
      <c r="H3" s="109" t="str" cm="1">
        <f t="array" ref="H3">_xlfn.IFNA(INDEX(meta_Names[Camel Upper], MATCH(meta_Tables[[#This Row],[Name]],meta_Names[String],0)),camelCaseUpper(meta_Tables[[#This Row],[Name]]))</f>
        <v>Classifiers</v>
      </c>
      <c r="I3" s="24" t="s">
        <v>2</v>
      </c>
      <c r="J3" t="s">
        <v>211</v>
      </c>
      <c r="K3" s="24" t="str">
        <f xml:space="preserve"> IF( TRIM( meta_Tables[[#This Row],[Instances Class:src]] ) = "", "",
        INDEX( meta_Classifiers[Display Qualified], MATCH( meta_Tables[[#This Row],[Instances Class:src]], meta_Classifiers[ID], 0 ) ) )</f>
        <v>Classifier</v>
      </c>
      <c r="L3" s="80" t="s">
        <v>2</v>
      </c>
      <c r="M3" s="110"/>
      <c r="N3" t="str">
        <f>IF(ROW()=2,"",INDEX(meta_Tables[Excel Formula for Column Label Actual Calculation], ROW()-2))</f>
        <v/>
      </c>
      <c r="O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v>
      </c>
    </row>
    <row r="4" spans="1:15" ht="13.5" customHeight="1">
      <c r="A4" t="s">
        <v>1018</v>
      </c>
      <c r="B4" t="s">
        <v>541</v>
      </c>
      <c r="C4" s="24" t="str">
        <f xml:space="preserve"> IF( TRIM( meta_Tables[[#This Row],[Kind:src]] ) = "", "",
        INDEX( meta_Classifiers[Display Qualified], MATCH( meta_Tables[[#This Row],[Kind:src]], meta_Classifiers[ID], 0 ) ) )</f>
        <v>ExcelTable</v>
      </c>
      <c r="D4" s="24" t="str">
        <f>IFERROR(LEFT(meta_Tables[[#This Row],[Excel Table - Excel Name]],FIND("_",meta_Tables[[#This Row],[Excel Table - Excel Name]])-1),"")</f>
        <v>meta</v>
      </c>
      <c r="E4" s="24"/>
      <c r="F4" t="s">
        <v>851</v>
      </c>
      <c r="G4" t="str">
        <f>IF(meta_Tables[[#This Row],[Package]]="","",meta_Tables[[#This Row],[Package]]&amp;"::")&amp;meta_Tables[[#This Row],[Display]]</f>
        <v>meta::CodeTemplates</v>
      </c>
      <c r="H4" s="109" t="str" cm="1">
        <f t="array" ref="H4">_xlfn.IFNA(INDEX(meta_Names[Camel Upper], MATCH(meta_Tables[[#This Row],[Name]],meta_Names[String],0)),camelCaseUpper(meta_Tables[[#This Row],[Name]]))</f>
        <v>CodeTemplates</v>
      </c>
      <c r="I4" s="24" t="s">
        <v>869</v>
      </c>
      <c r="J4" t="s">
        <v>160</v>
      </c>
      <c r="K4" s="24" t="str">
        <f xml:space="preserve"> IF( TRIM( meta_Tables[[#This Row],[Instances Class:src]] ) = "", "",
        INDEX( meta_Classifiers[Display Qualified], MATCH( meta_Tables[[#This Row],[Instances Class:src]], meta_Classifiers[ID], 0 ) ) )</f>
        <v>Object</v>
      </c>
      <c r="L4" s="80" t="s">
        <v>869</v>
      </c>
      <c r="M4" s="110"/>
      <c r="N4" t="str">
        <f>IF(ROW()=2,"",INDEX(meta_Tables[Excel Formula for Column Label Actual Calculation], ROW()-2))</f>
        <v xml:space="preserve">IF([@[Owning Table:src]]="_meta::Classifiers",INDEX(meta_Classifiers[#Headers],[@Position]),
</v>
      </c>
      <c r="O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v>
      </c>
    </row>
    <row r="5" spans="1:15" ht="13.5" customHeight="1">
      <c r="A5" t="s">
        <v>1013</v>
      </c>
      <c r="B5" t="s">
        <v>541</v>
      </c>
      <c r="C5" s="24" t="str">
        <f xml:space="preserve"> IF( TRIM( meta_Tables[[#This Row],[Kind:src]] ) = "", "",
        INDEX( meta_Classifiers[Display Qualified], MATCH( meta_Tables[[#This Row],[Kind:src]], meta_Classifiers[ID], 0 ) ) )</f>
        <v>ExcelTable</v>
      </c>
      <c r="D5" s="24" t="str">
        <f>IFERROR(LEFT(meta_Tables[[#This Row],[Excel Table - Excel Name]],FIND("_",meta_Tables[[#This Row],[Excel Table - Excel Name]])-1),"")</f>
        <v>meta</v>
      </c>
      <c r="E5" s="24"/>
      <c r="F5" s="109" t="s">
        <v>842</v>
      </c>
      <c r="G5" t="str">
        <f>IF(meta_Tables[[#This Row],[Package]]="","",meta_Tables[[#This Row],[Package]]&amp;"::")&amp;meta_Tables[[#This Row],[Display]]</f>
        <v>meta::Columns</v>
      </c>
      <c r="H5" s="109" t="str" cm="1">
        <f t="array" ref="H5">_xlfn.IFNA(INDEX(meta_Names[Camel Upper], MATCH(meta_Tables[[#This Row],[Name]],meta_Names[String],0)),camelCaseUpper(meta_Tables[[#This Row],[Name]]))</f>
        <v>Columns</v>
      </c>
      <c r="I5" s="24" t="s">
        <v>456</v>
      </c>
      <c r="J5" t="s">
        <v>457</v>
      </c>
      <c r="K5" s="24" t="str">
        <f xml:space="preserve"> IF( TRIM( meta_Tables[[#This Row],[Instances Class:src]] ) = "", "",
        INDEX( meta_Classifiers[Display Qualified], MATCH( meta_Tables[[#This Row],[Instances Class:src]], meta_Classifiers[ID], 0 ) ) )</f>
        <v>Column</v>
      </c>
      <c r="L5" s="80" t="s">
        <v>456</v>
      </c>
      <c r="M5" s="110"/>
      <c r="N5" t="str">
        <f>IF(ROW()=2,"",INDEX(meta_Tables[Excel Formula for Column Label Actual Calculation], ROW()-2))</f>
        <v xml:space="preserve">IF([@[Owning Table:src]]="_meta::Classifiers",INDEX(meta_Classifiers[#Headers],[@Position]),
IF([@[Owning Table:src]]="_meta::CodeTemplates",INDEX(meta_CodeTemplates[#Headers],[@Position]),
</v>
      </c>
      <c r="O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v>
      </c>
    </row>
    <row r="6" spans="1:15" ht="13.5" customHeight="1">
      <c r="A6" t="s">
        <v>1016</v>
      </c>
      <c r="B6" t="s">
        <v>541</v>
      </c>
      <c r="C6" s="24" t="str">
        <f xml:space="preserve"> IF( TRIM( meta_Tables[[#This Row],[Kind:src]] ) = "", "",
        INDEX( meta_Classifiers[Display Qualified], MATCH( meta_Tables[[#This Row],[Kind:src]], meta_Classifiers[ID], 0 ) ) )</f>
        <v>ExcelTable</v>
      </c>
      <c r="D6" s="24" t="str">
        <f>IFERROR(LEFT(meta_Tables[[#This Row],[Excel Table - Excel Name]],FIND("_",meta_Tables[[#This Row],[Excel Table - Excel Name]])-1),"")</f>
        <v>meta</v>
      </c>
      <c r="E6" s="24"/>
      <c r="F6" s="109" t="s">
        <v>866</v>
      </c>
      <c r="G6" t="str">
        <f>IF(meta_Tables[[#This Row],[Package]]="","",meta_Tables[[#This Row],[Package]]&amp;"::")&amp;meta_Tables[[#This Row],[Display]]</f>
        <v>meta::DocumentVersions</v>
      </c>
      <c r="H6" s="109" t="str" cm="1">
        <f t="array" ref="H6">_xlfn.IFNA(INDEX(meta_Names[Camel Upper], MATCH(meta_Tables[[#This Row],[Name]],meta_Names[String],0)),camelCaseUpper(meta_Tables[[#This Row],[Name]]))</f>
        <v>DocumentVersions</v>
      </c>
      <c r="I6" s="24" t="s">
        <v>943</v>
      </c>
      <c r="K6" s="24" t="str">
        <f xml:space="preserve"> IF( TRIM( meta_Tables[[#This Row],[Instances Class:src]] ) = "", "",
        INDEX( meta_Classifiers[Display Qualified], MATCH( meta_Tables[[#This Row],[Instances Class:src]], meta_Classifiers[ID], 0 ) ) )</f>
        <v/>
      </c>
      <c r="L6" s="80" t="s">
        <v>867</v>
      </c>
      <c r="M6" s="110"/>
      <c r="N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v>
      </c>
      <c r="O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row>
    <row r="7" spans="1:15" ht="13.5" customHeight="1">
      <c r="A7" t="s">
        <v>1015</v>
      </c>
      <c r="B7" t="s">
        <v>541</v>
      </c>
      <c r="C7" s="24" t="str">
        <f xml:space="preserve"> IF( TRIM( meta_Tables[[#This Row],[Kind:src]] ) = "", "",
        INDEX( meta_Classifiers[Display Qualified], MATCH( meta_Tables[[#This Row],[Kind:src]], meta_Classifiers[ID], 0 ) ) )</f>
        <v>ExcelTable</v>
      </c>
      <c r="D7" s="24" t="str">
        <f>IFERROR(LEFT(meta_Tables[[#This Row],[Excel Table - Excel Name]],FIND("_",meta_Tables[[#This Row],[Excel Table - Excel Name]])-1),"")</f>
        <v>meta</v>
      </c>
      <c r="E7" s="24"/>
      <c r="F7" s="109" t="s">
        <v>847</v>
      </c>
      <c r="G7" t="str">
        <f>IF(meta_Tables[[#This Row],[Package]]="","",meta_Tables[[#This Row],[Package]]&amp;"::")&amp;meta_Tables[[#This Row],[Display]]</f>
        <v>meta::Literals</v>
      </c>
      <c r="H7" s="109" t="str" cm="1">
        <f t="array" ref="H7">_xlfn.IFNA(INDEX(meta_Names[Camel Upper], MATCH(meta_Tables[[#This Row],[Name]],meta_Names[String],0)),camelCaseUpper(meta_Tables[[#This Row],[Name]]))</f>
        <v>Literals</v>
      </c>
      <c r="I7" s="24" t="s">
        <v>73</v>
      </c>
      <c r="J7" t="s">
        <v>216</v>
      </c>
      <c r="K7" s="24" t="str">
        <f xml:space="preserve"> IF( TRIM( meta_Tables[[#This Row],[Instances Class:src]] ) = "", "",
        INDEX( meta_Classifiers[Display Qualified], MATCH( meta_Tables[[#This Row],[Instances Class:src]], meta_Classifiers[ID], 0 ) ) )</f>
        <v>Literal</v>
      </c>
      <c r="L7" s="80" t="s">
        <v>73</v>
      </c>
      <c r="M7" s="110"/>
      <c r="N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c r="O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row>
    <row r="8" spans="1:15" ht="13.5" customHeight="1">
      <c r="A8" t="s">
        <v>1481</v>
      </c>
      <c r="B8" t="s">
        <v>541</v>
      </c>
      <c r="C8" s="24" t="str">
        <f xml:space="preserve"> IF( TRIM( meta_Tables[[#This Row],[Kind:src]] ) = "", "",
        INDEX( meta_Classifiers[Display Qualified], MATCH( meta_Tables[[#This Row],[Kind:src]], meta_Classifiers[ID], 0 ) ) )</f>
        <v>ExcelTable</v>
      </c>
      <c r="D8" s="24" t="str">
        <f>IFERROR(LEFT(meta_Tables[[#This Row],[Excel Table - Excel Name]],FIND("_",meta_Tables[[#This Row],[Excel Table - Excel Name]])-1),"")</f>
        <v>meta</v>
      </c>
      <c r="E8" s="24"/>
      <c r="F8" s="109" t="s">
        <v>1482</v>
      </c>
      <c r="G8" t="str">
        <f>IF(meta_Tables[[#This Row],[Package]]="","",meta_Tables[[#This Row],[Package]]&amp;"::")&amp;meta_Tables[[#This Row],[Display]]</f>
        <v>meta::Names</v>
      </c>
      <c r="H8" s="109" t="str" cm="1">
        <f t="array" ref="H8">_xlfn.IFNA(INDEX(meta_Names[Camel Upper], MATCH(meta_Tables[[#This Row],[Name]],meta_Names[String],0)),camelCaseUpper(meta_Tables[[#This Row],[Name]]))</f>
        <v>Names</v>
      </c>
      <c r="I8" s="24" t="s">
        <v>1483</v>
      </c>
      <c r="K8" s="24" t="str">
        <f xml:space="preserve"> IF( TRIM( meta_Tables[[#This Row],[Instances Class:src]] ) = "", "",
        INDEX( meta_Classifiers[Display Qualified], MATCH( meta_Tables[[#This Row],[Instances Class:src]], meta_Classifiers[ID], 0 ) ) )</f>
        <v/>
      </c>
      <c r="L8" s="80" t="s">
        <v>1483</v>
      </c>
      <c r="M8" s="110"/>
      <c r="N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c r="O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row>
    <row r="9" spans="1:15" ht="13.5" customHeight="1">
      <c r="A9" t="s">
        <v>1008</v>
      </c>
      <c r="B9" t="s">
        <v>541</v>
      </c>
      <c r="C9" s="24" t="str">
        <f xml:space="preserve"> IF( TRIM( meta_Tables[[#This Row],[Kind:src]] ) = "", "",
        INDEX( meta_Classifiers[Display Qualified], MATCH( meta_Tables[[#This Row],[Kind:src]], meta_Classifiers[ID], 0 ) ) )</f>
        <v>ExcelTable</v>
      </c>
      <c r="D9" s="24" t="str">
        <f>IFERROR(LEFT(meta_Tables[[#This Row],[Excel Table - Excel Name]],FIND("_",meta_Tables[[#This Row],[Excel Table - Excel Name]])-1),"")</f>
        <v>meta</v>
      </c>
      <c r="E9" s="24"/>
      <c r="F9" s="109" t="s">
        <v>841</v>
      </c>
      <c r="G9" s="109" t="str">
        <f>IF(meta_Tables[[#This Row],[Package]]="","",meta_Tables[[#This Row],[Package]]&amp;"::")&amp;meta_Tables[[#This Row],[Display]]</f>
        <v>meta::PackageDocumentation</v>
      </c>
      <c r="H9" s="109" t="str" cm="1">
        <f t="array" ref="H9">_xlfn.IFNA(INDEX(meta_Names[Camel Upper], MATCH(meta_Tables[[#This Row],[Name]],meta_Names[String],0)),camelCaseUpper(meta_Tables[[#This Row],[Name]]))</f>
        <v>PackageDocumentation</v>
      </c>
      <c r="I9" s="24" t="s">
        <v>640</v>
      </c>
      <c r="J9" t="s">
        <v>639</v>
      </c>
      <c r="K9" s="24" t="str">
        <f xml:space="preserve"> IF( TRIM( meta_Tables[[#This Row],[Instances Class:src]] ) = "", "",
        INDEX( meta_Classifiers[Display Qualified], MATCH( meta_Tables[[#This Row],[Instances Class:src]], meta_Classifiers[ID], 0 ) ) )</f>
        <v>PackageDocumentation</v>
      </c>
      <c r="L9" s="80" t="s">
        <v>640</v>
      </c>
      <c r="M9" s="110"/>
      <c r="N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c r="O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row>
    <row r="10" spans="1:15" ht="13.5" customHeight="1">
      <c r="A10" t="s">
        <v>1014</v>
      </c>
      <c r="B10" t="s">
        <v>541</v>
      </c>
      <c r="C10" s="24" t="str">
        <f xml:space="preserve"> IF( TRIM( meta_Tables[[#This Row],[Kind:src]] ) = "", "",
        INDEX( meta_Classifiers[Display Qualified], MATCH( meta_Tables[[#This Row],[Kind:src]], meta_Classifiers[ID], 0 ) ) )</f>
        <v>ExcelTable</v>
      </c>
      <c r="D10" s="24" t="str">
        <f>IFERROR(LEFT(meta_Tables[[#This Row],[Excel Table - Excel Name]],FIND("_",meta_Tables[[#This Row],[Excel Table - Excel Name]])-1),"")</f>
        <v>meta</v>
      </c>
      <c r="E10" s="24"/>
      <c r="F10" s="109" t="s">
        <v>846</v>
      </c>
      <c r="G10" t="str">
        <f>IF(meta_Tables[[#This Row],[Package]]="","",meta_Tables[[#This Row],[Package]]&amp;"::")&amp;meta_Tables[[#This Row],[Display]]</f>
        <v>meta::Rules</v>
      </c>
      <c r="H10" s="109" t="str" cm="1">
        <f t="array" ref="H10">_xlfn.IFNA(INDEX(meta_Names[Camel Upper], MATCH(meta_Tables[[#This Row],[Name]],meta_Names[String],0)),camelCaseUpper(meta_Tables[[#This Row],[Name]]))</f>
        <v>Rules</v>
      </c>
      <c r="I10" s="24" t="s">
        <v>3</v>
      </c>
      <c r="J10" t="s">
        <v>217</v>
      </c>
      <c r="K10" s="24" t="str">
        <f xml:space="preserve"> IF( TRIM( meta_Tables[[#This Row],[Instances Class:src]] ) = "", "",
        INDEX( meta_Classifiers[Display Qualified], MATCH( meta_Tables[[#This Row],[Instances Class:src]], meta_Classifiers[ID], 0 ) ) )</f>
        <v>Rule</v>
      </c>
      <c r="L10" s="80" t="s">
        <v>3</v>
      </c>
      <c r="M10" s="110"/>
      <c r="N1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c r="O1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row>
    <row r="11" spans="1:15" ht="13.5" customHeight="1">
      <c r="A11" t="s">
        <v>1019</v>
      </c>
      <c r="B11" t="s">
        <v>541</v>
      </c>
      <c r="C11" s="24" t="str">
        <f xml:space="preserve"> IF( TRIM( meta_Tables[[#This Row],[Kind:src]] ) = "", "",
        INDEX( meta_Classifiers[Display Qualified], MATCH( meta_Tables[[#This Row],[Kind:src]], meta_Classifiers[ID], 0 ) ) )</f>
        <v>ExcelTable</v>
      </c>
      <c r="D11" s="24" t="str">
        <f>IFERROR(LEFT(meta_Tables[[#This Row],[Excel Table - Excel Name]],FIND("_",meta_Tables[[#This Row],[Excel Table - Excel Name]])-1),"")</f>
        <v>meta</v>
      </c>
      <c r="E11" s="24"/>
      <c r="F11" t="s">
        <v>870</v>
      </c>
      <c r="G11" t="str">
        <f>IF(meta_Tables[[#This Row],[Package]]="","",meta_Tables[[#This Row],[Package]]&amp;"::")&amp;meta_Tables[[#This Row],[Display]]</f>
        <v>meta::SimpleTestPattern</v>
      </c>
      <c r="H11" s="109" t="str" cm="1">
        <f t="array" ref="H11">_xlfn.IFNA(INDEX(meta_Names[Camel Upper], MATCH(meta_Tables[[#This Row],[Name]],meta_Names[String],0)),camelCaseUpper(meta_Tables[[#This Row],[Name]]))</f>
        <v>SimpleTestPattern</v>
      </c>
      <c r="I11" s="24" t="s">
        <v>871</v>
      </c>
      <c r="K11" s="24" t="str">
        <f xml:space="preserve"> IF( TRIM( meta_Tables[[#This Row],[Instances Class:src]] ) = "", "",
        INDEX( meta_Classifiers[Display Qualified], MATCH( meta_Tables[[#This Row],[Instances Class:src]], meta_Classifiers[ID], 0 ) ) )</f>
        <v/>
      </c>
      <c r="L11" s="80" t="s">
        <v>871</v>
      </c>
      <c r="M11" s="110"/>
      <c r="N1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c r="O1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row>
    <row r="12" spans="1:15" ht="13.5" customHeight="1">
      <c r="A12" t="s">
        <v>1009</v>
      </c>
      <c r="B12" t="s">
        <v>541</v>
      </c>
      <c r="C12" s="24" t="str">
        <f xml:space="preserve"> IF( TRIM( meta_Tables[[#This Row],[Kind:src]] ) = "", "",
        INDEX( meta_Classifiers[Display Qualified], MATCH( meta_Tables[[#This Row],[Kind:src]], meta_Classifiers[ID], 0 ) ) )</f>
        <v>ExcelTable</v>
      </c>
      <c r="D12" s="24" t="str">
        <f>IFERROR(LEFT(meta_Tables[[#This Row],[Excel Table - Excel Name]],FIND("_",meta_Tables[[#This Row],[Excel Table - Excel Name]])-1),"")</f>
        <v>meta</v>
      </c>
      <c r="E12" s="24"/>
      <c r="F12" s="109" t="s">
        <v>840</v>
      </c>
      <c r="G12" t="str">
        <f>IF(meta_Tables[[#This Row],[Package]]="","",meta_Tables[[#This Row],[Package]]&amp;"::")&amp;meta_Tables[[#This Row],[Display]]</f>
        <v>meta::Snippets</v>
      </c>
      <c r="H12" s="109" t="str" cm="1">
        <f t="array" ref="H12">_xlfn.IFNA(INDEX(meta_Names[Camel Upper], MATCH(meta_Tables[[#This Row],[Name]],meta_Names[String],0)),camelCaseUpper(meta_Tables[[#This Row],[Name]]))</f>
        <v>Snippets</v>
      </c>
      <c r="I12" s="24" t="s">
        <v>585</v>
      </c>
      <c r="J12" t="s">
        <v>570</v>
      </c>
      <c r="K12" s="24" t="str">
        <f xml:space="preserve"> IF( TRIM( meta_Tables[[#This Row],[Instances Class:src]] ) = "", "",
        INDEX( meta_Classifiers[Display Qualified], MATCH( meta_Tables[[#This Row],[Instances Class:src]], meta_Classifiers[ID], 0 ) ) )</f>
        <v>Snippet</v>
      </c>
      <c r="L12" s="80" t="s">
        <v>585</v>
      </c>
      <c r="M12" s="110"/>
      <c r="N1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c r="O1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row>
    <row r="13" spans="1:15" ht="13.5" customHeight="1">
      <c r="A13" t="s">
        <v>1017</v>
      </c>
      <c r="B13" t="s">
        <v>541</v>
      </c>
      <c r="C13" s="24" t="str">
        <f xml:space="preserve"> IF( TRIM( meta_Tables[[#This Row],[Kind:src]] ) = "", "",
        INDEX( meta_Classifiers[Display Qualified], MATCH( meta_Tables[[#This Row],[Kind:src]], meta_Classifiers[ID], 0 ) ) )</f>
        <v>ExcelTable</v>
      </c>
      <c r="D13" s="24" t="str">
        <f>IFERROR(LEFT(meta_Tables[[#This Row],[Excel Table - Excel Name]],FIND("_",meta_Tables[[#This Row],[Excel Table - Excel Name]])-1),"")</f>
        <v>meta</v>
      </c>
      <c r="E13" s="24"/>
      <c r="F13" t="s">
        <v>850</v>
      </c>
      <c r="G13" t="str">
        <f>IF(meta_Tables[[#This Row],[Package]]="","",meta_Tables[[#This Row],[Package]]&amp;"::")&amp;meta_Tables[[#This Row],[Display]]</f>
        <v>meta::TablePatterns</v>
      </c>
      <c r="H13" s="109" t="str" cm="1">
        <f t="array" ref="H13">_xlfn.IFNA(INDEX(meta_Names[Camel Upper], MATCH(meta_Tables[[#This Row],[Name]],meta_Names[String],0)),camelCaseUpper(meta_Tables[[#This Row],[Name]]))</f>
        <v>TablePatterns</v>
      </c>
      <c r="I13" s="24" t="s">
        <v>868</v>
      </c>
      <c r="K13" s="24" t="str">
        <f xml:space="preserve"> IF( TRIM( meta_Tables[[#This Row],[Instances Class:src]] ) = "", "",
        INDEX( meta_Classifiers[Display Qualified], MATCH( meta_Tables[[#This Row],[Instances Class:src]], meta_Classifiers[ID], 0 ) ) )</f>
        <v/>
      </c>
      <c r="L13" s="80" t="s">
        <v>868</v>
      </c>
      <c r="M13" s="110"/>
      <c r="N13"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c r="O1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row>
    <row r="14" spans="1:15" ht="13.5" customHeight="1">
      <c r="A14" t="s">
        <v>1012</v>
      </c>
      <c r="B14" t="s">
        <v>541</v>
      </c>
      <c r="C14" s="24" t="str">
        <f xml:space="preserve"> IF( TRIM( meta_Tables[[#This Row],[Kind:src]] ) = "", "",
        INDEX( meta_Classifiers[Display Qualified], MATCH( meta_Tables[[#This Row],[Kind:src]], meta_Classifiers[ID], 0 ) ) )</f>
        <v>ExcelTable</v>
      </c>
      <c r="D14" s="24" t="str">
        <f>IFERROR(LEFT(meta_Tables[[#This Row],[Excel Table - Excel Name]],FIND("_",meta_Tables[[#This Row],[Excel Table - Excel Name]])-1),"")</f>
        <v>meta</v>
      </c>
      <c r="E14" s="24"/>
      <c r="F14" s="109" t="s">
        <v>839</v>
      </c>
      <c r="G14" t="str">
        <f>IF(meta_Tables[[#This Row],[Package]]="","",meta_Tables[[#This Row],[Package]]&amp;"::")&amp;meta_Tables[[#This Row],[Display]]</f>
        <v>meta::Tables</v>
      </c>
      <c r="H14" s="109" t="str" cm="1">
        <f t="array" ref="H14">_xlfn.IFNA(INDEX(meta_Names[Camel Upper], MATCH(meta_Tables[[#This Row],[Name]],meta_Names[String],0)),camelCaseUpper(meta_Tables[[#This Row],[Name]]))</f>
        <v>Tables</v>
      </c>
      <c r="I14" s="24" t="s">
        <v>237</v>
      </c>
      <c r="J14" t="s">
        <v>169</v>
      </c>
      <c r="K14" s="24" t="str">
        <f xml:space="preserve"> IF( TRIM( meta_Tables[[#This Row],[Instances Class:src]] ) = "", "",
        INDEX( meta_Classifiers[Display Qualified], MATCH( meta_Tables[[#This Row],[Instances Class:src]], meta_Classifiers[ID], 0 ) ) )</f>
        <v>Table</v>
      </c>
      <c r="L14" s="80" t="s">
        <v>237</v>
      </c>
      <c r="M14" s="110"/>
      <c r="N14"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c r="O1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row>
    <row r="15" spans="1:15" ht="13.5" customHeight="1">
      <c r="A15" t="s">
        <v>1011</v>
      </c>
      <c r="B15" t="s">
        <v>541</v>
      </c>
      <c r="C15" s="24" t="str">
        <f xml:space="preserve"> IF( TRIM( meta_Tables[[#This Row],[Kind:src]] ) = "", "",
        INDEX( meta_Classifiers[Display Qualified], MATCH( meta_Tables[[#This Row],[Kind:src]], meta_Classifiers[ID], 0 ) ) )</f>
        <v>ExcelTable</v>
      </c>
      <c r="D15" s="24" t="str">
        <f>IFERROR(LEFT(meta_Tables[[#This Row],[Excel Table - Excel Name]],FIND("_",meta_Tables[[#This Row],[Excel Table - Excel Name]])-1),"")</f>
        <v>meta</v>
      </c>
      <c r="E15" s="24"/>
      <c r="F15" s="109" t="s">
        <v>838</v>
      </c>
      <c r="G15" t="str">
        <f>IF(meta_Tables[[#This Row],[Package]]="","",meta_Tables[[#This Row],[Package]]&amp;"::")&amp;meta_Tables[[#This Row],[Display]]</f>
        <v>meta::TypedModelElements</v>
      </c>
      <c r="H15" s="109" t="str" cm="1">
        <f t="array" ref="H15">_xlfn.IFNA(INDEX(meta_Names[Camel Upper], MATCH(meta_Tables[[#This Row],[Name]],meta_Names[String],0)),camelCaseUpper(meta_Tables[[#This Row],[Name]]))</f>
        <v>TypedModelElements</v>
      </c>
      <c r="I15" s="24" t="s">
        <v>941</v>
      </c>
      <c r="J15" t="s">
        <v>791</v>
      </c>
      <c r="K15" s="24" t="str">
        <f xml:space="preserve"> IF( TRIM( meta_Tables[[#This Row],[Instances Class:src]] ) = "", "",
        INDEX( meta_Classifiers[Display Qualified], MATCH( meta_Tables[[#This Row],[Instances Class:src]], meta_Classifiers[ID], 0 ) ) )</f>
        <v>TypedModelElement</v>
      </c>
      <c r="L15" s="80" t="s">
        <v>140</v>
      </c>
      <c r="M15" s="110" t="s">
        <v>140</v>
      </c>
      <c r="N15"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c r="O1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row>
    <row r="16" spans="1:15" ht="13.5" customHeight="1">
      <c r="A16" t="s">
        <v>944</v>
      </c>
      <c r="B16" t="s">
        <v>541</v>
      </c>
      <c r="C16" s="24" t="str">
        <f xml:space="preserve"> IF( TRIM( meta_Tables[[#This Row],[Kind:src]] ) = "", "",
        INDEX( meta_Classifiers[Display Qualified], MATCH( meta_Tables[[#This Row],[Kind:src]], meta_Classifiers[ID], 0 ) ) )</f>
        <v>ExcelTable</v>
      </c>
      <c r="D16" s="24" t="str">
        <f>IFERROR(LEFT(meta_Tables[[#This Row],[Excel Table - Excel Name]],FIND("_",meta_Tables[[#This Row],[Excel Table - Excel Name]])-1),"")</f>
        <v>belowred</v>
      </c>
      <c r="E16" s="24"/>
      <c r="F16" s="109" t="s">
        <v>835</v>
      </c>
      <c r="G16" t="str">
        <f>IF(meta_Tables[[#This Row],[Package]]="","",meta_Tables[[#This Row],[Package]]&amp;"::")&amp;meta_Tables[[#This Row],[Display]]</f>
        <v>belowred::Table1Rows</v>
      </c>
      <c r="H16" s="109" t="str" cm="1">
        <f t="array" ref="H16">_xlfn.IFNA(INDEX(meta_Names[Camel Upper], MATCH(meta_Tables[[#This Row],[Name]],meta_Names[String],0)),camelCaseUpper(meta_Tables[[#This Row],[Name]]))</f>
        <v>Table1Rows</v>
      </c>
      <c r="I16" s="24" t="s">
        <v>124</v>
      </c>
      <c r="J16" t="s">
        <v>126</v>
      </c>
      <c r="K16" s="24" t="str">
        <f xml:space="preserve"> IF( TRIM( meta_Tables[[#This Row],[Instances Class:src]] ) = "", "",
        INDEX( meta_Classifiers[Display Qualified], MATCH( meta_Tables[[#This Row],[Instances Class:src]], meta_Classifiers[ID], 0 ) ) )</f>
        <v>belowred::Table1Row</v>
      </c>
      <c r="L16" s="80" t="s">
        <v>124</v>
      </c>
      <c r="M16" s="110"/>
      <c r="N1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c r="O1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row>
    <row r="17" spans="1:15" ht="13.5" customHeight="1">
      <c r="A17" t="s">
        <v>948</v>
      </c>
      <c r="B17" t="s">
        <v>541</v>
      </c>
      <c r="C17" s="24" t="str">
        <f xml:space="preserve"> IF( TRIM( meta_Tables[[#This Row],[Kind:src]] ) = "", "",
        INDEX( meta_Classifiers[Display Qualified], MATCH( meta_Tables[[#This Row],[Kind:src]], meta_Classifiers[ID], 0 ) ) )</f>
        <v>ExcelTable</v>
      </c>
      <c r="D17" s="24" t="str">
        <f>IFERROR(LEFT(meta_Tables[[#This Row],[Excel Table - Excel Name]],FIND("_",meta_Tables[[#This Row],[Excel Table - Excel Name]])-1),"")</f>
        <v>belowred</v>
      </c>
      <c r="E17" s="24"/>
      <c r="F17" s="109" t="s">
        <v>836</v>
      </c>
      <c r="G17" t="str">
        <f>IF(meta_Tables[[#This Row],[Package]]="","",meta_Tables[[#This Row],[Package]]&amp;"::")&amp;meta_Tables[[#This Row],[Display]]</f>
        <v>belowred::Table2Rows</v>
      </c>
      <c r="H17" s="109" t="str" cm="1">
        <f t="array" ref="H17">_xlfn.IFNA(INDEX(meta_Names[Camel Upper], MATCH(meta_Tables[[#This Row],[Name]],meta_Names[String],0)),camelCaseUpper(meta_Tables[[#This Row],[Name]]))</f>
        <v>Table2Rows</v>
      </c>
      <c r="I17" s="24" t="s">
        <v>125</v>
      </c>
      <c r="J17" t="s">
        <v>127</v>
      </c>
      <c r="K17" s="24" t="str">
        <f xml:space="preserve"> IF( TRIM( meta_Tables[[#This Row],[Instances Class:src]] ) = "", "",
        INDEX( meta_Classifiers[Display Qualified], MATCH( meta_Tables[[#This Row],[Instances Class:src]], meta_Classifiers[ID], 0 ) ) )</f>
        <v>belowred::Table2Row</v>
      </c>
      <c r="L17" s="80" t="s">
        <v>125</v>
      </c>
      <c r="M17" s="110"/>
      <c r="N1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c r="O1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row>
    <row r="18" spans="1:15" ht="13.5" customHeight="1">
      <c r="A18" t="s">
        <v>945</v>
      </c>
      <c r="B18" t="s">
        <v>541</v>
      </c>
      <c r="C18" s="24" t="str">
        <f xml:space="preserve"> IF( TRIM( meta_Tables[[#This Row],[Kind:src]] ) = "", "",
        INDEX( meta_Classifiers[Display Qualified], MATCH( meta_Tables[[#This Row],[Kind:src]], meta_Classifiers[ID], 0 ) ) )</f>
        <v>ExcelTable</v>
      </c>
      <c r="D18" s="24" t="str">
        <f>IFERROR(LEFT(meta_Tables[[#This Row],[Excel Table - Excel Name]],FIND("_",meta_Tables[[#This Row],[Excel Table - Excel Name]])-1),"")</f>
        <v>finance</v>
      </c>
      <c r="E18" s="24"/>
      <c r="F18" s="109" t="s">
        <v>843</v>
      </c>
      <c r="G18" t="str">
        <f>IF(meta_Tables[[#This Row],[Package]]="","",meta_Tables[[#This Row],[Package]]&amp;"::")&amp;meta_Tables[[#This Row],[Display]]</f>
        <v>finance::Portfolios</v>
      </c>
      <c r="H18" s="109" t="str" cm="1">
        <f t="array" ref="H18">_xlfn.IFNA(INDEX(meta_Names[Camel Upper], MATCH(meta_Tables[[#This Row],[Name]],meta_Names[String],0)),camelCaseUpper(meta_Tables[[#This Row],[Name]]))</f>
        <v>Portfolios</v>
      </c>
      <c r="I18" s="24" t="s">
        <v>701</v>
      </c>
      <c r="J18" t="s">
        <v>696</v>
      </c>
      <c r="K18" s="24" t="str">
        <f xml:space="preserve"> IF( TRIM( meta_Tables[[#This Row],[Instances Class:src]] ) = "", "",
        INDEX( meta_Classifiers[Display Qualified], MATCH( meta_Tables[[#This Row],[Instances Class:src]], meta_Classifiers[ID], 0 ) ) )</f>
        <v>finance::Portfolio</v>
      </c>
      <c r="L18" s="80" t="s">
        <v>701</v>
      </c>
      <c r="M18" s="110"/>
      <c r="N1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c r="O1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row>
    <row r="19" spans="1:15" ht="13.5" customHeight="1">
      <c r="A19" t="s">
        <v>946</v>
      </c>
      <c r="B19" t="s">
        <v>541</v>
      </c>
      <c r="C19" s="24" t="str">
        <f xml:space="preserve"> IF( TRIM( meta_Tables[[#This Row],[Kind:src]] ) = "", "",
        INDEX( meta_Classifiers[Display Qualified], MATCH( meta_Tables[[#This Row],[Kind:src]], meta_Classifiers[ID], 0 ) ) )</f>
        <v>ExcelTable</v>
      </c>
      <c r="D19" s="24" t="str">
        <f>IFERROR(LEFT(meta_Tables[[#This Row],[Excel Table - Excel Name]],FIND("_",meta_Tables[[#This Row],[Excel Table - Excel Name]])-1),"")</f>
        <v>finance</v>
      </c>
      <c r="E19" s="24"/>
      <c r="F19" s="109" t="s">
        <v>844</v>
      </c>
      <c r="G19" t="str">
        <f>IF(meta_Tables[[#This Row],[Package]]="","",meta_Tables[[#This Row],[Package]]&amp;"::")&amp;meta_Tables[[#This Row],[Display]]</f>
        <v>finance::Positions</v>
      </c>
      <c r="H19" s="109" t="str" cm="1">
        <f t="array" ref="H19">_xlfn.IFNA(INDEX(meta_Names[Camel Upper], MATCH(meta_Tables[[#This Row],[Name]],meta_Names[String],0)),camelCaseUpper(meta_Tables[[#This Row],[Name]]))</f>
        <v>Positions</v>
      </c>
      <c r="I19" s="24" t="s">
        <v>699</v>
      </c>
      <c r="J19" t="s">
        <v>697</v>
      </c>
      <c r="K19" s="24" t="str">
        <f xml:space="preserve"> IF( TRIM( meta_Tables[[#This Row],[Instances Class:src]] ) = "", "",
        INDEX( meta_Classifiers[Display Qualified], MATCH( meta_Tables[[#This Row],[Instances Class:src]], meta_Classifiers[ID], 0 ) ) )</f>
        <v>finance::Position</v>
      </c>
      <c r="L19" s="80" t="s">
        <v>699</v>
      </c>
      <c r="M19" s="110"/>
      <c r="N1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c r="O1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row>
    <row r="20" spans="1:15" ht="13.5" customHeight="1">
      <c r="A20" t="s">
        <v>947</v>
      </c>
      <c r="B20" t="s">
        <v>541</v>
      </c>
      <c r="C20" s="24" t="str">
        <f xml:space="preserve"> IF( TRIM( meta_Tables[[#This Row],[Kind:src]] ) = "", "",
        INDEX( meta_Classifiers[Display Qualified], MATCH( meta_Tables[[#This Row],[Kind:src]], meta_Classifiers[ID], 0 ) ) )</f>
        <v>ExcelTable</v>
      </c>
      <c r="D20" s="24" t="str">
        <f>IFERROR(LEFT(meta_Tables[[#This Row],[Excel Table - Excel Name]],FIND("_",meta_Tables[[#This Row],[Excel Table - Excel Name]])-1),"")</f>
        <v>finance</v>
      </c>
      <c r="E20" s="24"/>
      <c r="F20" s="109" t="s">
        <v>845</v>
      </c>
      <c r="G20" t="str">
        <f>IF(meta_Tables[[#This Row],[Package]]="","",meta_Tables[[#This Row],[Package]]&amp;"::")&amp;meta_Tables[[#This Row],[Display]]</f>
        <v>finance::Securities</v>
      </c>
      <c r="H20" s="109" t="str" cm="1">
        <f t="array" ref="H20">_xlfn.IFNA(INDEX(meta_Names[Camel Upper], MATCH(meta_Tables[[#This Row],[Name]],meta_Names[String],0)),camelCaseUpper(meta_Tables[[#This Row],[Name]]))</f>
        <v>Securities</v>
      </c>
      <c r="I20" s="24" t="s">
        <v>700</v>
      </c>
      <c r="J20" t="s">
        <v>698</v>
      </c>
      <c r="K20" s="24" t="str">
        <f xml:space="preserve"> IF( TRIM( meta_Tables[[#This Row],[Instances Class:src]] ) = "", "",
        INDEX( meta_Classifiers[Display Qualified], MATCH( meta_Tables[[#This Row],[Instances Class:src]], meta_Classifiers[ID], 0 ) ) )</f>
        <v>finance::Security</v>
      </c>
      <c r="L20" s="80" t="s">
        <v>700</v>
      </c>
      <c r="M20" s="110"/>
      <c r="N2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c r="O2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row>
    <row r="21" spans="1:15" ht="13.5" customHeight="1">
      <c r="A21" t="s">
        <v>989</v>
      </c>
      <c r="B21" t="s">
        <v>541</v>
      </c>
      <c r="C21" s="24" t="str">
        <f xml:space="preserve"> IF( TRIM( meta_Tables[[#This Row],[Kind:src]] ) = "", "",
        INDEX( meta_Classifiers[Display Qualified], MATCH( meta_Tables[[#This Row],[Kind:src]], meta_Classifiers[ID], 0 ) ) )</f>
        <v>ExcelTable</v>
      </c>
      <c r="D21" s="24" t="str">
        <f>IFERROR(LEFT(meta_Tables[[#This Row],[Excel Table - Excel Name]],FIND("_",meta_Tables[[#This Row],[Excel Table - Excel Name]])-1),"")</f>
        <v>myxyzpackage</v>
      </c>
      <c r="E21" s="24"/>
      <c r="F21" s="109" t="s">
        <v>848</v>
      </c>
      <c r="G21" t="str">
        <f>IF(meta_Tables[[#This Row],[Package]]="","",meta_Tables[[#This Row],[Package]]&amp;"::")&amp;meta_Tables[[#This Row],[Display]]</f>
        <v>myxyzpackage::MyXYZ_Objects</v>
      </c>
      <c r="H21" s="109" t="str" cm="1">
        <f t="array" ref="H21">_xlfn.IFNA(INDEX(meta_Names[Camel Upper], MATCH(meta_Tables[[#This Row],[Name]],meta_Names[String],0)),camelCaseUpper(meta_Tables[[#This Row],[Name]]))</f>
        <v>MyXYZ_Objects</v>
      </c>
      <c r="I21" s="118" t="s">
        <v>942</v>
      </c>
      <c r="J21" t="s">
        <v>750</v>
      </c>
      <c r="K21" s="24" t="str">
        <f xml:space="preserve"> IF( TRIM( meta_Tables[[#This Row],[Instances Class:src]] ) = "", "",
        INDEX( meta_Classifiers[Display Qualified], MATCH( meta_Tables[[#This Row],[Instances Class:src]], meta_Classifiers[ID], 0 ) ) )</f>
        <v>myxyzpackage::MyXYZ_Object</v>
      </c>
      <c r="L21" s="80" t="s">
        <v>774</v>
      </c>
      <c r="M21" s="118" t="s">
        <v>774</v>
      </c>
      <c r="N2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c r="O2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row>
    <row r="22" spans="1:15" ht="13.5" customHeight="1">
      <c r="A22" t="s">
        <v>1453</v>
      </c>
      <c r="B22" t="s">
        <v>541</v>
      </c>
      <c r="C22" s="24" t="str">
        <f xml:space="preserve"> IF( TRIM( meta_Tables[[#This Row],[Kind:src]] ) = "", "",
        INDEX( meta_Classifiers[Display Qualified], MATCH( meta_Tables[[#This Row],[Kind:src]], meta_Classifiers[ID], 0 ) ) )</f>
        <v>ExcelTable</v>
      </c>
      <c r="D22" s="24" t="str">
        <f>IFERROR(LEFT(meta_Tables[[#This Row],[Excel Table - Excel Name]],FIND("_",meta_Tables[[#This Row],[Excel Table - Excel Name]])-1),"")</f>
        <v>test</v>
      </c>
      <c r="E22" s="24"/>
      <c r="F22" s="109" t="s">
        <v>1454</v>
      </c>
      <c r="G22" t="str">
        <f>IF(meta_Tables[[#This Row],[Package]]="","",meta_Tables[[#This Row],[Package]]&amp;"::")&amp;meta_Tables[[#This Row],[Display]]</f>
        <v>test::NewTable</v>
      </c>
      <c r="H22" s="109" t="str" cm="1">
        <f t="array" ref="H22">_xlfn.IFNA(INDEX(meta_Names[Camel Upper], MATCH(meta_Tables[[#This Row],[Name]],meta_Names[String],0)),camelCaseUpper(meta_Tables[[#This Row],[Name]]))</f>
        <v>NewTable</v>
      </c>
      <c r="I22" s="24" t="s">
        <v>1455</v>
      </c>
      <c r="J22" t="s">
        <v>750</v>
      </c>
      <c r="K22" s="24" t="str">
        <f xml:space="preserve"> IF( TRIM( meta_Tables[[#This Row],[Instances Class:src]] ) = "", "",
        INDEX( meta_Classifiers[Display Qualified], MATCH( meta_Tables[[#This Row],[Instances Class:src]], meta_Classifiers[ID], 0 ) ) )</f>
        <v>myxyzpackage::MyXYZ_Object</v>
      </c>
      <c r="L22" s="80" t="s">
        <v>1455</v>
      </c>
      <c r="M22" s="110"/>
      <c r="N2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c r="O2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v>
      </c>
    </row>
  </sheetData>
  <phoneticPr fontId="2" type="noConversion"/>
  <dataValidations count="1">
    <dataValidation type="list" allowBlank="1" sqref="C2:C22 K2:K22" xr:uid="{EA80EAFF-B8DE-4A0C-99F4-F9D34005B414}">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eta_Columns">
    <tabColor theme="9" tint="0.39997558519241921"/>
  </sheetPr>
  <dimension ref="A1:BE423"/>
  <sheetViews>
    <sheetView topLeftCell="I1" zoomScaleNormal="100" workbookViewId="0">
      <pane ySplit="1" topLeftCell="A381" activePane="bottomLeft" state="frozen"/>
      <selection activeCell="C28" sqref="C28"/>
      <selection pane="bottomLeft" activeCell="K392" sqref="A392:XFD392"/>
    </sheetView>
  </sheetViews>
  <sheetFormatPr defaultColWidth="8.85546875" defaultRowHeight="15" outlineLevelCol="2"/>
  <cols>
    <col min="1" max="1" width="73.42578125" customWidth="1"/>
    <col min="2" max="2" width="14.42578125" hidden="1" customWidth="1" outlineLevel="1"/>
    <col min="3" max="3" width="17" bestFit="1" customWidth="1" collapsed="1"/>
    <col min="4" max="4" width="9.42578125" customWidth="1"/>
    <col min="5" max="5" width="13.140625" customWidth="1"/>
    <col min="6" max="6" width="25" hidden="1" customWidth="1" outlineLevel="1"/>
    <col min="7" max="7" width="18.42578125" hidden="1" customWidth="1" outlineLevel="1"/>
    <col min="8" max="8" width="25.42578125" hidden="1" customWidth="1" outlineLevel="1"/>
    <col min="9" max="9" width="26.140625" bestFit="1" customWidth="1" collapsed="1"/>
    <col min="10" max="10" width="37" hidden="1" customWidth="1" outlineLevel="1"/>
    <col min="11" max="11" width="14.42578125" customWidth="1" collapsed="1"/>
    <col min="12" max="12" width="37" style="80" hidden="1" customWidth="1" outlineLevel="1"/>
    <col min="13" max="13" width="19.28515625" customWidth="1" collapsed="1"/>
    <col min="14" max="14" width="7.85546875" bestFit="1" customWidth="1"/>
    <col min="15" max="16" width="7.85546875" customWidth="1"/>
    <col min="17" max="17" width="50.42578125" hidden="1" customWidth="1" outlineLevel="1"/>
    <col min="18" max="18" width="43" hidden="1" customWidth="1" outlineLevel="1"/>
    <col min="19" max="19" width="28.42578125" customWidth="1" collapsed="1"/>
    <col min="20" max="20" width="8.85546875" customWidth="1"/>
    <col min="21" max="25" width="23.85546875" hidden="1" customWidth="1" outlineLevel="1"/>
    <col min="26" max="26" width="22.42578125" hidden="1" customWidth="1" outlineLevel="1" collapsed="1"/>
    <col min="27" max="32" width="22.42578125" hidden="1" customWidth="1" outlineLevel="2"/>
    <col min="33" max="35" width="22.42578125" hidden="1" customWidth="1" outlineLevel="1"/>
    <col min="36" max="36" width="10.140625" hidden="1" customWidth="1" outlineLevel="1"/>
    <col min="37" max="37" width="14.85546875" hidden="1" customWidth="1" outlineLevel="1"/>
    <col min="38" max="38" width="9.140625" hidden="1" customWidth="1" outlineLevel="1"/>
    <col min="39" max="39" width="7.42578125" hidden="1" customWidth="1" outlineLevel="1"/>
    <col min="40" max="40" width="7.42578125" customWidth="1" collapsed="1"/>
    <col min="41" max="41" width="36.42578125" hidden="1" customWidth="1" outlineLevel="1"/>
    <col min="42" max="48" width="33.140625" hidden="1" customWidth="1" outlineLevel="1"/>
    <col min="49" max="49" width="23.85546875" customWidth="1" collapsed="1"/>
    <col min="50" max="50" width="37.140625" bestFit="1" customWidth="1"/>
    <col min="51" max="51" width="37.140625" hidden="1" customWidth="1" outlineLevel="1"/>
    <col min="52" max="52" width="40.42578125" bestFit="1" customWidth="1" collapsed="1"/>
    <col min="53" max="53" width="40.42578125" bestFit="1" customWidth="1"/>
    <col min="54" max="54" width="20.42578125" customWidth="1"/>
  </cols>
  <sheetData>
    <row r="1" spans="1:57" ht="206.25" customHeight="1" thickTop="1" thickBot="1">
      <c r="A1" s="105" t="s">
        <v>0</v>
      </c>
      <c r="B1" s="45" t="s">
        <v>230</v>
      </c>
      <c r="C1" s="105" t="s">
        <v>5</v>
      </c>
      <c r="D1" s="45" t="s">
        <v>120</v>
      </c>
      <c r="E1" s="45" t="s">
        <v>461</v>
      </c>
      <c r="F1" s="45" t="s">
        <v>1471</v>
      </c>
      <c r="G1" s="45" t="s">
        <v>470</v>
      </c>
      <c r="H1" s="45" t="s">
        <v>988</v>
      </c>
      <c r="I1" s="105" t="s">
        <v>463</v>
      </c>
      <c r="J1" s="45" t="s">
        <v>990</v>
      </c>
      <c r="K1" s="45" t="s">
        <v>917</v>
      </c>
      <c r="L1" s="45" t="s">
        <v>991</v>
      </c>
      <c r="M1" s="45" t="s">
        <v>920</v>
      </c>
      <c r="N1" s="45" t="s">
        <v>481</v>
      </c>
      <c r="O1" s="45" t="s">
        <v>996</v>
      </c>
      <c r="P1" s="45" t="s">
        <v>997</v>
      </c>
      <c r="Q1" s="45" t="s">
        <v>1796</v>
      </c>
      <c r="R1" s="45" t="s">
        <v>992</v>
      </c>
      <c r="S1" s="45" t="s">
        <v>7</v>
      </c>
      <c r="T1" s="45" t="s">
        <v>474</v>
      </c>
      <c r="U1" s="45" t="s">
        <v>487</v>
      </c>
      <c r="V1" s="45" t="s">
        <v>488</v>
      </c>
      <c r="W1" s="45" t="s">
        <v>484</v>
      </c>
      <c r="X1" s="45" t="s">
        <v>485</v>
      </c>
      <c r="Y1" s="45" t="s">
        <v>486</v>
      </c>
      <c r="Z1" s="45" t="s">
        <v>483</v>
      </c>
      <c r="AA1" s="45" t="s">
        <v>473</v>
      </c>
      <c r="AB1" s="45" t="s">
        <v>494</v>
      </c>
      <c r="AC1" s="45" t="s">
        <v>493</v>
      </c>
      <c r="AD1" s="45" t="s">
        <v>492</v>
      </c>
      <c r="AE1" s="45" t="s">
        <v>491</v>
      </c>
      <c r="AF1" s="45" t="s">
        <v>490</v>
      </c>
      <c r="AG1" s="45" t="s">
        <v>489</v>
      </c>
      <c r="AH1" s="45" t="s">
        <v>472</v>
      </c>
      <c r="AI1" s="45" t="s">
        <v>495</v>
      </c>
      <c r="AJ1" s="45" t="s">
        <v>469</v>
      </c>
      <c r="AK1" s="45" t="s">
        <v>482</v>
      </c>
      <c r="AL1" s="45" t="s">
        <v>480</v>
      </c>
      <c r="AM1" s="45" t="s">
        <v>475</v>
      </c>
      <c r="AN1" s="105" t="s">
        <v>465</v>
      </c>
      <c r="AO1" s="105" t="s">
        <v>551</v>
      </c>
      <c r="AP1" s="45" t="s">
        <v>1000</v>
      </c>
      <c r="AQ1" s="45" t="s">
        <v>995</v>
      </c>
      <c r="AR1" s="45" t="s">
        <v>994</v>
      </c>
      <c r="AS1" s="45" t="s">
        <v>1799</v>
      </c>
      <c r="AT1" s="45" t="s">
        <v>1800</v>
      </c>
      <c r="AU1" s="45" t="s">
        <v>1798</v>
      </c>
      <c r="AV1" s="45" t="s">
        <v>1797</v>
      </c>
      <c r="AW1" s="121" t="s">
        <v>1803</v>
      </c>
      <c r="AX1" s="45" t="s">
        <v>468</v>
      </c>
      <c r="AY1" s="45" t="s">
        <v>806</v>
      </c>
      <c r="AZ1" s="105" t="s">
        <v>548</v>
      </c>
      <c r="BA1" s="45" t="s">
        <v>549</v>
      </c>
      <c r="BB1" s="104" t="s">
        <v>865</v>
      </c>
      <c r="BC1" s="48" t="s">
        <v>552</v>
      </c>
      <c r="BD1" s="48" t="s">
        <v>1460</v>
      </c>
      <c r="BE1" s="48" t="s">
        <v>1472</v>
      </c>
    </row>
    <row r="2" spans="1:57" ht="15.75" thickTop="1">
      <c r="A2" s="107" t="s">
        <v>1448</v>
      </c>
      <c r="B2" s="5" t="s">
        <v>546</v>
      </c>
      <c r="C2" s="22" t="str">
        <f xml:space="preserve"> IF( TRIM( meta_Columns[[#This Row],[Kind:src]] ) = "", "",
        INDEX( meta_Classifiers[Display Qualified], MATCH( meta_Columns[[#This Row],[Kind:src]], meta_Classifiers[ID], 0 ) ) )</f>
        <v>ExcelColumn</v>
      </c>
      <c r="D2" s="44" t="e">
        <f>IF(meta_Columns[[#This Row],[Owning Table:src]]="","",INDEX(meta_Classifiers[Package],MATCH(meta_Columns[[#This Row],[Owning Table Instances Class]],meta_Classifiers[ID],0)))</f>
        <v>#N/A</v>
      </c>
      <c r="E2" s="43"/>
      <c r="F2" s="44">
        <f>INDEX(meta_Tables[Excel Table - Excel Name],MATCH(meta_Columns[[#This Row],[Owning Table:src]],meta_Tables[ID],0))</f>
        <v>0</v>
      </c>
      <c r="G2" s="44">
        <f>INDEX(meta_Tables[Instances Class:src],MATCH(meta_Columns[[#This Row],[Owning Table:src]],meta_Tables[ID],0))</f>
        <v>0</v>
      </c>
      <c r="H2" s="1" t="s">
        <v>1449</v>
      </c>
      <c r="I2" s="43" t="str">
        <f xml:space="preserve"> IF( TRIM( meta_Columns[[#This Row],[Owning Table:src]] ) = "", "",
        INDEX( meta_Tables[Display Qualified], MATCH( meta_Columns[[#This Row],[Owning Table:src]], meta_Tables[ID], 0 ) ) )</f>
        <v>meta::TablesRowTemplate</v>
      </c>
      <c r="K2" s="22" t="str">
        <f>IF(TRIM(meta_Columns[[#This Row],[Referenced Table:src]])="","",
    INDEX(meta_Tables[Display Qualified],MATCH(meta_Columns[[#This Row],[Referenced Table:src]],meta_Tables[ID],0)))</f>
        <v/>
      </c>
      <c r="L2" s="8"/>
      <c r="M2" s="22" t="str">
        <f xml:space="preserve"> IF( TRIM( meta_Columns[[#This Row],[Referenced Table Display and Select Column:src]] ) = "", "",
        INDEX( meta_Columns[Display Qualified], MATCH( meta_Columns[[#This Row],[Referenced Table Display and Select Column:src]], meta_Columns[ID], 0 ) ) )</f>
        <v/>
      </c>
      <c r="N2" s="8" t="str">
        <f>IF(meta_Columns[[#This Row],[Excel Column - Excel Formula]]="","x","")</f>
        <v>x</v>
      </c>
      <c r="O2" s="22"/>
      <c r="P2" s="8" t="str">
        <f>IF(meta_Columns[[#This Row],[Referenced Table:src]]="","",INDEX(meta_Tables[Instances Class],MATCH(meta_Columns[[#This Row],[Referenced Table:src]],meta_Tables[ID],0)))</f>
        <v/>
      </c>
      <c r="Q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 s="8"/>
      <c r="S2" s="22" t="str">
        <f xml:space="preserve"> IF( TRIM( meta_Columns[[#This Row],[Property:src]] ) = "", "",
        INDEX( meta_TypedModelElements[Display Qualified], MATCH( meta_Columns[[#This Row],[Property:src]], meta_TypedModelElements[ID], 0 ) ) )</f>
        <v/>
      </c>
      <c r="T2" s="22"/>
      <c r="U2" s="8" t="e">
        <f>INDEX(meta_Classifiers[Class - Generalization:src], MATCH(meta_Columns[[#This Row],[Generalization 5]],meta_Classifiers[ID],0))</f>
        <v>#N/A</v>
      </c>
      <c r="V2" s="8" t="e">
        <f>INDEX(meta_Classifiers[Class - Generalization:src], MATCH(meta_Columns[[#This Row],[Generalization 4]],meta_Classifiers[ID],0))</f>
        <v>#N/A</v>
      </c>
      <c r="W2" s="8" t="e">
        <f>INDEX(meta_Classifiers[Class - Generalization:src], MATCH(meta_Columns[[#This Row],[Generalization 3]],meta_Classifiers[ID],0))</f>
        <v>#N/A</v>
      </c>
      <c r="X2" s="8" t="e">
        <f>INDEX(meta_Classifiers[Class - Generalization:src], MATCH(meta_Columns[[#This Row],[Generalization 2]],meta_Classifiers[ID],0))</f>
        <v>#N/A</v>
      </c>
      <c r="Y2" s="8" t="e">
        <f>INDEX(meta_Classifiers[Class - Generalization:src], MATCH(meta_Columns[[#This Row],[Generalization 1]],meta_Classifiers[ID],0))</f>
        <v>#N/A</v>
      </c>
      <c r="Z2" s="8" t="e">
        <f>INDEX(meta_Classifiers[Class - Generalization:src], MATCH(meta_Columns[[#This Row],[Owning Table Instances Class]],meta_Classifiers[ID],0))</f>
        <v>#N/A</v>
      </c>
      <c r="AA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 s="8" t="b">
        <f>_xlfn.IFNA(
INDEX(meta_Classifiers[Class - Generalization:src],MATCH(
INDEX(meta_Classifiers[Class - Generalization:src],MATCH(meta_Columns[[#This Row],[Property Owning Class]],meta_Classifiers[ID],0)),meta_Classifiers[ID],0))
=meta_Columns[[#This Row],[Owning Table Instances Class]],FALSE)</f>
        <v>0</v>
      </c>
      <c r="AG2" s="8" t="b">
        <f>_xlfn.IFNA(INDEX(meta_Classifiers[Class - Generalization:src],MATCH(meta_Columns[[#This Row],[Property Owning Class]],meta_Classifiers[ID],0))=meta_Columns[[#This Row],[Owning Table Instances Class]],FALSE)</f>
        <v>0</v>
      </c>
      <c r="AH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 s="8" t="e">
        <f>INDEX(meta_Classifiers[Name],MATCH(INDEX(meta_TypedModelElements[Property - Owning Class:src],MATCH(meta_Columns[[#This Row],[Property]],meta_TypedModelElements[ID],0)),meta_Classifiers[ID],0))</f>
        <v>#N/A</v>
      </c>
      <c r="AJ2" s="8" t="e">
        <f>INDEX(meta_TypedModelElements[Property - Owning Class:src],MATCH(meta_Columns[[#This Row],[Property]],meta_TypedModelElements[ID],0))</f>
        <v>#N/A</v>
      </c>
      <c r="AK2" s="8" t="e">
        <f>INDEX(meta_TypedModelElements[Kind:src],MATCH(meta_Columns[[#This Row],[Property]],meta_TypedModelElements[ID],0))</f>
        <v>#N/A</v>
      </c>
      <c r="AL2" s="8" t="e">
        <f>INDEX(meta_TypedModelElements[Name or Type],MATCH(meta_Columns[[#This Row],[Property]],meta_TypedModelElements[ID],0))</f>
        <v>#N/A</v>
      </c>
      <c r="AM2" s="8" t="e">
        <f>INDEX(meta_TypedModelElements[Property - Changeable],MATCH(meta_Columns[[#This Row],[Property]],meta_TypedModelElements[ID],0))</f>
        <v>#N/A</v>
      </c>
      <c r="AN2" s="43"/>
      <c r="AO2" s="22"/>
      <c r="AP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 s="8" t="str">
        <f xml:space="preserve"> IF(meta_Columns[[#This Row],[Property Owning Class is Specialization of Instance Class]],meta_Columns[[#This Row],[Property Owning Class Name]]&amp;" - ","")</f>
        <v/>
      </c>
      <c r="AR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2" s="8" t="str">
        <f>IFERROR(LEFT(meta_Columns[[#This Row],[Excel Column - Label Actual without Semantic Case]],FIND("-",
meta_Columns[[#This Row],[Excel Column - Label Actual without Semantic Case]])-2),"")</f>
        <v/>
      </c>
      <c r="AU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2" s="22"/>
      <c r="AY2" s="8" t="str">
        <f>meta_Columns[[#This Row],[Owning Table]]&amp;"."&amp;meta_Columns[[#This Row],[Excel Column - Label]]</f>
        <v>meta::TablesRowTemplate.Template</v>
      </c>
      <c r="AZ2" s="43" t="s">
        <v>761</v>
      </c>
      <c r="BA2" s="44" t="str">
        <f>IF(TRIM(meta_Columns[[#This Row],[Excel Column - Label Overwrite]])&lt;&gt;"",meta_Columns[[#This Row],[Excel Column - Label Overwrite]],meta_Columns[[#This Row],[Excel Column - Label from Property or Referenced Table]])</f>
        <v>Template</v>
      </c>
      <c r="BB2" s="43"/>
      <c r="BC2" s="44" t="str">
        <f>IF(meta_Columns[[#This Row],[Excel Column - Explicit Excel Formula]]="","",meta_Columns[[#This Row],[Excel Column - Explicit Excel Formula]])</f>
        <v/>
      </c>
      <c r="BD2" s="5"/>
      <c r="BE2" s="5"/>
    </row>
    <row r="3" spans="1:57">
      <c r="A3" s="10" t="s">
        <v>1020</v>
      </c>
      <c r="B3" s="5" t="s">
        <v>546</v>
      </c>
      <c r="C3" s="22" t="str">
        <f xml:space="preserve"> IF( TRIM( meta_Columns[[#This Row],[Kind:src]] ) = "", "",
        INDEX( meta_Classifiers[Display Qualified], MATCH( meta_Columns[[#This Row],[Kind:src]], meta_Classifiers[ID], 0 ) ) )</f>
        <v>ExcelColumn</v>
      </c>
      <c r="D3" s="44" t="str">
        <f>IF(meta_Columns[[#This Row],[Owning Table:src]]="","",INDEX(meta_Classifiers[Package],MATCH(meta_Columns[[#This Row],[Owning Table Instances Class]],meta_Classifiers[ID],0)))</f>
        <v>belowred</v>
      </c>
      <c r="E3" s="43"/>
      <c r="F3" s="44" t="str">
        <f>INDEX(meta_Tables[Excel Table - Excel Name],MATCH(meta_Columns[[#This Row],[Owning Table:src]],meta_Tables[ID],0))</f>
        <v>belowred_Table1Rows</v>
      </c>
      <c r="G3" s="44" t="str">
        <f>INDEX(meta_Tables[Instances Class:src],MATCH(meta_Columns[[#This Row],[Owning Table:src]],meta_Tables[ID],0))</f>
        <v>[c Table 1 Row]</v>
      </c>
      <c r="H3" s="11" t="s">
        <v>944</v>
      </c>
      <c r="I3" s="43" t="str">
        <f xml:space="preserve"> IF( TRIM( meta_Columns[[#This Row],[Owning Table:src]] ) = "", "",
        INDEX( meta_Tables[Display Qualified], MATCH( meta_Columns[[#This Row],[Owning Table:src]], meta_Tables[ID], 0 ) ) )</f>
        <v>belowred::Table1Rows</v>
      </c>
      <c r="K3" s="22" t="str">
        <f>IF(TRIM(meta_Columns[[#This Row],[Referenced Table:src]])="","",
    INDEX(meta_Tables[Display Qualified],MATCH(meta_Columns[[#This Row],[Referenced Table:src]],meta_Tables[ID],0)))</f>
        <v/>
      </c>
      <c r="L3" s="8"/>
      <c r="M3" s="22" t="str">
        <f xml:space="preserve"> IF( TRIM( meta_Columns[[#This Row],[Referenced Table Display and Select Column:src]] ) = "", "",
        INDEX( meta_Columns[Display Qualified], MATCH( meta_Columns[[#This Row],[Referenced Table Display and Select Column:src]], meta_Columns[ID], 0 ) ) )</f>
        <v/>
      </c>
      <c r="N3" s="8" t="str">
        <f>IF(meta_Columns[[#This Row],[Excel Column - Excel Formula]]="","x","")</f>
        <v>x</v>
      </c>
      <c r="O3" s="22"/>
      <c r="P3" s="8" t="str">
        <f>IF(meta_Columns[[#This Row],[Referenced Table:src]]="","",INDEX(meta_Tables[Instances Class],MATCH(meta_Columns[[#This Row],[Referenced Table:src]],meta_Tables[ID],0)))</f>
        <v/>
      </c>
      <c r="Q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 s="8" t="s">
        <v>246</v>
      </c>
      <c r="S3" s="22" t="str">
        <f xml:space="preserve"> IF( TRIM( meta_Columns[[#This Row],[Property:src]] ) = "", "",
        INDEX( meta_TypedModelElements[Display Qualified], MATCH( meta_Columns[[#This Row],[Property:src]], meta_TypedModelElements[ID], 0 ) ) )</f>
        <v>meta::Object.iD</v>
      </c>
      <c r="T3" s="22"/>
      <c r="U3" s="8" t="e">
        <f>INDEX(meta_Classifiers[Class - Generalization:src], MATCH(meta_Columns[[#This Row],[Generalization 5]],meta_Classifiers[ID],0))</f>
        <v>#N/A</v>
      </c>
      <c r="V3" s="8" t="e">
        <f>INDEX(meta_Classifiers[Class - Generalization:src], MATCH(meta_Columns[[#This Row],[Generalization 4]],meta_Classifiers[ID],0))</f>
        <v>#N/A</v>
      </c>
      <c r="W3" s="8" t="e">
        <f>INDEX(meta_Classifiers[Class - Generalization:src], MATCH(meta_Columns[[#This Row],[Generalization 3]],meta_Classifiers[ID],0))</f>
        <v>#N/A</v>
      </c>
      <c r="X3" s="8" t="e">
        <f>INDEX(meta_Classifiers[Class - Generalization:src], MATCH(meta_Columns[[#This Row],[Generalization 2]],meta_Classifiers[ID],0))</f>
        <v>#N/A</v>
      </c>
      <c r="Y3" s="8" t="str">
        <f>INDEX(meta_Classifiers[Class - Generalization:src], MATCH(meta_Columns[[#This Row],[Generalization 1]],meta_Classifiers[ID],0))</f>
        <v/>
      </c>
      <c r="Z3" s="8" t="str">
        <f>INDEX(meta_Classifiers[Class - Generalization:src], MATCH(meta_Columns[[#This Row],[Owning Table Instances Class]],meta_Classifiers[ID],0))</f>
        <v>_Object</v>
      </c>
      <c r="AA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 s="8" t="b">
        <f>_xlfn.IFNA(
INDEX(meta_Classifiers[Class - Generalization:src],MATCH(
INDEX(meta_Classifiers[Class - Generalization:src],MATCH(meta_Columns[[#This Row],[Property Owning Class]],meta_Classifiers[ID],0)),meta_Classifiers[ID],0))
=meta_Columns[[#This Row],[Owning Table Instances Class]],FALSE)</f>
        <v>0</v>
      </c>
      <c r="AG3" s="8" t="b">
        <f>_xlfn.IFNA(INDEX(meta_Classifiers[Class - Generalization:src],MATCH(meta_Columns[[#This Row],[Property Owning Class]],meta_Classifiers[ID],0))=meta_Columns[[#This Row],[Owning Table Instances Class]],FALSE)</f>
        <v>0</v>
      </c>
      <c r="AH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 s="8" t="str">
        <f>INDEX(meta_Classifiers[Name],MATCH(INDEX(meta_TypedModelElements[Property - Owning Class:src],MATCH(meta_Columns[[#This Row],[Property]],meta_TypedModelElements[ID],0)),meta_Classifiers[ID],0))</f>
        <v>Object</v>
      </c>
      <c r="AJ3" s="8" t="str">
        <f>INDEX(meta_TypedModelElements[Property - Owning Class:src],MATCH(meta_Columns[[#This Row],[Property]],meta_TypedModelElements[ID],0))</f>
        <v>_Object</v>
      </c>
      <c r="AK3" s="8" t="str">
        <f>INDEX(meta_TypedModelElements[Kind:src],MATCH(meta_Columns[[#This Row],[Property]],meta_TypedModelElements[ID],0))</f>
        <v>_Attribute</v>
      </c>
      <c r="AL3" s="8" t="str">
        <f>INDEX(meta_TypedModelElements[Name or Type],MATCH(meta_Columns[[#This Row],[Property]],meta_TypedModelElements[ID],0))</f>
        <v>ID</v>
      </c>
      <c r="AM3" s="8" t="str">
        <f>INDEX(meta_TypedModelElements[Property - Changeable],MATCH(meta_Columns[[#This Row],[Property]],meta_TypedModelElements[ID],0))</f>
        <v>x</v>
      </c>
      <c r="AN3" s="43">
        <v>1</v>
      </c>
      <c r="AO3" s="22">
        <v>1</v>
      </c>
      <c r="AP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 s="8" t="str">
        <f xml:space="preserve"> IF(meta_Columns[[#This Row],[Property Owning Class is Specialization of Instance Class]],meta_Columns[[#This Row],[Property Owning Class Name]]&amp;" - ","")</f>
        <v/>
      </c>
      <c r="AR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 s="8" t="str">
        <f>IFERROR(LEFT(meta_Columns[[#This Row],[Excel Column - Label Actual without Semantic Case]],FIND("-",
meta_Columns[[#This Row],[Excel Column - Label Actual without Semantic Case]])-2),"")</f>
        <v/>
      </c>
      <c r="AU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 s="22"/>
      <c r="AY3" s="8" t="str">
        <f>meta_Columns[[#This Row],[Owning Table]]&amp;"."&amp;meta_Columns[[#This Row],[Excel Column - Label]]</f>
        <v>belowred::Table1Rows.ID</v>
      </c>
      <c r="AZ3" s="43" t="s">
        <v>0</v>
      </c>
      <c r="BA3" s="44" t="str">
        <f>IF(TRIM(meta_Columns[[#This Row],[Excel Column - Label Overwrite]])&lt;&gt;"",meta_Columns[[#This Row],[Excel Column - Label Overwrite]],meta_Columns[[#This Row],[Excel Column - Label from Property or Referenced Table]])</f>
        <v>ID</v>
      </c>
      <c r="BB3" s="43"/>
      <c r="BC3" s="44" t="str">
        <f>IF(meta_Columns[[#This Row],[Excel Column - Explicit Excel Formula]]="","",meta_Columns[[#This Row],[Excel Column - Explicit Excel Formula]])</f>
        <v/>
      </c>
      <c r="BD3" s="5"/>
      <c r="BE3" s="5"/>
    </row>
    <row r="4" spans="1:57">
      <c r="A4" s="10" t="s">
        <v>1021</v>
      </c>
      <c r="B4" s="11" t="s">
        <v>546</v>
      </c>
      <c r="C4" s="22" t="str">
        <f xml:space="preserve"> IF( TRIM( meta_Columns[[#This Row],[Kind:src]] ) = "", "",
        INDEX( meta_Classifiers[Display Qualified], MATCH( meta_Columns[[#This Row],[Kind:src]], meta_Classifiers[ID], 0 ) ) )</f>
        <v>ExcelColumn</v>
      </c>
      <c r="D4" s="44" t="str">
        <f>IF(meta_Columns[[#This Row],[Owning Table:src]]="","",INDEX(meta_Classifiers[Package],MATCH(meta_Columns[[#This Row],[Owning Table Instances Class]],meta_Classifiers[ID],0)))</f>
        <v>belowred</v>
      </c>
      <c r="E4" s="43"/>
      <c r="F4" s="8" t="str">
        <f>INDEX(meta_Tables[Excel Table - Excel Name],MATCH(meta_Columns[[#This Row],[Owning Table:src]],meta_Tables[ID],0))</f>
        <v>belowred_Table1Rows</v>
      </c>
      <c r="G4" s="44" t="str">
        <f>INDEX(meta_Tables[Instances Class:src],MATCH(meta_Columns[[#This Row],[Owning Table:src]],meta_Tables[ID],0))</f>
        <v>[c Table 1 Row]</v>
      </c>
      <c r="H4" s="5" t="s">
        <v>944</v>
      </c>
      <c r="I4" s="43" t="str">
        <f xml:space="preserve"> IF( TRIM( meta_Columns[[#This Row],[Owning Table:src]] ) = "", "",
        INDEX( meta_Tables[Display Qualified], MATCH( meta_Columns[[#This Row],[Owning Table:src]], meta_Tables[ID], 0 ) ) )</f>
        <v>belowred::Table1Rows</v>
      </c>
      <c r="K4" s="22" t="str">
        <f>IF(TRIM(meta_Columns[[#This Row],[Referenced Table:src]])="","",
    INDEX(meta_Tables[Display Qualified],MATCH(meta_Columns[[#This Row],[Referenced Table:src]],meta_Tables[ID],0)))</f>
        <v/>
      </c>
      <c r="L4" s="8"/>
      <c r="M4" s="22" t="str">
        <f xml:space="preserve"> IF( TRIM( meta_Columns[[#This Row],[Referenced Table Display and Select Column:src]] ) = "", "",
        INDEX( meta_Columns[Display Qualified], MATCH( meta_Columns[[#This Row],[Referenced Table Display and Select Column:src]], meta_Columns[ID], 0 ) ) )</f>
        <v/>
      </c>
      <c r="N4" s="8" t="str">
        <f>IF(meta_Columns[[#This Row],[Excel Column - Excel Formula]]="","x","")</f>
        <v>x</v>
      </c>
      <c r="O4" s="22"/>
      <c r="P4" s="8" t="str">
        <f>IF(meta_Columns[[#This Row],[Referenced Table:src]]="","",INDEX(meta_Tables[Instances Class],MATCH(meta_Columns[[#This Row],[Referenced Table:src]],meta_Tables[ID],0)))</f>
        <v/>
      </c>
      <c r="Q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 s="8" t="s">
        <v>247</v>
      </c>
      <c r="S4" s="22" t="str">
        <f xml:space="preserve"> IF( TRIM( meta_Columns[[#This Row],[Property:src]] ) = "", "",
        INDEX( meta_TypedModelElements[Display Qualified], MATCH( meta_Columns[[#This Row],[Property:src]], meta_TypedModelElements[ID], 0 ) ) )</f>
        <v>meta::Object.kind</v>
      </c>
      <c r="T4" s="22" t="s">
        <v>42</v>
      </c>
      <c r="U4" s="8" t="e">
        <f>INDEX(meta_Classifiers[Class - Generalization:src], MATCH(meta_Columns[[#This Row],[Generalization 5]],meta_Classifiers[ID],0))</f>
        <v>#N/A</v>
      </c>
      <c r="V4" s="8" t="e">
        <f>INDEX(meta_Classifiers[Class - Generalization:src], MATCH(meta_Columns[[#This Row],[Generalization 4]],meta_Classifiers[ID],0))</f>
        <v>#N/A</v>
      </c>
      <c r="W4" s="8" t="e">
        <f>INDEX(meta_Classifiers[Class - Generalization:src], MATCH(meta_Columns[[#This Row],[Generalization 3]],meta_Classifiers[ID],0))</f>
        <v>#N/A</v>
      </c>
      <c r="X4" s="8" t="e">
        <f>INDEX(meta_Classifiers[Class - Generalization:src], MATCH(meta_Columns[[#This Row],[Generalization 2]],meta_Classifiers[ID],0))</f>
        <v>#N/A</v>
      </c>
      <c r="Y4" s="8" t="str">
        <f>INDEX(meta_Classifiers[Class - Generalization:src], MATCH(meta_Columns[[#This Row],[Generalization 1]],meta_Classifiers[ID],0))</f>
        <v/>
      </c>
      <c r="Z4" s="8" t="str">
        <f>INDEX(meta_Classifiers[Class - Generalization:src], MATCH(meta_Columns[[#This Row],[Owning Table Instances Class]],meta_Classifiers[ID],0))</f>
        <v>_Object</v>
      </c>
      <c r="AA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 s="8" t="b">
        <f>_xlfn.IFNA(
INDEX(meta_Classifiers[Class - Generalization:src],MATCH(
INDEX(meta_Classifiers[Class - Generalization:src],MATCH(meta_Columns[[#This Row],[Property Owning Class]],meta_Classifiers[ID],0)),meta_Classifiers[ID],0))
=meta_Columns[[#This Row],[Owning Table Instances Class]],FALSE)</f>
        <v>0</v>
      </c>
      <c r="AG4" s="8" t="b">
        <f>_xlfn.IFNA(INDEX(meta_Classifiers[Class - Generalization:src],MATCH(meta_Columns[[#This Row],[Property Owning Class]],meta_Classifiers[ID],0))=meta_Columns[[#This Row],[Owning Table Instances Class]],FALSE)</f>
        <v>0</v>
      </c>
      <c r="AH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 s="8" t="str">
        <f>INDEX(meta_Classifiers[Name],MATCH(INDEX(meta_TypedModelElements[Property - Owning Class:src],MATCH(meta_Columns[[#This Row],[Property]],meta_TypedModelElements[ID],0)),meta_Classifiers[ID],0))</f>
        <v>Object</v>
      </c>
      <c r="AJ4" s="8" t="str">
        <f>INDEX(meta_TypedModelElements[Property - Owning Class:src],MATCH(meta_Columns[[#This Row],[Property]],meta_TypedModelElements[ID],0))</f>
        <v>_Object</v>
      </c>
      <c r="AK4" s="8" t="str">
        <f>INDEX(meta_TypedModelElements[Kind:src],MATCH(meta_Columns[[#This Row],[Property]],meta_TypedModelElements[ID],0))</f>
        <v>_Reference</v>
      </c>
      <c r="AL4" s="8" t="str">
        <f>INDEX(meta_TypedModelElements[Name or Type],MATCH(meta_Columns[[#This Row],[Property]],meta_TypedModelElements[ID],0))</f>
        <v>Kind</v>
      </c>
      <c r="AM4" s="8" t="str">
        <f>INDEX(meta_TypedModelElements[Property - Changeable],MATCH(meta_Columns[[#This Row],[Property]],meta_TypedModelElements[ID],0))</f>
        <v>x</v>
      </c>
      <c r="AN4" s="43">
        <v>2</v>
      </c>
      <c r="AO4" s="22">
        <v>2</v>
      </c>
      <c r="AP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 s="8" t="str">
        <f xml:space="preserve"> IF(meta_Columns[[#This Row],[Property Owning Class is Specialization of Instance Class]],meta_Columns[[#This Row],[Property Owning Class Name]]&amp;" - ","")</f>
        <v/>
      </c>
      <c r="AR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 s="8" t="str">
        <f>IFERROR(LEFT(meta_Columns[[#This Row],[Excel Column - Label Actual without Semantic Case]],FIND("-",
meta_Columns[[#This Row],[Excel Column - Label Actual without Semantic Case]])-2),"")</f>
        <v/>
      </c>
      <c r="AU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 s="22"/>
      <c r="AY4" s="8" t="str">
        <f>meta_Columns[[#This Row],[Owning Table]]&amp;"."&amp;meta_Columns[[#This Row],[Excel Column - Label]]</f>
        <v>belowred::Table1Rows.Kind:src</v>
      </c>
      <c r="AZ4" s="22" t="s">
        <v>230</v>
      </c>
      <c r="BA4" s="8" t="str">
        <f>IF(TRIM(meta_Columns[[#This Row],[Excel Column - Label Overwrite]])&lt;&gt;"",meta_Columns[[#This Row],[Excel Column - Label Overwrite]],meta_Columns[[#This Row],[Excel Column - Label from Property or Referenced Table]])</f>
        <v>Kind:src</v>
      </c>
      <c r="BB4" s="43"/>
      <c r="BC4" s="44" t="str">
        <f>IF(meta_Columns[[#This Row],[Excel Column - Explicit Excel Formula]]="","",meta_Columns[[#This Row],[Excel Column - Explicit Excel Formula]])</f>
        <v/>
      </c>
      <c r="BD4" s="5"/>
      <c r="BE4" s="5"/>
    </row>
    <row r="5" spans="1:57">
      <c r="A5" s="10" t="s">
        <v>1022</v>
      </c>
      <c r="B5" s="11" t="s">
        <v>546</v>
      </c>
      <c r="C5" s="22" t="str">
        <f xml:space="preserve"> IF( TRIM( meta_Columns[[#This Row],[Kind:src]] ) = "", "",
        INDEX( meta_Classifiers[Display Qualified], MATCH( meta_Columns[[#This Row],[Kind:src]], meta_Classifiers[ID], 0 ) ) )</f>
        <v>ExcelColumn</v>
      </c>
      <c r="D5" s="44" t="str">
        <f>IF(meta_Columns[[#This Row],[Owning Table:src]]="","",INDEX(meta_Classifiers[Package],MATCH(meta_Columns[[#This Row],[Owning Table Instances Class]],meta_Classifiers[ID],0)))</f>
        <v>belowred</v>
      </c>
      <c r="E5" s="43"/>
      <c r="F5" s="8" t="str">
        <f>INDEX(meta_Tables[Excel Table - Excel Name],MATCH(meta_Columns[[#This Row],[Owning Table:src]],meta_Tables[ID],0))</f>
        <v>belowred_Table1Rows</v>
      </c>
      <c r="G5" s="44" t="str">
        <f>INDEX(meta_Tables[Instances Class:src],MATCH(meta_Columns[[#This Row],[Owning Table:src]],meta_Tables[ID],0))</f>
        <v>[c Table 1 Row]</v>
      </c>
      <c r="H5" s="5" t="s">
        <v>944</v>
      </c>
      <c r="I5" s="43" t="str">
        <f xml:space="preserve"> IF( TRIM( meta_Columns[[#This Row],[Owning Table:src]] ) = "", "",
        INDEX( meta_Tables[Display Qualified], MATCH( meta_Columns[[#This Row],[Owning Table:src]], meta_Tables[ID], 0 ) ) )</f>
        <v>belowred::Table1Rows</v>
      </c>
      <c r="K5" s="22" t="str">
        <f>IF(TRIM(meta_Columns[[#This Row],[Referenced Table:src]])="","",
    INDEX(meta_Tables[Display Qualified],MATCH(meta_Columns[[#This Row],[Referenced Table:src]],meta_Tables[ID],0)))</f>
        <v/>
      </c>
      <c r="L5" s="8"/>
      <c r="M5" s="22" t="str">
        <f xml:space="preserve"> IF( TRIM( meta_Columns[[#This Row],[Referenced Table Display and Select Column:src]] ) = "", "",
        INDEX( meta_Columns[Display Qualified], MATCH( meta_Columns[[#This Row],[Referenced Table Display and Select Column:src]], meta_Columns[ID], 0 ) ) )</f>
        <v/>
      </c>
      <c r="N5" s="8" t="str">
        <f>IF(meta_Columns[[#This Row],[Excel Column - Excel Formula]]="","x","")</f>
        <v>x</v>
      </c>
      <c r="O5" s="22"/>
      <c r="P5" s="8" t="str">
        <f>IF(meta_Columns[[#This Row],[Referenced Table:src]]="","",INDEX(meta_Tables[Instances Class],MATCH(meta_Columns[[#This Row],[Referenced Table:src]],meta_Tables[ID],0)))</f>
        <v/>
      </c>
      <c r="Q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 s="8" t="s">
        <v>247</v>
      </c>
      <c r="S5" s="22" t="str">
        <f xml:space="preserve"> IF( TRIM( meta_Columns[[#This Row],[Property:src]] ) = "", "",
        INDEX( meta_TypedModelElements[Display Qualified], MATCH( meta_Columns[[#This Row],[Property:src]], meta_TypedModelElements[ID], 0 ) ) )</f>
        <v>meta::Object.kind</v>
      </c>
      <c r="T5" s="22"/>
      <c r="U5" s="8" t="e">
        <f>INDEX(meta_Classifiers[Class - Generalization:src], MATCH(meta_Columns[[#This Row],[Generalization 5]],meta_Classifiers[ID],0))</f>
        <v>#N/A</v>
      </c>
      <c r="V5" s="8" t="e">
        <f>INDEX(meta_Classifiers[Class - Generalization:src], MATCH(meta_Columns[[#This Row],[Generalization 4]],meta_Classifiers[ID],0))</f>
        <v>#N/A</v>
      </c>
      <c r="W5" s="8" t="e">
        <f>INDEX(meta_Classifiers[Class - Generalization:src], MATCH(meta_Columns[[#This Row],[Generalization 3]],meta_Classifiers[ID],0))</f>
        <v>#N/A</v>
      </c>
      <c r="X5" s="8" t="e">
        <f>INDEX(meta_Classifiers[Class - Generalization:src], MATCH(meta_Columns[[#This Row],[Generalization 2]],meta_Classifiers[ID],0))</f>
        <v>#N/A</v>
      </c>
      <c r="Y5" s="8" t="str">
        <f>INDEX(meta_Classifiers[Class - Generalization:src], MATCH(meta_Columns[[#This Row],[Generalization 1]],meta_Classifiers[ID],0))</f>
        <v/>
      </c>
      <c r="Z5" s="8" t="str">
        <f>INDEX(meta_Classifiers[Class - Generalization:src], MATCH(meta_Columns[[#This Row],[Owning Table Instances Class]],meta_Classifiers[ID],0))</f>
        <v>_Object</v>
      </c>
      <c r="AA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 s="8" t="b">
        <f>_xlfn.IFNA(
INDEX(meta_Classifiers[Class - Generalization:src],MATCH(
INDEX(meta_Classifiers[Class - Generalization:src],MATCH(meta_Columns[[#This Row],[Property Owning Class]],meta_Classifiers[ID],0)),meta_Classifiers[ID],0))
=meta_Columns[[#This Row],[Owning Table Instances Class]],FALSE)</f>
        <v>0</v>
      </c>
      <c r="AG5" s="8" t="b">
        <f>_xlfn.IFNA(INDEX(meta_Classifiers[Class - Generalization:src],MATCH(meta_Columns[[#This Row],[Property Owning Class]],meta_Classifiers[ID],0))=meta_Columns[[#This Row],[Owning Table Instances Class]],FALSE)</f>
        <v>0</v>
      </c>
      <c r="AH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 s="8" t="str">
        <f>INDEX(meta_Classifiers[Name],MATCH(INDEX(meta_TypedModelElements[Property - Owning Class:src],MATCH(meta_Columns[[#This Row],[Property]],meta_TypedModelElements[ID],0)),meta_Classifiers[ID],0))</f>
        <v>Object</v>
      </c>
      <c r="AJ5" s="8" t="str">
        <f>INDEX(meta_TypedModelElements[Property - Owning Class:src],MATCH(meta_Columns[[#This Row],[Property]],meta_TypedModelElements[ID],0))</f>
        <v>_Object</v>
      </c>
      <c r="AK5" s="8" t="str">
        <f>INDEX(meta_TypedModelElements[Kind:src],MATCH(meta_Columns[[#This Row],[Property]],meta_TypedModelElements[ID],0))</f>
        <v>_Reference</v>
      </c>
      <c r="AL5" s="8" t="str">
        <f>INDEX(meta_TypedModelElements[Name or Type],MATCH(meta_Columns[[#This Row],[Property]],meta_TypedModelElements[ID],0))</f>
        <v>Kind</v>
      </c>
      <c r="AM5" s="8" t="str">
        <f>INDEX(meta_TypedModelElements[Property - Changeable],MATCH(meta_Columns[[#This Row],[Property]],meta_TypedModelElements[ID],0))</f>
        <v>x</v>
      </c>
      <c r="AN5" s="43">
        <v>3</v>
      </c>
      <c r="AO5" s="22">
        <v>3</v>
      </c>
      <c r="AP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 s="8" t="str">
        <f xml:space="preserve"> IF(meta_Columns[[#This Row],[Property Owning Class is Specialization of Instance Class]],meta_Columns[[#This Row],[Property Owning Class Name]]&amp;" - ","")</f>
        <v/>
      </c>
      <c r="AR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 s="8" t="str">
        <f>IFERROR(LEFT(meta_Columns[[#This Row],[Excel Column - Label Actual without Semantic Case]],FIND("-",
meta_Columns[[#This Row],[Excel Column - Label Actual without Semantic Case]])-2),"")</f>
        <v/>
      </c>
      <c r="AU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 s="22"/>
      <c r="AY5" s="8" t="str">
        <f>meta_Columns[[#This Row],[Owning Table]]&amp;"."&amp;meta_Columns[[#This Row],[Excel Column - Label]]</f>
        <v>belowred::Table1Rows.Kind</v>
      </c>
      <c r="AZ5" s="22" t="s">
        <v>5</v>
      </c>
      <c r="BA5" s="8" t="str">
        <f>IF(TRIM(meta_Columns[[#This Row],[Excel Column - Label Overwrite]])&lt;&gt;"",meta_Columns[[#This Row],[Excel Column - Label Overwrite]],meta_Columns[[#This Row],[Excel Column - Label from Property or Referenced Table]])</f>
        <v>Kind</v>
      </c>
      <c r="BB5" s="43"/>
      <c r="BC5" s="44" t="str">
        <f>IF(meta_Columns[[#This Row],[Excel Column - Explicit Excel Formula]]="","",meta_Columns[[#This Row],[Excel Column - Explicit Excel Formula]])</f>
        <v/>
      </c>
      <c r="BD5" s="5"/>
      <c r="BE5" s="5"/>
    </row>
    <row r="6" spans="1:57">
      <c r="A6" s="10" t="s">
        <v>1023</v>
      </c>
      <c r="B6" s="11" t="s">
        <v>546</v>
      </c>
      <c r="C6" s="22" t="str">
        <f xml:space="preserve"> IF( TRIM( meta_Columns[[#This Row],[Kind:src]] ) = "", "",
        INDEX( meta_Classifiers[Display Qualified], MATCH( meta_Columns[[#This Row],[Kind:src]], meta_Classifiers[ID], 0 ) ) )</f>
        <v>ExcelColumn</v>
      </c>
      <c r="D6" s="44" t="str">
        <f>IF(meta_Columns[[#This Row],[Owning Table:src]]="","",INDEX(meta_Classifiers[Package],MATCH(meta_Columns[[#This Row],[Owning Table Instances Class]],meta_Classifiers[ID],0)))</f>
        <v>belowred</v>
      </c>
      <c r="E6" s="43"/>
      <c r="F6" s="8" t="str">
        <f>INDEX(meta_Tables[Excel Table - Excel Name],MATCH(meta_Columns[[#This Row],[Owning Table:src]],meta_Tables[ID],0))</f>
        <v>belowred_Table1Rows</v>
      </c>
      <c r="G6" s="44" t="str">
        <f>INDEX(meta_Tables[Instances Class:src],MATCH(meta_Columns[[#This Row],[Owning Table:src]],meta_Tables[ID],0))</f>
        <v>[c Table 1 Row]</v>
      </c>
      <c r="H6" s="5" t="s">
        <v>944</v>
      </c>
      <c r="I6" s="43" t="str">
        <f xml:space="preserve"> IF( TRIM( meta_Columns[[#This Row],[Owning Table:src]] ) = "", "",
        INDEX( meta_Tables[Display Qualified], MATCH( meta_Columns[[#This Row],[Owning Table:src]], meta_Tables[ID], 0 ) ) )</f>
        <v>belowred::Table1Rows</v>
      </c>
      <c r="K6" s="22" t="str">
        <f>IF(TRIM(meta_Columns[[#This Row],[Referenced Table:src]])="","",
    INDEX(meta_Tables[Display Qualified],MATCH(meta_Columns[[#This Row],[Referenced Table:src]],meta_Tables[ID],0)))</f>
        <v/>
      </c>
      <c r="L6" s="8"/>
      <c r="M6" s="22" t="str">
        <f xml:space="preserve"> IF( TRIM( meta_Columns[[#This Row],[Referenced Table Display and Select Column:src]] ) = "", "",
        INDEX( meta_Columns[Display Qualified], MATCH( meta_Columns[[#This Row],[Referenced Table Display and Select Column:src]], meta_Columns[ID], 0 ) ) )</f>
        <v/>
      </c>
      <c r="N6" s="8" t="str">
        <f>IF(meta_Columns[[#This Row],[Excel Column - Excel Formula]]="","x","")</f>
        <v>x</v>
      </c>
      <c r="O6" s="22"/>
      <c r="P6" s="8" t="str">
        <f>IF(meta_Columns[[#This Row],[Referenced Table:src]]="","",INDEX(meta_Tables[Instances Class],MATCH(meta_Columns[[#This Row],[Referenced Table:src]],meta_Tables[ID],0)))</f>
        <v/>
      </c>
      <c r="Q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 s="8" t="s">
        <v>248</v>
      </c>
      <c r="S6" s="22" t="str">
        <f xml:space="preserve"> IF( TRIM( meta_Columns[[#This Row],[Property:src]] ) = "", "",
        INDEX( meta_TypedModelElements[Display Qualified], MATCH( meta_Columns[[#This Row],[Property:src]], meta_TypedModelElements[ID], 0 ) ) )</f>
        <v>meta::Object.package</v>
      </c>
      <c r="T6" s="22"/>
      <c r="U6" s="8" t="e">
        <f>INDEX(meta_Classifiers[Class - Generalization:src], MATCH(meta_Columns[[#This Row],[Generalization 5]],meta_Classifiers[ID],0))</f>
        <v>#N/A</v>
      </c>
      <c r="V6" s="8" t="e">
        <f>INDEX(meta_Classifiers[Class - Generalization:src], MATCH(meta_Columns[[#This Row],[Generalization 4]],meta_Classifiers[ID],0))</f>
        <v>#N/A</v>
      </c>
      <c r="W6" s="8" t="e">
        <f>INDEX(meta_Classifiers[Class - Generalization:src], MATCH(meta_Columns[[#This Row],[Generalization 3]],meta_Classifiers[ID],0))</f>
        <v>#N/A</v>
      </c>
      <c r="X6" s="8" t="e">
        <f>INDEX(meta_Classifiers[Class - Generalization:src], MATCH(meta_Columns[[#This Row],[Generalization 2]],meta_Classifiers[ID],0))</f>
        <v>#N/A</v>
      </c>
      <c r="Y6" s="8" t="str">
        <f>INDEX(meta_Classifiers[Class - Generalization:src], MATCH(meta_Columns[[#This Row],[Generalization 1]],meta_Classifiers[ID],0))</f>
        <v/>
      </c>
      <c r="Z6" s="8" t="str">
        <f>INDEX(meta_Classifiers[Class - Generalization:src], MATCH(meta_Columns[[#This Row],[Owning Table Instances Class]],meta_Classifiers[ID],0))</f>
        <v>_Object</v>
      </c>
      <c r="AA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 s="8" t="b">
        <f>_xlfn.IFNA(
INDEX(meta_Classifiers[Class - Generalization:src],MATCH(
INDEX(meta_Classifiers[Class - Generalization:src],MATCH(meta_Columns[[#This Row],[Property Owning Class]],meta_Classifiers[ID],0)),meta_Classifiers[ID],0))
=meta_Columns[[#This Row],[Owning Table Instances Class]],FALSE)</f>
        <v>0</v>
      </c>
      <c r="AG6" s="8" t="b">
        <f>_xlfn.IFNA(INDEX(meta_Classifiers[Class - Generalization:src],MATCH(meta_Columns[[#This Row],[Property Owning Class]],meta_Classifiers[ID],0))=meta_Columns[[#This Row],[Owning Table Instances Class]],FALSE)</f>
        <v>0</v>
      </c>
      <c r="AH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 s="8" t="str">
        <f>INDEX(meta_Classifiers[Name],MATCH(INDEX(meta_TypedModelElements[Property - Owning Class:src],MATCH(meta_Columns[[#This Row],[Property]],meta_TypedModelElements[ID],0)),meta_Classifiers[ID],0))</f>
        <v>Object</v>
      </c>
      <c r="AJ6" s="8" t="str">
        <f>INDEX(meta_TypedModelElements[Property - Owning Class:src],MATCH(meta_Columns[[#This Row],[Property]],meta_TypedModelElements[ID],0))</f>
        <v>_Object</v>
      </c>
      <c r="AK6" s="8" t="str">
        <f>INDEX(meta_TypedModelElements[Kind:src],MATCH(meta_Columns[[#This Row],[Property]],meta_TypedModelElements[ID],0))</f>
        <v>_Attribute</v>
      </c>
      <c r="AL6" s="8" t="str">
        <f>INDEX(meta_TypedModelElements[Name or Type],MATCH(meta_Columns[[#This Row],[Property]],meta_TypedModelElements[ID],0))</f>
        <v>Package</v>
      </c>
      <c r="AM6" s="8" t="str">
        <f>INDEX(meta_TypedModelElements[Property - Changeable],MATCH(meta_Columns[[#This Row],[Property]],meta_TypedModelElements[ID],0))</f>
        <v>x</v>
      </c>
      <c r="AN6" s="43">
        <v>4</v>
      </c>
      <c r="AO6" s="22">
        <v>4</v>
      </c>
      <c r="AP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 s="8" t="str">
        <f xml:space="preserve"> IF(meta_Columns[[#This Row],[Property Owning Class is Specialization of Instance Class]],meta_Columns[[#This Row],[Property Owning Class Name]]&amp;" - ","")</f>
        <v/>
      </c>
      <c r="AR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 s="8" t="str">
        <f>IFERROR(LEFT(meta_Columns[[#This Row],[Excel Column - Label Actual without Semantic Case]],FIND("-",
meta_Columns[[#This Row],[Excel Column - Label Actual without Semantic Case]])-2),"")</f>
        <v/>
      </c>
      <c r="AU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 s="22"/>
      <c r="AY6" s="8" t="str">
        <f>meta_Columns[[#This Row],[Owning Table]]&amp;"."&amp;meta_Columns[[#This Row],[Excel Column - Label]]</f>
        <v>belowred::Table1Rows.Package</v>
      </c>
      <c r="AZ6" s="22" t="s">
        <v>120</v>
      </c>
      <c r="BA6" s="8" t="str">
        <f>IF(TRIM(meta_Columns[[#This Row],[Excel Column - Label Overwrite]])&lt;&gt;"",meta_Columns[[#This Row],[Excel Column - Label Overwrite]],meta_Columns[[#This Row],[Excel Column - Label from Property or Referenced Table]])</f>
        <v>Package</v>
      </c>
      <c r="BB6" s="43"/>
      <c r="BC6" s="44" t="str">
        <f>IF(meta_Columns[[#This Row],[Excel Column - Explicit Excel Formula]]="","",meta_Columns[[#This Row],[Excel Column - Explicit Excel Formula]])</f>
        <v/>
      </c>
      <c r="BD6" s="5"/>
      <c r="BE6" s="5"/>
    </row>
    <row r="7" spans="1:57">
      <c r="A7" s="10" t="s">
        <v>1024</v>
      </c>
      <c r="B7" s="11" t="s">
        <v>546</v>
      </c>
      <c r="C7" s="22" t="str">
        <f xml:space="preserve"> IF( TRIM( meta_Columns[[#This Row],[Kind:src]] ) = "", "",
        INDEX( meta_Classifiers[Display Qualified], MATCH( meta_Columns[[#This Row],[Kind:src]], meta_Classifiers[ID], 0 ) ) )</f>
        <v>ExcelColumn</v>
      </c>
      <c r="D7" s="44" t="str">
        <f>IF(meta_Columns[[#This Row],[Owning Table:src]]="","",INDEX(meta_Classifiers[Package],MATCH(meta_Columns[[#This Row],[Owning Table Instances Class]],meta_Classifiers[ID],0)))</f>
        <v>belowred</v>
      </c>
      <c r="E7" s="43"/>
      <c r="F7" s="8" t="str">
        <f>INDEX(meta_Tables[Excel Table - Excel Name],MATCH(meta_Columns[[#This Row],[Owning Table:src]],meta_Tables[ID],0))</f>
        <v>belowred_Table1Rows</v>
      </c>
      <c r="G7" s="44" t="str">
        <f>INDEX(meta_Tables[Instances Class:src],MATCH(meta_Columns[[#This Row],[Owning Table:src]],meta_Tables[ID],0))</f>
        <v>[c Table 1 Row]</v>
      </c>
      <c r="H7" t="s">
        <v>944</v>
      </c>
      <c r="I7" s="43" t="str">
        <f xml:space="preserve"> IF( TRIM( meta_Columns[[#This Row],[Owning Table:src]] ) = "", "",
        INDEX( meta_Tables[Display Qualified], MATCH( meta_Columns[[#This Row],[Owning Table:src]], meta_Tables[ID], 0 ) ) )</f>
        <v>belowred::Table1Rows</v>
      </c>
      <c r="K7" s="22" t="str">
        <f>IF(TRIM(meta_Columns[[#This Row],[Referenced Table:src]])="","",
    INDEX(meta_Tables[Display Qualified],MATCH(meta_Columns[[#This Row],[Referenced Table:src]],meta_Tables[ID],0)))</f>
        <v/>
      </c>
      <c r="L7" s="8"/>
      <c r="M7" s="22" t="str">
        <f xml:space="preserve"> IF( TRIM( meta_Columns[[#This Row],[Referenced Table Display and Select Column:src]] ) = "", "",
        INDEX( meta_Columns[Display Qualified], MATCH( meta_Columns[[#This Row],[Referenced Table Display and Select Column:src]], meta_Columns[ID], 0 ) ) )</f>
        <v/>
      </c>
      <c r="N7" s="8" t="str">
        <f>IF(meta_Columns[[#This Row],[Excel Column - Excel Formula]]="","x","")</f>
        <v>x</v>
      </c>
      <c r="O7" s="22"/>
      <c r="P7" s="8" t="str">
        <f>IF(meta_Columns[[#This Row],[Referenced Table:src]]="","",INDEX(meta_Tables[Instances Class],MATCH(meta_Columns[[#This Row],[Referenced Table:src]],meta_Tables[ID],0)))</f>
        <v/>
      </c>
      <c r="Q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 s="8" t="s">
        <v>460</v>
      </c>
      <c r="S7" s="22" t="str">
        <f xml:space="preserve"> IF( TRIM( meta_Columns[[#This Row],[Property:src]] ) = "", "",
        INDEX( meta_TypedModelElements[Display Qualified], MATCH( meta_Columns[[#This Row],[Property:src]], meta_TypedModelElements[ID], 0 ) ) )</f>
        <v>meta::Object.subPackage</v>
      </c>
      <c r="T7" s="22" t="s">
        <v>42</v>
      </c>
      <c r="U7" s="8" t="e">
        <f>INDEX(meta_Classifiers[Class - Generalization:src], MATCH(meta_Columns[[#This Row],[Generalization 5]],meta_Classifiers[ID],0))</f>
        <v>#N/A</v>
      </c>
      <c r="V7" s="8" t="e">
        <f>INDEX(meta_Classifiers[Class - Generalization:src], MATCH(meta_Columns[[#This Row],[Generalization 4]],meta_Classifiers[ID],0))</f>
        <v>#N/A</v>
      </c>
      <c r="W7" s="8" t="e">
        <f>INDEX(meta_Classifiers[Class - Generalization:src], MATCH(meta_Columns[[#This Row],[Generalization 3]],meta_Classifiers[ID],0))</f>
        <v>#N/A</v>
      </c>
      <c r="X7" s="8" t="e">
        <f>INDEX(meta_Classifiers[Class - Generalization:src], MATCH(meta_Columns[[#This Row],[Generalization 2]],meta_Classifiers[ID],0))</f>
        <v>#N/A</v>
      </c>
      <c r="Y7" s="8" t="str">
        <f>INDEX(meta_Classifiers[Class - Generalization:src], MATCH(meta_Columns[[#This Row],[Generalization 1]],meta_Classifiers[ID],0))</f>
        <v/>
      </c>
      <c r="Z7" s="8" t="str">
        <f>INDEX(meta_Classifiers[Class - Generalization:src], MATCH(meta_Columns[[#This Row],[Owning Table Instances Class]],meta_Classifiers[ID],0))</f>
        <v>_Object</v>
      </c>
      <c r="AA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 s="8" t="b">
        <f>_xlfn.IFNA(
INDEX(meta_Classifiers[Class - Generalization:src],MATCH(
INDEX(meta_Classifiers[Class - Generalization:src],MATCH(meta_Columns[[#This Row],[Property Owning Class]],meta_Classifiers[ID],0)),meta_Classifiers[ID],0))
=meta_Columns[[#This Row],[Owning Table Instances Class]],FALSE)</f>
        <v>0</v>
      </c>
      <c r="AG7" s="8" t="b">
        <f>_xlfn.IFNA(INDEX(meta_Classifiers[Class - Generalization:src],MATCH(meta_Columns[[#This Row],[Property Owning Class]],meta_Classifiers[ID],0))=meta_Columns[[#This Row],[Owning Table Instances Class]],FALSE)</f>
        <v>0</v>
      </c>
      <c r="AH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 s="8" t="str">
        <f>INDEX(meta_Classifiers[Name],MATCH(INDEX(meta_TypedModelElements[Property - Owning Class:src],MATCH(meta_Columns[[#This Row],[Property]],meta_TypedModelElements[ID],0)),meta_Classifiers[ID],0))</f>
        <v>Object</v>
      </c>
      <c r="AJ7" s="8" t="str">
        <f>INDEX(meta_TypedModelElements[Property - Owning Class:src],MATCH(meta_Columns[[#This Row],[Property]],meta_TypedModelElements[ID],0))</f>
        <v>_Object</v>
      </c>
      <c r="AK7" s="8" t="str">
        <f>INDEX(meta_TypedModelElements[Kind:src],MATCH(meta_Columns[[#This Row],[Property]],meta_TypedModelElements[ID],0))</f>
        <v>_Attribute</v>
      </c>
      <c r="AL7" s="8" t="str">
        <f>INDEX(meta_TypedModelElements[Name or Type],MATCH(meta_Columns[[#This Row],[Property]],meta_TypedModelElements[ID],0))</f>
        <v>Sub Package</v>
      </c>
      <c r="AM7" s="8" t="str">
        <f>INDEX(meta_TypedModelElements[Property - Changeable],MATCH(meta_Columns[[#This Row],[Property]],meta_TypedModelElements[ID],0))</f>
        <v>x</v>
      </c>
      <c r="AN7" s="43">
        <v>5</v>
      </c>
      <c r="AO7" s="22">
        <v>5</v>
      </c>
      <c r="AP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7" s="8" t="str">
        <f xml:space="preserve"> IF(meta_Columns[[#This Row],[Property Owning Class is Specialization of Instance Class]],meta_Columns[[#This Row],[Property Owning Class Name]]&amp;" - ","")</f>
        <v/>
      </c>
      <c r="AR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7" s="8" t="str">
        <f>IFERROR(LEFT(meta_Columns[[#This Row],[Excel Column - Label Actual without Semantic Case]],FIND("-",
meta_Columns[[#This Row],[Excel Column - Label Actual without Semantic Case]])-2),"")</f>
        <v/>
      </c>
      <c r="AU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7" s="22"/>
      <c r="AY7" s="8" t="str">
        <f>meta_Columns[[#This Row],[Owning Table]]&amp;"."&amp;meta_Columns[[#This Row],[Excel Column - Label]]</f>
        <v>belowred::Table1Rows.Sub Package</v>
      </c>
      <c r="AZ7" s="22" t="s">
        <v>461</v>
      </c>
      <c r="BA7" s="8" t="str">
        <f>IF(TRIM(meta_Columns[[#This Row],[Excel Column - Label Overwrite]])&lt;&gt;"",meta_Columns[[#This Row],[Excel Column - Label Overwrite]],meta_Columns[[#This Row],[Excel Column - Label from Property or Referenced Table]])</f>
        <v>Sub Package</v>
      </c>
      <c r="BB7" s="43"/>
      <c r="BC7" s="44" t="str">
        <f>IF(meta_Columns[[#This Row],[Excel Column - Explicit Excel Formula]]="","",meta_Columns[[#This Row],[Excel Column - Explicit Excel Formula]])</f>
        <v/>
      </c>
      <c r="BD7" s="5"/>
      <c r="BE7" s="5"/>
    </row>
    <row r="8" spans="1:57">
      <c r="A8" s="10" t="s">
        <v>1843</v>
      </c>
      <c r="B8" s="11" t="s">
        <v>546</v>
      </c>
      <c r="C8" s="22" t="str">
        <f xml:space="preserve"> IF( TRIM( meta_Columns[[#This Row],[Kind:src]] ) = "", "",
        INDEX( meta_Classifiers[Display Qualified], MATCH( meta_Columns[[#This Row],[Kind:src]], meta_Classifiers[ID], 0 ) ) )</f>
        <v>ExcelColumn</v>
      </c>
      <c r="D8" s="44" t="str">
        <f>IF(meta_Columns[[#This Row],[Owning Table:src]]="","",INDEX(meta_Classifiers[Package],MATCH(meta_Columns[[#This Row],[Owning Table Instances Class]],meta_Classifiers[ID],0)))</f>
        <v>belowred</v>
      </c>
      <c r="E8" s="43"/>
      <c r="F8" s="44" t="str">
        <f>INDEX(meta_Tables[Excel Table - Excel Name],MATCH(meta_Columns[[#This Row],[Owning Table:src]],meta_Tables[ID],0))</f>
        <v>belowred_Table1Rows</v>
      </c>
      <c r="G8" s="44" t="str">
        <f>INDEX(meta_Tables[Instances Class:src],MATCH(meta_Columns[[#This Row],[Owning Table:src]],meta_Tables[ID],0))</f>
        <v>[c Table 1 Row]</v>
      </c>
      <c r="H8" s="11" t="s">
        <v>944</v>
      </c>
      <c r="I8" s="43" t="str">
        <f xml:space="preserve"> IF( TRIM( meta_Columns[[#This Row],[Owning Table:src]] ) = "", "",
        INDEX( meta_Tables[Display Qualified], MATCH( meta_Columns[[#This Row],[Owning Table:src]], meta_Tables[ID], 0 ) ) )</f>
        <v>belowred::Table1Rows</v>
      </c>
      <c r="K8" s="22" t="str">
        <f>IF(TRIM(meta_Columns[[#This Row],[Referenced Table:src]])="","",
    INDEX(meta_Tables[Display Qualified],MATCH(meta_Columns[[#This Row],[Referenced Table:src]],meta_Tables[ID],0)))</f>
        <v/>
      </c>
      <c r="L8" s="8"/>
      <c r="M8" s="22" t="str">
        <f xml:space="preserve"> IF( TRIM( meta_Columns[[#This Row],[Referenced Table Display and Select Column:src]] ) = "", "",
        INDEX( meta_Columns[Display Qualified], MATCH( meta_Columns[[#This Row],[Referenced Table Display and Select Column:src]], meta_Columns[ID], 0 ) ) )</f>
        <v/>
      </c>
      <c r="N8" s="8" t="str">
        <f>IF(meta_Columns[[#This Row],[Excel Column - Excel Formula]]="","x","")</f>
        <v>x</v>
      </c>
      <c r="O8" s="22"/>
      <c r="P8" s="8" t="str">
        <f>IF(meta_Columns[[#This Row],[Referenced Table:src]]="","",INDEX(meta_Tables[Instances Class],MATCH(meta_Columns[[#This Row],[Referenced Table:src]],meta_Tables[ID],0)))</f>
        <v/>
      </c>
      <c r="Q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 s="8" t="s">
        <v>277</v>
      </c>
      <c r="S8" s="22" t="str">
        <f xml:space="preserve"> IF( TRIM( meta_Columns[[#This Row],[Property:src]] ) = "", "",
        INDEX( meta_TypedModelElements[Display Qualified], MATCH( meta_Columns[[#This Row],[Property:src]], meta_TypedModelElements[ID], 0 ) ) )</f>
        <v>belowred::table2Ref</v>
      </c>
      <c r="T8" s="22" t="s">
        <v>42</v>
      </c>
      <c r="U8" s="8" t="e">
        <f>INDEX(meta_Classifiers[Class - Generalization:src], MATCH(meta_Columns[[#This Row],[Generalization 5]],meta_Classifiers[ID],0))</f>
        <v>#N/A</v>
      </c>
      <c r="V8" s="8" t="e">
        <f>INDEX(meta_Classifiers[Class - Generalization:src], MATCH(meta_Columns[[#This Row],[Generalization 4]],meta_Classifiers[ID],0))</f>
        <v>#N/A</v>
      </c>
      <c r="W8" s="8" t="e">
        <f>INDEX(meta_Classifiers[Class - Generalization:src], MATCH(meta_Columns[[#This Row],[Generalization 3]],meta_Classifiers[ID],0))</f>
        <v>#N/A</v>
      </c>
      <c r="X8" s="8" t="e">
        <f>INDEX(meta_Classifiers[Class - Generalization:src], MATCH(meta_Columns[[#This Row],[Generalization 2]],meta_Classifiers[ID],0))</f>
        <v>#N/A</v>
      </c>
      <c r="Y8" s="8" t="str">
        <f>INDEX(meta_Classifiers[Class - Generalization:src], MATCH(meta_Columns[[#This Row],[Generalization 1]],meta_Classifiers[ID],0))</f>
        <v/>
      </c>
      <c r="Z8" s="8" t="str">
        <f>INDEX(meta_Classifiers[Class - Generalization:src], MATCH(meta_Columns[[#This Row],[Owning Table Instances Class]],meta_Classifiers[ID],0))</f>
        <v>_Object</v>
      </c>
      <c r="AA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 s="8" t="b">
        <f>_xlfn.IFNA(
INDEX(meta_Classifiers[Class - Generalization:src],MATCH(
INDEX(meta_Classifiers[Class - Generalization:src],MATCH(meta_Columns[[#This Row],[Property Owning Class]],meta_Classifiers[ID],0)),meta_Classifiers[ID],0))
=meta_Columns[[#This Row],[Owning Table Instances Class]],FALSE)</f>
        <v>0</v>
      </c>
      <c r="AG8" s="8" t="b">
        <f>_xlfn.IFNA(INDEX(meta_Classifiers[Class - Generalization:src],MATCH(meta_Columns[[#This Row],[Property Owning Class]],meta_Classifiers[ID],0))=meta_Columns[[#This Row],[Owning Table Instances Class]],FALSE)</f>
        <v>0</v>
      </c>
      <c r="AH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 s="8" t="e">
        <f>INDEX(meta_Classifiers[Name],MATCH(INDEX(meta_TypedModelElements[Property - Owning Class:src],MATCH(meta_Columns[[#This Row],[Property]],meta_TypedModelElements[ID],0)),meta_Classifiers[ID],0))</f>
        <v>#N/A</v>
      </c>
      <c r="AJ8" s="8" t="e">
        <f>INDEX(meta_TypedModelElements[Property - Owning Class:src],MATCH(meta_Columns[[#This Row],[Property]],meta_TypedModelElements[ID],0))</f>
        <v>#N/A</v>
      </c>
      <c r="AK8" s="8" t="e">
        <f>INDEX(meta_TypedModelElements[Kind:src],MATCH(meta_Columns[[#This Row],[Property]],meta_TypedModelElements[ID],0))</f>
        <v>#N/A</v>
      </c>
      <c r="AL8" s="8" t="e">
        <f>INDEX(meta_TypedModelElements[Name or Type],MATCH(meta_Columns[[#This Row],[Property]],meta_TypedModelElements[ID],0))</f>
        <v>#N/A</v>
      </c>
      <c r="AM8" s="8" t="e">
        <f>INDEX(meta_TypedModelElements[Property - Changeable],MATCH(meta_Columns[[#This Row],[Property]],meta_TypedModelElements[ID],0))</f>
        <v>#N/A</v>
      </c>
      <c r="AN8" s="43">
        <v>6</v>
      </c>
      <c r="AO8" s="22">
        <v>6</v>
      </c>
      <c r="AP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 s="8" t="str">
        <f xml:space="preserve"> IF(meta_Columns[[#This Row],[Property Owning Class is Specialization of Instance Class]],meta_Columns[[#This Row],[Property Owning Class Name]]&amp;" - ","")</f>
        <v/>
      </c>
      <c r="AR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8" s="8" t="str">
        <f>IFERROR(LEFT(meta_Columns[[#This Row],[Excel Column - Label Actual without Semantic Case]],FIND("-",
meta_Columns[[#This Row],[Excel Column - Label Actual without Semantic Case]])-2),"")</f>
        <v/>
      </c>
      <c r="AU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Ref:src</v>
      </c>
      <c r="AX8" s="22"/>
      <c r="AY8" s="8" t="str">
        <f>meta_Columns[[#This Row],[Owning Table]]&amp;"."&amp;meta_Columns[[#This Row],[Excel Column - Label]]</f>
        <v>belowred::Table1Rows.Table 2 Ref:src</v>
      </c>
      <c r="AZ8" s="43" t="s">
        <v>1842</v>
      </c>
      <c r="BA8" s="44" t="str">
        <f>IF(TRIM(meta_Columns[[#This Row],[Excel Column - Label Overwrite]])&lt;&gt;"",meta_Columns[[#This Row],[Excel Column - Label Overwrite]],meta_Columns[[#This Row],[Excel Column - Label from Property or Referenced Table]])</f>
        <v>Table 2 Ref:src</v>
      </c>
      <c r="BB8" s="43"/>
      <c r="BC8" s="44" t="str">
        <f>IF(meta_Columns[[#This Row],[Excel Column - Explicit Excel Formula]]="","",meta_Columns[[#This Row],[Excel Column - Explicit Excel Formula]])</f>
        <v/>
      </c>
      <c r="BD8" s="5"/>
      <c r="BE8" s="5"/>
    </row>
    <row r="9" spans="1:57">
      <c r="A9" s="10" t="s">
        <v>1025</v>
      </c>
      <c r="B9" s="11" t="s">
        <v>546</v>
      </c>
      <c r="C9" s="22" t="str">
        <f xml:space="preserve"> IF( TRIM( meta_Columns[[#This Row],[Kind:src]] ) = "", "",
        INDEX( meta_Classifiers[Display Qualified], MATCH( meta_Columns[[#This Row],[Kind:src]], meta_Classifiers[ID], 0 ) ) )</f>
        <v>ExcelColumn</v>
      </c>
      <c r="D9" s="44" t="str">
        <f>IF(meta_Columns[[#This Row],[Owning Table:src]]="","",INDEX(meta_Classifiers[Package],MATCH(meta_Columns[[#This Row],[Owning Table Instances Class]],meta_Classifiers[ID],0)))</f>
        <v>belowred</v>
      </c>
      <c r="E9" s="43"/>
      <c r="F9" s="44" t="str">
        <f>INDEX(meta_Tables[Excel Table - Excel Name],MATCH(meta_Columns[[#This Row],[Owning Table:src]],meta_Tables[ID],0))</f>
        <v>belowred_Table1Rows</v>
      </c>
      <c r="G9" s="44" t="str">
        <f>INDEX(meta_Tables[Instances Class:src],MATCH(meta_Columns[[#This Row],[Owning Table:src]],meta_Tables[ID],0))</f>
        <v>[c Table 1 Row]</v>
      </c>
      <c r="H9" s="1" t="s">
        <v>944</v>
      </c>
      <c r="I9" s="43" t="str">
        <f xml:space="preserve"> IF( TRIM( meta_Columns[[#This Row],[Owning Table:src]] ) = "", "",
        INDEX( meta_Tables[Display Qualified], MATCH( meta_Columns[[#This Row],[Owning Table:src]], meta_Tables[ID], 0 ) ) )</f>
        <v>belowred::Table1Rows</v>
      </c>
      <c r="J9" t="s">
        <v>948</v>
      </c>
      <c r="K9" s="22" t="str">
        <f>IF(TRIM(meta_Columns[[#This Row],[Referenced Table:src]])="","",
    INDEX(meta_Tables[Display Qualified],MATCH(meta_Columns[[#This Row],[Referenced Table:src]],meta_Tables[ID],0)))</f>
        <v>belowred::Table2Rows</v>
      </c>
      <c r="L9" s="8"/>
      <c r="M9" s="22" t="str">
        <f xml:space="preserve"> IF( TRIM( meta_Columns[[#This Row],[Referenced Table Display and Select Column:src]] ) = "", "",
        INDEX( meta_Columns[Display Qualified], MATCH( meta_Columns[[#This Row],[Referenced Table Display and Select Column:src]], meta_Columns[ID], 0 ) ) )</f>
        <v/>
      </c>
      <c r="N9" s="8" t="str">
        <f>IF(meta_Columns[[#This Row],[Excel Column - Excel Formula]]="","x","")</f>
        <v>x</v>
      </c>
      <c r="O9" s="22"/>
      <c r="P9" s="8" t="str">
        <f>IF(meta_Columns[[#This Row],[Referenced Table:src]]="","",INDEX(meta_Tables[Instances Class],MATCH(meta_Columns[[#This Row],[Referenced Table:src]],meta_Tables[ID],0)))</f>
        <v>belowred::Table2Row</v>
      </c>
      <c r="Q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9" s="8" t="s">
        <v>277</v>
      </c>
      <c r="S9" s="22" t="str">
        <f xml:space="preserve"> IF( TRIM( meta_Columns[[#This Row],[Property:src]] ) = "", "",
        INDEX( meta_TypedModelElements[Display Qualified], MATCH( meta_Columns[[#This Row],[Property:src]], meta_TypedModelElements[ID], 0 ) ) )</f>
        <v>belowred::table2Ref</v>
      </c>
      <c r="T9" s="22" t="s">
        <v>476</v>
      </c>
      <c r="U9" s="8" t="e">
        <f>INDEX(meta_Classifiers[Class - Generalization:src], MATCH(meta_Columns[[#This Row],[Generalization 5]],meta_Classifiers[ID],0))</f>
        <v>#N/A</v>
      </c>
      <c r="V9" s="8" t="e">
        <f>INDEX(meta_Classifiers[Class - Generalization:src], MATCH(meta_Columns[[#This Row],[Generalization 4]],meta_Classifiers[ID],0))</f>
        <v>#N/A</v>
      </c>
      <c r="W9" s="8" t="e">
        <f>INDEX(meta_Classifiers[Class - Generalization:src], MATCH(meta_Columns[[#This Row],[Generalization 3]],meta_Classifiers[ID],0))</f>
        <v>#N/A</v>
      </c>
      <c r="X9" s="8" t="e">
        <f>INDEX(meta_Classifiers[Class - Generalization:src], MATCH(meta_Columns[[#This Row],[Generalization 2]],meta_Classifiers[ID],0))</f>
        <v>#N/A</v>
      </c>
      <c r="Y9" s="8" t="str">
        <f>INDEX(meta_Classifiers[Class - Generalization:src], MATCH(meta_Columns[[#This Row],[Generalization 1]],meta_Classifiers[ID],0))</f>
        <v/>
      </c>
      <c r="Z9" s="8" t="str">
        <f>INDEX(meta_Classifiers[Class - Generalization:src], MATCH(meta_Columns[[#This Row],[Owning Table Instances Class]],meta_Classifiers[ID],0))</f>
        <v>_Object</v>
      </c>
      <c r="AA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 s="8" t="b">
        <f>_xlfn.IFNA(
INDEX(meta_Classifiers[Class - Generalization:src],MATCH(
INDEX(meta_Classifiers[Class - Generalization:src],MATCH(meta_Columns[[#This Row],[Property Owning Class]],meta_Classifiers[ID],0)),meta_Classifiers[ID],0))
=meta_Columns[[#This Row],[Owning Table Instances Class]],FALSE)</f>
        <v>0</v>
      </c>
      <c r="AG9" s="8" t="b">
        <f>_xlfn.IFNA(INDEX(meta_Classifiers[Class - Generalization:src],MATCH(meta_Columns[[#This Row],[Property Owning Class]],meta_Classifiers[ID],0))=meta_Columns[[#This Row],[Owning Table Instances Class]],FALSE)</f>
        <v>0</v>
      </c>
      <c r="AH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 s="8" t="e">
        <f>INDEX(meta_Classifiers[Name],MATCH(INDEX(meta_TypedModelElements[Property - Owning Class:src],MATCH(meta_Columns[[#This Row],[Property]],meta_TypedModelElements[ID],0)),meta_Classifiers[ID],0))</f>
        <v>#N/A</v>
      </c>
      <c r="AJ9" s="8" t="e">
        <f>INDEX(meta_TypedModelElements[Property - Owning Class:src],MATCH(meta_Columns[[#This Row],[Property]],meta_TypedModelElements[ID],0))</f>
        <v>#N/A</v>
      </c>
      <c r="AK9" s="8" t="e">
        <f>INDEX(meta_TypedModelElements[Kind:src],MATCH(meta_Columns[[#This Row],[Property]],meta_TypedModelElements[ID],0))</f>
        <v>#N/A</v>
      </c>
      <c r="AL9" s="8" t="e">
        <f>INDEX(meta_TypedModelElements[Name or Type],MATCH(meta_Columns[[#This Row],[Property]],meta_TypedModelElements[ID],0))</f>
        <v>#N/A</v>
      </c>
      <c r="AM9" s="8" t="e">
        <f>INDEX(meta_TypedModelElements[Property - Changeable],MATCH(meta_Columns[[#This Row],[Property]],meta_TypedModelElements[ID],0))</f>
        <v>#N/A</v>
      </c>
      <c r="AN9" s="43">
        <v>7</v>
      </c>
      <c r="AO9" s="22">
        <v>7</v>
      </c>
      <c r="AP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 s="8" t="str">
        <f xml:space="preserve"> IF(meta_Columns[[#This Row],[Property Owning Class is Specialization of Instance Class]],meta_Columns[[#This Row],[Property Owning Class Name]]&amp;" - ","")</f>
        <v/>
      </c>
      <c r="AR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9" s="8" t="str">
        <f>IFERROR(LEFT(meta_Columns[[#This Row],[Excel Column - Label Actual without Semantic Case]],FIND("-",
meta_Columns[[#This Row],[Excel Column - Label Actual without Semantic Case]])-2),"")</f>
        <v/>
      </c>
      <c r="AU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v>
      </c>
      <c r="AX9" s="22"/>
      <c r="AY9" s="8" t="str">
        <f>meta_Columns[[#This Row],[Owning Table]]&amp;"."&amp;meta_Columns[[#This Row],[Excel Column - Label]]</f>
        <v>belowred::Table1Rows.Table 2 Ref</v>
      </c>
      <c r="AZ9" s="43" t="s">
        <v>123</v>
      </c>
      <c r="BA9" s="44" t="str">
        <f>IF(TRIM(meta_Columns[[#This Row],[Excel Column - Label Overwrite]])&lt;&gt;"",meta_Columns[[#This Row],[Excel Column - Label Overwrite]],meta_Columns[[#This Row],[Excel Column - Label from Property or Referenced Table]])</f>
        <v>Table 2 Ref</v>
      </c>
      <c r="BB9" s="43"/>
      <c r="BC9" s="44" t="str">
        <f>IF(meta_Columns[[#This Row],[Excel Column - Explicit Excel Formula]]="","",meta_Columns[[#This Row],[Excel Column - Explicit Excel Formula]])</f>
        <v/>
      </c>
      <c r="BD9" s="5" t="s">
        <v>1466</v>
      </c>
      <c r="BE9" s="5"/>
    </row>
    <row r="10" spans="1:57">
      <c r="A10" s="10" t="s">
        <v>1026</v>
      </c>
      <c r="B10" s="11" t="s">
        <v>546</v>
      </c>
      <c r="C10" s="22" t="str">
        <f xml:space="preserve"> IF( TRIM( meta_Columns[[#This Row],[Kind:src]] ) = "", "",
        INDEX( meta_Classifiers[Display Qualified], MATCH( meta_Columns[[#This Row],[Kind:src]], meta_Classifiers[ID], 0 ) ) )</f>
        <v>ExcelColumn</v>
      </c>
      <c r="D10" s="44" t="str">
        <f>IF(meta_Columns[[#This Row],[Owning Table:src]]="","",INDEX(meta_Classifiers[Package],MATCH(meta_Columns[[#This Row],[Owning Table Instances Class]],meta_Classifiers[ID],0)))</f>
        <v>belowred</v>
      </c>
      <c r="E10" s="43"/>
      <c r="F10" s="44" t="str">
        <f>INDEX(meta_Tables[Excel Table - Excel Name],MATCH(meta_Columns[[#This Row],[Owning Table:src]],meta_Tables[ID],0))</f>
        <v>belowred_Table1Rows</v>
      </c>
      <c r="G10" s="44" t="str">
        <f>INDEX(meta_Tables[Instances Class:src],MATCH(meta_Columns[[#This Row],[Owning Table:src]],meta_Tables[ID],0))</f>
        <v>[c Table 1 Row]</v>
      </c>
      <c r="H10" s="1" t="s">
        <v>944</v>
      </c>
      <c r="I10" s="43" t="str">
        <f xml:space="preserve"> IF( TRIM( meta_Columns[[#This Row],[Owning Table:src]] ) = "", "",
        INDEX( meta_Tables[Display Qualified], MATCH( meta_Columns[[#This Row],[Owning Table:src]], meta_Tables[ID], 0 ) ) )</f>
        <v>belowred::Table1Rows</v>
      </c>
      <c r="K10" s="22" t="str">
        <f>IF(TRIM(meta_Columns[[#This Row],[Referenced Table:src]])="","",
    INDEX(meta_Tables[Display Qualified],MATCH(meta_Columns[[#This Row],[Referenced Table:src]],meta_Tables[ID],0)))</f>
        <v/>
      </c>
      <c r="L10" s="8"/>
      <c r="M10" s="22" t="str">
        <f xml:space="preserve"> IF( TRIM( meta_Columns[[#This Row],[Referenced Table Display and Select Column:src]] ) = "", "",
        INDEX( meta_Columns[Display Qualified], MATCH( meta_Columns[[#This Row],[Referenced Table Display and Select Column:src]], meta_Columns[ID], 0 ) ) )</f>
        <v/>
      </c>
      <c r="N10" s="8" t="str">
        <f>IF(meta_Columns[[#This Row],[Excel Column - Excel Formula]]="","x","")</f>
        <v>x</v>
      </c>
      <c r="O10" s="22"/>
      <c r="P10" s="8" t="str">
        <f>IF(meta_Columns[[#This Row],[Referenced Table:src]]="","",INDEX(meta_Tables[Instances Class],MATCH(meta_Columns[[#This Row],[Referenced Table:src]],meta_Tables[ID],0)))</f>
        <v/>
      </c>
      <c r="Q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 s="8" t="s">
        <v>276</v>
      </c>
      <c r="S10" s="22" t="str">
        <f xml:space="preserve"> IF( TRIM( meta_Columns[[#This Row],[Property:src]] ) = "", "",
        INDEX( meta_TypedModelElements[Display Qualified], MATCH( meta_Columns[[#This Row],[Property:src]], meta_TypedModelElements[ID], 0 ) ) )</f>
        <v>belowred::stringValue1</v>
      </c>
      <c r="T10" s="22"/>
      <c r="U10" s="8" t="e">
        <f>INDEX(meta_Classifiers[Class - Generalization:src], MATCH(meta_Columns[[#This Row],[Generalization 5]],meta_Classifiers[ID],0))</f>
        <v>#N/A</v>
      </c>
      <c r="V10" s="8" t="e">
        <f>INDEX(meta_Classifiers[Class - Generalization:src], MATCH(meta_Columns[[#This Row],[Generalization 4]],meta_Classifiers[ID],0))</f>
        <v>#N/A</v>
      </c>
      <c r="W10" s="8" t="e">
        <f>INDEX(meta_Classifiers[Class - Generalization:src], MATCH(meta_Columns[[#This Row],[Generalization 3]],meta_Classifiers[ID],0))</f>
        <v>#N/A</v>
      </c>
      <c r="X10" s="8" t="e">
        <f>INDEX(meta_Classifiers[Class - Generalization:src], MATCH(meta_Columns[[#This Row],[Generalization 2]],meta_Classifiers[ID],0))</f>
        <v>#N/A</v>
      </c>
      <c r="Y10" s="8" t="str">
        <f>INDEX(meta_Classifiers[Class - Generalization:src], MATCH(meta_Columns[[#This Row],[Generalization 1]],meta_Classifiers[ID],0))</f>
        <v/>
      </c>
      <c r="Z10" s="8" t="str">
        <f>INDEX(meta_Classifiers[Class - Generalization:src], MATCH(meta_Columns[[#This Row],[Owning Table Instances Class]],meta_Classifiers[ID],0))</f>
        <v>_Object</v>
      </c>
      <c r="AA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 s="8" t="b">
        <f>_xlfn.IFNA(
INDEX(meta_Classifiers[Class - Generalization:src],MATCH(
INDEX(meta_Classifiers[Class - Generalization:src],MATCH(meta_Columns[[#This Row],[Property Owning Class]],meta_Classifiers[ID],0)),meta_Classifiers[ID],0))
=meta_Columns[[#This Row],[Owning Table Instances Class]],FALSE)</f>
        <v>0</v>
      </c>
      <c r="AG10" s="8" t="b">
        <f>_xlfn.IFNA(INDEX(meta_Classifiers[Class - Generalization:src],MATCH(meta_Columns[[#This Row],[Property Owning Class]],meta_Classifiers[ID],0))=meta_Columns[[#This Row],[Owning Table Instances Class]],FALSE)</f>
        <v>0</v>
      </c>
      <c r="AH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 s="8" t="e">
        <f>INDEX(meta_Classifiers[Name],MATCH(INDEX(meta_TypedModelElements[Property - Owning Class:src],MATCH(meta_Columns[[#This Row],[Property]],meta_TypedModelElements[ID],0)),meta_Classifiers[ID],0))</f>
        <v>#N/A</v>
      </c>
      <c r="AJ10" s="8" t="e">
        <f>INDEX(meta_TypedModelElements[Property - Owning Class:src],MATCH(meta_Columns[[#This Row],[Property]],meta_TypedModelElements[ID],0))</f>
        <v>#N/A</v>
      </c>
      <c r="AK10" s="8" t="e">
        <f>INDEX(meta_TypedModelElements[Kind:src],MATCH(meta_Columns[[#This Row],[Property]],meta_TypedModelElements[ID],0))</f>
        <v>#N/A</v>
      </c>
      <c r="AL10" s="8" t="e">
        <f>INDEX(meta_TypedModelElements[Name or Type],MATCH(meta_Columns[[#This Row],[Property]],meta_TypedModelElements[ID],0))</f>
        <v>#N/A</v>
      </c>
      <c r="AM10" s="8" t="e">
        <f>INDEX(meta_TypedModelElements[Property - Changeable],MATCH(meta_Columns[[#This Row],[Property]],meta_TypedModelElements[ID],0))</f>
        <v>#N/A</v>
      </c>
      <c r="AN10" s="43">
        <v>8</v>
      </c>
      <c r="AO10" s="22">
        <v>8</v>
      </c>
      <c r="AP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 s="8" t="str">
        <f xml:space="preserve"> IF(meta_Columns[[#This Row],[Property Owning Class is Specialization of Instance Class]],meta_Columns[[#This Row],[Property Owning Class Name]]&amp;" - ","")</f>
        <v/>
      </c>
      <c r="AR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1</v>
      </c>
      <c r="AT10" s="8" t="str">
        <f>IFERROR(LEFT(meta_Columns[[#This Row],[Excel Column - Label Actual without Semantic Case]],FIND("-",
meta_Columns[[#This Row],[Excel Column - Label Actual without Semantic Case]])-2),"")</f>
        <v/>
      </c>
      <c r="AU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1</v>
      </c>
      <c r="AV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1</v>
      </c>
      <c r="AX10" s="22"/>
      <c r="AY10" s="8" t="str">
        <f>meta_Columns[[#This Row],[Owning Table]]&amp;"."&amp;meta_Columns[[#This Row],[Excel Column - Label]]</f>
        <v>belowred::Table1Rows.String Value 1</v>
      </c>
      <c r="AZ10" s="43" t="s">
        <v>63</v>
      </c>
      <c r="BA10" s="44" t="str">
        <f>IF(TRIM(meta_Columns[[#This Row],[Excel Column - Label Overwrite]])&lt;&gt;"",meta_Columns[[#This Row],[Excel Column - Label Overwrite]],meta_Columns[[#This Row],[Excel Column - Label from Property or Referenced Table]])</f>
        <v>String Value 1</v>
      </c>
      <c r="BB10" s="43"/>
      <c r="BC10" s="44" t="str">
        <f>IF(meta_Columns[[#This Row],[Excel Column - Explicit Excel Formula]]="","",meta_Columns[[#This Row],[Excel Column - Explicit Excel Formula]])</f>
        <v/>
      </c>
      <c r="BD10" s="5"/>
      <c r="BE10" s="5"/>
    </row>
    <row r="11" spans="1:57">
      <c r="A11" s="10" t="s">
        <v>1027</v>
      </c>
      <c r="B11" s="11" t="s">
        <v>546</v>
      </c>
      <c r="C11" s="22" t="str">
        <f xml:space="preserve"> IF( TRIM( meta_Columns[[#This Row],[Kind:src]] ) = "", "",
        INDEX( meta_Classifiers[Display Qualified], MATCH( meta_Columns[[#This Row],[Kind:src]], meta_Classifiers[ID], 0 ) ) )</f>
        <v>ExcelColumn</v>
      </c>
      <c r="D11" s="44" t="str">
        <f>IF(meta_Columns[[#This Row],[Owning Table:src]]="","",INDEX(meta_Classifiers[Package],MATCH(meta_Columns[[#This Row],[Owning Table Instances Class]],meta_Classifiers[ID],0)))</f>
        <v>belowred</v>
      </c>
      <c r="E11" s="43"/>
      <c r="F11" s="44" t="str">
        <f>INDEX(meta_Tables[Excel Table - Excel Name],MATCH(meta_Columns[[#This Row],[Owning Table:src]],meta_Tables[ID],0))</f>
        <v>belowred_Table1Rows</v>
      </c>
      <c r="G11" s="44" t="str">
        <f>INDEX(meta_Tables[Instances Class:src],MATCH(meta_Columns[[#This Row],[Owning Table:src]],meta_Tables[ID],0))</f>
        <v>[c Table 1 Row]</v>
      </c>
      <c r="H11" s="11" t="s">
        <v>944</v>
      </c>
      <c r="I11" s="43" t="str">
        <f xml:space="preserve"> IF( TRIM( meta_Columns[[#This Row],[Owning Table:src]] ) = "", "",
        INDEX( meta_Tables[Display Qualified], MATCH( meta_Columns[[#This Row],[Owning Table:src]], meta_Tables[ID], 0 ) ) )</f>
        <v>belowred::Table1Rows</v>
      </c>
      <c r="K11" s="22" t="str">
        <f>IF(TRIM(meta_Columns[[#This Row],[Referenced Table:src]])="","",
    INDEX(meta_Tables[Display Qualified],MATCH(meta_Columns[[#This Row],[Referenced Table:src]],meta_Tables[ID],0)))</f>
        <v/>
      </c>
      <c r="L11" s="8"/>
      <c r="M11" s="22" t="str">
        <f xml:space="preserve"> IF( TRIM( meta_Columns[[#This Row],[Referenced Table Display and Select Column:src]] ) = "", "",
        INDEX( meta_Columns[Display Qualified], MATCH( meta_Columns[[#This Row],[Referenced Table Display and Select Column:src]], meta_Columns[ID], 0 ) ) )</f>
        <v/>
      </c>
      <c r="N11" s="8" t="str">
        <f>IF(meta_Columns[[#This Row],[Excel Column - Excel Formula]]="","x","")</f>
        <v/>
      </c>
      <c r="O11" s="22"/>
      <c r="P11" s="8" t="str">
        <f>IF(meta_Columns[[#This Row],[Referenced Table:src]]="","",INDEX(meta_Tables[Instances Class],MATCH(meta_Columns[[#This Row],[Referenced Table:src]],meta_Tables[ID],0)))</f>
        <v/>
      </c>
      <c r="Q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v>
      </c>
      <c r="R11" s="8"/>
      <c r="S11" s="22" t="str">
        <f xml:space="preserve"> IF( TRIM( meta_Columns[[#This Row],[Property:src]] ) = "", "",
        INDEX( meta_TypedModelElements[Display Qualified], MATCH( meta_Columns[[#This Row],[Property:src]], meta_TypedModelElements[ID], 0 ) ) )</f>
        <v/>
      </c>
      <c r="T11" s="22"/>
      <c r="U11" s="8" t="e">
        <f>INDEX(meta_Classifiers[Class - Generalization:src], MATCH(meta_Columns[[#This Row],[Generalization 5]],meta_Classifiers[ID],0))</f>
        <v>#N/A</v>
      </c>
      <c r="V11" s="8" t="e">
        <f>INDEX(meta_Classifiers[Class - Generalization:src], MATCH(meta_Columns[[#This Row],[Generalization 4]],meta_Classifiers[ID],0))</f>
        <v>#N/A</v>
      </c>
      <c r="W11" s="8" t="e">
        <f>INDEX(meta_Classifiers[Class - Generalization:src], MATCH(meta_Columns[[#This Row],[Generalization 3]],meta_Classifiers[ID],0))</f>
        <v>#N/A</v>
      </c>
      <c r="X11" s="8" t="e">
        <f>INDEX(meta_Classifiers[Class - Generalization:src], MATCH(meta_Columns[[#This Row],[Generalization 2]],meta_Classifiers[ID],0))</f>
        <v>#N/A</v>
      </c>
      <c r="Y11" s="8" t="str">
        <f>INDEX(meta_Classifiers[Class - Generalization:src], MATCH(meta_Columns[[#This Row],[Generalization 1]],meta_Classifiers[ID],0))</f>
        <v/>
      </c>
      <c r="Z11" s="8" t="str">
        <f>INDEX(meta_Classifiers[Class - Generalization:src], MATCH(meta_Columns[[#This Row],[Owning Table Instances Class]],meta_Classifiers[ID],0))</f>
        <v>_Object</v>
      </c>
      <c r="AA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 s="8" t="b">
        <f>_xlfn.IFNA(
INDEX(meta_Classifiers[Class - Generalization:src],MATCH(
INDEX(meta_Classifiers[Class - Generalization:src],MATCH(meta_Columns[[#This Row],[Property Owning Class]],meta_Classifiers[ID],0)),meta_Classifiers[ID],0))
=meta_Columns[[#This Row],[Owning Table Instances Class]],FALSE)</f>
        <v>0</v>
      </c>
      <c r="AG11" s="8" t="b">
        <f>_xlfn.IFNA(INDEX(meta_Classifiers[Class - Generalization:src],MATCH(meta_Columns[[#This Row],[Property Owning Class]],meta_Classifiers[ID],0))=meta_Columns[[#This Row],[Owning Table Instances Class]],FALSE)</f>
        <v>0</v>
      </c>
      <c r="AH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 s="8" t="e">
        <f>INDEX(meta_Classifiers[Name],MATCH(INDEX(meta_TypedModelElements[Property - Owning Class:src],MATCH(meta_Columns[[#This Row],[Property]],meta_TypedModelElements[ID],0)),meta_Classifiers[ID],0))</f>
        <v>#N/A</v>
      </c>
      <c r="AJ11" s="8" t="e">
        <f>INDEX(meta_TypedModelElements[Property - Owning Class:src],MATCH(meta_Columns[[#This Row],[Property]],meta_TypedModelElements[ID],0))</f>
        <v>#N/A</v>
      </c>
      <c r="AK11" s="8" t="e">
        <f>INDEX(meta_TypedModelElements[Kind:src],MATCH(meta_Columns[[#This Row],[Property]],meta_TypedModelElements[ID],0))</f>
        <v>#N/A</v>
      </c>
      <c r="AL11" s="8" t="e">
        <f>INDEX(meta_TypedModelElements[Name or Type],MATCH(meta_Columns[[#This Row],[Property]],meta_TypedModelElements[ID],0))</f>
        <v>#N/A</v>
      </c>
      <c r="AM11" s="8" t="e">
        <f>INDEX(meta_TypedModelElements[Property - Changeable],MATCH(meta_Columns[[#This Row],[Property]],meta_TypedModelElements[ID],0))</f>
        <v>#N/A</v>
      </c>
      <c r="AN11" s="43">
        <v>9</v>
      </c>
      <c r="AO11" s="22"/>
      <c r="AP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 s="8" t="str">
        <f xml:space="preserve"> IF(meta_Columns[[#This Row],[Property Owning Class is Specialization of Instance Class]],meta_Columns[[#This Row],[Property Owning Class Name]]&amp;" - ","")</f>
        <v/>
      </c>
      <c r="AR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v>
      </c>
      <c r="AT11" s="8" t="str">
        <f>IFERROR(LEFT(meta_Columns[[#This Row],[Excel Column - Label Actual without Semantic Case]],FIND("-",
meta_Columns[[#This Row],[Excel Column - Label Actual without Semantic Case]])-2),"")</f>
        <v/>
      </c>
      <c r="AU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v>
      </c>
      <c r="AV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v>
      </c>
      <c r="AX11" s="22"/>
      <c r="AY11" s="8" t="str">
        <f>meta_Columns[[#This Row],[Owning Table]]&amp;"."&amp;meta_Columns[[#This Row],[Excel Column - Label]]</f>
        <v>belowred::Table1Rows.Test stringToBusiness</v>
      </c>
      <c r="AZ11" s="43" t="s">
        <v>302</v>
      </c>
      <c r="BA11" s="44" t="str">
        <f>IF(TRIM(meta_Columns[[#This Row],[Excel Column - Label Overwrite]])&lt;&gt;"",meta_Columns[[#This Row],[Excel Column - Label Overwrite]],meta_Columns[[#This Row],[Excel Column - Label from Property or Referenced Table]])</f>
        <v>Test stringToBusiness</v>
      </c>
      <c r="BB11" s="43" t="s">
        <v>910</v>
      </c>
      <c r="BC11" s="44" t="str">
        <f>IF(meta_Columns[[#This Row],[Excel Column - Explicit Excel Formula]]="","",meta_Columns[[#This Row],[Excel Column - Explicit Excel Formula]])</f>
        <v>Formula:=stringToBusiness([@[String Value 1]])</v>
      </c>
      <c r="BD11" s="5"/>
      <c r="BE11" s="5"/>
    </row>
    <row r="12" spans="1:57">
      <c r="A12" s="10" t="s">
        <v>1028</v>
      </c>
      <c r="B12" s="11" t="s">
        <v>546</v>
      </c>
      <c r="C12" s="22" t="str">
        <f xml:space="preserve"> IF( TRIM( meta_Columns[[#This Row],[Kind:src]] ) = "", "",
        INDEX( meta_Classifiers[Display Qualified], MATCH( meta_Columns[[#This Row],[Kind:src]], meta_Classifiers[ID], 0 ) ) )</f>
        <v>ExcelColumn</v>
      </c>
      <c r="D12" s="44" t="str">
        <f>IF(meta_Columns[[#This Row],[Owning Table:src]]="","",INDEX(meta_Classifiers[Package],MATCH(meta_Columns[[#This Row],[Owning Table Instances Class]],meta_Classifiers[ID],0)))</f>
        <v>belowred</v>
      </c>
      <c r="E12" s="43"/>
      <c r="F12" s="44" t="str">
        <f>INDEX(meta_Tables[Excel Table - Excel Name],MATCH(meta_Columns[[#This Row],[Owning Table:src]],meta_Tables[ID],0))</f>
        <v>belowred_Table1Rows</v>
      </c>
      <c r="G12" s="44" t="str">
        <f>INDEX(meta_Tables[Instances Class:src],MATCH(meta_Columns[[#This Row],[Owning Table:src]],meta_Tables[ID],0))</f>
        <v>[c Table 1 Row]</v>
      </c>
      <c r="H12" s="11" t="s">
        <v>944</v>
      </c>
      <c r="I12" s="43" t="str">
        <f xml:space="preserve"> IF( TRIM( meta_Columns[[#This Row],[Owning Table:src]] ) = "", "",
        INDEX( meta_Tables[Display Qualified], MATCH( meta_Columns[[#This Row],[Owning Table:src]], meta_Tables[ID], 0 ) ) )</f>
        <v>belowred::Table1Rows</v>
      </c>
      <c r="K12" s="22" t="str">
        <f>IF(TRIM(meta_Columns[[#This Row],[Referenced Table:src]])="","",
    INDEX(meta_Tables[Display Qualified],MATCH(meta_Columns[[#This Row],[Referenced Table:src]],meta_Tables[ID],0)))</f>
        <v/>
      </c>
      <c r="L12" s="8"/>
      <c r="M12" s="22" t="str">
        <f xml:space="preserve"> IF( TRIM( meta_Columns[[#This Row],[Referenced Table Display and Select Column:src]] ) = "", "",
        INDEX( meta_Columns[Display Qualified], MATCH( meta_Columns[[#This Row],[Referenced Table Display and Select Column:src]], meta_Columns[ID], 0 ) ) )</f>
        <v/>
      </c>
      <c r="N12" s="8" t="str">
        <f>IF(meta_Columns[[#This Row],[Excel Column - Excel Formula]]="","x","")</f>
        <v/>
      </c>
      <c r="O12" s="22"/>
      <c r="P12" s="8" t="str">
        <f>IF(meta_Columns[[#This Row],[Referenced Table:src]]="","",INDEX(meta_Tables[Instances Class],MATCH(meta_Columns[[#This Row],[Referenced Table:src]],meta_Tables[ID],0)))</f>
        <v/>
      </c>
      <c r="Q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v>
      </c>
      <c r="R12" s="8"/>
      <c r="S12" s="22" t="str">
        <f xml:space="preserve"> IF( TRIM( meta_Columns[[#This Row],[Property:src]] ) = "", "",
        INDEX( meta_TypedModelElements[Display Qualified], MATCH( meta_Columns[[#This Row],[Property:src]], meta_TypedModelElements[ID], 0 ) ) )</f>
        <v/>
      </c>
      <c r="T12" s="22"/>
      <c r="U12" s="8" t="e">
        <f>INDEX(meta_Classifiers[Class - Generalization:src], MATCH(meta_Columns[[#This Row],[Generalization 5]],meta_Classifiers[ID],0))</f>
        <v>#N/A</v>
      </c>
      <c r="V12" s="8" t="e">
        <f>INDEX(meta_Classifiers[Class - Generalization:src], MATCH(meta_Columns[[#This Row],[Generalization 4]],meta_Classifiers[ID],0))</f>
        <v>#N/A</v>
      </c>
      <c r="W12" s="8" t="e">
        <f>INDEX(meta_Classifiers[Class - Generalization:src], MATCH(meta_Columns[[#This Row],[Generalization 3]],meta_Classifiers[ID],0))</f>
        <v>#N/A</v>
      </c>
      <c r="X12" s="8" t="e">
        <f>INDEX(meta_Classifiers[Class - Generalization:src], MATCH(meta_Columns[[#This Row],[Generalization 2]],meta_Classifiers[ID],0))</f>
        <v>#N/A</v>
      </c>
      <c r="Y12" s="8" t="str">
        <f>INDEX(meta_Classifiers[Class - Generalization:src], MATCH(meta_Columns[[#This Row],[Generalization 1]],meta_Classifiers[ID],0))</f>
        <v/>
      </c>
      <c r="Z12" s="8" t="str">
        <f>INDEX(meta_Classifiers[Class - Generalization:src], MATCH(meta_Columns[[#This Row],[Owning Table Instances Class]],meta_Classifiers[ID],0))</f>
        <v>_Object</v>
      </c>
      <c r="AA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 s="8" t="b">
        <f>_xlfn.IFNA(
INDEX(meta_Classifiers[Class - Generalization:src],MATCH(
INDEX(meta_Classifiers[Class - Generalization:src],MATCH(meta_Columns[[#This Row],[Property Owning Class]],meta_Classifiers[ID],0)),meta_Classifiers[ID],0))
=meta_Columns[[#This Row],[Owning Table Instances Class]],FALSE)</f>
        <v>0</v>
      </c>
      <c r="AG12" s="8" t="b">
        <f>_xlfn.IFNA(INDEX(meta_Classifiers[Class - Generalization:src],MATCH(meta_Columns[[#This Row],[Property Owning Class]],meta_Classifiers[ID],0))=meta_Columns[[#This Row],[Owning Table Instances Class]],FALSE)</f>
        <v>0</v>
      </c>
      <c r="AH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 s="8" t="e">
        <f>INDEX(meta_Classifiers[Name],MATCH(INDEX(meta_TypedModelElements[Property - Owning Class:src],MATCH(meta_Columns[[#This Row],[Property]],meta_TypedModelElements[ID],0)),meta_Classifiers[ID],0))</f>
        <v>#N/A</v>
      </c>
      <c r="AJ12" s="8" t="e">
        <f>INDEX(meta_TypedModelElements[Property - Owning Class:src],MATCH(meta_Columns[[#This Row],[Property]],meta_TypedModelElements[ID],0))</f>
        <v>#N/A</v>
      </c>
      <c r="AK12" s="8" t="e">
        <f>INDEX(meta_TypedModelElements[Kind:src],MATCH(meta_Columns[[#This Row],[Property]],meta_TypedModelElements[ID],0))</f>
        <v>#N/A</v>
      </c>
      <c r="AL12" s="8" t="e">
        <f>INDEX(meta_TypedModelElements[Name or Type],MATCH(meta_Columns[[#This Row],[Property]],meta_TypedModelElements[ID],0))</f>
        <v>#N/A</v>
      </c>
      <c r="AM12" s="8" t="e">
        <f>INDEX(meta_TypedModelElements[Property - Changeable],MATCH(meta_Columns[[#This Row],[Property]],meta_TypedModelElements[ID],0))</f>
        <v>#N/A</v>
      </c>
      <c r="AN12" s="43">
        <v>10</v>
      </c>
      <c r="AO12" s="22"/>
      <c r="AP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 s="8" t="str">
        <f xml:space="preserve"> IF(meta_Columns[[#This Row],[Property Owning Class is Specialization of Instance Class]],meta_Columns[[#This Row],[Property Owning Class Name]]&amp;" - ","")</f>
        <v/>
      </c>
      <c r="AR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v>
      </c>
      <c r="AT12" s="8" t="str">
        <f>IFERROR(LEFT(meta_Columns[[#This Row],[Excel Column - Label Actual without Semantic Case]],FIND("-",
meta_Columns[[#This Row],[Excel Column - Label Actual without Semantic Case]])-2),"")</f>
        <v/>
      </c>
      <c r="AU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v>
      </c>
      <c r="AV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v>
      </c>
      <c r="AX12" s="22"/>
      <c r="AY12" s="8" t="str">
        <f>meta_Columns[[#This Row],[Owning Table]]&amp;"."&amp;meta_Columns[[#This Row],[Excel Column - Label]]</f>
        <v>belowred::Table1Rows.Test CamelCaseUpper</v>
      </c>
      <c r="AZ12" s="43" t="s">
        <v>303</v>
      </c>
      <c r="BA12" s="44" t="str">
        <f>IF(TRIM(meta_Columns[[#This Row],[Excel Column - Label Overwrite]])&lt;&gt;"",meta_Columns[[#This Row],[Excel Column - Label Overwrite]],meta_Columns[[#This Row],[Excel Column - Label from Property or Referenced Table]])</f>
        <v>Test CamelCaseUpper</v>
      </c>
      <c r="BB12" s="43" t="s">
        <v>911</v>
      </c>
      <c r="BC12" s="44" t="str">
        <f>IF(meta_Columns[[#This Row],[Excel Column - Explicit Excel Formula]]="","",meta_Columns[[#This Row],[Excel Column - Explicit Excel Formula]])</f>
        <v>Formula:=camelCaseUpper([@[String Value 1]])</v>
      </c>
      <c r="BD12" s="5"/>
      <c r="BE12" s="5"/>
    </row>
    <row r="13" spans="1:57">
      <c r="A13" s="10" t="s">
        <v>1029</v>
      </c>
      <c r="B13" s="11" t="s">
        <v>546</v>
      </c>
      <c r="C13" s="22" t="str">
        <f xml:space="preserve"> IF( TRIM( meta_Columns[[#This Row],[Kind:src]] ) = "", "",
        INDEX( meta_Classifiers[Display Qualified], MATCH( meta_Columns[[#This Row],[Kind:src]], meta_Classifiers[ID], 0 ) ) )</f>
        <v>ExcelColumn</v>
      </c>
      <c r="D13" s="44" t="str">
        <f>IF(meta_Columns[[#This Row],[Owning Table:src]]="","",INDEX(meta_Classifiers[Package],MATCH(meta_Columns[[#This Row],[Owning Table Instances Class]],meta_Classifiers[ID],0)))</f>
        <v>belowred</v>
      </c>
      <c r="E13" s="43"/>
      <c r="F13" s="44" t="str">
        <f>INDEX(meta_Tables[Excel Table - Excel Name],MATCH(meta_Columns[[#This Row],[Owning Table:src]],meta_Tables[ID],0))</f>
        <v>belowred_Table1Rows</v>
      </c>
      <c r="G13" s="44" t="str">
        <f>INDEX(meta_Tables[Instances Class:src],MATCH(meta_Columns[[#This Row],[Owning Table:src]],meta_Tables[ID],0))</f>
        <v>[c Table 1 Row]</v>
      </c>
      <c r="H13" s="11" t="s">
        <v>944</v>
      </c>
      <c r="I13" s="43" t="str">
        <f xml:space="preserve"> IF( TRIM( meta_Columns[[#This Row],[Owning Table:src]] ) = "", "",
        INDEX( meta_Tables[Display Qualified], MATCH( meta_Columns[[#This Row],[Owning Table:src]], meta_Tables[ID], 0 ) ) )</f>
        <v>belowred::Table1Rows</v>
      </c>
      <c r="K13" s="22" t="str">
        <f>IF(TRIM(meta_Columns[[#This Row],[Referenced Table:src]])="","",
    INDEX(meta_Tables[Display Qualified],MATCH(meta_Columns[[#This Row],[Referenced Table:src]],meta_Tables[ID],0)))</f>
        <v/>
      </c>
      <c r="L13" s="8"/>
      <c r="M13" s="22" t="str">
        <f xml:space="preserve"> IF( TRIM( meta_Columns[[#This Row],[Referenced Table Display and Select Column:src]] ) = "", "",
        INDEX( meta_Columns[Display Qualified], MATCH( meta_Columns[[#This Row],[Referenced Table Display and Select Column:src]], meta_Columns[ID], 0 ) ) )</f>
        <v/>
      </c>
      <c r="N13" s="8" t="str">
        <f>IF(meta_Columns[[#This Row],[Excel Column - Excel Formula]]="","x","")</f>
        <v>x</v>
      </c>
      <c r="O13" s="22"/>
      <c r="P13" s="8" t="str">
        <f>IF(meta_Columns[[#This Row],[Referenced Table:src]]="","",INDEX(meta_Tables[Instances Class],MATCH(meta_Columns[[#This Row],[Referenced Table:src]],meta_Tables[ID],0)))</f>
        <v/>
      </c>
      <c r="Q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belowred::Table1Row.cORRECTION_CamelCaseUpper</v>
      </c>
      <c r="R13" s="8"/>
      <c r="S13" s="22" t="str">
        <f xml:space="preserve"> IF( TRIM( meta_Columns[[#This Row],[Property:src]] ) = "", "",
        INDEX( meta_TypedModelElements[Display Qualified], MATCH( meta_Columns[[#This Row],[Property:src]], meta_TypedModelElements[ID], 0 ) ) )</f>
        <v/>
      </c>
      <c r="T13" s="22"/>
      <c r="U13" s="8" t="e">
        <f>INDEX(meta_Classifiers[Class - Generalization:src], MATCH(meta_Columns[[#This Row],[Generalization 5]],meta_Classifiers[ID],0))</f>
        <v>#N/A</v>
      </c>
      <c r="V13" s="8" t="e">
        <f>INDEX(meta_Classifiers[Class - Generalization:src], MATCH(meta_Columns[[#This Row],[Generalization 4]],meta_Classifiers[ID],0))</f>
        <v>#N/A</v>
      </c>
      <c r="W13" s="8" t="e">
        <f>INDEX(meta_Classifiers[Class - Generalization:src], MATCH(meta_Columns[[#This Row],[Generalization 3]],meta_Classifiers[ID],0))</f>
        <v>#N/A</v>
      </c>
      <c r="X13" s="8" t="e">
        <f>INDEX(meta_Classifiers[Class - Generalization:src], MATCH(meta_Columns[[#This Row],[Generalization 2]],meta_Classifiers[ID],0))</f>
        <v>#N/A</v>
      </c>
      <c r="Y13" s="8" t="str">
        <f>INDEX(meta_Classifiers[Class - Generalization:src], MATCH(meta_Columns[[#This Row],[Generalization 1]],meta_Classifiers[ID],0))</f>
        <v/>
      </c>
      <c r="Z13" s="8" t="str">
        <f>INDEX(meta_Classifiers[Class - Generalization:src], MATCH(meta_Columns[[#This Row],[Owning Table Instances Class]],meta_Classifiers[ID],0))</f>
        <v>_Object</v>
      </c>
      <c r="AA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 s="8" t="b">
        <f>_xlfn.IFNA(
INDEX(meta_Classifiers[Class - Generalization:src],MATCH(
INDEX(meta_Classifiers[Class - Generalization:src],MATCH(meta_Columns[[#This Row],[Property Owning Class]],meta_Classifiers[ID],0)),meta_Classifiers[ID],0))
=meta_Columns[[#This Row],[Owning Table Instances Class]],FALSE)</f>
        <v>0</v>
      </c>
      <c r="AG13" s="8" t="b">
        <f>_xlfn.IFNA(INDEX(meta_Classifiers[Class - Generalization:src],MATCH(meta_Columns[[#This Row],[Property Owning Class]],meta_Classifiers[ID],0))=meta_Columns[[#This Row],[Owning Table Instances Class]],FALSE)</f>
        <v>0</v>
      </c>
      <c r="AH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 s="8" t="e">
        <f>INDEX(meta_Classifiers[Name],MATCH(INDEX(meta_TypedModelElements[Property - Owning Class:src],MATCH(meta_Columns[[#This Row],[Property]],meta_TypedModelElements[ID],0)),meta_Classifiers[ID],0))</f>
        <v>#N/A</v>
      </c>
      <c r="AJ13" s="8" t="e">
        <f>INDEX(meta_TypedModelElements[Property - Owning Class:src],MATCH(meta_Columns[[#This Row],[Property]],meta_TypedModelElements[ID],0))</f>
        <v>#N/A</v>
      </c>
      <c r="AK13" s="8" t="e">
        <f>INDEX(meta_TypedModelElements[Kind:src],MATCH(meta_Columns[[#This Row],[Property]],meta_TypedModelElements[ID],0))</f>
        <v>#N/A</v>
      </c>
      <c r="AL13" s="8" t="e">
        <f>INDEX(meta_TypedModelElements[Name or Type],MATCH(meta_Columns[[#This Row],[Property]],meta_TypedModelElements[ID],0))</f>
        <v>#N/A</v>
      </c>
      <c r="AM13" s="8" t="e">
        <f>INDEX(meta_TypedModelElements[Property - Changeable],MATCH(meta_Columns[[#This Row],[Property]],meta_TypedModelElements[ID],0))</f>
        <v>#N/A</v>
      </c>
      <c r="AN13" s="43">
        <v>11</v>
      </c>
      <c r="AO13" s="22">
        <v>9</v>
      </c>
      <c r="AP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 s="8" t="str">
        <f xml:space="preserve"> IF(meta_Columns[[#This Row],[Property Owning Class is Specialization of Instance Class]],meta_Columns[[#This Row],[Property Owning Class Name]]&amp;" - ","")</f>
        <v/>
      </c>
      <c r="AR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CORRECTION camelCaseUpper</v>
      </c>
      <c r="AT13" s="8" t="str">
        <f>IFERROR(LEFT(meta_Columns[[#This Row],[Excel Column - Label Actual without Semantic Case]],FIND("-",
meta_Columns[[#This Row],[Excel Column - Label Actual without Semantic Case]])-2),"")</f>
        <v/>
      </c>
      <c r="AU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CORRECTION camelCaseUpper</v>
      </c>
      <c r="AV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CORRECTION camelCaseUpper</v>
      </c>
      <c r="AX13" s="22"/>
      <c r="AY13" s="8" t="str">
        <f>meta_Columns[[#This Row],[Owning Table]]&amp;"."&amp;meta_Columns[[#This Row],[Excel Column - Label]]</f>
        <v>belowred::Table1Rows.CORRECTION camelCaseUpper</v>
      </c>
      <c r="AZ13" s="43" t="s">
        <v>565</v>
      </c>
      <c r="BA13" s="44" t="str">
        <f>IF(TRIM(meta_Columns[[#This Row],[Excel Column - Label Overwrite]])&lt;&gt;"",meta_Columns[[#This Row],[Excel Column - Label Overwrite]],meta_Columns[[#This Row],[Excel Column - Label from Property or Referenced Table]])</f>
        <v>CORRECTION camelCaseUpper</v>
      </c>
      <c r="BB13" s="43"/>
      <c r="BC13" s="44" t="str">
        <f>IF(meta_Columns[[#This Row],[Excel Column - Explicit Excel Formula]]="","",meta_Columns[[#This Row],[Excel Column - Explicit Excel Formula]])</f>
        <v/>
      </c>
      <c r="BD13" s="5"/>
      <c r="BE13" s="5"/>
    </row>
    <row r="14" spans="1:57">
      <c r="A14" s="10" t="s">
        <v>1030</v>
      </c>
      <c r="B14" s="11" t="s">
        <v>546</v>
      </c>
      <c r="C14" s="22" t="str">
        <f xml:space="preserve"> IF( TRIM( meta_Columns[[#This Row],[Kind:src]] ) = "", "",
        INDEX( meta_Classifiers[Display Qualified], MATCH( meta_Columns[[#This Row],[Kind:src]], meta_Classifiers[ID], 0 ) ) )</f>
        <v>ExcelColumn</v>
      </c>
      <c r="D14" s="44" t="str">
        <f>IF(meta_Columns[[#This Row],[Owning Table:src]]="","",INDEX(meta_Classifiers[Package],MATCH(meta_Columns[[#This Row],[Owning Table Instances Class]],meta_Classifiers[ID],0)))</f>
        <v>belowred</v>
      </c>
      <c r="E14" s="43"/>
      <c r="F14" s="44" t="str">
        <f>INDEX(meta_Tables[Excel Table - Excel Name],MATCH(meta_Columns[[#This Row],[Owning Table:src]],meta_Tables[ID],0))</f>
        <v>belowred_Table1Rows</v>
      </c>
      <c r="G14" s="44" t="str">
        <f>INDEX(meta_Tables[Instances Class:src],MATCH(meta_Columns[[#This Row],[Owning Table:src]],meta_Tables[ID],0))</f>
        <v>[c Table 1 Row]</v>
      </c>
      <c r="H14" s="11" t="s">
        <v>944</v>
      </c>
      <c r="I14" s="43" t="str">
        <f xml:space="preserve"> IF( TRIM( meta_Columns[[#This Row],[Owning Table:src]] ) = "", "",
        INDEX( meta_Tables[Display Qualified], MATCH( meta_Columns[[#This Row],[Owning Table:src]], meta_Tables[ID], 0 ) ) )</f>
        <v>belowred::Table1Rows</v>
      </c>
      <c r="K14" s="22" t="str">
        <f>IF(TRIM(meta_Columns[[#This Row],[Referenced Table:src]])="","",
    INDEX(meta_Tables[Display Qualified],MATCH(meta_Columns[[#This Row],[Referenced Table:src]],meta_Tables[ID],0)))</f>
        <v/>
      </c>
      <c r="L14" s="8"/>
      <c r="M14" s="22" t="str">
        <f xml:space="preserve"> IF( TRIM( meta_Columns[[#This Row],[Referenced Table Display and Select Column:src]] ) = "", "",
        INDEX( meta_Columns[Display Qualified], MATCH( meta_Columns[[#This Row],[Referenced Table Display and Select Column:src]], meta_Columns[ID], 0 ) ) )</f>
        <v/>
      </c>
      <c r="N14" s="8" t="str">
        <f>IF(meta_Columns[[#This Row],[Excel Column - Excel Formula]]="","x","")</f>
        <v/>
      </c>
      <c r="O14" s="22"/>
      <c r="P14" s="8" t="str">
        <f>IF(meta_Columns[[#This Row],[Referenced Table:src]]="","",INDEX(meta_Tables[Instances Class],MATCH(meta_Columns[[#This Row],[Referenced Table:src]],meta_Tables[ID],0)))</f>
        <v/>
      </c>
      <c r="Q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v>
      </c>
      <c r="R14" s="8"/>
      <c r="S14" s="22" t="str">
        <f xml:space="preserve"> IF( TRIM( meta_Columns[[#This Row],[Property:src]] ) = "", "",
        INDEX( meta_TypedModelElements[Display Qualified], MATCH( meta_Columns[[#This Row],[Property:src]], meta_TypedModelElements[ID], 0 ) ) )</f>
        <v/>
      </c>
      <c r="T14" s="22"/>
      <c r="U14" s="8" t="e">
        <f>INDEX(meta_Classifiers[Class - Generalization:src], MATCH(meta_Columns[[#This Row],[Generalization 5]],meta_Classifiers[ID],0))</f>
        <v>#N/A</v>
      </c>
      <c r="V14" s="8" t="e">
        <f>INDEX(meta_Classifiers[Class - Generalization:src], MATCH(meta_Columns[[#This Row],[Generalization 4]],meta_Classifiers[ID],0))</f>
        <v>#N/A</v>
      </c>
      <c r="W14" s="8" t="e">
        <f>INDEX(meta_Classifiers[Class - Generalization:src], MATCH(meta_Columns[[#This Row],[Generalization 3]],meta_Classifiers[ID],0))</f>
        <v>#N/A</v>
      </c>
      <c r="X14" s="8" t="e">
        <f>INDEX(meta_Classifiers[Class - Generalization:src], MATCH(meta_Columns[[#This Row],[Generalization 2]],meta_Classifiers[ID],0))</f>
        <v>#N/A</v>
      </c>
      <c r="Y14" s="8" t="str">
        <f>INDEX(meta_Classifiers[Class - Generalization:src], MATCH(meta_Columns[[#This Row],[Generalization 1]],meta_Classifiers[ID],0))</f>
        <v/>
      </c>
      <c r="Z14" s="8" t="str">
        <f>INDEX(meta_Classifiers[Class - Generalization:src], MATCH(meta_Columns[[#This Row],[Owning Table Instances Class]],meta_Classifiers[ID],0))</f>
        <v>_Object</v>
      </c>
      <c r="AA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 s="8" t="b">
        <f>_xlfn.IFNA(
INDEX(meta_Classifiers[Class - Generalization:src],MATCH(
INDEX(meta_Classifiers[Class - Generalization:src],MATCH(meta_Columns[[#This Row],[Property Owning Class]],meta_Classifiers[ID],0)),meta_Classifiers[ID],0))
=meta_Columns[[#This Row],[Owning Table Instances Class]],FALSE)</f>
        <v>0</v>
      </c>
      <c r="AG14" s="8" t="b">
        <f>_xlfn.IFNA(INDEX(meta_Classifiers[Class - Generalization:src],MATCH(meta_Columns[[#This Row],[Property Owning Class]],meta_Classifiers[ID],0))=meta_Columns[[#This Row],[Owning Table Instances Class]],FALSE)</f>
        <v>0</v>
      </c>
      <c r="AH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 s="8" t="e">
        <f>INDEX(meta_Classifiers[Name],MATCH(INDEX(meta_TypedModelElements[Property - Owning Class:src],MATCH(meta_Columns[[#This Row],[Property]],meta_TypedModelElements[ID],0)),meta_Classifiers[ID],0))</f>
        <v>#N/A</v>
      </c>
      <c r="AJ14" s="8" t="e">
        <f>INDEX(meta_TypedModelElements[Property - Owning Class:src],MATCH(meta_Columns[[#This Row],[Property]],meta_TypedModelElements[ID],0))</f>
        <v>#N/A</v>
      </c>
      <c r="AK14" s="8" t="e">
        <f>INDEX(meta_TypedModelElements[Kind:src],MATCH(meta_Columns[[#This Row],[Property]],meta_TypedModelElements[ID],0))</f>
        <v>#N/A</v>
      </c>
      <c r="AL14" s="8" t="e">
        <f>INDEX(meta_TypedModelElements[Name or Type],MATCH(meta_Columns[[#This Row],[Property]],meta_TypedModelElements[ID],0))</f>
        <v>#N/A</v>
      </c>
      <c r="AM14" s="8" t="e">
        <f>INDEX(meta_TypedModelElements[Property - Changeable],MATCH(meta_Columns[[#This Row],[Property]],meta_TypedModelElements[ID],0))</f>
        <v>#N/A</v>
      </c>
      <c r="AN14" s="43">
        <v>12</v>
      </c>
      <c r="AO14" s="22"/>
      <c r="AP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 s="8" t="str">
        <f xml:space="preserve"> IF(meta_Columns[[#This Row],[Property Owning Class is Specialization of Instance Class]],meta_Columns[[#This Row],[Property Owning Class Name]]&amp;" - ","")</f>
        <v/>
      </c>
      <c r="AR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v>
      </c>
      <c r="AT14" s="8" t="str">
        <f>IFERROR(LEFT(meta_Columns[[#This Row],[Excel Column - Label Actual without Semantic Case]],FIND("-",
meta_Columns[[#This Row],[Excel Column - Label Actual without Semantic Case]])-2),"")</f>
        <v/>
      </c>
      <c r="AU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v>
      </c>
      <c r="AV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v>
      </c>
      <c r="AX14" s="22"/>
      <c r="AY14" s="8" t="str">
        <f>meta_Columns[[#This Row],[Owning Table]]&amp;"."&amp;meta_Columns[[#This Row],[Excel Column - Label]]</f>
        <v>belowred::Table1Rows.Test camelCaseToBusiness</v>
      </c>
      <c r="AZ14" s="43" t="s">
        <v>304</v>
      </c>
      <c r="BA14" s="44" t="str">
        <f>IF(TRIM(meta_Columns[[#This Row],[Excel Column - Label Overwrite]])&lt;&gt;"",meta_Columns[[#This Row],[Excel Column - Label Overwrite]],meta_Columns[[#This Row],[Excel Column - Label from Property or Referenced Table]])</f>
        <v>Test camelCaseToBusiness</v>
      </c>
      <c r="BB14" s="43" t="s">
        <v>912</v>
      </c>
      <c r="BC14" s="44" t="str">
        <f>IF(meta_Columns[[#This Row],[Excel Column - Explicit Excel Formula]]="","",meta_Columns[[#This Row],[Excel Column - Explicit Excel Formula]])</f>
        <v>Formula:=camelCaseToBusiness([@[Test CamelCaseUpper]])</v>
      </c>
      <c r="BD14" s="5"/>
      <c r="BE14" s="5"/>
    </row>
    <row r="15" spans="1:57">
      <c r="A15" s="10" t="s">
        <v>1031</v>
      </c>
      <c r="B15" s="11" t="s">
        <v>546</v>
      </c>
      <c r="C15" s="22" t="str">
        <f xml:space="preserve"> IF( TRIM( meta_Columns[[#This Row],[Kind:src]] ) = "", "",
        INDEX( meta_Classifiers[Display Qualified], MATCH( meta_Columns[[#This Row],[Kind:src]], meta_Classifiers[ID], 0 ) ) )</f>
        <v>ExcelColumn</v>
      </c>
      <c r="D15" s="44" t="str">
        <f>IF(meta_Columns[[#This Row],[Owning Table:src]]="","",INDEX(meta_Classifiers[Package],MATCH(meta_Columns[[#This Row],[Owning Table Instances Class]],meta_Classifiers[ID],0)))</f>
        <v>belowred</v>
      </c>
      <c r="E15" s="43"/>
      <c r="F15" s="44" t="str">
        <f>INDEX(meta_Tables[Excel Table - Excel Name],MATCH(meta_Columns[[#This Row],[Owning Table:src]],meta_Tables[ID],0))</f>
        <v>belowred_Table1Rows</v>
      </c>
      <c r="G15" s="44" t="str">
        <f>INDEX(meta_Tables[Instances Class:src],MATCH(meta_Columns[[#This Row],[Owning Table:src]],meta_Tables[ID],0))</f>
        <v>[c Table 1 Row]</v>
      </c>
      <c r="H15" s="11" t="s">
        <v>944</v>
      </c>
      <c r="I15" s="43" t="str">
        <f xml:space="preserve"> IF( TRIM( meta_Columns[[#This Row],[Owning Table:src]] ) = "", "",
        INDEX( meta_Tables[Display Qualified], MATCH( meta_Columns[[#This Row],[Owning Table:src]], meta_Tables[ID], 0 ) ) )</f>
        <v>belowred::Table1Rows</v>
      </c>
      <c r="K15" s="22" t="str">
        <f>IF(TRIM(meta_Columns[[#This Row],[Referenced Table:src]])="","",
    INDEX(meta_Tables[Display Qualified],MATCH(meta_Columns[[#This Row],[Referenced Table:src]],meta_Tables[ID],0)))</f>
        <v/>
      </c>
      <c r="L15" s="8"/>
      <c r="M15" s="22" t="str">
        <f xml:space="preserve"> IF( TRIM( meta_Columns[[#This Row],[Referenced Table Display and Select Column:src]] ) = "", "",
        INDEX( meta_Columns[Display Qualified], MATCH( meta_Columns[[#This Row],[Referenced Table Display and Select Column:src]], meta_Columns[ID], 0 ) ) )</f>
        <v/>
      </c>
      <c r="N15" s="8" t="str">
        <f>IF(meta_Columns[[#This Row],[Excel Column - Excel Formula]]="","x","")</f>
        <v>x</v>
      </c>
      <c r="O15" s="22"/>
      <c r="P15" s="8" t="str">
        <f>IF(meta_Columns[[#This Row],[Referenced Table:src]]="","",INDEX(meta_Tables[Instances Class],MATCH(meta_Columns[[#This Row],[Referenced Table:src]],meta_Tables[ID],0)))</f>
        <v/>
      </c>
      <c r="Q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belowred::Table1Row.cORRECTIOON_CamelCaseToBusiness</v>
      </c>
      <c r="R15" s="8"/>
      <c r="S15" s="22" t="str">
        <f xml:space="preserve"> IF( TRIM( meta_Columns[[#This Row],[Property:src]] ) = "", "",
        INDEX( meta_TypedModelElements[Display Qualified], MATCH( meta_Columns[[#This Row],[Property:src]], meta_TypedModelElements[ID], 0 ) ) )</f>
        <v/>
      </c>
      <c r="T15" s="22"/>
      <c r="U15" s="8" t="e">
        <f>INDEX(meta_Classifiers[Class - Generalization:src], MATCH(meta_Columns[[#This Row],[Generalization 5]],meta_Classifiers[ID],0))</f>
        <v>#N/A</v>
      </c>
      <c r="V15" s="8" t="e">
        <f>INDEX(meta_Classifiers[Class - Generalization:src], MATCH(meta_Columns[[#This Row],[Generalization 4]],meta_Classifiers[ID],0))</f>
        <v>#N/A</v>
      </c>
      <c r="W15" s="8" t="e">
        <f>INDEX(meta_Classifiers[Class - Generalization:src], MATCH(meta_Columns[[#This Row],[Generalization 3]],meta_Classifiers[ID],0))</f>
        <v>#N/A</v>
      </c>
      <c r="X15" s="8" t="e">
        <f>INDEX(meta_Classifiers[Class - Generalization:src], MATCH(meta_Columns[[#This Row],[Generalization 2]],meta_Classifiers[ID],0))</f>
        <v>#N/A</v>
      </c>
      <c r="Y15" s="8" t="str">
        <f>INDEX(meta_Classifiers[Class - Generalization:src], MATCH(meta_Columns[[#This Row],[Generalization 1]],meta_Classifiers[ID],0))</f>
        <v/>
      </c>
      <c r="Z15" s="8" t="str">
        <f>INDEX(meta_Classifiers[Class - Generalization:src], MATCH(meta_Columns[[#This Row],[Owning Table Instances Class]],meta_Classifiers[ID],0))</f>
        <v>_Object</v>
      </c>
      <c r="AA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 s="8" t="b">
        <f>_xlfn.IFNA(
INDEX(meta_Classifiers[Class - Generalization:src],MATCH(
INDEX(meta_Classifiers[Class - Generalization:src],MATCH(meta_Columns[[#This Row],[Property Owning Class]],meta_Classifiers[ID],0)),meta_Classifiers[ID],0))
=meta_Columns[[#This Row],[Owning Table Instances Class]],FALSE)</f>
        <v>0</v>
      </c>
      <c r="AG15" s="8" t="b">
        <f>_xlfn.IFNA(INDEX(meta_Classifiers[Class - Generalization:src],MATCH(meta_Columns[[#This Row],[Property Owning Class]],meta_Classifiers[ID],0))=meta_Columns[[#This Row],[Owning Table Instances Class]],FALSE)</f>
        <v>0</v>
      </c>
      <c r="AH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 s="8" t="e">
        <f>INDEX(meta_Classifiers[Name],MATCH(INDEX(meta_TypedModelElements[Property - Owning Class:src],MATCH(meta_Columns[[#This Row],[Property]],meta_TypedModelElements[ID],0)),meta_Classifiers[ID],0))</f>
        <v>#N/A</v>
      </c>
      <c r="AJ15" s="8" t="e">
        <f>INDEX(meta_TypedModelElements[Property - Owning Class:src],MATCH(meta_Columns[[#This Row],[Property]],meta_TypedModelElements[ID],0))</f>
        <v>#N/A</v>
      </c>
      <c r="AK15" s="8" t="e">
        <f>INDEX(meta_TypedModelElements[Kind:src],MATCH(meta_Columns[[#This Row],[Property]],meta_TypedModelElements[ID],0))</f>
        <v>#N/A</v>
      </c>
      <c r="AL15" s="8" t="e">
        <f>INDEX(meta_TypedModelElements[Name or Type],MATCH(meta_Columns[[#This Row],[Property]],meta_TypedModelElements[ID],0))</f>
        <v>#N/A</v>
      </c>
      <c r="AM15" s="8" t="e">
        <f>INDEX(meta_TypedModelElements[Property - Changeable],MATCH(meta_Columns[[#This Row],[Property]],meta_TypedModelElements[ID],0))</f>
        <v>#N/A</v>
      </c>
      <c r="AN15" s="43">
        <v>13</v>
      </c>
      <c r="AO15" s="22">
        <v>10</v>
      </c>
      <c r="AP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 s="8" t="str">
        <f xml:space="preserve"> IF(meta_Columns[[#This Row],[Property Owning Class is Specialization of Instance Class]],meta_Columns[[#This Row],[Property Owning Class Name]]&amp;" - ","")</f>
        <v/>
      </c>
      <c r="AR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CORRECTIOON camelCaseToBusiness</v>
      </c>
      <c r="AT15" s="8" t="str">
        <f>IFERROR(LEFT(meta_Columns[[#This Row],[Excel Column - Label Actual without Semantic Case]],FIND("-",
meta_Columns[[#This Row],[Excel Column - Label Actual without Semantic Case]])-2),"")</f>
        <v/>
      </c>
      <c r="AU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CORRECTIOON camelCaseToBusiness</v>
      </c>
      <c r="AV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CORRECTIOON camelCaseToBusiness</v>
      </c>
      <c r="AX15" s="22"/>
      <c r="AY15" s="8" t="str">
        <f>meta_Columns[[#This Row],[Owning Table]]&amp;"."&amp;meta_Columns[[#This Row],[Excel Column - Label]]</f>
        <v>belowred::Table1Rows.CORRECTIOON camelCaseToBusiness</v>
      </c>
      <c r="AZ15" s="43" t="s">
        <v>566</v>
      </c>
      <c r="BA15" s="44" t="str">
        <f>IF(TRIM(meta_Columns[[#This Row],[Excel Column - Label Overwrite]])&lt;&gt;"",meta_Columns[[#This Row],[Excel Column - Label Overwrite]],meta_Columns[[#This Row],[Excel Column - Label from Property or Referenced Table]])</f>
        <v>CORRECTIOON camelCaseToBusiness</v>
      </c>
      <c r="BB15" s="43"/>
      <c r="BC15" s="44" t="str">
        <f>IF(meta_Columns[[#This Row],[Excel Column - Explicit Excel Formula]]="","",meta_Columns[[#This Row],[Excel Column - Explicit Excel Formula]])</f>
        <v/>
      </c>
      <c r="BD15" s="5"/>
      <c r="BE15" s="5"/>
    </row>
    <row r="16" spans="1:57">
      <c r="A16" s="10" t="s">
        <v>1032</v>
      </c>
      <c r="B16" s="11" t="s">
        <v>546</v>
      </c>
      <c r="C16" s="22" t="str">
        <f xml:space="preserve"> IF( TRIM( meta_Columns[[#This Row],[Kind:src]] ) = "", "",
        INDEX( meta_Classifiers[Display Qualified], MATCH( meta_Columns[[#This Row],[Kind:src]], meta_Classifiers[ID], 0 ) ) )</f>
        <v>ExcelColumn</v>
      </c>
      <c r="D16" s="44" t="str">
        <f>IF(meta_Columns[[#This Row],[Owning Table:src]]="","",INDEX(meta_Classifiers[Package],MATCH(meta_Columns[[#This Row],[Owning Table Instances Class]],meta_Classifiers[ID],0)))</f>
        <v>belowred</v>
      </c>
      <c r="E16" s="43"/>
      <c r="F16" s="44" t="str">
        <f>INDEX(meta_Tables[Excel Table - Excel Name],MATCH(meta_Columns[[#This Row],[Owning Table:src]],meta_Tables[ID],0))</f>
        <v>belowred_Table1Rows</v>
      </c>
      <c r="G16" s="44" t="str">
        <f>INDEX(meta_Tables[Instances Class:src],MATCH(meta_Columns[[#This Row],[Owning Table:src]],meta_Tables[ID],0))</f>
        <v>[c Table 1 Row]</v>
      </c>
      <c r="H16" s="11" t="s">
        <v>944</v>
      </c>
      <c r="I16" s="43" t="str">
        <f xml:space="preserve"> IF( TRIM( meta_Columns[[#This Row],[Owning Table:src]] ) = "", "",
        INDEX( meta_Tables[Display Qualified], MATCH( meta_Columns[[#This Row],[Owning Table:src]], meta_Tables[ID], 0 ) ) )</f>
        <v>belowred::Table1Rows</v>
      </c>
      <c r="K16" s="22" t="str">
        <f>IF(TRIM(meta_Columns[[#This Row],[Referenced Table:src]])="","",
    INDEX(meta_Tables[Display Qualified],MATCH(meta_Columns[[#This Row],[Referenced Table:src]],meta_Tables[ID],0)))</f>
        <v/>
      </c>
      <c r="L16" s="8"/>
      <c r="M16" s="22" t="str">
        <f xml:space="preserve"> IF( TRIM( meta_Columns[[#This Row],[Referenced Table Display and Select Column:src]] ) = "", "",
        INDEX( meta_Columns[Display Qualified], MATCH( meta_Columns[[#This Row],[Referenced Table Display and Select Column:src]], meta_Columns[ID], 0 ) ) )</f>
        <v/>
      </c>
      <c r="N16" s="8" t="str">
        <f>IF(meta_Columns[[#This Row],[Excel Column - Excel Formula]]="","x","")</f>
        <v/>
      </c>
      <c r="O16" s="22"/>
      <c r="P16" s="8" t="str">
        <f>IF(meta_Columns[[#This Row],[Referenced Table:src]]="","",INDEX(meta_Tables[Instances Class],MATCH(meta_Columns[[#This Row],[Referenced Table:src]],meta_Tables[ID],0)))</f>
        <v/>
      </c>
      <c r="Q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v>
      </c>
      <c r="R16" s="8"/>
      <c r="S16" s="22" t="str">
        <f xml:space="preserve"> IF( TRIM( meta_Columns[[#This Row],[Property:src]] ) = "", "",
        INDEX( meta_TypedModelElements[Display Qualified], MATCH( meta_Columns[[#This Row],[Property:src]], meta_TypedModelElements[ID], 0 ) ) )</f>
        <v/>
      </c>
      <c r="T16" s="22"/>
      <c r="U16" s="8" t="e">
        <f>INDEX(meta_Classifiers[Class - Generalization:src], MATCH(meta_Columns[[#This Row],[Generalization 5]],meta_Classifiers[ID],0))</f>
        <v>#N/A</v>
      </c>
      <c r="V16" s="8" t="e">
        <f>INDEX(meta_Classifiers[Class - Generalization:src], MATCH(meta_Columns[[#This Row],[Generalization 4]],meta_Classifiers[ID],0))</f>
        <v>#N/A</v>
      </c>
      <c r="W16" s="8" t="e">
        <f>INDEX(meta_Classifiers[Class - Generalization:src], MATCH(meta_Columns[[#This Row],[Generalization 3]],meta_Classifiers[ID],0))</f>
        <v>#N/A</v>
      </c>
      <c r="X16" s="8" t="e">
        <f>INDEX(meta_Classifiers[Class - Generalization:src], MATCH(meta_Columns[[#This Row],[Generalization 2]],meta_Classifiers[ID],0))</f>
        <v>#N/A</v>
      </c>
      <c r="Y16" s="8" t="str">
        <f>INDEX(meta_Classifiers[Class - Generalization:src], MATCH(meta_Columns[[#This Row],[Generalization 1]],meta_Classifiers[ID],0))</f>
        <v/>
      </c>
      <c r="Z16" s="8" t="str">
        <f>INDEX(meta_Classifiers[Class - Generalization:src], MATCH(meta_Columns[[#This Row],[Owning Table Instances Class]],meta_Classifiers[ID],0))</f>
        <v>_Object</v>
      </c>
      <c r="AA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 s="8" t="b">
        <f>_xlfn.IFNA(
INDEX(meta_Classifiers[Class - Generalization:src],MATCH(
INDEX(meta_Classifiers[Class - Generalization:src],MATCH(meta_Columns[[#This Row],[Property Owning Class]],meta_Classifiers[ID],0)),meta_Classifiers[ID],0))
=meta_Columns[[#This Row],[Owning Table Instances Class]],FALSE)</f>
        <v>0</v>
      </c>
      <c r="AG16" s="8" t="b">
        <f>_xlfn.IFNA(INDEX(meta_Classifiers[Class - Generalization:src],MATCH(meta_Columns[[#This Row],[Property Owning Class]],meta_Classifiers[ID],0))=meta_Columns[[#This Row],[Owning Table Instances Class]],FALSE)</f>
        <v>0</v>
      </c>
      <c r="AH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 s="8" t="e">
        <f>INDEX(meta_Classifiers[Name],MATCH(INDEX(meta_TypedModelElements[Property - Owning Class:src],MATCH(meta_Columns[[#This Row],[Property]],meta_TypedModelElements[ID],0)),meta_Classifiers[ID],0))</f>
        <v>#N/A</v>
      </c>
      <c r="AJ16" s="8" t="e">
        <f>INDEX(meta_TypedModelElements[Property - Owning Class:src],MATCH(meta_Columns[[#This Row],[Property]],meta_TypedModelElements[ID],0))</f>
        <v>#N/A</v>
      </c>
      <c r="AK16" s="8" t="e">
        <f>INDEX(meta_TypedModelElements[Kind:src],MATCH(meta_Columns[[#This Row],[Property]],meta_TypedModelElements[ID],0))</f>
        <v>#N/A</v>
      </c>
      <c r="AL16" s="8" t="e">
        <f>INDEX(meta_TypedModelElements[Name or Type],MATCH(meta_Columns[[#This Row],[Property]],meta_TypedModelElements[ID],0))</f>
        <v>#N/A</v>
      </c>
      <c r="AM16" s="8" t="e">
        <f>INDEX(meta_TypedModelElements[Property - Changeable],MATCH(meta_Columns[[#This Row],[Property]],meta_TypedModelElements[ID],0))</f>
        <v>#N/A</v>
      </c>
      <c r="AN16" s="43">
        <v>14</v>
      </c>
      <c r="AO16" s="22"/>
      <c r="AP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 s="8" t="str">
        <f xml:space="preserve"> IF(meta_Columns[[#This Row],[Property Owning Class is Specialization of Instance Class]],meta_Columns[[#This Row],[Property Owning Class Name]]&amp;" - ","")</f>
        <v/>
      </c>
      <c r="AR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v>
      </c>
      <c r="AT16" s="8" t="str">
        <f>IFERROR(LEFT(meta_Columns[[#This Row],[Excel Column - Label Actual without Semantic Case]],FIND("-",
meta_Columns[[#This Row],[Excel Column - Label Actual without Semantic Case]])-2),"")</f>
        <v/>
      </c>
      <c r="AU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v>
      </c>
      <c r="AV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v>
      </c>
      <c r="AX16" s="22"/>
      <c r="AY16" s="8" t="str">
        <f>meta_Columns[[#This Row],[Owning Table]]&amp;"."&amp;meta_Columns[[#This Row],[Excel Column - Label]]</f>
        <v>belowred::Table1Rows.camelCaseLower(s)  = businessToCamelCaseLower(stringToBusiness(s))</v>
      </c>
      <c r="AZ16" s="43" t="s">
        <v>308</v>
      </c>
      <c r="BA16" s="44" t="str">
        <f>IF(TRIM(meta_Columns[[#This Row],[Excel Column - Label Overwrite]])&lt;&gt;"",meta_Columns[[#This Row],[Excel Column - Label Overwrite]],meta_Columns[[#This Row],[Excel Column - Label from Property or Referenced Table]])</f>
        <v>camelCaseLower(s)  = businessToCamelCaseLower(stringToBusiness(s))</v>
      </c>
      <c r="BB16" s="43" t="s">
        <v>913</v>
      </c>
      <c r="BC16" s="44" t="str">
        <f>IF(meta_Columns[[#This Row],[Excel Column - Explicit Excel Formula]]="","",meta_Columns[[#This Row],[Excel Column - Explicit Excel Formula]])</f>
        <v>Formula:=EXACT(camelCaseLower([@[String Value 1]]),businessToCamelCaseLower(stringToBusiness([@[String Value 1]])))</v>
      </c>
      <c r="BD16" s="5"/>
      <c r="BE16" s="5"/>
    </row>
    <row r="17" spans="1:57">
      <c r="A17" s="10" t="s">
        <v>1033</v>
      </c>
      <c r="B17" s="11" t="s">
        <v>546</v>
      </c>
      <c r="C17" s="22" t="str">
        <f xml:space="preserve"> IF( TRIM( meta_Columns[[#This Row],[Kind:src]] ) = "", "",
        INDEX( meta_Classifiers[Display Qualified], MATCH( meta_Columns[[#This Row],[Kind:src]], meta_Classifiers[ID], 0 ) ) )</f>
        <v>ExcelColumn</v>
      </c>
      <c r="D17" s="44" t="str">
        <f>IF(meta_Columns[[#This Row],[Owning Table:src]]="","",INDEX(meta_Classifiers[Package],MATCH(meta_Columns[[#This Row],[Owning Table Instances Class]],meta_Classifiers[ID],0)))</f>
        <v>belowred</v>
      </c>
      <c r="E17" s="43"/>
      <c r="F17" s="44" t="str">
        <f>INDEX(meta_Tables[Excel Table - Excel Name],MATCH(meta_Columns[[#This Row],[Owning Table:src]],meta_Tables[ID],0))</f>
        <v>belowred_Table1Rows</v>
      </c>
      <c r="G17" s="44" t="str">
        <f>INDEX(meta_Tables[Instances Class:src],MATCH(meta_Columns[[#This Row],[Owning Table:src]],meta_Tables[ID],0))</f>
        <v>[c Table 1 Row]</v>
      </c>
      <c r="H17" s="11" t="s">
        <v>944</v>
      </c>
      <c r="I17" s="43" t="str">
        <f xml:space="preserve"> IF( TRIM( meta_Columns[[#This Row],[Owning Table:src]] ) = "", "",
        INDEX( meta_Tables[Display Qualified], MATCH( meta_Columns[[#This Row],[Owning Table:src]], meta_Tables[ID], 0 ) ) )</f>
        <v>belowred::Table1Rows</v>
      </c>
      <c r="K17" s="22" t="str">
        <f>IF(TRIM(meta_Columns[[#This Row],[Referenced Table:src]])="","",
    INDEX(meta_Tables[Display Qualified],MATCH(meta_Columns[[#This Row],[Referenced Table:src]],meta_Tables[ID],0)))</f>
        <v/>
      </c>
      <c r="L17" s="8"/>
      <c r="M17" s="22" t="str">
        <f xml:space="preserve"> IF( TRIM( meta_Columns[[#This Row],[Referenced Table Display and Select Column:src]] ) = "", "",
        INDEX( meta_Columns[Display Qualified], MATCH( meta_Columns[[#This Row],[Referenced Table Display and Select Column:src]], meta_Columns[ID], 0 ) ) )</f>
        <v/>
      </c>
      <c r="N17" s="8" t="str">
        <f>IF(meta_Columns[[#This Row],[Excel Column - Excel Formula]]="","x","")</f>
        <v/>
      </c>
      <c r="O17" s="22"/>
      <c r="P17" s="8" t="str">
        <f>IF(meta_Columns[[#This Row],[Referenced Table:src]]="","",INDEX(meta_Tables[Instances Class],MATCH(meta_Columns[[#This Row],[Referenced Table:src]],meta_Tables[ID],0)))</f>
        <v/>
      </c>
      <c r="Q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v>
      </c>
      <c r="R17" s="8"/>
      <c r="S17" s="22" t="str">
        <f xml:space="preserve"> IF( TRIM( meta_Columns[[#This Row],[Property:src]] ) = "", "",
        INDEX( meta_TypedModelElements[Display Qualified], MATCH( meta_Columns[[#This Row],[Property:src]], meta_TypedModelElements[ID], 0 ) ) )</f>
        <v/>
      </c>
      <c r="T17" s="22"/>
      <c r="U17" s="8" t="e">
        <f>INDEX(meta_Classifiers[Class - Generalization:src], MATCH(meta_Columns[[#This Row],[Generalization 5]],meta_Classifiers[ID],0))</f>
        <v>#N/A</v>
      </c>
      <c r="V17" s="8" t="e">
        <f>INDEX(meta_Classifiers[Class - Generalization:src], MATCH(meta_Columns[[#This Row],[Generalization 4]],meta_Classifiers[ID],0))</f>
        <v>#N/A</v>
      </c>
      <c r="W17" s="8" t="e">
        <f>INDEX(meta_Classifiers[Class - Generalization:src], MATCH(meta_Columns[[#This Row],[Generalization 3]],meta_Classifiers[ID],0))</f>
        <v>#N/A</v>
      </c>
      <c r="X17" s="8" t="e">
        <f>INDEX(meta_Classifiers[Class - Generalization:src], MATCH(meta_Columns[[#This Row],[Generalization 2]],meta_Classifiers[ID],0))</f>
        <v>#N/A</v>
      </c>
      <c r="Y17" s="8" t="str">
        <f>INDEX(meta_Classifiers[Class - Generalization:src], MATCH(meta_Columns[[#This Row],[Generalization 1]],meta_Classifiers[ID],0))</f>
        <v/>
      </c>
      <c r="Z17" s="8" t="str">
        <f>INDEX(meta_Classifiers[Class - Generalization:src], MATCH(meta_Columns[[#This Row],[Owning Table Instances Class]],meta_Classifiers[ID],0))</f>
        <v>_Object</v>
      </c>
      <c r="AA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 s="8" t="b">
        <f>_xlfn.IFNA(
INDEX(meta_Classifiers[Class - Generalization:src],MATCH(
INDEX(meta_Classifiers[Class - Generalization:src],MATCH(meta_Columns[[#This Row],[Property Owning Class]],meta_Classifiers[ID],0)),meta_Classifiers[ID],0))
=meta_Columns[[#This Row],[Owning Table Instances Class]],FALSE)</f>
        <v>0</v>
      </c>
      <c r="AG17" s="8" t="b">
        <f>_xlfn.IFNA(INDEX(meta_Classifiers[Class - Generalization:src],MATCH(meta_Columns[[#This Row],[Property Owning Class]],meta_Classifiers[ID],0))=meta_Columns[[#This Row],[Owning Table Instances Class]],FALSE)</f>
        <v>0</v>
      </c>
      <c r="AH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 s="8" t="e">
        <f>INDEX(meta_Classifiers[Name],MATCH(INDEX(meta_TypedModelElements[Property - Owning Class:src],MATCH(meta_Columns[[#This Row],[Property]],meta_TypedModelElements[ID],0)),meta_Classifiers[ID],0))</f>
        <v>#N/A</v>
      </c>
      <c r="AJ17" s="8" t="e">
        <f>INDEX(meta_TypedModelElements[Property - Owning Class:src],MATCH(meta_Columns[[#This Row],[Property]],meta_TypedModelElements[ID],0))</f>
        <v>#N/A</v>
      </c>
      <c r="AK17" s="8" t="e">
        <f>INDEX(meta_TypedModelElements[Kind:src],MATCH(meta_Columns[[#This Row],[Property]],meta_TypedModelElements[ID],0))</f>
        <v>#N/A</v>
      </c>
      <c r="AL17" s="8" t="e">
        <f>INDEX(meta_TypedModelElements[Name or Type],MATCH(meta_Columns[[#This Row],[Property]],meta_TypedModelElements[ID],0))</f>
        <v>#N/A</v>
      </c>
      <c r="AM17" s="8" t="e">
        <f>INDEX(meta_TypedModelElements[Property - Changeable],MATCH(meta_Columns[[#This Row],[Property]],meta_TypedModelElements[ID],0))</f>
        <v>#N/A</v>
      </c>
      <c r="AN17" s="43">
        <v>15</v>
      </c>
      <c r="AO17" s="22"/>
      <c r="AP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 s="8" t="str">
        <f xml:space="preserve"> IF(meta_Columns[[#This Row],[Property Owning Class is Specialization of Instance Class]],meta_Columns[[#This Row],[Property Owning Class Name]]&amp;" - ","")</f>
        <v/>
      </c>
      <c r="AR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v>
      </c>
      <c r="AT17" s="8" t="str">
        <f>IFERROR(LEFT(meta_Columns[[#This Row],[Excel Column - Label Actual without Semantic Case]],FIND("-",
meta_Columns[[#This Row],[Excel Column - Label Actual without Semantic Case]])-2),"")</f>
        <v/>
      </c>
      <c r="AU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v>
      </c>
      <c r="AV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v>
      </c>
      <c r="AX17" s="22"/>
      <c r="AY17" s="8" t="str">
        <f>meta_Columns[[#This Row],[Owning Table]]&amp;"."&amp;meta_Columns[[#This Row],[Excel Column - Label]]</f>
        <v>belowred::Table1Rows.camelCaseUpper(s)  = businessToCamelCaseUpper(stringToBusiness(s)), </v>
      </c>
      <c r="AZ17" s="43" t="s">
        <v>306</v>
      </c>
      <c r="BA17" s="44" t="str">
        <f>IF(TRIM(meta_Columns[[#This Row],[Excel Column - Label Overwrite]])&lt;&gt;"",meta_Columns[[#This Row],[Excel Column - Label Overwrite]],meta_Columns[[#This Row],[Excel Column - Label from Property or Referenced Table]])</f>
        <v>camelCaseUpper(s)  = businessToCamelCaseUpper(stringToBusiness(s)), </v>
      </c>
      <c r="BB17" s="43" t="s">
        <v>914</v>
      </c>
      <c r="BC17" s="44" t="str">
        <f>IF(meta_Columns[[#This Row],[Excel Column - Explicit Excel Formula]]="","",meta_Columns[[#This Row],[Excel Column - Explicit Excel Formula]])</f>
        <v>Formula:=EXACT(camelCaseUpper([@[String Value 1]]),businessToCamelCaseUpper(stringToBusiness([@[String Value 1]])))</v>
      </c>
      <c r="BD17" s="5"/>
      <c r="BE17" s="5"/>
    </row>
    <row r="18" spans="1:57">
      <c r="A18" s="10" t="s">
        <v>1034</v>
      </c>
      <c r="B18" s="11" t="s">
        <v>546</v>
      </c>
      <c r="C18" s="22" t="str">
        <f xml:space="preserve"> IF( TRIM( meta_Columns[[#This Row],[Kind:src]] ) = "", "",
        INDEX( meta_Classifiers[Display Qualified], MATCH( meta_Columns[[#This Row],[Kind:src]], meta_Classifiers[ID], 0 ) ) )</f>
        <v>ExcelColumn</v>
      </c>
      <c r="D18" s="44" t="str">
        <f>IF(meta_Columns[[#This Row],[Owning Table:src]]="","",INDEX(meta_Classifiers[Package],MATCH(meta_Columns[[#This Row],[Owning Table Instances Class]],meta_Classifiers[ID],0)))</f>
        <v>belowred</v>
      </c>
      <c r="E18" s="43"/>
      <c r="F18" s="44" t="str">
        <f>INDEX(meta_Tables[Excel Table - Excel Name],MATCH(meta_Columns[[#This Row],[Owning Table:src]],meta_Tables[ID],0))</f>
        <v>belowred_Table1Rows</v>
      </c>
      <c r="G18" s="44" t="str">
        <f>INDEX(meta_Tables[Instances Class:src],MATCH(meta_Columns[[#This Row],[Owning Table:src]],meta_Tables[ID],0))</f>
        <v>[c Table 1 Row]</v>
      </c>
      <c r="H18" s="11" t="s">
        <v>944</v>
      </c>
      <c r="I18" s="43" t="str">
        <f xml:space="preserve"> IF( TRIM( meta_Columns[[#This Row],[Owning Table:src]] ) = "", "",
        INDEX( meta_Tables[Display Qualified], MATCH( meta_Columns[[#This Row],[Owning Table:src]], meta_Tables[ID], 0 ) ) )</f>
        <v>belowred::Table1Rows</v>
      </c>
      <c r="K18" s="22" t="str">
        <f>IF(TRIM(meta_Columns[[#This Row],[Referenced Table:src]])="","",
    INDEX(meta_Tables[Display Qualified],MATCH(meta_Columns[[#This Row],[Referenced Table:src]],meta_Tables[ID],0)))</f>
        <v/>
      </c>
      <c r="L18" s="8"/>
      <c r="M18" s="22" t="str">
        <f xml:space="preserve"> IF( TRIM( meta_Columns[[#This Row],[Referenced Table Display and Select Column:src]] ) = "", "",
        INDEX( meta_Columns[Display Qualified], MATCH( meta_Columns[[#This Row],[Referenced Table Display and Select Column:src]], meta_Columns[ID], 0 ) ) )</f>
        <v/>
      </c>
      <c r="N18" s="8" t="str">
        <f>IF(meta_Columns[[#This Row],[Excel Column - Excel Formula]]="","x","")</f>
        <v/>
      </c>
      <c r="O18" s="22"/>
      <c r="P18" s="8" t="str">
        <f>IF(meta_Columns[[#This Row],[Referenced Table:src]]="","",INDEX(meta_Tables[Instances Class],MATCH(meta_Columns[[#This Row],[Referenced Table:src]],meta_Tables[ID],0)))</f>
        <v/>
      </c>
      <c r="Q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v>
      </c>
      <c r="R18" s="8"/>
      <c r="S18" s="22" t="str">
        <f xml:space="preserve"> IF( TRIM( meta_Columns[[#This Row],[Property:src]] ) = "", "",
        INDEX( meta_TypedModelElements[Display Qualified], MATCH( meta_Columns[[#This Row],[Property:src]], meta_TypedModelElements[ID], 0 ) ) )</f>
        <v/>
      </c>
      <c r="T18" s="22"/>
      <c r="U18" s="8" t="e">
        <f>INDEX(meta_Classifiers[Class - Generalization:src], MATCH(meta_Columns[[#This Row],[Generalization 5]],meta_Classifiers[ID],0))</f>
        <v>#N/A</v>
      </c>
      <c r="V18" s="8" t="e">
        <f>INDEX(meta_Classifiers[Class - Generalization:src], MATCH(meta_Columns[[#This Row],[Generalization 4]],meta_Classifiers[ID],0))</f>
        <v>#N/A</v>
      </c>
      <c r="W18" s="8" t="e">
        <f>INDEX(meta_Classifiers[Class - Generalization:src], MATCH(meta_Columns[[#This Row],[Generalization 3]],meta_Classifiers[ID],0))</f>
        <v>#N/A</v>
      </c>
      <c r="X18" s="8" t="e">
        <f>INDEX(meta_Classifiers[Class - Generalization:src], MATCH(meta_Columns[[#This Row],[Generalization 2]],meta_Classifiers[ID],0))</f>
        <v>#N/A</v>
      </c>
      <c r="Y18" s="8" t="str">
        <f>INDEX(meta_Classifiers[Class - Generalization:src], MATCH(meta_Columns[[#This Row],[Generalization 1]],meta_Classifiers[ID],0))</f>
        <v/>
      </c>
      <c r="Z18" s="8" t="str">
        <f>INDEX(meta_Classifiers[Class - Generalization:src], MATCH(meta_Columns[[#This Row],[Owning Table Instances Class]],meta_Classifiers[ID],0))</f>
        <v>_Object</v>
      </c>
      <c r="AA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 s="8" t="b">
        <f>_xlfn.IFNA(
INDEX(meta_Classifiers[Class - Generalization:src],MATCH(
INDEX(meta_Classifiers[Class - Generalization:src],MATCH(meta_Columns[[#This Row],[Property Owning Class]],meta_Classifiers[ID],0)),meta_Classifiers[ID],0))
=meta_Columns[[#This Row],[Owning Table Instances Class]],FALSE)</f>
        <v>0</v>
      </c>
      <c r="AG18" s="8" t="b">
        <f>_xlfn.IFNA(INDEX(meta_Classifiers[Class - Generalization:src],MATCH(meta_Columns[[#This Row],[Property Owning Class]],meta_Classifiers[ID],0))=meta_Columns[[#This Row],[Owning Table Instances Class]],FALSE)</f>
        <v>0</v>
      </c>
      <c r="AH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 s="8" t="e">
        <f>INDEX(meta_Classifiers[Name],MATCH(INDEX(meta_TypedModelElements[Property - Owning Class:src],MATCH(meta_Columns[[#This Row],[Property]],meta_TypedModelElements[ID],0)),meta_Classifiers[ID],0))</f>
        <v>#N/A</v>
      </c>
      <c r="AJ18" s="8" t="e">
        <f>INDEX(meta_TypedModelElements[Property - Owning Class:src],MATCH(meta_Columns[[#This Row],[Property]],meta_TypedModelElements[ID],0))</f>
        <v>#N/A</v>
      </c>
      <c r="AK18" s="8" t="e">
        <f>INDEX(meta_TypedModelElements[Kind:src],MATCH(meta_Columns[[#This Row],[Property]],meta_TypedModelElements[ID],0))</f>
        <v>#N/A</v>
      </c>
      <c r="AL18" s="8" t="e">
        <f>INDEX(meta_TypedModelElements[Name or Type],MATCH(meta_Columns[[#This Row],[Property]],meta_TypedModelElements[ID],0))</f>
        <v>#N/A</v>
      </c>
      <c r="AM18" s="8" t="e">
        <f>INDEX(meta_TypedModelElements[Property - Changeable],MATCH(meta_Columns[[#This Row],[Property]],meta_TypedModelElements[ID],0))</f>
        <v>#N/A</v>
      </c>
      <c r="AN18" s="43">
        <v>16</v>
      </c>
      <c r="AO18" s="22"/>
      <c r="AP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 s="8" t="str">
        <f xml:space="preserve"> IF(meta_Columns[[#This Row],[Property Owning Class is Specialization of Instance Class]],meta_Columns[[#This Row],[Property Owning Class Name]]&amp;" - ","")</f>
        <v/>
      </c>
      <c r="AR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camelCaseToBusiness(
businessToCamelCaseUpper(
stringToBusiness(X))) = 
stringToBusiness(X) </v>
      </c>
      <c r="AT18" s="8" t="str">
        <f>IFERROR(LEFT(meta_Columns[[#This Row],[Excel Column - Label Actual without Semantic Case]],FIND("-",
meta_Columns[[#This Row],[Excel Column - Label Actual without Semantic Case]])-2),"")</f>
        <v/>
      </c>
      <c r="AU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camelCaseToBusiness(
businessToCamelCaseUpper(
stringToBusiness(X))) = 
stringToBusiness(X) </v>
      </c>
      <c r="AV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camelCaseToBusiness(
businessToCamelCaseUpper(
stringToBusiness(X))) = 
stringToBusiness(X) </v>
      </c>
      <c r="AX18" s="22"/>
      <c r="AY18" s="8" t="str">
        <f>meta_Columns[[#This Row],[Owning Table]]&amp;"."&amp;meta_Columns[[#This Row],[Excel Column - Label]]</f>
        <v xml:space="preserve">belowred::Table1Rows.camelCaseToBusiness(
businessToCamelCaseUpper(
stringToBusiness(X))) = 
stringToBusiness(X) </v>
      </c>
      <c r="AZ18" s="43" t="s">
        <v>307</v>
      </c>
      <c r="BA18" s="44" t="str">
        <f>IF(TRIM(meta_Columns[[#This Row],[Excel Column - Label Overwrite]])&lt;&gt;"",meta_Columns[[#This Row],[Excel Column - Label Overwrite]],meta_Columns[[#This Row],[Excel Column - Label from Property or Referenced Table]])</f>
        <v xml:space="preserve">camelCaseToBusiness(
businessToCamelCaseUpper(
stringToBusiness(X))) = 
stringToBusiness(X) </v>
      </c>
      <c r="BB18" s="43" t="s">
        <v>915</v>
      </c>
      <c r="BC18" s="44" t="str">
        <f>IF(meta_Columns[[#This Row],[Excel Column - Explicit Excel Formula]]="","",meta_Columns[[#This Row],[Excel Column - Explicit Excel Formula]])</f>
        <v>Formula:=EXACT(camelCaseToBusiness(
businessToCamelCaseUpper(
stringToBusiness([@[String Value 1]]))),
stringToBusiness([@[String Value 1]]))</v>
      </c>
      <c r="BD18" s="5"/>
      <c r="BE18" s="5"/>
    </row>
    <row r="19" spans="1:57">
      <c r="A19" s="10" t="s">
        <v>1035</v>
      </c>
      <c r="B19" s="11" t="s">
        <v>546</v>
      </c>
      <c r="C19" s="22" t="str">
        <f xml:space="preserve"> IF( TRIM( meta_Columns[[#This Row],[Kind:src]] ) = "", "",
        INDEX( meta_Classifiers[Display Qualified], MATCH( meta_Columns[[#This Row],[Kind:src]], meta_Classifiers[ID], 0 ) ) )</f>
        <v>ExcelColumn</v>
      </c>
      <c r="D19" s="44" t="str">
        <f>IF(meta_Columns[[#This Row],[Owning Table:src]]="","",INDEX(meta_Classifiers[Package],MATCH(meta_Columns[[#This Row],[Owning Table Instances Class]],meta_Classifiers[ID],0)))</f>
        <v>belowred</v>
      </c>
      <c r="E19" s="43"/>
      <c r="F19" s="44" t="str">
        <f>INDEX(meta_Tables[Excel Table - Excel Name],MATCH(meta_Columns[[#This Row],[Owning Table:src]],meta_Tables[ID],0))</f>
        <v>belowred_Table1Rows</v>
      </c>
      <c r="G19" s="44" t="str">
        <f>INDEX(meta_Tables[Instances Class:src],MATCH(meta_Columns[[#This Row],[Owning Table:src]],meta_Tables[ID],0))</f>
        <v>[c Table 1 Row]</v>
      </c>
      <c r="H19" s="11" t="s">
        <v>944</v>
      </c>
      <c r="I19" s="43" t="str">
        <f xml:space="preserve"> IF( TRIM( meta_Columns[[#This Row],[Owning Table:src]] ) = "", "",
        INDEX( meta_Tables[Display Qualified], MATCH( meta_Columns[[#This Row],[Owning Table:src]], meta_Tables[ID], 0 ) ) )</f>
        <v>belowred::Table1Rows</v>
      </c>
      <c r="K19" s="22" t="str">
        <f>IF(TRIM(meta_Columns[[#This Row],[Referenced Table:src]])="","",
    INDEX(meta_Tables[Display Qualified],MATCH(meta_Columns[[#This Row],[Referenced Table:src]],meta_Tables[ID],0)))</f>
        <v/>
      </c>
      <c r="L19" s="8"/>
      <c r="M19" s="22" t="str">
        <f xml:space="preserve"> IF( TRIM( meta_Columns[[#This Row],[Referenced Table Display and Select Column:src]] ) = "", "",
        INDEX( meta_Columns[Display Qualified], MATCH( meta_Columns[[#This Row],[Referenced Table Display and Select Column:src]], meta_Columns[ID], 0 ) ) )</f>
        <v/>
      </c>
      <c r="N19" s="8" t="str">
        <f>IF(meta_Columns[[#This Row],[Excel Column - Excel Formula]]="","x","")</f>
        <v>x</v>
      </c>
      <c r="O19" s="22"/>
      <c r="P19" s="8" t="str">
        <f>IF(meta_Columns[[#This Row],[Referenced Table:src]]="","",INDEX(meta_Tables[Instances Class],MATCH(meta_Columns[[#This Row],[Referenced Table:src]],meta_Tables[ID],0)))</f>
        <v/>
      </c>
      <c r="Q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belowred::Table1Row.table2RefSTORED</v>
      </c>
      <c r="R19" s="8"/>
      <c r="S19" s="22" t="str">
        <f xml:space="preserve"> IF( TRIM( meta_Columns[[#This Row],[Property:src]] ) = "", "",
        INDEX( meta_TypedModelElements[Display Qualified], MATCH( meta_Columns[[#This Row],[Property:src]], meta_TypedModelElements[ID], 0 ) ) )</f>
        <v/>
      </c>
      <c r="T19" s="22"/>
      <c r="U19" s="8" t="e">
        <f>INDEX(meta_Classifiers[Class - Generalization:src], MATCH(meta_Columns[[#This Row],[Generalization 5]],meta_Classifiers[ID],0))</f>
        <v>#N/A</v>
      </c>
      <c r="V19" s="8" t="e">
        <f>INDEX(meta_Classifiers[Class - Generalization:src], MATCH(meta_Columns[[#This Row],[Generalization 4]],meta_Classifiers[ID],0))</f>
        <v>#N/A</v>
      </c>
      <c r="W19" s="8" t="e">
        <f>INDEX(meta_Classifiers[Class - Generalization:src], MATCH(meta_Columns[[#This Row],[Generalization 3]],meta_Classifiers[ID],0))</f>
        <v>#N/A</v>
      </c>
      <c r="X19" s="8" t="e">
        <f>INDEX(meta_Classifiers[Class - Generalization:src], MATCH(meta_Columns[[#This Row],[Generalization 2]],meta_Classifiers[ID],0))</f>
        <v>#N/A</v>
      </c>
      <c r="Y19" s="8" t="str">
        <f>INDEX(meta_Classifiers[Class - Generalization:src], MATCH(meta_Columns[[#This Row],[Generalization 1]],meta_Classifiers[ID],0))</f>
        <v/>
      </c>
      <c r="Z19" s="8" t="str">
        <f>INDEX(meta_Classifiers[Class - Generalization:src], MATCH(meta_Columns[[#This Row],[Owning Table Instances Class]],meta_Classifiers[ID],0))</f>
        <v>_Object</v>
      </c>
      <c r="AA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 s="8" t="b">
        <f>_xlfn.IFNA(
INDEX(meta_Classifiers[Class - Generalization:src],MATCH(
INDEX(meta_Classifiers[Class - Generalization:src],MATCH(meta_Columns[[#This Row],[Property Owning Class]],meta_Classifiers[ID],0)),meta_Classifiers[ID],0))
=meta_Columns[[#This Row],[Owning Table Instances Class]],FALSE)</f>
        <v>0</v>
      </c>
      <c r="AG19" s="8" t="b">
        <f>_xlfn.IFNA(INDEX(meta_Classifiers[Class - Generalization:src],MATCH(meta_Columns[[#This Row],[Property Owning Class]],meta_Classifiers[ID],0))=meta_Columns[[#This Row],[Owning Table Instances Class]],FALSE)</f>
        <v>0</v>
      </c>
      <c r="AH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 s="8" t="e">
        <f>INDEX(meta_Classifiers[Name],MATCH(INDEX(meta_TypedModelElements[Property - Owning Class:src],MATCH(meta_Columns[[#This Row],[Property]],meta_TypedModelElements[ID],0)),meta_Classifiers[ID],0))</f>
        <v>#N/A</v>
      </c>
      <c r="AJ19" s="8" t="e">
        <f>INDEX(meta_TypedModelElements[Property - Owning Class:src],MATCH(meta_Columns[[#This Row],[Property]],meta_TypedModelElements[ID],0))</f>
        <v>#N/A</v>
      </c>
      <c r="AK19" s="8" t="e">
        <f>INDEX(meta_TypedModelElements[Kind:src],MATCH(meta_Columns[[#This Row],[Property]],meta_TypedModelElements[ID],0))</f>
        <v>#N/A</v>
      </c>
      <c r="AL19" s="8" t="e">
        <f>INDEX(meta_TypedModelElements[Name or Type],MATCH(meta_Columns[[#This Row],[Property]],meta_TypedModelElements[ID],0))</f>
        <v>#N/A</v>
      </c>
      <c r="AM19" s="8" t="e">
        <f>INDEX(meta_TypedModelElements[Property - Changeable],MATCH(meta_Columns[[#This Row],[Property]],meta_TypedModelElements[ID],0))</f>
        <v>#N/A</v>
      </c>
      <c r="AN19" s="43">
        <v>17</v>
      </c>
      <c r="AO19" s="22">
        <v>11</v>
      </c>
      <c r="AP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 s="8" t="str">
        <f xml:space="preserve"> IF(meta_Columns[[#This Row],[Property Owning Class is Specialization of Instance Class]],meta_Columns[[#This Row],[Property Owning Class Name]]&amp;" - ","")</f>
        <v/>
      </c>
      <c r="AR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 STORED</v>
      </c>
      <c r="AT19" s="8" t="str">
        <f>IFERROR(LEFT(meta_Columns[[#This Row],[Excel Column - Label Actual without Semantic Case]],FIND("-",
meta_Columns[[#This Row],[Excel Column - Label Actual without Semantic Case]])-2),"")</f>
        <v/>
      </c>
      <c r="AU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 STORED</v>
      </c>
      <c r="AV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 STORED</v>
      </c>
      <c r="AX19" s="22"/>
      <c r="AY19" s="8" t="str">
        <f>meta_Columns[[#This Row],[Owning Table]]&amp;"."&amp;meta_Columns[[#This Row],[Excel Column - Label]]</f>
        <v>belowred::Table1Rows.Table 2 Ref STORED</v>
      </c>
      <c r="AZ19" s="43" t="s">
        <v>627</v>
      </c>
      <c r="BA19" s="44" t="str">
        <f>IF(TRIM(meta_Columns[[#This Row],[Excel Column - Label Overwrite]])&lt;&gt;"",meta_Columns[[#This Row],[Excel Column - Label Overwrite]],meta_Columns[[#This Row],[Excel Column - Label from Property or Referenced Table]])</f>
        <v>Table 2 Ref STORED</v>
      </c>
      <c r="BB19" s="43"/>
      <c r="BC19" s="44" t="str">
        <f>IF(meta_Columns[[#This Row],[Excel Column - Explicit Excel Formula]]="","",meta_Columns[[#This Row],[Excel Column - Explicit Excel Formula]])</f>
        <v/>
      </c>
      <c r="BD19" s="5" t="s">
        <v>1467</v>
      </c>
      <c r="BE19" s="5"/>
    </row>
    <row r="20" spans="1:57">
      <c r="A20" s="10" t="s">
        <v>1036</v>
      </c>
      <c r="B20" s="11" t="s">
        <v>546</v>
      </c>
      <c r="C20" s="22" t="str">
        <f xml:space="preserve"> IF( TRIM( meta_Columns[[#This Row],[Kind:src]] ) = "", "",
        INDEX( meta_Classifiers[Display Qualified], MATCH( meta_Columns[[#This Row],[Kind:src]], meta_Classifiers[ID], 0 ) ) )</f>
        <v>ExcelColumn</v>
      </c>
      <c r="D20" s="44" t="str">
        <f>IF(meta_Columns[[#This Row],[Owning Table:src]]="","",INDEX(meta_Classifiers[Package],MATCH(meta_Columns[[#This Row],[Owning Table Instances Class]],meta_Classifiers[ID],0)))</f>
        <v>belowred</v>
      </c>
      <c r="E20" s="43"/>
      <c r="F20" s="44" t="str">
        <f>INDEX(meta_Tables[Excel Table - Excel Name],MATCH(meta_Columns[[#This Row],[Owning Table:src]],meta_Tables[ID],0))</f>
        <v>belowred_Table1Rows</v>
      </c>
      <c r="G20" s="44" t="str">
        <f>INDEX(meta_Tables[Instances Class:src],MATCH(meta_Columns[[#This Row],[Owning Table:src]],meta_Tables[ID],0))</f>
        <v>[c Table 1 Row]</v>
      </c>
      <c r="H20" s="11" t="s">
        <v>944</v>
      </c>
      <c r="I20" s="43" t="str">
        <f xml:space="preserve"> IF( TRIM( meta_Columns[[#This Row],[Owning Table:src]] ) = "", "",
        INDEX( meta_Tables[Display Qualified], MATCH( meta_Columns[[#This Row],[Owning Table:src]], meta_Tables[ID], 0 ) ) )</f>
        <v>belowred::Table1Rows</v>
      </c>
      <c r="K20" s="22" t="str">
        <f>IF(TRIM(meta_Columns[[#This Row],[Referenced Table:src]])="","",
    INDEX(meta_Tables[Display Qualified],MATCH(meta_Columns[[#This Row],[Referenced Table:src]],meta_Tables[ID],0)))</f>
        <v/>
      </c>
      <c r="L20" s="8"/>
      <c r="M20" s="22" t="str">
        <f xml:space="preserve"> IF( TRIM( meta_Columns[[#This Row],[Referenced Table Display and Select Column:src]] ) = "", "",
        INDEX( meta_Columns[Display Qualified], MATCH( meta_Columns[[#This Row],[Referenced Table Display and Select Column:src]], meta_Columns[ID], 0 ) ) )</f>
        <v/>
      </c>
      <c r="N20" s="8" t="str">
        <f>IF(meta_Columns[[#This Row],[Excel Column - Excel Formula]]="","x","")</f>
        <v>x</v>
      </c>
      <c r="O20" s="22"/>
      <c r="P20" s="8" t="str">
        <f>IF(meta_Columns[[#This Row],[Referenced Table:src]]="","",INDEX(meta_Tables[Instances Class],MATCH(meta_Columns[[#This Row],[Referenced Table:src]],meta_Tables[ID],0)))</f>
        <v/>
      </c>
      <c r="Q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belowred::Table1Row.testStringToBusinessSTORED</v>
      </c>
      <c r="R20" s="8"/>
      <c r="S20" s="22" t="str">
        <f xml:space="preserve"> IF( TRIM( meta_Columns[[#This Row],[Property:src]] ) = "", "",
        INDEX( meta_TypedModelElements[Display Qualified], MATCH( meta_Columns[[#This Row],[Property:src]], meta_TypedModelElements[ID], 0 ) ) )</f>
        <v/>
      </c>
      <c r="T20" s="22"/>
      <c r="U20" s="8" t="e">
        <f>INDEX(meta_Classifiers[Class - Generalization:src], MATCH(meta_Columns[[#This Row],[Generalization 5]],meta_Classifiers[ID],0))</f>
        <v>#N/A</v>
      </c>
      <c r="V20" s="8" t="e">
        <f>INDEX(meta_Classifiers[Class - Generalization:src], MATCH(meta_Columns[[#This Row],[Generalization 4]],meta_Classifiers[ID],0))</f>
        <v>#N/A</v>
      </c>
      <c r="W20" s="8" t="e">
        <f>INDEX(meta_Classifiers[Class - Generalization:src], MATCH(meta_Columns[[#This Row],[Generalization 3]],meta_Classifiers[ID],0))</f>
        <v>#N/A</v>
      </c>
      <c r="X20" s="8" t="e">
        <f>INDEX(meta_Classifiers[Class - Generalization:src], MATCH(meta_Columns[[#This Row],[Generalization 2]],meta_Classifiers[ID],0))</f>
        <v>#N/A</v>
      </c>
      <c r="Y20" s="8" t="str">
        <f>INDEX(meta_Classifiers[Class - Generalization:src], MATCH(meta_Columns[[#This Row],[Generalization 1]],meta_Classifiers[ID],0))</f>
        <v/>
      </c>
      <c r="Z20" s="8" t="str">
        <f>INDEX(meta_Classifiers[Class - Generalization:src], MATCH(meta_Columns[[#This Row],[Owning Table Instances Class]],meta_Classifiers[ID],0))</f>
        <v>_Object</v>
      </c>
      <c r="AA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 s="8" t="b">
        <f>_xlfn.IFNA(
INDEX(meta_Classifiers[Class - Generalization:src],MATCH(
INDEX(meta_Classifiers[Class - Generalization:src],MATCH(meta_Columns[[#This Row],[Property Owning Class]],meta_Classifiers[ID],0)),meta_Classifiers[ID],0))
=meta_Columns[[#This Row],[Owning Table Instances Class]],FALSE)</f>
        <v>0</v>
      </c>
      <c r="AG20" s="8" t="b">
        <f>_xlfn.IFNA(INDEX(meta_Classifiers[Class - Generalization:src],MATCH(meta_Columns[[#This Row],[Property Owning Class]],meta_Classifiers[ID],0))=meta_Columns[[#This Row],[Owning Table Instances Class]],FALSE)</f>
        <v>0</v>
      </c>
      <c r="AH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 s="8" t="e">
        <f>INDEX(meta_Classifiers[Name],MATCH(INDEX(meta_TypedModelElements[Property - Owning Class:src],MATCH(meta_Columns[[#This Row],[Property]],meta_TypedModelElements[ID],0)),meta_Classifiers[ID],0))</f>
        <v>#N/A</v>
      </c>
      <c r="AJ20" s="8" t="e">
        <f>INDEX(meta_TypedModelElements[Property - Owning Class:src],MATCH(meta_Columns[[#This Row],[Property]],meta_TypedModelElements[ID],0))</f>
        <v>#N/A</v>
      </c>
      <c r="AK20" s="8" t="e">
        <f>INDEX(meta_TypedModelElements[Kind:src],MATCH(meta_Columns[[#This Row],[Property]],meta_TypedModelElements[ID],0))</f>
        <v>#N/A</v>
      </c>
      <c r="AL20" s="8" t="e">
        <f>INDEX(meta_TypedModelElements[Name or Type],MATCH(meta_Columns[[#This Row],[Property]],meta_TypedModelElements[ID],0))</f>
        <v>#N/A</v>
      </c>
      <c r="AM20" s="8" t="e">
        <f>INDEX(meta_TypedModelElements[Property - Changeable],MATCH(meta_Columns[[#This Row],[Property]],meta_TypedModelElements[ID],0))</f>
        <v>#N/A</v>
      </c>
      <c r="AN20" s="43">
        <v>18</v>
      </c>
      <c r="AO20" s="22">
        <v>12</v>
      </c>
      <c r="AP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 s="8" t="str">
        <f xml:space="preserve"> IF(meta_Columns[[#This Row],[Property Owning Class is Specialization of Instance Class]],meta_Columns[[#This Row],[Property Owning Class Name]]&amp;" - ","")</f>
        <v/>
      </c>
      <c r="AR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 STORED</v>
      </c>
      <c r="AT20" s="8" t="str">
        <f>IFERROR(LEFT(meta_Columns[[#This Row],[Excel Column - Label Actual without Semantic Case]],FIND("-",
meta_Columns[[#This Row],[Excel Column - Label Actual without Semantic Case]])-2),"")</f>
        <v/>
      </c>
      <c r="AU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 STORED</v>
      </c>
      <c r="AV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 STORED</v>
      </c>
      <c r="AX20" s="22"/>
      <c r="AY20" s="8" t="str">
        <f>meta_Columns[[#This Row],[Owning Table]]&amp;"."&amp;meta_Columns[[#This Row],[Excel Column - Label]]</f>
        <v>belowred::Table1Rows.Test stringToBusiness STORED</v>
      </c>
      <c r="AZ20" s="43" t="s">
        <v>628</v>
      </c>
      <c r="BA20" s="44" t="str">
        <f>IF(TRIM(meta_Columns[[#This Row],[Excel Column - Label Overwrite]])&lt;&gt;"",meta_Columns[[#This Row],[Excel Column - Label Overwrite]],meta_Columns[[#This Row],[Excel Column - Label from Property or Referenced Table]])</f>
        <v>Test stringToBusiness STORED</v>
      </c>
      <c r="BB20" s="43"/>
      <c r="BC20" s="44" t="str">
        <f>IF(meta_Columns[[#This Row],[Excel Column - Explicit Excel Formula]]="","",meta_Columns[[#This Row],[Excel Column - Explicit Excel Formula]])</f>
        <v/>
      </c>
      <c r="BD20" s="5" t="s">
        <v>1467</v>
      </c>
      <c r="BE20" s="5"/>
    </row>
    <row r="21" spans="1:57">
      <c r="A21" s="10" t="s">
        <v>1037</v>
      </c>
      <c r="B21" s="11" t="s">
        <v>546</v>
      </c>
      <c r="C21" s="22" t="str">
        <f xml:space="preserve"> IF( TRIM( meta_Columns[[#This Row],[Kind:src]] ) = "", "",
        INDEX( meta_Classifiers[Display Qualified], MATCH( meta_Columns[[#This Row],[Kind:src]], meta_Classifiers[ID], 0 ) ) )</f>
        <v>ExcelColumn</v>
      </c>
      <c r="D21" s="44" t="str">
        <f>IF(meta_Columns[[#This Row],[Owning Table:src]]="","",INDEX(meta_Classifiers[Package],MATCH(meta_Columns[[#This Row],[Owning Table Instances Class]],meta_Classifiers[ID],0)))</f>
        <v>belowred</v>
      </c>
      <c r="E21" s="43"/>
      <c r="F21" s="44" t="str">
        <f>INDEX(meta_Tables[Excel Table - Excel Name],MATCH(meta_Columns[[#This Row],[Owning Table:src]],meta_Tables[ID],0))</f>
        <v>belowred_Table1Rows</v>
      </c>
      <c r="G21" s="44" t="str">
        <f>INDEX(meta_Tables[Instances Class:src],MATCH(meta_Columns[[#This Row],[Owning Table:src]],meta_Tables[ID],0))</f>
        <v>[c Table 1 Row]</v>
      </c>
      <c r="H21" s="11" t="s">
        <v>944</v>
      </c>
      <c r="I21" s="43" t="str">
        <f xml:space="preserve"> IF( TRIM( meta_Columns[[#This Row],[Owning Table:src]] ) = "", "",
        INDEX( meta_Tables[Display Qualified], MATCH( meta_Columns[[#This Row],[Owning Table:src]], meta_Tables[ID], 0 ) ) )</f>
        <v>belowred::Table1Rows</v>
      </c>
      <c r="K21" s="22" t="str">
        <f>IF(TRIM(meta_Columns[[#This Row],[Referenced Table:src]])="","",
    INDEX(meta_Tables[Display Qualified],MATCH(meta_Columns[[#This Row],[Referenced Table:src]],meta_Tables[ID],0)))</f>
        <v/>
      </c>
      <c r="L21" s="8"/>
      <c r="M21" s="22" t="str">
        <f xml:space="preserve"> IF( TRIM( meta_Columns[[#This Row],[Referenced Table Display and Select Column:src]] ) = "", "",
        INDEX( meta_Columns[Display Qualified], MATCH( meta_Columns[[#This Row],[Referenced Table Display and Select Column:src]], meta_Columns[ID], 0 ) ) )</f>
        <v/>
      </c>
      <c r="N21" s="8" t="str">
        <f>IF(meta_Columns[[#This Row],[Excel Column - Excel Formula]]="","x","")</f>
        <v>x</v>
      </c>
      <c r="O21" s="22"/>
      <c r="P21" s="8" t="str">
        <f>IF(meta_Columns[[#This Row],[Referenced Table:src]]="","",INDEX(meta_Tables[Instances Class],MATCH(meta_Columns[[#This Row],[Referenced Table:src]],meta_Tables[ID],0)))</f>
        <v/>
      </c>
      <c r="Q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belowred::Table1Row.testCamelCaseUpperSTORED</v>
      </c>
      <c r="R21" s="8"/>
      <c r="S21" s="22" t="str">
        <f xml:space="preserve"> IF( TRIM( meta_Columns[[#This Row],[Property:src]] ) = "", "",
        INDEX( meta_TypedModelElements[Display Qualified], MATCH( meta_Columns[[#This Row],[Property:src]], meta_TypedModelElements[ID], 0 ) ) )</f>
        <v/>
      </c>
      <c r="T21" s="22"/>
      <c r="U21" s="8" t="e">
        <f>INDEX(meta_Classifiers[Class - Generalization:src], MATCH(meta_Columns[[#This Row],[Generalization 5]],meta_Classifiers[ID],0))</f>
        <v>#N/A</v>
      </c>
      <c r="V21" s="8" t="e">
        <f>INDEX(meta_Classifiers[Class - Generalization:src], MATCH(meta_Columns[[#This Row],[Generalization 4]],meta_Classifiers[ID],0))</f>
        <v>#N/A</v>
      </c>
      <c r="W21" s="8" t="e">
        <f>INDEX(meta_Classifiers[Class - Generalization:src], MATCH(meta_Columns[[#This Row],[Generalization 3]],meta_Classifiers[ID],0))</f>
        <v>#N/A</v>
      </c>
      <c r="X21" s="8" t="e">
        <f>INDEX(meta_Classifiers[Class - Generalization:src], MATCH(meta_Columns[[#This Row],[Generalization 2]],meta_Classifiers[ID],0))</f>
        <v>#N/A</v>
      </c>
      <c r="Y21" s="8" t="str">
        <f>INDEX(meta_Classifiers[Class - Generalization:src], MATCH(meta_Columns[[#This Row],[Generalization 1]],meta_Classifiers[ID],0))</f>
        <v/>
      </c>
      <c r="Z21" s="8" t="str">
        <f>INDEX(meta_Classifiers[Class - Generalization:src], MATCH(meta_Columns[[#This Row],[Owning Table Instances Class]],meta_Classifiers[ID],0))</f>
        <v>_Object</v>
      </c>
      <c r="AA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 s="8" t="b">
        <f>_xlfn.IFNA(
INDEX(meta_Classifiers[Class - Generalization:src],MATCH(
INDEX(meta_Classifiers[Class - Generalization:src],MATCH(meta_Columns[[#This Row],[Property Owning Class]],meta_Classifiers[ID],0)),meta_Classifiers[ID],0))
=meta_Columns[[#This Row],[Owning Table Instances Class]],FALSE)</f>
        <v>0</v>
      </c>
      <c r="AG21" s="8" t="b">
        <f>_xlfn.IFNA(INDEX(meta_Classifiers[Class - Generalization:src],MATCH(meta_Columns[[#This Row],[Property Owning Class]],meta_Classifiers[ID],0))=meta_Columns[[#This Row],[Owning Table Instances Class]],FALSE)</f>
        <v>0</v>
      </c>
      <c r="AH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 s="8" t="e">
        <f>INDEX(meta_Classifiers[Name],MATCH(INDEX(meta_TypedModelElements[Property - Owning Class:src],MATCH(meta_Columns[[#This Row],[Property]],meta_TypedModelElements[ID],0)),meta_Classifiers[ID],0))</f>
        <v>#N/A</v>
      </c>
      <c r="AJ21" s="8" t="e">
        <f>INDEX(meta_TypedModelElements[Property - Owning Class:src],MATCH(meta_Columns[[#This Row],[Property]],meta_TypedModelElements[ID],0))</f>
        <v>#N/A</v>
      </c>
      <c r="AK21" s="8" t="e">
        <f>INDEX(meta_TypedModelElements[Kind:src],MATCH(meta_Columns[[#This Row],[Property]],meta_TypedModelElements[ID],0))</f>
        <v>#N/A</v>
      </c>
      <c r="AL21" s="8" t="e">
        <f>INDEX(meta_TypedModelElements[Name or Type],MATCH(meta_Columns[[#This Row],[Property]],meta_TypedModelElements[ID],0))</f>
        <v>#N/A</v>
      </c>
      <c r="AM21" s="8" t="e">
        <f>INDEX(meta_TypedModelElements[Property - Changeable],MATCH(meta_Columns[[#This Row],[Property]],meta_TypedModelElements[ID],0))</f>
        <v>#N/A</v>
      </c>
      <c r="AN21" s="43">
        <v>19</v>
      </c>
      <c r="AO21" s="22">
        <v>13</v>
      </c>
      <c r="AP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 s="8" t="str">
        <f xml:space="preserve"> IF(meta_Columns[[#This Row],[Property Owning Class is Specialization of Instance Class]],meta_Columns[[#This Row],[Property Owning Class Name]]&amp;" - ","")</f>
        <v/>
      </c>
      <c r="AR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 STORED</v>
      </c>
      <c r="AT21" s="8" t="str">
        <f>IFERROR(LEFT(meta_Columns[[#This Row],[Excel Column - Label Actual without Semantic Case]],FIND("-",
meta_Columns[[#This Row],[Excel Column - Label Actual without Semantic Case]])-2),"")</f>
        <v/>
      </c>
      <c r="AU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 STORED</v>
      </c>
      <c r="AV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 STORED</v>
      </c>
      <c r="AX21" s="22"/>
      <c r="AY21" s="8" t="str">
        <f>meta_Columns[[#This Row],[Owning Table]]&amp;"."&amp;meta_Columns[[#This Row],[Excel Column - Label]]</f>
        <v>belowred::Table1Rows.Test CamelCaseUpper STORED</v>
      </c>
      <c r="AZ21" s="43" t="s">
        <v>629</v>
      </c>
      <c r="BA21" s="44" t="str">
        <f>IF(TRIM(meta_Columns[[#This Row],[Excel Column - Label Overwrite]])&lt;&gt;"",meta_Columns[[#This Row],[Excel Column - Label Overwrite]],meta_Columns[[#This Row],[Excel Column - Label from Property or Referenced Table]])</f>
        <v>Test CamelCaseUpper STORED</v>
      </c>
      <c r="BB21" s="43"/>
      <c r="BC21" s="44" t="str">
        <f>IF(meta_Columns[[#This Row],[Excel Column - Explicit Excel Formula]]="","",meta_Columns[[#This Row],[Excel Column - Explicit Excel Formula]])</f>
        <v/>
      </c>
      <c r="BD21" s="5" t="s">
        <v>1467</v>
      </c>
      <c r="BE21" s="5"/>
    </row>
    <row r="22" spans="1:57">
      <c r="A22" s="10" t="s">
        <v>1038</v>
      </c>
      <c r="B22" s="11" t="s">
        <v>546</v>
      </c>
      <c r="C22" s="22" t="str">
        <f xml:space="preserve"> IF( TRIM( meta_Columns[[#This Row],[Kind:src]] ) = "", "",
        INDEX( meta_Classifiers[Display Qualified], MATCH( meta_Columns[[#This Row],[Kind:src]], meta_Classifiers[ID], 0 ) ) )</f>
        <v>ExcelColumn</v>
      </c>
      <c r="D22" s="44" t="str">
        <f>IF(meta_Columns[[#This Row],[Owning Table:src]]="","",INDEX(meta_Classifiers[Package],MATCH(meta_Columns[[#This Row],[Owning Table Instances Class]],meta_Classifiers[ID],0)))</f>
        <v>belowred</v>
      </c>
      <c r="E22" s="43"/>
      <c r="F22" s="44" t="str">
        <f>INDEX(meta_Tables[Excel Table - Excel Name],MATCH(meta_Columns[[#This Row],[Owning Table:src]],meta_Tables[ID],0))</f>
        <v>belowred_Table1Rows</v>
      </c>
      <c r="G22" s="44" t="str">
        <f>INDEX(meta_Tables[Instances Class:src],MATCH(meta_Columns[[#This Row],[Owning Table:src]],meta_Tables[ID],0))</f>
        <v>[c Table 1 Row]</v>
      </c>
      <c r="H22" s="11" t="s">
        <v>944</v>
      </c>
      <c r="I22" s="43" t="str">
        <f xml:space="preserve"> IF( TRIM( meta_Columns[[#This Row],[Owning Table:src]] ) = "", "",
        INDEX( meta_Tables[Display Qualified], MATCH( meta_Columns[[#This Row],[Owning Table:src]], meta_Tables[ID], 0 ) ) )</f>
        <v>belowred::Table1Rows</v>
      </c>
      <c r="K22" s="22" t="str">
        <f>IF(TRIM(meta_Columns[[#This Row],[Referenced Table:src]])="","",
    INDEX(meta_Tables[Display Qualified],MATCH(meta_Columns[[#This Row],[Referenced Table:src]],meta_Tables[ID],0)))</f>
        <v/>
      </c>
      <c r="L22" s="8"/>
      <c r="M22" s="22" t="str">
        <f xml:space="preserve"> IF( TRIM( meta_Columns[[#This Row],[Referenced Table Display and Select Column:src]] ) = "", "",
        INDEX( meta_Columns[Display Qualified], MATCH( meta_Columns[[#This Row],[Referenced Table Display and Select Column:src]], meta_Columns[ID], 0 ) ) )</f>
        <v/>
      </c>
      <c r="N22" s="8" t="str">
        <f>IF(meta_Columns[[#This Row],[Excel Column - Excel Formula]]="","x","")</f>
        <v>x</v>
      </c>
      <c r="O22" s="22"/>
      <c r="P22" s="8" t="str">
        <f>IF(meta_Columns[[#This Row],[Referenced Table:src]]="","",INDEX(meta_Tables[Instances Class],MATCH(meta_Columns[[#This Row],[Referenced Table:src]],meta_Tables[ID],0)))</f>
        <v/>
      </c>
      <c r="Q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belowred::Table1Row.testCamelCaseToBusinessSTORED</v>
      </c>
      <c r="R22" s="8"/>
      <c r="S22" s="22" t="str">
        <f xml:space="preserve"> IF( TRIM( meta_Columns[[#This Row],[Property:src]] ) = "", "",
        INDEX( meta_TypedModelElements[Display Qualified], MATCH( meta_Columns[[#This Row],[Property:src]], meta_TypedModelElements[ID], 0 ) ) )</f>
        <v/>
      </c>
      <c r="T22" s="22"/>
      <c r="U22" s="8" t="e">
        <f>INDEX(meta_Classifiers[Class - Generalization:src], MATCH(meta_Columns[[#This Row],[Generalization 5]],meta_Classifiers[ID],0))</f>
        <v>#N/A</v>
      </c>
      <c r="V22" s="8" t="e">
        <f>INDEX(meta_Classifiers[Class - Generalization:src], MATCH(meta_Columns[[#This Row],[Generalization 4]],meta_Classifiers[ID],0))</f>
        <v>#N/A</v>
      </c>
      <c r="W22" s="8" t="e">
        <f>INDEX(meta_Classifiers[Class - Generalization:src], MATCH(meta_Columns[[#This Row],[Generalization 3]],meta_Classifiers[ID],0))</f>
        <v>#N/A</v>
      </c>
      <c r="X22" s="8" t="e">
        <f>INDEX(meta_Classifiers[Class - Generalization:src], MATCH(meta_Columns[[#This Row],[Generalization 2]],meta_Classifiers[ID],0))</f>
        <v>#N/A</v>
      </c>
      <c r="Y22" s="8" t="str">
        <f>INDEX(meta_Classifiers[Class - Generalization:src], MATCH(meta_Columns[[#This Row],[Generalization 1]],meta_Classifiers[ID],0))</f>
        <v/>
      </c>
      <c r="Z22" s="8" t="str">
        <f>INDEX(meta_Classifiers[Class - Generalization:src], MATCH(meta_Columns[[#This Row],[Owning Table Instances Class]],meta_Classifiers[ID],0))</f>
        <v>_Object</v>
      </c>
      <c r="AA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 s="8" t="b">
        <f>_xlfn.IFNA(
INDEX(meta_Classifiers[Class - Generalization:src],MATCH(
INDEX(meta_Classifiers[Class - Generalization:src],MATCH(meta_Columns[[#This Row],[Property Owning Class]],meta_Classifiers[ID],0)),meta_Classifiers[ID],0))
=meta_Columns[[#This Row],[Owning Table Instances Class]],FALSE)</f>
        <v>0</v>
      </c>
      <c r="AG22" s="8" t="b">
        <f>_xlfn.IFNA(INDEX(meta_Classifiers[Class - Generalization:src],MATCH(meta_Columns[[#This Row],[Property Owning Class]],meta_Classifiers[ID],0))=meta_Columns[[#This Row],[Owning Table Instances Class]],FALSE)</f>
        <v>0</v>
      </c>
      <c r="AH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 s="8" t="e">
        <f>INDEX(meta_Classifiers[Name],MATCH(INDEX(meta_TypedModelElements[Property - Owning Class:src],MATCH(meta_Columns[[#This Row],[Property]],meta_TypedModelElements[ID],0)),meta_Classifiers[ID],0))</f>
        <v>#N/A</v>
      </c>
      <c r="AJ22" s="8" t="e">
        <f>INDEX(meta_TypedModelElements[Property - Owning Class:src],MATCH(meta_Columns[[#This Row],[Property]],meta_TypedModelElements[ID],0))</f>
        <v>#N/A</v>
      </c>
      <c r="AK22" s="8" t="e">
        <f>INDEX(meta_TypedModelElements[Kind:src],MATCH(meta_Columns[[#This Row],[Property]],meta_TypedModelElements[ID],0))</f>
        <v>#N/A</v>
      </c>
      <c r="AL22" s="8" t="e">
        <f>INDEX(meta_TypedModelElements[Name or Type],MATCH(meta_Columns[[#This Row],[Property]],meta_TypedModelElements[ID],0))</f>
        <v>#N/A</v>
      </c>
      <c r="AM22" s="8" t="e">
        <f>INDEX(meta_TypedModelElements[Property - Changeable],MATCH(meta_Columns[[#This Row],[Property]],meta_TypedModelElements[ID],0))</f>
        <v>#N/A</v>
      </c>
      <c r="AN22" s="43">
        <v>20</v>
      </c>
      <c r="AO22" s="22">
        <v>14</v>
      </c>
      <c r="AP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 s="8" t="str">
        <f xml:space="preserve"> IF(meta_Columns[[#This Row],[Property Owning Class is Specialization of Instance Class]],meta_Columns[[#This Row],[Property Owning Class Name]]&amp;" - ","")</f>
        <v/>
      </c>
      <c r="AR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 STORED</v>
      </c>
      <c r="AT22" s="8" t="str">
        <f>IFERROR(LEFT(meta_Columns[[#This Row],[Excel Column - Label Actual without Semantic Case]],FIND("-",
meta_Columns[[#This Row],[Excel Column - Label Actual without Semantic Case]])-2),"")</f>
        <v/>
      </c>
      <c r="AU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 STORED</v>
      </c>
      <c r="AV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 STORED</v>
      </c>
      <c r="AX22" s="22"/>
      <c r="AY22" s="8" t="str">
        <f>meta_Columns[[#This Row],[Owning Table]]&amp;"."&amp;meta_Columns[[#This Row],[Excel Column - Label]]</f>
        <v>belowred::Table1Rows.Test camelCaseToBusiness STORED</v>
      </c>
      <c r="AZ22" s="43" t="s">
        <v>630</v>
      </c>
      <c r="BA22" s="44" t="str">
        <f>IF(TRIM(meta_Columns[[#This Row],[Excel Column - Label Overwrite]])&lt;&gt;"",meta_Columns[[#This Row],[Excel Column - Label Overwrite]],meta_Columns[[#This Row],[Excel Column - Label from Property or Referenced Table]])</f>
        <v>Test camelCaseToBusiness STORED</v>
      </c>
      <c r="BB22" s="43"/>
      <c r="BC22" s="44" t="str">
        <f>IF(meta_Columns[[#This Row],[Excel Column - Explicit Excel Formula]]="","",meta_Columns[[#This Row],[Excel Column - Explicit Excel Formula]])</f>
        <v/>
      </c>
      <c r="BD22" s="5" t="s">
        <v>1467</v>
      </c>
      <c r="BE22" s="5"/>
    </row>
    <row r="23" spans="1:57">
      <c r="A23" s="10" t="s">
        <v>1039</v>
      </c>
      <c r="B23" s="11" t="s">
        <v>546</v>
      </c>
      <c r="C23" s="22" t="str">
        <f xml:space="preserve"> IF( TRIM( meta_Columns[[#This Row],[Kind:src]] ) = "", "",
        INDEX( meta_Classifiers[Display Qualified], MATCH( meta_Columns[[#This Row],[Kind:src]], meta_Classifiers[ID], 0 ) ) )</f>
        <v>ExcelColumn</v>
      </c>
      <c r="D23" s="44" t="str">
        <f>IF(meta_Columns[[#This Row],[Owning Table:src]]="","",INDEX(meta_Classifiers[Package],MATCH(meta_Columns[[#This Row],[Owning Table Instances Class]],meta_Classifiers[ID],0)))</f>
        <v>belowred</v>
      </c>
      <c r="E23" s="43"/>
      <c r="F23" s="44" t="str">
        <f>INDEX(meta_Tables[Excel Table - Excel Name],MATCH(meta_Columns[[#This Row],[Owning Table:src]],meta_Tables[ID],0))</f>
        <v>belowred_Table1Rows</v>
      </c>
      <c r="G23" s="44" t="str">
        <f>INDEX(meta_Tables[Instances Class:src],MATCH(meta_Columns[[#This Row],[Owning Table:src]],meta_Tables[ID],0))</f>
        <v>[c Table 1 Row]</v>
      </c>
      <c r="H23" s="11" t="s">
        <v>944</v>
      </c>
      <c r="I23" s="43" t="str">
        <f xml:space="preserve"> IF( TRIM( meta_Columns[[#This Row],[Owning Table:src]] ) = "", "",
        INDEX( meta_Tables[Display Qualified], MATCH( meta_Columns[[#This Row],[Owning Table:src]], meta_Tables[ID], 0 ) ) )</f>
        <v>belowred::Table1Rows</v>
      </c>
      <c r="K23" s="22" t="str">
        <f>IF(TRIM(meta_Columns[[#This Row],[Referenced Table:src]])="","",
    INDEX(meta_Tables[Display Qualified],MATCH(meta_Columns[[#This Row],[Referenced Table:src]],meta_Tables[ID],0)))</f>
        <v/>
      </c>
      <c r="L23" s="8"/>
      <c r="M23" s="22" t="str">
        <f xml:space="preserve"> IF( TRIM( meta_Columns[[#This Row],[Referenced Table Display and Select Column:src]] ) = "", "",
        INDEX( meta_Columns[Display Qualified], MATCH( meta_Columns[[#This Row],[Referenced Table Display and Select Column:src]], meta_Columns[ID], 0 ) ) )</f>
        <v/>
      </c>
      <c r="N23" s="8" t="str">
        <f>IF(meta_Columns[[#This Row],[Excel Column - Excel Formula]]="","x","")</f>
        <v>x</v>
      </c>
      <c r="O23" s="22"/>
      <c r="P23" s="8" t="str">
        <f>IF(meta_Columns[[#This Row],[Referenced Table:src]]="","",INDEX(meta_Tables[Instances Class],MATCH(meta_Columns[[#This Row],[Referenced Table:src]],meta_Tables[ID],0)))</f>
        <v/>
      </c>
      <c r="Q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belowred::Table1Row.camelCaseLower_op__S_CP___EQU__BusinessToCamelCaseLower_op__StringToBusiness_op__S_cp___CP__STORED</v>
      </c>
      <c r="R23" s="8"/>
      <c r="S23" s="22" t="str">
        <f xml:space="preserve"> IF( TRIM( meta_Columns[[#This Row],[Property:src]] ) = "", "",
        INDEX( meta_TypedModelElements[Display Qualified], MATCH( meta_Columns[[#This Row],[Property:src]], meta_TypedModelElements[ID], 0 ) ) )</f>
        <v/>
      </c>
      <c r="T23" s="22"/>
      <c r="U23" s="8" t="e">
        <f>INDEX(meta_Classifiers[Class - Generalization:src], MATCH(meta_Columns[[#This Row],[Generalization 5]],meta_Classifiers[ID],0))</f>
        <v>#N/A</v>
      </c>
      <c r="V23" s="8" t="e">
        <f>INDEX(meta_Classifiers[Class - Generalization:src], MATCH(meta_Columns[[#This Row],[Generalization 4]],meta_Classifiers[ID],0))</f>
        <v>#N/A</v>
      </c>
      <c r="W23" s="8" t="e">
        <f>INDEX(meta_Classifiers[Class - Generalization:src], MATCH(meta_Columns[[#This Row],[Generalization 3]],meta_Classifiers[ID],0))</f>
        <v>#N/A</v>
      </c>
      <c r="X23" s="8" t="e">
        <f>INDEX(meta_Classifiers[Class - Generalization:src], MATCH(meta_Columns[[#This Row],[Generalization 2]],meta_Classifiers[ID],0))</f>
        <v>#N/A</v>
      </c>
      <c r="Y23" s="8" t="str">
        <f>INDEX(meta_Classifiers[Class - Generalization:src], MATCH(meta_Columns[[#This Row],[Generalization 1]],meta_Classifiers[ID],0))</f>
        <v/>
      </c>
      <c r="Z23" s="8" t="str">
        <f>INDEX(meta_Classifiers[Class - Generalization:src], MATCH(meta_Columns[[#This Row],[Owning Table Instances Class]],meta_Classifiers[ID],0))</f>
        <v>_Object</v>
      </c>
      <c r="AA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 s="8" t="b">
        <f>_xlfn.IFNA(
INDEX(meta_Classifiers[Class - Generalization:src],MATCH(
INDEX(meta_Classifiers[Class - Generalization:src],MATCH(meta_Columns[[#This Row],[Property Owning Class]],meta_Classifiers[ID],0)),meta_Classifiers[ID],0))
=meta_Columns[[#This Row],[Owning Table Instances Class]],FALSE)</f>
        <v>0</v>
      </c>
      <c r="AG23" s="8" t="b">
        <f>_xlfn.IFNA(INDEX(meta_Classifiers[Class - Generalization:src],MATCH(meta_Columns[[#This Row],[Property Owning Class]],meta_Classifiers[ID],0))=meta_Columns[[#This Row],[Owning Table Instances Class]],FALSE)</f>
        <v>0</v>
      </c>
      <c r="AH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 s="8" t="e">
        <f>INDEX(meta_Classifiers[Name],MATCH(INDEX(meta_TypedModelElements[Property - Owning Class:src],MATCH(meta_Columns[[#This Row],[Property]],meta_TypedModelElements[ID],0)),meta_Classifiers[ID],0))</f>
        <v>#N/A</v>
      </c>
      <c r="AJ23" s="8" t="e">
        <f>INDEX(meta_TypedModelElements[Property - Owning Class:src],MATCH(meta_Columns[[#This Row],[Property]],meta_TypedModelElements[ID],0))</f>
        <v>#N/A</v>
      </c>
      <c r="AK23" s="8" t="e">
        <f>INDEX(meta_TypedModelElements[Kind:src],MATCH(meta_Columns[[#This Row],[Property]],meta_TypedModelElements[ID],0))</f>
        <v>#N/A</v>
      </c>
      <c r="AL23" s="8" t="e">
        <f>INDEX(meta_TypedModelElements[Name or Type],MATCH(meta_Columns[[#This Row],[Property]],meta_TypedModelElements[ID],0))</f>
        <v>#N/A</v>
      </c>
      <c r="AM23" s="8" t="e">
        <f>INDEX(meta_TypedModelElements[Property - Changeable],MATCH(meta_Columns[[#This Row],[Property]],meta_TypedModelElements[ID],0))</f>
        <v>#N/A</v>
      </c>
      <c r="AN23" s="43">
        <v>21</v>
      </c>
      <c r="AO23" s="22">
        <v>15</v>
      </c>
      <c r="AP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 s="8" t="str">
        <f xml:space="preserve"> IF(meta_Columns[[#This Row],[Property Owning Class is Specialization of Instance Class]],meta_Columns[[#This Row],[Property Owning Class Name]]&amp;" - ","")</f>
        <v/>
      </c>
      <c r="AR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 STORED</v>
      </c>
      <c r="AT23" s="8" t="str">
        <f>IFERROR(LEFT(meta_Columns[[#This Row],[Excel Column - Label Actual without Semantic Case]],FIND("-",
meta_Columns[[#This Row],[Excel Column - Label Actual without Semantic Case]])-2),"")</f>
        <v/>
      </c>
      <c r="AU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 STORED</v>
      </c>
      <c r="AV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 STORED</v>
      </c>
      <c r="AX23" s="22"/>
      <c r="AY23" s="8" t="str">
        <f>meta_Columns[[#This Row],[Owning Table]]&amp;"."&amp;meta_Columns[[#This Row],[Excel Column - Label]]</f>
        <v>belowred::Table1Rows.camelCaseLower(s)  = businessToCamelCaseLower(stringToBusiness(s)) STORED</v>
      </c>
      <c r="AZ23" s="43" t="s">
        <v>631</v>
      </c>
      <c r="BA23" s="44" t="str">
        <f>IF(TRIM(meta_Columns[[#This Row],[Excel Column - Label Overwrite]])&lt;&gt;"",meta_Columns[[#This Row],[Excel Column - Label Overwrite]],meta_Columns[[#This Row],[Excel Column - Label from Property or Referenced Table]])</f>
        <v>camelCaseLower(s)  = businessToCamelCaseLower(stringToBusiness(s)) STORED</v>
      </c>
      <c r="BB23" s="43"/>
      <c r="BC23" s="44" t="str">
        <f>IF(meta_Columns[[#This Row],[Excel Column - Explicit Excel Formula]]="","",meta_Columns[[#This Row],[Excel Column - Explicit Excel Formula]])</f>
        <v/>
      </c>
      <c r="BD23" s="5" t="s">
        <v>1467</v>
      </c>
      <c r="BE23" s="5"/>
    </row>
    <row r="24" spans="1:57">
      <c r="A24" s="10" t="s">
        <v>1040</v>
      </c>
      <c r="B24" s="11" t="s">
        <v>546</v>
      </c>
      <c r="C24" s="22" t="str">
        <f xml:space="preserve"> IF( TRIM( meta_Columns[[#This Row],[Kind:src]] ) = "", "",
        INDEX( meta_Classifiers[Display Qualified], MATCH( meta_Columns[[#This Row],[Kind:src]], meta_Classifiers[ID], 0 ) ) )</f>
        <v>ExcelColumn</v>
      </c>
      <c r="D24" s="44" t="str">
        <f>IF(meta_Columns[[#This Row],[Owning Table:src]]="","",INDEX(meta_Classifiers[Package],MATCH(meta_Columns[[#This Row],[Owning Table Instances Class]],meta_Classifiers[ID],0)))</f>
        <v>belowred</v>
      </c>
      <c r="E24" s="43"/>
      <c r="F24" s="44" t="str">
        <f>INDEX(meta_Tables[Excel Table - Excel Name],MATCH(meta_Columns[[#This Row],[Owning Table:src]],meta_Tables[ID],0))</f>
        <v>belowred_Table1Rows</v>
      </c>
      <c r="G24" s="44" t="str">
        <f>INDEX(meta_Tables[Instances Class:src],MATCH(meta_Columns[[#This Row],[Owning Table:src]],meta_Tables[ID],0))</f>
        <v>[c Table 1 Row]</v>
      </c>
      <c r="H24" s="11" t="s">
        <v>944</v>
      </c>
      <c r="I24" s="43" t="str">
        <f xml:space="preserve"> IF( TRIM( meta_Columns[[#This Row],[Owning Table:src]] ) = "", "",
        INDEX( meta_Tables[Display Qualified], MATCH( meta_Columns[[#This Row],[Owning Table:src]], meta_Tables[ID], 0 ) ) )</f>
        <v>belowred::Table1Rows</v>
      </c>
      <c r="K24" s="22" t="str">
        <f>IF(TRIM(meta_Columns[[#This Row],[Referenced Table:src]])="","",
    INDEX(meta_Tables[Display Qualified],MATCH(meta_Columns[[#This Row],[Referenced Table:src]],meta_Tables[ID],0)))</f>
        <v/>
      </c>
      <c r="L24" s="8"/>
      <c r="M24" s="22" t="str">
        <f xml:space="preserve"> IF( TRIM( meta_Columns[[#This Row],[Referenced Table Display and Select Column:src]] ) = "", "",
        INDEX( meta_Columns[Display Qualified], MATCH( meta_Columns[[#This Row],[Referenced Table Display and Select Column:src]], meta_Columns[ID], 0 ) ) )</f>
        <v/>
      </c>
      <c r="N24" s="8" t="str">
        <f>IF(meta_Columns[[#This Row],[Excel Column - Excel Formula]]="","x","")</f>
        <v>x</v>
      </c>
      <c r="O24" s="22"/>
      <c r="P24" s="8" t="str">
        <f>IF(meta_Columns[[#This Row],[Referenced Table:src]]="","",INDEX(meta_Tables[Instances Class],MATCH(meta_Columns[[#This Row],[Referenced Table:src]],meta_Tables[ID],0)))</f>
        <v/>
      </c>
      <c r="Q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belowred::Table1Row.testFunctionToBeGeneratedSTORED</v>
      </c>
      <c r="R24" s="8"/>
      <c r="S24" s="22" t="str">
        <f xml:space="preserve"> IF( TRIM( meta_Columns[[#This Row],[Property:src]] ) = "", "",
        INDEX( meta_TypedModelElements[Display Qualified], MATCH( meta_Columns[[#This Row],[Property:src]], meta_TypedModelElements[ID], 0 ) ) )</f>
        <v/>
      </c>
      <c r="T24" s="22"/>
      <c r="U24" s="8" t="e">
        <f>INDEX(meta_Classifiers[Class - Generalization:src], MATCH(meta_Columns[[#This Row],[Generalization 5]],meta_Classifiers[ID],0))</f>
        <v>#N/A</v>
      </c>
      <c r="V24" s="8" t="e">
        <f>INDEX(meta_Classifiers[Class - Generalization:src], MATCH(meta_Columns[[#This Row],[Generalization 4]],meta_Classifiers[ID],0))</f>
        <v>#N/A</v>
      </c>
      <c r="W24" s="8" t="e">
        <f>INDEX(meta_Classifiers[Class - Generalization:src], MATCH(meta_Columns[[#This Row],[Generalization 3]],meta_Classifiers[ID],0))</f>
        <v>#N/A</v>
      </c>
      <c r="X24" s="8" t="e">
        <f>INDEX(meta_Classifiers[Class - Generalization:src], MATCH(meta_Columns[[#This Row],[Generalization 2]],meta_Classifiers[ID],0))</f>
        <v>#N/A</v>
      </c>
      <c r="Y24" s="8" t="str">
        <f>INDEX(meta_Classifiers[Class - Generalization:src], MATCH(meta_Columns[[#This Row],[Generalization 1]],meta_Classifiers[ID],0))</f>
        <v/>
      </c>
      <c r="Z24" s="8" t="str">
        <f>INDEX(meta_Classifiers[Class - Generalization:src], MATCH(meta_Columns[[#This Row],[Owning Table Instances Class]],meta_Classifiers[ID],0))</f>
        <v>_Object</v>
      </c>
      <c r="AA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 s="8" t="b">
        <f>_xlfn.IFNA(
INDEX(meta_Classifiers[Class - Generalization:src],MATCH(
INDEX(meta_Classifiers[Class - Generalization:src],MATCH(meta_Columns[[#This Row],[Property Owning Class]],meta_Classifiers[ID],0)),meta_Classifiers[ID],0))
=meta_Columns[[#This Row],[Owning Table Instances Class]],FALSE)</f>
        <v>0</v>
      </c>
      <c r="AG24" s="8" t="b">
        <f>_xlfn.IFNA(INDEX(meta_Classifiers[Class - Generalization:src],MATCH(meta_Columns[[#This Row],[Property Owning Class]],meta_Classifiers[ID],0))=meta_Columns[[#This Row],[Owning Table Instances Class]],FALSE)</f>
        <v>0</v>
      </c>
      <c r="AH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 s="8" t="e">
        <f>INDEX(meta_Classifiers[Name],MATCH(INDEX(meta_TypedModelElements[Property - Owning Class:src],MATCH(meta_Columns[[#This Row],[Property]],meta_TypedModelElements[ID],0)),meta_Classifiers[ID],0))</f>
        <v>#N/A</v>
      </c>
      <c r="AJ24" s="8" t="e">
        <f>INDEX(meta_TypedModelElements[Property - Owning Class:src],MATCH(meta_Columns[[#This Row],[Property]],meta_TypedModelElements[ID],0))</f>
        <v>#N/A</v>
      </c>
      <c r="AK24" s="8" t="e">
        <f>INDEX(meta_TypedModelElements[Kind:src],MATCH(meta_Columns[[#This Row],[Property]],meta_TypedModelElements[ID],0))</f>
        <v>#N/A</v>
      </c>
      <c r="AL24" s="8" t="e">
        <f>INDEX(meta_TypedModelElements[Name or Type],MATCH(meta_Columns[[#This Row],[Property]],meta_TypedModelElements[ID],0))</f>
        <v>#N/A</v>
      </c>
      <c r="AM24" s="8" t="e">
        <f>INDEX(meta_TypedModelElements[Property - Changeable],MATCH(meta_Columns[[#This Row],[Property]],meta_TypedModelElements[ID],0))</f>
        <v>#N/A</v>
      </c>
      <c r="AN24" s="43">
        <v>22</v>
      </c>
      <c r="AO24" s="22">
        <v>16</v>
      </c>
      <c r="AP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 s="8" t="str">
        <f xml:space="preserve"> IF(meta_Columns[[#This Row],[Property Owning Class is Specialization of Instance Class]],meta_Columns[[#This Row],[Property Owning Class Name]]&amp;" - ","")</f>
        <v/>
      </c>
      <c r="AR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FunctionToBeGenerated STORED</v>
      </c>
      <c r="AT24" s="8" t="str">
        <f>IFERROR(LEFT(meta_Columns[[#This Row],[Excel Column - Label Actual without Semantic Case]],FIND("-",
meta_Columns[[#This Row],[Excel Column - Label Actual without Semantic Case]])-2),"")</f>
        <v/>
      </c>
      <c r="AU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FunctionToBeGenerated STORED</v>
      </c>
      <c r="AV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FunctionToBeGenerated STORED</v>
      </c>
      <c r="AX24" s="22"/>
      <c r="AY24" s="8" t="str">
        <f>meta_Columns[[#This Row],[Owning Table]]&amp;"."&amp;meta_Columns[[#This Row],[Excel Column - Label]]</f>
        <v>belowred::Table1Rows.Test FunctionToBeGenerated STORED</v>
      </c>
      <c r="AZ24" s="43" t="s">
        <v>634</v>
      </c>
      <c r="BA24" s="44" t="str">
        <f>IF(TRIM(meta_Columns[[#This Row],[Excel Column - Label Overwrite]])&lt;&gt;"",meta_Columns[[#This Row],[Excel Column - Label Overwrite]],meta_Columns[[#This Row],[Excel Column - Label from Property or Referenced Table]])</f>
        <v>Test FunctionToBeGenerated STORED</v>
      </c>
      <c r="BB24" s="43"/>
      <c r="BC24" s="44" t="str">
        <f>IF(meta_Columns[[#This Row],[Excel Column - Explicit Excel Formula]]="","",meta_Columns[[#This Row],[Excel Column - Explicit Excel Formula]])</f>
        <v/>
      </c>
      <c r="BD24" s="5" t="s">
        <v>1467</v>
      </c>
      <c r="BE24" s="5"/>
    </row>
    <row r="25" spans="1:57">
      <c r="A25" s="10" t="s">
        <v>1041</v>
      </c>
      <c r="B25" s="11" t="s">
        <v>546</v>
      </c>
      <c r="C25" s="22" t="str">
        <f xml:space="preserve"> IF( TRIM( meta_Columns[[#This Row],[Kind:src]] ) = "", "",
        INDEX( meta_Classifiers[Display Qualified], MATCH( meta_Columns[[#This Row],[Kind:src]], meta_Classifiers[ID], 0 ) ) )</f>
        <v>ExcelColumn</v>
      </c>
      <c r="D25" s="44" t="str">
        <f>IF(meta_Columns[[#This Row],[Owning Table:src]]="","",INDEX(meta_Classifiers[Package],MATCH(meta_Columns[[#This Row],[Owning Table Instances Class]],meta_Classifiers[ID],0)))</f>
        <v>belowred</v>
      </c>
      <c r="E25" s="43"/>
      <c r="F25" s="44" t="str">
        <f>INDEX(meta_Tables[Excel Table - Excel Name],MATCH(meta_Columns[[#This Row],[Owning Table:src]],meta_Tables[ID],0))</f>
        <v>belowred_Table1Rows</v>
      </c>
      <c r="G25" s="44" t="str">
        <f>INDEX(meta_Tables[Instances Class:src],MATCH(meta_Columns[[#This Row],[Owning Table:src]],meta_Tables[ID],0))</f>
        <v>[c Table 1 Row]</v>
      </c>
      <c r="H25" s="11" t="s">
        <v>944</v>
      </c>
      <c r="I25" s="43" t="str">
        <f xml:space="preserve"> IF( TRIM( meta_Columns[[#This Row],[Owning Table:src]] ) = "", "",
        INDEX( meta_Tables[Display Qualified], MATCH( meta_Columns[[#This Row],[Owning Table:src]], meta_Tables[ID], 0 ) ) )</f>
        <v>belowred::Table1Rows</v>
      </c>
      <c r="K25" s="22" t="str">
        <f>IF(TRIM(meta_Columns[[#This Row],[Referenced Table:src]])="","",
    INDEX(meta_Tables[Display Qualified],MATCH(meta_Columns[[#This Row],[Referenced Table:src]],meta_Tables[ID],0)))</f>
        <v/>
      </c>
      <c r="L25" s="8"/>
      <c r="M25" s="22" t="str">
        <f xml:space="preserve"> IF( TRIM( meta_Columns[[#This Row],[Referenced Table Display and Select Column:src]] ) = "", "",
        INDEX( meta_Columns[Display Qualified], MATCH( meta_Columns[[#This Row],[Referenced Table Display and Select Column:src]], meta_Columns[ID], 0 ) ) )</f>
        <v/>
      </c>
      <c r="N25" s="8" t="str">
        <f>IF(meta_Columns[[#This Row],[Excel Column - Excel Formula]]="","x","")</f>
        <v>x</v>
      </c>
      <c r="O25" s="22"/>
      <c r="P25" s="8" t="str">
        <f>IF(meta_Columns[[#This Row],[Referenced Table:src]]="","",INDEX(meta_Tables[Instances Class],MATCH(meta_Columns[[#This Row],[Referenced Table:src]],meta_Tables[ID],0)))</f>
        <v/>
      </c>
      <c r="Q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belowred::Table1Row.camelCaseUpper_op__S_cp___nr___EQU3__BusinessToCamelCaseUpper_op__StringToBusiness_op__S_cp___cp___c___NR__STORED</v>
      </c>
      <c r="R25" s="8"/>
      <c r="S25" s="22" t="str">
        <f xml:space="preserve"> IF( TRIM( meta_Columns[[#This Row],[Property:src]] ) = "", "",
        INDEX( meta_TypedModelElements[Display Qualified], MATCH( meta_Columns[[#This Row],[Property:src]], meta_TypedModelElements[ID], 0 ) ) )</f>
        <v/>
      </c>
      <c r="T25" s="22"/>
      <c r="U25" s="8" t="e">
        <f>INDEX(meta_Classifiers[Class - Generalization:src], MATCH(meta_Columns[[#This Row],[Generalization 5]],meta_Classifiers[ID],0))</f>
        <v>#N/A</v>
      </c>
      <c r="V25" s="8" t="e">
        <f>INDEX(meta_Classifiers[Class - Generalization:src], MATCH(meta_Columns[[#This Row],[Generalization 4]],meta_Classifiers[ID],0))</f>
        <v>#N/A</v>
      </c>
      <c r="W25" s="8" t="e">
        <f>INDEX(meta_Classifiers[Class - Generalization:src], MATCH(meta_Columns[[#This Row],[Generalization 3]],meta_Classifiers[ID],0))</f>
        <v>#N/A</v>
      </c>
      <c r="X25" s="8" t="e">
        <f>INDEX(meta_Classifiers[Class - Generalization:src], MATCH(meta_Columns[[#This Row],[Generalization 2]],meta_Classifiers[ID],0))</f>
        <v>#N/A</v>
      </c>
      <c r="Y25" s="8" t="str">
        <f>INDEX(meta_Classifiers[Class - Generalization:src], MATCH(meta_Columns[[#This Row],[Generalization 1]],meta_Classifiers[ID],0))</f>
        <v/>
      </c>
      <c r="Z25" s="8" t="str">
        <f>INDEX(meta_Classifiers[Class - Generalization:src], MATCH(meta_Columns[[#This Row],[Owning Table Instances Class]],meta_Classifiers[ID],0))</f>
        <v>_Object</v>
      </c>
      <c r="AA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 s="8" t="b">
        <f>_xlfn.IFNA(
INDEX(meta_Classifiers[Class - Generalization:src],MATCH(
INDEX(meta_Classifiers[Class - Generalization:src],MATCH(meta_Columns[[#This Row],[Property Owning Class]],meta_Classifiers[ID],0)),meta_Classifiers[ID],0))
=meta_Columns[[#This Row],[Owning Table Instances Class]],FALSE)</f>
        <v>0</v>
      </c>
      <c r="AG25" s="8" t="b">
        <f>_xlfn.IFNA(INDEX(meta_Classifiers[Class - Generalization:src],MATCH(meta_Columns[[#This Row],[Property Owning Class]],meta_Classifiers[ID],0))=meta_Columns[[#This Row],[Owning Table Instances Class]],FALSE)</f>
        <v>0</v>
      </c>
      <c r="AH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 s="8" t="e">
        <f>INDEX(meta_Classifiers[Name],MATCH(INDEX(meta_TypedModelElements[Property - Owning Class:src],MATCH(meta_Columns[[#This Row],[Property]],meta_TypedModelElements[ID],0)),meta_Classifiers[ID],0))</f>
        <v>#N/A</v>
      </c>
      <c r="AJ25" s="8" t="e">
        <f>INDEX(meta_TypedModelElements[Property - Owning Class:src],MATCH(meta_Columns[[#This Row],[Property]],meta_TypedModelElements[ID],0))</f>
        <v>#N/A</v>
      </c>
      <c r="AK25" s="8" t="e">
        <f>INDEX(meta_TypedModelElements[Kind:src],MATCH(meta_Columns[[#This Row],[Property]],meta_TypedModelElements[ID],0))</f>
        <v>#N/A</v>
      </c>
      <c r="AL25" s="8" t="e">
        <f>INDEX(meta_TypedModelElements[Name or Type],MATCH(meta_Columns[[#This Row],[Property]],meta_TypedModelElements[ID],0))</f>
        <v>#N/A</v>
      </c>
      <c r="AM25" s="8" t="e">
        <f>INDEX(meta_TypedModelElements[Property - Changeable],MATCH(meta_Columns[[#This Row],[Property]],meta_TypedModelElements[ID],0))</f>
        <v>#N/A</v>
      </c>
      <c r="AN25" s="43">
        <v>23</v>
      </c>
      <c r="AO25" s="22">
        <v>17</v>
      </c>
      <c r="AP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 s="8" t="str">
        <f xml:space="preserve"> IF(meta_Columns[[#This Row],[Property Owning Class is Specialization of Instance Class]],meta_Columns[[#This Row],[Property Owning Class Name]]&amp;" - ","")</f>
        <v/>
      </c>
      <c r="AR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STORED</v>
      </c>
      <c r="AT25" s="8" t="str">
        <f>IFERROR(LEFT(meta_Columns[[#This Row],[Excel Column - Label Actual without Semantic Case]],FIND("-",
meta_Columns[[#This Row],[Excel Column - Label Actual without Semantic Case]])-2),"")</f>
        <v/>
      </c>
      <c r="AU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STORED</v>
      </c>
      <c r="AV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STORED</v>
      </c>
      <c r="AX25" s="22"/>
      <c r="AY25" s="8" t="str">
        <f>meta_Columns[[#This Row],[Owning Table]]&amp;"."&amp;meta_Columns[[#This Row],[Excel Column - Label]]</f>
        <v>belowred::Table1Rows.camelCaseUpper(s)  = businessToCamelCaseUpper(stringToBusiness(s)),  STORED</v>
      </c>
      <c r="AZ25" s="43" t="s">
        <v>632</v>
      </c>
      <c r="BA25" s="44" t="str">
        <f>IF(TRIM(meta_Columns[[#This Row],[Excel Column - Label Overwrite]])&lt;&gt;"",meta_Columns[[#This Row],[Excel Column - Label Overwrite]],meta_Columns[[#This Row],[Excel Column - Label from Property or Referenced Table]])</f>
        <v>camelCaseUpper(s)  = businessToCamelCaseUpper(stringToBusiness(s)),  STORED</v>
      </c>
      <c r="BB25" s="43"/>
      <c r="BC25" s="44" t="str">
        <f>IF(meta_Columns[[#This Row],[Excel Column - Explicit Excel Formula]]="","",meta_Columns[[#This Row],[Excel Column - Explicit Excel Formula]])</f>
        <v/>
      </c>
      <c r="BD25" s="5" t="s">
        <v>1467</v>
      </c>
      <c r="BE25" s="5"/>
    </row>
    <row r="26" spans="1:57">
      <c r="A26" s="10" t="s">
        <v>1042</v>
      </c>
      <c r="B26" s="11" t="s">
        <v>546</v>
      </c>
      <c r="C26" s="22" t="str">
        <f xml:space="preserve"> IF( TRIM( meta_Columns[[#This Row],[Kind:src]] ) = "", "",
        INDEX( meta_Classifiers[Display Qualified], MATCH( meta_Columns[[#This Row],[Kind:src]], meta_Classifiers[ID], 0 ) ) )</f>
        <v>ExcelColumn</v>
      </c>
      <c r="D26" s="44" t="str">
        <f>IF(meta_Columns[[#This Row],[Owning Table:src]]="","",INDEX(meta_Classifiers[Package],MATCH(meta_Columns[[#This Row],[Owning Table Instances Class]],meta_Classifiers[ID],0)))</f>
        <v>belowred</v>
      </c>
      <c r="E26" s="43"/>
      <c r="F26" s="44" t="str">
        <f>INDEX(meta_Tables[Excel Table - Excel Name],MATCH(meta_Columns[[#This Row],[Owning Table:src]],meta_Tables[ID],0))</f>
        <v>belowred_Table1Rows</v>
      </c>
      <c r="G26" s="44" t="str">
        <f>INDEX(meta_Tables[Instances Class:src],MATCH(meta_Columns[[#This Row],[Owning Table:src]],meta_Tables[ID],0))</f>
        <v>[c Table 1 Row]</v>
      </c>
      <c r="H26" s="11" t="s">
        <v>944</v>
      </c>
      <c r="I26" s="43" t="str">
        <f xml:space="preserve"> IF( TRIM( meta_Columns[[#This Row],[Owning Table:src]] ) = "", "",
        INDEX( meta_Tables[Display Qualified], MATCH( meta_Columns[[#This Row],[Owning Table:src]], meta_Tables[ID], 0 ) ) )</f>
        <v>belowred::Table1Rows</v>
      </c>
      <c r="K26" s="22" t="str">
        <f>IF(TRIM(meta_Columns[[#This Row],[Referenced Table:src]])="","",
    INDEX(meta_Tables[Display Qualified],MATCH(meta_Columns[[#This Row],[Referenced Table:src]],meta_Tables[ID],0)))</f>
        <v/>
      </c>
      <c r="L26" s="8"/>
      <c r="M26" s="22" t="str">
        <f xml:space="preserve"> IF( TRIM( meta_Columns[[#This Row],[Referenced Table Display and Select Column:src]] ) = "", "",
        INDEX( meta_Columns[Display Qualified], MATCH( meta_Columns[[#This Row],[Referenced Table Display and Select Column:src]], meta_Columns[ID], 0 ) ) )</f>
        <v/>
      </c>
      <c r="N26" s="8" t="str">
        <f>IF(meta_Columns[[#This Row],[Excel Column - Excel Formula]]="","x","")</f>
        <v>x</v>
      </c>
      <c r="O26" s="22"/>
      <c r="P26" s="8" t="str">
        <f>IF(meta_Columns[[#This Row],[Referenced Table:src]]="","",INDEX(meta_Tables[Instances Class],MATCH(meta_Columns[[#This Row],[Referenced Table:src]],meta_Tables[ID],0)))</f>
        <v/>
      </c>
      <c r="Q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belowred::Table1Row.camelCaseToBusiness_op___n__BusinessToCamelCaseUpper_op___n__StringToBusiness_op__x_cp___cp___CP___equ___n__StringToBusiness_op__x_CP__STORED</v>
      </c>
      <c r="R26" s="8"/>
      <c r="S26" s="22" t="str">
        <f xml:space="preserve"> IF( TRIM( meta_Columns[[#This Row],[Property:src]] ) = "", "",
        INDEX( meta_TypedModelElements[Display Qualified], MATCH( meta_Columns[[#This Row],[Property:src]], meta_TypedModelElements[ID], 0 ) ) )</f>
        <v/>
      </c>
      <c r="T26" s="22"/>
      <c r="U26" s="8" t="e">
        <f>INDEX(meta_Classifiers[Class - Generalization:src], MATCH(meta_Columns[[#This Row],[Generalization 5]],meta_Classifiers[ID],0))</f>
        <v>#N/A</v>
      </c>
      <c r="V26" s="8" t="e">
        <f>INDEX(meta_Classifiers[Class - Generalization:src], MATCH(meta_Columns[[#This Row],[Generalization 4]],meta_Classifiers[ID],0))</f>
        <v>#N/A</v>
      </c>
      <c r="W26" s="8" t="e">
        <f>INDEX(meta_Classifiers[Class - Generalization:src], MATCH(meta_Columns[[#This Row],[Generalization 3]],meta_Classifiers[ID],0))</f>
        <v>#N/A</v>
      </c>
      <c r="X26" s="8" t="e">
        <f>INDEX(meta_Classifiers[Class - Generalization:src], MATCH(meta_Columns[[#This Row],[Generalization 2]],meta_Classifiers[ID],0))</f>
        <v>#N/A</v>
      </c>
      <c r="Y26" s="8" t="str">
        <f>INDEX(meta_Classifiers[Class - Generalization:src], MATCH(meta_Columns[[#This Row],[Generalization 1]],meta_Classifiers[ID],0))</f>
        <v/>
      </c>
      <c r="Z26" s="8" t="str">
        <f>INDEX(meta_Classifiers[Class - Generalization:src], MATCH(meta_Columns[[#This Row],[Owning Table Instances Class]],meta_Classifiers[ID],0))</f>
        <v>_Object</v>
      </c>
      <c r="AA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 s="8" t="b">
        <f>_xlfn.IFNA(
INDEX(meta_Classifiers[Class - Generalization:src],MATCH(
INDEX(meta_Classifiers[Class - Generalization:src],MATCH(meta_Columns[[#This Row],[Property Owning Class]],meta_Classifiers[ID],0)),meta_Classifiers[ID],0))
=meta_Columns[[#This Row],[Owning Table Instances Class]],FALSE)</f>
        <v>0</v>
      </c>
      <c r="AG26" s="8" t="b">
        <f>_xlfn.IFNA(INDEX(meta_Classifiers[Class - Generalization:src],MATCH(meta_Columns[[#This Row],[Property Owning Class]],meta_Classifiers[ID],0))=meta_Columns[[#This Row],[Owning Table Instances Class]],FALSE)</f>
        <v>0</v>
      </c>
      <c r="AH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 s="8" t="e">
        <f>INDEX(meta_Classifiers[Name],MATCH(INDEX(meta_TypedModelElements[Property - Owning Class:src],MATCH(meta_Columns[[#This Row],[Property]],meta_TypedModelElements[ID],0)),meta_Classifiers[ID],0))</f>
        <v>#N/A</v>
      </c>
      <c r="AJ26" s="8" t="e">
        <f>INDEX(meta_TypedModelElements[Property - Owning Class:src],MATCH(meta_Columns[[#This Row],[Property]],meta_TypedModelElements[ID],0))</f>
        <v>#N/A</v>
      </c>
      <c r="AK26" s="8" t="e">
        <f>INDEX(meta_TypedModelElements[Kind:src],MATCH(meta_Columns[[#This Row],[Property]],meta_TypedModelElements[ID],0))</f>
        <v>#N/A</v>
      </c>
      <c r="AL26" s="8" t="e">
        <f>INDEX(meta_TypedModelElements[Name or Type],MATCH(meta_Columns[[#This Row],[Property]],meta_TypedModelElements[ID],0))</f>
        <v>#N/A</v>
      </c>
      <c r="AM26" s="8" t="e">
        <f>INDEX(meta_TypedModelElements[Property - Changeable],MATCH(meta_Columns[[#This Row],[Property]],meta_TypedModelElements[ID],0))</f>
        <v>#N/A</v>
      </c>
      <c r="AN26" s="43">
        <v>24</v>
      </c>
      <c r="AO26" s="22">
        <v>18</v>
      </c>
      <c r="AP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 s="8" t="str">
        <f xml:space="preserve"> IF(meta_Columns[[#This Row],[Property Owning Class is Specialization of Instance Class]],meta_Columns[[#This Row],[Property Owning Class Name]]&amp;" - ","")</f>
        <v/>
      </c>
      <c r="AR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camelCaseToBusiness(
businessToCamelCaseUpper(
stringToBusiness(X))) = 
stringToBusiness(X)  STORED</v>
      </c>
      <c r="AT26" s="8" t="str">
        <f>IFERROR(LEFT(meta_Columns[[#This Row],[Excel Column - Label Actual without Semantic Case]],FIND("-",
meta_Columns[[#This Row],[Excel Column - Label Actual without Semantic Case]])-2),"")</f>
        <v/>
      </c>
      <c r="AU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camelCaseToBusiness(
businessToCamelCaseUpper(
stringToBusiness(X))) = 
stringToBusiness(X)  STORED</v>
      </c>
      <c r="AV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camelCaseToBusiness(
businessToCamelCaseUpper(
stringToBusiness(X))) = 
stringToBusiness(X)  STORED</v>
      </c>
      <c r="AX26" s="22"/>
      <c r="AY26" s="8" t="str">
        <f>meta_Columns[[#This Row],[Owning Table]]&amp;"."&amp;meta_Columns[[#This Row],[Excel Column - Label]]</f>
        <v>belowred::Table1Rows.camelCaseToBusiness(
businessToCamelCaseUpper(
stringToBusiness(X))) = 
stringToBusiness(X)  STORED</v>
      </c>
      <c r="AZ26" s="43" t="s">
        <v>633</v>
      </c>
      <c r="BA26" s="44" t="str">
        <f>IF(TRIM(meta_Columns[[#This Row],[Excel Column - Label Overwrite]])&lt;&gt;"",meta_Columns[[#This Row],[Excel Column - Label Overwrite]],meta_Columns[[#This Row],[Excel Column - Label from Property or Referenced Table]])</f>
        <v>camelCaseToBusiness(
businessToCamelCaseUpper(
stringToBusiness(X))) = 
stringToBusiness(X)  STORED</v>
      </c>
      <c r="BB26" s="43"/>
      <c r="BC26" s="44" t="str">
        <f>IF(meta_Columns[[#This Row],[Excel Column - Explicit Excel Formula]]="","",meta_Columns[[#This Row],[Excel Column - Explicit Excel Formula]])</f>
        <v/>
      </c>
      <c r="BD26" s="5" t="s">
        <v>1467</v>
      </c>
      <c r="BE26" s="5"/>
    </row>
    <row r="27" spans="1:57">
      <c r="A27" s="10" t="s">
        <v>1043</v>
      </c>
      <c r="B27" s="11" t="s">
        <v>546</v>
      </c>
      <c r="C27" s="22" t="str">
        <f xml:space="preserve"> IF( TRIM( meta_Columns[[#This Row],[Kind:src]] ) = "", "",
        INDEX( meta_Classifiers[Display Qualified], MATCH( meta_Columns[[#This Row],[Kind:src]], meta_Classifiers[ID], 0 ) ) )</f>
        <v>ExcelColumn</v>
      </c>
      <c r="D27" s="44" t="str">
        <f>IF(meta_Columns[[#This Row],[Owning Table:src]]="","",INDEX(meta_Classifiers[Package],MATCH(meta_Columns[[#This Row],[Owning Table Instances Class]],meta_Classifiers[ID],0)))</f>
        <v>belowred</v>
      </c>
      <c r="E27" s="43"/>
      <c r="F27" s="44" t="str">
        <f>INDEX(meta_Tables[Excel Table - Excel Name],MATCH(meta_Columns[[#This Row],[Owning Table:src]],meta_Tables[ID],0))</f>
        <v>belowred_Table1Rows</v>
      </c>
      <c r="G27" s="44" t="str">
        <f>INDEX(meta_Tables[Instances Class:src],MATCH(meta_Columns[[#This Row],[Owning Table:src]],meta_Tables[ID],0))</f>
        <v>[c Table 1 Row]</v>
      </c>
      <c r="H27" s="11" t="s">
        <v>944</v>
      </c>
      <c r="I27" s="43" t="str">
        <f xml:space="preserve"> IF( TRIM( meta_Columns[[#This Row],[Owning Table:src]] ) = "", "",
        INDEX( meta_Tables[Display Qualified], MATCH( meta_Columns[[#This Row],[Owning Table:src]], meta_Tables[ID], 0 ) ) )</f>
        <v>belowred::Table1Rows</v>
      </c>
      <c r="K27" s="22" t="str">
        <f>IF(TRIM(meta_Columns[[#This Row],[Referenced Table:src]])="","",
    INDEX(meta_Tables[Display Qualified],MATCH(meta_Columns[[#This Row],[Referenced Table:src]],meta_Tables[ID],0)))</f>
        <v/>
      </c>
      <c r="L27" s="8"/>
      <c r="M27" s="22" t="str">
        <f xml:space="preserve"> IF( TRIM( meta_Columns[[#This Row],[Referenced Table Display and Select Column:src]] ) = "", "",
        INDEX( meta_Columns[Display Qualified], MATCH( meta_Columns[[#This Row],[Referenced Table Display and Select Column:src]], meta_Columns[ID], 0 ) ) )</f>
        <v/>
      </c>
      <c r="N27" s="8" t="str">
        <f>IF(meta_Columns[[#This Row],[Excel Column - Excel Formula]]="","x","")</f>
        <v>x</v>
      </c>
      <c r="O27" s="22"/>
      <c r="P27" s="8" t="str">
        <f>IF(meta_Columns[[#This Row],[Referenced Table:src]]="","",INDEX(meta_Tables[Instances Class],MATCH(meta_Columns[[#This Row],[Referenced Table:src]],meta_Tables[ID],0)))</f>
        <v/>
      </c>
      <c r="Q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belowred::Table1Row.testingOfBusinesToCamelToBusiness</v>
      </c>
      <c r="R27" s="8"/>
      <c r="S27" s="22" t="str">
        <f xml:space="preserve"> IF( TRIM( meta_Columns[[#This Row],[Property:src]] ) = "", "",
        INDEX( meta_TypedModelElements[Display Qualified], MATCH( meta_Columns[[#This Row],[Property:src]], meta_TypedModelElements[ID], 0 ) ) )</f>
        <v/>
      </c>
      <c r="T27" s="22"/>
      <c r="U27" s="8" t="e">
        <f>INDEX(meta_Classifiers[Class - Generalization:src], MATCH(meta_Columns[[#This Row],[Generalization 5]],meta_Classifiers[ID],0))</f>
        <v>#N/A</v>
      </c>
      <c r="V27" s="8" t="e">
        <f>INDEX(meta_Classifiers[Class - Generalization:src], MATCH(meta_Columns[[#This Row],[Generalization 4]],meta_Classifiers[ID],0))</f>
        <v>#N/A</v>
      </c>
      <c r="W27" s="8" t="e">
        <f>INDEX(meta_Classifiers[Class - Generalization:src], MATCH(meta_Columns[[#This Row],[Generalization 3]],meta_Classifiers[ID],0))</f>
        <v>#N/A</v>
      </c>
      <c r="X27" s="8" t="e">
        <f>INDEX(meta_Classifiers[Class - Generalization:src], MATCH(meta_Columns[[#This Row],[Generalization 2]],meta_Classifiers[ID],0))</f>
        <v>#N/A</v>
      </c>
      <c r="Y27" s="8" t="str">
        <f>INDEX(meta_Classifiers[Class - Generalization:src], MATCH(meta_Columns[[#This Row],[Generalization 1]],meta_Classifiers[ID],0))</f>
        <v/>
      </c>
      <c r="Z27" s="8" t="str">
        <f>INDEX(meta_Classifiers[Class - Generalization:src], MATCH(meta_Columns[[#This Row],[Owning Table Instances Class]],meta_Classifiers[ID],0))</f>
        <v>_Object</v>
      </c>
      <c r="AA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 s="8" t="b">
        <f>_xlfn.IFNA(
INDEX(meta_Classifiers[Class - Generalization:src],MATCH(
INDEX(meta_Classifiers[Class - Generalization:src],MATCH(meta_Columns[[#This Row],[Property Owning Class]],meta_Classifiers[ID],0)),meta_Classifiers[ID],0))
=meta_Columns[[#This Row],[Owning Table Instances Class]],FALSE)</f>
        <v>0</v>
      </c>
      <c r="AG27" s="8" t="b">
        <f>_xlfn.IFNA(INDEX(meta_Classifiers[Class - Generalization:src],MATCH(meta_Columns[[#This Row],[Property Owning Class]],meta_Classifiers[ID],0))=meta_Columns[[#This Row],[Owning Table Instances Class]],FALSE)</f>
        <v>0</v>
      </c>
      <c r="AH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 s="8" t="e">
        <f>INDEX(meta_Classifiers[Name],MATCH(INDEX(meta_TypedModelElements[Property - Owning Class:src],MATCH(meta_Columns[[#This Row],[Property]],meta_TypedModelElements[ID],0)),meta_Classifiers[ID],0))</f>
        <v>#N/A</v>
      </c>
      <c r="AJ27" s="8" t="e">
        <f>INDEX(meta_TypedModelElements[Property - Owning Class:src],MATCH(meta_Columns[[#This Row],[Property]],meta_TypedModelElements[ID],0))</f>
        <v>#N/A</v>
      </c>
      <c r="AK27" s="8" t="e">
        <f>INDEX(meta_TypedModelElements[Kind:src],MATCH(meta_Columns[[#This Row],[Property]],meta_TypedModelElements[ID],0))</f>
        <v>#N/A</v>
      </c>
      <c r="AL27" s="8" t="e">
        <f>INDEX(meta_TypedModelElements[Name or Type],MATCH(meta_Columns[[#This Row],[Property]],meta_TypedModelElements[ID],0))</f>
        <v>#N/A</v>
      </c>
      <c r="AM27" s="8" t="e">
        <f>INDEX(meta_TypedModelElements[Property - Changeable],MATCH(meta_Columns[[#This Row],[Property]],meta_TypedModelElements[ID],0))</f>
        <v>#N/A</v>
      </c>
      <c r="AN27" s="43">
        <v>25</v>
      </c>
      <c r="AO27" s="22">
        <v>19</v>
      </c>
      <c r="AP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 s="8" t="str">
        <f xml:space="preserve"> IF(meta_Columns[[#This Row],[Property Owning Class is Specialization of Instance Class]],meta_Columns[[#This Row],[Property Owning Class Name]]&amp;" - ","")</f>
        <v/>
      </c>
      <c r="AR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Testing of Busines to Camel to Business</v>
      </c>
      <c r="AT27" s="8" t="str">
        <f>IFERROR(LEFT(meta_Columns[[#This Row],[Excel Column - Label Actual without Semantic Case]],FIND("-",
meta_Columns[[#This Row],[Excel Column - Label Actual without Semantic Case]])-2),"")</f>
        <v/>
      </c>
      <c r="AU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Testing of Busines to Camel to Business</v>
      </c>
      <c r="AV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Testing of Busines to Camel to Business</v>
      </c>
      <c r="AX27" s="22"/>
      <c r="AY27" s="8" t="str">
        <f>meta_Columns[[#This Row],[Owning Table]]&amp;"."&amp;meta_Columns[[#This Row],[Excel Column - Label]]</f>
        <v>belowred::Table1Rows.Testing of Busines to Camel to Business</v>
      </c>
      <c r="AZ27" s="43" t="s">
        <v>794</v>
      </c>
      <c r="BA27" s="44" t="str">
        <f>IF(TRIM(meta_Columns[[#This Row],[Excel Column - Label Overwrite]])&lt;&gt;"",meta_Columns[[#This Row],[Excel Column - Label Overwrite]],meta_Columns[[#This Row],[Excel Column - Label from Property or Referenced Table]])</f>
        <v>Testing of Busines to Camel to Business</v>
      </c>
      <c r="BB27" s="43"/>
      <c r="BC27" s="44" t="str">
        <f>IF(meta_Columns[[#This Row],[Excel Column - Explicit Excel Formula]]="","",meta_Columns[[#This Row],[Excel Column - Explicit Excel Formula]])</f>
        <v/>
      </c>
      <c r="BD27" s="5" t="s">
        <v>1467</v>
      </c>
      <c r="BE27" s="5"/>
    </row>
    <row r="28" spans="1:57">
      <c r="A28" s="10" t="s">
        <v>1044</v>
      </c>
      <c r="B28" s="11" t="s">
        <v>546</v>
      </c>
      <c r="C28" s="22" t="str">
        <f xml:space="preserve"> IF( TRIM( meta_Columns[[#This Row],[Kind:src]] ) = "", "",
        INDEX( meta_Classifiers[Display Qualified], MATCH( meta_Columns[[#This Row],[Kind:src]], meta_Classifiers[ID], 0 ) ) )</f>
        <v>ExcelColumn</v>
      </c>
      <c r="D28" s="44" t="str">
        <f>IF(meta_Columns[[#This Row],[Owning Table:src]]="","",INDEX(meta_Classifiers[Package],MATCH(meta_Columns[[#This Row],[Owning Table Instances Class]],meta_Classifiers[ID],0)))</f>
        <v>belowred</v>
      </c>
      <c r="E28" s="43"/>
      <c r="F28" s="44" t="str">
        <f>INDEX(meta_Tables[Excel Table - Excel Name],MATCH(meta_Columns[[#This Row],[Owning Table:src]],meta_Tables[ID],0))</f>
        <v>belowred_Table2Rows</v>
      </c>
      <c r="G28" s="44" t="str">
        <f>INDEX(meta_Tables[Instances Class:src],MATCH(meta_Columns[[#This Row],[Owning Table:src]],meta_Tables[ID],0))</f>
        <v>[c Table 2 Row]</v>
      </c>
      <c r="H28" s="11" t="s">
        <v>948</v>
      </c>
      <c r="I28" s="43" t="str">
        <f xml:space="preserve"> IF( TRIM( meta_Columns[[#This Row],[Owning Table:src]] ) = "", "",
        INDEX( meta_Tables[Display Qualified], MATCH( meta_Columns[[#This Row],[Owning Table:src]], meta_Tables[ID], 0 ) ) )</f>
        <v>belowred::Table2Rows</v>
      </c>
      <c r="K28" s="22" t="str">
        <f>IF(TRIM(meta_Columns[[#This Row],[Referenced Table:src]])="","",
    INDEX(meta_Tables[Display Qualified],MATCH(meta_Columns[[#This Row],[Referenced Table:src]],meta_Tables[ID],0)))</f>
        <v/>
      </c>
      <c r="L28" s="8"/>
      <c r="M28" s="22" t="str">
        <f xml:space="preserve"> IF( TRIM( meta_Columns[[#This Row],[Referenced Table Display and Select Column:src]] ) = "", "",
        INDEX( meta_Columns[Display Qualified], MATCH( meta_Columns[[#This Row],[Referenced Table Display and Select Column:src]], meta_Columns[ID], 0 ) ) )</f>
        <v/>
      </c>
      <c r="N28" s="8" t="str">
        <f>IF(meta_Columns[[#This Row],[Excel Column - Excel Formula]]="","x","")</f>
        <v>x</v>
      </c>
      <c r="O28" s="22"/>
      <c r="P28" s="8" t="str">
        <f>IF(meta_Columns[[#This Row],[Referenced Table:src]]="","",INDEX(meta_Tables[Instances Class],MATCH(meta_Columns[[#This Row],[Referenced Table:src]],meta_Tables[ID],0)))</f>
        <v/>
      </c>
      <c r="Q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8" s="8" t="s">
        <v>246</v>
      </c>
      <c r="S28" s="22" t="str">
        <f xml:space="preserve"> IF( TRIM( meta_Columns[[#This Row],[Property:src]] ) = "", "",
        INDEX( meta_TypedModelElements[Display Qualified], MATCH( meta_Columns[[#This Row],[Property:src]], meta_TypedModelElements[ID], 0 ) ) )</f>
        <v>meta::Object.iD</v>
      </c>
      <c r="T28" s="22"/>
      <c r="U28" s="8" t="e">
        <f>INDEX(meta_Classifiers[Class - Generalization:src], MATCH(meta_Columns[[#This Row],[Generalization 5]],meta_Classifiers[ID],0))</f>
        <v>#N/A</v>
      </c>
      <c r="V28" s="8" t="e">
        <f>INDEX(meta_Classifiers[Class - Generalization:src], MATCH(meta_Columns[[#This Row],[Generalization 4]],meta_Classifiers[ID],0))</f>
        <v>#N/A</v>
      </c>
      <c r="W28" s="8" t="e">
        <f>INDEX(meta_Classifiers[Class - Generalization:src], MATCH(meta_Columns[[#This Row],[Generalization 3]],meta_Classifiers[ID],0))</f>
        <v>#N/A</v>
      </c>
      <c r="X28" s="8" t="e">
        <f>INDEX(meta_Classifiers[Class - Generalization:src], MATCH(meta_Columns[[#This Row],[Generalization 2]],meta_Classifiers[ID],0))</f>
        <v>#N/A</v>
      </c>
      <c r="Y28" s="8" t="str">
        <f>INDEX(meta_Classifiers[Class - Generalization:src], MATCH(meta_Columns[[#This Row],[Generalization 1]],meta_Classifiers[ID],0))</f>
        <v/>
      </c>
      <c r="Z28" s="8" t="str">
        <f>INDEX(meta_Classifiers[Class - Generalization:src], MATCH(meta_Columns[[#This Row],[Owning Table Instances Class]],meta_Classifiers[ID],0))</f>
        <v>_Object</v>
      </c>
      <c r="AA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 s="8" t="b">
        <f>_xlfn.IFNA(
INDEX(meta_Classifiers[Class - Generalization:src],MATCH(
INDEX(meta_Classifiers[Class - Generalization:src],MATCH(meta_Columns[[#This Row],[Property Owning Class]],meta_Classifiers[ID],0)),meta_Classifiers[ID],0))
=meta_Columns[[#This Row],[Owning Table Instances Class]],FALSE)</f>
        <v>0</v>
      </c>
      <c r="AG28" s="8" t="b">
        <f>_xlfn.IFNA(INDEX(meta_Classifiers[Class - Generalization:src],MATCH(meta_Columns[[#This Row],[Property Owning Class]],meta_Classifiers[ID],0))=meta_Columns[[#This Row],[Owning Table Instances Class]],FALSE)</f>
        <v>0</v>
      </c>
      <c r="AH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 s="8" t="str">
        <f>INDEX(meta_Classifiers[Name],MATCH(INDEX(meta_TypedModelElements[Property - Owning Class:src],MATCH(meta_Columns[[#This Row],[Property]],meta_TypedModelElements[ID],0)),meta_Classifiers[ID],0))</f>
        <v>Object</v>
      </c>
      <c r="AJ28" s="8" t="str">
        <f>INDEX(meta_TypedModelElements[Property - Owning Class:src],MATCH(meta_Columns[[#This Row],[Property]],meta_TypedModelElements[ID],0))</f>
        <v>_Object</v>
      </c>
      <c r="AK28" s="8" t="str">
        <f>INDEX(meta_TypedModelElements[Kind:src],MATCH(meta_Columns[[#This Row],[Property]],meta_TypedModelElements[ID],0))</f>
        <v>_Attribute</v>
      </c>
      <c r="AL28" s="8" t="str">
        <f>INDEX(meta_TypedModelElements[Name or Type],MATCH(meta_Columns[[#This Row],[Property]],meta_TypedModelElements[ID],0))</f>
        <v>ID</v>
      </c>
      <c r="AM28" s="8" t="str">
        <f>INDEX(meta_TypedModelElements[Property - Changeable],MATCH(meta_Columns[[#This Row],[Property]],meta_TypedModelElements[ID],0))</f>
        <v>x</v>
      </c>
      <c r="AN28" s="43">
        <v>1</v>
      </c>
      <c r="AO28" s="22">
        <v>1</v>
      </c>
      <c r="AP2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8" s="8" t="str">
        <f xml:space="preserve"> IF(meta_Columns[[#This Row],[Property Owning Class is Specialization of Instance Class]],meta_Columns[[#This Row],[Property Owning Class Name]]&amp;" - ","")</f>
        <v/>
      </c>
      <c r="AR2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8" s="8" t="str">
        <f>IFERROR(LEFT(meta_Columns[[#This Row],[Excel Column - Label Actual without Semantic Case]],FIND("-",
meta_Columns[[#This Row],[Excel Column - Label Actual without Semantic Case]])-2),"")</f>
        <v/>
      </c>
      <c r="AU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8" s="22"/>
      <c r="AY28" s="8" t="str">
        <f>meta_Columns[[#This Row],[Owning Table]]&amp;"."&amp;meta_Columns[[#This Row],[Excel Column - Label]]</f>
        <v>belowred::Table2Rows.ID</v>
      </c>
      <c r="AZ28" s="43" t="s">
        <v>0</v>
      </c>
      <c r="BA28" s="44" t="str">
        <f>IF(TRIM(meta_Columns[[#This Row],[Excel Column - Label Overwrite]])&lt;&gt;"",meta_Columns[[#This Row],[Excel Column - Label Overwrite]],meta_Columns[[#This Row],[Excel Column - Label from Property or Referenced Table]])</f>
        <v>ID</v>
      </c>
      <c r="BB28" s="43"/>
      <c r="BC28" s="44" t="str">
        <f>IF(meta_Columns[[#This Row],[Excel Column - Explicit Excel Formula]]="","",meta_Columns[[#This Row],[Excel Column - Explicit Excel Formula]])</f>
        <v/>
      </c>
      <c r="BD28" s="5"/>
      <c r="BE28" s="5"/>
    </row>
    <row r="29" spans="1:57">
      <c r="A29" s="10" t="s">
        <v>1045</v>
      </c>
      <c r="B29" s="11" t="s">
        <v>546</v>
      </c>
      <c r="C29" s="22" t="str">
        <f xml:space="preserve"> IF( TRIM( meta_Columns[[#This Row],[Kind:src]] ) = "", "",
        INDEX( meta_Classifiers[Display Qualified], MATCH( meta_Columns[[#This Row],[Kind:src]], meta_Classifiers[ID], 0 ) ) )</f>
        <v>ExcelColumn</v>
      </c>
      <c r="D29" s="44" t="str">
        <f>IF(meta_Columns[[#This Row],[Owning Table:src]]="","",INDEX(meta_Classifiers[Package],MATCH(meta_Columns[[#This Row],[Owning Table Instances Class]],meta_Classifiers[ID],0)))</f>
        <v>belowred</v>
      </c>
      <c r="E29" s="43"/>
      <c r="F29" s="44" t="str">
        <f>INDEX(meta_Tables[Excel Table - Excel Name],MATCH(meta_Columns[[#This Row],[Owning Table:src]],meta_Tables[ID],0))</f>
        <v>belowred_Table2Rows</v>
      </c>
      <c r="G29" s="44" t="str">
        <f>INDEX(meta_Tables[Instances Class:src],MATCH(meta_Columns[[#This Row],[Owning Table:src]],meta_Tables[ID],0))</f>
        <v>[c Table 2 Row]</v>
      </c>
      <c r="H29" s="11" t="s">
        <v>948</v>
      </c>
      <c r="I29" s="43" t="str">
        <f xml:space="preserve"> IF( TRIM( meta_Columns[[#This Row],[Owning Table:src]] ) = "", "",
        INDEX( meta_Tables[Display Qualified], MATCH( meta_Columns[[#This Row],[Owning Table:src]], meta_Tables[ID], 0 ) ) )</f>
        <v>belowred::Table2Rows</v>
      </c>
      <c r="K29" s="22" t="str">
        <f>IF(TRIM(meta_Columns[[#This Row],[Referenced Table:src]])="","",
    INDEX(meta_Tables[Display Qualified],MATCH(meta_Columns[[#This Row],[Referenced Table:src]],meta_Tables[ID],0)))</f>
        <v/>
      </c>
      <c r="L29" s="8"/>
      <c r="M29" s="22" t="str">
        <f xml:space="preserve"> IF( TRIM( meta_Columns[[#This Row],[Referenced Table Display and Select Column:src]] ) = "", "",
        INDEX( meta_Columns[Display Qualified], MATCH( meta_Columns[[#This Row],[Referenced Table Display and Select Column:src]], meta_Columns[ID], 0 ) ) )</f>
        <v/>
      </c>
      <c r="N29" s="8" t="str">
        <f>IF(meta_Columns[[#This Row],[Excel Column - Excel Formula]]="","x","")</f>
        <v>x</v>
      </c>
      <c r="O29" s="22"/>
      <c r="P29" s="8" t="str">
        <f>IF(meta_Columns[[#This Row],[Referenced Table:src]]="","",INDEX(meta_Tables[Instances Class],MATCH(meta_Columns[[#This Row],[Referenced Table:src]],meta_Tables[ID],0)))</f>
        <v/>
      </c>
      <c r="Q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 s="8" t="s">
        <v>247</v>
      </c>
      <c r="S29" s="22" t="str">
        <f xml:space="preserve"> IF( TRIM( meta_Columns[[#This Row],[Property:src]] ) = "", "",
        INDEX( meta_TypedModelElements[Display Qualified], MATCH( meta_Columns[[#This Row],[Property:src]], meta_TypedModelElements[ID], 0 ) ) )</f>
        <v>meta::Object.kind</v>
      </c>
      <c r="T29" s="22" t="s">
        <v>42</v>
      </c>
      <c r="U29" s="8" t="e">
        <f>INDEX(meta_Classifiers[Class - Generalization:src], MATCH(meta_Columns[[#This Row],[Generalization 5]],meta_Classifiers[ID],0))</f>
        <v>#N/A</v>
      </c>
      <c r="V29" s="8" t="e">
        <f>INDEX(meta_Classifiers[Class - Generalization:src], MATCH(meta_Columns[[#This Row],[Generalization 4]],meta_Classifiers[ID],0))</f>
        <v>#N/A</v>
      </c>
      <c r="W29" s="8" t="e">
        <f>INDEX(meta_Classifiers[Class - Generalization:src], MATCH(meta_Columns[[#This Row],[Generalization 3]],meta_Classifiers[ID],0))</f>
        <v>#N/A</v>
      </c>
      <c r="X29" s="8" t="e">
        <f>INDEX(meta_Classifiers[Class - Generalization:src], MATCH(meta_Columns[[#This Row],[Generalization 2]],meta_Classifiers[ID],0))</f>
        <v>#N/A</v>
      </c>
      <c r="Y29" s="8" t="str">
        <f>INDEX(meta_Classifiers[Class - Generalization:src], MATCH(meta_Columns[[#This Row],[Generalization 1]],meta_Classifiers[ID],0))</f>
        <v/>
      </c>
      <c r="Z29" s="8" t="str">
        <f>INDEX(meta_Classifiers[Class - Generalization:src], MATCH(meta_Columns[[#This Row],[Owning Table Instances Class]],meta_Classifiers[ID],0))</f>
        <v>_Object</v>
      </c>
      <c r="AA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 s="8" t="b">
        <f>_xlfn.IFNA(
INDEX(meta_Classifiers[Class - Generalization:src],MATCH(
INDEX(meta_Classifiers[Class - Generalization:src],MATCH(meta_Columns[[#This Row],[Property Owning Class]],meta_Classifiers[ID],0)),meta_Classifiers[ID],0))
=meta_Columns[[#This Row],[Owning Table Instances Class]],FALSE)</f>
        <v>0</v>
      </c>
      <c r="AG29" s="8" t="b">
        <f>_xlfn.IFNA(INDEX(meta_Classifiers[Class - Generalization:src],MATCH(meta_Columns[[#This Row],[Property Owning Class]],meta_Classifiers[ID],0))=meta_Columns[[#This Row],[Owning Table Instances Class]],FALSE)</f>
        <v>0</v>
      </c>
      <c r="AH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 s="8" t="str">
        <f>INDEX(meta_Classifiers[Name],MATCH(INDEX(meta_TypedModelElements[Property - Owning Class:src],MATCH(meta_Columns[[#This Row],[Property]],meta_TypedModelElements[ID],0)),meta_Classifiers[ID],0))</f>
        <v>Object</v>
      </c>
      <c r="AJ29" s="8" t="str">
        <f>INDEX(meta_TypedModelElements[Property - Owning Class:src],MATCH(meta_Columns[[#This Row],[Property]],meta_TypedModelElements[ID],0))</f>
        <v>_Object</v>
      </c>
      <c r="AK29" s="8" t="str">
        <f>INDEX(meta_TypedModelElements[Kind:src],MATCH(meta_Columns[[#This Row],[Property]],meta_TypedModelElements[ID],0))</f>
        <v>_Reference</v>
      </c>
      <c r="AL29" s="8" t="str">
        <f>INDEX(meta_TypedModelElements[Name or Type],MATCH(meta_Columns[[#This Row],[Property]],meta_TypedModelElements[ID],0))</f>
        <v>Kind</v>
      </c>
      <c r="AM29" s="8" t="str">
        <f>INDEX(meta_TypedModelElements[Property - Changeable],MATCH(meta_Columns[[#This Row],[Property]],meta_TypedModelElements[ID],0))</f>
        <v>x</v>
      </c>
      <c r="AN29" s="43">
        <v>2</v>
      </c>
      <c r="AO29" s="22">
        <v>2</v>
      </c>
      <c r="AP2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29" s="8" t="str">
        <f xml:space="preserve"> IF(meta_Columns[[#This Row],[Property Owning Class is Specialization of Instance Class]],meta_Columns[[#This Row],[Property Owning Class Name]]&amp;" - ","")</f>
        <v/>
      </c>
      <c r="AR2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29" s="8" t="str">
        <f>IFERROR(LEFT(meta_Columns[[#This Row],[Excel Column - Label Actual without Semantic Case]],FIND("-",
meta_Columns[[#This Row],[Excel Column - Label Actual without Semantic Case]])-2),"")</f>
        <v/>
      </c>
      <c r="AU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29" s="22"/>
      <c r="AY29" s="8" t="str">
        <f>meta_Columns[[#This Row],[Owning Table]]&amp;"."&amp;meta_Columns[[#This Row],[Excel Column - Label]]</f>
        <v>belowred::Table2Rows.Kind:src</v>
      </c>
      <c r="AZ29" s="43" t="s">
        <v>230</v>
      </c>
      <c r="BA29" s="44" t="str">
        <f>IF(TRIM(meta_Columns[[#This Row],[Excel Column - Label Overwrite]])&lt;&gt;"",meta_Columns[[#This Row],[Excel Column - Label Overwrite]],meta_Columns[[#This Row],[Excel Column - Label from Property or Referenced Table]])</f>
        <v>Kind:src</v>
      </c>
      <c r="BB29" s="43"/>
      <c r="BC29" s="44" t="str">
        <f>IF(meta_Columns[[#This Row],[Excel Column - Explicit Excel Formula]]="","",meta_Columns[[#This Row],[Excel Column - Explicit Excel Formula]])</f>
        <v/>
      </c>
      <c r="BD29" s="5"/>
      <c r="BE29" s="5"/>
    </row>
    <row r="30" spans="1:57">
      <c r="A30" s="10" t="s">
        <v>1046</v>
      </c>
      <c r="B30" s="11" t="s">
        <v>546</v>
      </c>
      <c r="C30" s="22" t="str">
        <f xml:space="preserve"> IF( TRIM( meta_Columns[[#This Row],[Kind:src]] ) = "", "",
        INDEX( meta_Classifiers[Display Qualified], MATCH( meta_Columns[[#This Row],[Kind:src]], meta_Classifiers[ID], 0 ) ) )</f>
        <v>ExcelColumn</v>
      </c>
      <c r="D30" s="44" t="str">
        <f>IF(meta_Columns[[#This Row],[Owning Table:src]]="","",INDEX(meta_Classifiers[Package],MATCH(meta_Columns[[#This Row],[Owning Table Instances Class]],meta_Classifiers[ID],0)))</f>
        <v>belowred</v>
      </c>
      <c r="E30" s="43"/>
      <c r="F30" s="44" t="str">
        <f>INDEX(meta_Tables[Excel Table - Excel Name],MATCH(meta_Columns[[#This Row],[Owning Table:src]],meta_Tables[ID],0))</f>
        <v>belowred_Table2Rows</v>
      </c>
      <c r="G30" s="44" t="str">
        <f>INDEX(meta_Tables[Instances Class:src],MATCH(meta_Columns[[#This Row],[Owning Table:src]],meta_Tables[ID],0))</f>
        <v>[c Table 2 Row]</v>
      </c>
      <c r="H30" s="11" t="s">
        <v>948</v>
      </c>
      <c r="I30" s="43" t="str">
        <f xml:space="preserve"> IF( TRIM( meta_Columns[[#This Row],[Owning Table:src]] ) = "", "",
        INDEX( meta_Tables[Display Qualified], MATCH( meta_Columns[[#This Row],[Owning Table:src]], meta_Tables[ID], 0 ) ) )</f>
        <v>belowred::Table2Rows</v>
      </c>
      <c r="K30" s="22" t="str">
        <f>IF(TRIM(meta_Columns[[#This Row],[Referenced Table:src]])="","",
    INDEX(meta_Tables[Display Qualified],MATCH(meta_Columns[[#This Row],[Referenced Table:src]],meta_Tables[ID],0)))</f>
        <v/>
      </c>
      <c r="L30" s="8"/>
      <c r="M30" s="22" t="str">
        <f xml:space="preserve"> IF( TRIM( meta_Columns[[#This Row],[Referenced Table Display and Select Column:src]] ) = "", "",
        INDEX( meta_Columns[Display Qualified], MATCH( meta_Columns[[#This Row],[Referenced Table Display and Select Column:src]], meta_Columns[ID], 0 ) ) )</f>
        <v/>
      </c>
      <c r="N30" s="8" t="str">
        <f>IF(meta_Columns[[#This Row],[Excel Column - Excel Formula]]="","x","")</f>
        <v>x</v>
      </c>
      <c r="O30" s="22"/>
      <c r="P30" s="8" t="str">
        <f>IF(meta_Columns[[#This Row],[Referenced Table:src]]="","",INDEX(meta_Tables[Instances Class],MATCH(meta_Columns[[#This Row],[Referenced Table:src]],meta_Tables[ID],0)))</f>
        <v/>
      </c>
      <c r="Q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 s="8" t="s">
        <v>247</v>
      </c>
      <c r="S30" s="22" t="str">
        <f xml:space="preserve"> IF( TRIM( meta_Columns[[#This Row],[Property:src]] ) = "", "",
        INDEX( meta_TypedModelElements[Display Qualified], MATCH( meta_Columns[[#This Row],[Property:src]], meta_TypedModelElements[ID], 0 ) ) )</f>
        <v>meta::Object.kind</v>
      </c>
      <c r="T30" s="22"/>
      <c r="U30" s="8" t="e">
        <f>INDEX(meta_Classifiers[Class - Generalization:src], MATCH(meta_Columns[[#This Row],[Generalization 5]],meta_Classifiers[ID],0))</f>
        <v>#N/A</v>
      </c>
      <c r="V30" s="8" t="e">
        <f>INDEX(meta_Classifiers[Class - Generalization:src], MATCH(meta_Columns[[#This Row],[Generalization 4]],meta_Classifiers[ID],0))</f>
        <v>#N/A</v>
      </c>
      <c r="W30" s="8" t="e">
        <f>INDEX(meta_Classifiers[Class - Generalization:src], MATCH(meta_Columns[[#This Row],[Generalization 3]],meta_Classifiers[ID],0))</f>
        <v>#N/A</v>
      </c>
      <c r="X30" s="8" t="e">
        <f>INDEX(meta_Classifiers[Class - Generalization:src], MATCH(meta_Columns[[#This Row],[Generalization 2]],meta_Classifiers[ID],0))</f>
        <v>#N/A</v>
      </c>
      <c r="Y30" s="8" t="str">
        <f>INDEX(meta_Classifiers[Class - Generalization:src], MATCH(meta_Columns[[#This Row],[Generalization 1]],meta_Classifiers[ID],0))</f>
        <v/>
      </c>
      <c r="Z30" s="8" t="str">
        <f>INDEX(meta_Classifiers[Class - Generalization:src], MATCH(meta_Columns[[#This Row],[Owning Table Instances Class]],meta_Classifiers[ID],0))</f>
        <v>_Object</v>
      </c>
      <c r="AA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 s="8" t="b">
        <f>_xlfn.IFNA(
INDEX(meta_Classifiers[Class - Generalization:src],MATCH(
INDEX(meta_Classifiers[Class - Generalization:src],MATCH(meta_Columns[[#This Row],[Property Owning Class]],meta_Classifiers[ID],0)),meta_Classifiers[ID],0))
=meta_Columns[[#This Row],[Owning Table Instances Class]],FALSE)</f>
        <v>0</v>
      </c>
      <c r="AG30" s="8" t="b">
        <f>_xlfn.IFNA(INDEX(meta_Classifiers[Class - Generalization:src],MATCH(meta_Columns[[#This Row],[Property Owning Class]],meta_Classifiers[ID],0))=meta_Columns[[#This Row],[Owning Table Instances Class]],FALSE)</f>
        <v>0</v>
      </c>
      <c r="AH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 s="8" t="str">
        <f>INDEX(meta_Classifiers[Name],MATCH(INDEX(meta_TypedModelElements[Property - Owning Class:src],MATCH(meta_Columns[[#This Row],[Property]],meta_TypedModelElements[ID],0)),meta_Classifiers[ID],0))</f>
        <v>Object</v>
      </c>
      <c r="AJ30" s="8" t="str">
        <f>INDEX(meta_TypedModelElements[Property - Owning Class:src],MATCH(meta_Columns[[#This Row],[Property]],meta_TypedModelElements[ID],0))</f>
        <v>_Object</v>
      </c>
      <c r="AK30" s="8" t="str">
        <f>INDEX(meta_TypedModelElements[Kind:src],MATCH(meta_Columns[[#This Row],[Property]],meta_TypedModelElements[ID],0))</f>
        <v>_Reference</v>
      </c>
      <c r="AL30" s="8" t="str">
        <f>INDEX(meta_TypedModelElements[Name or Type],MATCH(meta_Columns[[#This Row],[Property]],meta_TypedModelElements[ID],0))</f>
        <v>Kind</v>
      </c>
      <c r="AM30" s="8" t="str">
        <f>INDEX(meta_TypedModelElements[Property - Changeable],MATCH(meta_Columns[[#This Row],[Property]],meta_TypedModelElements[ID],0))</f>
        <v>x</v>
      </c>
      <c r="AN30" s="43">
        <v>3</v>
      </c>
      <c r="AO30" s="22">
        <v>3</v>
      </c>
      <c r="AP3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 s="8" t="str">
        <f xml:space="preserve"> IF(meta_Columns[[#This Row],[Property Owning Class is Specialization of Instance Class]],meta_Columns[[#This Row],[Property Owning Class Name]]&amp;" - ","")</f>
        <v/>
      </c>
      <c r="AR3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0" s="8" t="str">
        <f>IFERROR(LEFT(meta_Columns[[#This Row],[Excel Column - Label Actual without Semantic Case]],FIND("-",
meta_Columns[[#This Row],[Excel Column - Label Actual without Semantic Case]])-2),"")</f>
        <v/>
      </c>
      <c r="AU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0" s="22"/>
      <c r="AY30" s="8" t="str">
        <f>meta_Columns[[#This Row],[Owning Table]]&amp;"."&amp;meta_Columns[[#This Row],[Excel Column - Label]]</f>
        <v>belowred::Table2Rows.Kind</v>
      </c>
      <c r="AZ30" s="43" t="s">
        <v>5</v>
      </c>
      <c r="BA30" s="44" t="str">
        <f>IF(TRIM(meta_Columns[[#This Row],[Excel Column - Label Overwrite]])&lt;&gt;"",meta_Columns[[#This Row],[Excel Column - Label Overwrite]],meta_Columns[[#This Row],[Excel Column - Label from Property or Referenced Table]])</f>
        <v>Kind</v>
      </c>
      <c r="BB30" s="43"/>
      <c r="BC30" s="44" t="str">
        <f>IF(meta_Columns[[#This Row],[Excel Column - Explicit Excel Formula]]="","",meta_Columns[[#This Row],[Excel Column - Explicit Excel Formula]])</f>
        <v/>
      </c>
      <c r="BD30" s="5"/>
      <c r="BE30" s="5"/>
    </row>
    <row r="31" spans="1:57">
      <c r="A31" s="10" t="s">
        <v>1047</v>
      </c>
      <c r="B31" s="11" t="s">
        <v>546</v>
      </c>
      <c r="C31" s="22" t="str">
        <f xml:space="preserve"> IF( TRIM( meta_Columns[[#This Row],[Kind:src]] ) = "", "",
        INDEX( meta_Classifiers[Display Qualified], MATCH( meta_Columns[[#This Row],[Kind:src]], meta_Classifiers[ID], 0 ) ) )</f>
        <v>ExcelColumn</v>
      </c>
      <c r="D31" s="44" t="str">
        <f>IF(meta_Columns[[#This Row],[Owning Table:src]]="","",INDEX(meta_Classifiers[Package],MATCH(meta_Columns[[#This Row],[Owning Table Instances Class]],meta_Classifiers[ID],0)))</f>
        <v>belowred</v>
      </c>
      <c r="E31" s="43"/>
      <c r="F31" s="44" t="str">
        <f>INDEX(meta_Tables[Excel Table - Excel Name],MATCH(meta_Columns[[#This Row],[Owning Table:src]],meta_Tables[ID],0))</f>
        <v>belowred_Table2Rows</v>
      </c>
      <c r="G31" s="44" t="str">
        <f>INDEX(meta_Tables[Instances Class:src],MATCH(meta_Columns[[#This Row],[Owning Table:src]],meta_Tables[ID],0))</f>
        <v>[c Table 2 Row]</v>
      </c>
      <c r="H31" s="11" t="s">
        <v>948</v>
      </c>
      <c r="I31" s="43" t="str">
        <f xml:space="preserve"> IF( TRIM( meta_Columns[[#This Row],[Owning Table:src]] ) = "", "",
        INDEX( meta_Tables[Display Qualified], MATCH( meta_Columns[[#This Row],[Owning Table:src]], meta_Tables[ID], 0 ) ) )</f>
        <v>belowred::Table2Rows</v>
      </c>
      <c r="K31" s="22" t="str">
        <f>IF(TRIM(meta_Columns[[#This Row],[Referenced Table:src]])="","",
    INDEX(meta_Tables[Display Qualified],MATCH(meta_Columns[[#This Row],[Referenced Table:src]],meta_Tables[ID],0)))</f>
        <v/>
      </c>
      <c r="L31" s="8"/>
      <c r="M31" s="22" t="str">
        <f xml:space="preserve"> IF( TRIM( meta_Columns[[#This Row],[Referenced Table Display and Select Column:src]] ) = "", "",
        INDEX( meta_Columns[Display Qualified], MATCH( meta_Columns[[#This Row],[Referenced Table Display and Select Column:src]], meta_Columns[ID], 0 ) ) )</f>
        <v/>
      </c>
      <c r="N31" s="8" t="str">
        <f>IF(meta_Columns[[#This Row],[Excel Column - Excel Formula]]="","x","")</f>
        <v>x</v>
      </c>
      <c r="O31" s="22"/>
      <c r="P31" s="8" t="str">
        <f>IF(meta_Columns[[#This Row],[Referenced Table:src]]="","",INDEX(meta_Tables[Instances Class],MATCH(meta_Columns[[#This Row],[Referenced Table:src]],meta_Tables[ID],0)))</f>
        <v/>
      </c>
      <c r="Q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 s="8" t="s">
        <v>248</v>
      </c>
      <c r="S31" s="22" t="str">
        <f xml:space="preserve"> IF( TRIM( meta_Columns[[#This Row],[Property:src]] ) = "", "",
        INDEX( meta_TypedModelElements[Display Qualified], MATCH( meta_Columns[[#This Row],[Property:src]], meta_TypedModelElements[ID], 0 ) ) )</f>
        <v>meta::Object.package</v>
      </c>
      <c r="T31" s="22"/>
      <c r="U31" s="8" t="e">
        <f>INDEX(meta_Classifiers[Class - Generalization:src], MATCH(meta_Columns[[#This Row],[Generalization 5]],meta_Classifiers[ID],0))</f>
        <v>#N/A</v>
      </c>
      <c r="V31" s="8" t="e">
        <f>INDEX(meta_Classifiers[Class - Generalization:src], MATCH(meta_Columns[[#This Row],[Generalization 4]],meta_Classifiers[ID],0))</f>
        <v>#N/A</v>
      </c>
      <c r="W31" s="8" t="e">
        <f>INDEX(meta_Classifiers[Class - Generalization:src], MATCH(meta_Columns[[#This Row],[Generalization 3]],meta_Classifiers[ID],0))</f>
        <v>#N/A</v>
      </c>
      <c r="X31" s="8" t="e">
        <f>INDEX(meta_Classifiers[Class - Generalization:src], MATCH(meta_Columns[[#This Row],[Generalization 2]],meta_Classifiers[ID],0))</f>
        <v>#N/A</v>
      </c>
      <c r="Y31" s="8" t="str">
        <f>INDEX(meta_Classifiers[Class - Generalization:src], MATCH(meta_Columns[[#This Row],[Generalization 1]],meta_Classifiers[ID],0))</f>
        <v/>
      </c>
      <c r="Z31" s="8" t="str">
        <f>INDEX(meta_Classifiers[Class - Generalization:src], MATCH(meta_Columns[[#This Row],[Owning Table Instances Class]],meta_Classifiers[ID],0))</f>
        <v>_Object</v>
      </c>
      <c r="AA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 s="8" t="b">
        <f>_xlfn.IFNA(
INDEX(meta_Classifiers[Class - Generalization:src],MATCH(
INDEX(meta_Classifiers[Class - Generalization:src],MATCH(meta_Columns[[#This Row],[Property Owning Class]],meta_Classifiers[ID],0)),meta_Classifiers[ID],0))
=meta_Columns[[#This Row],[Owning Table Instances Class]],FALSE)</f>
        <v>0</v>
      </c>
      <c r="AG31" s="8" t="b">
        <f>_xlfn.IFNA(INDEX(meta_Classifiers[Class - Generalization:src],MATCH(meta_Columns[[#This Row],[Property Owning Class]],meta_Classifiers[ID],0))=meta_Columns[[#This Row],[Owning Table Instances Class]],FALSE)</f>
        <v>0</v>
      </c>
      <c r="AH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 s="8" t="str">
        <f>INDEX(meta_Classifiers[Name],MATCH(INDEX(meta_TypedModelElements[Property - Owning Class:src],MATCH(meta_Columns[[#This Row],[Property]],meta_TypedModelElements[ID],0)),meta_Classifiers[ID],0))</f>
        <v>Object</v>
      </c>
      <c r="AJ31" s="8" t="str">
        <f>INDEX(meta_TypedModelElements[Property - Owning Class:src],MATCH(meta_Columns[[#This Row],[Property]],meta_TypedModelElements[ID],0))</f>
        <v>_Object</v>
      </c>
      <c r="AK31" s="8" t="str">
        <f>INDEX(meta_TypedModelElements[Kind:src],MATCH(meta_Columns[[#This Row],[Property]],meta_TypedModelElements[ID],0))</f>
        <v>_Attribute</v>
      </c>
      <c r="AL31" s="8" t="str">
        <f>INDEX(meta_TypedModelElements[Name or Type],MATCH(meta_Columns[[#This Row],[Property]],meta_TypedModelElements[ID],0))</f>
        <v>Package</v>
      </c>
      <c r="AM31" s="8" t="str">
        <f>INDEX(meta_TypedModelElements[Property - Changeable],MATCH(meta_Columns[[#This Row],[Property]],meta_TypedModelElements[ID],0))</f>
        <v>x</v>
      </c>
      <c r="AN31" s="43">
        <v>4</v>
      </c>
      <c r="AO31" s="22">
        <v>4</v>
      </c>
      <c r="AP3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 s="8" t="str">
        <f xml:space="preserve"> IF(meta_Columns[[#This Row],[Property Owning Class is Specialization of Instance Class]],meta_Columns[[#This Row],[Property Owning Class Name]]&amp;" - ","")</f>
        <v/>
      </c>
      <c r="AR3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 s="8" t="str">
        <f>IFERROR(LEFT(meta_Columns[[#This Row],[Excel Column - Label Actual without Semantic Case]],FIND("-",
meta_Columns[[#This Row],[Excel Column - Label Actual without Semantic Case]])-2),"")</f>
        <v/>
      </c>
      <c r="AU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 s="22"/>
      <c r="AY31" s="8" t="str">
        <f>meta_Columns[[#This Row],[Owning Table]]&amp;"."&amp;meta_Columns[[#This Row],[Excel Column - Label]]</f>
        <v>belowred::Table2Rows.Package</v>
      </c>
      <c r="AZ31" s="43" t="s">
        <v>120</v>
      </c>
      <c r="BA31" s="44" t="str">
        <f>IF(TRIM(meta_Columns[[#This Row],[Excel Column - Label Overwrite]])&lt;&gt;"",meta_Columns[[#This Row],[Excel Column - Label Overwrite]],meta_Columns[[#This Row],[Excel Column - Label from Property or Referenced Table]])</f>
        <v>Package</v>
      </c>
      <c r="BB31" s="43"/>
      <c r="BC31" s="44" t="str">
        <f>IF(meta_Columns[[#This Row],[Excel Column - Explicit Excel Formula]]="","",meta_Columns[[#This Row],[Excel Column - Explicit Excel Formula]])</f>
        <v/>
      </c>
      <c r="BD31" s="5"/>
      <c r="BE31" s="5"/>
    </row>
    <row r="32" spans="1:57">
      <c r="A32" s="10" t="s">
        <v>1048</v>
      </c>
      <c r="B32" s="11" t="s">
        <v>546</v>
      </c>
      <c r="C32" s="22" t="str">
        <f xml:space="preserve"> IF( TRIM( meta_Columns[[#This Row],[Kind:src]] ) = "", "",
        INDEX( meta_Classifiers[Display Qualified], MATCH( meta_Columns[[#This Row],[Kind:src]], meta_Classifiers[ID], 0 ) ) )</f>
        <v>ExcelColumn</v>
      </c>
      <c r="D32" s="44" t="str">
        <f>IF(meta_Columns[[#This Row],[Owning Table:src]]="","",INDEX(meta_Classifiers[Package],MATCH(meta_Columns[[#This Row],[Owning Table Instances Class]],meta_Classifiers[ID],0)))</f>
        <v>belowred</v>
      </c>
      <c r="E32" s="43"/>
      <c r="F32" s="44" t="str">
        <f>INDEX(meta_Tables[Excel Table - Excel Name],MATCH(meta_Columns[[#This Row],[Owning Table:src]],meta_Tables[ID],0))</f>
        <v>belowred_Table2Rows</v>
      </c>
      <c r="G32" s="44" t="str">
        <f>INDEX(meta_Tables[Instances Class:src],MATCH(meta_Columns[[#This Row],[Owning Table:src]],meta_Tables[ID],0))</f>
        <v>[c Table 2 Row]</v>
      </c>
      <c r="H32" s="11" t="s">
        <v>948</v>
      </c>
      <c r="I32" s="43" t="str">
        <f xml:space="preserve"> IF( TRIM( meta_Columns[[#This Row],[Owning Table:src]] ) = "", "",
        INDEX( meta_Tables[Display Qualified], MATCH( meta_Columns[[#This Row],[Owning Table:src]], meta_Tables[ID], 0 ) ) )</f>
        <v>belowred::Table2Rows</v>
      </c>
      <c r="K32" s="22" t="str">
        <f>IF(TRIM(meta_Columns[[#This Row],[Referenced Table:src]])="","",
    INDEX(meta_Tables[Display Qualified],MATCH(meta_Columns[[#This Row],[Referenced Table:src]],meta_Tables[ID],0)))</f>
        <v/>
      </c>
      <c r="L32" s="8"/>
      <c r="M32" s="22" t="str">
        <f xml:space="preserve"> IF( TRIM( meta_Columns[[#This Row],[Referenced Table Display and Select Column:src]] ) = "", "",
        INDEX( meta_Columns[Display Qualified], MATCH( meta_Columns[[#This Row],[Referenced Table Display and Select Column:src]], meta_Columns[ID], 0 ) ) )</f>
        <v/>
      </c>
      <c r="N32" s="8" t="str">
        <f>IF(meta_Columns[[#This Row],[Excel Column - Excel Formula]]="","x","")</f>
        <v>x</v>
      </c>
      <c r="O32" s="22"/>
      <c r="P32" s="8" t="str">
        <f>IF(meta_Columns[[#This Row],[Referenced Table:src]]="","",INDEX(meta_Tables[Instances Class],MATCH(meta_Columns[[#This Row],[Referenced Table:src]],meta_Tables[ID],0)))</f>
        <v/>
      </c>
      <c r="Q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2" s="8" t="s">
        <v>460</v>
      </c>
      <c r="S32" s="22" t="str">
        <f xml:space="preserve"> IF( TRIM( meta_Columns[[#This Row],[Property:src]] ) = "", "",
        INDEX( meta_TypedModelElements[Display Qualified], MATCH( meta_Columns[[#This Row],[Property:src]], meta_TypedModelElements[ID], 0 ) ) )</f>
        <v>meta::Object.subPackage</v>
      </c>
      <c r="T32" s="22"/>
      <c r="U32" s="8" t="e">
        <f>INDEX(meta_Classifiers[Class - Generalization:src], MATCH(meta_Columns[[#This Row],[Generalization 5]],meta_Classifiers[ID],0))</f>
        <v>#N/A</v>
      </c>
      <c r="V32" s="8" t="e">
        <f>INDEX(meta_Classifiers[Class - Generalization:src], MATCH(meta_Columns[[#This Row],[Generalization 4]],meta_Classifiers[ID],0))</f>
        <v>#N/A</v>
      </c>
      <c r="W32" s="8" t="e">
        <f>INDEX(meta_Classifiers[Class - Generalization:src], MATCH(meta_Columns[[#This Row],[Generalization 3]],meta_Classifiers[ID],0))</f>
        <v>#N/A</v>
      </c>
      <c r="X32" s="8" t="e">
        <f>INDEX(meta_Classifiers[Class - Generalization:src], MATCH(meta_Columns[[#This Row],[Generalization 2]],meta_Classifiers[ID],0))</f>
        <v>#N/A</v>
      </c>
      <c r="Y32" s="8" t="str">
        <f>INDEX(meta_Classifiers[Class - Generalization:src], MATCH(meta_Columns[[#This Row],[Generalization 1]],meta_Classifiers[ID],0))</f>
        <v/>
      </c>
      <c r="Z32" s="8" t="str">
        <f>INDEX(meta_Classifiers[Class - Generalization:src], MATCH(meta_Columns[[#This Row],[Owning Table Instances Class]],meta_Classifiers[ID],0))</f>
        <v>_Object</v>
      </c>
      <c r="AA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 s="8" t="b">
        <f>_xlfn.IFNA(
INDEX(meta_Classifiers[Class - Generalization:src],MATCH(
INDEX(meta_Classifiers[Class - Generalization:src],MATCH(meta_Columns[[#This Row],[Property Owning Class]],meta_Classifiers[ID],0)),meta_Classifiers[ID],0))
=meta_Columns[[#This Row],[Owning Table Instances Class]],FALSE)</f>
        <v>0</v>
      </c>
      <c r="AG32" s="8" t="b">
        <f>_xlfn.IFNA(INDEX(meta_Classifiers[Class - Generalization:src],MATCH(meta_Columns[[#This Row],[Property Owning Class]],meta_Classifiers[ID],0))=meta_Columns[[#This Row],[Owning Table Instances Class]],FALSE)</f>
        <v>0</v>
      </c>
      <c r="AH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 s="8" t="str">
        <f>INDEX(meta_Classifiers[Name],MATCH(INDEX(meta_TypedModelElements[Property - Owning Class:src],MATCH(meta_Columns[[#This Row],[Property]],meta_TypedModelElements[ID],0)),meta_Classifiers[ID],0))</f>
        <v>Object</v>
      </c>
      <c r="AJ32" s="8" t="str">
        <f>INDEX(meta_TypedModelElements[Property - Owning Class:src],MATCH(meta_Columns[[#This Row],[Property]],meta_TypedModelElements[ID],0))</f>
        <v>_Object</v>
      </c>
      <c r="AK32" s="8" t="str">
        <f>INDEX(meta_TypedModelElements[Kind:src],MATCH(meta_Columns[[#This Row],[Property]],meta_TypedModelElements[ID],0))</f>
        <v>_Attribute</v>
      </c>
      <c r="AL32" s="8" t="str">
        <f>INDEX(meta_TypedModelElements[Name or Type],MATCH(meta_Columns[[#This Row],[Property]],meta_TypedModelElements[ID],0))</f>
        <v>Sub Package</v>
      </c>
      <c r="AM32" s="8" t="str">
        <f>INDEX(meta_TypedModelElements[Property - Changeable],MATCH(meta_Columns[[#This Row],[Property]],meta_TypedModelElements[ID],0))</f>
        <v>x</v>
      </c>
      <c r="AN32" s="43">
        <v>5</v>
      </c>
      <c r="AO32" s="22">
        <v>5</v>
      </c>
      <c r="AP3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2" s="8" t="str">
        <f xml:space="preserve"> IF(meta_Columns[[#This Row],[Property Owning Class is Specialization of Instance Class]],meta_Columns[[#This Row],[Property Owning Class Name]]&amp;" - ","")</f>
        <v/>
      </c>
      <c r="AR3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2" s="8" t="str">
        <f>IFERROR(LEFT(meta_Columns[[#This Row],[Excel Column - Label Actual without Semantic Case]],FIND("-",
meta_Columns[[#This Row],[Excel Column - Label Actual without Semantic Case]])-2),"")</f>
        <v/>
      </c>
      <c r="AU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2" s="22"/>
      <c r="AY32" s="8" t="str">
        <f>meta_Columns[[#This Row],[Owning Table]]&amp;"."&amp;meta_Columns[[#This Row],[Excel Column - Label]]</f>
        <v>belowred::Table2Rows.Sub Package</v>
      </c>
      <c r="AZ32" s="43" t="s">
        <v>461</v>
      </c>
      <c r="BA32" s="44" t="str">
        <f>IF(TRIM(meta_Columns[[#This Row],[Excel Column - Label Overwrite]])&lt;&gt;"",meta_Columns[[#This Row],[Excel Column - Label Overwrite]],meta_Columns[[#This Row],[Excel Column - Label from Property or Referenced Table]])</f>
        <v>Sub Package</v>
      </c>
      <c r="BB32" s="43"/>
      <c r="BC32" s="44" t="str">
        <f>IF(meta_Columns[[#This Row],[Excel Column - Explicit Excel Formula]]="","",meta_Columns[[#This Row],[Excel Column - Explicit Excel Formula]])</f>
        <v/>
      </c>
      <c r="BD32" s="5"/>
      <c r="BE32" s="5"/>
    </row>
    <row r="33" spans="1:57">
      <c r="A33" s="10" t="s">
        <v>1049</v>
      </c>
      <c r="B33" s="11" t="s">
        <v>546</v>
      </c>
      <c r="C33" s="22" t="str">
        <f xml:space="preserve"> IF( TRIM( meta_Columns[[#This Row],[Kind:src]] ) = "", "",
        INDEX( meta_Classifiers[Display Qualified], MATCH( meta_Columns[[#This Row],[Kind:src]], meta_Classifiers[ID], 0 ) ) )</f>
        <v>ExcelColumn</v>
      </c>
      <c r="D33" s="44" t="str">
        <f>IF(meta_Columns[[#This Row],[Owning Table:src]]="","",INDEX(meta_Classifiers[Package],MATCH(meta_Columns[[#This Row],[Owning Table Instances Class]],meta_Classifiers[ID],0)))</f>
        <v>belowred</v>
      </c>
      <c r="E33" s="43"/>
      <c r="F33" s="44" t="str">
        <f>INDEX(meta_Tables[Excel Table - Excel Name],MATCH(meta_Columns[[#This Row],[Owning Table:src]],meta_Tables[ID],0))</f>
        <v>belowred_Table2Rows</v>
      </c>
      <c r="G33" s="44" t="str">
        <f>INDEX(meta_Tables[Instances Class:src],MATCH(meta_Columns[[#This Row],[Owning Table:src]],meta_Tables[ID],0))</f>
        <v>[c Table 2 Row]</v>
      </c>
      <c r="H33" s="11" t="s">
        <v>948</v>
      </c>
      <c r="I33" s="43" t="str">
        <f xml:space="preserve"> IF( TRIM( meta_Columns[[#This Row],[Owning Table:src]] ) = "", "",
        INDEX( meta_Tables[Display Qualified], MATCH( meta_Columns[[#This Row],[Owning Table:src]], meta_Tables[ID], 0 ) ) )</f>
        <v>belowred::Table2Rows</v>
      </c>
      <c r="K33" s="22" t="str">
        <f>IF(TRIM(meta_Columns[[#This Row],[Referenced Table:src]])="","",
    INDEX(meta_Tables[Display Qualified],MATCH(meta_Columns[[#This Row],[Referenced Table:src]],meta_Tables[ID],0)))</f>
        <v/>
      </c>
      <c r="L33" s="8"/>
      <c r="M33" s="22" t="str">
        <f xml:space="preserve"> IF( TRIM( meta_Columns[[#This Row],[Referenced Table Display and Select Column:src]] ) = "", "",
        INDEX( meta_Columns[Display Qualified], MATCH( meta_Columns[[#This Row],[Referenced Table Display and Select Column:src]], meta_Columns[ID], 0 ) ) )</f>
        <v/>
      </c>
      <c r="N33" s="8" t="str">
        <f>IF(meta_Columns[[#This Row],[Excel Column - Excel Formula]]="","x","")</f>
        <v>x</v>
      </c>
      <c r="O33" s="22"/>
      <c r="P33" s="8" t="str">
        <f>IF(meta_Columns[[#This Row],[Referenced Table:src]]="","",INDEX(meta_Tables[Instances Class],MATCH(meta_Columns[[#This Row],[Referenced Table:src]],meta_Tables[ID],0)))</f>
        <v/>
      </c>
      <c r="Q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3" s="8"/>
      <c r="S33" s="22" t="str">
        <f xml:space="preserve"> IF( TRIM( meta_Columns[[#This Row],[Property:src]] ) = "", "",
        INDEX( meta_TypedModelElements[Display Qualified], MATCH( meta_Columns[[#This Row],[Property:src]], meta_TypedModelElements[ID], 0 ) ) )</f>
        <v/>
      </c>
      <c r="T33" s="22"/>
      <c r="U33" s="8" t="e">
        <f>INDEX(meta_Classifiers[Class - Generalization:src], MATCH(meta_Columns[[#This Row],[Generalization 5]],meta_Classifiers[ID],0))</f>
        <v>#N/A</v>
      </c>
      <c r="V33" s="8" t="e">
        <f>INDEX(meta_Classifiers[Class - Generalization:src], MATCH(meta_Columns[[#This Row],[Generalization 4]],meta_Classifiers[ID],0))</f>
        <v>#N/A</v>
      </c>
      <c r="W33" s="8" t="e">
        <f>INDEX(meta_Classifiers[Class - Generalization:src], MATCH(meta_Columns[[#This Row],[Generalization 3]],meta_Classifiers[ID],0))</f>
        <v>#N/A</v>
      </c>
      <c r="X33" s="8" t="e">
        <f>INDEX(meta_Classifiers[Class - Generalization:src], MATCH(meta_Columns[[#This Row],[Generalization 2]],meta_Classifiers[ID],0))</f>
        <v>#N/A</v>
      </c>
      <c r="Y33" s="8" t="str">
        <f>INDEX(meta_Classifiers[Class - Generalization:src], MATCH(meta_Columns[[#This Row],[Generalization 1]],meta_Classifiers[ID],0))</f>
        <v/>
      </c>
      <c r="Z33" s="8" t="str">
        <f>INDEX(meta_Classifiers[Class - Generalization:src], MATCH(meta_Columns[[#This Row],[Owning Table Instances Class]],meta_Classifiers[ID],0))</f>
        <v>_Object</v>
      </c>
      <c r="AA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 s="8" t="b">
        <f>_xlfn.IFNA(
INDEX(meta_Classifiers[Class - Generalization:src],MATCH(
INDEX(meta_Classifiers[Class - Generalization:src],MATCH(meta_Columns[[#This Row],[Property Owning Class]],meta_Classifiers[ID],0)),meta_Classifiers[ID],0))
=meta_Columns[[#This Row],[Owning Table Instances Class]],FALSE)</f>
        <v>0</v>
      </c>
      <c r="AG33" s="8" t="b">
        <f>_xlfn.IFNA(INDEX(meta_Classifiers[Class - Generalization:src],MATCH(meta_Columns[[#This Row],[Property Owning Class]],meta_Classifiers[ID],0))=meta_Columns[[#This Row],[Owning Table Instances Class]],FALSE)</f>
        <v>0</v>
      </c>
      <c r="AH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 s="8" t="e">
        <f>INDEX(meta_Classifiers[Name],MATCH(INDEX(meta_TypedModelElements[Property - Owning Class:src],MATCH(meta_Columns[[#This Row],[Property]],meta_TypedModelElements[ID],0)),meta_Classifiers[ID],0))</f>
        <v>#N/A</v>
      </c>
      <c r="AJ33" s="8" t="e">
        <f>INDEX(meta_TypedModelElements[Property - Owning Class:src],MATCH(meta_Columns[[#This Row],[Property]],meta_TypedModelElements[ID],0))</f>
        <v>#N/A</v>
      </c>
      <c r="AK33" s="8" t="e">
        <f>INDEX(meta_TypedModelElements[Kind:src],MATCH(meta_Columns[[#This Row],[Property]],meta_TypedModelElements[ID],0))</f>
        <v>#N/A</v>
      </c>
      <c r="AL33" s="8" t="e">
        <f>INDEX(meta_TypedModelElements[Name or Type],MATCH(meta_Columns[[#This Row],[Property]],meta_TypedModelElements[ID],0))</f>
        <v>#N/A</v>
      </c>
      <c r="AM33" s="8" t="e">
        <f>INDEX(meta_TypedModelElements[Property - Changeable],MATCH(meta_Columns[[#This Row],[Property]],meta_TypedModelElements[ID],0))</f>
        <v>#N/A</v>
      </c>
      <c r="AN33" s="43">
        <v>6</v>
      </c>
      <c r="AO33" s="22">
        <v>6</v>
      </c>
      <c r="AP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 s="8" t="str">
        <f xml:space="preserve"> IF(meta_Columns[[#This Row],[Property Owning Class is Specialization of Instance Class]],meta_Columns[[#This Row],[Property Owning Class Name]]&amp;" - ","")</f>
        <v/>
      </c>
      <c r="AR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3" s="8" t="str">
        <f>IFERROR(LEFT(meta_Columns[[#This Row],[Excel Column - Label Actual without Semantic Case]],FIND("-",
meta_Columns[[#This Row],[Excel Column - Label Actual without Semantic Case]])-2),"")</f>
        <v/>
      </c>
      <c r="AU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v>
      </c>
      <c r="AX33" s="22"/>
      <c r="AY33" s="8" t="str">
        <f>meta_Columns[[#This Row],[Owning Table]]&amp;"."&amp;meta_Columns[[#This Row],[Excel Column - Label]]</f>
        <v>belowred::Table2Rows.T2 Name</v>
      </c>
      <c r="AZ33" s="43" t="s">
        <v>121</v>
      </c>
      <c r="BA33" s="44" t="str">
        <f>IF(TRIM(meta_Columns[[#This Row],[Excel Column - Label Overwrite]])&lt;&gt;"",meta_Columns[[#This Row],[Excel Column - Label Overwrite]],meta_Columns[[#This Row],[Excel Column - Label from Property or Referenced Table]])</f>
        <v>T2 Name</v>
      </c>
      <c r="BB33" s="43"/>
      <c r="BC33" s="44" t="str">
        <f>IF(meta_Columns[[#This Row],[Excel Column - Explicit Excel Formula]]="","",meta_Columns[[#This Row],[Excel Column - Explicit Excel Formula]])</f>
        <v/>
      </c>
      <c r="BD33" s="5"/>
      <c r="BE33" s="5"/>
    </row>
    <row r="34" spans="1:57">
      <c r="A34" s="10" t="s">
        <v>1050</v>
      </c>
      <c r="B34" s="11" t="s">
        <v>546</v>
      </c>
      <c r="C34" s="22" t="str">
        <f xml:space="preserve"> IF( TRIM( meta_Columns[[#This Row],[Kind:src]] ) = "", "",
        INDEX( meta_Classifiers[Display Qualified], MATCH( meta_Columns[[#This Row],[Kind:src]], meta_Classifiers[ID], 0 ) ) )</f>
        <v>ExcelColumn</v>
      </c>
      <c r="D34" s="44" t="str">
        <f>IF(meta_Columns[[#This Row],[Owning Table:src]]="","",INDEX(meta_Classifiers[Package],MATCH(meta_Columns[[#This Row],[Owning Table Instances Class]],meta_Classifiers[ID],0)))</f>
        <v>belowred</v>
      </c>
      <c r="E34" s="43"/>
      <c r="F34" s="44" t="str">
        <f>INDEX(meta_Tables[Excel Table - Excel Name],MATCH(meta_Columns[[#This Row],[Owning Table:src]],meta_Tables[ID],0))</f>
        <v>belowred_Table2Rows</v>
      </c>
      <c r="G34" s="44" t="str">
        <f>INDEX(meta_Tables[Instances Class:src],MATCH(meta_Columns[[#This Row],[Owning Table:src]],meta_Tables[ID],0))</f>
        <v>[c Table 2 Row]</v>
      </c>
      <c r="H34" s="11" t="s">
        <v>948</v>
      </c>
      <c r="I34" s="43" t="str">
        <f xml:space="preserve"> IF( TRIM( meta_Columns[[#This Row],[Owning Table:src]] ) = "", "",
        INDEX( meta_Tables[Display Qualified], MATCH( meta_Columns[[#This Row],[Owning Table:src]], meta_Tables[ID], 0 ) ) )</f>
        <v>belowred::Table2Rows</v>
      </c>
      <c r="K34" s="22" t="str">
        <f>IF(TRIM(meta_Columns[[#This Row],[Referenced Table:src]])="","",
    INDEX(meta_Tables[Display Qualified],MATCH(meta_Columns[[#This Row],[Referenced Table:src]],meta_Tables[ID],0)))</f>
        <v/>
      </c>
      <c r="L34" s="8"/>
      <c r="M34" s="22" t="str">
        <f xml:space="preserve"> IF( TRIM( meta_Columns[[#This Row],[Referenced Table Display and Select Column:src]] ) = "", "",
        INDEX( meta_Columns[Display Qualified], MATCH( meta_Columns[[#This Row],[Referenced Table Display and Select Column:src]], meta_Columns[ID], 0 ) ) )</f>
        <v/>
      </c>
      <c r="N34" s="8" t="str">
        <f>IF(meta_Columns[[#This Row],[Excel Column - Excel Formula]]="","x","")</f>
        <v/>
      </c>
      <c r="O34" s="22"/>
      <c r="P34" s="8" t="str">
        <f>IF(meta_Columns[[#This Row],[Referenced Table:src]]="","",INDEX(meta_Tables[Instances Class],MATCH(meta_Columns[[#This Row],[Referenced Table:src]],meta_Tables[ID],0)))</f>
        <v/>
      </c>
      <c r="Q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4" s="8"/>
      <c r="S34" s="22" t="str">
        <f xml:space="preserve"> IF( TRIM( meta_Columns[[#This Row],[Property:src]] ) = "", "",
        INDEX( meta_TypedModelElements[Display Qualified], MATCH( meta_Columns[[#This Row],[Property:src]], meta_TypedModelElements[ID], 0 ) ) )</f>
        <v/>
      </c>
      <c r="T34" s="22"/>
      <c r="U34" s="8" t="e">
        <f>INDEX(meta_Classifiers[Class - Generalization:src], MATCH(meta_Columns[[#This Row],[Generalization 5]],meta_Classifiers[ID],0))</f>
        <v>#N/A</v>
      </c>
      <c r="V34" s="8" t="e">
        <f>INDEX(meta_Classifiers[Class - Generalization:src], MATCH(meta_Columns[[#This Row],[Generalization 4]],meta_Classifiers[ID],0))</f>
        <v>#N/A</v>
      </c>
      <c r="W34" s="8" t="e">
        <f>INDEX(meta_Classifiers[Class - Generalization:src], MATCH(meta_Columns[[#This Row],[Generalization 3]],meta_Classifiers[ID],0))</f>
        <v>#N/A</v>
      </c>
      <c r="X34" s="8" t="e">
        <f>INDEX(meta_Classifiers[Class - Generalization:src], MATCH(meta_Columns[[#This Row],[Generalization 2]],meta_Classifiers[ID],0))</f>
        <v>#N/A</v>
      </c>
      <c r="Y34" s="8" t="str">
        <f>INDEX(meta_Classifiers[Class - Generalization:src], MATCH(meta_Columns[[#This Row],[Generalization 1]],meta_Classifiers[ID],0))</f>
        <v/>
      </c>
      <c r="Z34" s="8" t="str">
        <f>INDEX(meta_Classifiers[Class - Generalization:src], MATCH(meta_Columns[[#This Row],[Owning Table Instances Class]],meta_Classifiers[ID],0))</f>
        <v>_Object</v>
      </c>
      <c r="AA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 s="8" t="b">
        <f>_xlfn.IFNA(
INDEX(meta_Classifiers[Class - Generalization:src],MATCH(
INDEX(meta_Classifiers[Class - Generalization:src],MATCH(meta_Columns[[#This Row],[Property Owning Class]],meta_Classifiers[ID],0)),meta_Classifiers[ID],0))
=meta_Columns[[#This Row],[Owning Table Instances Class]],FALSE)</f>
        <v>0</v>
      </c>
      <c r="AG34" s="8" t="b">
        <f>_xlfn.IFNA(INDEX(meta_Classifiers[Class - Generalization:src],MATCH(meta_Columns[[#This Row],[Property Owning Class]],meta_Classifiers[ID],0))=meta_Columns[[#This Row],[Owning Table Instances Class]],FALSE)</f>
        <v>0</v>
      </c>
      <c r="AH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 s="8" t="e">
        <f>INDEX(meta_Classifiers[Name],MATCH(INDEX(meta_TypedModelElements[Property - Owning Class:src],MATCH(meta_Columns[[#This Row],[Property]],meta_TypedModelElements[ID],0)),meta_Classifiers[ID],0))</f>
        <v>#N/A</v>
      </c>
      <c r="AJ34" s="8" t="e">
        <f>INDEX(meta_TypedModelElements[Property - Owning Class:src],MATCH(meta_Columns[[#This Row],[Property]],meta_TypedModelElements[ID],0))</f>
        <v>#N/A</v>
      </c>
      <c r="AK34" s="8" t="e">
        <f>INDEX(meta_TypedModelElements[Kind:src],MATCH(meta_Columns[[#This Row],[Property]],meta_TypedModelElements[ID],0))</f>
        <v>#N/A</v>
      </c>
      <c r="AL34" s="8" t="e">
        <f>INDEX(meta_TypedModelElements[Name or Type],MATCH(meta_Columns[[#This Row],[Property]],meta_TypedModelElements[ID],0))</f>
        <v>#N/A</v>
      </c>
      <c r="AM34" s="8" t="e">
        <f>INDEX(meta_TypedModelElements[Property - Changeable],MATCH(meta_Columns[[#This Row],[Property]],meta_TypedModelElements[ID],0))</f>
        <v>#N/A</v>
      </c>
      <c r="AN34" s="43">
        <v>7</v>
      </c>
      <c r="AO34" s="22"/>
      <c r="AP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 s="8" t="str">
        <f xml:space="preserve"> IF(meta_Columns[[#This Row],[Property Owning Class is Specialization of Instance Class]],meta_Columns[[#This Row],[Property Owning Class Name]]&amp;" - ","")</f>
        <v/>
      </c>
      <c r="AR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4" s="8" t="str">
        <f>IFERROR(LEFT(meta_Columns[[#This Row],[Excel Column - Label Actual without Semantic Case]],FIND("-",
meta_Columns[[#This Row],[Excel Column - Label Actual without Semantic Case]])-2),"")</f>
        <v/>
      </c>
      <c r="AU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Name:q</v>
      </c>
      <c r="AX34" s="22"/>
      <c r="AY34" s="8" t="str">
        <f>meta_Columns[[#This Row],[Owning Table]]&amp;"."&amp;meta_Columns[[#This Row],[Excel Column - Label]]</f>
        <v>belowred::Table2Rows.T2 Name:q</v>
      </c>
      <c r="AZ34" s="43" t="s">
        <v>122</v>
      </c>
      <c r="BA34" s="44" t="str">
        <f>IF(TRIM(meta_Columns[[#This Row],[Excel Column - Label Overwrite]])&lt;&gt;"",meta_Columns[[#This Row],[Excel Column - Label Overwrite]],meta_Columns[[#This Row],[Excel Column - Label from Property or Referenced Table]])</f>
        <v>T2 Name:q</v>
      </c>
      <c r="BB34" s="43" t="s">
        <v>916</v>
      </c>
      <c r="BC34" s="44" t="str">
        <f>IF(meta_Columns[[#This Row],[Excel Column - Explicit Excel Formula]]="","",meta_Columns[[#This Row],[Excel Column - Explicit Excel Formula]])</f>
        <v>Formula:=IF(
  TRIM([@Package])="",
          "",
          [@Package]&amp;"::")
&amp;[@[T2 Name]]</v>
      </c>
      <c r="BD34" s="5"/>
      <c r="BE34" s="5"/>
    </row>
    <row r="35" spans="1:57">
      <c r="A35" s="10" t="s">
        <v>1051</v>
      </c>
      <c r="B35" s="11" t="s">
        <v>546</v>
      </c>
      <c r="C35" s="22" t="str">
        <f xml:space="preserve"> IF( TRIM( meta_Columns[[#This Row],[Kind:src]] ) = "", "",
        INDEX( meta_Classifiers[Display Qualified], MATCH( meta_Columns[[#This Row],[Kind:src]], meta_Classifiers[ID], 0 ) ) )</f>
        <v>ExcelColumn</v>
      </c>
      <c r="D35" s="44" t="str">
        <f>IF(meta_Columns[[#This Row],[Owning Table:src]]="","",INDEX(meta_Classifiers[Package],MATCH(meta_Columns[[#This Row],[Owning Table Instances Class]],meta_Classifiers[ID],0)))</f>
        <v>belowred</v>
      </c>
      <c r="E35" s="43"/>
      <c r="F35" s="44" t="str">
        <f>INDEX(meta_Tables[Excel Table - Excel Name],MATCH(meta_Columns[[#This Row],[Owning Table:src]],meta_Tables[ID],0))</f>
        <v>belowred_Table2Rows</v>
      </c>
      <c r="G35" s="44" t="str">
        <f>INDEX(meta_Tables[Instances Class:src],MATCH(meta_Columns[[#This Row],[Owning Table:src]],meta_Tables[ID],0))</f>
        <v>[c Table 2 Row]</v>
      </c>
      <c r="H35" s="11" t="s">
        <v>948</v>
      </c>
      <c r="I35" s="43" t="str">
        <f xml:space="preserve"> IF( TRIM( meta_Columns[[#This Row],[Owning Table:src]] ) = "", "",
        INDEX( meta_Tables[Display Qualified], MATCH( meta_Columns[[#This Row],[Owning Table:src]], meta_Tables[ID], 0 ) ) )</f>
        <v>belowred::Table2Rows</v>
      </c>
      <c r="K35" s="22" t="str">
        <f>IF(TRIM(meta_Columns[[#This Row],[Referenced Table:src]])="","",
    INDEX(meta_Tables[Display Qualified],MATCH(meta_Columns[[#This Row],[Referenced Table:src]],meta_Tables[ID],0)))</f>
        <v/>
      </c>
      <c r="L35" s="8"/>
      <c r="M35" s="22" t="str">
        <f xml:space="preserve"> IF( TRIM( meta_Columns[[#This Row],[Referenced Table Display and Select Column:src]] ) = "", "",
        INDEX( meta_Columns[Display Qualified], MATCH( meta_Columns[[#This Row],[Referenced Table Display and Select Column:src]], meta_Columns[ID], 0 ) ) )</f>
        <v/>
      </c>
      <c r="N35" s="8" t="str">
        <f>IF(meta_Columns[[#This Row],[Excel Column - Excel Formula]]="","x","")</f>
        <v>x</v>
      </c>
      <c r="O35" s="22"/>
      <c r="P35" s="8" t="str">
        <f>IF(meta_Columns[[#This Row],[Referenced Table:src]]="","",INDEX(meta_Tables[Instances Class],MATCH(meta_Columns[[#This Row],[Referenced Table:src]],meta_Tables[ID],0)))</f>
        <v/>
      </c>
      <c r="Q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belowred::Table2Row.stringValue2</v>
      </c>
      <c r="R35" s="8"/>
      <c r="S35" s="22" t="str">
        <f xml:space="preserve"> IF( TRIM( meta_Columns[[#This Row],[Property:src]] ) = "", "",
        INDEX( meta_TypedModelElements[Display Qualified], MATCH( meta_Columns[[#This Row],[Property:src]], meta_TypedModelElements[ID], 0 ) ) )</f>
        <v/>
      </c>
      <c r="T35" s="22"/>
      <c r="U35" s="8" t="e">
        <f>INDEX(meta_Classifiers[Class - Generalization:src], MATCH(meta_Columns[[#This Row],[Generalization 5]],meta_Classifiers[ID],0))</f>
        <v>#N/A</v>
      </c>
      <c r="V35" s="8" t="e">
        <f>INDEX(meta_Classifiers[Class - Generalization:src], MATCH(meta_Columns[[#This Row],[Generalization 4]],meta_Classifiers[ID],0))</f>
        <v>#N/A</v>
      </c>
      <c r="W35" s="8" t="e">
        <f>INDEX(meta_Classifiers[Class - Generalization:src], MATCH(meta_Columns[[#This Row],[Generalization 3]],meta_Classifiers[ID],0))</f>
        <v>#N/A</v>
      </c>
      <c r="X35" s="8" t="e">
        <f>INDEX(meta_Classifiers[Class - Generalization:src], MATCH(meta_Columns[[#This Row],[Generalization 2]],meta_Classifiers[ID],0))</f>
        <v>#N/A</v>
      </c>
      <c r="Y35" s="8" t="str">
        <f>INDEX(meta_Classifiers[Class - Generalization:src], MATCH(meta_Columns[[#This Row],[Generalization 1]],meta_Classifiers[ID],0))</f>
        <v/>
      </c>
      <c r="Z35" s="8" t="str">
        <f>INDEX(meta_Classifiers[Class - Generalization:src], MATCH(meta_Columns[[#This Row],[Owning Table Instances Class]],meta_Classifiers[ID],0))</f>
        <v>_Object</v>
      </c>
      <c r="AA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 s="8" t="b">
        <f>_xlfn.IFNA(
INDEX(meta_Classifiers[Class - Generalization:src],MATCH(
INDEX(meta_Classifiers[Class - Generalization:src],MATCH(meta_Columns[[#This Row],[Property Owning Class]],meta_Classifiers[ID],0)),meta_Classifiers[ID],0))
=meta_Columns[[#This Row],[Owning Table Instances Class]],FALSE)</f>
        <v>0</v>
      </c>
      <c r="AG35" s="8" t="b">
        <f>_xlfn.IFNA(INDEX(meta_Classifiers[Class - Generalization:src],MATCH(meta_Columns[[#This Row],[Property Owning Class]],meta_Classifiers[ID],0))=meta_Columns[[#This Row],[Owning Table Instances Class]],FALSE)</f>
        <v>0</v>
      </c>
      <c r="AH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 s="8" t="e">
        <f>INDEX(meta_Classifiers[Name],MATCH(INDEX(meta_TypedModelElements[Property - Owning Class:src],MATCH(meta_Columns[[#This Row],[Property]],meta_TypedModelElements[ID],0)),meta_Classifiers[ID],0))</f>
        <v>#N/A</v>
      </c>
      <c r="AJ35" s="8" t="e">
        <f>INDEX(meta_TypedModelElements[Property - Owning Class:src],MATCH(meta_Columns[[#This Row],[Property]],meta_TypedModelElements[ID],0))</f>
        <v>#N/A</v>
      </c>
      <c r="AK35" s="8" t="e">
        <f>INDEX(meta_TypedModelElements[Kind:src],MATCH(meta_Columns[[#This Row],[Property]],meta_TypedModelElements[ID],0))</f>
        <v>#N/A</v>
      </c>
      <c r="AL35" s="8" t="e">
        <f>INDEX(meta_TypedModelElements[Name or Type],MATCH(meta_Columns[[#This Row],[Property]],meta_TypedModelElements[ID],0))</f>
        <v>#N/A</v>
      </c>
      <c r="AM35" s="8" t="e">
        <f>INDEX(meta_TypedModelElements[Property - Changeable],MATCH(meta_Columns[[#This Row],[Property]],meta_TypedModelElements[ID],0))</f>
        <v>#N/A</v>
      </c>
      <c r="AN35" s="43">
        <v>8</v>
      </c>
      <c r="AO35" s="22">
        <v>7</v>
      </c>
      <c r="AP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 s="8" t="str">
        <f xml:space="preserve"> IF(meta_Columns[[#This Row],[Property Owning Class is Specialization of Instance Class]],meta_Columns[[#This Row],[Property Owning Class Name]]&amp;" - ","")</f>
        <v/>
      </c>
      <c r="AR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2</v>
      </c>
      <c r="AT35" s="8" t="str">
        <f>IFERROR(LEFT(meta_Columns[[#This Row],[Excel Column - Label Actual without Semantic Case]],FIND("-",
meta_Columns[[#This Row],[Excel Column - Label Actual without Semantic Case]])-2),"")</f>
        <v/>
      </c>
      <c r="AU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2</v>
      </c>
      <c r="AV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2</v>
      </c>
      <c r="AX35" s="22"/>
      <c r="AY35" s="8" t="str">
        <f>meta_Columns[[#This Row],[Owning Table]]&amp;"."&amp;meta_Columns[[#This Row],[Excel Column - Label]]</f>
        <v>belowred::Table2Rows.String Value 2</v>
      </c>
      <c r="AZ35" s="43" t="s">
        <v>64</v>
      </c>
      <c r="BA35" s="44" t="str">
        <f>IF(TRIM(meta_Columns[[#This Row],[Excel Column - Label Overwrite]])&lt;&gt;"",meta_Columns[[#This Row],[Excel Column - Label Overwrite]],meta_Columns[[#This Row],[Excel Column - Label from Property or Referenced Table]])</f>
        <v>String Value 2</v>
      </c>
      <c r="BB35" s="43"/>
      <c r="BC35" s="44" t="str">
        <f>IF(meta_Columns[[#This Row],[Excel Column - Explicit Excel Formula]]="","",meta_Columns[[#This Row],[Excel Column - Explicit Excel Formula]])</f>
        <v/>
      </c>
      <c r="BD35" s="5"/>
      <c r="BE35" s="5"/>
    </row>
    <row r="36" spans="1:57">
      <c r="A36" s="10" t="s">
        <v>1052</v>
      </c>
      <c r="B36" s="11" t="s">
        <v>546</v>
      </c>
      <c r="C36" s="22" t="str">
        <f xml:space="preserve"> IF( TRIM( meta_Columns[[#This Row],[Kind:src]] ) = "", "",
        INDEX( meta_Classifiers[Display Qualified], MATCH( meta_Columns[[#This Row],[Kind:src]], meta_Classifiers[ID], 0 ) ) )</f>
        <v>ExcelColumn</v>
      </c>
      <c r="D36" s="44" t="str">
        <f>IF(meta_Columns[[#This Row],[Owning Table:src]]="","",INDEX(meta_Classifiers[Package],MATCH(meta_Columns[[#This Row],[Owning Table Instances Class]],meta_Classifiers[ID],0)))</f>
        <v>belowred</v>
      </c>
      <c r="E36" s="43"/>
      <c r="F36" s="44" t="str">
        <f>INDEX(meta_Tables[Excel Table - Excel Name],MATCH(meta_Columns[[#This Row],[Owning Table:src]],meta_Tables[ID],0))</f>
        <v>belowred_Table2Rows</v>
      </c>
      <c r="G36" s="44" t="str">
        <f>INDEX(meta_Tables[Instances Class:src],MATCH(meta_Columns[[#This Row],[Owning Table:src]],meta_Tables[ID],0))</f>
        <v>[c Table 2 Row]</v>
      </c>
      <c r="H36" s="11" t="s">
        <v>948</v>
      </c>
      <c r="I36" s="43" t="str">
        <f xml:space="preserve"> IF( TRIM( meta_Columns[[#This Row],[Owning Table:src]] ) = "", "",
        INDEX( meta_Tables[Display Qualified], MATCH( meta_Columns[[#This Row],[Owning Table:src]], meta_Tables[ID], 0 ) ) )</f>
        <v>belowred::Table2Rows</v>
      </c>
      <c r="K36" s="22" t="str">
        <f>IF(TRIM(meta_Columns[[#This Row],[Referenced Table:src]])="","",
    INDEX(meta_Tables[Display Qualified],MATCH(meta_Columns[[#This Row],[Referenced Table:src]],meta_Tables[ID],0)))</f>
        <v/>
      </c>
      <c r="L36" s="8"/>
      <c r="M36" s="22" t="str">
        <f xml:space="preserve"> IF( TRIM( meta_Columns[[#This Row],[Referenced Table Display and Select Column:src]] ) = "", "",
        INDEX( meta_Columns[Display Qualified], MATCH( meta_Columns[[#This Row],[Referenced Table Display and Select Column:src]], meta_Columns[ID], 0 ) ) )</f>
        <v/>
      </c>
      <c r="N36" s="8" t="str">
        <f>IF(meta_Columns[[#This Row],[Excel Column - Excel Formula]]="","x","")</f>
        <v>x</v>
      </c>
      <c r="O36" s="22"/>
      <c r="P36" s="8" t="str">
        <f>IF(meta_Columns[[#This Row],[Referenced Table:src]]="","",INDEX(meta_Tables[Instances Class],MATCH(meta_Columns[[#This Row],[Referenced Table:src]],meta_Tables[ID],0)))</f>
        <v/>
      </c>
      <c r="Q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belowred::Table2Row.table1Row</v>
      </c>
      <c r="R36" s="8"/>
      <c r="S36" s="22" t="str">
        <f xml:space="preserve"> IF( TRIM( meta_Columns[[#This Row],[Property:src]] ) = "", "",
        INDEX( meta_TypedModelElements[Display Qualified], MATCH( meta_Columns[[#This Row],[Property:src]], meta_TypedModelElements[ID], 0 ) ) )</f>
        <v/>
      </c>
      <c r="T36" s="22"/>
      <c r="U36" s="8" t="e">
        <f>INDEX(meta_Classifiers[Class - Generalization:src], MATCH(meta_Columns[[#This Row],[Generalization 5]],meta_Classifiers[ID],0))</f>
        <v>#N/A</v>
      </c>
      <c r="V36" s="8" t="e">
        <f>INDEX(meta_Classifiers[Class - Generalization:src], MATCH(meta_Columns[[#This Row],[Generalization 4]],meta_Classifiers[ID],0))</f>
        <v>#N/A</v>
      </c>
      <c r="W36" s="8" t="e">
        <f>INDEX(meta_Classifiers[Class - Generalization:src], MATCH(meta_Columns[[#This Row],[Generalization 3]],meta_Classifiers[ID],0))</f>
        <v>#N/A</v>
      </c>
      <c r="X36" s="8" t="e">
        <f>INDEX(meta_Classifiers[Class - Generalization:src], MATCH(meta_Columns[[#This Row],[Generalization 2]],meta_Classifiers[ID],0))</f>
        <v>#N/A</v>
      </c>
      <c r="Y36" s="8" t="str">
        <f>INDEX(meta_Classifiers[Class - Generalization:src], MATCH(meta_Columns[[#This Row],[Generalization 1]],meta_Classifiers[ID],0))</f>
        <v/>
      </c>
      <c r="Z36" s="8" t="str">
        <f>INDEX(meta_Classifiers[Class - Generalization:src], MATCH(meta_Columns[[#This Row],[Owning Table Instances Class]],meta_Classifiers[ID],0))</f>
        <v>_Object</v>
      </c>
      <c r="AA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 s="8" t="b">
        <f>_xlfn.IFNA(
INDEX(meta_Classifiers[Class - Generalization:src],MATCH(
INDEX(meta_Classifiers[Class - Generalization:src],MATCH(meta_Columns[[#This Row],[Property Owning Class]],meta_Classifiers[ID],0)),meta_Classifiers[ID],0))
=meta_Columns[[#This Row],[Owning Table Instances Class]],FALSE)</f>
        <v>0</v>
      </c>
      <c r="AG36" s="8" t="b">
        <f>_xlfn.IFNA(INDEX(meta_Classifiers[Class - Generalization:src],MATCH(meta_Columns[[#This Row],[Property Owning Class]],meta_Classifiers[ID],0))=meta_Columns[[#This Row],[Owning Table Instances Class]],FALSE)</f>
        <v>0</v>
      </c>
      <c r="AH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 s="8" t="e">
        <f>INDEX(meta_Classifiers[Name],MATCH(INDEX(meta_TypedModelElements[Property - Owning Class:src],MATCH(meta_Columns[[#This Row],[Property]],meta_TypedModelElements[ID],0)),meta_Classifiers[ID],0))</f>
        <v>#N/A</v>
      </c>
      <c r="AJ36" s="8" t="e">
        <f>INDEX(meta_TypedModelElements[Property - Owning Class:src],MATCH(meta_Columns[[#This Row],[Property]],meta_TypedModelElements[ID],0))</f>
        <v>#N/A</v>
      </c>
      <c r="AK36" s="8" t="e">
        <f>INDEX(meta_TypedModelElements[Kind:src],MATCH(meta_Columns[[#This Row],[Property]],meta_TypedModelElements[ID],0))</f>
        <v>#N/A</v>
      </c>
      <c r="AL36" s="8" t="e">
        <f>INDEX(meta_TypedModelElements[Name or Type],MATCH(meta_Columns[[#This Row],[Property]],meta_TypedModelElements[ID],0))</f>
        <v>#N/A</v>
      </c>
      <c r="AM36" s="8" t="e">
        <f>INDEX(meta_TypedModelElements[Property - Changeable],MATCH(meta_Columns[[#This Row],[Property]],meta_TypedModelElements[ID],0))</f>
        <v>#N/A</v>
      </c>
      <c r="AN36" s="43">
        <v>9</v>
      </c>
      <c r="AO36" s="22">
        <v>8</v>
      </c>
      <c r="AP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 s="8" t="str">
        <f xml:space="preserve"> IF(meta_Columns[[#This Row],[Property Owning Class is Specialization of Instance Class]],meta_Columns[[#This Row],[Property Owning Class Name]]&amp;" - ","")</f>
        <v/>
      </c>
      <c r="AR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1 Row</v>
      </c>
      <c r="AT36" s="8" t="str">
        <f>IFERROR(LEFT(meta_Columns[[#This Row],[Excel Column - Label Actual without Semantic Case]],FIND("-",
meta_Columns[[#This Row],[Excel Column - Label Actual without Semantic Case]])-2),"")</f>
        <v/>
      </c>
      <c r="AU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1 Row</v>
      </c>
      <c r="AV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1 Row</v>
      </c>
      <c r="AX36" s="22"/>
      <c r="AY36" s="8" t="str">
        <f>meta_Columns[[#This Row],[Owning Table]]&amp;"."&amp;meta_Columns[[#This Row],[Excel Column - Label]]</f>
        <v>belowred::Table2Rows.Table 1 Row</v>
      </c>
      <c r="AZ36" s="43" t="s">
        <v>128</v>
      </c>
      <c r="BA36" s="44" t="str">
        <f>IF(TRIM(meta_Columns[[#This Row],[Excel Column - Label Overwrite]])&lt;&gt;"",meta_Columns[[#This Row],[Excel Column - Label Overwrite]],meta_Columns[[#This Row],[Excel Column - Label from Property or Referenced Table]])</f>
        <v>Table 1 Row</v>
      </c>
      <c r="BB36" s="43"/>
      <c r="BC36" s="44" t="str">
        <f>IF(meta_Columns[[#This Row],[Excel Column - Explicit Excel Formula]]="","",meta_Columns[[#This Row],[Excel Column - Explicit Excel Formula]])</f>
        <v/>
      </c>
      <c r="BD36" s="5"/>
      <c r="BE36" s="5"/>
    </row>
    <row r="37" spans="1:57">
      <c r="A37" s="10" t="s">
        <v>1053</v>
      </c>
      <c r="B37" s="11" t="s">
        <v>546</v>
      </c>
      <c r="C37" s="22" t="str">
        <f xml:space="preserve"> IF( TRIM( meta_Columns[[#This Row],[Kind:src]] ) = "", "",
        INDEX( meta_Classifiers[Display Qualified], MATCH( meta_Columns[[#This Row],[Kind:src]], meta_Classifiers[ID], 0 ) ) )</f>
        <v>ExcelColumn</v>
      </c>
      <c r="D37" s="44" t="str">
        <f>IF(meta_Columns[[#This Row],[Owning Table:src]]="","",INDEX(meta_Classifiers[Package],MATCH(meta_Columns[[#This Row],[Owning Table Instances Class]],meta_Classifiers[ID],0)))</f>
        <v>belowred</v>
      </c>
      <c r="E37" s="43"/>
      <c r="F37" s="44" t="str">
        <f>INDEX(meta_Tables[Excel Table - Excel Name],MATCH(meta_Columns[[#This Row],[Owning Table:src]],meta_Tables[ID],0))</f>
        <v>belowred_Table2Rows</v>
      </c>
      <c r="G37" s="44" t="str">
        <f>INDEX(meta_Tables[Instances Class:src],MATCH(meta_Columns[[#This Row],[Owning Table:src]],meta_Tables[ID],0))</f>
        <v>[c Table 2 Row]</v>
      </c>
      <c r="H37" s="11" t="s">
        <v>948</v>
      </c>
      <c r="I37" s="43" t="str">
        <f xml:space="preserve"> IF( TRIM( meta_Columns[[#This Row],[Owning Table:src]] ) = "", "",
        INDEX( meta_Tables[Display Qualified], MATCH( meta_Columns[[#This Row],[Owning Table:src]], meta_Tables[ID], 0 ) ) )</f>
        <v>belowred::Table2Rows</v>
      </c>
      <c r="K37" s="22" t="str">
        <f>IF(TRIM(meta_Columns[[#This Row],[Referenced Table:src]])="","",
    INDEX(meta_Tables[Display Qualified],MATCH(meta_Columns[[#This Row],[Referenced Table:src]],meta_Tables[ID],0)))</f>
        <v/>
      </c>
      <c r="L37" s="8"/>
      <c r="M37" s="22" t="str">
        <f xml:space="preserve"> IF( TRIM( meta_Columns[[#This Row],[Referenced Table Display and Select Column:src]] ) = "", "",
        INDEX( meta_Columns[Display Qualified], MATCH( meta_Columns[[#This Row],[Referenced Table Display and Select Column:src]], meta_Columns[ID], 0 ) ) )</f>
        <v/>
      </c>
      <c r="N37" s="8" t="str">
        <f>IF(meta_Columns[[#This Row],[Excel Column - Excel Formula]]="","x","")</f>
        <v>x</v>
      </c>
      <c r="O37" s="22"/>
      <c r="P37" s="8" t="str">
        <f>IF(meta_Columns[[#This Row],[Referenced Table:src]]="","",INDEX(meta_Tables[Instances Class],MATCH(meta_Columns[[#This Row],[Referenced Table:src]],meta_Tables[ID],0)))</f>
        <v/>
      </c>
      <c r="Q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belowred::Table2Row.testNumber</v>
      </c>
      <c r="R37" s="8"/>
      <c r="S37" s="22" t="str">
        <f xml:space="preserve"> IF( TRIM( meta_Columns[[#This Row],[Property:src]] ) = "", "",
        INDEX( meta_TypedModelElements[Display Qualified], MATCH( meta_Columns[[#This Row],[Property:src]], meta_TypedModelElements[ID], 0 ) ) )</f>
        <v/>
      </c>
      <c r="T37" s="22"/>
      <c r="U37" s="8" t="e">
        <f>INDEX(meta_Classifiers[Class - Generalization:src], MATCH(meta_Columns[[#This Row],[Generalization 5]],meta_Classifiers[ID],0))</f>
        <v>#N/A</v>
      </c>
      <c r="V37" s="8" t="e">
        <f>INDEX(meta_Classifiers[Class - Generalization:src], MATCH(meta_Columns[[#This Row],[Generalization 4]],meta_Classifiers[ID],0))</f>
        <v>#N/A</v>
      </c>
      <c r="W37" s="8" t="e">
        <f>INDEX(meta_Classifiers[Class - Generalization:src], MATCH(meta_Columns[[#This Row],[Generalization 3]],meta_Classifiers[ID],0))</f>
        <v>#N/A</v>
      </c>
      <c r="X37" s="8" t="e">
        <f>INDEX(meta_Classifiers[Class - Generalization:src], MATCH(meta_Columns[[#This Row],[Generalization 2]],meta_Classifiers[ID],0))</f>
        <v>#N/A</v>
      </c>
      <c r="Y37" s="8" t="str">
        <f>INDEX(meta_Classifiers[Class - Generalization:src], MATCH(meta_Columns[[#This Row],[Generalization 1]],meta_Classifiers[ID],0))</f>
        <v/>
      </c>
      <c r="Z37" s="8" t="str">
        <f>INDEX(meta_Classifiers[Class - Generalization:src], MATCH(meta_Columns[[#This Row],[Owning Table Instances Class]],meta_Classifiers[ID],0))</f>
        <v>_Object</v>
      </c>
      <c r="AA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 s="8" t="b">
        <f>_xlfn.IFNA(
INDEX(meta_Classifiers[Class - Generalization:src],MATCH(
INDEX(meta_Classifiers[Class - Generalization:src],MATCH(meta_Columns[[#This Row],[Property Owning Class]],meta_Classifiers[ID],0)),meta_Classifiers[ID],0))
=meta_Columns[[#This Row],[Owning Table Instances Class]],FALSE)</f>
        <v>0</v>
      </c>
      <c r="AG37" s="8" t="b">
        <f>_xlfn.IFNA(INDEX(meta_Classifiers[Class - Generalization:src],MATCH(meta_Columns[[#This Row],[Property Owning Class]],meta_Classifiers[ID],0))=meta_Columns[[#This Row],[Owning Table Instances Class]],FALSE)</f>
        <v>0</v>
      </c>
      <c r="AH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 s="8" t="e">
        <f>INDEX(meta_Classifiers[Name],MATCH(INDEX(meta_TypedModelElements[Property - Owning Class:src],MATCH(meta_Columns[[#This Row],[Property]],meta_TypedModelElements[ID],0)),meta_Classifiers[ID],0))</f>
        <v>#N/A</v>
      </c>
      <c r="AJ37" s="8" t="e">
        <f>INDEX(meta_TypedModelElements[Property - Owning Class:src],MATCH(meta_Columns[[#This Row],[Property]],meta_TypedModelElements[ID],0))</f>
        <v>#N/A</v>
      </c>
      <c r="AK37" s="8" t="e">
        <f>INDEX(meta_TypedModelElements[Kind:src],MATCH(meta_Columns[[#This Row],[Property]],meta_TypedModelElements[ID],0))</f>
        <v>#N/A</v>
      </c>
      <c r="AL37" s="8" t="e">
        <f>INDEX(meta_TypedModelElements[Name or Type],MATCH(meta_Columns[[#This Row],[Property]],meta_TypedModelElements[ID],0))</f>
        <v>#N/A</v>
      </c>
      <c r="AM37" s="8" t="e">
        <f>INDEX(meta_TypedModelElements[Property - Changeable],MATCH(meta_Columns[[#This Row],[Property]],meta_TypedModelElements[ID],0))</f>
        <v>#N/A</v>
      </c>
      <c r="AN37" s="43">
        <v>10</v>
      </c>
      <c r="AO37" s="22">
        <v>9</v>
      </c>
      <c r="AP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 s="8" t="str">
        <f xml:space="preserve"> IF(meta_Columns[[#This Row],[Property Owning Class is Specialization of Instance Class]],meta_Columns[[#This Row],[Property Owning Class Name]]&amp;" - ","")</f>
        <v/>
      </c>
      <c r="AR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Number</v>
      </c>
      <c r="AT37" s="8" t="str">
        <f>IFERROR(LEFT(meta_Columns[[#This Row],[Excel Column - Label Actual without Semantic Case]],FIND("-",
meta_Columns[[#This Row],[Excel Column - Label Actual without Semantic Case]])-2),"")</f>
        <v/>
      </c>
      <c r="AU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Number</v>
      </c>
      <c r="AV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Number</v>
      </c>
      <c r="AX37" s="22"/>
      <c r="AY37" s="8" t="str">
        <f>meta_Columns[[#This Row],[Owning Table]]&amp;"."&amp;meta_Columns[[#This Row],[Excel Column - Label]]</f>
        <v>belowred::Table2Rows.Test Number</v>
      </c>
      <c r="AZ37" s="43" t="s">
        <v>369</v>
      </c>
      <c r="BA37" s="44" t="str">
        <f>IF(TRIM(meta_Columns[[#This Row],[Excel Column - Label Overwrite]])&lt;&gt;"",meta_Columns[[#This Row],[Excel Column - Label Overwrite]],meta_Columns[[#This Row],[Excel Column - Label from Property or Referenced Table]])</f>
        <v>Test Number</v>
      </c>
      <c r="BB37" s="43"/>
      <c r="BC37" s="44" t="str">
        <f>IF(meta_Columns[[#This Row],[Excel Column - Explicit Excel Formula]]="","",meta_Columns[[#This Row],[Excel Column - Explicit Excel Formula]])</f>
        <v/>
      </c>
      <c r="BD37" s="5"/>
      <c r="BE37" s="5"/>
    </row>
    <row r="38" spans="1:57">
      <c r="A38" s="10" t="s">
        <v>1054</v>
      </c>
      <c r="B38" s="11" t="s">
        <v>546</v>
      </c>
      <c r="C38" s="22" t="str">
        <f xml:space="preserve"> IF( TRIM( meta_Columns[[#This Row],[Kind:src]] ) = "", "",
        INDEX( meta_Classifiers[Display Qualified], MATCH( meta_Columns[[#This Row],[Kind:src]], meta_Classifiers[ID], 0 ) ) )</f>
        <v>ExcelColumn</v>
      </c>
      <c r="D38" s="44" t="str">
        <f>IF(meta_Columns[[#This Row],[Owning Table:src]]="","",INDEX(meta_Classifiers[Package],MATCH(meta_Columns[[#This Row],[Owning Table Instances Class]],meta_Classifiers[ID],0)))</f>
        <v>finance</v>
      </c>
      <c r="E38" s="43"/>
      <c r="F38" s="44" t="str">
        <f>INDEX(meta_Tables[Excel Table - Excel Name],MATCH(meta_Columns[[#This Row],[Owning Table:src]],meta_Tables[ID],0))</f>
        <v>finance_Portfolios</v>
      </c>
      <c r="G38" s="44" t="str">
        <f>INDEX(meta_Tables[Instances Class:src],MATCH(meta_Columns[[#This Row],[Owning Table:src]],meta_Tables[ID],0))</f>
        <v>finance::Portfolio</v>
      </c>
      <c r="H38" s="11" t="s">
        <v>945</v>
      </c>
      <c r="I38" s="43" t="str">
        <f xml:space="preserve"> IF( TRIM( meta_Columns[[#This Row],[Owning Table:src]] ) = "", "",
        INDEX( meta_Tables[Display Qualified], MATCH( meta_Columns[[#This Row],[Owning Table:src]], meta_Tables[ID], 0 ) ) )</f>
        <v>finance::Portfolios</v>
      </c>
      <c r="K38" s="22" t="str">
        <f>IF(TRIM(meta_Columns[[#This Row],[Referenced Table:src]])="","",
    INDEX(meta_Tables[Display Qualified],MATCH(meta_Columns[[#This Row],[Referenced Table:src]],meta_Tables[ID],0)))</f>
        <v/>
      </c>
      <c r="L38" s="8"/>
      <c r="M38" s="22" t="str">
        <f xml:space="preserve"> IF( TRIM( meta_Columns[[#This Row],[Referenced Table Display and Select Column:src]] ) = "", "",
        INDEX( meta_Columns[Display Qualified], MATCH( meta_Columns[[#This Row],[Referenced Table Display and Select Column:src]], meta_Columns[ID], 0 ) ) )</f>
        <v/>
      </c>
      <c r="N38" s="8" t="str">
        <f>IF(meta_Columns[[#This Row],[Excel Column - Excel Formula]]="","x","")</f>
        <v>x</v>
      </c>
      <c r="O38" s="22"/>
      <c r="P38" s="8" t="str">
        <f>IF(meta_Columns[[#This Row],[Referenced Table:src]]="","",INDEX(meta_Tables[Instances Class],MATCH(meta_Columns[[#This Row],[Referenced Table:src]],meta_Tables[ID],0)))</f>
        <v/>
      </c>
      <c r="Q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8" s="8" t="s">
        <v>246</v>
      </c>
      <c r="S38" s="22" t="str">
        <f xml:space="preserve"> IF( TRIM( meta_Columns[[#This Row],[Property:src]] ) = "", "",
        INDEX( meta_TypedModelElements[Display Qualified], MATCH( meta_Columns[[#This Row],[Property:src]], meta_TypedModelElements[ID], 0 ) ) )</f>
        <v>meta::Object.iD</v>
      </c>
      <c r="T38" s="22" t="s">
        <v>42</v>
      </c>
      <c r="U38" s="8" t="e">
        <f>INDEX(meta_Classifiers[Class - Generalization:src], MATCH(meta_Columns[[#This Row],[Generalization 5]],meta_Classifiers[ID],0))</f>
        <v>#N/A</v>
      </c>
      <c r="V38" s="8" t="e">
        <f>INDEX(meta_Classifiers[Class - Generalization:src], MATCH(meta_Columns[[#This Row],[Generalization 4]],meta_Classifiers[ID],0))</f>
        <v>#N/A</v>
      </c>
      <c r="W38" s="8" t="e">
        <f>INDEX(meta_Classifiers[Class - Generalization:src], MATCH(meta_Columns[[#This Row],[Generalization 3]],meta_Classifiers[ID],0))</f>
        <v>#N/A</v>
      </c>
      <c r="X38" s="8" t="e">
        <f>INDEX(meta_Classifiers[Class - Generalization:src], MATCH(meta_Columns[[#This Row],[Generalization 2]],meta_Classifiers[ID],0))</f>
        <v>#N/A</v>
      </c>
      <c r="Y38" s="8" t="str">
        <f>INDEX(meta_Classifiers[Class - Generalization:src], MATCH(meta_Columns[[#This Row],[Generalization 1]],meta_Classifiers[ID],0))</f>
        <v/>
      </c>
      <c r="Z38" s="8" t="str">
        <f>INDEX(meta_Classifiers[Class - Generalization:src], MATCH(meta_Columns[[#This Row],[Owning Table Instances Class]],meta_Classifiers[ID],0))</f>
        <v>_Object</v>
      </c>
      <c r="AA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 s="8" t="b">
        <f>_xlfn.IFNA(
INDEX(meta_Classifiers[Class - Generalization:src],MATCH(
INDEX(meta_Classifiers[Class - Generalization:src],MATCH(meta_Columns[[#This Row],[Property Owning Class]],meta_Classifiers[ID],0)),meta_Classifiers[ID],0))
=meta_Columns[[#This Row],[Owning Table Instances Class]],FALSE)</f>
        <v>0</v>
      </c>
      <c r="AG38" s="8" t="b">
        <f>_xlfn.IFNA(INDEX(meta_Classifiers[Class - Generalization:src],MATCH(meta_Columns[[#This Row],[Property Owning Class]],meta_Classifiers[ID],0))=meta_Columns[[#This Row],[Owning Table Instances Class]],FALSE)</f>
        <v>0</v>
      </c>
      <c r="AH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 s="8" t="str">
        <f>INDEX(meta_Classifiers[Name],MATCH(INDEX(meta_TypedModelElements[Property - Owning Class:src],MATCH(meta_Columns[[#This Row],[Property]],meta_TypedModelElements[ID],0)),meta_Classifiers[ID],0))</f>
        <v>Object</v>
      </c>
      <c r="AJ38" s="8" t="str">
        <f>INDEX(meta_TypedModelElements[Property - Owning Class:src],MATCH(meta_Columns[[#This Row],[Property]],meta_TypedModelElements[ID],0))</f>
        <v>_Object</v>
      </c>
      <c r="AK38" s="8" t="str">
        <f>INDEX(meta_TypedModelElements[Kind:src],MATCH(meta_Columns[[#This Row],[Property]],meta_TypedModelElements[ID],0))</f>
        <v>_Attribute</v>
      </c>
      <c r="AL38" s="8" t="str">
        <f>INDEX(meta_TypedModelElements[Name or Type],MATCH(meta_Columns[[#This Row],[Property]],meta_TypedModelElements[ID],0))</f>
        <v>ID</v>
      </c>
      <c r="AM38" s="8" t="str">
        <f>INDEX(meta_TypedModelElements[Property - Changeable],MATCH(meta_Columns[[#This Row],[Property]],meta_TypedModelElements[ID],0))</f>
        <v>x</v>
      </c>
      <c r="AN38" s="43">
        <v>1</v>
      </c>
      <c r="AO38" s="22">
        <v>1</v>
      </c>
      <c r="AP3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8" s="8" t="str">
        <f xml:space="preserve"> IF(meta_Columns[[#This Row],[Property Owning Class is Specialization of Instance Class]],meta_Columns[[#This Row],[Property Owning Class Name]]&amp;" - ","")</f>
        <v/>
      </c>
      <c r="AR3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8" s="8" t="str">
        <f>IFERROR(LEFT(meta_Columns[[#This Row],[Excel Column - Label Actual without Semantic Case]],FIND("-",
meta_Columns[[#This Row],[Excel Column - Label Actual without Semantic Case]])-2),"")</f>
        <v/>
      </c>
      <c r="AU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8" s="22"/>
      <c r="AY38" s="8" t="str">
        <f>meta_Columns[[#This Row],[Owning Table]]&amp;"."&amp;meta_Columns[[#This Row],[Excel Column - Label]]</f>
        <v>finance::Portfolios.ID</v>
      </c>
      <c r="AZ38" s="43" t="s">
        <v>0</v>
      </c>
      <c r="BA38" s="44" t="str">
        <f>IF(TRIM(meta_Columns[[#This Row],[Excel Column - Label Overwrite]])&lt;&gt;"",meta_Columns[[#This Row],[Excel Column - Label Overwrite]],meta_Columns[[#This Row],[Excel Column - Label from Property or Referenced Table]])</f>
        <v>ID</v>
      </c>
      <c r="BB38" s="43"/>
      <c r="BC38" s="44" t="str">
        <f>IF(meta_Columns[[#This Row],[Excel Column - Explicit Excel Formula]]="","",meta_Columns[[#This Row],[Excel Column - Explicit Excel Formula]])</f>
        <v/>
      </c>
      <c r="BD38" s="5"/>
      <c r="BE38" s="5"/>
    </row>
    <row r="39" spans="1:57">
      <c r="A39" s="10" t="s">
        <v>1342</v>
      </c>
      <c r="B39" s="11" t="s">
        <v>546</v>
      </c>
      <c r="C39" s="22" t="str">
        <f xml:space="preserve"> IF( TRIM( meta_Columns[[#This Row],[Kind:src]] ) = "", "",
        INDEX( meta_Classifiers[Display Qualified], MATCH( meta_Columns[[#This Row],[Kind:src]], meta_Classifiers[ID], 0 ) ) )</f>
        <v>ExcelColumn</v>
      </c>
      <c r="D39" s="44" t="str">
        <f>IF(meta_Columns[[#This Row],[Owning Table:src]]="","",INDEX(meta_Classifiers[Package],MATCH(meta_Columns[[#This Row],[Owning Table Instances Class]],meta_Classifiers[ID],0)))</f>
        <v>finance</v>
      </c>
      <c r="E39" s="43"/>
      <c r="F39" s="44" t="str">
        <f>INDEX(meta_Tables[Excel Table - Excel Name],MATCH(meta_Columns[[#This Row],[Owning Table:src]],meta_Tables[ID],0))</f>
        <v>finance_Portfolios</v>
      </c>
      <c r="G39" s="44" t="str">
        <f>INDEX(meta_Tables[Instances Class:src],MATCH(meta_Columns[[#This Row],[Owning Table:src]],meta_Tables[ID],0))</f>
        <v>finance::Portfolio</v>
      </c>
      <c r="H39" s="11" t="s">
        <v>945</v>
      </c>
      <c r="I39" s="43" t="str">
        <f xml:space="preserve"> IF( TRIM( meta_Columns[[#This Row],[Owning Table:src]] ) = "", "",
        INDEX( meta_Tables[Display Qualified], MATCH( meta_Columns[[#This Row],[Owning Table:src]], meta_Tables[ID], 0 ) ) )</f>
        <v>finance::Portfolios</v>
      </c>
      <c r="K39" s="22" t="str">
        <f>IF(TRIM(meta_Columns[[#This Row],[Referenced Table:src]])="","",
    INDEX(meta_Tables[Display Qualified],MATCH(meta_Columns[[#This Row],[Referenced Table:src]],meta_Tables[ID],0)))</f>
        <v/>
      </c>
      <c r="L39" s="8"/>
      <c r="M39" s="22" t="str">
        <f xml:space="preserve"> IF( TRIM( meta_Columns[[#This Row],[Referenced Table Display and Select Column:src]] ) = "", "",
        INDEX( meta_Columns[Display Qualified], MATCH( meta_Columns[[#This Row],[Referenced Table Display and Select Column:src]], meta_Columns[ID], 0 ) ) )</f>
        <v/>
      </c>
      <c r="N39" s="8" t="str">
        <f>IF(meta_Columns[[#This Row],[Excel Column - Excel Formula]]="","x","")</f>
        <v>x</v>
      </c>
      <c r="O39" s="22"/>
      <c r="P39" s="8" t="str">
        <f>IF(meta_Columns[[#This Row],[Referenced Table:src]]="","",INDEX(meta_Tables[Instances Class],MATCH(meta_Columns[[#This Row],[Referenced Table:src]],meta_Tables[ID],0)))</f>
        <v/>
      </c>
      <c r="Q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 s="8" t="s">
        <v>247</v>
      </c>
      <c r="S39" s="22" t="str">
        <f xml:space="preserve"> IF( TRIM( meta_Columns[[#This Row],[Property:src]] ) = "", "",
        INDEX( meta_TypedModelElements[Display Qualified], MATCH( meta_Columns[[#This Row],[Property:src]], meta_TypedModelElements[ID], 0 ) ) )</f>
        <v>meta::Object.kind</v>
      </c>
      <c r="T39" s="22" t="s">
        <v>42</v>
      </c>
      <c r="U39" s="8" t="e">
        <f>INDEX(meta_Classifiers[Class - Generalization:src], MATCH(meta_Columns[[#This Row],[Generalization 5]],meta_Classifiers[ID],0))</f>
        <v>#N/A</v>
      </c>
      <c r="V39" s="8" t="e">
        <f>INDEX(meta_Classifiers[Class - Generalization:src], MATCH(meta_Columns[[#This Row],[Generalization 4]],meta_Classifiers[ID],0))</f>
        <v>#N/A</v>
      </c>
      <c r="W39" s="8" t="e">
        <f>INDEX(meta_Classifiers[Class - Generalization:src], MATCH(meta_Columns[[#This Row],[Generalization 3]],meta_Classifiers[ID],0))</f>
        <v>#N/A</v>
      </c>
      <c r="X39" s="8" t="e">
        <f>INDEX(meta_Classifiers[Class - Generalization:src], MATCH(meta_Columns[[#This Row],[Generalization 2]],meta_Classifiers[ID],0))</f>
        <v>#N/A</v>
      </c>
      <c r="Y39" s="8" t="str">
        <f>INDEX(meta_Classifiers[Class - Generalization:src], MATCH(meta_Columns[[#This Row],[Generalization 1]],meta_Classifiers[ID],0))</f>
        <v/>
      </c>
      <c r="Z39" s="8" t="str">
        <f>INDEX(meta_Classifiers[Class - Generalization:src], MATCH(meta_Columns[[#This Row],[Owning Table Instances Class]],meta_Classifiers[ID],0))</f>
        <v>_Object</v>
      </c>
      <c r="AA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 s="8" t="b">
        <f>_xlfn.IFNA(
INDEX(meta_Classifiers[Class - Generalization:src],MATCH(
INDEX(meta_Classifiers[Class - Generalization:src],MATCH(meta_Columns[[#This Row],[Property Owning Class]],meta_Classifiers[ID],0)),meta_Classifiers[ID],0))
=meta_Columns[[#This Row],[Owning Table Instances Class]],FALSE)</f>
        <v>0</v>
      </c>
      <c r="AG39" s="8" t="b">
        <f>_xlfn.IFNA(INDEX(meta_Classifiers[Class - Generalization:src],MATCH(meta_Columns[[#This Row],[Property Owning Class]],meta_Classifiers[ID],0))=meta_Columns[[#This Row],[Owning Table Instances Class]],FALSE)</f>
        <v>0</v>
      </c>
      <c r="AH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 s="8" t="str">
        <f>INDEX(meta_Classifiers[Name],MATCH(INDEX(meta_TypedModelElements[Property - Owning Class:src],MATCH(meta_Columns[[#This Row],[Property]],meta_TypedModelElements[ID],0)),meta_Classifiers[ID],0))</f>
        <v>Object</v>
      </c>
      <c r="AJ39" s="8" t="str">
        <f>INDEX(meta_TypedModelElements[Property - Owning Class:src],MATCH(meta_Columns[[#This Row],[Property]],meta_TypedModelElements[ID],0))</f>
        <v>_Object</v>
      </c>
      <c r="AK39" s="8" t="str">
        <f>INDEX(meta_TypedModelElements[Kind:src],MATCH(meta_Columns[[#This Row],[Property]],meta_TypedModelElements[ID],0))</f>
        <v>_Reference</v>
      </c>
      <c r="AL39" s="8" t="str">
        <f>INDEX(meta_TypedModelElements[Name or Type],MATCH(meta_Columns[[#This Row],[Property]],meta_TypedModelElements[ID],0))</f>
        <v>Kind</v>
      </c>
      <c r="AM39" s="8" t="str">
        <f>INDEX(meta_TypedModelElements[Property - Changeable],MATCH(meta_Columns[[#This Row],[Property]],meta_TypedModelElements[ID],0))</f>
        <v>x</v>
      </c>
      <c r="AN39" s="43">
        <v>2</v>
      </c>
      <c r="AO39" s="22">
        <v>2</v>
      </c>
      <c r="AP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9" s="8" t="str">
        <f xml:space="preserve"> IF(meta_Columns[[#This Row],[Property Owning Class is Specialization of Instance Class]],meta_Columns[[#This Row],[Property Owning Class Name]]&amp;" - ","")</f>
        <v/>
      </c>
      <c r="AR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9" s="8" t="str">
        <f>IFERROR(LEFT(meta_Columns[[#This Row],[Excel Column - Label Actual without Semantic Case]],FIND("-",
meta_Columns[[#This Row],[Excel Column - Label Actual without Semantic Case]])-2),"")</f>
        <v/>
      </c>
      <c r="AU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9" s="22"/>
      <c r="AY39" s="8" t="str">
        <f>meta_Columns[[#This Row],[Owning Table]]&amp;"."&amp;meta_Columns[[#This Row],[Excel Column - Label]]</f>
        <v>finance::Portfolios.Kind:src</v>
      </c>
      <c r="AZ39" s="43" t="s">
        <v>230</v>
      </c>
      <c r="BA39" s="44" t="str">
        <f>IF(TRIM(meta_Columns[[#This Row],[Excel Column - Label Overwrite]])&lt;&gt;"",meta_Columns[[#This Row],[Excel Column - Label Overwrite]],meta_Columns[[#This Row],[Excel Column - Label from Property or Referenced Table]])</f>
        <v>Kind:src</v>
      </c>
      <c r="BB39" s="43"/>
      <c r="BC39" s="44" t="str">
        <f>IF(meta_Columns[[#This Row],[Excel Column - Explicit Excel Formula]]="","",meta_Columns[[#This Row],[Excel Column - Explicit Excel Formula]])</f>
        <v/>
      </c>
      <c r="BD39" s="5"/>
      <c r="BE39" s="5"/>
    </row>
    <row r="40" spans="1:57">
      <c r="A40" s="10" t="s">
        <v>1344</v>
      </c>
      <c r="B40" s="11" t="s">
        <v>546</v>
      </c>
      <c r="C40" s="22" t="str">
        <f xml:space="preserve"> IF( TRIM( meta_Columns[[#This Row],[Kind:src]] ) = "", "",
        INDEX( meta_Classifiers[Display Qualified], MATCH( meta_Columns[[#This Row],[Kind:src]], meta_Classifiers[ID], 0 ) ) )</f>
        <v>ExcelColumn</v>
      </c>
      <c r="D40" s="44" t="str">
        <f>IF(meta_Columns[[#This Row],[Owning Table:src]]="","",INDEX(meta_Classifiers[Package],MATCH(meta_Columns[[#This Row],[Owning Table Instances Class]],meta_Classifiers[ID],0)))</f>
        <v>finance</v>
      </c>
      <c r="E40" s="43"/>
      <c r="F40" s="44" t="str">
        <f>INDEX(meta_Tables[Excel Table - Excel Name],MATCH(meta_Columns[[#This Row],[Owning Table:src]],meta_Tables[ID],0))</f>
        <v>finance_Portfolios</v>
      </c>
      <c r="G40" s="44" t="str">
        <f>INDEX(meta_Tables[Instances Class:src],MATCH(meta_Columns[[#This Row],[Owning Table:src]],meta_Tables[ID],0))</f>
        <v>finance::Portfolio</v>
      </c>
      <c r="H40" s="11" t="s">
        <v>945</v>
      </c>
      <c r="I40" s="43" t="str">
        <f xml:space="preserve"> IF( TRIM( meta_Columns[[#This Row],[Owning Table:src]] ) = "", "",
        INDEX( meta_Tables[Display Qualified], MATCH( meta_Columns[[#This Row],[Owning Table:src]], meta_Tables[ID], 0 ) ) )</f>
        <v>finance::Portfolios</v>
      </c>
      <c r="K40" s="22" t="str">
        <f>IF(TRIM(meta_Columns[[#This Row],[Referenced Table:src]])="","",
    INDEX(meta_Tables[Display Qualified],MATCH(meta_Columns[[#This Row],[Referenced Table:src]],meta_Tables[ID],0)))</f>
        <v/>
      </c>
      <c r="L40" s="8"/>
      <c r="M40" s="22" t="str">
        <f xml:space="preserve"> IF( TRIM( meta_Columns[[#This Row],[Referenced Table Display and Select Column:src]] ) = "", "",
        INDEX( meta_Columns[Display Qualified], MATCH( meta_Columns[[#This Row],[Referenced Table Display and Select Column:src]], meta_Columns[ID], 0 ) ) )</f>
        <v/>
      </c>
      <c r="N40" s="8" t="str">
        <f>IF(meta_Columns[[#This Row],[Excel Column - Excel Formula]]="","x","")</f>
        <v/>
      </c>
      <c r="O40" s="22"/>
      <c r="P40" s="8" t="str">
        <f>IF(meta_Columns[[#This Row],[Referenced Table:src]]="","",INDEX(meta_Tables[Instances Class],MATCH(meta_Columns[[#This Row],[Referenced Table:src]],meta_Tables[ID],0)))</f>
        <v/>
      </c>
      <c r="Q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0" s="8" t="s">
        <v>247</v>
      </c>
      <c r="S40" s="22" t="str">
        <f xml:space="preserve"> IF( TRIM( meta_Columns[[#This Row],[Property:src]] ) = "", "",
        INDEX( meta_TypedModelElements[Display Qualified], MATCH( meta_Columns[[#This Row],[Property:src]], meta_TypedModelElements[ID], 0 ) ) )</f>
        <v>meta::Object.kind</v>
      </c>
      <c r="T40" s="22"/>
      <c r="U40" s="8" t="e">
        <f>INDEX(meta_Classifiers[Class - Generalization:src], MATCH(meta_Columns[[#This Row],[Generalization 5]],meta_Classifiers[ID],0))</f>
        <v>#N/A</v>
      </c>
      <c r="V40" s="8" t="e">
        <f>INDEX(meta_Classifiers[Class - Generalization:src], MATCH(meta_Columns[[#This Row],[Generalization 4]],meta_Classifiers[ID],0))</f>
        <v>#N/A</v>
      </c>
      <c r="W40" s="8" t="e">
        <f>INDEX(meta_Classifiers[Class - Generalization:src], MATCH(meta_Columns[[#This Row],[Generalization 3]],meta_Classifiers[ID],0))</f>
        <v>#N/A</v>
      </c>
      <c r="X40" s="8" t="e">
        <f>INDEX(meta_Classifiers[Class - Generalization:src], MATCH(meta_Columns[[#This Row],[Generalization 2]],meta_Classifiers[ID],0))</f>
        <v>#N/A</v>
      </c>
      <c r="Y40" s="8" t="str">
        <f>INDEX(meta_Classifiers[Class - Generalization:src], MATCH(meta_Columns[[#This Row],[Generalization 1]],meta_Classifiers[ID],0))</f>
        <v/>
      </c>
      <c r="Z40" s="8" t="str">
        <f>INDEX(meta_Classifiers[Class - Generalization:src], MATCH(meta_Columns[[#This Row],[Owning Table Instances Class]],meta_Classifiers[ID],0))</f>
        <v>_Object</v>
      </c>
      <c r="AA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 s="8" t="b">
        <f>_xlfn.IFNA(
INDEX(meta_Classifiers[Class - Generalization:src],MATCH(
INDEX(meta_Classifiers[Class - Generalization:src],MATCH(meta_Columns[[#This Row],[Property Owning Class]],meta_Classifiers[ID],0)),meta_Classifiers[ID],0))
=meta_Columns[[#This Row],[Owning Table Instances Class]],FALSE)</f>
        <v>0</v>
      </c>
      <c r="AG40" s="8" t="b">
        <f>_xlfn.IFNA(INDEX(meta_Classifiers[Class - Generalization:src],MATCH(meta_Columns[[#This Row],[Property Owning Class]],meta_Classifiers[ID],0))=meta_Columns[[#This Row],[Owning Table Instances Class]],FALSE)</f>
        <v>0</v>
      </c>
      <c r="AH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 s="8" t="str">
        <f>INDEX(meta_Classifiers[Name],MATCH(INDEX(meta_TypedModelElements[Property - Owning Class:src],MATCH(meta_Columns[[#This Row],[Property]],meta_TypedModelElements[ID],0)),meta_Classifiers[ID],0))</f>
        <v>Object</v>
      </c>
      <c r="AJ40" s="8" t="str">
        <f>INDEX(meta_TypedModelElements[Property - Owning Class:src],MATCH(meta_Columns[[#This Row],[Property]],meta_TypedModelElements[ID],0))</f>
        <v>_Object</v>
      </c>
      <c r="AK40" s="8" t="str">
        <f>INDEX(meta_TypedModelElements[Kind:src],MATCH(meta_Columns[[#This Row],[Property]],meta_TypedModelElements[ID],0))</f>
        <v>_Reference</v>
      </c>
      <c r="AL40" s="8" t="str">
        <f>INDEX(meta_TypedModelElements[Name or Type],MATCH(meta_Columns[[#This Row],[Property]],meta_TypedModelElements[ID],0))</f>
        <v>Kind</v>
      </c>
      <c r="AM40" s="8" t="str">
        <f>INDEX(meta_TypedModelElements[Property - Changeable],MATCH(meta_Columns[[#This Row],[Property]],meta_TypedModelElements[ID],0))</f>
        <v>x</v>
      </c>
      <c r="AN40" s="43">
        <v>3</v>
      </c>
      <c r="AO40" s="22"/>
      <c r="AP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0" s="8" t="str">
        <f xml:space="preserve"> IF(meta_Columns[[#This Row],[Property Owning Class is Specialization of Instance Class]],meta_Columns[[#This Row],[Property Owning Class Name]]&amp;" - ","")</f>
        <v/>
      </c>
      <c r="AR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0" s="8" t="str">
        <f>IFERROR(LEFT(meta_Columns[[#This Row],[Excel Column - Label Actual without Semantic Case]],FIND("-",
meta_Columns[[#This Row],[Excel Column - Label Actual without Semantic Case]])-2),"")</f>
        <v/>
      </c>
      <c r="AU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0" s="22"/>
      <c r="AY40" s="8" t="str">
        <f>meta_Columns[[#This Row],[Owning Table]]&amp;"."&amp;meta_Columns[[#This Row],[Excel Column - Label]]</f>
        <v>finance::Portfolios.Kind</v>
      </c>
      <c r="AZ40" s="43" t="s">
        <v>5</v>
      </c>
      <c r="BA40" s="44" t="str">
        <f>IF(TRIM(meta_Columns[[#This Row],[Excel Column - Label Overwrite]])&lt;&gt;"",meta_Columns[[#This Row],[Excel Column - Label Overwrite]],meta_Columns[[#This Row],[Excel Column - Label from Property or Referenced Table]])</f>
        <v>Kind</v>
      </c>
      <c r="BB40" s="43" t="s">
        <v>1484</v>
      </c>
      <c r="BC40" s="44" t="str">
        <f>IF(meta_Columns[[#This Row],[Excel Column - Explicit Excel Formula]]="","",meta_Columns[[#This Row],[Excel Column - Explicit Excel Formula]])</f>
        <v>Formula:= IF( TRIM( [@[Kind:src]] ) = "", "",
        INDEX( meta_Classifiers[Display Qualified], MATCH( [@[Kind:src]], meta_Classifiers[ID], 0 ) ) )</v>
      </c>
      <c r="BD40" s="5" t="s">
        <v>1461</v>
      </c>
      <c r="BE40" s="5"/>
    </row>
    <row r="41" spans="1:57">
      <c r="A41" s="10" t="s">
        <v>1345</v>
      </c>
      <c r="B41" s="11" t="s">
        <v>546</v>
      </c>
      <c r="C41" s="22" t="str">
        <f xml:space="preserve"> IF( TRIM( meta_Columns[[#This Row],[Kind:src]] ) = "", "",
        INDEX( meta_Classifiers[Display Qualified], MATCH( meta_Columns[[#This Row],[Kind:src]], meta_Classifiers[ID], 0 ) ) )</f>
        <v>ExcelColumn</v>
      </c>
      <c r="D41" s="44" t="str">
        <f>IF(meta_Columns[[#This Row],[Owning Table:src]]="","",INDEX(meta_Classifiers[Package],MATCH(meta_Columns[[#This Row],[Owning Table Instances Class]],meta_Classifiers[ID],0)))</f>
        <v>finance</v>
      </c>
      <c r="E41" s="43"/>
      <c r="F41" s="44" t="str">
        <f>INDEX(meta_Tables[Excel Table - Excel Name],MATCH(meta_Columns[[#This Row],[Owning Table:src]],meta_Tables[ID],0))</f>
        <v>finance_Portfolios</v>
      </c>
      <c r="G41" s="44" t="str">
        <f>INDEX(meta_Tables[Instances Class:src],MATCH(meta_Columns[[#This Row],[Owning Table:src]],meta_Tables[ID],0))</f>
        <v>finance::Portfolio</v>
      </c>
      <c r="H41" s="11" t="s">
        <v>945</v>
      </c>
      <c r="I41" s="43" t="str">
        <f xml:space="preserve"> IF( TRIM( meta_Columns[[#This Row],[Owning Table:src]] ) = "", "",
        INDEX( meta_Tables[Display Qualified], MATCH( meta_Columns[[#This Row],[Owning Table:src]], meta_Tables[ID], 0 ) ) )</f>
        <v>finance::Portfolios</v>
      </c>
      <c r="K41" s="22" t="str">
        <f>IF(TRIM(meta_Columns[[#This Row],[Referenced Table:src]])="","",
    INDEX(meta_Tables[Display Qualified],MATCH(meta_Columns[[#This Row],[Referenced Table:src]],meta_Tables[ID],0)))</f>
        <v/>
      </c>
      <c r="L41" s="8"/>
      <c r="M41" s="22" t="str">
        <f xml:space="preserve"> IF( TRIM( meta_Columns[[#This Row],[Referenced Table Display and Select Column:src]] ) = "", "",
        INDEX( meta_Columns[Display Qualified], MATCH( meta_Columns[[#This Row],[Referenced Table Display and Select Column:src]], meta_Columns[ID], 0 ) ) )</f>
        <v/>
      </c>
      <c r="N41" s="8" t="str">
        <f>IF(meta_Columns[[#This Row],[Excel Column - Excel Formula]]="","x","")</f>
        <v>x</v>
      </c>
      <c r="O41" s="22"/>
      <c r="P41" s="8" t="str">
        <f>IF(meta_Columns[[#This Row],[Referenced Table:src]]="","",INDEX(meta_Tables[Instances Class],MATCH(meta_Columns[[#This Row],[Referenced Table:src]],meta_Tables[ID],0)))</f>
        <v/>
      </c>
      <c r="Q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 s="8" t="s">
        <v>248</v>
      </c>
      <c r="S41" s="22" t="str">
        <f xml:space="preserve"> IF( TRIM( meta_Columns[[#This Row],[Property:src]] ) = "", "",
        INDEX( meta_TypedModelElements[Display Qualified], MATCH( meta_Columns[[#This Row],[Property:src]], meta_TypedModelElements[ID], 0 ) ) )</f>
        <v>meta::Object.package</v>
      </c>
      <c r="T41" s="22"/>
      <c r="U41" s="8" t="e">
        <f>INDEX(meta_Classifiers[Class - Generalization:src], MATCH(meta_Columns[[#This Row],[Generalization 5]],meta_Classifiers[ID],0))</f>
        <v>#N/A</v>
      </c>
      <c r="V41" s="8" t="e">
        <f>INDEX(meta_Classifiers[Class - Generalization:src], MATCH(meta_Columns[[#This Row],[Generalization 4]],meta_Classifiers[ID],0))</f>
        <v>#N/A</v>
      </c>
      <c r="W41" s="8" t="e">
        <f>INDEX(meta_Classifiers[Class - Generalization:src], MATCH(meta_Columns[[#This Row],[Generalization 3]],meta_Classifiers[ID],0))</f>
        <v>#N/A</v>
      </c>
      <c r="X41" s="8" t="e">
        <f>INDEX(meta_Classifiers[Class - Generalization:src], MATCH(meta_Columns[[#This Row],[Generalization 2]],meta_Classifiers[ID],0))</f>
        <v>#N/A</v>
      </c>
      <c r="Y41" s="8" t="str">
        <f>INDEX(meta_Classifiers[Class - Generalization:src], MATCH(meta_Columns[[#This Row],[Generalization 1]],meta_Classifiers[ID],0))</f>
        <v/>
      </c>
      <c r="Z41" s="8" t="str">
        <f>INDEX(meta_Classifiers[Class - Generalization:src], MATCH(meta_Columns[[#This Row],[Owning Table Instances Class]],meta_Classifiers[ID],0))</f>
        <v>_Object</v>
      </c>
      <c r="AA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 s="8" t="b">
        <f>_xlfn.IFNA(
INDEX(meta_Classifiers[Class - Generalization:src],MATCH(
INDEX(meta_Classifiers[Class - Generalization:src],MATCH(meta_Columns[[#This Row],[Property Owning Class]],meta_Classifiers[ID],0)),meta_Classifiers[ID],0))
=meta_Columns[[#This Row],[Owning Table Instances Class]],FALSE)</f>
        <v>0</v>
      </c>
      <c r="AG41" s="8" t="b">
        <f>_xlfn.IFNA(INDEX(meta_Classifiers[Class - Generalization:src],MATCH(meta_Columns[[#This Row],[Property Owning Class]],meta_Classifiers[ID],0))=meta_Columns[[#This Row],[Owning Table Instances Class]],FALSE)</f>
        <v>0</v>
      </c>
      <c r="AH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 s="8" t="str">
        <f>INDEX(meta_Classifiers[Name],MATCH(INDEX(meta_TypedModelElements[Property - Owning Class:src],MATCH(meta_Columns[[#This Row],[Property]],meta_TypedModelElements[ID],0)),meta_Classifiers[ID],0))</f>
        <v>Object</v>
      </c>
      <c r="AJ41" s="8" t="str">
        <f>INDEX(meta_TypedModelElements[Property - Owning Class:src],MATCH(meta_Columns[[#This Row],[Property]],meta_TypedModelElements[ID],0))</f>
        <v>_Object</v>
      </c>
      <c r="AK41" s="8" t="str">
        <f>INDEX(meta_TypedModelElements[Kind:src],MATCH(meta_Columns[[#This Row],[Property]],meta_TypedModelElements[ID],0))</f>
        <v>_Attribute</v>
      </c>
      <c r="AL41" s="8" t="str">
        <f>INDEX(meta_TypedModelElements[Name or Type],MATCH(meta_Columns[[#This Row],[Property]],meta_TypedModelElements[ID],0))</f>
        <v>Package</v>
      </c>
      <c r="AM41" s="8" t="str">
        <f>INDEX(meta_TypedModelElements[Property - Changeable],MATCH(meta_Columns[[#This Row],[Property]],meta_TypedModelElements[ID],0))</f>
        <v>x</v>
      </c>
      <c r="AN41" s="43">
        <v>4</v>
      </c>
      <c r="AO41" s="22">
        <v>3</v>
      </c>
      <c r="AP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 s="8" t="str">
        <f xml:space="preserve"> IF(meta_Columns[[#This Row],[Property Owning Class is Specialization of Instance Class]],meta_Columns[[#This Row],[Property Owning Class Name]]&amp;" - ","")</f>
        <v/>
      </c>
      <c r="AR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 s="8" t="str">
        <f>IFERROR(LEFT(meta_Columns[[#This Row],[Excel Column - Label Actual without Semantic Case]],FIND("-",
meta_Columns[[#This Row],[Excel Column - Label Actual without Semantic Case]])-2),"")</f>
        <v/>
      </c>
      <c r="AU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 s="22"/>
      <c r="AY41" s="8" t="str">
        <f>meta_Columns[[#This Row],[Owning Table]]&amp;"."&amp;meta_Columns[[#This Row],[Excel Column - Label]]</f>
        <v>finance::Portfolios.Package</v>
      </c>
      <c r="AZ41" s="43" t="s">
        <v>120</v>
      </c>
      <c r="BA41" s="44" t="str">
        <f>IF(TRIM(meta_Columns[[#This Row],[Excel Column - Label Overwrite]])&lt;&gt;"",meta_Columns[[#This Row],[Excel Column - Label Overwrite]],meta_Columns[[#This Row],[Excel Column - Label from Property or Referenced Table]])</f>
        <v>Package</v>
      </c>
      <c r="BB41" s="43"/>
      <c r="BC41" s="44" t="str">
        <f>IF(meta_Columns[[#This Row],[Excel Column - Explicit Excel Formula]]="","",meta_Columns[[#This Row],[Excel Column - Explicit Excel Formula]])</f>
        <v/>
      </c>
      <c r="BD41" s="5"/>
      <c r="BE41" s="5"/>
    </row>
    <row r="42" spans="1:57">
      <c r="A42" s="10" t="s">
        <v>1346</v>
      </c>
      <c r="B42" s="11" t="s">
        <v>546</v>
      </c>
      <c r="C42" s="22" t="str">
        <f xml:space="preserve"> IF( TRIM( meta_Columns[[#This Row],[Kind:src]] ) = "", "",
        INDEX( meta_Classifiers[Display Qualified], MATCH( meta_Columns[[#This Row],[Kind:src]], meta_Classifiers[ID], 0 ) ) )</f>
        <v>ExcelColumn</v>
      </c>
      <c r="D42" s="44" t="str">
        <f>IF(meta_Columns[[#This Row],[Owning Table:src]]="","",INDEX(meta_Classifiers[Package],MATCH(meta_Columns[[#This Row],[Owning Table Instances Class]],meta_Classifiers[ID],0)))</f>
        <v>finance</v>
      </c>
      <c r="E42" s="43"/>
      <c r="F42" s="44" t="str">
        <f>INDEX(meta_Tables[Excel Table - Excel Name],MATCH(meta_Columns[[#This Row],[Owning Table:src]],meta_Tables[ID],0))</f>
        <v>finance_Portfolios</v>
      </c>
      <c r="G42" s="44" t="str">
        <f>INDEX(meta_Tables[Instances Class:src],MATCH(meta_Columns[[#This Row],[Owning Table:src]],meta_Tables[ID],0))</f>
        <v>finance::Portfolio</v>
      </c>
      <c r="H42" s="11" t="s">
        <v>945</v>
      </c>
      <c r="I42" s="43" t="str">
        <f xml:space="preserve"> IF( TRIM( meta_Columns[[#This Row],[Owning Table:src]] ) = "", "",
        INDEX( meta_Tables[Display Qualified], MATCH( meta_Columns[[#This Row],[Owning Table:src]], meta_Tables[ID], 0 ) ) )</f>
        <v>finance::Portfolios</v>
      </c>
      <c r="K42" s="22" t="str">
        <f>IF(TRIM(meta_Columns[[#This Row],[Referenced Table:src]])="","",
    INDEX(meta_Tables[Display Qualified],MATCH(meta_Columns[[#This Row],[Referenced Table:src]],meta_Tables[ID],0)))</f>
        <v/>
      </c>
      <c r="L42" s="8"/>
      <c r="M42" s="22" t="str">
        <f xml:space="preserve"> IF( TRIM( meta_Columns[[#This Row],[Referenced Table Display and Select Column:src]] ) = "", "",
        INDEX( meta_Columns[Display Qualified], MATCH( meta_Columns[[#This Row],[Referenced Table Display and Select Column:src]], meta_Columns[ID], 0 ) ) )</f>
        <v/>
      </c>
      <c r="N42" s="8" t="str">
        <f>IF(meta_Columns[[#This Row],[Excel Column - Excel Formula]]="","x","")</f>
        <v>x</v>
      </c>
      <c r="O42" s="22"/>
      <c r="P42" s="8" t="str">
        <f>IF(meta_Columns[[#This Row],[Referenced Table:src]]="","",INDEX(meta_Tables[Instances Class],MATCH(meta_Columns[[#This Row],[Referenced Table:src]],meta_Tables[ID],0)))</f>
        <v/>
      </c>
      <c r="Q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 s="8" t="s">
        <v>460</v>
      </c>
      <c r="S42" s="22" t="str">
        <f xml:space="preserve"> IF( TRIM( meta_Columns[[#This Row],[Property:src]] ) = "", "",
        INDEX( meta_TypedModelElements[Display Qualified], MATCH( meta_Columns[[#This Row],[Property:src]], meta_TypedModelElements[ID], 0 ) ) )</f>
        <v>meta::Object.subPackage</v>
      </c>
      <c r="T42" s="22"/>
      <c r="U42" s="8" t="e">
        <f>INDEX(meta_Classifiers[Class - Generalization:src], MATCH(meta_Columns[[#This Row],[Generalization 5]],meta_Classifiers[ID],0))</f>
        <v>#N/A</v>
      </c>
      <c r="V42" s="8" t="e">
        <f>INDEX(meta_Classifiers[Class - Generalization:src], MATCH(meta_Columns[[#This Row],[Generalization 4]],meta_Classifiers[ID],0))</f>
        <v>#N/A</v>
      </c>
      <c r="W42" s="8" t="e">
        <f>INDEX(meta_Classifiers[Class - Generalization:src], MATCH(meta_Columns[[#This Row],[Generalization 3]],meta_Classifiers[ID],0))</f>
        <v>#N/A</v>
      </c>
      <c r="X42" s="8" t="e">
        <f>INDEX(meta_Classifiers[Class - Generalization:src], MATCH(meta_Columns[[#This Row],[Generalization 2]],meta_Classifiers[ID],0))</f>
        <v>#N/A</v>
      </c>
      <c r="Y42" s="8" t="str">
        <f>INDEX(meta_Classifiers[Class - Generalization:src], MATCH(meta_Columns[[#This Row],[Generalization 1]],meta_Classifiers[ID],0))</f>
        <v/>
      </c>
      <c r="Z42" s="8" t="str">
        <f>INDEX(meta_Classifiers[Class - Generalization:src], MATCH(meta_Columns[[#This Row],[Owning Table Instances Class]],meta_Classifiers[ID],0))</f>
        <v>_Object</v>
      </c>
      <c r="AA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 s="8" t="b">
        <f>_xlfn.IFNA(
INDEX(meta_Classifiers[Class - Generalization:src],MATCH(
INDEX(meta_Classifiers[Class - Generalization:src],MATCH(meta_Columns[[#This Row],[Property Owning Class]],meta_Classifiers[ID],0)),meta_Classifiers[ID],0))
=meta_Columns[[#This Row],[Owning Table Instances Class]],FALSE)</f>
        <v>0</v>
      </c>
      <c r="AG42" s="8" t="b">
        <f>_xlfn.IFNA(INDEX(meta_Classifiers[Class - Generalization:src],MATCH(meta_Columns[[#This Row],[Property Owning Class]],meta_Classifiers[ID],0))=meta_Columns[[#This Row],[Owning Table Instances Class]],FALSE)</f>
        <v>0</v>
      </c>
      <c r="AH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 s="8" t="str">
        <f>INDEX(meta_Classifiers[Name],MATCH(INDEX(meta_TypedModelElements[Property - Owning Class:src],MATCH(meta_Columns[[#This Row],[Property]],meta_TypedModelElements[ID],0)),meta_Classifiers[ID],0))</f>
        <v>Object</v>
      </c>
      <c r="AJ42" s="8" t="str">
        <f>INDEX(meta_TypedModelElements[Property - Owning Class:src],MATCH(meta_Columns[[#This Row],[Property]],meta_TypedModelElements[ID],0))</f>
        <v>_Object</v>
      </c>
      <c r="AK42" s="8" t="str">
        <f>INDEX(meta_TypedModelElements[Kind:src],MATCH(meta_Columns[[#This Row],[Property]],meta_TypedModelElements[ID],0))</f>
        <v>_Attribute</v>
      </c>
      <c r="AL42" s="8" t="str">
        <f>INDEX(meta_TypedModelElements[Name or Type],MATCH(meta_Columns[[#This Row],[Property]],meta_TypedModelElements[ID],0))</f>
        <v>Sub Package</v>
      </c>
      <c r="AM42" s="8" t="str">
        <f>INDEX(meta_TypedModelElements[Property - Changeable],MATCH(meta_Columns[[#This Row],[Property]],meta_TypedModelElements[ID],0))</f>
        <v>x</v>
      </c>
      <c r="AN42" s="43">
        <v>5</v>
      </c>
      <c r="AO42" s="22">
        <v>4</v>
      </c>
      <c r="AP4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2" s="8" t="str">
        <f xml:space="preserve"> IF(meta_Columns[[#This Row],[Property Owning Class is Specialization of Instance Class]],meta_Columns[[#This Row],[Property Owning Class Name]]&amp;" - ","")</f>
        <v/>
      </c>
      <c r="AR4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Owner</v>
      </c>
      <c r="AT42" s="8" t="str">
        <f>IFERROR(LEFT(meta_Columns[[#This Row],[Excel Column - Label Actual without Semantic Case]],FIND("-",
meta_Columns[[#This Row],[Excel Column - Label Actual without Semantic Case]])-2),"")</f>
        <v/>
      </c>
      <c r="AU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Owner</v>
      </c>
      <c r="AV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Owner</v>
      </c>
      <c r="AX42" s="22"/>
      <c r="AY42" s="8" t="str">
        <f>meta_Columns[[#This Row],[Owning Table]]&amp;"."&amp;meta_Columns[[#This Row],[Excel Column - Label]]</f>
        <v>finance::Portfolios.Owner</v>
      </c>
      <c r="AZ42" s="43" t="s">
        <v>668</v>
      </c>
      <c r="BA42" s="44" t="str">
        <f>IF(TRIM(meta_Columns[[#This Row],[Excel Column - Label Overwrite]])&lt;&gt;"",meta_Columns[[#This Row],[Excel Column - Label Overwrite]],meta_Columns[[#This Row],[Excel Column - Label from Property or Referenced Table]])</f>
        <v>Owner</v>
      </c>
      <c r="BB42" s="43"/>
      <c r="BC42" s="44" t="str">
        <f>IF(meta_Columns[[#This Row],[Excel Column - Explicit Excel Formula]]="","",meta_Columns[[#This Row],[Excel Column - Explicit Excel Formula]])</f>
        <v/>
      </c>
      <c r="BD42" s="5"/>
      <c r="BE42" s="5"/>
    </row>
    <row r="43" spans="1:57">
      <c r="A43" s="10" t="s">
        <v>1055</v>
      </c>
      <c r="B43" s="11" t="s">
        <v>546</v>
      </c>
      <c r="C43" s="22" t="str">
        <f xml:space="preserve"> IF( TRIM( meta_Columns[[#This Row],[Kind:src]] ) = "", "",
        INDEX( meta_Classifiers[Display Qualified], MATCH( meta_Columns[[#This Row],[Kind:src]], meta_Classifiers[ID], 0 ) ) )</f>
        <v>ExcelColumn</v>
      </c>
      <c r="D43" s="44" t="str">
        <f>IF(meta_Columns[[#This Row],[Owning Table:src]]="","",INDEX(meta_Classifiers[Package],MATCH(meta_Columns[[#This Row],[Owning Table Instances Class]],meta_Classifiers[ID],0)))</f>
        <v>finance</v>
      </c>
      <c r="E43" s="43"/>
      <c r="F43" s="44" t="str">
        <f>INDEX(meta_Tables[Excel Table - Excel Name],MATCH(meta_Columns[[#This Row],[Owning Table:src]],meta_Tables[ID],0))</f>
        <v>finance_Portfolios</v>
      </c>
      <c r="G43" s="44" t="str">
        <f>INDEX(meta_Tables[Instances Class:src],MATCH(meta_Columns[[#This Row],[Owning Table:src]],meta_Tables[ID],0))</f>
        <v>finance::Portfolio</v>
      </c>
      <c r="H43" s="11" t="s">
        <v>945</v>
      </c>
      <c r="I43" s="43" t="str">
        <f xml:space="preserve"> IF( TRIM( meta_Columns[[#This Row],[Owning Table:src]] ) = "", "",
        INDEX( meta_Tables[Display Qualified], MATCH( meta_Columns[[#This Row],[Owning Table:src]], meta_Tables[ID], 0 ) ) )</f>
        <v>finance::Portfolios</v>
      </c>
      <c r="K43" s="22" t="str">
        <f>IF(TRIM(meta_Columns[[#This Row],[Referenced Table:src]])="","",
    INDEX(meta_Tables[Display Qualified],MATCH(meta_Columns[[#This Row],[Referenced Table:src]],meta_Tables[ID],0)))</f>
        <v/>
      </c>
      <c r="L43" s="8"/>
      <c r="M43" s="22" t="str">
        <f xml:space="preserve"> IF( TRIM( meta_Columns[[#This Row],[Referenced Table Display and Select Column:src]] ) = "", "",
        INDEX( meta_Columns[Display Qualified], MATCH( meta_Columns[[#This Row],[Referenced Table Display and Select Column:src]], meta_Columns[ID], 0 ) ) )</f>
        <v/>
      </c>
      <c r="N43" s="8" t="str">
        <f>IF(meta_Columns[[#This Row],[Excel Column - Excel Formula]]="","x","")</f>
        <v>x</v>
      </c>
      <c r="O43" s="22"/>
      <c r="P43" s="8" t="str">
        <f>IF(meta_Columns[[#This Row],[Referenced Table:src]]="","",INDEX(meta_Tables[Instances Class],MATCH(meta_Columns[[#This Row],[Referenced Table:src]],meta_Tables[ID],0)))</f>
        <v/>
      </c>
      <c r="Q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3" s="8" t="s">
        <v>676</v>
      </c>
      <c r="S43" s="22" t="str">
        <f xml:space="preserve"> IF( TRIM( meta_Columns[[#This Row],[Property:src]] ) = "", "",
        INDEX( meta_TypedModelElements[Display Qualified], MATCH( meta_Columns[[#This Row],[Property:src]], meta_TypedModelElements[ID], 0 ) ) )</f>
        <v>finance::Portfolio.value</v>
      </c>
      <c r="T43" s="22" t="s">
        <v>477</v>
      </c>
      <c r="U43" s="8" t="e">
        <f>INDEX(meta_Classifiers[Class - Generalization:src], MATCH(meta_Columns[[#This Row],[Generalization 5]],meta_Classifiers[ID],0))</f>
        <v>#N/A</v>
      </c>
      <c r="V43" s="8" t="e">
        <f>INDEX(meta_Classifiers[Class - Generalization:src], MATCH(meta_Columns[[#This Row],[Generalization 4]],meta_Classifiers[ID],0))</f>
        <v>#N/A</v>
      </c>
      <c r="W43" s="8" t="e">
        <f>INDEX(meta_Classifiers[Class - Generalization:src], MATCH(meta_Columns[[#This Row],[Generalization 3]],meta_Classifiers[ID],0))</f>
        <v>#N/A</v>
      </c>
      <c r="X43" s="8" t="e">
        <f>INDEX(meta_Classifiers[Class - Generalization:src], MATCH(meta_Columns[[#This Row],[Generalization 2]],meta_Classifiers[ID],0))</f>
        <v>#N/A</v>
      </c>
      <c r="Y43" s="8" t="str">
        <f>INDEX(meta_Classifiers[Class - Generalization:src], MATCH(meta_Columns[[#This Row],[Generalization 1]],meta_Classifiers[ID],0))</f>
        <v/>
      </c>
      <c r="Z43" s="8" t="str">
        <f>INDEX(meta_Classifiers[Class - Generalization:src], MATCH(meta_Columns[[#This Row],[Owning Table Instances Class]],meta_Classifiers[ID],0))</f>
        <v>_Object</v>
      </c>
      <c r="AA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3" s="8" t="b">
        <f>_xlfn.IFNA(
INDEX(meta_Classifiers[Class - Generalization:src],MATCH(
INDEX(meta_Classifiers[Class - Generalization:src],MATCH(meta_Columns[[#This Row],[Property Owning Class]],meta_Classifiers[ID],0)),meta_Classifiers[ID],0))
=meta_Columns[[#This Row],[Owning Table Instances Class]],FALSE)</f>
        <v>0</v>
      </c>
      <c r="AG43" s="8" t="b">
        <f>_xlfn.IFNA(INDEX(meta_Classifiers[Class - Generalization:src],MATCH(meta_Columns[[#This Row],[Property Owning Class]],meta_Classifiers[ID],0))=meta_Columns[[#This Row],[Owning Table Instances Class]],FALSE)</f>
        <v>0</v>
      </c>
      <c r="AH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3" s="8" t="e">
        <f>INDEX(meta_Classifiers[Name],MATCH(INDEX(meta_TypedModelElements[Property - Owning Class:src],MATCH(meta_Columns[[#This Row],[Property]],meta_TypedModelElements[ID],0)),meta_Classifiers[ID],0))</f>
        <v>#N/A</v>
      </c>
      <c r="AJ43" s="8" t="e">
        <f>INDEX(meta_TypedModelElements[Property - Owning Class:src],MATCH(meta_Columns[[#This Row],[Property]],meta_TypedModelElements[ID],0))</f>
        <v>#N/A</v>
      </c>
      <c r="AK43" s="8" t="e">
        <f>INDEX(meta_TypedModelElements[Kind:src],MATCH(meta_Columns[[#This Row],[Property]],meta_TypedModelElements[ID],0))</f>
        <v>#N/A</v>
      </c>
      <c r="AL43" s="8" t="e">
        <f>INDEX(meta_TypedModelElements[Name or Type],MATCH(meta_Columns[[#This Row],[Property]],meta_TypedModelElements[ID],0))</f>
        <v>#N/A</v>
      </c>
      <c r="AM43" s="8" t="e">
        <f>INDEX(meta_TypedModelElements[Property - Changeable],MATCH(meta_Columns[[#This Row],[Property]],meta_TypedModelElements[ID],0))</f>
        <v>#N/A</v>
      </c>
      <c r="AN43" s="43">
        <v>6</v>
      </c>
      <c r="AO43" s="22">
        <v>5</v>
      </c>
      <c r="AP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3" s="8" t="str">
        <f xml:space="preserve"> IF(meta_Columns[[#This Row],[Property Owning Class is Specialization of Instance Class]],meta_Columns[[#This Row],[Property Owning Class Name]]&amp;" - ","")</f>
        <v/>
      </c>
      <c r="AR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Value</v>
      </c>
      <c r="AT43" s="8" t="str">
        <f>IFERROR(LEFT(meta_Columns[[#This Row],[Excel Column - Label Actual without Semantic Case]],FIND("-",
meta_Columns[[#This Row],[Excel Column - Label Actual without Semantic Case]])-2),"")</f>
        <v/>
      </c>
      <c r="AU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Value</v>
      </c>
      <c r="AV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Value</v>
      </c>
      <c r="AX43" s="22"/>
      <c r="AY43" s="8" t="str">
        <f>meta_Columns[[#This Row],[Owning Table]]&amp;"."&amp;meta_Columns[[#This Row],[Excel Column - Label]]</f>
        <v>finance::Portfolios.Value</v>
      </c>
      <c r="AZ43" s="43" t="s">
        <v>669</v>
      </c>
      <c r="BA43" s="44" t="str">
        <f>IF(TRIM(meta_Columns[[#This Row],[Excel Column - Label Overwrite]])&lt;&gt;"",meta_Columns[[#This Row],[Excel Column - Label Overwrite]],meta_Columns[[#This Row],[Excel Column - Label from Property or Referenced Table]])</f>
        <v>Value</v>
      </c>
      <c r="BB43" s="43"/>
      <c r="BC43" s="44" t="str">
        <f>IF(meta_Columns[[#This Row],[Excel Column - Explicit Excel Formula]]="","",meta_Columns[[#This Row],[Excel Column - Explicit Excel Formula]])</f>
        <v/>
      </c>
      <c r="BD43" s="5"/>
      <c r="BE43" s="5"/>
    </row>
    <row r="44" spans="1:57">
      <c r="A44" s="10" t="s">
        <v>1056</v>
      </c>
      <c r="B44" s="11" t="s">
        <v>546</v>
      </c>
      <c r="C44" s="22" t="str">
        <f xml:space="preserve"> IF( TRIM( meta_Columns[[#This Row],[Kind:src]] ) = "", "",
        INDEX( meta_Classifiers[Display Qualified], MATCH( meta_Columns[[#This Row],[Kind:src]], meta_Classifiers[ID], 0 ) ) )</f>
        <v>ExcelColumn</v>
      </c>
      <c r="D44" s="44" t="str">
        <f>IF(meta_Columns[[#This Row],[Owning Table:src]]="","",INDEX(meta_Classifiers[Package],MATCH(meta_Columns[[#This Row],[Owning Table Instances Class]],meta_Classifiers[ID],0)))</f>
        <v>finance</v>
      </c>
      <c r="E44" s="43"/>
      <c r="F44" s="44" t="str">
        <f>INDEX(meta_Tables[Excel Table - Excel Name],MATCH(meta_Columns[[#This Row],[Owning Table:src]],meta_Tables[ID],0))</f>
        <v>finance_Positions</v>
      </c>
      <c r="G44" s="44" t="str">
        <f>INDEX(meta_Tables[Instances Class:src],MATCH(meta_Columns[[#This Row],[Owning Table:src]],meta_Tables[ID],0))</f>
        <v>finance::Position</v>
      </c>
      <c r="H44" s="11" t="s">
        <v>946</v>
      </c>
      <c r="I44" s="43" t="str">
        <f xml:space="preserve"> IF( TRIM( meta_Columns[[#This Row],[Owning Table:src]] ) = "", "",
        INDEX( meta_Tables[Display Qualified], MATCH( meta_Columns[[#This Row],[Owning Table:src]], meta_Tables[ID], 0 ) ) )</f>
        <v>finance::Positions</v>
      </c>
      <c r="K44" s="22" t="str">
        <f>IF(TRIM(meta_Columns[[#This Row],[Referenced Table:src]])="","",
    INDEX(meta_Tables[Display Qualified],MATCH(meta_Columns[[#This Row],[Referenced Table:src]],meta_Tables[ID],0)))</f>
        <v/>
      </c>
      <c r="L44" s="8"/>
      <c r="M44" s="22" t="str">
        <f xml:space="preserve"> IF( TRIM( meta_Columns[[#This Row],[Referenced Table Display and Select Column:src]] ) = "", "",
        INDEX( meta_Columns[Display Qualified], MATCH( meta_Columns[[#This Row],[Referenced Table Display and Select Column:src]], meta_Columns[ID], 0 ) ) )</f>
        <v/>
      </c>
      <c r="N44" s="8" t="str">
        <f>IF(meta_Columns[[#This Row],[Excel Column - Excel Formula]]="","x","")</f>
        <v>x</v>
      </c>
      <c r="O44" s="22"/>
      <c r="P44" s="8" t="str">
        <f>IF(meta_Columns[[#This Row],[Referenced Table:src]]="","",INDEX(meta_Tables[Instances Class],MATCH(meta_Columns[[#This Row],[Referenced Table:src]],meta_Tables[ID],0)))</f>
        <v/>
      </c>
      <c r="Q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4" s="8" t="s">
        <v>246</v>
      </c>
      <c r="S44" s="22" t="str">
        <f xml:space="preserve"> IF( TRIM( meta_Columns[[#This Row],[Property:src]] ) = "", "",
        INDEX( meta_TypedModelElements[Display Qualified], MATCH( meta_Columns[[#This Row],[Property:src]], meta_TypedModelElements[ID], 0 ) ) )</f>
        <v>meta::Object.iD</v>
      </c>
      <c r="T44" s="22" t="s">
        <v>42</v>
      </c>
      <c r="U44" s="8" t="e">
        <f>INDEX(meta_Classifiers[Class - Generalization:src], MATCH(meta_Columns[[#This Row],[Generalization 5]],meta_Classifiers[ID],0))</f>
        <v>#N/A</v>
      </c>
      <c r="V44" s="8" t="e">
        <f>INDEX(meta_Classifiers[Class - Generalization:src], MATCH(meta_Columns[[#This Row],[Generalization 4]],meta_Classifiers[ID],0))</f>
        <v>#N/A</v>
      </c>
      <c r="W44" s="8" t="e">
        <f>INDEX(meta_Classifiers[Class - Generalization:src], MATCH(meta_Columns[[#This Row],[Generalization 3]],meta_Classifiers[ID],0))</f>
        <v>#N/A</v>
      </c>
      <c r="X44" s="8" t="e">
        <f>INDEX(meta_Classifiers[Class - Generalization:src], MATCH(meta_Columns[[#This Row],[Generalization 2]],meta_Classifiers[ID],0))</f>
        <v>#N/A</v>
      </c>
      <c r="Y44" s="8" t="str">
        <f>INDEX(meta_Classifiers[Class - Generalization:src], MATCH(meta_Columns[[#This Row],[Generalization 1]],meta_Classifiers[ID],0))</f>
        <v/>
      </c>
      <c r="Z44" s="8" t="str">
        <f>INDEX(meta_Classifiers[Class - Generalization:src], MATCH(meta_Columns[[#This Row],[Owning Table Instances Class]],meta_Classifiers[ID],0))</f>
        <v>_Object</v>
      </c>
      <c r="AA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4" s="8" t="b">
        <f>_xlfn.IFNA(
INDEX(meta_Classifiers[Class - Generalization:src],MATCH(
INDEX(meta_Classifiers[Class - Generalization:src],MATCH(meta_Columns[[#This Row],[Property Owning Class]],meta_Classifiers[ID],0)),meta_Classifiers[ID],0))
=meta_Columns[[#This Row],[Owning Table Instances Class]],FALSE)</f>
        <v>0</v>
      </c>
      <c r="AG44" s="8" t="b">
        <f>_xlfn.IFNA(INDEX(meta_Classifiers[Class - Generalization:src],MATCH(meta_Columns[[#This Row],[Property Owning Class]],meta_Classifiers[ID],0))=meta_Columns[[#This Row],[Owning Table Instances Class]],FALSE)</f>
        <v>0</v>
      </c>
      <c r="AH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4" s="8" t="str">
        <f>INDEX(meta_Classifiers[Name],MATCH(INDEX(meta_TypedModelElements[Property - Owning Class:src],MATCH(meta_Columns[[#This Row],[Property]],meta_TypedModelElements[ID],0)),meta_Classifiers[ID],0))</f>
        <v>Object</v>
      </c>
      <c r="AJ44" s="8" t="str">
        <f>INDEX(meta_TypedModelElements[Property - Owning Class:src],MATCH(meta_Columns[[#This Row],[Property]],meta_TypedModelElements[ID],0))</f>
        <v>_Object</v>
      </c>
      <c r="AK44" s="8" t="str">
        <f>INDEX(meta_TypedModelElements[Kind:src],MATCH(meta_Columns[[#This Row],[Property]],meta_TypedModelElements[ID],0))</f>
        <v>_Attribute</v>
      </c>
      <c r="AL44" s="8" t="str">
        <f>INDEX(meta_TypedModelElements[Name or Type],MATCH(meta_Columns[[#This Row],[Property]],meta_TypedModelElements[ID],0))</f>
        <v>ID</v>
      </c>
      <c r="AM44" s="8" t="str">
        <f>INDEX(meta_TypedModelElements[Property - Changeable],MATCH(meta_Columns[[#This Row],[Property]],meta_TypedModelElements[ID],0))</f>
        <v>x</v>
      </c>
      <c r="AN44" s="43">
        <v>1</v>
      </c>
      <c r="AO44" s="22">
        <v>1</v>
      </c>
      <c r="AP4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4" s="8" t="str">
        <f xml:space="preserve"> IF(meta_Columns[[#This Row],[Property Owning Class is Specialization of Instance Class]],meta_Columns[[#This Row],[Property Owning Class Name]]&amp;" - ","")</f>
        <v/>
      </c>
      <c r="AR4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4" s="8" t="str">
        <f>IFERROR(LEFT(meta_Columns[[#This Row],[Excel Column - Label Actual without Semantic Case]],FIND("-",
meta_Columns[[#This Row],[Excel Column - Label Actual without Semantic Case]])-2),"")</f>
        <v/>
      </c>
      <c r="AU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4" s="22"/>
      <c r="AY44" s="8" t="str">
        <f>meta_Columns[[#This Row],[Owning Table]]&amp;"."&amp;meta_Columns[[#This Row],[Excel Column - Label]]</f>
        <v>finance::Positions.ID</v>
      </c>
      <c r="AZ44" s="43" t="s">
        <v>0</v>
      </c>
      <c r="BA44" s="44" t="str">
        <f>IF(TRIM(meta_Columns[[#This Row],[Excel Column - Label Overwrite]])&lt;&gt;"",meta_Columns[[#This Row],[Excel Column - Label Overwrite]],meta_Columns[[#This Row],[Excel Column - Label from Property or Referenced Table]])</f>
        <v>ID</v>
      </c>
      <c r="BB44" s="43"/>
      <c r="BC44" s="44" t="str">
        <f>IF(meta_Columns[[#This Row],[Excel Column - Explicit Excel Formula]]="","",meta_Columns[[#This Row],[Excel Column - Explicit Excel Formula]])</f>
        <v/>
      </c>
      <c r="BD44" s="5"/>
      <c r="BE44" s="5"/>
    </row>
    <row r="45" spans="1:57">
      <c r="A45" s="10" t="s">
        <v>1347</v>
      </c>
      <c r="B45" s="11" t="s">
        <v>546</v>
      </c>
      <c r="C45" s="22" t="str">
        <f xml:space="preserve"> IF( TRIM( meta_Columns[[#This Row],[Kind:src]] ) = "", "",
        INDEX( meta_Classifiers[Display Qualified], MATCH( meta_Columns[[#This Row],[Kind:src]], meta_Classifiers[ID], 0 ) ) )</f>
        <v>ExcelColumn</v>
      </c>
      <c r="D45" s="44" t="str">
        <f>IF(meta_Columns[[#This Row],[Owning Table:src]]="","",INDEX(meta_Classifiers[Package],MATCH(meta_Columns[[#This Row],[Owning Table Instances Class]],meta_Classifiers[ID],0)))</f>
        <v>finance</v>
      </c>
      <c r="E45" s="43"/>
      <c r="F45" s="44" t="str">
        <f>INDEX(meta_Tables[Excel Table - Excel Name],MATCH(meta_Columns[[#This Row],[Owning Table:src]],meta_Tables[ID],0))</f>
        <v>finance_Positions</v>
      </c>
      <c r="G45" s="44" t="str">
        <f>INDEX(meta_Tables[Instances Class:src],MATCH(meta_Columns[[#This Row],[Owning Table:src]],meta_Tables[ID],0))</f>
        <v>finance::Position</v>
      </c>
      <c r="H45" s="11" t="s">
        <v>946</v>
      </c>
      <c r="I45" s="43" t="str">
        <f xml:space="preserve"> IF( TRIM( meta_Columns[[#This Row],[Owning Table:src]] ) = "", "",
        INDEX( meta_Tables[Display Qualified], MATCH( meta_Columns[[#This Row],[Owning Table:src]], meta_Tables[ID], 0 ) ) )</f>
        <v>finance::Positions</v>
      </c>
      <c r="K45" s="22" t="str">
        <f>IF(TRIM(meta_Columns[[#This Row],[Referenced Table:src]])="","",
    INDEX(meta_Tables[Display Qualified],MATCH(meta_Columns[[#This Row],[Referenced Table:src]],meta_Tables[ID],0)))</f>
        <v/>
      </c>
      <c r="L45" s="8"/>
      <c r="M45" s="22" t="str">
        <f xml:space="preserve"> IF( TRIM( meta_Columns[[#This Row],[Referenced Table Display and Select Column:src]] ) = "", "",
        INDEX( meta_Columns[Display Qualified], MATCH( meta_Columns[[#This Row],[Referenced Table Display and Select Column:src]], meta_Columns[ID], 0 ) ) )</f>
        <v/>
      </c>
      <c r="N45" s="8" t="str">
        <f>IF(meta_Columns[[#This Row],[Excel Column - Excel Formula]]="","x","")</f>
        <v>x</v>
      </c>
      <c r="O45" s="22"/>
      <c r="P45" s="8" t="str">
        <f>IF(meta_Columns[[#This Row],[Referenced Table:src]]="","",INDEX(meta_Tables[Instances Class],MATCH(meta_Columns[[#This Row],[Referenced Table:src]],meta_Tables[ID],0)))</f>
        <v/>
      </c>
      <c r="Q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5" s="8" t="s">
        <v>247</v>
      </c>
      <c r="S45" s="22" t="str">
        <f xml:space="preserve"> IF( TRIM( meta_Columns[[#This Row],[Property:src]] ) = "", "",
        INDEX( meta_TypedModelElements[Display Qualified], MATCH( meta_Columns[[#This Row],[Property:src]], meta_TypedModelElements[ID], 0 ) ) )</f>
        <v>meta::Object.kind</v>
      </c>
      <c r="T45" s="22" t="s">
        <v>42</v>
      </c>
      <c r="U45" s="8" t="e">
        <f>INDEX(meta_Classifiers[Class - Generalization:src], MATCH(meta_Columns[[#This Row],[Generalization 5]],meta_Classifiers[ID],0))</f>
        <v>#N/A</v>
      </c>
      <c r="V45" s="8" t="e">
        <f>INDEX(meta_Classifiers[Class - Generalization:src], MATCH(meta_Columns[[#This Row],[Generalization 4]],meta_Classifiers[ID],0))</f>
        <v>#N/A</v>
      </c>
      <c r="W45" s="8" t="e">
        <f>INDEX(meta_Classifiers[Class - Generalization:src], MATCH(meta_Columns[[#This Row],[Generalization 3]],meta_Classifiers[ID],0))</f>
        <v>#N/A</v>
      </c>
      <c r="X45" s="8" t="e">
        <f>INDEX(meta_Classifiers[Class - Generalization:src], MATCH(meta_Columns[[#This Row],[Generalization 2]],meta_Classifiers[ID],0))</f>
        <v>#N/A</v>
      </c>
      <c r="Y45" s="8" t="str">
        <f>INDEX(meta_Classifiers[Class - Generalization:src], MATCH(meta_Columns[[#This Row],[Generalization 1]],meta_Classifiers[ID],0))</f>
        <v/>
      </c>
      <c r="Z45" s="8" t="str">
        <f>INDEX(meta_Classifiers[Class - Generalization:src], MATCH(meta_Columns[[#This Row],[Owning Table Instances Class]],meta_Classifiers[ID],0))</f>
        <v>_Object</v>
      </c>
      <c r="AA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5" s="8" t="b">
        <f>_xlfn.IFNA(
INDEX(meta_Classifiers[Class - Generalization:src],MATCH(
INDEX(meta_Classifiers[Class - Generalization:src],MATCH(meta_Columns[[#This Row],[Property Owning Class]],meta_Classifiers[ID],0)),meta_Classifiers[ID],0))
=meta_Columns[[#This Row],[Owning Table Instances Class]],FALSE)</f>
        <v>0</v>
      </c>
      <c r="AG45" s="8" t="b">
        <f>_xlfn.IFNA(INDEX(meta_Classifiers[Class - Generalization:src],MATCH(meta_Columns[[#This Row],[Property Owning Class]],meta_Classifiers[ID],0))=meta_Columns[[#This Row],[Owning Table Instances Class]],FALSE)</f>
        <v>0</v>
      </c>
      <c r="AH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5" s="8" t="str">
        <f>INDEX(meta_Classifiers[Name],MATCH(INDEX(meta_TypedModelElements[Property - Owning Class:src],MATCH(meta_Columns[[#This Row],[Property]],meta_TypedModelElements[ID],0)),meta_Classifiers[ID],0))</f>
        <v>Object</v>
      </c>
      <c r="AJ45" s="8" t="str">
        <f>INDEX(meta_TypedModelElements[Property - Owning Class:src],MATCH(meta_Columns[[#This Row],[Property]],meta_TypedModelElements[ID],0))</f>
        <v>_Object</v>
      </c>
      <c r="AK45" s="8" t="str">
        <f>INDEX(meta_TypedModelElements[Kind:src],MATCH(meta_Columns[[#This Row],[Property]],meta_TypedModelElements[ID],0))</f>
        <v>_Reference</v>
      </c>
      <c r="AL45" s="8" t="str">
        <f>INDEX(meta_TypedModelElements[Name or Type],MATCH(meta_Columns[[#This Row],[Property]],meta_TypedModelElements[ID],0))</f>
        <v>Kind</v>
      </c>
      <c r="AM45" s="8" t="str">
        <f>INDEX(meta_TypedModelElements[Property - Changeable],MATCH(meta_Columns[[#This Row],[Property]],meta_TypedModelElements[ID],0))</f>
        <v>x</v>
      </c>
      <c r="AN45" s="43">
        <v>2</v>
      </c>
      <c r="AO45" s="22">
        <v>2</v>
      </c>
      <c r="AP4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5" s="8" t="str">
        <f xml:space="preserve"> IF(meta_Columns[[#This Row],[Property Owning Class is Specialization of Instance Class]],meta_Columns[[#This Row],[Property Owning Class Name]]&amp;" - ","")</f>
        <v/>
      </c>
      <c r="AR4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5" s="8" t="str">
        <f>IFERROR(LEFT(meta_Columns[[#This Row],[Excel Column - Label Actual without Semantic Case]],FIND("-",
meta_Columns[[#This Row],[Excel Column - Label Actual without Semantic Case]])-2),"")</f>
        <v/>
      </c>
      <c r="AU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5" s="22"/>
      <c r="AY45" s="8" t="str">
        <f>meta_Columns[[#This Row],[Owning Table]]&amp;"."&amp;meta_Columns[[#This Row],[Excel Column - Label]]</f>
        <v>finance::Positions.Kind:src</v>
      </c>
      <c r="AZ45" s="43" t="s">
        <v>230</v>
      </c>
      <c r="BA45" s="44" t="str">
        <f>IF(TRIM(meta_Columns[[#This Row],[Excel Column - Label Overwrite]])&lt;&gt;"",meta_Columns[[#This Row],[Excel Column - Label Overwrite]],meta_Columns[[#This Row],[Excel Column - Label from Property or Referenced Table]])</f>
        <v>Kind:src</v>
      </c>
      <c r="BB45" s="43"/>
      <c r="BC45" s="44" t="str">
        <f>IF(meta_Columns[[#This Row],[Excel Column - Explicit Excel Formula]]="","",meta_Columns[[#This Row],[Excel Column - Explicit Excel Formula]])</f>
        <v/>
      </c>
      <c r="BD45" s="5"/>
      <c r="BE45" s="5"/>
    </row>
    <row r="46" spans="1:57">
      <c r="A46" s="10" t="s">
        <v>1348</v>
      </c>
      <c r="B46" s="11" t="s">
        <v>546</v>
      </c>
      <c r="C46" s="22" t="str">
        <f xml:space="preserve"> IF( TRIM( meta_Columns[[#This Row],[Kind:src]] ) = "", "",
        INDEX( meta_Classifiers[Display Qualified], MATCH( meta_Columns[[#This Row],[Kind:src]], meta_Classifiers[ID], 0 ) ) )</f>
        <v>ExcelColumn</v>
      </c>
      <c r="D46" s="44" t="str">
        <f>IF(meta_Columns[[#This Row],[Owning Table:src]]="","",INDEX(meta_Classifiers[Package],MATCH(meta_Columns[[#This Row],[Owning Table Instances Class]],meta_Classifiers[ID],0)))</f>
        <v>finance</v>
      </c>
      <c r="E46" s="43"/>
      <c r="F46" s="44" t="str">
        <f>INDEX(meta_Tables[Excel Table - Excel Name],MATCH(meta_Columns[[#This Row],[Owning Table:src]],meta_Tables[ID],0))</f>
        <v>finance_Positions</v>
      </c>
      <c r="G46" s="44" t="str">
        <f>INDEX(meta_Tables[Instances Class:src],MATCH(meta_Columns[[#This Row],[Owning Table:src]],meta_Tables[ID],0))</f>
        <v>finance::Position</v>
      </c>
      <c r="H46" s="11" t="s">
        <v>946</v>
      </c>
      <c r="I46" s="43" t="str">
        <f xml:space="preserve"> IF( TRIM( meta_Columns[[#This Row],[Owning Table:src]] ) = "", "",
        INDEX( meta_Tables[Display Qualified], MATCH( meta_Columns[[#This Row],[Owning Table:src]], meta_Tables[ID], 0 ) ) )</f>
        <v>finance::Positions</v>
      </c>
      <c r="K46" s="22" t="str">
        <f>IF(TRIM(meta_Columns[[#This Row],[Referenced Table:src]])="","",
    INDEX(meta_Tables[Display Qualified],MATCH(meta_Columns[[#This Row],[Referenced Table:src]],meta_Tables[ID],0)))</f>
        <v/>
      </c>
      <c r="L46" s="8"/>
      <c r="M46" s="22" t="str">
        <f xml:space="preserve"> IF( TRIM( meta_Columns[[#This Row],[Referenced Table Display and Select Column:src]] ) = "", "",
        INDEX( meta_Columns[Display Qualified], MATCH( meta_Columns[[#This Row],[Referenced Table Display and Select Column:src]], meta_Columns[ID], 0 ) ) )</f>
        <v/>
      </c>
      <c r="N46" s="8" t="str">
        <f>IF(meta_Columns[[#This Row],[Excel Column - Excel Formula]]="","x","")</f>
        <v/>
      </c>
      <c r="O46" s="22"/>
      <c r="P46" s="8" t="str">
        <f>IF(meta_Columns[[#This Row],[Referenced Table:src]]="","",INDEX(meta_Tables[Instances Class],MATCH(meta_Columns[[#This Row],[Referenced Table:src]],meta_Tables[ID],0)))</f>
        <v/>
      </c>
      <c r="Q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6" s="8" t="s">
        <v>247</v>
      </c>
      <c r="S46" s="22" t="str">
        <f xml:space="preserve"> IF( TRIM( meta_Columns[[#This Row],[Property:src]] ) = "", "",
        INDEX( meta_TypedModelElements[Display Qualified], MATCH( meta_Columns[[#This Row],[Property:src]], meta_TypedModelElements[ID], 0 ) ) )</f>
        <v>meta::Object.kind</v>
      </c>
      <c r="T46" s="22"/>
      <c r="U46" s="8" t="e">
        <f>INDEX(meta_Classifiers[Class - Generalization:src], MATCH(meta_Columns[[#This Row],[Generalization 5]],meta_Classifiers[ID],0))</f>
        <v>#N/A</v>
      </c>
      <c r="V46" s="8" t="e">
        <f>INDEX(meta_Classifiers[Class - Generalization:src], MATCH(meta_Columns[[#This Row],[Generalization 4]],meta_Classifiers[ID],0))</f>
        <v>#N/A</v>
      </c>
      <c r="W46" s="8" t="e">
        <f>INDEX(meta_Classifiers[Class - Generalization:src], MATCH(meta_Columns[[#This Row],[Generalization 3]],meta_Classifiers[ID],0))</f>
        <v>#N/A</v>
      </c>
      <c r="X46" s="8" t="e">
        <f>INDEX(meta_Classifiers[Class - Generalization:src], MATCH(meta_Columns[[#This Row],[Generalization 2]],meta_Classifiers[ID],0))</f>
        <v>#N/A</v>
      </c>
      <c r="Y46" s="8" t="str">
        <f>INDEX(meta_Classifiers[Class - Generalization:src], MATCH(meta_Columns[[#This Row],[Generalization 1]],meta_Classifiers[ID],0))</f>
        <v/>
      </c>
      <c r="Z46" s="8" t="str">
        <f>INDEX(meta_Classifiers[Class - Generalization:src], MATCH(meta_Columns[[#This Row],[Owning Table Instances Class]],meta_Classifiers[ID],0))</f>
        <v>_Object</v>
      </c>
      <c r="AA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6" s="8" t="b">
        <f>_xlfn.IFNA(
INDEX(meta_Classifiers[Class - Generalization:src],MATCH(
INDEX(meta_Classifiers[Class - Generalization:src],MATCH(meta_Columns[[#This Row],[Property Owning Class]],meta_Classifiers[ID],0)),meta_Classifiers[ID],0))
=meta_Columns[[#This Row],[Owning Table Instances Class]],FALSE)</f>
        <v>0</v>
      </c>
      <c r="AG46" s="8" t="b">
        <f>_xlfn.IFNA(INDEX(meta_Classifiers[Class - Generalization:src],MATCH(meta_Columns[[#This Row],[Property Owning Class]],meta_Classifiers[ID],0))=meta_Columns[[#This Row],[Owning Table Instances Class]],FALSE)</f>
        <v>0</v>
      </c>
      <c r="AH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6" s="8" t="str">
        <f>INDEX(meta_Classifiers[Name],MATCH(INDEX(meta_TypedModelElements[Property - Owning Class:src],MATCH(meta_Columns[[#This Row],[Property]],meta_TypedModelElements[ID],0)),meta_Classifiers[ID],0))</f>
        <v>Object</v>
      </c>
      <c r="AJ46" s="8" t="str">
        <f>INDEX(meta_TypedModelElements[Property - Owning Class:src],MATCH(meta_Columns[[#This Row],[Property]],meta_TypedModelElements[ID],0))</f>
        <v>_Object</v>
      </c>
      <c r="AK46" s="8" t="str">
        <f>INDEX(meta_TypedModelElements[Kind:src],MATCH(meta_Columns[[#This Row],[Property]],meta_TypedModelElements[ID],0))</f>
        <v>_Reference</v>
      </c>
      <c r="AL46" s="8" t="str">
        <f>INDEX(meta_TypedModelElements[Name or Type],MATCH(meta_Columns[[#This Row],[Property]],meta_TypedModelElements[ID],0))</f>
        <v>Kind</v>
      </c>
      <c r="AM46" s="8" t="str">
        <f>INDEX(meta_TypedModelElements[Property - Changeable],MATCH(meta_Columns[[#This Row],[Property]],meta_TypedModelElements[ID],0))</f>
        <v>x</v>
      </c>
      <c r="AN46" s="43">
        <v>3</v>
      </c>
      <c r="AO46" s="22"/>
      <c r="AP4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6" s="8" t="str">
        <f xml:space="preserve"> IF(meta_Columns[[#This Row],[Property Owning Class is Specialization of Instance Class]],meta_Columns[[#This Row],[Property Owning Class Name]]&amp;" - ","")</f>
        <v/>
      </c>
      <c r="AR4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6" s="8" t="str">
        <f>IFERROR(LEFT(meta_Columns[[#This Row],[Excel Column - Label Actual without Semantic Case]],FIND("-",
meta_Columns[[#This Row],[Excel Column - Label Actual without Semantic Case]])-2),"")</f>
        <v/>
      </c>
      <c r="AU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6" s="22"/>
      <c r="AY46" s="8" t="str">
        <f>meta_Columns[[#This Row],[Owning Table]]&amp;"."&amp;meta_Columns[[#This Row],[Excel Column - Label]]</f>
        <v>finance::Positions.Kind</v>
      </c>
      <c r="AZ46" s="43" t="s">
        <v>5</v>
      </c>
      <c r="BA46" s="44" t="str">
        <f>IF(TRIM(meta_Columns[[#This Row],[Excel Column - Label Overwrite]])&lt;&gt;"",meta_Columns[[#This Row],[Excel Column - Label Overwrite]],meta_Columns[[#This Row],[Excel Column - Label from Property or Referenced Table]])</f>
        <v>Kind</v>
      </c>
      <c r="BB46" s="43" t="s">
        <v>1484</v>
      </c>
      <c r="BC46" s="44" t="str">
        <f>IF(meta_Columns[[#This Row],[Excel Column - Explicit Excel Formula]]="","",meta_Columns[[#This Row],[Excel Column - Explicit Excel Formula]])</f>
        <v>Formula:= IF( TRIM( [@[Kind:src]] ) = "", "",
        INDEX( meta_Classifiers[Display Qualified], MATCH( [@[Kind:src]], meta_Classifiers[ID], 0 ) ) )</v>
      </c>
      <c r="BD46" s="5" t="s">
        <v>1461</v>
      </c>
      <c r="BE46" s="5"/>
    </row>
    <row r="47" spans="1:57">
      <c r="A47" s="10" t="s">
        <v>1349</v>
      </c>
      <c r="B47" s="11" t="s">
        <v>546</v>
      </c>
      <c r="C47" s="22" t="str">
        <f xml:space="preserve"> IF( TRIM( meta_Columns[[#This Row],[Kind:src]] ) = "", "",
        INDEX( meta_Classifiers[Display Qualified], MATCH( meta_Columns[[#This Row],[Kind:src]], meta_Classifiers[ID], 0 ) ) )</f>
        <v>ExcelColumn</v>
      </c>
      <c r="D47" s="44" t="str">
        <f>IF(meta_Columns[[#This Row],[Owning Table:src]]="","",INDEX(meta_Classifiers[Package],MATCH(meta_Columns[[#This Row],[Owning Table Instances Class]],meta_Classifiers[ID],0)))</f>
        <v>finance</v>
      </c>
      <c r="E47" s="43"/>
      <c r="F47" s="44" t="str">
        <f>INDEX(meta_Tables[Excel Table - Excel Name],MATCH(meta_Columns[[#This Row],[Owning Table:src]],meta_Tables[ID],0))</f>
        <v>finance_Positions</v>
      </c>
      <c r="G47" s="44" t="str">
        <f>INDEX(meta_Tables[Instances Class:src],MATCH(meta_Columns[[#This Row],[Owning Table:src]],meta_Tables[ID],0))</f>
        <v>finance::Position</v>
      </c>
      <c r="H47" s="11" t="s">
        <v>946</v>
      </c>
      <c r="I47" s="43" t="str">
        <f xml:space="preserve"> IF( TRIM( meta_Columns[[#This Row],[Owning Table:src]] ) = "", "",
        INDEX( meta_Tables[Display Qualified], MATCH( meta_Columns[[#This Row],[Owning Table:src]], meta_Tables[ID], 0 ) ) )</f>
        <v>finance::Positions</v>
      </c>
      <c r="K47" s="22" t="str">
        <f>IF(TRIM(meta_Columns[[#This Row],[Referenced Table:src]])="","",
    INDEX(meta_Tables[Display Qualified],MATCH(meta_Columns[[#This Row],[Referenced Table:src]],meta_Tables[ID],0)))</f>
        <v/>
      </c>
      <c r="L47" s="8"/>
      <c r="M47" s="22" t="str">
        <f xml:space="preserve"> IF( TRIM( meta_Columns[[#This Row],[Referenced Table Display and Select Column:src]] ) = "", "",
        INDEX( meta_Columns[Display Qualified], MATCH( meta_Columns[[#This Row],[Referenced Table Display and Select Column:src]], meta_Columns[ID], 0 ) ) )</f>
        <v/>
      </c>
      <c r="N47" s="8" t="str">
        <f>IF(meta_Columns[[#This Row],[Excel Column - Excel Formula]]="","x","")</f>
        <v>x</v>
      </c>
      <c r="O47" s="22"/>
      <c r="P47" s="8" t="str">
        <f>IF(meta_Columns[[#This Row],[Referenced Table:src]]="","",INDEX(meta_Tables[Instances Class],MATCH(meta_Columns[[#This Row],[Referenced Table:src]],meta_Tables[ID],0)))</f>
        <v/>
      </c>
      <c r="Q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7" s="8" t="s">
        <v>248</v>
      </c>
      <c r="S47" s="22" t="str">
        <f xml:space="preserve"> IF( TRIM( meta_Columns[[#This Row],[Property:src]] ) = "", "",
        INDEX( meta_TypedModelElements[Display Qualified], MATCH( meta_Columns[[#This Row],[Property:src]], meta_TypedModelElements[ID], 0 ) ) )</f>
        <v>meta::Object.package</v>
      </c>
      <c r="T47" s="22"/>
      <c r="U47" s="8" t="e">
        <f>INDEX(meta_Classifiers[Class - Generalization:src], MATCH(meta_Columns[[#This Row],[Generalization 5]],meta_Classifiers[ID],0))</f>
        <v>#N/A</v>
      </c>
      <c r="V47" s="8" t="e">
        <f>INDEX(meta_Classifiers[Class - Generalization:src], MATCH(meta_Columns[[#This Row],[Generalization 4]],meta_Classifiers[ID],0))</f>
        <v>#N/A</v>
      </c>
      <c r="W47" s="8" t="e">
        <f>INDEX(meta_Classifiers[Class - Generalization:src], MATCH(meta_Columns[[#This Row],[Generalization 3]],meta_Classifiers[ID],0))</f>
        <v>#N/A</v>
      </c>
      <c r="X47" s="8" t="e">
        <f>INDEX(meta_Classifiers[Class - Generalization:src], MATCH(meta_Columns[[#This Row],[Generalization 2]],meta_Classifiers[ID],0))</f>
        <v>#N/A</v>
      </c>
      <c r="Y47" s="8" t="str">
        <f>INDEX(meta_Classifiers[Class - Generalization:src], MATCH(meta_Columns[[#This Row],[Generalization 1]],meta_Classifiers[ID],0))</f>
        <v/>
      </c>
      <c r="Z47" s="8" t="str">
        <f>INDEX(meta_Classifiers[Class - Generalization:src], MATCH(meta_Columns[[#This Row],[Owning Table Instances Class]],meta_Classifiers[ID],0))</f>
        <v>_Object</v>
      </c>
      <c r="AA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7" s="8" t="b">
        <f>_xlfn.IFNA(
INDEX(meta_Classifiers[Class - Generalization:src],MATCH(
INDEX(meta_Classifiers[Class - Generalization:src],MATCH(meta_Columns[[#This Row],[Property Owning Class]],meta_Classifiers[ID],0)),meta_Classifiers[ID],0))
=meta_Columns[[#This Row],[Owning Table Instances Class]],FALSE)</f>
        <v>0</v>
      </c>
      <c r="AG47" s="8" t="b">
        <f>_xlfn.IFNA(INDEX(meta_Classifiers[Class - Generalization:src],MATCH(meta_Columns[[#This Row],[Property Owning Class]],meta_Classifiers[ID],0))=meta_Columns[[#This Row],[Owning Table Instances Class]],FALSE)</f>
        <v>0</v>
      </c>
      <c r="AH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7" s="8" t="str">
        <f>INDEX(meta_Classifiers[Name],MATCH(INDEX(meta_TypedModelElements[Property - Owning Class:src],MATCH(meta_Columns[[#This Row],[Property]],meta_TypedModelElements[ID],0)),meta_Classifiers[ID],0))</f>
        <v>Object</v>
      </c>
      <c r="AJ47" s="8" t="str">
        <f>INDEX(meta_TypedModelElements[Property - Owning Class:src],MATCH(meta_Columns[[#This Row],[Property]],meta_TypedModelElements[ID],0))</f>
        <v>_Object</v>
      </c>
      <c r="AK47" s="8" t="str">
        <f>INDEX(meta_TypedModelElements[Kind:src],MATCH(meta_Columns[[#This Row],[Property]],meta_TypedModelElements[ID],0))</f>
        <v>_Attribute</v>
      </c>
      <c r="AL47" s="8" t="str">
        <f>INDEX(meta_TypedModelElements[Name or Type],MATCH(meta_Columns[[#This Row],[Property]],meta_TypedModelElements[ID],0))</f>
        <v>Package</v>
      </c>
      <c r="AM47" s="8" t="str">
        <f>INDEX(meta_TypedModelElements[Property - Changeable],MATCH(meta_Columns[[#This Row],[Property]],meta_TypedModelElements[ID],0))</f>
        <v>x</v>
      </c>
      <c r="AN47" s="43">
        <v>4</v>
      </c>
      <c r="AO47" s="22">
        <v>3</v>
      </c>
      <c r="AP4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7" s="8" t="str">
        <f xml:space="preserve"> IF(meta_Columns[[#This Row],[Property Owning Class is Specialization of Instance Class]],meta_Columns[[#This Row],[Property Owning Class Name]]&amp;" - ","")</f>
        <v/>
      </c>
      <c r="AR4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7" s="8" t="str">
        <f>IFERROR(LEFT(meta_Columns[[#This Row],[Excel Column - Label Actual without Semantic Case]],FIND("-",
meta_Columns[[#This Row],[Excel Column - Label Actual without Semantic Case]])-2),"")</f>
        <v/>
      </c>
      <c r="AU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7" s="22"/>
      <c r="AY47" s="8" t="str">
        <f>meta_Columns[[#This Row],[Owning Table]]&amp;"."&amp;meta_Columns[[#This Row],[Excel Column - Label]]</f>
        <v>finance::Positions.Package</v>
      </c>
      <c r="AZ47" s="43" t="s">
        <v>120</v>
      </c>
      <c r="BA47" s="44" t="str">
        <f>IF(TRIM(meta_Columns[[#This Row],[Excel Column - Label Overwrite]])&lt;&gt;"",meta_Columns[[#This Row],[Excel Column - Label Overwrite]],meta_Columns[[#This Row],[Excel Column - Label from Property or Referenced Table]])</f>
        <v>Package</v>
      </c>
      <c r="BB47" s="43"/>
      <c r="BC47" s="44" t="str">
        <f>IF(meta_Columns[[#This Row],[Excel Column - Explicit Excel Formula]]="","",meta_Columns[[#This Row],[Excel Column - Explicit Excel Formula]])</f>
        <v/>
      </c>
      <c r="BD47" s="5"/>
      <c r="BE47" s="5"/>
    </row>
    <row r="48" spans="1:57">
      <c r="A48" s="10" t="s">
        <v>1350</v>
      </c>
      <c r="B48" s="11" t="s">
        <v>546</v>
      </c>
      <c r="C48" s="22" t="str">
        <f xml:space="preserve"> IF( TRIM( meta_Columns[[#This Row],[Kind:src]] ) = "", "",
        INDEX( meta_Classifiers[Display Qualified], MATCH( meta_Columns[[#This Row],[Kind:src]], meta_Classifiers[ID], 0 ) ) )</f>
        <v>ExcelColumn</v>
      </c>
      <c r="D48" s="44" t="str">
        <f>IF(meta_Columns[[#This Row],[Owning Table:src]]="","",INDEX(meta_Classifiers[Package],MATCH(meta_Columns[[#This Row],[Owning Table Instances Class]],meta_Classifiers[ID],0)))</f>
        <v>finance</v>
      </c>
      <c r="E48" s="43"/>
      <c r="F48" s="44" t="str">
        <f>INDEX(meta_Tables[Excel Table - Excel Name],MATCH(meta_Columns[[#This Row],[Owning Table:src]],meta_Tables[ID],0))</f>
        <v>finance_Positions</v>
      </c>
      <c r="G48" s="44" t="str">
        <f>INDEX(meta_Tables[Instances Class:src],MATCH(meta_Columns[[#This Row],[Owning Table:src]],meta_Tables[ID],0))</f>
        <v>finance::Position</v>
      </c>
      <c r="H48" s="11" t="s">
        <v>946</v>
      </c>
      <c r="I48" s="43" t="str">
        <f xml:space="preserve"> IF( TRIM( meta_Columns[[#This Row],[Owning Table:src]] ) = "", "",
        INDEX( meta_Tables[Display Qualified], MATCH( meta_Columns[[#This Row],[Owning Table:src]], meta_Tables[ID], 0 ) ) )</f>
        <v>finance::Positions</v>
      </c>
      <c r="K48" s="22" t="str">
        <f>IF(TRIM(meta_Columns[[#This Row],[Referenced Table:src]])="","",
    INDEX(meta_Tables[Display Qualified],MATCH(meta_Columns[[#This Row],[Referenced Table:src]],meta_Tables[ID],0)))</f>
        <v/>
      </c>
      <c r="L48" s="8"/>
      <c r="M48" s="22" t="str">
        <f xml:space="preserve"> IF( TRIM( meta_Columns[[#This Row],[Referenced Table Display and Select Column:src]] ) = "", "",
        INDEX( meta_Columns[Display Qualified], MATCH( meta_Columns[[#This Row],[Referenced Table Display and Select Column:src]], meta_Columns[ID], 0 ) ) )</f>
        <v/>
      </c>
      <c r="N48" s="8" t="str">
        <f>IF(meta_Columns[[#This Row],[Excel Column - Excel Formula]]="","x","")</f>
        <v>x</v>
      </c>
      <c r="O48" s="22"/>
      <c r="P48" s="8" t="str">
        <f>IF(meta_Columns[[#This Row],[Referenced Table:src]]="","",INDEX(meta_Tables[Instances Class],MATCH(meta_Columns[[#This Row],[Referenced Table:src]],meta_Tables[ID],0)))</f>
        <v/>
      </c>
      <c r="Q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8" s="8" t="s">
        <v>683</v>
      </c>
      <c r="S48" s="22" t="str">
        <f xml:space="preserve"> IF( TRIM( meta_Columns[[#This Row],[Property:src]] ) = "", "",
        INDEX( meta_TypedModelElements[Display Qualified], MATCH( meta_Columns[[#This Row],[Property:src]], meta_TypedModelElements[ID], 0 ) ) )</f>
        <v>finance::Position.portfolio</v>
      </c>
      <c r="T48" s="22" t="s">
        <v>42</v>
      </c>
      <c r="U48" s="8" t="e">
        <f>INDEX(meta_Classifiers[Class - Generalization:src], MATCH(meta_Columns[[#This Row],[Generalization 5]],meta_Classifiers[ID],0))</f>
        <v>#N/A</v>
      </c>
      <c r="V48" s="8" t="e">
        <f>INDEX(meta_Classifiers[Class - Generalization:src], MATCH(meta_Columns[[#This Row],[Generalization 4]],meta_Classifiers[ID],0))</f>
        <v>#N/A</v>
      </c>
      <c r="W48" s="8" t="e">
        <f>INDEX(meta_Classifiers[Class - Generalization:src], MATCH(meta_Columns[[#This Row],[Generalization 3]],meta_Classifiers[ID],0))</f>
        <v>#N/A</v>
      </c>
      <c r="X48" s="8" t="e">
        <f>INDEX(meta_Classifiers[Class - Generalization:src], MATCH(meta_Columns[[#This Row],[Generalization 2]],meta_Classifiers[ID],0))</f>
        <v>#N/A</v>
      </c>
      <c r="Y48" s="8" t="str">
        <f>INDEX(meta_Classifiers[Class - Generalization:src], MATCH(meta_Columns[[#This Row],[Generalization 1]],meta_Classifiers[ID],0))</f>
        <v/>
      </c>
      <c r="Z48" s="8" t="str">
        <f>INDEX(meta_Classifiers[Class - Generalization:src], MATCH(meta_Columns[[#This Row],[Owning Table Instances Class]],meta_Classifiers[ID],0))</f>
        <v>_Object</v>
      </c>
      <c r="AA4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8" s="8" t="b">
        <f>_xlfn.IFNA(
INDEX(meta_Classifiers[Class - Generalization:src],MATCH(
INDEX(meta_Classifiers[Class - Generalization:src],MATCH(meta_Columns[[#This Row],[Property Owning Class]],meta_Classifiers[ID],0)),meta_Classifiers[ID],0))
=meta_Columns[[#This Row],[Owning Table Instances Class]],FALSE)</f>
        <v>0</v>
      </c>
      <c r="AG48" s="8" t="b">
        <f>_xlfn.IFNA(INDEX(meta_Classifiers[Class - Generalization:src],MATCH(meta_Columns[[#This Row],[Property Owning Class]],meta_Classifiers[ID],0))=meta_Columns[[#This Row],[Owning Table Instances Class]],FALSE)</f>
        <v>0</v>
      </c>
      <c r="AH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8" s="8" t="str">
        <f>INDEX(meta_Classifiers[Name],MATCH(INDEX(meta_TypedModelElements[Property - Owning Class:src],MATCH(meta_Columns[[#This Row],[Property]],meta_TypedModelElements[ID],0)),meta_Classifiers[ID],0))</f>
        <v>Position</v>
      </c>
      <c r="AJ48" s="8" t="str">
        <f>INDEX(meta_TypedModelElements[Property - Owning Class:src],MATCH(meta_Columns[[#This Row],[Property]],meta_TypedModelElements[ID],0))</f>
        <v>finance::Position</v>
      </c>
      <c r="AK48" s="8" t="str">
        <f>INDEX(meta_TypedModelElements[Kind:src],MATCH(meta_Columns[[#This Row],[Property]],meta_TypedModelElements[ID],0))</f>
        <v>_Attribute</v>
      </c>
      <c r="AL48" s="8" t="str">
        <f>INDEX(meta_TypedModelElements[Name or Type],MATCH(meta_Columns[[#This Row],[Property]],meta_TypedModelElements[ID],0))</f>
        <v>Portfolio</v>
      </c>
      <c r="AM48" s="8" t="str">
        <f>INDEX(meta_TypedModelElements[Property - Changeable],MATCH(meta_Columns[[#This Row],[Property]],meta_TypedModelElements[ID],0))</f>
        <v>x</v>
      </c>
      <c r="AN48" s="43">
        <v>5</v>
      </c>
      <c r="AO48" s="22">
        <v>4</v>
      </c>
      <c r="AP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8" s="8" t="str">
        <f xml:space="preserve"> IF(meta_Columns[[#This Row],[Property Owning Class is Specialization of Instance Class]],meta_Columns[[#This Row],[Property Owning Class Name]]&amp;" - ","")</f>
        <v/>
      </c>
      <c r="AR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8" s="8" t="str">
        <f>IFERROR(LEFT(meta_Columns[[#This Row],[Excel Column - Label Actual without Semantic Case]],FIND("-",
meta_Columns[[#This Row],[Excel Column - Label Actual without Semantic Case]])-2),"")</f>
        <v/>
      </c>
      <c r="AU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Portfolio:src</v>
      </c>
      <c r="AX48" s="22"/>
      <c r="AY48" s="8" t="str">
        <f>meta_Columns[[#This Row],[Owning Table]]&amp;"."&amp;meta_Columns[[#This Row],[Excel Column - Label]]</f>
        <v>finance::Positions.Porfolio:src</v>
      </c>
      <c r="AZ48" s="43" t="s">
        <v>986</v>
      </c>
      <c r="BA48" s="44" t="str">
        <f>IF(TRIM(meta_Columns[[#This Row],[Excel Column - Label Overwrite]])&lt;&gt;"",meta_Columns[[#This Row],[Excel Column - Label Overwrite]],meta_Columns[[#This Row],[Excel Column - Label from Property or Referenced Table]])</f>
        <v>Porfolio:src</v>
      </c>
      <c r="BB48" s="43"/>
      <c r="BC48" s="44" t="str">
        <f>IF(meta_Columns[[#This Row],[Excel Column - Explicit Excel Formula]]="","",meta_Columns[[#This Row],[Excel Column - Explicit Excel Formula]])</f>
        <v/>
      </c>
      <c r="BD48" s="5"/>
      <c r="BE48" s="5"/>
    </row>
    <row r="49" spans="1:57">
      <c r="A49" s="10" t="s">
        <v>1351</v>
      </c>
      <c r="B49" s="11" t="s">
        <v>546</v>
      </c>
      <c r="C49" s="22" t="str">
        <f xml:space="preserve"> IF( TRIM( meta_Columns[[#This Row],[Kind:src]] ) = "", "",
        INDEX( meta_Classifiers[Display Qualified], MATCH( meta_Columns[[#This Row],[Kind:src]], meta_Classifiers[ID], 0 ) ) )</f>
        <v>ExcelColumn</v>
      </c>
      <c r="D49" s="44" t="str">
        <f>IF(meta_Columns[[#This Row],[Owning Table:src]]="","",INDEX(meta_Classifiers[Package],MATCH(meta_Columns[[#This Row],[Owning Table Instances Class]],meta_Classifiers[ID],0)))</f>
        <v>finance</v>
      </c>
      <c r="E49" s="43"/>
      <c r="F49" s="44" t="str">
        <f>INDEX(meta_Tables[Excel Table - Excel Name],MATCH(meta_Columns[[#This Row],[Owning Table:src]],meta_Tables[ID],0))</f>
        <v>finance_Positions</v>
      </c>
      <c r="G49" s="44" t="str">
        <f>INDEX(meta_Tables[Instances Class:src],MATCH(meta_Columns[[#This Row],[Owning Table:src]],meta_Tables[ID],0))</f>
        <v>finance::Position</v>
      </c>
      <c r="H49" s="11" t="s">
        <v>946</v>
      </c>
      <c r="I49" s="43" t="str">
        <f xml:space="preserve"> IF( TRIM( meta_Columns[[#This Row],[Owning Table:src]] ) = "", "",
        INDEX( meta_Tables[Display Qualified], MATCH( meta_Columns[[#This Row],[Owning Table:src]], meta_Tables[ID], 0 ) ) )</f>
        <v>finance::Positions</v>
      </c>
      <c r="K49" s="22" t="str">
        <f>IF(TRIM(meta_Columns[[#This Row],[Referenced Table:src]])="","",
    INDEX(meta_Tables[Display Qualified],MATCH(meta_Columns[[#This Row],[Referenced Table:src]],meta_Tables[ID],0)))</f>
        <v/>
      </c>
      <c r="L49" s="8"/>
      <c r="M49" s="22" t="str">
        <f xml:space="preserve"> IF( TRIM( meta_Columns[[#This Row],[Referenced Table Display and Select Column:src]] ) = "", "",
        INDEX( meta_Columns[Display Qualified], MATCH( meta_Columns[[#This Row],[Referenced Table Display and Select Column:src]], meta_Columns[ID], 0 ) ) )</f>
        <v/>
      </c>
      <c r="N49" s="8" t="str">
        <f>IF(meta_Columns[[#This Row],[Excel Column - Excel Formula]]="","x","")</f>
        <v/>
      </c>
      <c r="O49" s="22"/>
      <c r="P49" s="8" t="str">
        <f>IF(meta_Columns[[#This Row],[Referenced Table:src]]="","",INDEX(meta_Tables[Instances Class],MATCH(meta_Columns[[#This Row],[Referenced Table:src]],meta_Tables[ID],0)))</f>
        <v/>
      </c>
      <c r="Q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9" s="8" t="s">
        <v>683</v>
      </c>
      <c r="S49" s="22" t="str">
        <f xml:space="preserve"> IF( TRIM( meta_Columns[[#This Row],[Property:src]] ) = "", "",
        INDEX( meta_TypedModelElements[Display Qualified], MATCH( meta_Columns[[#This Row],[Property:src]], meta_TypedModelElements[ID], 0 ) ) )</f>
        <v>finance::Position.portfolio</v>
      </c>
      <c r="T49" s="22"/>
      <c r="U49" s="8" t="e">
        <f>INDEX(meta_Classifiers[Class - Generalization:src], MATCH(meta_Columns[[#This Row],[Generalization 5]],meta_Classifiers[ID],0))</f>
        <v>#N/A</v>
      </c>
      <c r="V49" s="8" t="e">
        <f>INDEX(meta_Classifiers[Class - Generalization:src], MATCH(meta_Columns[[#This Row],[Generalization 4]],meta_Classifiers[ID],0))</f>
        <v>#N/A</v>
      </c>
      <c r="W49" s="8" t="e">
        <f>INDEX(meta_Classifiers[Class - Generalization:src], MATCH(meta_Columns[[#This Row],[Generalization 3]],meta_Classifiers[ID],0))</f>
        <v>#N/A</v>
      </c>
      <c r="X49" s="8" t="e">
        <f>INDEX(meta_Classifiers[Class - Generalization:src], MATCH(meta_Columns[[#This Row],[Generalization 2]],meta_Classifiers[ID],0))</f>
        <v>#N/A</v>
      </c>
      <c r="Y49" s="8" t="str">
        <f>INDEX(meta_Classifiers[Class - Generalization:src], MATCH(meta_Columns[[#This Row],[Generalization 1]],meta_Classifiers[ID],0))</f>
        <v/>
      </c>
      <c r="Z49" s="8" t="str">
        <f>INDEX(meta_Classifiers[Class - Generalization:src], MATCH(meta_Columns[[#This Row],[Owning Table Instances Class]],meta_Classifiers[ID],0))</f>
        <v>_Object</v>
      </c>
      <c r="AA4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9" s="8" t="b">
        <f>_xlfn.IFNA(
INDEX(meta_Classifiers[Class - Generalization:src],MATCH(
INDEX(meta_Classifiers[Class - Generalization:src],MATCH(meta_Columns[[#This Row],[Property Owning Class]],meta_Classifiers[ID],0)),meta_Classifiers[ID],0))
=meta_Columns[[#This Row],[Owning Table Instances Class]],FALSE)</f>
        <v>0</v>
      </c>
      <c r="AG49" s="8" t="b">
        <f>_xlfn.IFNA(INDEX(meta_Classifiers[Class - Generalization:src],MATCH(meta_Columns[[#This Row],[Property Owning Class]],meta_Classifiers[ID],0))=meta_Columns[[#This Row],[Owning Table Instances Class]],FALSE)</f>
        <v>0</v>
      </c>
      <c r="AH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9" s="8" t="str">
        <f>INDEX(meta_Classifiers[Name],MATCH(INDEX(meta_TypedModelElements[Property - Owning Class:src],MATCH(meta_Columns[[#This Row],[Property]],meta_TypedModelElements[ID],0)),meta_Classifiers[ID],0))</f>
        <v>Position</v>
      </c>
      <c r="AJ49" s="8" t="str">
        <f>INDEX(meta_TypedModelElements[Property - Owning Class:src],MATCH(meta_Columns[[#This Row],[Property]],meta_TypedModelElements[ID],0))</f>
        <v>finance::Position</v>
      </c>
      <c r="AK49" s="8" t="str">
        <f>INDEX(meta_TypedModelElements[Kind:src],MATCH(meta_Columns[[#This Row],[Property]],meta_TypedModelElements[ID],0))</f>
        <v>_Attribute</v>
      </c>
      <c r="AL49" s="8" t="str">
        <f>INDEX(meta_TypedModelElements[Name or Type],MATCH(meta_Columns[[#This Row],[Property]],meta_TypedModelElements[ID],0))</f>
        <v>Portfolio</v>
      </c>
      <c r="AM49" s="8" t="str">
        <f>INDEX(meta_TypedModelElements[Property - Changeable],MATCH(meta_Columns[[#This Row],[Property]],meta_TypedModelElements[ID],0))</f>
        <v>x</v>
      </c>
      <c r="AN49" s="43">
        <v>6</v>
      </c>
      <c r="AO49" s="22"/>
      <c r="AP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9" s="8" t="str">
        <f xml:space="preserve"> IF(meta_Columns[[#This Row],[Property Owning Class is Specialization of Instance Class]],meta_Columns[[#This Row],[Property Owning Class Name]]&amp;" - ","")</f>
        <v/>
      </c>
      <c r="AR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9" s="8" t="str">
        <f>IFERROR(LEFT(meta_Columns[[#This Row],[Excel Column - Label Actual without Semantic Case]],FIND("-",
meta_Columns[[#This Row],[Excel Column - Label Actual without Semantic Case]])-2),"")</f>
        <v/>
      </c>
      <c r="AU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v>
      </c>
      <c r="AX49" s="22"/>
      <c r="AY49" s="8" t="str">
        <f>meta_Columns[[#This Row],[Owning Table]]&amp;"."&amp;meta_Columns[[#This Row],[Excel Column - Label]]</f>
        <v>finance::Positions.Portfolio</v>
      </c>
      <c r="AZ49" s="43" t="s">
        <v>682</v>
      </c>
      <c r="BA49" s="44" t="str">
        <f>IF(TRIM(meta_Columns[[#This Row],[Excel Column - Label Overwrite]])&lt;&gt;"",meta_Columns[[#This Row],[Excel Column - Label Overwrite]],meta_Columns[[#This Row],[Excel Column - Label from Property or Referenced Table]])</f>
        <v>Portfolio</v>
      </c>
      <c r="BB49" s="43" t="s">
        <v>1485</v>
      </c>
      <c r="BC49" s="44" t="str">
        <f>IF(meta_Columns[[#This Row],[Excel Column - Explicit Excel Formula]]="","",meta_Columns[[#This Row],[Excel Column - Explicit Excel Formula]])</f>
        <v>Formula:= IF( TRIM( [@[Porfolio:src]] ) = "", "",
        INDEX( finance_Portfolios[Owner], MATCH( [@[Porfolio:src]], finance_Portfolios[ID], 0 ) ) )</v>
      </c>
      <c r="BD49" s="5" t="s">
        <v>1486</v>
      </c>
      <c r="BE49" s="5"/>
    </row>
    <row r="50" spans="1:57">
      <c r="A50" s="10" t="s">
        <v>1352</v>
      </c>
      <c r="B50" s="11" t="s">
        <v>546</v>
      </c>
      <c r="C50" s="22" t="str">
        <f xml:space="preserve"> IF( TRIM( meta_Columns[[#This Row],[Kind:src]] ) = "", "",
        INDEX( meta_Classifiers[Display Qualified], MATCH( meta_Columns[[#This Row],[Kind:src]], meta_Classifiers[ID], 0 ) ) )</f>
        <v>ExcelColumn</v>
      </c>
      <c r="D50" s="44" t="str">
        <f>IF(meta_Columns[[#This Row],[Owning Table:src]]="","",INDEX(meta_Classifiers[Package],MATCH(meta_Columns[[#This Row],[Owning Table Instances Class]],meta_Classifiers[ID],0)))</f>
        <v>finance</v>
      </c>
      <c r="E50" s="43"/>
      <c r="F50" s="44" t="str">
        <f>INDEX(meta_Tables[Excel Table - Excel Name],MATCH(meta_Columns[[#This Row],[Owning Table:src]],meta_Tables[ID],0))</f>
        <v>finance_Positions</v>
      </c>
      <c r="G50" s="44" t="str">
        <f>INDEX(meta_Tables[Instances Class:src],MATCH(meta_Columns[[#This Row],[Owning Table:src]],meta_Tables[ID],0))</f>
        <v>finance::Position</v>
      </c>
      <c r="H50" s="11" t="s">
        <v>946</v>
      </c>
      <c r="I50" s="43" t="str">
        <f xml:space="preserve"> IF( TRIM( meta_Columns[[#This Row],[Owning Table:src]] ) = "", "",
        INDEX( meta_Tables[Display Qualified], MATCH( meta_Columns[[#This Row],[Owning Table:src]], meta_Tables[ID], 0 ) ) )</f>
        <v>finance::Positions</v>
      </c>
      <c r="K50" s="22" t="str">
        <f>IF(TRIM(meta_Columns[[#This Row],[Referenced Table:src]])="","",
    INDEX(meta_Tables[Display Qualified],MATCH(meta_Columns[[#This Row],[Referenced Table:src]],meta_Tables[ID],0)))</f>
        <v/>
      </c>
      <c r="L50" s="8"/>
      <c r="M50" s="22" t="str">
        <f xml:space="preserve"> IF( TRIM( meta_Columns[[#This Row],[Referenced Table Display and Select Column:src]] ) = "", "",
        INDEX( meta_Columns[Display Qualified], MATCH( meta_Columns[[#This Row],[Referenced Table Display and Select Column:src]], meta_Columns[ID], 0 ) ) )</f>
        <v/>
      </c>
      <c r="N50" s="8" t="str">
        <f>IF(meta_Columns[[#This Row],[Excel Column - Excel Formula]]="","x","")</f>
        <v>x</v>
      </c>
      <c r="O50" s="22"/>
      <c r="P50" s="8" t="str">
        <f>IF(meta_Columns[[#This Row],[Referenced Table:src]]="","",INDEX(meta_Tables[Instances Class],MATCH(meta_Columns[[#This Row],[Referenced Table:src]],meta_Tables[ID],0)))</f>
        <v/>
      </c>
      <c r="Q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0" s="8" t="s">
        <v>677</v>
      </c>
      <c r="S50" s="22" t="str">
        <f xml:space="preserve"> IF( TRIM( meta_Columns[[#This Row],[Property:src]] ) = "", "",
        INDEX( meta_TypedModelElements[Display Qualified], MATCH( meta_Columns[[#This Row],[Property:src]], meta_TypedModelElements[ID], 0 ) ) )</f>
        <v>finance::Position.security</v>
      </c>
      <c r="T50" s="22" t="s">
        <v>42</v>
      </c>
      <c r="U50" s="8" t="e">
        <f>INDEX(meta_Classifiers[Class - Generalization:src], MATCH(meta_Columns[[#This Row],[Generalization 5]],meta_Classifiers[ID],0))</f>
        <v>#N/A</v>
      </c>
      <c r="V50" s="8" t="e">
        <f>INDEX(meta_Classifiers[Class - Generalization:src], MATCH(meta_Columns[[#This Row],[Generalization 4]],meta_Classifiers[ID],0))</f>
        <v>#N/A</v>
      </c>
      <c r="W50" s="8" t="e">
        <f>INDEX(meta_Classifiers[Class - Generalization:src], MATCH(meta_Columns[[#This Row],[Generalization 3]],meta_Classifiers[ID],0))</f>
        <v>#N/A</v>
      </c>
      <c r="X50" s="8" t="e">
        <f>INDEX(meta_Classifiers[Class - Generalization:src], MATCH(meta_Columns[[#This Row],[Generalization 2]],meta_Classifiers[ID],0))</f>
        <v>#N/A</v>
      </c>
      <c r="Y50" s="8" t="str">
        <f>INDEX(meta_Classifiers[Class - Generalization:src], MATCH(meta_Columns[[#This Row],[Generalization 1]],meta_Classifiers[ID],0))</f>
        <v/>
      </c>
      <c r="Z50" s="8" t="str">
        <f>INDEX(meta_Classifiers[Class - Generalization:src], MATCH(meta_Columns[[#This Row],[Owning Table Instances Class]],meta_Classifiers[ID],0))</f>
        <v>_Object</v>
      </c>
      <c r="AA5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0" s="8" t="b">
        <f>_xlfn.IFNA(
INDEX(meta_Classifiers[Class - Generalization:src],MATCH(
INDEX(meta_Classifiers[Class - Generalization:src],MATCH(meta_Columns[[#This Row],[Property Owning Class]],meta_Classifiers[ID],0)),meta_Classifiers[ID],0))
=meta_Columns[[#This Row],[Owning Table Instances Class]],FALSE)</f>
        <v>0</v>
      </c>
      <c r="AG50" s="8" t="b">
        <f>_xlfn.IFNA(INDEX(meta_Classifiers[Class - Generalization:src],MATCH(meta_Columns[[#This Row],[Property Owning Class]],meta_Classifiers[ID],0))=meta_Columns[[#This Row],[Owning Table Instances Class]],FALSE)</f>
        <v>0</v>
      </c>
      <c r="AH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0" s="8" t="str">
        <f>INDEX(meta_Classifiers[Name],MATCH(INDEX(meta_TypedModelElements[Property - Owning Class:src],MATCH(meta_Columns[[#This Row],[Property]],meta_TypedModelElements[ID],0)),meta_Classifiers[ID],0))</f>
        <v>Position</v>
      </c>
      <c r="AJ50" s="8" t="str">
        <f>INDEX(meta_TypedModelElements[Property - Owning Class:src],MATCH(meta_Columns[[#This Row],[Property]],meta_TypedModelElements[ID],0))</f>
        <v>finance::Position</v>
      </c>
      <c r="AK50" s="8" t="str">
        <f>INDEX(meta_TypedModelElements[Kind:src],MATCH(meta_Columns[[#This Row],[Property]],meta_TypedModelElements[ID],0))</f>
        <v>_Attribute</v>
      </c>
      <c r="AL50" s="8" t="str">
        <f>INDEX(meta_TypedModelElements[Name or Type],MATCH(meta_Columns[[#This Row],[Property]],meta_TypedModelElements[ID],0))</f>
        <v>Security</v>
      </c>
      <c r="AM50" s="8" t="str">
        <f>INDEX(meta_TypedModelElements[Property - Changeable],MATCH(meta_Columns[[#This Row],[Property]],meta_TypedModelElements[ID],0))</f>
        <v>x</v>
      </c>
      <c r="AN50" s="43">
        <v>7</v>
      </c>
      <c r="AO50" s="22">
        <v>5</v>
      </c>
      <c r="AP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0" s="8" t="str">
        <f xml:space="preserve"> IF(meta_Columns[[#This Row],[Property Owning Class is Specialization of Instance Class]],meta_Columns[[#This Row],[Property Owning Class Name]]&amp;" - ","")</f>
        <v/>
      </c>
      <c r="AR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0" s="8" t="str">
        <f>IFERROR(LEFT(meta_Columns[[#This Row],[Excel Column - Label Actual without Semantic Case]],FIND("-",
meta_Columns[[#This Row],[Excel Column - Label Actual without Semantic Case]])-2),"")</f>
        <v/>
      </c>
      <c r="AU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Security:src</v>
      </c>
      <c r="AX50" s="22"/>
      <c r="AY50" s="8" t="str">
        <f>meta_Columns[[#This Row],[Owning Table]]&amp;"."&amp;meta_Columns[[#This Row],[Excel Column - Label]]</f>
        <v>finance::Positions.Security:src</v>
      </c>
      <c r="AZ50" s="43" t="s">
        <v>987</v>
      </c>
      <c r="BA50" s="44" t="str">
        <f>IF(TRIM(meta_Columns[[#This Row],[Excel Column - Label Overwrite]])&lt;&gt;"",meta_Columns[[#This Row],[Excel Column - Label Overwrite]],meta_Columns[[#This Row],[Excel Column - Label from Property or Referenced Table]])</f>
        <v>Security:src</v>
      </c>
      <c r="BB50" s="43"/>
      <c r="BC50" s="44" t="str">
        <f>IF(meta_Columns[[#This Row],[Excel Column - Explicit Excel Formula]]="","",meta_Columns[[#This Row],[Excel Column - Explicit Excel Formula]])</f>
        <v/>
      </c>
      <c r="BD50" s="5"/>
      <c r="BE50" s="5"/>
    </row>
    <row r="51" spans="1:57">
      <c r="A51" s="10" t="s">
        <v>1353</v>
      </c>
      <c r="B51" s="11" t="s">
        <v>546</v>
      </c>
      <c r="C51" s="22" t="str">
        <f xml:space="preserve"> IF( TRIM( meta_Columns[[#This Row],[Kind:src]] ) = "", "",
        INDEX( meta_Classifiers[Display Qualified], MATCH( meta_Columns[[#This Row],[Kind:src]], meta_Classifiers[ID], 0 ) ) )</f>
        <v>ExcelColumn</v>
      </c>
      <c r="D51" s="44" t="str">
        <f>IF(meta_Columns[[#This Row],[Owning Table:src]]="","",INDEX(meta_Classifiers[Package],MATCH(meta_Columns[[#This Row],[Owning Table Instances Class]],meta_Classifiers[ID],0)))</f>
        <v>finance</v>
      </c>
      <c r="E51" s="43"/>
      <c r="F51" s="44" t="str">
        <f>INDEX(meta_Tables[Excel Table - Excel Name],MATCH(meta_Columns[[#This Row],[Owning Table:src]],meta_Tables[ID],0))</f>
        <v>finance_Positions</v>
      </c>
      <c r="G51" s="44" t="str">
        <f>INDEX(meta_Tables[Instances Class:src],MATCH(meta_Columns[[#This Row],[Owning Table:src]],meta_Tables[ID],0))</f>
        <v>finance::Position</v>
      </c>
      <c r="H51" s="11" t="s">
        <v>946</v>
      </c>
      <c r="I51" s="43" t="str">
        <f xml:space="preserve"> IF( TRIM( meta_Columns[[#This Row],[Owning Table:src]] ) = "", "",
        INDEX( meta_Tables[Display Qualified], MATCH( meta_Columns[[#This Row],[Owning Table:src]], meta_Tables[ID], 0 ) ) )</f>
        <v>finance::Positions</v>
      </c>
      <c r="K51" s="22" t="str">
        <f>IF(TRIM(meta_Columns[[#This Row],[Referenced Table:src]])="","",
    INDEX(meta_Tables[Display Qualified],MATCH(meta_Columns[[#This Row],[Referenced Table:src]],meta_Tables[ID],0)))</f>
        <v/>
      </c>
      <c r="L51" s="8"/>
      <c r="M51" s="22" t="str">
        <f xml:space="preserve"> IF( TRIM( meta_Columns[[#This Row],[Referenced Table Display and Select Column:src]] ) = "", "",
        INDEX( meta_Columns[Display Qualified], MATCH( meta_Columns[[#This Row],[Referenced Table Display and Select Column:src]], meta_Columns[ID], 0 ) ) )</f>
        <v/>
      </c>
      <c r="N51" s="8" t="str">
        <f>IF(meta_Columns[[#This Row],[Excel Column - Excel Formula]]="","x","")</f>
        <v/>
      </c>
      <c r="O51" s="22"/>
      <c r="P51" s="8" t="str">
        <f>IF(meta_Columns[[#This Row],[Referenced Table:src]]="","",INDEX(meta_Tables[Instances Class],MATCH(meta_Columns[[#This Row],[Referenced Table:src]],meta_Tables[ID],0)))</f>
        <v/>
      </c>
      <c r="Q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1" s="8" t="s">
        <v>677</v>
      </c>
      <c r="S51" s="22" t="str">
        <f xml:space="preserve"> IF( TRIM( meta_Columns[[#This Row],[Property:src]] ) = "", "",
        INDEX( meta_TypedModelElements[Display Qualified], MATCH( meta_Columns[[#This Row],[Property:src]], meta_TypedModelElements[ID], 0 ) ) )</f>
        <v>finance::Position.security</v>
      </c>
      <c r="T51" s="22"/>
      <c r="U51" s="8" t="e">
        <f>INDEX(meta_Classifiers[Class - Generalization:src], MATCH(meta_Columns[[#This Row],[Generalization 5]],meta_Classifiers[ID],0))</f>
        <v>#N/A</v>
      </c>
      <c r="V51" s="8" t="e">
        <f>INDEX(meta_Classifiers[Class - Generalization:src], MATCH(meta_Columns[[#This Row],[Generalization 4]],meta_Classifiers[ID],0))</f>
        <v>#N/A</v>
      </c>
      <c r="W51" s="8" t="e">
        <f>INDEX(meta_Classifiers[Class - Generalization:src], MATCH(meta_Columns[[#This Row],[Generalization 3]],meta_Classifiers[ID],0))</f>
        <v>#N/A</v>
      </c>
      <c r="X51" s="8" t="e">
        <f>INDEX(meta_Classifiers[Class - Generalization:src], MATCH(meta_Columns[[#This Row],[Generalization 2]],meta_Classifiers[ID],0))</f>
        <v>#N/A</v>
      </c>
      <c r="Y51" s="8" t="str">
        <f>INDEX(meta_Classifiers[Class - Generalization:src], MATCH(meta_Columns[[#This Row],[Generalization 1]],meta_Classifiers[ID],0))</f>
        <v/>
      </c>
      <c r="Z51" s="8" t="str">
        <f>INDEX(meta_Classifiers[Class - Generalization:src], MATCH(meta_Columns[[#This Row],[Owning Table Instances Class]],meta_Classifiers[ID],0))</f>
        <v>_Object</v>
      </c>
      <c r="AA5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1" s="8" t="b">
        <f>_xlfn.IFNA(
INDEX(meta_Classifiers[Class - Generalization:src],MATCH(
INDEX(meta_Classifiers[Class - Generalization:src],MATCH(meta_Columns[[#This Row],[Property Owning Class]],meta_Classifiers[ID],0)),meta_Classifiers[ID],0))
=meta_Columns[[#This Row],[Owning Table Instances Class]],FALSE)</f>
        <v>0</v>
      </c>
      <c r="AG51" s="8" t="b">
        <f>_xlfn.IFNA(INDEX(meta_Classifiers[Class - Generalization:src],MATCH(meta_Columns[[#This Row],[Property Owning Class]],meta_Classifiers[ID],0))=meta_Columns[[#This Row],[Owning Table Instances Class]],FALSE)</f>
        <v>0</v>
      </c>
      <c r="AH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1" s="8" t="str">
        <f>INDEX(meta_Classifiers[Name],MATCH(INDEX(meta_TypedModelElements[Property - Owning Class:src],MATCH(meta_Columns[[#This Row],[Property]],meta_TypedModelElements[ID],0)),meta_Classifiers[ID],0))</f>
        <v>Position</v>
      </c>
      <c r="AJ51" s="8" t="str">
        <f>INDEX(meta_TypedModelElements[Property - Owning Class:src],MATCH(meta_Columns[[#This Row],[Property]],meta_TypedModelElements[ID],0))</f>
        <v>finance::Position</v>
      </c>
      <c r="AK51" s="8" t="str">
        <f>INDEX(meta_TypedModelElements[Kind:src],MATCH(meta_Columns[[#This Row],[Property]],meta_TypedModelElements[ID],0))</f>
        <v>_Attribute</v>
      </c>
      <c r="AL51" s="8" t="str">
        <f>INDEX(meta_TypedModelElements[Name or Type],MATCH(meta_Columns[[#This Row],[Property]],meta_TypedModelElements[ID],0))</f>
        <v>Security</v>
      </c>
      <c r="AM51" s="8" t="str">
        <f>INDEX(meta_TypedModelElements[Property - Changeable],MATCH(meta_Columns[[#This Row],[Property]],meta_TypedModelElements[ID],0))</f>
        <v>x</v>
      </c>
      <c r="AN51" s="43">
        <v>8</v>
      </c>
      <c r="AO51" s="22"/>
      <c r="AP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1" s="8" t="str">
        <f xml:space="preserve"> IF(meta_Columns[[#This Row],[Property Owning Class is Specialization of Instance Class]],meta_Columns[[#This Row],[Property Owning Class Name]]&amp;" - ","")</f>
        <v/>
      </c>
      <c r="AR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1" s="8" t="str">
        <f>IFERROR(LEFT(meta_Columns[[#This Row],[Excel Column - Label Actual without Semantic Case]],FIND("-",
meta_Columns[[#This Row],[Excel Column - Label Actual without Semantic Case]])-2),"")</f>
        <v/>
      </c>
      <c r="AU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v>
      </c>
      <c r="AX51" s="22"/>
      <c r="AY51" s="8" t="str">
        <f>meta_Columns[[#This Row],[Owning Table]]&amp;"."&amp;meta_Columns[[#This Row],[Excel Column - Label]]</f>
        <v>finance::Positions.Security</v>
      </c>
      <c r="AZ51" s="43" t="s">
        <v>664</v>
      </c>
      <c r="BA51" s="44" t="str">
        <f>IF(TRIM(meta_Columns[[#This Row],[Excel Column - Label Overwrite]])&lt;&gt;"",meta_Columns[[#This Row],[Excel Column - Label Overwrite]],meta_Columns[[#This Row],[Excel Column - Label from Property or Referenced Table]])</f>
        <v>Security</v>
      </c>
      <c r="BB51" s="43" t="s">
        <v>1487</v>
      </c>
      <c r="BC51" s="44" t="str">
        <f>IF(meta_Columns[[#This Row],[Excel Column - Explicit Excel Formula]]="","",meta_Columns[[#This Row],[Excel Column - Explicit Excel Formula]])</f>
        <v>Formula:= IF( TRIM( [@[Security:src]] ) = "", "",
        INDEX( finance_Securities[Trading Symbol], MATCH( [@[Security:src]], finance_Securities[ID], 0 ) ) )</v>
      </c>
      <c r="BD51" s="5" t="s">
        <v>1488</v>
      </c>
      <c r="BE51" s="5"/>
    </row>
    <row r="52" spans="1:57">
      <c r="A52" s="10" t="s">
        <v>1057</v>
      </c>
      <c r="B52" s="11" t="s">
        <v>546</v>
      </c>
      <c r="C52" s="22" t="str">
        <f xml:space="preserve"> IF( TRIM( meta_Columns[[#This Row],[Kind:src]] ) = "", "",
        INDEX( meta_Classifiers[Display Qualified], MATCH( meta_Columns[[#This Row],[Kind:src]], meta_Classifiers[ID], 0 ) ) )</f>
        <v>ExcelColumn</v>
      </c>
      <c r="D52" s="44" t="str">
        <f>IF(meta_Columns[[#This Row],[Owning Table:src]]="","",INDEX(meta_Classifiers[Package],MATCH(meta_Columns[[#This Row],[Owning Table Instances Class]],meta_Classifiers[ID],0)))</f>
        <v>finance</v>
      </c>
      <c r="E52" s="43"/>
      <c r="F52" s="44" t="str">
        <f>INDEX(meta_Tables[Excel Table - Excel Name],MATCH(meta_Columns[[#This Row],[Owning Table:src]],meta_Tables[ID],0))</f>
        <v>finance_Positions</v>
      </c>
      <c r="G52" s="44" t="str">
        <f>INDEX(meta_Tables[Instances Class:src],MATCH(meta_Columns[[#This Row],[Owning Table:src]],meta_Tables[ID],0))</f>
        <v>finance::Position</v>
      </c>
      <c r="H52" s="11" t="s">
        <v>946</v>
      </c>
      <c r="I52" s="43" t="str">
        <f xml:space="preserve"> IF( TRIM( meta_Columns[[#This Row],[Owning Table:src]] ) = "", "",
        INDEX( meta_Tables[Display Qualified], MATCH( meta_Columns[[#This Row],[Owning Table:src]], meta_Tables[ID], 0 ) ) )</f>
        <v>finance::Positions</v>
      </c>
      <c r="K52" s="22" t="str">
        <f>IF(TRIM(meta_Columns[[#This Row],[Referenced Table:src]])="","",
    INDEX(meta_Tables[Display Qualified],MATCH(meta_Columns[[#This Row],[Referenced Table:src]],meta_Tables[ID],0)))</f>
        <v/>
      </c>
      <c r="L52" s="8"/>
      <c r="M52" s="22" t="str">
        <f xml:space="preserve"> IF( TRIM( meta_Columns[[#This Row],[Referenced Table Display and Select Column:src]] ) = "", "",
        INDEX( meta_Columns[Display Qualified], MATCH( meta_Columns[[#This Row],[Referenced Table Display and Select Column:src]], meta_Columns[ID], 0 ) ) )</f>
        <v/>
      </c>
      <c r="N52" s="8" t="str">
        <f>IF(meta_Columns[[#This Row],[Excel Column - Excel Formula]]="","x","")</f>
        <v>x</v>
      </c>
      <c r="O52" s="22"/>
      <c r="P52" s="8" t="str">
        <f>IF(meta_Columns[[#This Row],[Referenced Table:src]]="","",INDEX(meta_Tables[Instances Class],MATCH(meta_Columns[[#This Row],[Referenced Table:src]],meta_Tables[ID],0)))</f>
        <v/>
      </c>
      <c r="Q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2" s="8" t="s">
        <v>678</v>
      </c>
      <c r="S52" s="22" t="str">
        <f xml:space="preserve"> IF( TRIM( meta_Columns[[#This Row],[Property:src]] ) = "", "",
        INDEX( meta_TypedModelElements[Display Qualified], MATCH( meta_Columns[[#This Row],[Property:src]], meta_TypedModelElements[ID], 0 ) ) )</f>
        <v>finance::Position.amount</v>
      </c>
      <c r="T52" s="22" t="s">
        <v>42</v>
      </c>
      <c r="U52" s="8" t="e">
        <f>INDEX(meta_Classifiers[Class - Generalization:src], MATCH(meta_Columns[[#This Row],[Generalization 5]],meta_Classifiers[ID],0))</f>
        <v>#N/A</v>
      </c>
      <c r="V52" s="8" t="e">
        <f>INDEX(meta_Classifiers[Class - Generalization:src], MATCH(meta_Columns[[#This Row],[Generalization 4]],meta_Classifiers[ID],0))</f>
        <v>#N/A</v>
      </c>
      <c r="W52" s="8" t="e">
        <f>INDEX(meta_Classifiers[Class - Generalization:src], MATCH(meta_Columns[[#This Row],[Generalization 3]],meta_Classifiers[ID],0))</f>
        <v>#N/A</v>
      </c>
      <c r="X52" s="8" t="e">
        <f>INDEX(meta_Classifiers[Class - Generalization:src], MATCH(meta_Columns[[#This Row],[Generalization 2]],meta_Classifiers[ID],0))</f>
        <v>#N/A</v>
      </c>
      <c r="Y52" s="8" t="str">
        <f>INDEX(meta_Classifiers[Class - Generalization:src], MATCH(meta_Columns[[#This Row],[Generalization 1]],meta_Classifiers[ID],0))</f>
        <v/>
      </c>
      <c r="Z52" s="8" t="str">
        <f>INDEX(meta_Classifiers[Class - Generalization:src], MATCH(meta_Columns[[#This Row],[Owning Table Instances Class]],meta_Classifiers[ID],0))</f>
        <v>_Object</v>
      </c>
      <c r="AA52"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2" s="8" t="b">
        <f>_xlfn.IFNA(
INDEX(meta_Classifiers[Class - Generalization:src],MATCH(
INDEX(meta_Classifiers[Class - Generalization:src],MATCH(meta_Columns[[#This Row],[Property Owning Class]],meta_Classifiers[ID],0)),meta_Classifiers[ID],0))
=meta_Columns[[#This Row],[Owning Table Instances Class]],FALSE)</f>
        <v>0</v>
      </c>
      <c r="AG52" s="8" t="b">
        <f>_xlfn.IFNA(INDEX(meta_Classifiers[Class - Generalization:src],MATCH(meta_Columns[[#This Row],[Property Owning Class]],meta_Classifiers[ID],0))=meta_Columns[[#This Row],[Owning Table Instances Class]],FALSE)</f>
        <v>0</v>
      </c>
      <c r="AH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2" s="8" t="str">
        <f>INDEX(meta_Classifiers[Name],MATCH(INDEX(meta_TypedModelElements[Property - Owning Class:src],MATCH(meta_Columns[[#This Row],[Property]],meta_TypedModelElements[ID],0)),meta_Classifiers[ID],0))</f>
        <v>Position</v>
      </c>
      <c r="AJ52" s="8" t="str">
        <f>INDEX(meta_TypedModelElements[Property - Owning Class:src],MATCH(meta_Columns[[#This Row],[Property]],meta_TypedModelElements[ID],0))</f>
        <v>finance::Position</v>
      </c>
      <c r="AK52" s="8" t="str">
        <f>INDEX(meta_TypedModelElements[Kind:src],MATCH(meta_Columns[[#This Row],[Property]],meta_TypedModelElements[ID],0))</f>
        <v>_Attribute</v>
      </c>
      <c r="AL52" s="8" t="str">
        <f>INDEX(meta_TypedModelElements[Name or Type],MATCH(meta_Columns[[#This Row],[Property]],meta_TypedModelElements[ID],0))</f>
        <v>Amount</v>
      </c>
      <c r="AM52" s="8" t="str">
        <f>INDEX(meta_TypedModelElements[Property - Changeable],MATCH(meta_Columns[[#This Row],[Property]],meta_TypedModelElements[ID],0))</f>
        <v>x</v>
      </c>
      <c r="AN52" s="43">
        <v>9</v>
      </c>
      <c r="AO52" s="22">
        <v>6</v>
      </c>
      <c r="AP5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Amount</v>
      </c>
      <c r="AQ52" s="8" t="str">
        <f xml:space="preserve"> IF(meta_Columns[[#This Row],[Property Owning Class is Specialization of Instance Class]],meta_Columns[[#This Row],[Property Owning Class Name]]&amp;" - ","")</f>
        <v/>
      </c>
      <c r="AR5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Amount</v>
      </c>
      <c r="AS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Amount</v>
      </c>
      <c r="AT52" s="8" t="str">
        <f>IFERROR(LEFT(meta_Columns[[#This Row],[Excel Column - Label Actual without Semantic Case]],FIND("-",
meta_Columns[[#This Row],[Excel Column - Label Actual without Semantic Case]])-2),"")</f>
        <v/>
      </c>
      <c r="AU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Amount</v>
      </c>
      <c r="AV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Amount</v>
      </c>
      <c r="AX52" s="22"/>
      <c r="AY52" s="8" t="str">
        <f>meta_Columns[[#This Row],[Owning Table]]&amp;"."&amp;meta_Columns[[#This Row],[Excel Column - Label]]</f>
        <v>finance::Positions.Amount</v>
      </c>
      <c r="AZ52" s="43" t="s">
        <v>670</v>
      </c>
      <c r="BA52" s="44" t="str">
        <f>IF(TRIM(meta_Columns[[#This Row],[Excel Column - Label Overwrite]])&lt;&gt;"",meta_Columns[[#This Row],[Excel Column - Label Overwrite]],meta_Columns[[#This Row],[Excel Column - Label from Property or Referenced Table]])</f>
        <v>Amount</v>
      </c>
      <c r="BB52" s="43"/>
      <c r="BC52" s="44" t="str">
        <f>IF(meta_Columns[[#This Row],[Excel Column - Explicit Excel Formula]]="","",meta_Columns[[#This Row],[Excel Column - Explicit Excel Formula]])</f>
        <v/>
      </c>
      <c r="BD52" s="5"/>
      <c r="BE52" s="5"/>
    </row>
    <row r="53" spans="1:57">
      <c r="A53" s="10" t="s">
        <v>1058</v>
      </c>
      <c r="B53" s="11" t="s">
        <v>546</v>
      </c>
      <c r="C53" s="22" t="str">
        <f xml:space="preserve"> IF( TRIM( meta_Columns[[#This Row],[Kind:src]] ) = "", "",
        INDEX( meta_Classifiers[Display Qualified], MATCH( meta_Columns[[#This Row],[Kind:src]], meta_Classifiers[ID], 0 ) ) )</f>
        <v>ExcelColumn</v>
      </c>
      <c r="D53" s="44" t="str">
        <f>IF(meta_Columns[[#This Row],[Owning Table:src]]="","",INDEX(meta_Classifiers[Package],MATCH(meta_Columns[[#This Row],[Owning Table Instances Class]],meta_Classifiers[ID],0)))</f>
        <v>finance</v>
      </c>
      <c r="E53" s="43"/>
      <c r="F53" s="44" t="str">
        <f>INDEX(meta_Tables[Excel Table - Excel Name],MATCH(meta_Columns[[#This Row],[Owning Table:src]],meta_Tables[ID],0))</f>
        <v>finance_Positions</v>
      </c>
      <c r="G53" s="44" t="str">
        <f>INDEX(meta_Tables[Instances Class:src],MATCH(meta_Columns[[#This Row],[Owning Table:src]],meta_Tables[ID],0))</f>
        <v>finance::Position</v>
      </c>
      <c r="H53" s="11" t="s">
        <v>946</v>
      </c>
      <c r="I53" s="43" t="str">
        <f xml:space="preserve"> IF( TRIM( meta_Columns[[#This Row],[Owning Table:src]] ) = "", "",
        INDEX( meta_Tables[Display Qualified], MATCH( meta_Columns[[#This Row],[Owning Table:src]], meta_Tables[ID], 0 ) ) )</f>
        <v>finance::Positions</v>
      </c>
      <c r="K53" s="22" t="str">
        <f>IF(TRIM(meta_Columns[[#This Row],[Referenced Table:src]])="","",
    INDEX(meta_Tables[Display Qualified],MATCH(meta_Columns[[#This Row],[Referenced Table:src]],meta_Tables[ID],0)))</f>
        <v/>
      </c>
      <c r="L53" s="8"/>
      <c r="M53" s="22" t="str">
        <f xml:space="preserve"> IF( TRIM( meta_Columns[[#This Row],[Referenced Table Display and Select Column:src]] ) = "", "",
        INDEX( meta_Columns[Display Qualified], MATCH( meta_Columns[[#This Row],[Referenced Table Display and Select Column:src]], meta_Columns[ID], 0 ) ) )</f>
        <v/>
      </c>
      <c r="N53" s="8" t="str">
        <f>IF(meta_Columns[[#This Row],[Excel Column - Excel Formula]]="","x","")</f>
        <v>x</v>
      </c>
      <c r="O53" s="22"/>
      <c r="P53" s="8" t="str">
        <f>IF(meta_Columns[[#This Row],[Referenced Table:src]]="","",INDEX(meta_Tables[Instances Class],MATCH(meta_Columns[[#This Row],[Referenced Table:src]],meta_Tables[ID],0)))</f>
        <v/>
      </c>
      <c r="Q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3" s="8" t="s">
        <v>679</v>
      </c>
      <c r="S53" s="22" t="str">
        <f xml:space="preserve"> IF( TRIM( meta_Columns[[#This Row],[Property:src]] ) = "", "",
        INDEX( meta_TypedModelElements[Display Qualified], MATCH( meta_Columns[[#This Row],[Property:src]], meta_TypedModelElements[ID], 0 ) ) )</f>
        <v>finance::Position.valuation</v>
      </c>
      <c r="T53" s="22" t="s">
        <v>477</v>
      </c>
      <c r="U53" s="8" t="e">
        <f>INDEX(meta_Classifiers[Class - Generalization:src], MATCH(meta_Columns[[#This Row],[Generalization 5]],meta_Classifiers[ID],0))</f>
        <v>#N/A</v>
      </c>
      <c r="V53" s="8" t="e">
        <f>INDEX(meta_Classifiers[Class - Generalization:src], MATCH(meta_Columns[[#This Row],[Generalization 4]],meta_Classifiers[ID],0))</f>
        <v>#N/A</v>
      </c>
      <c r="W53" s="8" t="e">
        <f>INDEX(meta_Classifiers[Class - Generalization:src], MATCH(meta_Columns[[#This Row],[Generalization 3]],meta_Classifiers[ID],0))</f>
        <v>#N/A</v>
      </c>
      <c r="X53" s="8" t="e">
        <f>INDEX(meta_Classifiers[Class - Generalization:src], MATCH(meta_Columns[[#This Row],[Generalization 2]],meta_Classifiers[ID],0))</f>
        <v>#N/A</v>
      </c>
      <c r="Y53" s="8" t="str">
        <f>INDEX(meta_Classifiers[Class - Generalization:src], MATCH(meta_Columns[[#This Row],[Generalization 1]],meta_Classifiers[ID],0))</f>
        <v/>
      </c>
      <c r="Z53" s="8" t="str">
        <f>INDEX(meta_Classifiers[Class - Generalization:src], MATCH(meta_Columns[[#This Row],[Owning Table Instances Class]],meta_Classifiers[ID],0))</f>
        <v>_Object</v>
      </c>
      <c r="AA53"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3" s="8" t="b">
        <f>_xlfn.IFNA(
INDEX(meta_Classifiers[Class - Generalization:src],MATCH(
INDEX(meta_Classifiers[Class - Generalization:src],MATCH(meta_Columns[[#This Row],[Property Owning Class]],meta_Classifiers[ID],0)),meta_Classifiers[ID],0))
=meta_Columns[[#This Row],[Owning Table Instances Class]],FALSE)</f>
        <v>0</v>
      </c>
      <c r="AG53" s="8" t="b">
        <f>_xlfn.IFNA(INDEX(meta_Classifiers[Class - Generalization:src],MATCH(meta_Columns[[#This Row],[Property Owning Class]],meta_Classifiers[ID],0))=meta_Columns[[#This Row],[Owning Table Instances Class]],FALSE)</f>
        <v>0</v>
      </c>
      <c r="AH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3" s="8" t="str">
        <f>INDEX(meta_Classifiers[Name],MATCH(INDEX(meta_TypedModelElements[Property - Owning Class:src],MATCH(meta_Columns[[#This Row],[Property]],meta_TypedModelElements[ID],0)),meta_Classifiers[ID],0))</f>
        <v>Position</v>
      </c>
      <c r="AJ53" s="8" t="str">
        <f>INDEX(meta_TypedModelElements[Property - Owning Class:src],MATCH(meta_Columns[[#This Row],[Property]],meta_TypedModelElements[ID],0))</f>
        <v>finance::Position</v>
      </c>
      <c r="AK53" s="8" t="str">
        <f>INDEX(meta_TypedModelElements[Kind:src],MATCH(meta_Columns[[#This Row],[Property]],meta_TypedModelElements[ID],0))</f>
        <v>_Attribute</v>
      </c>
      <c r="AL53" s="8" t="str">
        <f>INDEX(meta_TypedModelElements[Name or Type],MATCH(meta_Columns[[#This Row],[Property]],meta_TypedModelElements[ID],0))</f>
        <v>Valuation</v>
      </c>
      <c r="AM53" s="8">
        <f>INDEX(meta_TypedModelElements[Property - Changeable],MATCH(meta_Columns[[#This Row],[Property]],meta_TypedModelElements[ID],0))</f>
        <v>0</v>
      </c>
      <c r="AN53" s="43">
        <v>10</v>
      </c>
      <c r="AO53" s="22">
        <v>7</v>
      </c>
      <c r="AP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Valuation:derive</v>
      </c>
      <c r="AQ53" s="8" t="str">
        <f xml:space="preserve"> IF(meta_Columns[[#This Row],[Property Owning Class is Specialization of Instance Class]],meta_Columns[[#This Row],[Property Owning Class Name]]&amp;" - ","")</f>
        <v/>
      </c>
      <c r="AR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Valuation</v>
      </c>
      <c r="AS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Valuation</v>
      </c>
      <c r="AT53" s="8" t="str">
        <f>IFERROR(LEFT(meta_Columns[[#This Row],[Excel Column - Label Actual without Semantic Case]],FIND("-",
meta_Columns[[#This Row],[Excel Column - Label Actual without Semantic Case]])-2),"")</f>
        <v/>
      </c>
      <c r="AU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Valuation</v>
      </c>
      <c r="AV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Valuation</v>
      </c>
      <c r="AX53" s="22"/>
      <c r="AY53" s="8" t="str">
        <f>meta_Columns[[#This Row],[Owning Table]]&amp;"."&amp;meta_Columns[[#This Row],[Excel Column - Label]]</f>
        <v>finance::Positions.Valuation</v>
      </c>
      <c r="AZ53" s="43" t="s">
        <v>671</v>
      </c>
      <c r="BA53" s="44" t="str">
        <f>IF(TRIM(meta_Columns[[#This Row],[Excel Column - Label Overwrite]])&lt;&gt;"",meta_Columns[[#This Row],[Excel Column - Label Overwrite]],meta_Columns[[#This Row],[Excel Column - Label from Property or Referenced Table]])</f>
        <v>Valuation</v>
      </c>
      <c r="BB53" s="43"/>
      <c r="BC53" s="44" t="str">
        <f>IF(meta_Columns[[#This Row],[Excel Column - Explicit Excel Formula]]="","",meta_Columns[[#This Row],[Excel Column - Explicit Excel Formula]])</f>
        <v/>
      </c>
      <c r="BD53" s="5"/>
      <c r="BE53" s="5"/>
    </row>
    <row r="54" spans="1:57">
      <c r="A54" s="10" t="s">
        <v>1059</v>
      </c>
      <c r="B54" s="11" t="s">
        <v>546</v>
      </c>
      <c r="C54" s="22" t="str">
        <f xml:space="preserve"> IF( TRIM( meta_Columns[[#This Row],[Kind:src]] ) = "", "",
        INDEX( meta_Classifiers[Display Qualified], MATCH( meta_Columns[[#This Row],[Kind:src]], meta_Classifiers[ID], 0 ) ) )</f>
        <v>ExcelColumn</v>
      </c>
      <c r="D54" s="44" t="str">
        <f>IF(meta_Columns[[#This Row],[Owning Table:src]]="","",INDEX(meta_Classifiers[Package],MATCH(meta_Columns[[#This Row],[Owning Table Instances Class]],meta_Classifiers[ID],0)))</f>
        <v>finance</v>
      </c>
      <c r="E54" s="43"/>
      <c r="F54" s="44" t="str">
        <f>INDEX(meta_Tables[Excel Table - Excel Name],MATCH(meta_Columns[[#This Row],[Owning Table:src]],meta_Tables[ID],0))</f>
        <v>finance_Securities</v>
      </c>
      <c r="G54" s="44" t="str">
        <f>INDEX(meta_Tables[Instances Class:src],MATCH(meta_Columns[[#This Row],[Owning Table:src]],meta_Tables[ID],0))</f>
        <v>finance::Security</v>
      </c>
      <c r="H54" s="11" t="s">
        <v>947</v>
      </c>
      <c r="I54" s="43" t="str">
        <f xml:space="preserve"> IF( TRIM( meta_Columns[[#This Row],[Owning Table:src]] ) = "", "",
        INDEX( meta_Tables[Display Qualified], MATCH( meta_Columns[[#This Row],[Owning Table:src]], meta_Tables[ID], 0 ) ) )</f>
        <v>finance::Securities</v>
      </c>
      <c r="K54" s="22" t="str">
        <f>IF(TRIM(meta_Columns[[#This Row],[Referenced Table:src]])="","",
    INDEX(meta_Tables[Display Qualified],MATCH(meta_Columns[[#This Row],[Referenced Table:src]],meta_Tables[ID],0)))</f>
        <v/>
      </c>
      <c r="L54" s="8"/>
      <c r="M54" s="22" t="str">
        <f xml:space="preserve"> IF( TRIM( meta_Columns[[#This Row],[Referenced Table Display and Select Column:src]] ) = "", "",
        INDEX( meta_Columns[Display Qualified], MATCH( meta_Columns[[#This Row],[Referenced Table Display and Select Column:src]], meta_Columns[ID], 0 ) ) )</f>
        <v/>
      </c>
      <c r="N54" s="8" t="str">
        <f>IF(meta_Columns[[#This Row],[Excel Column - Excel Formula]]="","x","")</f>
        <v>x</v>
      </c>
      <c r="O54" s="22"/>
      <c r="P54" s="8" t="str">
        <f>IF(meta_Columns[[#This Row],[Referenced Table:src]]="","",INDEX(meta_Tables[Instances Class],MATCH(meta_Columns[[#This Row],[Referenced Table:src]],meta_Tables[ID],0)))</f>
        <v/>
      </c>
      <c r="Q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4" s="8" t="s">
        <v>246</v>
      </c>
      <c r="S54" s="22" t="str">
        <f xml:space="preserve"> IF( TRIM( meta_Columns[[#This Row],[Property:src]] ) = "", "",
        INDEX( meta_TypedModelElements[Display Qualified], MATCH( meta_Columns[[#This Row],[Property:src]], meta_TypedModelElements[ID], 0 ) ) )</f>
        <v>meta::Object.iD</v>
      </c>
      <c r="T54" s="22" t="s">
        <v>42</v>
      </c>
      <c r="U54" s="8" t="e">
        <f>INDEX(meta_Classifiers[Class - Generalization:src], MATCH(meta_Columns[[#This Row],[Generalization 5]],meta_Classifiers[ID],0))</f>
        <v>#N/A</v>
      </c>
      <c r="V54" s="8" t="e">
        <f>INDEX(meta_Classifiers[Class - Generalization:src], MATCH(meta_Columns[[#This Row],[Generalization 4]],meta_Classifiers[ID],0))</f>
        <v>#N/A</v>
      </c>
      <c r="W54" s="8" t="e">
        <f>INDEX(meta_Classifiers[Class - Generalization:src], MATCH(meta_Columns[[#This Row],[Generalization 3]],meta_Classifiers[ID],0))</f>
        <v>#N/A</v>
      </c>
      <c r="X54" s="8" t="e">
        <f>INDEX(meta_Classifiers[Class - Generalization:src], MATCH(meta_Columns[[#This Row],[Generalization 2]],meta_Classifiers[ID],0))</f>
        <v>#N/A</v>
      </c>
      <c r="Y54" s="8" t="str">
        <f>INDEX(meta_Classifiers[Class - Generalization:src], MATCH(meta_Columns[[#This Row],[Generalization 1]],meta_Classifiers[ID],0))</f>
        <v/>
      </c>
      <c r="Z54" s="8" t="str">
        <f>INDEX(meta_Classifiers[Class - Generalization:src], MATCH(meta_Columns[[#This Row],[Owning Table Instances Class]],meta_Classifiers[ID],0))</f>
        <v>_Object</v>
      </c>
      <c r="AA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4" s="8" t="b">
        <f>_xlfn.IFNA(
INDEX(meta_Classifiers[Class - Generalization:src],MATCH(
INDEX(meta_Classifiers[Class - Generalization:src],MATCH(meta_Columns[[#This Row],[Property Owning Class]],meta_Classifiers[ID],0)),meta_Classifiers[ID],0))
=meta_Columns[[#This Row],[Owning Table Instances Class]],FALSE)</f>
        <v>0</v>
      </c>
      <c r="AG54" s="8" t="b">
        <f>_xlfn.IFNA(INDEX(meta_Classifiers[Class - Generalization:src],MATCH(meta_Columns[[#This Row],[Property Owning Class]],meta_Classifiers[ID],0))=meta_Columns[[#This Row],[Owning Table Instances Class]],FALSE)</f>
        <v>0</v>
      </c>
      <c r="AH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4" s="8" t="str">
        <f>INDEX(meta_Classifiers[Name],MATCH(INDEX(meta_TypedModelElements[Property - Owning Class:src],MATCH(meta_Columns[[#This Row],[Property]],meta_TypedModelElements[ID],0)),meta_Classifiers[ID],0))</f>
        <v>Object</v>
      </c>
      <c r="AJ54" s="8" t="str">
        <f>INDEX(meta_TypedModelElements[Property - Owning Class:src],MATCH(meta_Columns[[#This Row],[Property]],meta_TypedModelElements[ID],0))</f>
        <v>_Object</v>
      </c>
      <c r="AK54" s="8" t="str">
        <f>INDEX(meta_TypedModelElements[Kind:src],MATCH(meta_Columns[[#This Row],[Property]],meta_TypedModelElements[ID],0))</f>
        <v>_Attribute</v>
      </c>
      <c r="AL54" s="8" t="str">
        <f>INDEX(meta_TypedModelElements[Name or Type],MATCH(meta_Columns[[#This Row],[Property]],meta_TypedModelElements[ID],0))</f>
        <v>ID</v>
      </c>
      <c r="AM54" s="8" t="str">
        <f>INDEX(meta_TypedModelElements[Property - Changeable],MATCH(meta_Columns[[#This Row],[Property]],meta_TypedModelElements[ID],0))</f>
        <v>x</v>
      </c>
      <c r="AN54" s="43">
        <v>1</v>
      </c>
      <c r="AO54" s="22">
        <v>1</v>
      </c>
      <c r="AP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54" s="8" t="str">
        <f xml:space="preserve"> IF(meta_Columns[[#This Row],[Property Owning Class is Specialization of Instance Class]],meta_Columns[[#This Row],[Property Owning Class Name]]&amp;" - ","")</f>
        <v/>
      </c>
      <c r="AR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54" s="8" t="str">
        <f>IFERROR(LEFT(meta_Columns[[#This Row],[Excel Column - Label Actual without Semantic Case]],FIND("-",
meta_Columns[[#This Row],[Excel Column - Label Actual without Semantic Case]])-2),"")</f>
        <v/>
      </c>
      <c r="AU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54" s="22"/>
      <c r="AY54" s="8" t="str">
        <f>meta_Columns[[#This Row],[Owning Table]]&amp;"."&amp;meta_Columns[[#This Row],[Excel Column - Label]]</f>
        <v>finance::Securities.ID</v>
      </c>
      <c r="AZ54" s="43" t="s">
        <v>0</v>
      </c>
      <c r="BA54" s="44" t="str">
        <f>IF(TRIM(meta_Columns[[#This Row],[Excel Column - Label Overwrite]])&lt;&gt;"",meta_Columns[[#This Row],[Excel Column - Label Overwrite]],meta_Columns[[#This Row],[Excel Column - Label from Property or Referenced Table]])</f>
        <v>ID</v>
      </c>
      <c r="BB54" s="43"/>
      <c r="BC54" s="44" t="str">
        <f>IF(meta_Columns[[#This Row],[Excel Column - Explicit Excel Formula]]="","",meta_Columns[[#This Row],[Excel Column - Explicit Excel Formula]])</f>
        <v/>
      </c>
      <c r="BD54" s="5"/>
      <c r="BE54" s="5"/>
    </row>
    <row r="55" spans="1:57">
      <c r="A55" s="10" t="s">
        <v>1354</v>
      </c>
      <c r="B55" s="11" t="s">
        <v>546</v>
      </c>
      <c r="C55" s="22" t="str">
        <f xml:space="preserve"> IF( TRIM( meta_Columns[[#This Row],[Kind:src]] ) = "", "",
        INDEX( meta_Classifiers[Display Qualified], MATCH( meta_Columns[[#This Row],[Kind:src]], meta_Classifiers[ID], 0 ) ) )</f>
        <v>ExcelColumn</v>
      </c>
      <c r="D55" s="44" t="str">
        <f>IF(meta_Columns[[#This Row],[Owning Table:src]]="","",INDEX(meta_Classifiers[Package],MATCH(meta_Columns[[#This Row],[Owning Table Instances Class]],meta_Classifiers[ID],0)))</f>
        <v>finance</v>
      </c>
      <c r="E55" s="43"/>
      <c r="F55" s="44" t="str">
        <f>INDEX(meta_Tables[Excel Table - Excel Name],MATCH(meta_Columns[[#This Row],[Owning Table:src]],meta_Tables[ID],0))</f>
        <v>finance_Securities</v>
      </c>
      <c r="G55" s="44" t="str">
        <f>INDEX(meta_Tables[Instances Class:src],MATCH(meta_Columns[[#This Row],[Owning Table:src]],meta_Tables[ID],0))</f>
        <v>finance::Security</v>
      </c>
      <c r="H55" s="11" t="s">
        <v>947</v>
      </c>
      <c r="I55" s="43" t="str">
        <f xml:space="preserve"> IF( TRIM( meta_Columns[[#This Row],[Owning Table:src]] ) = "", "",
        INDEX( meta_Tables[Display Qualified], MATCH( meta_Columns[[#This Row],[Owning Table:src]], meta_Tables[ID], 0 ) ) )</f>
        <v>finance::Securities</v>
      </c>
      <c r="K55" s="22" t="str">
        <f>IF(TRIM(meta_Columns[[#This Row],[Referenced Table:src]])="","",
    INDEX(meta_Tables[Display Qualified],MATCH(meta_Columns[[#This Row],[Referenced Table:src]],meta_Tables[ID],0)))</f>
        <v/>
      </c>
      <c r="L55" s="8"/>
      <c r="M55" s="22" t="str">
        <f xml:space="preserve"> IF( TRIM( meta_Columns[[#This Row],[Referenced Table Display and Select Column:src]] ) = "", "",
        INDEX( meta_Columns[Display Qualified], MATCH( meta_Columns[[#This Row],[Referenced Table Display and Select Column:src]], meta_Columns[ID], 0 ) ) )</f>
        <v/>
      </c>
      <c r="N55" s="8" t="str">
        <f>IF(meta_Columns[[#This Row],[Excel Column - Excel Formula]]="","x","")</f>
        <v>x</v>
      </c>
      <c r="O55" s="22"/>
      <c r="P55" s="8" t="str">
        <f>IF(meta_Columns[[#This Row],[Referenced Table:src]]="","",INDEX(meta_Tables[Instances Class],MATCH(meta_Columns[[#This Row],[Referenced Table:src]],meta_Tables[ID],0)))</f>
        <v/>
      </c>
      <c r="Q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5" s="8" t="s">
        <v>247</v>
      </c>
      <c r="S55" s="22" t="str">
        <f xml:space="preserve"> IF( TRIM( meta_Columns[[#This Row],[Property:src]] ) = "", "",
        INDEX( meta_TypedModelElements[Display Qualified], MATCH( meta_Columns[[#This Row],[Property:src]], meta_TypedModelElements[ID], 0 ) ) )</f>
        <v>meta::Object.kind</v>
      </c>
      <c r="T55" s="22" t="s">
        <v>42</v>
      </c>
      <c r="U55" s="8" t="e">
        <f>INDEX(meta_Classifiers[Class - Generalization:src], MATCH(meta_Columns[[#This Row],[Generalization 5]],meta_Classifiers[ID],0))</f>
        <v>#N/A</v>
      </c>
      <c r="V55" s="8" t="e">
        <f>INDEX(meta_Classifiers[Class - Generalization:src], MATCH(meta_Columns[[#This Row],[Generalization 4]],meta_Classifiers[ID],0))</f>
        <v>#N/A</v>
      </c>
      <c r="W55" s="8" t="e">
        <f>INDEX(meta_Classifiers[Class - Generalization:src], MATCH(meta_Columns[[#This Row],[Generalization 3]],meta_Classifiers[ID],0))</f>
        <v>#N/A</v>
      </c>
      <c r="X55" s="8" t="e">
        <f>INDEX(meta_Classifiers[Class - Generalization:src], MATCH(meta_Columns[[#This Row],[Generalization 2]],meta_Classifiers[ID],0))</f>
        <v>#N/A</v>
      </c>
      <c r="Y55" s="8" t="str">
        <f>INDEX(meta_Classifiers[Class - Generalization:src], MATCH(meta_Columns[[#This Row],[Generalization 1]],meta_Classifiers[ID],0))</f>
        <v/>
      </c>
      <c r="Z55" s="8" t="str">
        <f>INDEX(meta_Classifiers[Class - Generalization:src], MATCH(meta_Columns[[#This Row],[Owning Table Instances Class]],meta_Classifiers[ID],0))</f>
        <v>_Object</v>
      </c>
      <c r="AA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5" s="8" t="b">
        <f>_xlfn.IFNA(
INDEX(meta_Classifiers[Class - Generalization:src],MATCH(
INDEX(meta_Classifiers[Class - Generalization:src],MATCH(meta_Columns[[#This Row],[Property Owning Class]],meta_Classifiers[ID],0)),meta_Classifiers[ID],0))
=meta_Columns[[#This Row],[Owning Table Instances Class]],FALSE)</f>
        <v>0</v>
      </c>
      <c r="AG55" s="8" t="b">
        <f>_xlfn.IFNA(INDEX(meta_Classifiers[Class - Generalization:src],MATCH(meta_Columns[[#This Row],[Property Owning Class]],meta_Classifiers[ID],0))=meta_Columns[[#This Row],[Owning Table Instances Class]],FALSE)</f>
        <v>0</v>
      </c>
      <c r="AH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5" s="8" t="str">
        <f>INDEX(meta_Classifiers[Name],MATCH(INDEX(meta_TypedModelElements[Property - Owning Class:src],MATCH(meta_Columns[[#This Row],[Property]],meta_TypedModelElements[ID],0)),meta_Classifiers[ID],0))</f>
        <v>Object</v>
      </c>
      <c r="AJ55" s="8" t="str">
        <f>INDEX(meta_TypedModelElements[Property - Owning Class:src],MATCH(meta_Columns[[#This Row],[Property]],meta_TypedModelElements[ID],0))</f>
        <v>_Object</v>
      </c>
      <c r="AK55" s="8" t="str">
        <f>INDEX(meta_TypedModelElements[Kind:src],MATCH(meta_Columns[[#This Row],[Property]],meta_TypedModelElements[ID],0))</f>
        <v>_Reference</v>
      </c>
      <c r="AL55" s="8" t="str">
        <f>INDEX(meta_TypedModelElements[Name or Type],MATCH(meta_Columns[[#This Row],[Property]],meta_TypedModelElements[ID],0))</f>
        <v>Kind</v>
      </c>
      <c r="AM55" s="8" t="str">
        <f>INDEX(meta_TypedModelElements[Property - Changeable],MATCH(meta_Columns[[#This Row],[Property]],meta_TypedModelElements[ID],0))</f>
        <v>x</v>
      </c>
      <c r="AN55" s="43">
        <v>2</v>
      </c>
      <c r="AO55" s="22">
        <v>2</v>
      </c>
      <c r="AP5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55" s="8" t="str">
        <f xml:space="preserve"> IF(meta_Columns[[#This Row],[Property Owning Class is Specialization of Instance Class]],meta_Columns[[#This Row],[Property Owning Class Name]]&amp;" - ","")</f>
        <v/>
      </c>
      <c r="AR5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5" s="8" t="str">
        <f>IFERROR(LEFT(meta_Columns[[#This Row],[Excel Column - Label Actual without Semantic Case]],FIND("-",
meta_Columns[[#This Row],[Excel Column - Label Actual without Semantic Case]])-2),"")</f>
        <v/>
      </c>
      <c r="AU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55" s="22"/>
      <c r="AY55" s="8" t="str">
        <f>meta_Columns[[#This Row],[Owning Table]]&amp;"."&amp;meta_Columns[[#This Row],[Excel Column - Label]]</f>
        <v>finance::Securities.Kind:src</v>
      </c>
      <c r="AZ55" s="43" t="s">
        <v>230</v>
      </c>
      <c r="BA55" s="44" t="str">
        <f>IF(TRIM(meta_Columns[[#This Row],[Excel Column - Label Overwrite]])&lt;&gt;"",meta_Columns[[#This Row],[Excel Column - Label Overwrite]],meta_Columns[[#This Row],[Excel Column - Label from Property or Referenced Table]])</f>
        <v>Kind:src</v>
      </c>
      <c r="BB55" s="43"/>
      <c r="BC55" s="44" t="str">
        <f>IF(meta_Columns[[#This Row],[Excel Column - Explicit Excel Formula]]="","",meta_Columns[[#This Row],[Excel Column - Explicit Excel Formula]])</f>
        <v/>
      </c>
      <c r="BD55" s="5"/>
      <c r="BE55" s="5"/>
    </row>
    <row r="56" spans="1:57">
      <c r="A56" s="10" t="s">
        <v>1355</v>
      </c>
      <c r="B56" s="11" t="s">
        <v>546</v>
      </c>
      <c r="C56" s="22" t="str">
        <f xml:space="preserve"> IF( TRIM( meta_Columns[[#This Row],[Kind:src]] ) = "", "",
        INDEX( meta_Classifiers[Display Qualified], MATCH( meta_Columns[[#This Row],[Kind:src]], meta_Classifiers[ID], 0 ) ) )</f>
        <v>ExcelColumn</v>
      </c>
      <c r="D56" s="44" t="str">
        <f>IF(meta_Columns[[#This Row],[Owning Table:src]]="","",INDEX(meta_Classifiers[Package],MATCH(meta_Columns[[#This Row],[Owning Table Instances Class]],meta_Classifiers[ID],0)))</f>
        <v>finance</v>
      </c>
      <c r="E56" s="43"/>
      <c r="F56" s="44" t="str">
        <f>INDEX(meta_Tables[Excel Table - Excel Name],MATCH(meta_Columns[[#This Row],[Owning Table:src]],meta_Tables[ID],0))</f>
        <v>finance_Securities</v>
      </c>
      <c r="G56" s="44" t="str">
        <f>INDEX(meta_Tables[Instances Class:src],MATCH(meta_Columns[[#This Row],[Owning Table:src]],meta_Tables[ID],0))</f>
        <v>finance::Security</v>
      </c>
      <c r="H56" s="11" t="s">
        <v>947</v>
      </c>
      <c r="I56" s="43" t="str">
        <f xml:space="preserve"> IF( TRIM( meta_Columns[[#This Row],[Owning Table:src]] ) = "", "",
        INDEX( meta_Tables[Display Qualified], MATCH( meta_Columns[[#This Row],[Owning Table:src]], meta_Tables[ID], 0 ) ) )</f>
        <v>finance::Securities</v>
      </c>
      <c r="K56" s="22" t="str">
        <f>IF(TRIM(meta_Columns[[#This Row],[Referenced Table:src]])="","",
    INDEX(meta_Tables[Display Qualified],MATCH(meta_Columns[[#This Row],[Referenced Table:src]],meta_Tables[ID],0)))</f>
        <v/>
      </c>
      <c r="L56" s="8"/>
      <c r="M56" s="22" t="str">
        <f xml:space="preserve"> IF( TRIM( meta_Columns[[#This Row],[Referenced Table Display and Select Column:src]] ) = "", "",
        INDEX( meta_Columns[Display Qualified], MATCH( meta_Columns[[#This Row],[Referenced Table Display and Select Column:src]], meta_Columns[ID], 0 ) ) )</f>
        <v/>
      </c>
      <c r="N56" s="8" t="str">
        <f>IF(meta_Columns[[#This Row],[Excel Column - Excel Formula]]="","x","")</f>
        <v/>
      </c>
      <c r="O56" s="22"/>
      <c r="P56" s="8" t="str">
        <f>IF(meta_Columns[[#This Row],[Referenced Table:src]]="","",INDEX(meta_Tables[Instances Class],MATCH(meta_Columns[[#This Row],[Referenced Table:src]],meta_Tables[ID],0)))</f>
        <v/>
      </c>
      <c r="Q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6" s="8" t="s">
        <v>247</v>
      </c>
      <c r="S56" s="22" t="str">
        <f xml:space="preserve"> IF( TRIM( meta_Columns[[#This Row],[Property:src]] ) = "", "",
        INDEX( meta_TypedModelElements[Display Qualified], MATCH( meta_Columns[[#This Row],[Property:src]], meta_TypedModelElements[ID], 0 ) ) )</f>
        <v>meta::Object.kind</v>
      </c>
      <c r="T56" s="22"/>
      <c r="U56" s="8" t="e">
        <f>INDEX(meta_Classifiers[Class - Generalization:src], MATCH(meta_Columns[[#This Row],[Generalization 5]],meta_Classifiers[ID],0))</f>
        <v>#N/A</v>
      </c>
      <c r="V56" s="8" t="e">
        <f>INDEX(meta_Classifiers[Class - Generalization:src], MATCH(meta_Columns[[#This Row],[Generalization 4]],meta_Classifiers[ID],0))</f>
        <v>#N/A</v>
      </c>
      <c r="W56" s="8" t="e">
        <f>INDEX(meta_Classifiers[Class - Generalization:src], MATCH(meta_Columns[[#This Row],[Generalization 3]],meta_Classifiers[ID],0))</f>
        <v>#N/A</v>
      </c>
      <c r="X56" s="8" t="e">
        <f>INDEX(meta_Classifiers[Class - Generalization:src], MATCH(meta_Columns[[#This Row],[Generalization 2]],meta_Classifiers[ID],0))</f>
        <v>#N/A</v>
      </c>
      <c r="Y56" s="8" t="str">
        <f>INDEX(meta_Classifiers[Class - Generalization:src], MATCH(meta_Columns[[#This Row],[Generalization 1]],meta_Classifiers[ID],0))</f>
        <v/>
      </c>
      <c r="Z56" s="8" t="str">
        <f>INDEX(meta_Classifiers[Class - Generalization:src], MATCH(meta_Columns[[#This Row],[Owning Table Instances Class]],meta_Classifiers[ID],0))</f>
        <v>_Object</v>
      </c>
      <c r="AA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6" s="8" t="b">
        <f>_xlfn.IFNA(
INDEX(meta_Classifiers[Class - Generalization:src],MATCH(
INDEX(meta_Classifiers[Class - Generalization:src],MATCH(meta_Columns[[#This Row],[Property Owning Class]],meta_Classifiers[ID],0)),meta_Classifiers[ID],0))
=meta_Columns[[#This Row],[Owning Table Instances Class]],FALSE)</f>
        <v>0</v>
      </c>
      <c r="AG56" s="8" t="b">
        <f>_xlfn.IFNA(INDEX(meta_Classifiers[Class - Generalization:src],MATCH(meta_Columns[[#This Row],[Property Owning Class]],meta_Classifiers[ID],0))=meta_Columns[[#This Row],[Owning Table Instances Class]],FALSE)</f>
        <v>0</v>
      </c>
      <c r="AH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6" s="8" t="str">
        <f>INDEX(meta_Classifiers[Name],MATCH(INDEX(meta_TypedModelElements[Property - Owning Class:src],MATCH(meta_Columns[[#This Row],[Property]],meta_TypedModelElements[ID],0)),meta_Classifiers[ID],0))</f>
        <v>Object</v>
      </c>
      <c r="AJ56" s="8" t="str">
        <f>INDEX(meta_TypedModelElements[Property - Owning Class:src],MATCH(meta_Columns[[#This Row],[Property]],meta_TypedModelElements[ID],0))</f>
        <v>_Object</v>
      </c>
      <c r="AK56" s="8" t="str">
        <f>INDEX(meta_TypedModelElements[Kind:src],MATCH(meta_Columns[[#This Row],[Property]],meta_TypedModelElements[ID],0))</f>
        <v>_Reference</v>
      </c>
      <c r="AL56" s="8" t="str">
        <f>INDEX(meta_TypedModelElements[Name or Type],MATCH(meta_Columns[[#This Row],[Property]],meta_TypedModelElements[ID],0))</f>
        <v>Kind</v>
      </c>
      <c r="AM56" s="8" t="str">
        <f>INDEX(meta_TypedModelElements[Property - Changeable],MATCH(meta_Columns[[#This Row],[Property]],meta_TypedModelElements[ID],0))</f>
        <v>x</v>
      </c>
      <c r="AN56" s="43">
        <v>3</v>
      </c>
      <c r="AO56" s="22"/>
      <c r="AP5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6" s="8" t="str">
        <f xml:space="preserve"> IF(meta_Columns[[#This Row],[Property Owning Class is Specialization of Instance Class]],meta_Columns[[#This Row],[Property Owning Class Name]]&amp;" - ","")</f>
        <v/>
      </c>
      <c r="AR5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6" s="8" t="str">
        <f>IFERROR(LEFT(meta_Columns[[#This Row],[Excel Column - Label Actual without Semantic Case]],FIND("-",
meta_Columns[[#This Row],[Excel Column - Label Actual without Semantic Case]])-2),"")</f>
        <v/>
      </c>
      <c r="AU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6" s="22"/>
      <c r="AY56" s="8" t="str">
        <f>meta_Columns[[#This Row],[Owning Table]]&amp;"."&amp;meta_Columns[[#This Row],[Excel Column - Label]]</f>
        <v>finance::Securities.Kind</v>
      </c>
      <c r="AZ56" s="43" t="s">
        <v>5</v>
      </c>
      <c r="BA56" s="44" t="str">
        <f>IF(TRIM(meta_Columns[[#This Row],[Excel Column - Label Overwrite]])&lt;&gt;"",meta_Columns[[#This Row],[Excel Column - Label Overwrite]],meta_Columns[[#This Row],[Excel Column - Label from Property or Referenced Table]])</f>
        <v>Kind</v>
      </c>
      <c r="BB56" s="43" t="s">
        <v>1484</v>
      </c>
      <c r="BC56" s="44" t="str">
        <f>IF(meta_Columns[[#This Row],[Excel Column - Explicit Excel Formula]]="","",meta_Columns[[#This Row],[Excel Column - Explicit Excel Formula]])</f>
        <v>Formula:= IF( TRIM( [@[Kind:src]] ) = "", "",
        INDEX( meta_Classifiers[Display Qualified], MATCH( [@[Kind:src]], meta_Classifiers[ID], 0 ) ) )</v>
      </c>
      <c r="BD56" s="5" t="s">
        <v>1461</v>
      </c>
      <c r="BE56" s="5"/>
    </row>
    <row r="57" spans="1:57">
      <c r="A57" s="10" t="s">
        <v>1356</v>
      </c>
      <c r="B57" s="11" t="s">
        <v>546</v>
      </c>
      <c r="C57" s="22" t="str">
        <f xml:space="preserve"> IF( TRIM( meta_Columns[[#This Row],[Kind:src]] ) = "", "",
        INDEX( meta_Classifiers[Display Qualified], MATCH( meta_Columns[[#This Row],[Kind:src]], meta_Classifiers[ID], 0 ) ) )</f>
        <v>ExcelColumn</v>
      </c>
      <c r="D57" s="44" t="str">
        <f>IF(meta_Columns[[#This Row],[Owning Table:src]]="","",INDEX(meta_Classifiers[Package],MATCH(meta_Columns[[#This Row],[Owning Table Instances Class]],meta_Classifiers[ID],0)))</f>
        <v>finance</v>
      </c>
      <c r="E57" s="43"/>
      <c r="F57" s="44" t="str">
        <f>INDEX(meta_Tables[Excel Table - Excel Name],MATCH(meta_Columns[[#This Row],[Owning Table:src]],meta_Tables[ID],0))</f>
        <v>finance_Securities</v>
      </c>
      <c r="G57" s="44" t="str">
        <f>INDEX(meta_Tables[Instances Class:src],MATCH(meta_Columns[[#This Row],[Owning Table:src]],meta_Tables[ID],0))</f>
        <v>finance::Security</v>
      </c>
      <c r="H57" s="11" t="s">
        <v>947</v>
      </c>
      <c r="I57" s="43" t="str">
        <f xml:space="preserve"> IF( TRIM( meta_Columns[[#This Row],[Owning Table:src]] ) = "", "",
        INDEX( meta_Tables[Display Qualified], MATCH( meta_Columns[[#This Row],[Owning Table:src]], meta_Tables[ID], 0 ) ) )</f>
        <v>finance::Securities</v>
      </c>
      <c r="K57" s="22" t="str">
        <f>IF(TRIM(meta_Columns[[#This Row],[Referenced Table:src]])="","",
    INDEX(meta_Tables[Display Qualified],MATCH(meta_Columns[[#This Row],[Referenced Table:src]],meta_Tables[ID],0)))</f>
        <v/>
      </c>
      <c r="L57" s="8"/>
      <c r="M57" s="22" t="str">
        <f xml:space="preserve"> IF( TRIM( meta_Columns[[#This Row],[Referenced Table Display and Select Column:src]] ) = "", "",
        INDEX( meta_Columns[Display Qualified], MATCH( meta_Columns[[#This Row],[Referenced Table Display and Select Column:src]], meta_Columns[ID], 0 ) ) )</f>
        <v/>
      </c>
      <c r="N57" s="8" t="str">
        <f>IF(meta_Columns[[#This Row],[Excel Column - Excel Formula]]="","x","")</f>
        <v>x</v>
      </c>
      <c r="O57" s="22"/>
      <c r="P57" s="8" t="str">
        <f>IF(meta_Columns[[#This Row],[Referenced Table:src]]="","",INDEX(meta_Tables[Instances Class],MATCH(meta_Columns[[#This Row],[Referenced Table:src]],meta_Tables[ID],0)))</f>
        <v/>
      </c>
      <c r="Q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7" s="8" t="s">
        <v>248</v>
      </c>
      <c r="S57" s="22" t="str">
        <f xml:space="preserve"> IF( TRIM( meta_Columns[[#This Row],[Property:src]] ) = "", "",
        INDEX( meta_TypedModelElements[Display Qualified], MATCH( meta_Columns[[#This Row],[Property:src]], meta_TypedModelElements[ID], 0 ) ) )</f>
        <v>meta::Object.package</v>
      </c>
      <c r="T57" s="22"/>
      <c r="U57" s="8" t="e">
        <f>INDEX(meta_Classifiers[Class - Generalization:src], MATCH(meta_Columns[[#This Row],[Generalization 5]],meta_Classifiers[ID],0))</f>
        <v>#N/A</v>
      </c>
      <c r="V57" s="8" t="e">
        <f>INDEX(meta_Classifiers[Class - Generalization:src], MATCH(meta_Columns[[#This Row],[Generalization 4]],meta_Classifiers[ID],0))</f>
        <v>#N/A</v>
      </c>
      <c r="W57" s="8" t="e">
        <f>INDEX(meta_Classifiers[Class - Generalization:src], MATCH(meta_Columns[[#This Row],[Generalization 3]],meta_Classifiers[ID],0))</f>
        <v>#N/A</v>
      </c>
      <c r="X57" s="8" t="e">
        <f>INDEX(meta_Classifiers[Class - Generalization:src], MATCH(meta_Columns[[#This Row],[Generalization 2]],meta_Classifiers[ID],0))</f>
        <v>#N/A</v>
      </c>
      <c r="Y57" s="8" t="str">
        <f>INDEX(meta_Classifiers[Class - Generalization:src], MATCH(meta_Columns[[#This Row],[Generalization 1]],meta_Classifiers[ID],0))</f>
        <v/>
      </c>
      <c r="Z57" s="8" t="str">
        <f>INDEX(meta_Classifiers[Class - Generalization:src], MATCH(meta_Columns[[#This Row],[Owning Table Instances Class]],meta_Classifiers[ID],0))</f>
        <v>_Object</v>
      </c>
      <c r="AA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7" s="8" t="b">
        <f>_xlfn.IFNA(
INDEX(meta_Classifiers[Class - Generalization:src],MATCH(
INDEX(meta_Classifiers[Class - Generalization:src],MATCH(meta_Columns[[#This Row],[Property Owning Class]],meta_Classifiers[ID],0)),meta_Classifiers[ID],0))
=meta_Columns[[#This Row],[Owning Table Instances Class]],FALSE)</f>
        <v>0</v>
      </c>
      <c r="AG57" s="8" t="b">
        <f>_xlfn.IFNA(INDEX(meta_Classifiers[Class - Generalization:src],MATCH(meta_Columns[[#This Row],[Property Owning Class]],meta_Classifiers[ID],0))=meta_Columns[[#This Row],[Owning Table Instances Class]],FALSE)</f>
        <v>0</v>
      </c>
      <c r="AH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7" s="8" t="str">
        <f>INDEX(meta_Classifiers[Name],MATCH(INDEX(meta_TypedModelElements[Property - Owning Class:src],MATCH(meta_Columns[[#This Row],[Property]],meta_TypedModelElements[ID],0)),meta_Classifiers[ID],0))</f>
        <v>Object</v>
      </c>
      <c r="AJ57" s="8" t="str">
        <f>INDEX(meta_TypedModelElements[Property - Owning Class:src],MATCH(meta_Columns[[#This Row],[Property]],meta_TypedModelElements[ID],0))</f>
        <v>_Object</v>
      </c>
      <c r="AK57" s="8" t="str">
        <f>INDEX(meta_TypedModelElements[Kind:src],MATCH(meta_Columns[[#This Row],[Property]],meta_TypedModelElements[ID],0))</f>
        <v>_Attribute</v>
      </c>
      <c r="AL57" s="8" t="str">
        <f>INDEX(meta_TypedModelElements[Name or Type],MATCH(meta_Columns[[#This Row],[Property]],meta_TypedModelElements[ID],0))</f>
        <v>Package</v>
      </c>
      <c r="AM57" s="8" t="str">
        <f>INDEX(meta_TypedModelElements[Property - Changeable],MATCH(meta_Columns[[#This Row],[Property]],meta_TypedModelElements[ID],0))</f>
        <v>x</v>
      </c>
      <c r="AN57" s="43">
        <v>4</v>
      </c>
      <c r="AO57" s="22">
        <v>3</v>
      </c>
      <c r="AP5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57" s="8" t="str">
        <f xml:space="preserve"> IF(meta_Columns[[#This Row],[Property Owning Class is Specialization of Instance Class]],meta_Columns[[#This Row],[Property Owning Class Name]]&amp;" - ","")</f>
        <v/>
      </c>
      <c r="AR5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57" s="8" t="str">
        <f>IFERROR(LEFT(meta_Columns[[#This Row],[Excel Column - Label Actual without Semantic Case]],FIND("-",
meta_Columns[[#This Row],[Excel Column - Label Actual without Semantic Case]])-2),"")</f>
        <v/>
      </c>
      <c r="AU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57" s="22"/>
      <c r="AY57" s="8" t="str">
        <f>meta_Columns[[#This Row],[Owning Table]]&amp;"."&amp;meta_Columns[[#This Row],[Excel Column - Label]]</f>
        <v>finance::Securities.Package</v>
      </c>
      <c r="AZ57" s="43" t="s">
        <v>120</v>
      </c>
      <c r="BA57" s="44" t="str">
        <f>IF(TRIM(meta_Columns[[#This Row],[Excel Column - Label Overwrite]])&lt;&gt;"",meta_Columns[[#This Row],[Excel Column - Label Overwrite]],meta_Columns[[#This Row],[Excel Column - Label from Property or Referenced Table]])</f>
        <v>Package</v>
      </c>
      <c r="BB57" s="43"/>
      <c r="BC57" s="44" t="str">
        <f>IF(meta_Columns[[#This Row],[Excel Column - Explicit Excel Formula]]="","",meta_Columns[[#This Row],[Excel Column - Explicit Excel Formula]])</f>
        <v/>
      </c>
      <c r="BD57" s="5"/>
      <c r="BE57" s="5"/>
    </row>
    <row r="58" spans="1:57">
      <c r="A58" s="10" t="s">
        <v>1060</v>
      </c>
      <c r="B58" s="11" t="s">
        <v>546</v>
      </c>
      <c r="C58" s="22" t="str">
        <f xml:space="preserve"> IF( TRIM( meta_Columns[[#This Row],[Kind:src]] ) = "", "",
        INDEX( meta_Classifiers[Display Qualified], MATCH( meta_Columns[[#This Row],[Kind:src]], meta_Classifiers[ID], 0 ) ) )</f>
        <v>ExcelColumn</v>
      </c>
      <c r="D58" s="44" t="str">
        <f>IF(meta_Columns[[#This Row],[Owning Table:src]]="","",INDEX(meta_Classifiers[Package],MATCH(meta_Columns[[#This Row],[Owning Table Instances Class]],meta_Classifiers[ID],0)))</f>
        <v>finance</v>
      </c>
      <c r="E58" s="43"/>
      <c r="F58" s="44" t="str">
        <f>INDEX(meta_Tables[Excel Table - Excel Name],MATCH(meta_Columns[[#This Row],[Owning Table:src]],meta_Tables[ID],0))</f>
        <v>finance_Securities</v>
      </c>
      <c r="G58" s="44" t="str">
        <f>INDEX(meta_Tables[Instances Class:src],MATCH(meta_Columns[[#This Row],[Owning Table:src]],meta_Tables[ID],0))</f>
        <v>finance::Security</v>
      </c>
      <c r="H58" s="11" t="s">
        <v>947</v>
      </c>
      <c r="I58" s="43" t="str">
        <f xml:space="preserve"> IF( TRIM( meta_Columns[[#This Row],[Owning Table:src]] ) = "", "",
        INDEX( meta_Tables[Display Qualified], MATCH( meta_Columns[[#This Row],[Owning Table:src]], meta_Tables[ID], 0 ) ) )</f>
        <v>finance::Securities</v>
      </c>
      <c r="K58" s="22" t="str">
        <f>IF(TRIM(meta_Columns[[#This Row],[Referenced Table:src]])="","",
    INDEX(meta_Tables[Display Qualified],MATCH(meta_Columns[[#This Row],[Referenced Table:src]],meta_Tables[ID],0)))</f>
        <v/>
      </c>
      <c r="L58" s="8"/>
      <c r="M58" s="22" t="str">
        <f xml:space="preserve"> IF( TRIM( meta_Columns[[#This Row],[Referenced Table Display and Select Column:src]] ) = "", "",
        INDEX( meta_Columns[Display Qualified], MATCH( meta_Columns[[#This Row],[Referenced Table Display and Select Column:src]], meta_Columns[ID], 0 ) ) )</f>
        <v/>
      </c>
      <c r="N58" s="8" t="str">
        <f>IF(meta_Columns[[#This Row],[Excel Column - Excel Formula]]="","x","")</f>
        <v>x</v>
      </c>
      <c r="O58" s="22"/>
      <c r="P58" s="8" t="str">
        <f>IF(meta_Columns[[#This Row],[Referenced Table:src]]="","",INDEX(meta_Tables[Instances Class],MATCH(meta_Columns[[#This Row],[Referenced Table:src]],meta_Tables[ID],0)))</f>
        <v/>
      </c>
      <c r="Q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8" s="8" t="s">
        <v>680</v>
      </c>
      <c r="S58" s="22" t="str">
        <f xml:space="preserve"> IF( TRIM( meta_Columns[[#This Row],[Property:src]] ) = "", "",
        INDEX( meta_TypedModelElements[Display Qualified], MATCH( meta_Columns[[#This Row],[Property:src]], meta_TypedModelElements[ID], 0 ) ) )</f>
        <v>finance::Security.tradingSymbol</v>
      </c>
      <c r="T58" s="22" t="s">
        <v>42</v>
      </c>
      <c r="U58" s="8" t="e">
        <f>INDEX(meta_Classifiers[Class - Generalization:src], MATCH(meta_Columns[[#This Row],[Generalization 5]],meta_Classifiers[ID],0))</f>
        <v>#N/A</v>
      </c>
      <c r="V58" s="8" t="e">
        <f>INDEX(meta_Classifiers[Class - Generalization:src], MATCH(meta_Columns[[#This Row],[Generalization 4]],meta_Classifiers[ID],0))</f>
        <v>#N/A</v>
      </c>
      <c r="W58" s="8" t="e">
        <f>INDEX(meta_Classifiers[Class - Generalization:src], MATCH(meta_Columns[[#This Row],[Generalization 3]],meta_Classifiers[ID],0))</f>
        <v>#N/A</v>
      </c>
      <c r="X58" s="8" t="e">
        <f>INDEX(meta_Classifiers[Class - Generalization:src], MATCH(meta_Columns[[#This Row],[Generalization 2]],meta_Classifiers[ID],0))</f>
        <v>#N/A</v>
      </c>
      <c r="Y58" s="8" t="str">
        <f>INDEX(meta_Classifiers[Class - Generalization:src], MATCH(meta_Columns[[#This Row],[Generalization 1]],meta_Classifiers[ID],0))</f>
        <v/>
      </c>
      <c r="Z58" s="8" t="str">
        <f>INDEX(meta_Classifiers[Class - Generalization:src], MATCH(meta_Columns[[#This Row],[Owning Table Instances Class]],meta_Classifiers[ID],0))</f>
        <v>_Object</v>
      </c>
      <c r="AA5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8" s="8" t="b">
        <f>_xlfn.IFNA(
INDEX(meta_Classifiers[Class - Generalization:src],MATCH(
INDEX(meta_Classifiers[Class - Generalization:src],MATCH(meta_Columns[[#This Row],[Property Owning Class]],meta_Classifiers[ID],0)),meta_Classifiers[ID],0))
=meta_Columns[[#This Row],[Owning Table Instances Class]],FALSE)</f>
        <v>0</v>
      </c>
      <c r="AG58" s="8" t="b">
        <f>_xlfn.IFNA(INDEX(meta_Classifiers[Class - Generalization:src],MATCH(meta_Columns[[#This Row],[Property Owning Class]],meta_Classifiers[ID],0))=meta_Columns[[#This Row],[Owning Table Instances Class]],FALSE)</f>
        <v>0</v>
      </c>
      <c r="AH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8" s="8" t="str">
        <f>INDEX(meta_Classifiers[Name],MATCH(INDEX(meta_TypedModelElements[Property - Owning Class:src],MATCH(meta_Columns[[#This Row],[Property]],meta_TypedModelElements[ID],0)),meta_Classifiers[ID],0))</f>
        <v>Security</v>
      </c>
      <c r="AJ58" s="8" t="str">
        <f>INDEX(meta_TypedModelElements[Property - Owning Class:src],MATCH(meta_Columns[[#This Row],[Property]],meta_TypedModelElements[ID],0))</f>
        <v>finance::Security</v>
      </c>
      <c r="AK58" s="8" t="str">
        <f>INDEX(meta_TypedModelElements[Kind:src],MATCH(meta_Columns[[#This Row],[Property]],meta_TypedModelElements[ID],0))</f>
        <v>_Attribute</v>
      </c>
      <c r="AL58" s="8" t="str">
        <f>INDEX(meta_TypedModelElements[Name or Type],MATCH(meta_Columns[[#This Row],[Property]],meta_TypedModelElements[ID],0))</f>
        <v>Trading Symbol</v>
      </c>
      <c r="AM58" s="8" t="str">
        <f>INDEX(meta_TypedModelElements[Property - Changeable],MATCH(meta_Columns[[#This Row],[Property]],meta_TypedModelElements[ID],0))</f>
        <v>x</v>
      </c>
      <c r="AN58" s="43">
        <v>5</v>
      </c>
      <c r="AO58" s="22">
        <v>4</v>
      </c>
      <c r="AP5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Trading Symbol</v>
      </c>
      <c r="AQ58" s="8" t="str">
        <f xml:space="preserve"> IF(meta_Columns[[#This Row],[Property Owning Class is Specialization of Instance Class]],meta_Columns[[#This Row],[Property Owning Class Name]]&amp;" - ","")</f>
        <v/>
      </c>
      <c r="AR5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Trading Symbol</v>
      </c>
      <c r="AS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Trading Symbol</v>
      </c>
      <c r="AT58" s="8" t="str">
        <f>IFERROR(LEFT(meta_Columns[[#This Row],[Excel Column - Label Actual without Semantic Case]],FIND("-",
meta_Columns[[#This Row],[Excel Column - Label Actual without Semantic Case]])-2),"")</f>
        <v/>
      </c>
      <c r="AU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Trading Symbol</v>
      </c>
      <c r="AV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Trading Symbol</v>
      </c>
      <c r="AX58" s="22"/>
      <c r="AY58" s="8" t="str">
        <f>meta_Columns[[#This Row],[Owning Table]]&amp;"."&amp;meta_Columns[[#This Row],[Excel Column - Label]]</f>
        <v>finance::Securities.Trading Symbol</v>
      </c>
      <c r="AZ58" s="43" t="s">
        <v>672</v>
      </c>
      <c r="BA58" s="44" t="str">
        <f>IF(TRIM(meta_Columns[[#This Row],[Excel Column - Label Overwrite]])&lt;&gt;"",meta_Columns[[#This Row],[Excel Column - Label Overwrite]],meta_Columns[[#This Row],[Excel Column - Label from Property or Referenced Table]])</f>
        <v>Trading Symbol</v>
      </c>
      <c r="BB58" s="43"/>
      <c r="BC58" s="44" t="str">
        <f>IF(meta_Columns[[#This Row],[Excel Column - Explicit Excel Formula]]="","",meta_Columns[[#This Row],[Excel Column - Explicit Excel Formula]])</f>
        <v/>
      </c>
      <c r="BD58" s="5"/>
      <c r="BE58" s="5"/>
    </row>
    <row r="59" spans="1:57">
      <c r="A59" s="10" t="s">
        <v>1061</v>
      </c>
      <c r="B59" s="11" t="s">
        <v>546</v>
      </c>
      <c r="C59" s="22" t="str">
        <f xml:space="preserve"> IF( TRIM( meta_Columns[[#This Row],[Kind:src]] ) = "", "",
        INDEX( meta_Classifiers[Display Qualified], MATCH( meta_Columns[[#This Row],[Kind:src]], meta_Classifiers[ID], 0 ) ) )</f>
        <v>ExcelColumn</v>
      </c>
      <c r="D59" s="44" t="str">
        <f>IF(meta_Columns[[#This Row],[Owning Table:src]]="","",INDEX(meta_Classifiers[Package],MATCH(meta_Columns[[#This Row],[Owning Table Instances Class]],meta_Classifiers[ID],0)))</f>
        <v>finance</v>
      </c>
      <c r="E59" s="43"/>
      <c r="F59" s="44" t="str">
        <f>INDEX(meta_Tables[Excel Table - Excel Name],MATCH(meta_Columns[[#This Row],[Owning Table:src]],meta_Tables[ID],0))</f>
        <v>finance_Securities</v>
      </c>
      <c r="G59" s="44" t="str">
        <f>INDEX(meta_Tables[Instances Class:src],MATCH(meta_Columns[[#This Row],[Owning Table:src]],meta_Tables[ID],0))</f>
        <v>finance::Security</v>
      </c>
      <c r="H59" s="11" t="s">
        <v>947</v>
      </c>
      <c r="I59" s="43" t="str">
        <f xml:space="preserve"> IF( TRIM( meta_Columns[[#This Row],[Owning Table:src]] ) = "", "",
        INDEX( meta_Tables[Display Qualified], MATCH( meta_Columns[[#This Row],[Owning Table:src]], meta_Tables[ID], 0 ) ) )</f>
        <v>finance::Securities</v>
      </c>
      <c r="K59" s="22" t="str">
        <f>IF(TRIM(meta_Columns[[#This Row],[Referenced Table:src]])="","",
    INDEX(meta_Tables[Display Qualified],MATCH(meta_Columns[[#This Row],[Referenced Table:src]],meta_Tables[ID],0)))</f>
        <v/>
      </c>
      <c r="L59" s="8"/>
      <c r="M59" s="22" t="str">
        <f xml:space="preserve"> IF( TRIM( meta_Columns[[#This Row],[Referenced Table Display and Select Column:src]] ) = "", "",
        INDEX( meta_Columns[Display Qualified], MATCH( meta_Columns[[#This Row],[Referenced Table Display and Select Column:src]], meta_Columns[ID], 0 ) ) )</f>
        <v/>
      </c>
      <c r="N59" s="8" t="str">
        <f>IF(meta_Columns[[#This Row],[Excel Column - Excel Formula]]="","x","")</f>
        <v>x</v>
      </c>
      <c r="O59" s="22"/>
      <c r="P59" s="8" t="str">
        <f>IF(meta_Columns[[#This Row],[Referenced Table:src]]="","",INDEX(meta_Tables[Instances Class],MATCH(meta_Columns[[#This Row],[Referenced Table:src]],meta_Tables[ID],0)))</f>
        <v/>
      </c>
      <c r="Q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9" s="8" t="s">
        <v>681</v>
      </c>
      <c r="S59" s="22" t="str">
        <f xml:space="preserve"> IF( TRIM( meta_Columns[[#This Row],[Property:src]] ) = "", "",
        INDEX( meta_TypedModelElements[Display Qualified], MATCH( meta_Columns[[#This Row],[Property:src]], meta_TypedModelElements[ID], 0 ) ) )</f>
        <v>finance::Security.price</v>
      </c>
      <c r="T59" s="22" t="s">
        <v>42</v>
      </c>
      <c r="U59" s="8" t="e">
        <f>INDEX(meta_Classifiers[Class - Generalization:src], MATCH(meta_Columns[[#This Row],[Generalization 5]],meta_Classifiers[ID],0))</f>
        <v>#N/A</v>
      </c>
      <c r="V59" s="8" t="e">
        <f>INDEX(meta_Classifiers[Class - Generalization:src], MATCH(meta_Columns[[#This Row],[Generalization 4]],meta_Classifiers[ID],0))</f>
        <v>#N/A</v>
      </c>
      <c r="W59" s="8" t="e">
        <f>INDEX(meta_Classifiers[Class - Generalization:src], MATCH(meta_Columns[[#This Row],[Generalization 3]],meta_Classifiers[ID],0))</f>
        <v>#N/A</v>
      </c>
      <c r="X59" s="8" t="e">
        <f>INDEX(meta_Classifiers[Class - Generalization:src], MATCH(meta_Columns[[#This Row],[Generalization 2]],meta_Classifiers[ID],0))</f>
        <v>#N/A</v>
      </c>
      <c r="Y59" s="8" t="str">
        <f>INDEX(meta_Classifiers[Class - Generalization:src], MATCH(meta_Columns[[#This Row],[Generalization 1]],meta_Classifiers[ID],0))</f>
        <v/>
      </c>
      <c r="Z59" s="8" t="str">
        <f>INDEX(meta_Classifiers[Class - Generalization:src], MATCH(meta_Columns[[#This Row],[Owning Table Instances Class]],meta_Classifiers[ID],0))</f>
        <v>_Object</v>
      </c>
      <c r="AA5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9" s="8" t="b">
        <f>_xlfn.IFNA(
INDEX(meta_Classifiers[Class - Generalization:src],MATCH(
INDEX(meta_Classifiers[Class - Generalization:src],MATCH(meta_Columns[[#This Row],[Property Owning Class]],meta_Classifiers[ID],0)),meta_Classifiers[ID],0))
=meta_Columns[[#This Row],[Owning Table Instances Class]],FALSE)</f>
        <v>0</v>
      </c>
      <c r="AG59" s="8" t="b">
        <f>_xlfn.IFNA(INDEX(meta_Classifiers[Class - Generalization:src],MATCH(meta_Columns[[#This Row],[Property Owning Class]],meta_Classifiers[ID],0))=meta_Columns[[#This Row],[Owning Table Instances Class]],FALSE)</f>
        <v>0</v>
      </c>
      <c r="AH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9" s="8" t="str">
        <f>INDEX(meta_Classifiers[Name],MATCH(INDEX(meta_TypedModelElements[Property - Owning Class:src],MATCH(meta_Columns[[#This Row],[Property]],meta_TypedModelElements[ID],0)),meta_Classifiers[ID],0))</f>
        <v>Security</v>
      </c>
      <c r="AJ59" s="8" t="str">
        <f>INDEX(meta_TypedModelElements[Property - Owning Class:src],MATCH(meta_Columns[[#This Row],[Property]],meta_TypedModelElements[ID],0))</f>
        <v>finance::Security</v>
      </c>
      <c r="AK59" s="8" t="str">
        <f>INDEX(meta_TypedModelElements[Kind:src],MATCH(meta_Columns[[#This Row],[Property]],meta_TypedModelElements[ID],0))</f>
        <v>_Attribute</v>
      </c>
      <c r="AL59" s="8" t="str">
        <f>INDEX(meta_TypedModelElements[Name or Type],MATCH(meta_Columns[[#This Row],[Property]],meta_TypedModelElements[ID],0))</f>
        <v>Price</v>
      </c>
      <c r="AM59" s="8" t="str">
        <f>INDEX(meta_TypedModelElements[Property - Changeable],MATCH(meta_Columns[[#This Row],[Property]],meta_TypedModelElements[ID],0))</f>
        <v>x</v>
      </c>
      <c r="AN59" s="43">
        <v>6</v>
      </c>
      <c r="AO59" s="22">
        <v>5</v>
      </c>
      <c r="AP5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Price</v>
      </c>
      <c r="AQ59" s="8" t="str">
        <f xml:space="preserve"> IF(meta_Columns[[#This Row],[Property Owning Class is Specialization of Instance Class]],meta_Columns[[#This Row],[Property Owning Class Name]]&amp;" - ","")</f>
        <v/>
      </c>
      <c r="AR5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Price</v>
      </c>
      <c r="AS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Price</v>
      </c>
      <c r="AT59" s="8" t="str">
        <f>IFERROR(LEFT(meta_Columns[[#This Row],[Excel Column - Label Actual without Semantic Case]],FIND("-",
meta_Columns[[#This Row],[Excel Column - Label Actual without Semantic Case]])-2),"")</f>
        <v/>
      </c>
      <c r="AU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Price</v>
      </c>
      <c r="AV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Price</v>
      </c>
      <c r="AX59" s="22"/>
      <c r="AY59" s="8" t="str">
        <f>meta_Columns[[#This Row],[Owning Table]]&amp;"."&amp;meta_Columns[[#This Row],[Excel Column - Label]]</f>
        <v>finance::Securities.Price</v>
      </c>
      <c r="AZ59" s="43" t="s">
        <v>673</v>
      </c>
      <c r="BA59" s="44" t="str">
        <f>IF(TRIM(meta_Columns[[#This Row],[Excel Column - Label Overwrite]])&lt;&gt;"",meta_Columns[[#This Row],[Excel Column - Label Overwrite]],meta_Columns[[#This Row],[Excel Column - Label from Property or Referenced Table]])</f>
        <v>Price</v>
      </c>
      <c r="BB59" s="43"/>
      <c r="BC59" s="44" t="str">
        <f>IF(meta_Columns[[#This Row],[Excel Column - Explicit Excel Formula]]="","",meta_Columns[[#This Row],[Excel Column - Explicit Excel Formula]])</f>
        <v/>
      </c>
      <c r="BD59" s="5"/>
      <c r="BE59" s="5"/>
    </row>
    <row r="60" spans="1:57">
      <c r="A60" s="10" t="s">
        <v>1062</v>
      </c>
      <c r="B60" s="11" t="s">
        <v>546</v>
      </c>
      <c r="C60" s="22" t="str">
        <f xml:space="preserve"> IF( TRIM( meta_Columns[[#This Row],[Kind:src]] ) = "", "",
        INDEX( meta_Classifiers[Display Qualified], MATCH( meta_Columns[[#This Row],[Kind:src]], meta_Classifiers[ID], 0 ) ) )</f>
        <v>ExcelColumn</v>
      </c>
      <c r="D60" s="44" t="str">
        <f>IF(meta_Columns[[#This Row],[Owning Table:src]]="","",INDEX(meta_Classifiers[Package],MATCH(meta_Columns[[#This Row],[Owning Table Instances Class]],meta_Classifiers[ID],0)))</f>
        <v>meta</v>
      </c>
      <c r="E60" s="43"/>
      <c r="F60" s="44" t="str">
        <f>INDEX(meta_Tables[Excel Table - Excel Name],MATCH(meta_Columns[[#This Row],[Owning Table:src]],meta_Tables[ID],0))</f>
        <v>meta_Classifiers</v>
      </c>
      <c r="G60" s="44" t="str">
        <f>INDEX(meta_Tables[Instances Class:src],MATCH(meta_Columns[[#This Row],[Owning Table:src]],meta_Tables[ID],0))</f>
        <v>_Classifier</v>
      </c>
      <c r="H60" s="11" t="s">
        <v>1010</v>
      </c>
      <c r="I60" s="43" t="str">
        <f xml:space="preserve"> IF( TRIM( meta_Columns[[#This Row],[Owning Table:src]] ) = "", "",
        INDEX( meta_Tables[Display Qualified], MATCH( meta_Columns[[#This Row],[Owning Table:src]], meta_Tables[ID], 0 ) ) )</f>
        <v>meta::Classifiers</v>
      </c>
      <c r="K60" s="22" t="str">
        <f>IF(TRIM(meta_Columns[[#This Row],[Referenced Table:src]])="","",
    INDEX(meta_Tables[Display Qualified],MATCH(meta_Columns[[#This Row],[Referenced Table:src]],meta_Tables[ID],0)))</f>
        <v/>
      </c>
      <c r="L60" s="8"/>
      <c r="M60" s="22" t="str">
        <f xml:space="preserve"> IF( TRIM( meta_Columns[[#This Row],[Referenced Table Display and Select Column:src]] ) = "", "",
        INDEX( meta_Columns[Display Qualified], MATCH( meta_Columns[[#This Row],[Referenced Table Display and Select Column:src]], meta_Columns[ID], 0 ) ) )</f>
        <v/>
      </c>
      <c r="N60" s="8" t="str">
        <f>IF(meta_Columns[[#This Row],[Excel Column - Excel Formula]]="","x","")</f>
        <v>x</v>
      </c>
      <c r="O60" s="22"/>
      <c r="P60" s="8" t="str">
        <f>IF(meta_Columns[[#This Row],[Referenced Table:src]]="","",INDEX(meta_Tables[Instances Class],MATCH(meta_Columns[[#This Row],[Referenced Table:src]],meta_Tables[ID],0)))</f>
        <v/>
      </c>
      <c r="Q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0" s="8" t="s">
        <v>246</v>
      </c>
      <c r="S60" s="22" t="str">
        <f xml:space="preserve"> IF( TRIM( meta_Columns[[#This Row],[Property:src]] ) = "", "",
        INDEX( meta_TypedModelElements[Display Qualified], MATCH( meta_Columns[[#This Row],[Property:src]], meta_TypedModelElements[ID], 0 ) ) )</f>
        <v>meta::Object.iD</v>
      </c>
      <c r="T60" s="22" t="s">
        <v>42</v>
      </c>
      <c r="U60" s="8" t="e">
        <f>INDEX(meta_Classifiers[Class - Generalization:src], MATCH(meta_Columns[[#This Row],[Generalization 5]],meta_Classifiers[ID],0))</f>
        <v>#N/A</v>
      </c>
      <c r="V60" s="8" t="e">
        <f>INDEX(meta_Classifiers[Class - Generalization:src], MATCH(meta_Columns[[#This Row],[Generalization 4]],meta_Classifiers[ID],0))</f>
        <v>#N/A</v>
      </c>
      <c r="W60" s="8" t="e">
        <f>INDEX(meta_Classifiers[Class - Generalization:src], MATCH(meta_Columns[[#This Row],[Generalization 3]],meta_Classifiers[ID],0))</f>
        <v>#N/A</v>
      </c>
      <c r="X60" s="8" t="str">
        <f>INDEX(meta_Classifiers[Class - Generalization:src], MATCH(meta_Columns[[#This Row],[Generalization 2]],meta_Classifiers[ID],0))</f>
        <v/>
      </c>
      <c r="Y60" s="8" t="str">
        <f>INDEX(meta_Classifiers[Class - Generalization:src], MATCH(meta_Columns[[#This Row],[Generalization 1]],meta_Classifiers[ID],0))</f>
        <v>_Object</v>
      </c>
      <c r="Z60" s="8" t="str">
        <f>INDEX(meta_Classifiers[Class - Generalization:src], MATCH(meta_Columns[[#This Row],[Owning Table Instances Class]],meta_Classifiers[ID],0))</f>
        <v>_NamedElement</v>
      </c>
      <c r="AA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0" s="8" t="b">
        <f>_xlfn.IFNA(
INDEX(meta_Classifiers[Class - Generalization:src],MATCH(
INDEX(meta_Classifiers[Class - Generalization:src],MATCH(meta_Columns[[#This Row],[Property Owning Class]],meta_Classifiers[ID],0)),meta_Classifiers[ID],0))
=meta_Columns[[#This Row],[Owning Table Instances Class]],FALSE)</f>
        <v>0</v>
      </c>
      <c r="AG60" s="8" t="b">
        <f>_xlfn.IFNA(INDEX(meta_Classifiers[Class - Generalization:src],MATCH(meta_Columns[[#This Row],[Property Owning Class]],meta_Classifiers[ID],0))=meta_Columns[[#This Row],[Owning Table Instances Class]],FALSE)</f>
        <v>0</v>
      </c>
      <c r="AH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0" s="8" t="str">
        <f>INDEX(meta_Classifiers[Name],MATCH(INDEX(meta_TypedModelElements[Property - Owning Class:src],MATCH(meta_Columns[[#This Row],[Property]],meta_TypedModelElements[ID],0)),meta_Classifiers[ID],0))</f>
        <v>Object</v>
      </c>
      <c r="AJ60" s="8" t="str">
        <f>INDEX(meta_TypedModelElements[Property - Owning Class:src],MATCH(meta_Columns[[#This Row],[Property]],meta_TypedModelElements[ID],0))</f>
        <v>_Object</v>
      </c>
      <c r="AK60" s="8" t="str">
        <f>INDEX(meta_TypedModelElements[Kind:src],MATCH(meta_Columns[[#This Row],[Property]],meta_TypedModelElements[ID],0))</f>
        <v>_Attribute</v>
      </c>
      <c r="AL60" s="8" t="str">
        <f>INDEX(meta_TypedModelElements[Name or Type],MATCH(meta_Columns[[#This Row],[Property]],meta_TypedModelElements[ID],0))</f>
        <v>ID</v>
      </c>
      <c r="AM60" s="8" t="str">
        <f>INDEX(meta_TypedModelElements[Property - Changeable],MATCH(meta_Columns[[#This Row],[Property]],meta_TypedModelElements[ID],0))</f>
        <v>x</v>
      </c>
      <c r="AN60" s="43">
        <v>1</v>
      </c>
      <c r="AO60" s="22">
        <v>1</v>
      </c>
      <c r="AP6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60" s="8" t="str">
        <f xml:space="preserve"> IF(meta_Columns[[#This Row],[Property Owning Class is Specialization of Instance Class]],meta_Columns[[#This Row],[Property Owning Class Name]]&amp;" - ","")</f>
        <v/>
      </c>
      <c r="AR6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60" s="8" t="str">
        <f>IFERROR(LEFT(meta_Columns[[#This Row],[Excel Column - Label Actual without Semantic Case]],FIND("-",
meta_Columns[[#This Row],[Excel Column - Label Actual without Semantic Case]])-2),"")</f>
        <v/>
      </c>
      <c r="AU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60" s="22"/>
      <c r="AY60" s="8" t="str">
        <f>meta_Columns[[#This Row],[Owning Table]]&amp;"."&amp;meta_Columns[[#This Row],[Excel Column - Label]]</f>
        <v>meta::Classifiers.ID</v>
      </c>
      <c r="AZ60" s="43" t="s">
        <v>0</v>
      </c>
      <c r="BA60" s="44" t="str">
        <f>IF(TRIM(meta_Columns[[#This Row],[Excel Column - Label Overwrite]])&lt;&gt;"",meta_Columns[[#This Row],[Excel Column - Label Overwrite]],meta_Columns[[#This Row],[Excel Column - Label from Property or Referenced Table]])</f>
        <v>ID</v>
      </c>
      <c r="BB60" s="43"/>
      <c r="BC60" s="44" t="str">
        <f>IF(meta_Columns[[#This Row],[Excel Column - Explicit Excel Formula]]="","",meta_Columns[[#This Row],[Excel Column - Explicit Excel Formula]])</f>
        <v/>
      </c>
      <c r="BD60" s="5"/>
      <c r="BE60" s="5"/>
    </row>
    <row r="61" spans="1:57">
      <c r="A61" s="10" t="s">
        <v>1386</v>
      </c>
      <c r="B61" s="11" t="s">
        <v>546</v>
      </c>
      <c r="C61" s="22" t="str">
        <f xml:space="preserve"> IF( TRIM( meta_Columns[[#This Row],[Kind:src]] ) = "", "",
        INDEX( meta_Classifiers[Display Qualified], MATCH( meta_Columns[[#This Row],[Kind:src]], meta_Classifiers[ID], 0 ) ) )</f>
        <v>ExcelColumn</v>
      </c>
      <c r="D61" s="44" t="str">
        <f>IF(meta_Columns[[#This Row],[Owning Table:src]]="","",INDEX(meta_Classifiers[Package],MATCH(meta_Columns[[#This Row],[Owning Table Instances Class]],meta_Classifiers[ID],0)))</f>
        <v>meta</v>
      </c>
      <c r="E61" s="43"/>
      <c r="F61" s="8" t="str">
        <f>INDEX(meta_Tables[Excel Table - Excel Name],MATCH(meta_Columns[[#This Row],[Owning Table:src]],meta_Tables[ID],0))</f>
        <v>meta_Classifiers</v>
      </c>
      <c r="G61" s="44" t="str">
        <f>INDEX(meta_Tables[Instances Class:src],MATCH(meta_Columns[[#This Row],[Owning Table:src]],meta_Tables[ID],0))</f>
        <v>_Classifier</v>
      </c>
      <c r="H61" s="11" t="s">
        <v>1010</v>
      </c>
      <c r="I61" s="43" t="str">
        <f xml:space="preserve"> IF( TRIM( meta_Columns[[#This Row],[Owning Table:src]] ) = "", "",
        INDEX( meta_Tables[Display Qualified], MATCH( meta_Columns[[#This Row],[Owning Table:src]], meta_Tables[ID], 0 ) ) )</f>
        <v>meta::Classifiers</v>
      </c>
      <c r="K61" s="22" t="str">
        <f>IF(TRIM(meta_Columns[[#This Row],[Referenced Table:src]])="","",
    INDEX(meta_Tables[Display Qualified],MATCH(meta_Columns[[#This Row],[Referenced Table:src]],meta_Tables[ID],0)))</f>
        <v/>
      </c>
      <c r="L61" s="8"/>
      <c r="M61" s="22" t="str">
        <f xml:space="preserve"> IF( TRIM( meta_Columns[[#This Row],[Referenced Table Display and Select Column:src]] ) = "", "",
        INDEX( meta_Columns[Display Qualified], MATCH( meta_Columns[[#This Row],[Referenced Table Display and Select Column:src]], meta_Columns[ID], 0 ) ) )</f>
        <v/>
      </c>
      <c r="N61" s="8" t="str">
        <f>IF(meta_Columns[[#This Row],[Excel Column - Excel Formula]]="","x","")</f>
        <v>x</v>
      </c>
      <c r="O61" s="22"/>
      <c r="P61" s="8" t="str">
        <f>IF(meta_Columns[[#This Row],[Referenced Table:src]]="","",INDEX(meta_Tables[Instances Class],MATCH(meta_Columns[[#This Row],[Referenced Table:src]],meta_Tables[ID],0)))</f>
        <v/>
      </c>
      <c r="Q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1" s="8" t="s">
        <v>247</v>
      </c>
      <c r="S61" s="22" t="str">
        <f xml:space="preserve"> IF( TRIM( meta_Columns[[#This Row],[Property:src]] ) = "", "",
        INDEX( meta_TypedModelElements[Display Qualified], MATCH( meta_Columns[[#This Row],[Property:src]], meta_TypedModelElements[ID], 0 ) ) )</f>
        <v>meta::Object.kind</v>
      </c>
      <c r="T61" s="22" t="s">
        <v>42</v>
      </c>
      <c r="U61" s="8" t="e">
        <f>INDEX(meta_Classifiers[Class - Generalization:src], MATCH(meta_Columns[[#This Row],[Generalization 5]],meta_Classifiers[ID],0))</f>
        <v>#N/A</v>
      </c>
      <c r="V61" s="8" t="e">
        <f>INDEX(meta_Classifiers[Class - Generalization:src], MATCH(meta_Columns[[#This Row],[Generalization 4]],meta_Classifiers[ID],0))</f>
        <v>#N/A</v>
      </c>
      <c r="W61" s="8" t="e">
        <f>INDEX(meta_Classifiers[Class - Generalization:src], MATCH(meta_Columns[[#This Row],[Generalization 3]],meta_Classifiers[ID],0))</f>
        <v>#N/A</v>
      </c>
      <c r="X61" s="8" t="str">
        <f>INDEX(meta_Classifiers[Class - Generalization:src], MATCH(meta_Columns[[#This Row],[Generalization 2]],meta_Classifiers[ID],0))</f>
        <v/>
      </c>
      <c r="Y61" s="8" t="str">
        <f>INDEX(meta_Classifiers[Class - Generalization:src], MATCH(meta_Columns[[#This Row],[Generalization 1]],meta_Classifiers[ID],0))</f>
        <v>_Object</v>
      </c>
      <c r="Z61" s="8" t="str">
        <f>INDEX(meta_Classifiers[Class - Generalization:src], MATCH(meta_Columns[[#This Row],[Owning Table Instances Class]],meta_Classifiers[ID],0))</f>
        <v>_NamedElement</v>
      </c>
      <c r="AA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1" s="8" t="b">
        <f>_xlfn.IFNA(
INDEX(meta_Classifiers[Class - Generalization:src],MATCH(
INDEX(meta_Classifiers[Class - Generalization:src],MATCH(meta_Columns[[#This Row],[Property Owning Class]],meta_Classifiers[ID],0)),meta_Classifiers[ID],0))
=meta_Columns[[#This Row],[Owning Table Instances Class]],FALSE)</f>
        <v>0</v>
      </c>
      <c r="AG61" s="8" t="b">
        <f>_xlfn.IFNA(INDEX(meta_Classifiers[Class - Generalization:src],MATCH(meta_Columns[[#This Row],[Property Owning Class]],meta_Classifiers[ID],0))=meta_Columns[[#This Row],[Owning Table Instances Class]],FALSE)</f>
        <v>0</v>
      </c>
      <c r="AH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1" s="8" t="str">
        <f>INDEX(meta_Classifiers[Name],MATCH(INDEX(meta_TypedModelElements[Property - Owning Class:src],MATCH(meta_Columns[[#This Row],[Property]],meta_TypedModelElements[ID],0)),meta_Classifiers[ID],0))</f>
        <v>Object</v>
      </c>
      <c r="AJ61" s="8" t="str">
        <f>INDEX(meta_TypedModelElements[Property - Owning Class:src],MATCH(meta_Columns[[#This Row],[Property]],meta_TypedModelElements[ID],0))</f>
        <v>_Object</v>
      </c>
      <c r="AK61" s="8" t="str">
        <f>INDEX(meta_TypedModelElements[Kind:src],MATCH(meta_Columns[[#This Row],[Property]],meta_TypedModelElements[ID],0))</f>
        <v>_Reference</v>
      </c>
      <c r="AL61" s="8" t="str">
        <f>INDEX(meta_TypedModelElements[Name or Type],MATCH(meta_Columns[[#This Row],[Property]],meta_TypedModelElements[ID],0))</f>
        <v>Kind</v>
      </c>
      <c r="AM61" s="8" t="str">
        <f>INDEX(meta_TypedModelElements[Property - Changeable],MATCH(meta_Columns[[#This Row],[Property]],meta_TypedModelElements[ID],0))</f>
        <v>x</v>
      </c>
      <c r="AN61" s="43">
        <v>2</v>
      </c>
      <c r="AO61" s="22">
        <v>2</v>
      </c>
      <c r="AP6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61" s="8" t="str">
        <f xml:space="preserve"> IF(meta_Columns[[#This Row],[Property Owning Class is Specialization of Instance Class]],meta_Columns[[#This Row],[Property Owning Class Name]]&amp;" - ","")</f>
        <v/>
      </c>
      <c r="AR6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1" s="8" t="str">
        <f>IFERROR(LEFT(meta_Columns[[#This Row],[Excel Column - Label Actual without Semantic Case]],FIND("-",
meta_Columns[[#This Row],[Excel Column - Label Actual without Semantic Case]])-2),"")</f>
        <v/>
      </c>
      <c r="AU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61" s="22"/>
      <c r="AY61" s="8" t="str">
        <f>meta_Columns[[#This Row],[Owning Table]]&amp;"."&amp;meta_Columns[[#This Row],[Excel Column - Label]]</f>
        <v>meta::Classifiers.Kind:src</v>
      </c>
      <c r="AZ61" s="22" t="s">
        <v>230</v>
      </c>
      <c r="BA61" s="44" t="str">
        <f>IF(TRIM(meta_Columns[[#This Row],[Excel Column - Label Overwrite]])&lt;&gt;"",meta_Columns[[#This Row],[Excel Column - Label Overwrite]],meta_Columns[[#This Row],[Excel Column - Label from Property or Referenced Table]])</f>
        <v>Kind:src</v>
      </c>
      <c r="BB61" s="43"/>
      <c r="BC61" s="44" t="str">
        <f>IF(meta_Columns[[#This Row],[Excel Column - Explicit Excel Formula]]="","",meta_Columns[[#This Row],[Excel Column - Explicit Excel Formula]])</f>
        <v/>
      </c>
      <c r="BD61" s="5"/>
      <c r="BE61" s="5"/>
    </row>
    <row r="62" spans="1:57">
      <c r="A62" s="10" t="s">
        <v>1387</v>
      </c>
      <c r="B62" s="11" t="s">
        <v>546</v>
      </c>
      <c r="C62" s="22" t="str">
        <f xml:space="preserve"> IF( TRIM( meta_Columns[[#This Row],[Kind:src]] ) = "", "",
        INDEX( meta_Classifiers[Display Qualified], MATCH( meta_Columns[[#This Row],[Kind:src]], meta_Classifiers[ID], 0 ) ) )</f>
        <v>ExcelColumn</v>
      </c>
      <c r="D62" s="44" t="str">
        <f>IF(meta_Columns[[#This Row],[Owning Table:src]]="","",INDEX(meta_Classifiers[Package],MATCH(meta_Columns[[#This Row],[Owning Table Instances Class]],meta_Classifiers[ID],0)))</f>
        <v>meta</v>
      </c>
      <c r="E62" s="43"/>
      <c r="F62" s="8" t="str">
        <f>INDEX(meta_Tables[Excel Table - Excel Name],MATCH(meta_Columns[[#This Row],[Owning Table:src]],meta_Tables[ID],0))</f>
        <v>meta_Classifiers</v>
      </c>
      <c r="G62" s="44" t="str">
        <f>INDEX(meta_Tables[Instances Class:src],MATCH(meta_Columns[[#This Row],[Owning Table:src]],meta_Tables[ID],0))</f>
        <v>_Classifier</v>
      </c>
      <c r="H62" s="11" t="s">
        <v>1010</v>
      </c>
      <c r="I62" s="43" t="str">
        <f xml:space="preserve"> IF( TRIM( meta_Columns[[#This Row],[Owning Table:src]] ) = "", "",
        INDEX( meta_Tables[Display Qualified], MATCH( meta_Columns[[#This Row],[Owning Table:src]], meta_Tables[ID], 0 ) ) )</f>
        <v>meta::Classifiers</v>
      </c>
      <c r="K62" s="22" t="str">
        <f>IF(TRIM(meta_Columns[[#This Row],[Referenced Table:src]])="","",
    INDEX(meta_Tables[Display Qualified],MATCH(meta_Columns[[#This Row],[Referenced Table:src]],meta_Tables[ID],0)))</f>
        <v/>
      </c>
      <c r="L62" s="8"/>
      <c r="M62" s="22" t="str">
        <f xml:space="preserve"> IF( TRIM( meta_Columns[[#This Row],[Referenced Table Display and Select Column:src]] ) = "", "",
        INDEX( meta_Columns[Display Qualified], MATCH( meta_Columns[[#This Row],[Referenced Table Display and Select Column:src]], meta_Columns[ID], 0 ) ) )</f>
        <v/>
      </c>
      <c r="N62" s="8" t="str">
        <f>IF(meta_Columns[[#This Row],[Excel Column - Excel Formula]]="","x","")</f>
        <v/>
      </c>
      <c r="O62" s="22"/>
      <c r="P62" s="8" t="str">
        <f>IF(meta_Columns[[#This Row],[Referenced Table:src]]="","",INDEX(meta_Tables[Instances Class],MATCH(meta_Columns[[#This Row],[Referenced Table:src]],meta_Tables[ID],0)))</f>
        <v/>
      </c>
      <c r="Q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2" s="8" t="s">
        <v>247</v>
      </c>
      <c r="S62" s="22" t="str">
        <f xml:space="preserve"> IF( TRIM( meta_Columns[[#This Row],[Property:src]] ) = "", "",
        INDEX( meta_TypedModelElements[Display Qualified], MATCH( meta_Columns[[#This Row],[Property:src]], meta_TypedModelElements[ID], 0 ) ) )</f>
        <v>meta::Object.kind</v>
      </c>
      <c r="T62" s="22"/>
      <c r="U62" s="8" t="e">
        <f>INDEX(meta_Classifiers[Class - Generalization:src], MATCH(meta_Columns[[#This Row],[Generalization 5]],meta_Classifiers[ID],0))</f>
        <v>#N/A</v>
      </c>
      <c r="V62" s="8" t="e">
        <f>INDEX(meta_Classifiers[Class - Generalization:src], MATCH(meta_Columns[[#This Row],[Generalization 4]],meta_Classifiers[ID],0))</f>
        <v>#N/A</v>
      </c>
      <c r="W62" s="8" t="e">
        <f>INDEX(meta_Classifiers[Class - Generalization:src], MATCH(meta_Columns[[#This Row],[Generalization 3]],meta_Classifiers[ID],0))</f>
        <v>#N/A</v>
      </c>
      <c r="X62" s="8" t="str">
        <f>INDEX(meta_Classifiers[Class - Generalization:src], MATCH(meta_Columns[[#This Row],[Generalization 2]],meta_Classifiers[ID],0))</f>
        <v/>
      </c>
      <c r="Y62" s="8" t="str">
        <f>INDEX(meta_Classifiers[Class - Generalization:src], MATCH(meta_Columns[[#This Row],[Generalization 1]],meta_Classifiers[ID],0))</f>
        <v>_Object</v>
      </c>
      <c r="Z62" s="8" t="str">
        <f>INDEX(meta_Classifiers[Class - Generalization:src], MATCH(meta_Columns[[#This Row],[Owning Table Instances Class]],meta_Classifiers[ID],0))</f>
        <v>_NamedElement</v>
      </c>
      <c r="AA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2" s="8" t="b">
        <f>_xlfn.IFNA(
INDEX(meta_Classifiers[Class - Generalization:src],MATCH(
INDEX(meta_Classifiers[Class - Generalization:src],MATCH(meta_Columns[[#This Row],[Property Owning Class]],meta_Classifiers[ID],0)),meta_Classifiers[ID],0))
=meta_Columns[[#This Row],[Owning Table Instances Class]],FALSE)</f>
        <v>0</v>
      </c>
      <c r="AG62" s="8" t="b">
        <f>_xlfn.IFNA(INDEX(meta_Classifiers[Class - Generalization:src],MATCH(meta_Columns[[#This Row],[Property Owning Class]],meta_Classifiers[ID],0))=meta_Columns[[#This Row],[Owning Table Instances Class]],FALSE)</f>
        <v>0</v>
      </c>
      <c r="AH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2" s="8" t="str">
        <f>INDEX(meta_Classifiers[Name],MATCH(INDEX(meta_TypedModelElements[Property - Owning Class:src],MATCH(meta_Columns[[#This Row],[Property]],meta_TypedModelElements[ID],0)),meta_Classifiers[ID],0))</f>
        <v>Object</v>
      </c>
      <c r="AJ62" s="8" t="str">
        <f>INDEX(meta_TypedModelElements[Property - Owning Class:src],MATCH(meta_Columns[[#This Row],[Property]],meta_TypedModelElements[ID],0))</f>
        <v>_Object</v>
      </c>
      <c r="AK62" s="8" t="str">
        <f>INDEX(meta_TypedModelElements[Kind:src],MATCH(meta_Columns[[#This Row],[Property]],meta_TypedModelElements[ID],0))</f>
        <v>_Reference</v>
      </c>
      <c r="AL62" s="8" t="str">
        <f>INDEX(meta_TypedModelElements[Name or Type],MATCH(meta_Columns[[#This Row],[Property]],meta_TypedModelElements[ID],0))</f>
        <v>Kind</v>
      </c>
      <c r="AM62" s="8" t="str">
        <f>INDEX(meta_TypedModelElements[Property - Changeable],MATCH(meta_Columns[[#This Row],[Property]],meta_TypedModelElements[ID],0))</f>
        <v>x</v>
      </c>
      <c r="AN62" s="43">
        <v>3</v>
      </c>
      <c r="AO62" s="22"/>
      <c r="AP6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62" s="8" t="str">
        <f xml:space="preserve"> IF(meta_Columns[[#This Row],[Property Owning Class is Specialization of Instance Class]],meta_Columns[[#This Row],[Property Owning Class Name]]&amp;" - ","")</f>
        <v/>
      </c>
      <c r="AR6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2" s="8" t="str">
        <f>IFERROR(LEFT(meta_Columns[[#This Row],[Excel Column - Label Actual without Semantic Case]],FIND("-",
meta_Columns[[#This Row],[Excel Column - Label Actual without Semantic Case]])-2),"")</f>
        <v/>
      </c>
      <c r="AU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62" s="22"/>
      <c r="AY62" s="8" t="str">
        <f>meta_Columns[[#This Row],[Owning Table]]&amp;"."&amp;meta_Columns[[#This Row],[Excel Column - Label]]</f>
        <v>meta::Classifiers.Kind</v>
      </c>
      <c r="AZ62" s="22" t="s">
        <v>5</v>
      </c>
      <c r="BA62" s="44" t="str">
        <f>IF(TRIM(meta_Columns[[#This Row],[Excel Column - Label Overwrite]])&lt;&gt;"",meta_Columns[[#This Row],[Excel Column - Label Overwrite]],meta_Columns[[#This Row],[Excel Column - Label from Property or Referenced Table]])</f>
        <v>Kind</v>
      </c>
      <c r="BB62" s="43" t="s">
        <v>1520</v>
      </c>
      <c r="BC62" s="44" t="str">
        <f>IF(meta_Columns[[#This Row],[Excel Column - Explicit Excel Formula]]="","",meta_Columns[[#This Row],[Excel Column - Explicit Excel Formula]])</f>
        <v>Formula:= IF( TRIM( [@[Kind:src]] ) = "", "",
        INDEX( [Display Qualified], MATCH( [@[Kind:src]], [ID], 0 ) ) )</v>
      </c>
      <c r="BD62" s="5" t="s">
        <v>1461</v>
      </c>
      <c r="BE62" s="5"/>
    </row>
    <row r="63" spans="1:57">
      <c r="A63" s="10" t="s">
        <v>1063</v>
      </c>
      <c r="B63" s="11" t="s">
        <v>546</v>
      </c>
      <c r="C63" s="22" t="str">
        <f xml:space="preserve"> IF( TRIM( meta_Columns[[#This Row],[Kind:src]] ) = "", "",
        INDEX( meta_Classifiers[Display Qualified], MATCH( meta_Columns[[#This Row],[Kind:src]], meta_Classifiers[ID], 0 ) ) )</f>
        <v>ExcelColumn</v>
      </c>
      <c r="D63" s="44" t="str">
        <f>IF(meta_Columns[[#This Row],[Owning Table:src]]="","",INDEX(meta_Classifiers[Package],MATCH(meta_Columns[[#This Row],[Owning Table Instances Class]],meta_Classifiers[ID],0)))</f>
        <v>meta</v>
      </c>
      <c r="E63" s="43"/>
      <c r="F63" s="8" t="str">
        <f>INDEX(meta_Tables[Excel Table - Excel Name],MATCH(meta_Columns[[#This Row],[Owning Table:src]],meta_Tables[ID],0))</f>
        <v>meta_Classifiers</v>
      </c>
      <c r="G63" s="44" t="str">
        <f>INDEX(meta_Tables[Instances Class:src],MATCH(meta_Columns[[#This Row],[Owning Table:src]],meta_Tables[ID],0))</f>
        <v>_Classifier</v>
      </c>
      <c r="H63" s="11" t="s">
        <v>1010</v>
      </c>
      <c r="I63" s="43" t="str">
        <f xml:space="preserve"> IF( TRIM( meta_Columns[[#This Row],[Owning Table:src]] ) = "", "",
        INDEX( meta_Tables[Display Qualified], MATCH( meta_Columns[[#This Row],[Owning Table:src]], meta_Tables[ID], 0 ) ) )</f>
        <v>meta::Classifiers</v>
      </c>
      <c r="K63" s="22" t="str">
        <f>IF(TRIM(meta_Columns[[#This Row],[Referenced Table:src]])="","",
    INDEX(meta_Tables[Display Qualified],MATCH(meta_Columns[[#This Row],[Referenced Table:src]],meta_Tables[ID],0)))</f>
        <v/>
      </c>
      <c r="L63" s="8"/>
      <c r="M63" s="22" t="str">
        <f xml:space="preserve"> IF( TRIM( meta_Columns[[#This Row],[Referenced Table Display and Select Column:src]] ) = "", "",
        INDEX( meta_Columns[Display Qualified], MATCH( meta_Columns[[#This Row],[Referenced Table Display and Select Column:src]], meta_Columns[ID], 0 ) ) )</f>
        <v/>
      </c>
      <c r="N63" s="8" t="str">
        <f>IF(meta_Columns[[#This Row],[Excel Column - Excel Formula]]="","x","")</f>
        <v>x</v>
      </c>
      <c r="O63" s="22"/>
      <c r="P63" s="8" t="str">
        <f>IF(meta_Columns[[#This Row],[Referenced Table:src]]="","",INDEX(meta_Tables[Instances Class],MATCH(meta_Columns[[#This Row],[Referenced Table:src]],meta_Tables[ID],0)))</f>
        <v/>
      </c>
      <c r="Q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meta::Classifier.order</v>
      </c>
      <c r="R63" s="8"/>
      <c r="S63" s="22" t="str">
        <f xml:space="preserve"> IF( TRIM( meta_Columns[[#This Row],[Property:src]] ) = "", "",
        INDEX( meta_TypedModelElements[Display Qualified], MATCH( meta_Columns[[#This Row],[Property:src]], meta_TypedModelElements[ID], 0 ) ) )</f>
        <v/>
      </c>
      <c r="T63" s="22"/>
      <c r="U63" s="8" t="e">
        <f>INDEX(meta_Classifiers[Class - Generalization:src], MATCH(meta_Columns[[#This Row],[Generalization 5]],meta_Classifiers[ID],0))</f>
        <v>#N/A</v>
      </c>
      <c r="V63" s="8" t="e">
        <f>INDEX(meta_Classifiers[Class - Generalization:src], MATCH(meta_Columns[[#This Row],[Generalization 4]],meta_Classifiers[ID],0))</f>
        <v>#N/A</v>
      </c>
      <c r="W63" s="8" t="e">
        <f>INDEX(meta_Classifiers[Class - Generalization:src], MATCH(meta_Columns[[#This Row],[Generalization 3]],meta_Classifiers[ID],0))</f>
        <v>#N/A</v>
      </c>
      <c r="X63" s="8" t="str">
        <f>INDEX(meta_Classifiers[Class - Generalization:src], MATCH(meta_Columns[[#This Row],[Generalization 2]],meta_Classifiers[ID],0))</f>
        <v/>
      </c>
      <c r="Y63" s="8" t="str">
        <f>INDEX(meta_Classifiers[Class - Generalization:src], MATCH(meta_Columns[[#This Row],[Generalization 1]],meta_Classifiers[ID],0))</f>
        <v>_Object</v>
      </c>
      <c r="Z63" s="8" t="str">
        <f>INDEX(meta_Classifiers[Class - Generalization:src], MATCH(meta_Columns[[#This Row],[Owning Table Instances Class]],meta_Classifiers[ID],0))</f>
        <v>_NamedElement</v>
      </c>
      <c r="AA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3" s="8" t="b">
        <f>_xlfn.IFNA(
INDEX(meta_Classifiers[Class - Generalization:src],MATCH(
INDEX(meta_Classifiers[Class - Generalization:src],MATCH(meta_Columns[[#This Row],[Property Owning Class]],meta_Classifiers[ID],0)),meta_Classifiers[ID],0))
=meta_Columns[[#This Row],[Owning Table Instances Class]],FALSE)</f>
        <v>0</v>
      </c>
      <c r="AG63" s="8" t="b">
        <f>_xlfn.IFNA(INDEX(meta_Classifiers[Class - Generalization:src],MATCH(meta_Columns[[#This Row],[Property Owning Class]],meta_Classifiers[ID],0))=meta_Columns[[#This Row],[Owning Table Instances Class]],FALSE)</f>
        <v>0</v>
      </c>
      <c r="AH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3" s="8" t="e">
        <f>INDEX(meta_Classifiers[Name],MATCH(INDEX(meta_TypedModelElements[Property - Owning Class:src],MATCH(meta_Columns[[#This Row],[Property]],meta_TypedModelElements[ID],0)),meta_Classifiers[ID],0))</f>
        <v>#N/A</v>
      </c>
      <c r="AJ63" s="8" t="e">
        <f>INDEX(meta_TypedModelElements[Property - Owning Class:src],MATCH(meta_Columns[[#This Row],[Property]],meta_TypedModelElements[ID],0))</f>
        <v>#N/A</v>
      </c>
      <c r="AK63" s="8" t="e">
        <f>INDEX(meta_TypedModelElements[Kind:src],MATCH(meta_Columns[[#This Row],[Property]],meta_TypedModelElements[ID],0))</f>
        <v>#N/A</v>
      </c>
      <c r="AL63" s="8" t="e">
        <f>INDEX(meta_TypedModelElements[Name or Type],MATCH(meta_Columns[[#This Row],[Property]],meta_TypedModelElements[ID],0))</f>
        <v>#N/A</v>
      </c>
      <c r="AM63" s="8" t="e">
        <f>INDEX(meta_TypedModelElements[Property - Changeable],MATCH(meta_Columns[[#This Row],[Property]],meta_TypedModelElements[ID],0))</f>
        <v>#N/A</v>
      </c>
      <c r="AN63" s="43">
        <v>4</v>
      </c>
      <c r="AO63" s="22">
        <v>3</v>
      </c>
      <c r="AP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63" s="8" t="str">
        <f xml:space="preserve"> IF(meta_Columns[[#This Row],[Property Owning Class is Specialization of Instance Class]],meta_Columns[[#This Row],[Property Owning Class Name]]&amp;" - ","")</f>
        <v/>
      </c>
      <c r="AR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63" s="8" t="str">
        <f>IFERROR(LEFT(meta_Columns[[#This Row],[Excel Column - Label Actual without Semantic Case]],FIND("-",
meta_Columns[[#This Row],[Excel Column - Label Actual without Semantic Case]])-2),"")</f>
        <v/>
      </c>
      <c r="AU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63" s="22"/>
      <c r="AY63" s="8" t="str">
        <f>meta_Columns[[#This Row],[Owning Table]]&amp;"."&amp;meta_Columns[[#This Row],[Excel Column - Label]]</f>
        <v>meta::Classifiers.Order</v>
      </c>
      <c r="AZ63" s="22" t="s">
        <v>663</v>
      </c>
      <c r="BA63" s="44" t="str">
        <f>IF(TRIM(meta_Columns[[#This Row],[Excel Column - Label Overwrite]])&lt;&gt;"",meta_Columns[[#This Row],[Excel Column - Label Overwrite]],meta_Columns[[#This Row],[Excel Column - Label from Property or Referenced Table]])</f>
        <v>Order</v>
      </c>
      <c r="BB63" s="43"/>
      <c r="BC63" s="44" t="str">
        <f>IF(meta_Columns[[#This Row],[Excel Column - Explicit Excel Formula]]="","",meta_Columns[[#This Row],[Excel Column - Explicit Excel Formula]])</f>
        <v/>
      </c>
      <c r="BD63" s="5"/>
      <c r="BE63" s="5"/>
    </row>
    <row r="64" spans="1:57">
      <c r="A64" s="10" t="s">
        <v>1388</v>
      </c>
      <c r="B64" s="11" t="s">
        <v>546</v>
      </c>
      <c r="C64" s="22" t="str">
        <f xml:space="preserve"> IF( TRIM( meta_Columns[[#This Row],[Kind:src]] ) = "", "",
        INDEX( meta_Classifiers[Display Qualified], MATCH( meta_Columns[[#This Row],[Kind:src]], meta_Classifiers[ID], 0 ) ) )</f>
        <v>ExcelColumn</v>
      </c>
      <c r="D64" s="44" t="str">
        <f>IF(meta_Columns[[#This Row],[Owning Table:src]]="","",INDEX(meta_Classifiers[Package],MATCH(meta_Columns[[#This Row],[Owning Table Instances Class]],meta_Classifiers[ID],0)))</f>
        <v>meta</v>
      </c>
      <c r="E64" s="43"/>
      <c r="F64" s="8" t="str">
        <f>INDEX(meta_Tables[Excel Table - Excel Name],MATCH(meta_Columns[[#This Row],[Owning Table:src]],meta_Tables[ID],0))</f>
        <v>meta_Classifiers</v>
      </c>
      <c r="G64" s="44" t="str">
        <f>INDEX(meta_Tables[Instances Class:src],MATCH(meta_Columns[[#This Row],[Owning Table:src]],meta_Tables[ID],0))</f>
        <v>_Classifier</v>
      </c>
      <c r="H64" s="11" t="s">
        <v>1010</v>
      </c>
      <c r="I64" s="43" t="str">
        <f xml:space="preserve"> IF( TRIM( meta_Columns[[#This Row],[Owning Table:src]] ) = "", "",
        INDEX( meta_Tables[Display Qualified], MATCH( meta_Columns[[#This Row],[Owning Table:src]], meta_Tables[ID], 0 ) ) )</f>
        <v>meta::Classifiers</v>
      </c>
      <c r="K64" s="22" t="str">
        <f>IF(TRIM(meta_Columns[[#This Row],[Referenced Table:src]])="","",
    INDEX(meta_Tables[Display Qualified],MATCH(meta_Columns[[#This Row],[Referenced Table:src]],meta_Tables[ID],0)))</f>
        <v/>
      </c>
      <c r="L64" s="8"/>
      <c r="M64" s="22" t="str">
        <f xml:space="preserve"> IF( TRIM( meta_Columns[[#This Row],[Referenced Table Display and Select Column:src]] ) = "", "",
        INDEX( meta_Columns[Display Qualified], MATCH( meta_Columns[[#This Row],[Referenced Table Display and Select Column:src]], meta_Columns[ID], 0 ) ) )</f>
        <v/>
      </c>
      <c r="N64" s="8" t="str">
        <f>IF(meta_Columns[[#This Row],[Excel Column - Excel Formula]]="","x","")</f>
        <v>x</v>
      </c>
      <c r="O64" s="22"/>
      <c r="P64" s="8" t="str">
        <f>IF(meta_Columns[[#This Row],[Referenced Table:src]]="","",INDEX(meta_Tables[Instances Class],MATCH(meta_Columns[[#This Row],[Referenced Table:src]],meta_Tables[ID],0)))</f>
        <v/>
      </c>
      <c r="Q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4" s="8" t="s">
        <v>248</v>
      </c>
      <c r="S64" s="22" t="str">
        <f xml:space="preserve"> IF( TRIM( meta_Columns[[#This Row],[Property:src]] ) = "", "",
        INDEX( meta_TypedModelElements[Display Qualified], MATCH( meta_Columns[[#This Row],[Property:src]], meta_TypedModelElements[ID], 0 ) ) )</f>
        <v>meta::Object.package</v>
      </c>
      <c r="T64" s="22"/>
      <c r="U64" s="8" t="e">
        <f>INDEX(meta_Classifiers[Class - Generalization:src], MATCH(meta_Columns[[#This Row],[Generalization 5]],meta_Classifiers[ID],0))</f>
        <v>#N/A</v>
      </c>
      <c r="V64" s="8" t="e">
        <f>INDEX(meta_Classifiers[Class - Generalization:src], MATCH(meta_Columns[[#This Row],[Generalization 4]],meta_Classifiers[ID],0))</f>
        <v>#N/A</v>
      </c>
      <c r="W64" s="8" t="e">
        <f>INDEX(meta_Classifiers[Class - Generalization:src], MATCH(meta_Columns[[#This Row],[Generalization 3]],meta_Classifiers[ID],0))</f>
        <v>#N/A</v>
      </c>
      <c r="X64" s="8" t="str">
        <f>INDEX(meta_Classifiers[Class - Generalization:src], MATCH(meta_Columns[[#This Row],[Generalization 2]],meta_Classifiers[ID],0))</f>
        <v/>
      </c>
      <c r="Y64" s="8" t="str">
        <f>INDEX(meta_Classifiers[Class - Generalization:src], MATCH(meta_Columns[[#This Row],[Generalization 1]],meta_Classifiers[ID],0))</f>
        <v>_Object</v>
      </c>
      <c r="Z64" s="8" t="str">
        <f>INDEX(meta_Classifiers[Class - Generalization:src], MATCH(meta_Columns[[#This Row],[Owning Table Instances Class]],meta_Classifiers[ID],0))</f>
        <v>_NamedElement</v>
      </c>
      <c r="AA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4" s="8" t="b">
        <f>_xlfn.IFNA(
INDEX(meta_Classifiers[Class - Generalization:src],MATCH(
INDEX(meta_Classifiers[Class - Generalization:src],MATCH(meta_Columns[[#This Row],[Property Owning Class]],meta_Classifiers[ID],0)),meta_Classifiers[ID],0))
=meta_Columns[[#This Row],[Owning Table Instances Class]],FALSE)</f>
        <v>0</v>
      </c>
      <c r="AG64" s="8" t="b">
        <f>_xlfn.IFNA(INDEX(meta_Classifiers[Class - Generalization:src],MATCH(meta_Columns[[#This Row],[Property Owning Class]],meta_Classifiers[ID],0))=meta_Columns[[#This Row],[Owning Table Instances Class]],FALSE)</f>
        <v>0</v>
      </c>
      <c r="AH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4" s="8" t="str">
        <f>INDEX(meta_Classifiers[Name],MATCH(INDEX(meta_TypedModelElements[Property - Owning Class:src],MATCH(meta_Columns[[#This Row],[Property]],meta_TypedModelElements[ID],0)),meta_Classifiers[ID],0))</f>
        <v>Object</v>
      </c>
      <c r="AJ64" s="8" t="str">
        <f>INDEX(meta_TypedModelElements[Property - Owning Class:src],MATCH(meta_Columns[[#This Row],[Property]],meta_TypedModelElements[ID],0))</f>
        <v>_Object</v>
      </c>
      <c r="AK64" s="8" t="str">
        <f>INDEX(meta_TypedModelElements[Kind:src],MATCH(meta_Columns[[#This Row],[Property]],meta_TypedModelElements[ID],0))</f>
        <v>_Attribute</v>
      </c>
      <c r="AL64" s="8" t="str">
        <f>INDEX(meta_TypedModelElements[Name or Type],MATCH(meta_Columns[[#This Row],[Property]],meta_TypedModelElements[ID],0))</f>
        <v>Package</v>
      </c>
      <c r="AM64" s="8" t="str">
        <f>INDEX(meta_TypedModelElements[Property - Changeable],MATCH(meta_Columns[[#This Row],[Property]],meta_TypedModelElements[ID],0))</f>
        <v>x</v>
      </c>
      <c r="AN64" s="43">
        <v>5</v>
      </c>
      <c r="AO64" s="22">
        <v>4</v>
      </c>
      <c r="AP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4" s="8" t="str">
        <f xml:space="preserve"> IF(meta_Columns[[#This Row],[Property Owning Class is Specialization of Instance Class]],meta_Columns[[#This Row],[Property Owning Class Name]]&amp;" - ","")</f>
        <v/>
      </c>
      <c r="AR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4" s="8" t="str">
        <f>IFERROR(LEFT(meta_Columns[[#This Row],[Excel Column - Label Actual without Semantic Case]],FIND("-",
meta_Columns[[#This Row],[Excel Column - Label Actual without Semantic Case]])-2),"")</f>
        <v/>
      </c>
      <c r="AU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4" s="22"/>
      <c r="AY64" s="8" t="str">
        <f>meta_Columns[[#This Row],[Owning Table]]&amp;"."&amp;meta_Columns[[#This Row],[Excel Column - Label]]</f>
        <v>meta::Classifiers.Package</v>
      </c>
      <c r="AZ64" s="22" t="s">
        <v>120</v>
      </c>
      <c r="BA64" s="44" t="str">
        <f>IF(TRIM(meta_Columns[[#This Row],[Excel Column - Label Overwrite]])&lt;&gt;"",meta_Columns[[#This Row],[Excel Column - Label Overwrite]],meta_Columns[[#This Row],[Excel Column - Label from Property or Referenced Table]])</f>
        <v>Package</v>
      </c>
      <c r="BB64" s="43"/>
      <c r="BC64" s="44" t="str">
        <f>IF(meta_Columns[[#This Row],[Excel Column - Explicit Excel Formula]]="","",meta_Columns[[#This Row],[Excel Column - Explicit Excel Formula]])</f>
        <v/>
      </c>
      <c r="BD64" s="5"/>
      <c r="BE64" s="5"/>
    </row>
    <row r="65" spans="1:57">
      <c r="A65" s="10" t="s">
        <v>1064</v>
      </c>
      <c r="B65" s="11" t="s">
        <v>546</v>
      </c>
      <c r="C65" s="22" t="str">
        <f xml:space="preserve"> IF( TRIM( meta_Columns[[#This Row],[Kind:src]] ) = "", "",
        INDEX( meta_Classifiers[Display Qualified], MATCH( meta_Columns[[#This Row],[Kind:src]], meta_Classifiers[ID], 0 ) ) )</f>
        <v>ExcelColumn</v>
      </c>
      <c r="D65" s="44" t="str">
        <f>IF(meta_Columns[[#This Row],[Owning Table:src]]="","",INDEX(meta_Classifiers[Package],MATCH(meta_Columns[[#This Row],[Owning Table Instances Class]],meta_Classifiers[ID],0)))</f>
        <v>meta</v>
      </c>
      <c r="E65" s="43"/>
      <c r="F65" s="8" t="str">
        <f>INDEX(meta_Tables[Excel Table - Excel Name],MATCH(meta_Columns[[#This Row],[Owning Table:src]],meta_Tables[ID],0))</f>
        <v>meta_Classifiers</v>
      </c>
      <c r="G65" s="44" t="str">
        <f>INDEX(meta_Tables[Instances Class:src],MATCH(meta_Columns[[#This Row],[Owning Table:src]],meta_Tables[ID],0))</f>
        <v>_Classifier</v>
      </c>
      <c r="H65" s="11" t="s">
        <v>1010</v>
      </c>
      <c r="I65" s="43" t="str">
        <f xml:space="preserve"> IF( TRIM( meta_Columns[[#This Row],[Owning Table:src]] ) = "", "",
        INDEX( meta_Tables[Display Qualified], MATCH( meta_Columns[[#This Row],[Owning Table:src]], meta_Tables[ID], 0 ) ) )</f>
        <v>meta::Classifiers</v>
      </c>
      <c r="K65" s="22" t="str">
        <f>IF(TRIM(meta_Columns[[#This Row],[Referenced Table:src]])="","",
    INDEX(meta_Tables[Display Qualified],MATCH(meta_Columns[[#This Row],[Referenced Table:src]],meta_Tables[ID],0)))</f>
        <v/>
      </c>
      <c r="L65" s="8"/>
      <c r="M65" s="22" t="str">
        <f xml:space="preserve"> IF( TRIM( meta_Columns[[#This Row],[Referenced Table Display and Select Column:src]] ) = "", "",
        INDEX( meta_Columns[Display Qualified], MATCH( meta_Columns[[#This Row],[Referenced Table Display and Select Column:src]], meta_Columns[ID], 0 ) ) )</f>
        <v/>
      </c>
      <c r="N65" s="8" t="str">
        <f>IF(meta_Columns[[#This Row],[Excel Column - Excel Formula]]="","x","")</f>
        <v>x</v>
      </c>
      <c r="O65" s="22"/>
      <c r="P65" s="8" t="str">
        <f>IF(meta_Columns[[#This Row],[Referenced Table:src]]="","",INDEX(meta_Tables[Instances Class],MATCH(meta_Columns[[#This Row],[Referenced Table:src]],meta_Tables[ID],0)))</f>
        <v/>
      </c>
      <c r="Q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5" s="8" t="s">
        <v>460</v>
      </c>
      <c r="S65" s="22" t="str">
        <f xml:space="preserve"> IF( TRIM( meta_Columns[[#This Row],[Property:src]] ) = "", "",
        INDEX( meta_TypedModelElements[Display Qualified], MATCH( meta_Columns[[#This Row],[Property:src]], meta_TypedModelElements[ID], 0 ) ) )</f>
        <v>meta::Object.subPackage</v>
      </c>
      <c r="T65" s="22" t="s">
        <v>42</v>
      </c>
      <c r="U65" s="8" t="e">
        <f>INDEX(meta_Classifiers[Class - Generalization:src], MATCH(meta_Columns[[#This Row],[Generalization 5]],meta_Classifiers[ID],0))</f>
        <v>#N/A</v>
      </c>
      <c r="V65" s="8" t="e">
        <f>INDEX(meta_Classifiers[Class - Generalization:src], MATCH(meta_Columns[[#This Row],[Generalization 4]],meta_Classifiers[ID],0))</f>
        <v>#N/A</v>
      </c>
      <c r="W65" s="8" t="e">
        <f>INDEX(meta_Classifiers[Class - Generalization:src], MATCH(meta_Columns[[#This Row],[Generalization 3]],meta_Classifiers[ID],0))</f>
        <v>#N/A</v>
      </c>
      <c r="X65" s="8" t="str">
        <f>INDEX(meta_Classifiers[Class - Generalization:src], MATCH(meta_Columns[[#This Row],[Generalization 2]],meta_Classifiers[ID],0))</f>
        <v/>
      </c>
      <c r="Y65" s="8" t="str">
        <f>INDEX(meta_Classifiers[Class - Generalization:src], MATCH(meta_Columns[[#This Row],[Generalization 1]],meta_Classifiers[ID],0))</f>
        <v>_Object</v>
      </c>
      <c r="Z65" s="8" t="str">
        <f>INDEX(meta_Classifiers[Class - Generalization:src], MATCH(meta_Columns[[#This Row],[Owning Table Instances Class]],meta_Classifiers[ID],0))</f>
        <v>_NamedElement</v>
      </c>
      <c r="AA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5" s="8" t="b">
        <f>_xlfn.IFNA(
INDEX(meta_Classifiers[Class - Generalization:src],MATCH(
INDEX(meta_Classifiers[Class - Generalization:src],MATCH(meta_Columns[[#This Row],[Property Owning Class]],meta_Classifiers[ID],0)),meta_Classifiers[ID],0))
=meta_Columns[[#This Row],[Owning Table Instances Class]],FALSE)</f>
        <v>0</v>
      </c>
      <c r="AG65" s="8" t="b">
        <f>_xlfn.IFNA(INDEX(meta_Classifiers[Class - Generalization:src],MATCH(meta_Columns[[#This Row],[Property Owning Class]],meta_Classifiers[ID],0))=meta_Columns[[#This Row],[Owning Table Instances Class]],FALSE)</f>
        <v>0</v>
      </c>
      <c r="AH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5" s="8" t="str">
        <f>INDEX(meta_Classifiers[Name],MATCH(INDEX(meta_TypedModelElements[Property - Owning Class:src],MATCH(meta_Columns[[#This Row],[Property]],meta_TypedModelElements[ID],0)),meta_Classifiers[ID],0))</f>
        <v>Object</v>
      </c>
      <c r="AJ65" s="8" t="str">
        <f>INDEX(meta_TypedModelElements[Property - Owning Class:src],MATCH(meta_Columns[[#This Row],[Property]],meta_TypedModelElements[ID],0))</f>
        <v>_Object</v>
      </c>
      <c r="AK65" s="8" t="str">
        <f>INDEX(meta_TypedModelElements[Kind:src],MATCH(meta_Columns[[#This Row],[Property]],meta_TypedModelElements[ID],0))</f>
        <v>_Attribute</v>
      </c>
      <c r="AL65" s="8" t="str">
        <f>INDEX(meta_TypedModelElements[Name or Type],MATCH(meta_Columns[[#This Row],[Property]],meta_TypedModelElements[ID],0))</f>
        <v>Sub Package</v>
      </c>
      <c r="AM65" s="8" t="str">
        <f>INDEX(meta_TypedModelElements[Property - Changeable],MATCH(meta_Columns[[#This Row],[Property]],meta_TypedModelElements[ID],0))</f>
        <v>x</v>
      </c>
      <c r="AN65" s="43">
        <v>6</v>
      </c>
      <c r="AO65" s="22">
        <v>5</v>
      </c>
      <c r="AP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65" s="8" t="str">
        <f xml:space="preserve"> IF(meta_Columns[[#This Row],[Property Owning Class is Specialization of Instance Class]],meta_Columns[[#This Row],[Property Owning Class Name]]&amp;" - ","")</f>
        <v/>
      </c>
      <c r="AR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65" s="8" t="str">
        <f>IFERROR(LEFT(meta_Columns[[#This Row],[Excel Column - Label Actual without Semantic Case]],FIND("-",
meta_Columns[[#This Row],[Excel Column - Label Actual without Semantic Case]])-2),"")</f>
        <v/>
      </c>
      <c r="AU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65" s="22"/>
      <c r="AY65" s="8" t="str">
        <f>meta_Columns[[#This Row],[Owning Table]]&amp;"."&amp;meta_Columns[[#This Row],[Excel Column - Label]]</f>
        <v>meta::Classifiers.Sub Package</v>
      </c>
      <c r="AZ65" s="22" t="s">
        <v>461</v>
      </c>
      <c r="BA65" s="44" t="str">
        <f>IF(TRIM(meta_Columns[[#This Row],[Excel Column - Label Overwrite]])&lt;&gt;"",meta_Columns[[#This Row],[Excel Column - Label Overwrite]],meta_Columns[[#This Row],[Excel Column - Label from Property or Referenced Table]])</f>
        <v>Sub Package</v>
      </c>
      <c r="BB65" s="43"/>
      <c r="BC65" s="44" t="str">
        <f>IF(meta_Columns[[#This Row],[Excel Column - Explicit Excel Formula]]="","",meta_Columns[[#This Row],[Excel Column - Explicit Excel Formula]])</f>
        <v/>
      </c>
      <c r="BD65" s="5"/>
      <c r="BE65" s="5"/>
    </row>
    <row r="66" spans="1:57">
      <c r="A66" s="10" t="s">
        <v>1065</v>
      </c>
      <c r="B66" s="11" t="s">
        <v>546</v>
      </c>
      <c r="C66" s="22" t="str">
        <f xml:space="preserve"> IF( TRIM( meta_Columns[[#This Row],[Kind:src]] ) = "", "",
        INDEX( meta_Classifiers[Display Qualified], MATCH( meta_Columns[[#This Row],[Kind:src]], meta_Classifiers[ID], 0 ) ) )</f>
        <v>ExcelColumn</v>
      </c>
      <c r="D66" s="44" t="str">
        <f>IF(meta_Columns[[#This Row],[Owning Table:src]]="","",INDEX(meta_Classifiers[Package],MATCH(meta_Columns[[#This Row],[Owning Table Instances Class]],meta_Classifiers[ID],0)))</f>
        <v>meta</v>
      </c>
      <c r="E66" s="43"/>
      <c r="F66" s="8" t="str">
        <f>INDEX(meta_Tables[Excel Table - Excel Name],MATCH(meta_Columns[[#This Row],[Owning Table:src]],meta_Tables[ID],0))</f>
        <v>meta_Classifiers</v>
      </c>
      <c r="G66" s="44" t="str">
        <f>INDEX(meta_Tables[Instances Class:src],MATCH(meta_Columns[[#This Row],[Owning Table:src]],meta_Tables[ID],0))</f>
        <v>_Classifier</v>
      </c>
      <c r="H66" s="11" t="s">
        <v>1010</v>
      </c>
      <c r="I66" s="43" t="str">
        <f xml:space="preserve"> IF( TRIM( meta_Columns[[#This Row],[Owning Table:src]] ) = "", "",
        INDEX( meta_Tables[Display Qualified], MATCH( meta_Columns[[#This Row],[Owning Table:src]], meta_Tables[ID], 0 ) ) )</f>
        <v>meta::Classifiers</v>
      </c>
      <c r="K66" s="22" t="str">
        <f>IF(TRIM(meta_Columns[[#This Row],[Referenced Table:src]])="","",
    INDEX(meta_Tables[Display Qualified],MATCH(meta_Columns[[#This Row],[Referenced Table:src]],meta_Tables[ID],0)))</f>
        <v/>
      </c>
      <c r="L66" s="8"/>
      <c r="M66" s="22" t="str">
        <f xml:space="preserve"> IF( TRIM( meta_Columns[[#This Row],[Referenced Table Display and Select Column:src]] ) = "", "",
        INDEX( meta_Columns[Display Qualified], MATCH( meta_Columns[[#This Row],[Referenced Table Display and Select Column:src]], meta_Columns[ID], 0 ) ) )</f>
        <v/>
      </c>
      <c r="N66" s="8" t="str">
        <f>IF(meta_Columns[[#This Row],[Excel Column - Excel Formula]]="","x","")</f>
        <v/>
      </c>
      <c r="O66" s="22"/>
      <c r="P66" s="8" t="str">
        <f>IF(meta_Columns[[#This Row],[Referenced Table:src]]="","",INDEX(meta_Tables[Instances Class],MATCH(meta_Columns[[#This Row],[Referenced Table:src]],meta_Tables[ID],0)))</f>
        <v/>
      </c>
      <c r="Q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6" s="8" t="s">
        <v>807</v>
      </c>
      <c r="S66" s="22" t="str">
        <f xml:space="preserve"> IF( TRIM( meta_Columns[[#This Row],[Property:src]] ) = "", "",
        INDEX( meta_TypedModelElements[Display Qualified], MATCH( meta_Columns[[#This Row],[Property:src]], meta_TypedModelElements[ID], 0 ) ) )</f>
        <v>meta::Object.displayQualified</v>
      </c>
      <c r="T66" s="22"/>
      <c r="U66" s="8" t="e">
        <f>INDEX(meta_Classifiers[Class - Generalization:src], MATCH(meta_Columns[[#This Row],[Generalization 5]],meta_Classifiers[ID],0))</f>
        <v>#N/A</v>
      </c>
      <c r="V66" s="8" t="e">
        <f>INDEX(meta_Classifiers[Class - Generalization:src], MATCH(meta_Columns[[#This Row],[Generalization 4]],meta_Classifiers[ID],0))</f>
        <v>#N/A</v>
      </c>
      <c r="W66" s="8" t="e">
        <f>INDEX(meta_Classifiers[Class - Generalization:src], MATCH(meta_Columns[[#This Row],[Generalization 3]],meta_Classifiers[ID],0))</f>
        <v>#N/A</v>
      </c>
      <c r="X66" s="8" t="str">
        <f>INDEX(meta_Classifiers[Class - Generalization:src], MATCH(meta_Columns[[#This Row],[Generalization 2]],meta_Classifiers[ID],0))</f>
        <v/>
      </c>
      <c r="Y66" s="8" t="str">
        <f>INDEX(meta_Classifiers[Class - Generalization:src], MATCH(meta_Columns[[#This Row],[Generalization 1]],meta_Classifiers[ID],0))</f>
        <v>_Object</v>
      </c>
      <c r="Z66" s="8" t="str">
        <f>INDEX(meta_Classifiers[Class - Generalization:src], MATCH(meta_Columns[[#This Row],[Owning Table Instances Class]],meta_Classifiers[ID],0))</f>
        <v>_NamedElement</v>
      </c>
      <c r="AA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6" s="8" t="b">
        <f>_xlfn.IFNA(
INDEX(meta_Classifiers[Class - Generalization:src],MATCH(
INDEX(meta_Classifiers[Class - Generalization:src],MATCH(meta_Columns[[#This Row],[Property Owning Class]],meta_Classifiers[ID],0)),meta_Classifiers[ID],0))
=meta_Columns[[#This Row],[Owning Table Instances Class]],FALSE)</f>
        <v>0</v>
      </c>
      <c r="AG66" s="8" t="b">
        <f>_xlfn.IFNA(INDEX(meta_Classifiers[Class - Generalization:src],MATCH(meta_Columns[[#This Row],[Property Owning Class]],meta_Classifiers[ID],0))=meta_Columns[[#This Row],[Owning Table Instances Class]],FALSE)</f>
        <v>0</v>
      </c>
      <c r="AH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6" s="8" t="str">
        <f>INDEX(meta_Classifiers[Name],MATCH(INDEX(meta_TypedModelElements[Property - Owning Class:src],MATCH(meta_Columns[[#This Row],[Property]],meta_TypedModelElements[ID],0)),meta_Classifiers[ID],0))</f>
        <v>Object</v>
      </c>
      <c r="AJ66" s="8" t="str">
        <f>INDEX(meta_TypedModelElements[Property - Owning Class:src],MATCH(meta_Columns[[#This Row],[Property]],meta_TypedModelElements[ID],0))</f>
        <v>_Object</v>
      </c>
      <c r="AK66" s="8" t="str">
        <f>INDEX(meta_TypedModelElements[Kind:src],MATCH(meta_Columns[[#This Row],[Property]],meta_TypedModelElements[ID],0))</f>
        <v>_Attribute</v>
      </c>
      <c r="AL66" s="8" t="str">
        <f>INDEX(meta_TypedModelElements[Name or Type],MATCH(meta_Columns[[#This Row],[Property]],meta_TypedModelElements[ID],0))</f>
        <v>Display Qualified</v>
      </c>
      <c r="AM66" s="8">
        <f>INDEX(meta_TypedModelElements[Property - Changeable],MATCH(meta_Columns[[#This Row],[Property]],meta_TypedModelElements[ID],0))</f>
        <v>0</v>
      </c>
      <c r="AN66" s="43">
        <v>7</v>
      </c>
      <c r="AO66" s="22"/>
      <c r="AP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66" s="8" t="str">
        <f xml:space="preserve"> IF(meta_Columns[[#This Row],[Property Owning Class is Specialization of Instance Class]],meta_Columns[[#This Row],[Property Owning Class Name]]&amp;" - ","")</f>
        <v/>
      </c>
      <c r="AR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66" s="8" t="str">
        <f>IFERROR(LEFT(meta_Columns[[#This Row],[Excel Column - Label Actual without Semantic Case]],FIND("-",
meta_Columns[[#This Row],[Excel Column - Label Actual without Semantic Case]])-2),"")</f>
        <v/>
      </c>
      <c r="AU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66" s="22"/>
      <c r="AY66" s="8" t="str">
        <f>meta_Columns[[#This Row],[Owning Table]]&amp;"."&amp;meta_Columns[[#This Row],[Excel Column - Label]]</f>
        <v>meta::Classifiers.Display Qualified</v>
      </c>
      <c r="AZ66" s="22" t="s">
        <v>806</v>
      </c>
      <c r="BA66" s="44" t="str">
        <f>IF(TRIM(meta_Columns[[#This Row],[Excel Column - Label Overwrite]])&lt;&gt;"",meta_Columns[[#This Row],[Excel Column - Label Overwrite]],meta_Columns[[#This Row],[Excel Column - Label from Property or Referenced Table]])</f>
        <v>Display Qualified</v>
      </c>
      <c r="BB66" s="43" t="s">
        <v>952</v>
      </c>
      <c r="BC66" s="44" t="str">
        <f>IF(meta_Columns[[#This Row],[Excel Column - Explicit Excel Formula]]="","",meta_Columns[[#This Row],[Excel Column - Explicit Excel Formula]])</f>
        <v>Formula:=IF(LEFT([@ID],1)="_",RIGHT([@ID],LEN([@ID])-1),IF(TRIM([@Package])="","",TRIM(LOWER([@Package]))&amp;"::")&amp;[@Display])</v>
      </c>
      <c r="BD66" s="5"/>
      <c r="BE66" s="5"/>
    </row>
    <row r="67" spans="1:57">
      <c r="A67" s="10" t="s">
        <v>1066</v>
      </c>
      <c r="B67" s="11" t="s">
        <v>546</v>
      </c>
      <c r="C67" s="22" t="str">
        <f xml:space="preserve"> IF( TRIM( meta_Columns[[#This Row],[Kind:src]] ) = "", "",
        INDEX( meta_Classifiers[Display Qualified], MATCH( meta_Columns[[#This Row],[Kind:src]], meta_Classifiers[ID], 0 ) ) )</f>
        <v>ExcelColumn</v>
      </c>
      <c r="D67" s="44" t="str">
        <f>IF(meta_Columns[[#This Row],[Owning Table:src]]="","",INDEX(meta_Classifiers[Package],MATCH(meta_Columns[[#This Row],[Owning Table Instances Class]],meta_Classifiers[ID],0)))</f>
        <v>meta</v>
      </c>
      <c r="E67" s="43"/>
      <c r="F67" s="8" t="str">
        <f>INDEX(meta_Tables[Excel Table - Excel Name],MATCH(meta_Columns[[#This Row],[Owning Table:src]],meta_Tables[ID],0))</f>
        <v>meta_Classifiers</v>
      </c>
      <c r="G67" s="44" t="str">
        <f>INDEX(meta_Tables[Instances Class:src],MATCH(meta_Columns[[#This Row],[Owning Table:src]],meta_Tables[ID],0))</f>
        <v>_Classifier</v>
      </c>
      <c r="H67" s="11" t="s">
        <v>1010</v>
      </c>
      <c r="I67" s="43" t="str">
        <f xml:space="preserve"> IF( TRIM( meta_Columns[[#This Row],[Owning Table:src]] ) = "", "",
        INDEX( meta_Tables[Display Qualified], MATCH( meta_Columns[[#This Row],[Owning Table:src]], meta_Tables[ID], 0 ) ) )</f>
        <v>meta::Classifiers</v>
      </c>
      <c r="K67" s="22" t="str">
        <f>IF(TRIM(meta_Columns[[#This Row],[Referenced Table:src]])="","",
    INDEX(meta_Tables[Display Qualified],MATCH(meta_Columns[[#This Row],[Referenced Table:src]],meta_Tables[ID],0)))</f>
        <v/>
      </c>
      <c r="L67" s="8"/>
      <c r="M67" s="22" t="str">
        <f xml:space="preserve"> IF( TRIM( meta_Columns[[#This Row],[Referenced Table Display and Select Column:src]] ) = "", "",
        INDEX( meta_Columns[Display Qualified], MATCH( meta_Columns[[#This Row],[Referenced Table Display and Select Column:src]], meta_Columns[ID], 0 ) ) )</f>
        <v/>
      </c>
      <c r="N67" s="8" t="str">
        <f>IF(meta_Columns[[#This Row],[Excel Column - Excel Formula]]="","x","")</f>
        <v/>
      </c>
      <c r="O67" s="22"/>
      <c r="P67" s="8" t="str">
        <f>IF(meta_Columns[[#This Row],[Referenced Table:src]]="","",INDEX(meta_Tables[Instances Class],MATCH(meta_Columns[[#This Row],[Referenced Table:src]],meta_Tables[ID],0)))</f>
        <v/>
      </c>
      <c r="Q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7" s="8" t="s">
        <v>478</v>
      </c>
      <c r="S67" s="22" t="str">
        <f xml:space="preserve"> IF( TRIM( meta_Columns[[#This Row],[Property:src]] ) = "", "",
        INDEX( meta_TypedModelElements[Display Qualified], MATCH( meta_Columns[[#This Row],[Property:src]], meta_TypedModelElements[ID], 0 ) ) )</f>
        <v>meta::Object.display</v>
      </c>
      <c r="T67" s="22" t="s">
        <v>477</v>
      </c>
      <c r="U67" s="8" t="e">
        <f>INDEX(meta_Classifiers[Class - Generalization:src], MATCH(meta_Columns[[#This Row],[Generalization 5]],meta_Classifiers[ID],0))</f>
        <v>#N/A</v>
      </c>
      <c r="V67" s="8" t="e">
        <f>INDEX(meta_Classifiers[Class - Generalization:src], MATCH(meta_Columns[[#This Row],[Generalization 4]],meta_Classifiers[ID],0))</f>
        <v>#N/A</v>
      </c>
      <c r="W67" s="8" t="e">
        <f>INDEX(meta_Classifiers[Class - Generalization:src], MATCH(meta_Columns[[#This Row],[Generalization 3]],meta_Classifiers[ID],0))</f>
        <v>#N/A</v>
      </c>
      <c r="X67" s="8" t="str">
        <f>INDEX(meta_Classifiers[Class - Generalization:src], MATCH(meta_Columns[[#This Row],[Generalization 2]],meta_Classifiers[ID],0))</f>
        <v/>
      </c>
      <c r="Y67" s="8" t="str">
        <f>INDEX(meta_Classifiers[Class - Generalization:src], MATCH(meta_Columns[[#This Row],[Generalization 1]],meta_Classifiers[ID],0))</f>
        <v>_Object</v>
      </c>
      <c r="Z67" s="8" t="str">
        <f>INDEX(meta_Classifiers[Class - Generalization:src], MATCH(meta_Columns[[#This Row],[Owning Table Instances Class]],meta_Classifiers[ID],0))</f>
        <v>_NamedElement</v>
      </c>
      <c r="AA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7" s="8" t="b">
        <f>_xlfn.IFNA(
INDEX(meta_Classifiers[Class - Generalization:src],MATCH(
INDEX(meta_Classifiers[Class - Generalization:src],MATCH(meta_Columns[[#This Row],[Property Owning Class]],meta_Classifiers[ID],0)),meta_Classifiers[ID],0))
=meta_Columns[[#This Row],[Owning Table Instances Class]],FALSE)</f>
        <v>0</v>
      </c>
      <c r="AG67" s="8" t="b">
        <f>_xlfn.IFNA(INDEX(meta_Classifiers[Class - Generalization:src],MATCH(meta_Columns[[#This Row],[Property Owning Class]],meta_Classifiers[ID],0))=meta_Columns[[#This Row],[Owning Table Instances Class]],FALSE)</f>
        <v>0</v>
      </c>
      <c r="AH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7" s="8" t="str">
        <f>INDEX(meta_Classifiers[Name],MATCH(INDEX(meta_TypedModelElements[Property - Owning Class:src],MATCH(meta_Columns[[#This Row],[Property]],meta_TypedModelElements[ID],0)),meta_Classifiers[ID],0))</f>
        <v>Object</v>
      </c>
      <c r="AJ67" s="8" t="str">
        <f>INDEX(meta_TypedModelElements[Property - Owning Class:src],MATCH(meta_Columns[[#This Row],[Property]],meta_TypedModelElements[ID],0))</f>
        <v>_Object</v>
      </c>
      <c r="AK67" s="8" t="str">
        <f>INDEX(meta_TypedModelElements[Kind:src],MATCH(meta_Columns[[#This Row],[Property]],meta_TypedModelElements[ID],0))</f>
        <v>_Attribute</v>
      </c>
      <c r="AL67" s="8" t="str">
        <f>INDEX(meta_TypedModelElements[Name or Type],MATCH(meta_Columns[[#This Row],[Property]],meta_TypedModelElements[ID],0))</f>
        <v>Display</v>
      </c>
      <c r="AM67" s="8">
        <f>INDEX(meta_TypedModelElements[Property - Changeable],MATCH(meta_Columns[[#This Row],[Property]],meta_TypedModelElements[ID],0))</f>
        <v>0</v>
      </c>
      <c r="AN67" s="43">
        <v>9</v>
      </c>
      <c r="AO67" s="22"/>
      <c r="AP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67" s="8" t="str">
        <f xml:space="preserve"> IF(meta_Columns[[#This Row],[Property Owning Class is Specialization of Instance Class]],meta_Columns[[#This Row],[Property Owning Class Name]]&amp;" - ","")</f>
        <v/>
      </c>
      <c r="AR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 Display Qualified</v>
      </c>
      <c r="AT67" s="8" t="str">
        <f>IFERROR(LEFT(meta_Columns[[#This Row],[Excel Column - Label Actual without Semantic Case]],FIND("-",
meta_Columns[[#This Row],[Excel Column - Label Actual without Semantic Case]])-2),"")</f>
        <v/>
      </c>
      <c r="AU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Display Qualified</v>
      </c>
      <c r="AV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Display Qualified</v>
      </c>
      <c r="AX67" s="22"/>
      <c r="AY67" s="8" t="str">
        <f>meta_Columns[[#This Row],[Owning Table]]&amp;"."&amp;meta_Columns[[#This Row],[Excel Column - Label]]</f>
        <v>meta::Classifiers.Display</v>
      </c>
      <c r="AZ67" s="22" t="s">
        <v>32</v>
      </c>
      <c r="BA67" s="44" t="str">
        <f>IF(TRIM(meta_Columns[[#This Row],[Excel Column - Label Overwrite]])&lt;&gt;"",meta_Columns[[#This Row],[Excel Column - Label Overwrite]],meta_Columns[[#This Row],[Excel Column - Label from Property or Referenced Table]])</f>
        <v>Display</v>
      </c>
      <c r="BB67" s="43" t="s">
        <v>1389</v>
      </c>
      <c r="BC67" s="44" t="str">
        <f>IF(meta_Columns[[#This Row],[Excel Column - Explicit Excel Formula]]="","",meta_Columns[[#This Row],[Excel Column - Explicit Excel Formula]])</f>
        <v>Formula:=camelCaseUpper([@Name])</v>
      </c>
      <c r="BD67" s="5"/>
      <c r="BE67" s="5"/>
    </row>
    <row r="68" spans="1:57">
      <c r="A68" s="10" t="s">
        <v>1067</v>
      </c>
      <c r="B68" s="11" t="s">
        <v>546</v>
      </c>
      <c r="C68" s="22" t="str">
        <f xml:space="preserve"> IF( TRIM( meta_Columns[[#This Row],[Kind:src]] ) = "", "",
        INDEX( meta_Classifiers[Display Qualified], MATCH( meta_Columns[[#This Row],[Kind:src]], meta_Classifiers[ID], 0 ) ) )</f>
        <v>ExcelColumn</v>
      </c>
      <c r="D68" s="44" t="str">
        <f>IF(meta_Columns[[#This Row],[Owning Table:src]]="","",INDEX(meta_Classifiers[Package],MATCH(meta_Columns[[#This Row],[Owning Table Instances Class]],meta_Classifiers[ID],0)))</f>
        <v>meta</v>
      </c>
      <c r="E68" s="43"/>
      <c r="F68" s="8" t="str">
        <f>INDEX(meta_Tables[Excel Table - Excel Name],MATCH(meta_Columns[[#This Row],[Owning Table:src]],meta_Tables[ID],0))</f>
        <v>meta_Classifiers</v>
      </c>
      <c r="G68" s="44" t="str">
        <f>INDEX(meta_Tables[Instances Class:src],MATCH(meta_Columns[[#This Row],[Owning Table:src]],meta_Tables[ID],0))</f>
        <v>_Classifier</v>
      </c>
      <c r="H68" s="11" t="s">
        <v>1010</v>
      </c>
      <c r="I68" s="43" t="str">
        <f xml:space="preserve"> IF( TRIM( meta_Columns[[#This Row],[Owning Table:src]] ) = "", "",
        INDEX( meta_Tables[Display Qualified], MATCH( meta_Columns[[#This Row],[Owning Table:src]], meta_Tables[ID], 0 ) ) )</f>
        <v>meta::Classifiers</v>
      </c>
      <c r="K68" s="22" t="str">
        <f>IF(TRIM(meta_Columns[[#This Row],[Referenced Table:src]])="","",
    INDEX(meta_Tables[Display Qualified],MATCH(meta_Columns[[#This Row],[Referenced Table:src]],meta_Tables[ID],0)))</f>
        <v/>
      </c>
      <c r="L68" s="8"/>
      <c r="M68" s="22" t="str">
        <f xml:space="preserve"> IF( TRIM( meta_Columns[[#This Row],[Referenced Table Display and Select Column:src]] ) = "", "",
        INDEX( meta_Columns[Display Qualified], MATCH( meta_Columns[[#This Row],[Referenced Table Display and Select Column:src]], meta_Columns[ID], 0 ) ) )</f>
        <v/>
      </c>
      <c r="N68" s="8" t="str">
        <f>IF(meta_Columns[[#This Row],[Excel Column - Excel Formula]]="","x","")</f>
        <v>x</v>
      </c>
      <c r="O68" s="22"/>
      <c r="P68" s="8" t="str">
        <f>IF(meta_Columns[[#This Row],[Referenced Table:src]]="","",INDEX(meta_Tables[Instances Class],MATCH(meta_Columns[[#This Row],[Referenced Table:src]],meta_Tables[ID],0)))</f>
        <v/>
      </c>
      <c r="Q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8" s="8" t="s">
        <v>249</v>
      </c>
      <c r="S68" s="22" t="str">
        <f xml:space="preserve"> IF( TRIM( meta_Columns[[#This Row],[Property:src]] ) = "", "",
        INDEX( meta_TypedModelElements[Display Qualified], MATCH( meta_Columns[[#This Row],[Property:src]], meta_TypedModelElements[ID], 0 ) ) )</f>
        <v>meta::NamedElement.name</v>
      </c>
      <c r="T68" s="22" t="s">
        <v>42</v>
      </c>
      <c r="U68" s="8" t="e">
        <f>INDEX(meta_Classifiers[Class - Generalization:src], MATCH(meta_Columns[[#This Row],[Generalization 5]],meta_Classifiers[ID],0))</f>
        <v>#N/A</v>
      </c>
      <c r="V68" s="8" t="e">
        <f>INDEX(meta_Classifiers[Class - Generalization:src], MATCH(meta_Columns[[#This Row],[Generalization 4]],meta_Classifiers[ID],0))</f>
        <v>#N/A</v>
      </c>
      <c r="W68" s="8" t="e">
        <f>INDEX(meta_Classifiers[Class - Generalization:src], MATCH(meta_Columns[[#This Row],[Generalization 3]],meta_Classifiers[ID],0))</f>
        <v>#N/A</v>
      </c>
      <c r="X68" s="8" t="str">
        <f>INDEX(meta_Classifiers[Class - Generalization:src], MATCH(meta_Columns[[#This Row],[Generalization 2]],meta_Classifiers[ID],0))</f>
        <v/>
      </c>
      <c r="Y68" s="8" t="str">
        <f>INDEX(meta_Classifiers[Class - Generalization:src], MATCH(meta_Columns[[#This Row],[Generalization 1]],meta_Classifiers[ID],0))</f>
        <v>_Object</v>
      </c>
      <c r="Z68" s="8" t="str">
        <f>INDEX(meta_Classifiers[Class - Generalization:src], MATCH(meta_Columns[[#This Row],[Owning Table Instances Class]],meta_Classifiers[ID],0))</f>
        <v>_NamedElement</v>
      </c>
      <c r="AA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8" s="8" t="b">
        <f>_xlfn.IFNA(
INDEX(meta_Classifiers[Class - Generalization:src],MATCH(
INDEX(meta_Classifiers[Class - Generalization:src],MATCH(meta_Columns[[#This Row],[Property Owning Class]],meta_Classifiers[ID],0)),meta_Classifiers[ID],0))
=meta_Columns[[#This Row],[Owning Table Instances Class]],FALSE)</f>
        <v>0</v>
      </c>
      <c r="AG68" s="8" t="b">
        <f>_xlfn.IFNA(INDEX(meta_Classifiers[Class - Generalization:src],MATCH(meta_Columns[[#This Row],[Property Owning Class]],meta_Classifiers[ID],0))=meta_Columns[[#This Row],[Owning Table Instances Class]],FALSE)</f>
        <v>0</v>
      </c>
      <c r="AH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8" s="8" t="str">
        <f>INDEX(meta_Classifiers[Name],MATCH(INDEX(meta_TypedModelElements[Property - Owning Class:src],MATCH(meta_Columns[[#This Row],[Property]],meta_TypedModelElements[ID],0)),meta_Classifiers[ID],0))</f>
        <v>Named Element</v>
      </c>
      <c r="AJ68" s="8" t="str">
        <f>INDEX(meta_TypedModelElements[Property - Owning Class:src],MATCH(meta_Columns[[#This Row],[Property]],meta_TypedModelElements[ID],0))</f>
        <v>_NamedElement</v>
      </c>
      <c r="AK68" s="8" t="str">
        <f>INDEX(meta_TypedModelElements[Kind:src],MATCH(meta_Columns[[#This Row],[Property]],meta_TypedModelElements[ID],0))</f>
        <v>_Attribute</v>
      </c>
      <c r="AL68" s="8" t="str">
        <f>INDEX(meta_TypedModelElements[Name or Type],MATCH(meta_Columns[[#This Row],[Property]],meta_TypedModelElements[ID],0))</f>
        <v>Name</v>
      </c>
      <c r="AM68" s="8" t="str">
        <f>INDEX(meta_TypedModelElements[Property - Changeable],MATCH(meta_Columns[[#This Row],[Property]],meta_TypedModelElements[ID],0))</f>
        <v>x</v>
      </c>
      <c r="AN68" s="43">
        <v>10</v>
      </c>
      <c r="AO68" s="22">
        <v>6</v>
      </c>
      <c r="AP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68" s="8" t="str">
        <f xml:space="preserve"> IF(meta_Columns[[#This Row],[Property Owning Class is Specialization of Instance Class]],meta_Columns[[#This Row],[Property Owning Class Name]]&amp;" - ","")</f>
        <v/>
      </c>
      <c r="AR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68" s="8" t="str">
        <f>IFERROR(LEFT(meta_Columns[[#This Row],[Excel Column - Label Actual without Semantic Case]],FIND("-",
meta_Columns[[#This Row],[Excel Column - Label Actual without Semantic Case]])-2),"")</f>
        <v/>
      </c>
      <c r="AU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68" s="22"/>
      <c r="AY68" s="8" t="str">
        <f>meta_Columns[[#This Row],[Owning Table]]&amp;"."&amp;meta_Columns[[#This Row],[Excel Column - Label]]</f>
        <v>meta::Classifiers.Name</v>
      </c>
      <c r="AZ68" s="22" t="s">
        <v>1</v>
      </c>
      <c r="BA68" s="44" t="str">
        <f>IF(TRIM(meta_Columns[[#This Row],[Excel Column - Label Overwrite]])&lt;&gt;"",meta_Columns[[#This Row],[Excel Column - Label Overwrite]],meta_Columns[[#This Row],[Excel Column - Label from Property or Referenced Table]])</f>
        <v>Name</v>
      </c>
      <c r="BB68" s="43"/>
      <c r="BC68" s="44" t="str">
        <f>IF(meta_Columns[[#This Row],[Excel Column - Explicit Excel Formula]]="","",meta_Columns[[#This Row],[Excel Column - Explicit Excel Formula]])</f>
        <v/>
      </c>
      <c r="BD68" s="5"/>
      <c r="BE68" s="5" t="s">
        <v>232</v>
      </c>
    </row>
    <row r="69" spans="1:57">
      <c r="A69" s="10" t="s">
        <v>1068</v>
      </c>
      <c r="B69" s="11" t="s">
        <v>546</v>
      </c>
      <c r="C69" s="22" t="str">
        <f xml:space="preserve"> IF( TRIM( meta_Columns[[#This Row],[Kind:src]] ) = "", "",
        INDEX( meta_Classifiers[Display Qualified], MATCH( meta_Columns[[#This Row],[Kind:src]], meta_Classifiers[ID], 0 ) ) )</f>
        <v>ExcelColumn</v>
      </c>
      <c r="D69" s="44" t="str">
        <f>IF(meta_Columns[[#This Row],[Owning Table:src]]="","",INDEX(meta_Classifiers[Package],MATCH(meta_Columns[[#This Row],[Owning Table Instances Class]],meta_Classifiers[ID],0)))</f>
        <v>meta</v>
      </c>
      <c r="E69" s="43"/>
      <c r="F69" s="8" t="str">
        <f>INDEX(meta_Tables[Excel Table - Excel Name],MATCH(meta_Columns[[#This Row],[Owning Table:src]],meta_Tables[ID],0))</f>
        <v>meta_Classifiers</v>
      </c>
      <c r="G69" s="44" t="str">
        <f>INDEX(meta_Tables[Instances Class:src],MATCH(meta_Columns[[#This Row],[Owning Table:src]],meta_Tables[ID],0))</f>
        <v>_Classifier</v>
      </c>
      <c r="H69" s="11" t="s">
        <v>1010</v>
      </c>
      <c r="I69" s="43" t="str">
        <f xml:space="preserve"> IF( TRIM( meta_Columns[[#This Row],[Owning Table:src]] ) = "", "",
        INDEX( meta_Tables[Display Qualified], MATCH( meta_Columns[[#This Row],[Owning Table:src]], meta_Tables[ID], 0 ) ) )</f>
        <v>meta::Classifiers</v>
      </c>
      <c r="K69" s="22" t="str">
        <f>IF(TRIM(meta_Columns[[#This Row],[Referenced Table:src]])="","",
    INDEX(meta_Tables[Display Qualified],MATCH(meta_Columns[[#This Row],[Referenced Table:src]],meta_Tables[ID],0)))</f>
        <v/>
      </c>
      <c r="L69" s="8"/>
      <c r="M69" s="22" t="str">
        <f xml:space="preserve"> IF( TRIM( meta_Columns[[#This Row],[Referenced Table Display and Select Column:src]] ) = "", "",
        INDEX( meta_Columns[Display Qualified], MATCH( meta_Columns[[#This Row],[Referenced Table Display and Select Column:src]], meta_Columns[ID], 0 ) ) )</f>
        <v/>
      </c>
      <c r="N69" s="8" t="str">
        <f>IF(meta_Columns[[#This Row],[Excel Column - Excel Formula]]="","x","")</f>
        <v>x</v>
      </c>
      <c r="O69" s="22"/>
      <c r="P69" s="8" t="str">
        <f>IF(meta_Columns[[#This Row],[Referenced Table:src]]="","",INDEX(meta_Tables[Instances Class],MATCH(meta_Columns[[#This Row],[Referenced Table:src]],meta_Tables[ID],0)))</f>
        <v/>
      </c>
      <c r="Q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9" s="8" t="s">
        <v>250</v>
      </c>
      <c r="S69" s="22" t="str">
        <f xml:space="preserve"> IF( TRIM( meta_Columns[[#This Row],[Property:src]] ) = "", "",
        INDEX( meta_TypedModelElements[Display Qualified], MATCH( meta_Columns[[#This Row],[Property:src]], meta_TypedModelElements[ID], 0 ) ) )</f>
        <v>meta::Class.abstract</v>
      </c>
      <c r="T69" s="22" t="s">
        <v>42</v>
      </c>
      <c r="U69" s="8" t="e">
        <f>INDEX(meta_Classifiers[Class - Generalization:src], MATCH(meta_Columns[[#This Row],[Generalization 5]],meta_Classifiers[ID],0))</f>
        <v>#N/A</v>
      </c>
      <c r="V69" s="8" t="e">
        <f>INDEX(meta_Classifiers[Class - Generalization:src], MATCH(meta_Columns[[#This Row],[Generalization 4]],meta_Classifiers[ID],0))</f>
        <v>#N/A</v>
      </c>
      <c r="W69" s="8" t="e">
        <f>INDEX(meta_Classifiers[Class - Generalization:src], MATCH(meta_Columns[[#This Row],[Generalization 3]],meta_Classifiers[ID],0))</f>
        <v>#N/A</v>
      </c>
      <c r="X69" s="8" t="str">
        <f>INDEX(meta_Classifiers[Class - Generalization:src], MATCH(meta_Columns[[#This Row],[Generalization 2]],meta_Classifiers[ID],0))</f>
        <v/>
      </c>
      <c r="Y69" s="8" t="str">
        <f>INDEX(meta_Classifiers[Class - Generalization:src], MATCH(meta_Columns[[#This Row],[Generalization 1]],meta_Classifiers[ID],0))</f>
        <v>_Object</v>
      </c>
      <c r="Z69" s="8" t="str">
        <f>INDEX(meta_Classifiers[Class - Generalization:src], MATCH(meta_Columns[[#This Row],[Owning Table Instances Class]],meta_Classifiers[ID],0))</f>
        <v>_NamedElement</v>
      </c>
      <c r="AA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9" s="8" t="b">
        <f>_xlfn.IFNA(
INDEX(meta_Classifiers[Class - Generalization:src],MATCH(
INDEX(meta_Classifiers[Class - Generalization:src],MATCH(meta_Columns[[#This Row],[Property Owning Class]],meta_Classifiers[ID],0)),meta_Classifiers[ID],0))
=meta_Columns[[#This Row],[Owning Table Instances Class]],FALSE)</f>
        <v>0</v>
      </c>
      <c r="AG69" s="8" t="b">
        <f>_xlfn.IFNA(INDEX(meta_Classifiers[Class - Generalization:src],MATCH(meta_Columns[[#This Row],[Property Owning Class]],meta_Classifiers[ID],0))=meta_Columns[[#This Row],[Owning Table Instances Class]],FALSE)</f>
        <v>1</v>
      </c>
      <c r="AH69"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69" s="8" t="str">
        <f>INDEX(meta_Classifiers[Name],MATCH(INDEX(meta_TypedModelElements[Property - Owning Class:src],MATCH(meta_Columns[[#This Row],[Property]],meta_TypedModelElements[ID],0)),meta_Classifiers[ID],0))</f>
        <v>Class</v>
      </c>
      <c r="AJ69" s="8" t="str">
        <f>INDEX(meta_TypedModelElements[Property - Owning Class:src],MATCH(meta_Columns[[#This Row],[Property]],meta_TypedModelElements[ID],0))</f>
        <v>_Class</v>
      </c>
      <c r="AK69" s="8" t="str">
        <f>INDEX(meta_TypedModelElements[Kind:src],MATCH(meta_Columns[[#This Row],[Property]],meta_TypedModelElements[ID],0))</f>
        <v>_Attribute</v>
      </c>
      <c r="AL69" s="8" t="str">
        <f>INDEX(meta_TypedModelElements[Name or Type],MATCH(meta_Columns[[#This Row],[Property]],meta_TypedModelElements[ID],0))</f>
        <v>Abstract</v>
      </c>
      <c r="AM69" s="8" t="str">
        <f>INDEX(meta_TypedModelElements[Property - Changeable],MATCH(meta_Columns[[#This Row],[Property]],meta_TypedModelElements[ID],0))</f>
        <v>x</v>
      </c>
      <c r="AN69" s="43">
        <v>11</v>
      </c>
      <c r="AO69" s="22">
        <v>7</v>
      </c>
      <c r="AP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69" s="8" t="str">
        <f xml:space="preserve"> IF(meta_Columns[[#This Row],[Property Owning Class is Specialization of Instance Class]],meta_Columns[[#This Row],[Property Owning Class Name]]&amp;" - ","")</f>
        <v xml:space="preserve">Class - </v>
      </c>
      <c r="AR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69" s="8" t="str">
        <f>IFERROR(LEFT(meta_Columns[[#This Row],[Excel Column - Label Actual without Semantic Case]],FIND("-",
meta_Columns[[#This Row],[Excel Column - Label Actual without Semantic Case]])-2),"")</f>
        <v/>
      </c>
      <c r="AU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69" s="22"/>
      <c r="AY69" s="8" t="str">
        <f>meta_Columns[[#This Row],[Owning Table]]&amp;"."&amp;meta_Columns[[#This Row],[Excel Column - Label]]</f>
        <v>meta::Classifiers.Class - Abstract</v>
      </c>
      <c r="AZ69" s="22" t="s">
        <v>496</v>
      </c>
      <c r="BA69" s="44" t="str">
        <f>IF(TRIM(meta_Columns[[#This Row],[Excel Column - Label Overwrite]])&lt;&gt;"",meta_Columns[[#This Row],[Excel Column - Label Overwrite]],meta_Columns[[#This Row],[Excel Column - Label from Property or Referenced Table]])</f>
        <v>Class - Abstract</v>
      </c>
      <c r="BB69" s="43"/>
      <c r="BC69" s="44" t="str">
        <f>IF(meta_Columns[[#This Row],[Excel Column - Explicit Excel Formula]]="","",meta_Columns[[#This Row],[Excel Column - Explicit Excel Formula]])</f>
        <v/>
      </c>
      <c r="BD69" s="5"/>
      <c r="BE69" s="5"/>
    </row>
    <row r="70" spans="1:57">
      <c r="A70" s="10" t="s">
        <v>1390</v>
      </c>
      <c r="B70" s="11" t="s">
        <v>546</v>
      </c>
      <c r="C70" s="22" t="str">
        <f xml:space="preserve"> IF( TRIM( meta_Columns[[#This Row],[Kind:src]] ) = "", "",
        INDEX( meta_Classifiers[Display Qualified], MATCH( meta_Columns[[#This Row],[Kind:src]], meta_Classifiers[ID], 0 ) ) )</f>
        <v>ExcelColumn</v>
      </c>
      <c r="D70" s="44" t="str">
        <f>IF(meta_Columns[[#This Row],[Owning Table:src]]="","",INDEX(meta_Classifiers[Package],MATCH(meta_Columns[[#This Row],[Owning Table Instances Class]],meta_Classifiers[ID],0)))</f>
        <v>meta</v>
      </c>
      <c r="E70" s="43"/>
      <c r="F70" s="8" t="str">
        <f>INDEX(meta_Tables[Excel Table - Excel Name],MATCH(meta_Columns[[#This Row],[Owning Table:src]],meta_Tables[ID],0))</f>
        <v>meta_Classifiers</v>
      </c>
      <c r="G70" s="44" t="str">
        <f>INDEX(meta_Tables[Instances Class:src],MATCH(meta_Columns[[#This Row],[Owning Table:src]],meta_Tables[ID],0))</f>
        <v>_Classifier</v>
      </c>
      <c r="H70" s="11" t="s">
        <v>1010</v>
      </c>
      <c r="I70" s="43" t="str">
        <f xml:space="preserve"> IF( TRIM( meta_Columns[[#This Row],[Owning Table:src]] ) = "", "",
        INDEX( meta_Tables[Display Qualified], MATCH( meta_Columns[[#This Row],[Owning Table:src]], meta_Tables[ID], 0 ) ) )</f>
        <v>meta::Classifiers</v>
      </c>
      <c r="K70" s="22" t="str">
        <f>IF(TRIM(meta_Columns[[#This Row],[Referenced Table:src]])="","",
    INDEX(meta_Tables[Display Qualified],MATCH(meta_Columns[[#This Row],[Referenced Table:src]],meta_Tables[ID],0)))</f>
        <v/>
      </c>
      <c r="L70" s="8"/>
      <c r="M70" s="22" t="str">
        <f xml:space="preserve"> IF( TRIM( meta_Columns[[#This Row],[Referenced Table Display and Select Column:src]] ) = "", "",
        INDEX( meta_Columns[Display Qualified], MATCH( meta_Columns[[#This Row],[Referenced Table Display and Select Column:src]], meta_Columns[ID], 0 ) ) )</f>
        <v/>
      </c>
      <c r="N70" s="8" t="str">
        <f>IF(meta_Columns[[#This Row],[Excel Column - Excel Formula]]="","x","")</f>
        <v>x</v>
      </c>
      <c r="O70" s="22"/>
      <c r="P70" s="8" t="str">
        <f>IF(meta_Columns[[#This Row],[Referenced Table:src]]="","",INDEX(meta_Tables[Instances Class],MATCH(meta_Columns[[#This Row],[Referenced Table:src]],meta_Tables[ID],0)))</f>
        <v/>
      </c>
      <c r="Q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0" s="8" t="s">
        <v>251</v>
      </c>
      <c r="S70" s="22" t="str">
        <f xml:space="preserve"> IF( TRIM( meta_Columns[[#This Row],[Property:src]] ) = "", "",
        INDEX( meta_TypedModelElements[Display Qualified], MATCH( meta_Columns[[#This Row],[Property:src]], meta_TypedModelElements[ID], 0 ) ) )</f>
        <v>meta::Class.generalization</v>
      </c>
      <c r="T70" s="22" t="s">
        <v>42</v>
      </c>
      <c r="U70" s="8" t="e">
        <f>INDEX(meta_Classifiers[Class - Generalization:src], MATCH(meta_Columns[[#This Row],[Generalization 5]],meta_Classifiers[ID],0))</f>
        <v>#N/A</v>
      </c>
      <c r="V70" s="8" t="e">
        <f>INDEX(meta_Classifiers[Class - Generalization:src], MATCH(meta_Columns[[#This Row],[Generalization 4]],meta_Classifiers[ID],0))</f>
        <v>#N/A</v>
      </c>
      <c r="W70" s="8" t="e">
        <f>INDEX(meta_Classifiers[Class - Generalization:src], MATCH(meta_Columns[[#This Row],[Generalization 3]],meta_Classifiers[ID],0))</f>
        <v>#N/A</v>
      </c>
      <c r="X70" s="8" t="str">
        <f>INDEX(meta_Classifiers[Class - Generalization:src], MATCH(meta_Columns[[#This Row],[Generalization 2]],meta_Classifiers[ID],0))</f>
        <v/>
      </c>
      <c r="Y70" s="8" t="str">
        <f>INDEX(meta_Classifiers[Class - Generalization:src], MATCH(meta_Columns[[#This Row],[Generalization 1]],meta_Classifiers[ID],0))</f>
        <v>_Object</v>
      </c>
      <c r="Z70" s="8" t="str">
        <f>INDEX(meta_Classifiers[Class - Generalization:src], MATCH(meta_Columns[[#This Row],[Owning Table Instances Class]],meta_Classifiers[ID],0))</f>
        <v>_NamedElement</v>
      </c>
      <c r="AA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0" s="8" t="b">
        <f>_xlfn.IFNA(
INDEX(meta_Classifiers[Class - Generalization:src],MATCH(
INDEX(meta_Classifiers[Class - Generalization:src],MATCH(meta_Columns[[#This Row],[Property Owning Class]],meta_Classifiers[ID],0)),meta_Classifiers[ID],0))
=meta_Columns[[#This Row],[Owning Table Instances Class]],FALSE)</f>
        <v>0</v>
      </c>
      <c r="AG70" s="8" t="b">
        <f>_xlfn.IFNA(INDEX(meta_Classifiers[Class - Generalization:src],MATCH(meta_Columns[[#This Row],[Property Owning Class]],meta_Classifiers[ID],0))=meta_Columns[[#This Row],[Owning Table Instances Class]],FALSE)</f>
        <v>1</v>
      </c>
      <c r="AH70"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0" s="8" t="str">
        <f>INDEX(meta_Classifiers[Name],MATCH(INDEX(meta_TypedModelElements[Property - Owning Class:src],MATCH(meta_Columns[[#This Row],[Property]],meta_TypedModelElements[ID],0)),meta_Classifiers[ID],0))</f>
        <v>Class</v>
      </c>
      <c r="AJ70" s="8" t="str">
        <f>INDEX(meta_TypedModelElements[Property - Owning Class:src],MATCH(meta_Columns[[#This Row],[Property]],meta_TypedModelElements[ID],0))</f>
        <v>_Class</v>
      </c>
      <c r="AK70" s="8" t="str">
        <f>INDEX(meta_TypedModelElements[Kind:src],MATCH(meta_Columns[[#This Row],[Property]],meta_TypedModelElements[ID],0))</f>
        <v>_Reference</v>
      </c>
      <c r="AL70" s="8" t="str">
        <f>INDEX(meta_TypedModelElements[Name or Type],MATCH(meta_Columns[[#This Row],[Property]],meta_TypedModelElements[ID],0))</f>
        <v>Generalization</v>
      </c>
      <c r="AM70" s="8" t="str">
        <f>INDEX(meta_TypedModelElements[Property - Changeable],MATCH(meta_Columns[[#This Row],[Property]],meta_TypedModelElements[ID],0))</f>
        <v>x</v>
      </c>
      <c r="AN70" s="43">
        <v>12</v>
      </c>
      <c r="AO70" s="22">
        <v>8</v>
      </c>
      <c r="AP7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Generalization:src</v>
      </c>
      <c r="AQ70" s="8" t="str">
        <f xml:space="preserve"> IF(meta_Columns[[#This Row],[Property Owning Class is Specialization of Instance Class]],meta_Columns[[#This Row],[Property Owning Class Name]]&amp;" - ","")</f>
        <v xml:space="preserve">Class - </v>
      </c>
      <c r="AR7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Generalization:src</v>
      </c>
      <c r="AS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Abstract</v>
      </c>
      <c r="AT70" s="8" t="str">
        <f>IFERROR(LEFT(meta_Columns[[#This Row],[Excel Column - Label Actual without Semantic Case]],FIND("-",
meta_Columns[[#This Row],[Excel Column - Label Actual without Semantic Case]])-2),"")</f>
        <v>Class</v>
      </c>
      <c r="AU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Abstract</v>
      </c>
      <c r="AV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Abstract</v>
      </c>
      <c r="AX70" s="22"/>
      <c r="AY70" s="8" t="str">
        <f>meta_Columns[[#This Row],[Owning Table]]&amp;"."&amp;meta_Columns[[#This Row],[Excel Column - Label]]</f>
        <v>meta::Classifiers.Class - Generalization:src</v>
      </c>
      <c r="AZ70" s="22" t="s">
        <v>1001</v>
      </c>
      <c r="BA70" s="44" t="str">
        <f>IF(TRIM(meta_Columns[[#This Row],[Excel Column - Label Overwrite]])&lt;&gt;"",meta_Columns[[#This Row],[Excel Column - Label Overwrite]],meta_Columns[[#This Row],[Excel Column - Label from Property or Referenced Table]])</f>
        <v>Class - Generalization:src</v>
      </c>
      <c r="BB70" s="43"/>
      <c r="BC70" s="44" t="str">
        <f>IF(meta_Columns[[#This Row],[Excel Column - Explicit Excel Formula]]="","",meta_Columns[[#This Row],[Excel Column - Explicit Excel Formula]])</f>
        <v/>
      </c>
      <c r="BD70" s="5"/>
      <c r="BE70" s="5"/>
    </row>
    <row r="71" spans="1:57">
      <c r="A71" s="10" t="s">
        <v>1391</v>
      </c>
      <c r="B71" s="11" t="s">
        <v>546</v>
      </c>
      <c r="C71" s="22" t="str">
        <f xml:space="preserve"> IF( TRIM( meta_Columns[[#This Row],[Kind:src]] ) = "", "",
        INDEX( meta_Classifiers[Display Qualified], MATCH( meta_Columns[[#This Row],[Kind:src]], meta_Classifiers[ID], 0 ) ) )</f>
        <v>ExcelColumn</v>
      </c>
      <c r="D71" s="44" t="str">
        <f>IF(meta_Columns[[#This Row],[Owning Table:src]]="","",INDEX(meta_Classifiers[Package],MATCH(meta_Columns[[#This Row],[Owning Table Instances Class]],meta_Classifiers[ID],0)))</f>
        <v>meta</v>
      </c>
      <c r="E71" s="43"/>
      <c r="F71" s="8" t="str">
        <f>INDEX(meta_Tables[Excel Table - Excel Name],MATCH(meta_Columns[[#This Row],[Owning Table:src]],meta_Tables[ID],0))</f>
        <v>meta_Classifiers</v>
      </c>
      <c r="G71" s="44" t="str">
        <f>INDEX(meta_Tables[Instances Class:src],MATCH(meta_Columns[[#This Row],[Owning Table:src]],meta_Tables[ID],0))</f>
        <v>_Classifier</v>
      </c>
      <c r="H71" s="11" t="s">
        <v>1010</v>
      </c>
      <c r="I71" s="43" t="str">
        <f xml:space="preserve"> IF( TRIM( meta_Columns[[#This Row],[Owning Table:src]] ) = "", "",
        INDEX( meta_Tables[Display Qualified], MATCH( meta_Columns[[#This Row],[Owning Table:src]], meta_Tables[ID], 0 ) ) )</f>
        <v>meta::Classifiers</v>
      </c>
      <c r="K71" s="22" t="str">
        <f>IF(TRIM(meta_Columns[[#This Row],[Referenced Table:src]])="","",
    INDEX(meta_Tables[Display Qualified],MATCH(meta_Columns[[#This Row],[Referenced Table:src]],meta_Tables[ID],0)))</f>
        <v/>
      </c>
      <c r="L71" s="8"/>
      <c r="M71" s="22" t="str">
        <f xml:space="preserve"> IF( TRIM( meta_Columns[[#This Row],[Referenced Table Display and Select Column:src]] ) = "", "",
        INDEX( meta_Columns[Display Qualified], MATCH( meta_Columns[[#This Row],[Referenced Table Display and Select Column:src]], meta_Columns[ID], 0 ) ) )</f>
        <v/>
      </c>
      <c r="N71" s="8" t="str">
        <f>IF(meta_Columns[[#This Row],[Excel Column - Excel Formula]]="","x","")</f>
        <v/>
      </c>
      <c r="O71" s="22"/>
      <c r="P71" s="8" t="str">
        <f>IF(meta_Columns[[#This Row],[Referenced Table:src]]="","",INDEX(meta_Tables[Instances Class],MATCH(meta_Columns[[#This Row],[Referenced Table:src]],meta_Tables[ID],0)))</f>
        <v/>
      </c>
      <c r="Q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1" s="8" t="s">
        <v>251</v>
      </c>
      <c r="S71" s="22" t="str">
        <f xml:space="preserve"> IF( TRIM( meta_Columns[[#This Row],[Property:src]] ) = "", "",
        INDEX( meta_TypedModelElements[Display Qualified], MATCH( meta_Columns[[#This Row],[Property:src]], meta_TypedModelElements[ID], 0 ) ) )</f>
        <v>meta::Class.generalization</v>
      </c>
      <c r="T71" s="22"/>
      <c r="U71" s="8" t="e">
        <f>INDEX(meta_Classifiers[Class - Generalization:src], MATCH(meta_Columns[[#This Row],[Generalization 5]],meta_Classifiers[ID],0))</f>
        <v>#N/A</v>
      </c>
      <c r="V71" s="8" t="e">
        <f>INDEX(meta_Classifiers[Class - Generalization:src], MATCH(meta_Columns[[#This Row],[Generalization 4]],meta_Classifiers[ID],0))</f>
        <v>#N/A</v>
      </c>
      <c r="W71" s="8" t="e">
        <f>INDEX(meta_Classifiers[Class - Generalization:src], MATCH(meta_Columns[[#This Row],[Generalization 3]],meta_Classifiers[ID],0))</f>
        <v>#N/A</v>
      </c>
      <c r="X71" s="8" t="str">
        <f>INDEX(meta_Classifiers[Class - Generalization:src], MATCH(meta_Columns[[#This Row],[Generalization 2]],meta_Classifiers[ID],0))</f>
        <v/>
      </c>
      <c r="Y71" s="8" t="str">
        <f>INDEX(meta_Classifiers[Class - Generalization:src], MATCH(meta_Columns[[#This Row],[Generalization 1]],meta_Classifiers[ID],0))</f>
        <v>_Object</v>
      </c>
      <c r="Z71" s="8" t="str">
        <f>INDEX(meta_Classifiers[Class - Generalization:src], MATCH(meta_Columns[[#This Row],[Owning Table Instances Class]],meta_Classifiers[ID],0))</f>
        <v>_NamedElement</v>
      </c>
      <c r="AA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1" s="8" t="b">
        <f>_xlfn.IFNA(
INDEX(meta_Classifiers[Class - Generalization:src],MATCH(
INDEX(meta_Classifiers[Class - Generalization:src],MATCH(meta_Columns[[#This Row],[Property Owning Class]],meta_Classifiers[ID],0)),meta_Classifiers[ID],0))
=meta_Columns[[#This Row],[Owning Table Instances Class]],FALSE)</f>
        <v>0</v>
      </c>
      <c r="AG71" s="8" t="b">
        <f>_xlfn.IFNA(INDEX(meta_Classifiers[Class - Generalization:src],MATCH(meta_Columns[[#This Row],[Property Owning Class]],meta_Classifiers[ID],0))=meta_Columns[[#This Row],[Owning Table Instances Class]],FALSE)</f>
        <v>1</v>
      </c>
      <c r="AH71"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1" s="8" t="str">
        <f>INDEX(meta_Classifiers[Name],MATCH(INDEX(meta_TypedModelElements[Property - Owning Class:src],MATCH(meta_Columns[[#This Row],[Property]],meta_TypedModelElements[ID],0)),meta_Classifiers[ID],0))</f>
        <v>Class</v>
      </c>
      <c r="AJ71" s="8" t="str">
        <f>INDEX(meta_TypedModelElements[Property - Owning Class:src],MATCH(meta_Columns[[#This Row],[Property]],meta_TypedModelElements[ID],0))</f>
        <v>_Class</v>
      </c>
      <c r="AK71" s="8" t="str">
        <f>INDEX(meta_TypedModelElements[Kind:src],MATCH(meta_Columns[[#This Row],[Property]],meta_TypedModelElements[ID],0))</f>
        <v>_Reference</v>
      </c>
      <c r="AL71" s="8" t="str">
        <f>INDEX(meta_TypedModelElements[Name or Type],MATCH(meta_Columns[[#This Row],[Property]],meta_TypedModelElements[ID],0))</f>
        <v>Generalization</v>
      </c>
      <c r="AM71" s="8" t="str">
        <f>INDEX(meta_TypedModelElements[Property - Changeable],MATCH(meta_Columns[[#This Row],[Property]],meta_TypedModelElements[ID],0))</f>
        <v>x</v>
      </c>
      <c r="AN71" s="43">
        <v>13</v>
      </c>
      <c r="AO71" s="22"/>
      <c r="AP7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v>
      </c>
      <c r="AQ71" s="8" t="str">
        <f xml:space="preserve"> IF(meta_Columns[[#This Row],[Property Owning Class is Specialization of Instance Class]],meta_Columns[[#This Row],[Property Owning Class Name]]&amp;" - ","")</f>
        <v xml:space="preserve">Class - </v>
      </c>
      <c r="AR7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v>
      </c>
      <c r="AS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1" s="8" t="str">
        <f>IFERROR(LEFT(meta_Columns[[#This Row],[Excel Column - Label Actual without Semantic Case]],FIND("-",
meta_Columns[[#This Row],[Excel Column - Label Actual without Semantic Case]])-2),"")</f>
        <v>Class</v>
      </c>
      <c r="AU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Generalization:src</v>
      </c>
      <c r="AX71" s="22"/>
      <c r="AY71" s="8" t="str">
        <f>meta_Columns[[#This Row],[Owning Table]]&amp;"."&amp;meta_Columns[[#This Row],[Excel Column - Label]]</f>
        <v>meta::Classifiers.Class - Generalization</v>
      </c>
      <c r="AZ71" s="22" t="s">
        <v>436</v>
      </c>
      <c r="BA71" s="44" t="str">
        <f>IF(TRIM(meta_Columns[[#This Row],[Excel Column - Label Overwrite]])&lt;&gt;"",meta_Columns[[#This Row],[Excel Column - Label Overwrite]],meta_Columns[[#This Row],[Excel Column - Label from Property or Referenced Table]])</f>
        <v>Class - Generalization</v>
      </c>
      <c r="BB71" s="43" t="s">
        <v>1521</v>
      </c>
      <c r="BC71" s="44" t="str">
        <f>IF(meta_Columns[[#This Row],[Excel Column - Explicit Excel Formula]]="","",meta_Columns[[#This Row],[Excel Column - Explicit Excel Formula]])</f>
        <v>Formula:= IF( TRIM( [@[Class - Generalization:src]] ) = "", "",
        INDEX( [Display Qualified], MATCH( [@[Class - Generalization:src]], [ID], 0 ) ) )</v>
      </c>
      <c r="BD71" s="5" t="s">
        <v>1461</v>
      </c>
      <c r="BE71" s="5"/>
    </row>
    <row r="72" spans="1:57">
      <c r="A72" s="10" t="s">
        <v>1392</v>
      </c>
      <c r="B72" s="11" t="s">
        <v>546</v>
      </c>
      <c r="C72" s="22" t="str">
        <f xml:space="preserve"> IF( TRIM( meta_Columns[[#This Row],[Kind:src]] ) = "", "",
        INDEX( meta_Classifiers[Display Qualified], MATCH( meta_Columns[[#This Row],[Kind:src]], meta_Classifiers[ID], 0 ) ) )</f>
        <v>ExcelColumn</v>
      </c>
      <c r="D72" s="44" t="str">
        <f>IF(meta_Columns[[#This Row],[Owning Table:src]]="","",INDEX(meta_Classifiers[Package],MATCH(meta_Columns[[#This Row],[Owning Table Instances Class]],meta_Classifiers[ID],0)))</f>
        <v>meta</v>
      </c>
      <c r="E72" s="43"/>
      <c r="F72" s="8" t="str">
        <f>INDEX(meta_Tables[Excel Table - Excel Name],MATCH(meta_Columns[[#This Row],[Owning Table:src]],meta_Tables[ID],0))</f>
        <v>meta_Classifiers</v>
      </c>
      <c r="G72" s="44" t="str">
        <f>INDEX(meta_Tables[Instances Class:src],MATCH(meta_Columns[[#This Row],[Owning Table:src]],meta_Tables[ID],0))</f>
        <v>_Classifier</v>
      </c>
      <c r="H72" s="11" t="s">
        <v>1010</v>
      </c>
      <c r="I72" s="43" t="str">
        <f xml:space="preserve"> IF( TRIM( meta_Columns[[#This Row],[Owning Table:src]] ) = "", "",
        INDEX( meta_Tables[Display Qualified], MATCH( meta_Columns[[#This Row],[Owning Table:src]], meta_Tables[ID], 0 ) ) )</f>
        <v>meta::Classifiers</v>
      </c>
      <c r="K72" s="22" t="str">
        <f>IF(TRIM(meta_Columns[[#This Row],[Referenced Table:src]])="","",
    INDEX(meta_Tables[Display Qualified],MATCH(meta_Columns[[#This Row],[Referenced Table:src]],meta_Tables[ID],0)))</f>
        <v/>
      </c>
      <c r="L72" s="8"/>
      <c r="M72" s="22" t="str">
        <f xml:space="preserve"> IF( TRIM( meta_Columns[[#This Row],[Referenced Table Display and Select Column:src]] ) = "", "",
        INDEX( meta_Columns[Display Qualified], MATCH( meta_Columns[[#This Row],[Referenced Table Display and Select Column:src]], meta_Columns[ID], 0 ) ) )</f>
        <v/>
      </c>
      <c r="N72" s="8" t="str">
        <f>IF(meta_Columns[[#This Row],[Excel Column - Excel Formula]]="","x","")</f>
        <v>x</v>
      </c>
      <c r="O72" s="22"/>
      <c r="P72" s="8" t="str">
        <f>IF(meta_Columns[[#This Row],[Referenced Table:src]]="","",INDEX(meta_Tables[Instances Class],MATCH(meta_Columns[[#This Row],[Referenced Table:src]],meta_Tables[ID],0)))</f>
        <v/>
      </c>
      <c r="Q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2" s="8" t="s">
        <v>479</v>
      </c>
      <c r="S72" s="22" t="str">
        <f xml:space="preserve"> IF( TRIM( meta_Columns[[#This Row],[Property:src]] ) = "", "",
        INDEX( meta_TypedModelElements[Display Qualified], MATCH( meta_Columns[[#This Row],[Property:src]], meta_TypedModelElements[ID], 0 ) ) )</f>
        <v>meta::Object.definition</v>
      </c>
      <c r="T72" s="22"/>
      <c r="U72" s="8" t="e">
        <f>INDEX(meta_Classifiers[Class - Generalization:src], MATCH(meta_Columns[[#This Row],[Generalization 5]],meta_Classifiers[ID],0))</f>
        <v>#N/A</v>
      </c>
      <c r="V72" s="8" t="e">
        <f>INDEX(meta_Classifiers[Class - Generalization:src], MATCH(meta_Columns[[#This Row],[Generalization 4]],meta_Classifiers[ID],0))</f>
        <v>#N/A</v>
      </c>
      <c r="W72" s="8" t="e">
        <f>INDEX(meta_Classifiers[Class - Generalization:src], MATCH(meta_Columns[[#This Row],[Generalization 3]],meta_Classifiers[ID],0))</f>
        <v>#N/A</v>
      </c>
      <c r="X72" s="8" t="str">
        <f>INDEX(meta_Classifiers[Class - Generalization:src], MATCH(meta_Columns[[#This Row],[Generalization 2]],meta_Classifiers[ID],0))</f>
        <v/>
      </c>
      <c r="Y72" s="8" t="str">
        <f>INDEX(meta_Classifiers[Class - Generalization:src], MATCH(meta_Columns[[#This Row],[Generalization 1]],meta_Classifiers[ID],0))</f>
        <v>_Object</v>
      </c>
      <c r="Z72" s="8" t="str">
        <f>INDEX(meta_Classifiers[Class - Generalization:src], MATCH(meta_Columns[[#This Row],[Owning Table Instances Class]],meta_Classifiers[ID],0))</f>
        <v>_NamedElement</v>
      </c>
      <c r="AA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2" s="8" t="b">
        <f>_xlfn.IFNA(
INDEX(meta_Classifiers[Class - Generalization:src],MATCH(
INDEX(meta_Classifiers[Class - Generalization:src],MATCH(meta_Columns[[#This Row],[Property Owning Class]],meta_Classifiers[ID],0)),meta_Classifiers[ID],0))
=meta_Columns[[#This Row],[Owning Table Instances Class]],FALSE)</f>
        <v>0</v>
      </c>
      <c r="AG72" s="8" t="b">
        <f>_xlfn.IFNA(INDEX(meta_Classifiers[Class - Generalization:src],MATCH(meta_Columns[[#This Row],[Property Owning Class]],meta_Classifiers[ID],0))=meta_Columns[[#This Row],[Owning Table Instances Class]],FALSE)</f>
        <v>0</v>
      </c>
      <c r="AH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2" s="8" t="str">
        <f>INDEX(meta_Classifiers[Name],MATCH(INDEX(meta_TypedModelElements[Property - Owning Class:src],MATCH(meta_Columns[[#This Row],[Property]],meta_TypedModelElements[ID],0)),meta_Classifiers[ID],0))</f>
        <v>Object</v>
      </c>
      <c r="AJ72" s="8" t="str">
        <f>INDEX(meta_TypedModelElements[Property - Owning Class:src],MATCH(meta_Columns[[#This Row],[Property]],meta_TypedModelElements[ID],0))</f>
        <v>_Object</v>
      </c>
      <c r="AK72" s="8" t="str">
        <f>INDEX(meta_TypedModelElements[Kind:src],MATCH(meta_Columns[[#This Row],[Property]],meta_TypedModelElements[ID],0))</f>
        <v>_Attribute</v>
      </c>
      <c r="AL72" s="8" t="str">
        <f>INDEX(meta_TypedModelElements[Name or Type],MATCH(meta_Columns[[#This Row],[Property]],meta_TypedModelElements[ID],0))</f>
        <v>Definition</v>
      </c>
      <c r="AM72" s="8" t="str">
        <f>INDEX(meta_TypedModelElements[Property - Changeable],MATCH(meta_Columns[[#This Row],[Property]],meta_TypedModelElements[ID],0))</f>
        <v>x</v>
      </c>
      <c r="AN72" s="43">
        <v>14</v>
      </c>
      <c r="AO72" s="22">
        <v>9</v>
      </c>
      <c r="AP7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Definition</v>
      </c>
      <c r="AQ72" s="8" t="str">
        <f xml:space="preserve"> IF(meta_Columns[[#This Row],[Property Owning Class is Specialization of Instance Class]],meta_Columns[[#This Row],[Property Owning Class Name]]&amp;" - ","")</f>
        <v/>
      </c>
      <c r="AR7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Definition:</v>
      </c>
      <c r="AS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2" s="8" t="str">
        <f>IFERROR(LEFT(meta_Columns[[#This Row],[Excel Column - Label Actual without Semantic Case]],FIND("-",
meta_Columns[[#This Row],[Excel Column - Label Actual without Semantic Case]])-2),"")</f>
        <v>Class</v>
      </c>
      <c r="AU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v>
      </c>
      <c r="AX72" s="22"/>
      <c r="AY72" s="8" t="str">
        <f>meta_Columns[[#This Row],[Owning Table]]&amp;"."&amp;meta_Columns[[#This Row],[Excel Column - Label]]</f>
        <v>meta::Classifiers.Definition</v>
      </c>
      <c r="AZ72" s="22" t="s">
        <v>84</v>
      </c>
      <c r="BA72" s="44" t="str">
        <f>IF(TRIM(meta_Columns[[#This Row],[Excel Column - Label Overwrite]])&lt;&gt;"",meta_Columns[[#This Row],[Excel Column - Label Overwrite]],meta_Columns[[#This Row],[Excel Column - Label from Property or Referenced Table]])</f>
        <v>Definition</v>
      </c>
      <c r="BB72" s="43"/>
      <c r="BC72" s="44" t="str">
        <f>IF(meta_Columns[[#This Row],[Excel Column - Explicit Excel Formula]]="","",meta_Columns[[#This Row],[Excel Column - Explicit Excel Formula]])</f>
        <v/>
      </c>
      <c r="BD72" s="5"/>
      <c r="BE72" s="5"/>
    </row>
    <row r="73" spans="1:57">
      <c r="A73" s="10" t="s">
        <v>1393</v>
      </c>
      <c r="B73" s="11" t="s">
        <v>546</v>
      </c>
      <c r="C73" s="22" t="str">
        <f xml:space="preserve"> IF( TRIM( meta_Columns[[#This Row],[Kind:src]] ) = "", "",
        INDEX( meta_Classifiers[Display Qualified], MATCH( meta_Columns[[#This Row],[Kind:src]], meta_Classifiers[ID], 0 ) ) )</f>
        <v>ExcelColumn</v>
      </c>
      <c r="D73" s="44" t="str">
        <f>IF(meta_Columns[[#This Row],[Owning Table:src]]="","",INDEX(meta_Classifiers[Package],MATCH(meta_Columns[[#This Row],[Owning Table Instances Class]],meta_Classifiers[ID],0)))</f>
        <v>meta</v>
      </c>
      <c r="E73" s="43"/>
      <c r="F73" s="8" t="str">
        <f>INDEX(meta_Tables[Excel Table - Excel Name],MATCH(meta_Columns[[#This Row],[Owning Table:src]],meta_Tables[ID],0))</f>
        <v>meta_Classifiers</v>
      </c>
      <c r="G73" s="44" t="str">
        <f>INDEX(meta_Tables[Instances Class:src],MATCH(meta_Columns[[#This Row],[Owning Table:src]],meta_Tables[ID],0))</f>
        <v>_Classifier</v>
      </c>
      <c r="H73" s="11" t="s">
        <v>1010</v>
      </c>
      <c r="I73" s="43" t="str">
        <f xml:space="preserve"> IF( TRIM( meta_Columns[[#This Row],[Owning Table:src]] ) = "", "",
        INDEX( meta_Tables[Display Qualified], MATCH( meta_Columns[[#This Row],[Owning Table:src]], meta_Tables[ID], 0 ) ) )</f>
        <v>meta::Classifiers</v>
      </c>
      <c r="K73" s="22" t="str">
        <f>IF(TRIM(meta_Columns[[#This Row],[Referenced Table:src]])="","",
    INDEX(meta_Tables[Display Qualified],MATCH(meta_Columns[[#This Row],[Referenced Table:src]],meta_Tables[ID],0)))</f>
        <v/>
      </c>
      <c r="L73" s="8"/>
      <c r="M73" s="22" t="str">
        <f xml:space="preserve"> IF( TRIM( meta_Columns[[#This Row],[Referenced Table Display and Select Column:src]] ) = "", "",
        INDEX( meta_Columns[Display Qualified], MATCH( meta_Columns[[#This Row],[Referenced Table Display and Select Column:src]], meta_Columns[ID], 0 ) ) )</f>
        <v/>
      </c>
      <c r="N73" s="8" t="str">
        <f>IF(meta_Columns[[#This Row],[Excel Column - Excel Formula]]="","x","")</f>
        <v/>
      </c>
      <c r="O73" s="22"/>
      <c r="P73" s="8" t="str">
        <f>IF(meta_Columns[[#This Row],[Referenced Table:src]]="","",INDEX(meta_Tables[Instances Class],MATCH(meta_Columns[[#This Row],[Referenced Table:src]],meta_Tables[ID],0)))</f>
        <v/>
      </c>
      <c r="Q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3" s="8" t="s">
        <v>803</v>
      </c>
      <c r="S73" s="22" t="str">
        <f xml:space="preserve"> IF( TRIM( meta_Columns[[#This Row],[Property:src]] ) = "", "",
        INDEX( meta_TypedModelElements[Display Qualified], MATCH( meta_Columns[[#This Row],[Property:src]], meta_TypedModelElements[ID], 0 ) ) )</f>
        <v>meta::Class.displayProperty</v>
      </c>
      <c r="T73" s="22" t="s">
        <v>42</v>
      </c>
      <c r="U73" s="8" t="e">
        <f>INDEX(meta_Classifiers[Class - Generalization:src], MATCH(meta_Columns[[#This Row],[Generalization 5]],meta_Classifiers[ID],0))</f>
        <v>#N/A</v>
      </c>
      <c r="V73" s="8" t="e">
        <f>INDEX(meta_Classifiers[Class - Generalization:src], MATCH(meta_Columns[[#This Row],[Generalization 4]],meta_Classifiers[ID],0))</f>
        <v>#N/A</v>
      </c>
      <c r="W73" s="8" t="e">
        <f>INDEX(meta_Classifiers[Class - Generalization:src], MATCH(meta_Columns[[#This Row],[Generalization 3]],meta_Classifiers[ID],0))</f>
        <v>#N/A</v>
      </c>
      <c r="X73" s="8" t="str">
        <f>INDEX(meta_Classifiers[Class - Generalization:src], MATCH(meta_Columns[[#This Row],[Generalization 2]],meta_Classifiers[ID],0))</f>
        <v/>
      </c>
      <c r="Y73" s="8" t="str">
        <f>INDEX(meta_Classifiers[Class - Generalization:src], MATCH(meta_Columns[[#This Row],[Generalization 1]],meta_Classifiers[ID],0))</f>
        <v>_Object</v>
      </c>
      <c r="Z73" s="8" t="str">
        <f>INDEX(meta_Classifiers[Class - Generalization:src], MATCH(meta_Columns[[#This Row],[Owning Table Instances Class]],meta_Classifiers[ID],0))</f>
        <v>_NamedElement</v>
      </c>
      <c r="AA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3" s="8" t="b">
        <f>_xlfn.IFNA(
INDEX(meta_Classifiers[Class - Generalization:src],MATCH(
INDEX(meta_Classifiers[Class - Generalization:src],MATCH(meta_Columns[[#This Row],[Property Owning Class]],meta_Classifiers[ID],0)),meta_Classifiers[ID],0))
=meta_Columns[[#This Row],[Owning Table Instances Class]],FALSE)</f>
        <v>0</v>
      </c>
      <c r="AG73" s="8" t="b">
        <f>_xlfn.IFNA(INDEX(meta_Classifiers[Class - Generalization:src],MATCH(meta_Columns[[#This Row],[Property Owning Class]],meta_Classifiers[ID],0))=meta_Columns[[#This Row],[Owning Table Instances Class]],FALSE)</f>
        <v>1</v>
      </c>
      <c r="AH7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3" s="8" t="str">
        <f>INDEX(meta_Classifiers[Name],MATCH(INDEX(meta_TypedModelElements[Property - Owning Class:src],MATCH(meta_Columns[[#This Row],[Property]],meta_TypedModelElements[ID],0)),meta_Classifiers[ID],0))</f>
        <v>Class</v>
      </c>
      <c r="AJ73" s="8" t="str">
        <f>INDEX(meta_TypedModelElements[Property - Owning Class:src],MATCH(meta_Columns[[#This Row],[Property]],meta_TypedModelElements[ID],0))</f>
        <v>_Class</v>
      </c>
      <c r="AK73" s="8" t="str">
        <f>INDEX(meta_TypedModelElements[Kind:src],MATCH(meta_Columns[[#This Row],[Property]],meta_TypedModelElements[ID],0))</f>
        <v>_Reference</v>
      </c>
      <c r="AL73" s="8" t="str">
        <f>INDEX(meta_TypedModelElements[Name or Type],MATCH(meta_Columns[[#This Row],[Property]],meta_TypedModelElements[ID],0))</f>
        <v>Display Property</v>
      </c>
      <c r="AM73" s="8">
        <f>INDEX(meta_TypedModelElements[Property - Changeable],MATCH(meta_Columns[[#This Row],[Property]],meta_TypedModelElements[ID],0))</f>
        <v>0</v>
      </c>
      <c r="AN73" s="43">
        <v>15</v>
      </c>
      <c r="AO73" s="22"/>
      <c r="AP7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Property:src</v>
      </c>
      <c r="AQ73" s="8" t="str">
        <f xml:space="preserve"> IF(meta_Columns[[#This Row],[Property Owning Class is Specialization of Instance Class]],meta_Columns[[#This Row],[Property Owning Class Name]]&amp;" - ","")</f>
        <v xml:space="preserve">Class - </v>
      </c>
      <c r="AR7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Property:src</v>
      </c>
      <c r="AS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73" s="8" t="str">
        <f>IFERROR(LEFT(meta_Columns[[#This Row],[Excel Column - Label Actual without Semantic Case]],FIND("-",
meta_Columns[[#This Row],[Excel Column - Label Actual without Semantic Case]])-2),"")</f>
        <v/>
      </c>
      <c r="AU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73" s="22"/>
      <c r="AY73" s="8" t="str">
        <f>meta_Columns[[#This Row],[Owning Table]]&amp;"."&amp;meta_Columns[[#This Row],[Excel Column - Label]]</f>
        <v>meta::Classifiers.Class - Display Property:src</v>
      </c>
      <c r="AZ73" s="22" t="s">
        <v>1002</v>
      </c>
      <c r="BA73" s="44" t="str">
        <f>IF(TRIM(meta_Columns[[#This Row],[Excel Column - Label Overwrite]])&lt;&gt;"",meta_Columns[[#This Row],[Excel Column - Label Overwrite]],meta_Columns[[#This Row],[Excel Column - Label from Property or Referenced Table]])</f>
        <v>Class - Display Property:src</v>
      </c>
      <c r="BB73" s="43" t="s">
        <v>1394</v>
      </c>
      <c r="BC73" s="44" t="str">
        <f>IF(meta_Columns[[#This Row],[Excel Column - Explicit Excel Formula]]="","",meta_Columns[[#This Row],[Excel Column - Explicit Excel Formula]])</f>
        <v>Formula:=IF([@[Class - Display Property:srcLastSaved]]&lt;&gt;"", [@[Class - Display Property:srcLastSaved]],
   IF([@[Class - Display Property]]="","",
      INDEX(meta_TypedModelElements[ID],
         MATCH([@[Class - Display Property]],meta_TypedModelElements[Display Qualified],0))))</v>
      </c>
      <c r="BD73" s="5"/>
      <c r="BE73" s="5"/>
    </row>
    <row r="74" spans="1:57">
      <c r="A74" s="10" t="s">
        <v>1395</v>
      </c>
      <c r="B74" s="11" t="s">
        <v>546</v>
      </c>
      <c r="C74" s="22" t="str">
        <f xml:space="preserve"> IF( TRIM( meta_Columns[[#This Row],[Kind:src]] ) = "", "",
        INDEX( meta_Classifiers[Display Qualified], MATCH( meta_Columns[[#This Row],[Kind:src]], meta_Classifiers[ID], 0 ) ) )</f>
        <v>ExcelColumn</v>
      </c>
      <c r="D74" s="44" t="str">
        <f>IF(meta_Columns[[#This Row],[Owning Table:src]]="","",INDEX(meta_Classifiers[Package],MATCH(meta_Columns[[#This Row],[Owning Table Instances Class]],meta_Classifiers[ID],0)))</f>
        <v>meta</v>
      </c>
      <c r="E74" s="43"/>
      <c r="F74" s="8" t="str">
        <f>INDEX(meta_Tables[Excel Table - Excel Name],MATCH(meta_Columns[[#This Row],[Owning Table:src]],meta_Tables[ID],0))</f>
        <v>meta_Classifiers</v>
      </c>
      <c r="G74" s="44" t="str">
        <f>INDEX(meta_Tables[Instances Class:src],MATCH(meta_Columns[[#This Row],[Owning Table:src]],meta_Tables[ID],0))</f>
        <v>_Classifier</v>
      </c>
      <c r="H74" s="11" t="s">
        <v>1010</v>
      </c>
      <c r="I74" s="43" t="str">
        <f xml:space="preserve"> IF( TRIM( meta_Columns[[#This Row],[Owning Table:src]] ) = "", "",
        INDEX( meta_Tables[Display Qualified], MATCH( meta_Columns[[#This Row],[Owning Table:src]], meta_Tables[ID], 0 ) ) )</f>
        <v>meta::Classifiers</v>
      </c>
      <c r="K74" s="22" t="str">
        <f>IF(TRIM(meta_Columns[[#This Row],[Referenced Table:src]])="","",
    INDEX(meta_Tables[Display Qualified],MATCH(meta_Columns[[#This Row],[Referenced Table:src]],meta_Tables[ID],0)))</f>
        <v/>
      </c>
      <c r="L74" s="8"/>
      <c r="M74" s="22" t="str">
        <f xml:space="preserve"> IF( TRIM( meta_Columns[[#This Row],[Referenced Table Display and Select Column:src]] ) = "", "",
        INDEX( meta_Columns[Display Qualified], MATCH( meta_Columns[[#This Row],[Referenced Table Display and Select Column:src]], meta_Columns[ID], 0 ) ) )</f>
        <v/>
      </c>
      <c r="N74" s="8" t="str">
        <f>IF(meta_Columns[[#This Row],[Excel Column - Excel Formula]]="","x","")</f>
        <v>x</v>
      </c>
      <c r="O74" s="22"/>
      <c r="P74" s="8" t="str">
        <f>IF(meta_Columns[[#This Row],[Referenced Table:src]]="","",INDEX(meta_Tables[Instances Class],MATCH(meta_Columns[[#This Row],[Referenced Table:src]],meta_Tables[ID],0)))</f>
        <v/>
      </c>
      <c r="Q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4" s="8" t="s">
        <v>803</v>
      </c>
      <c r="S74" s="22" t="str">
        <f xml:space="preserve"> IF( TRIM( meta_Columns[[#This Row],[Property:src]] ) = "", "",
        INDEX( meta_TypedModelElements[Display Qualified], MATCH( meta_Columns[[#This Row],[Property:src]], meta_TypedModelElements[ID], 0 ) ) )</f>
        <v>meta::Class.displayProperty</v>
      </c>
      <c r="T74" s="22"/>
      <c r="U74" s="8" t="e">
        <f>INDEX(meta_Classifiers[Class - Generalization:src], MATCH(meta_Columns[[#This Row],[Generalization 5]],meta_Classifiers[ID],0))</f>
        <v>#N/A</v>
      </c>
      <c r="V74" s="8" t="e">
        <f>INDEX(meta_Classifiers[Class - Generalization:src], MATCH(meta_Columns[[#This Row],[Generalization 4]],meta_Classifiers[ID],0))</f>
        <v>#N/A</v>
      </c>
      <c r="W74" s="8" t="e">
        <f>INDEX(meta_Classifiers[Class - Generalization:src], MATCH(meta_Columns[[#This Row],[Generalization 3]],meta_Classifiers[ID],0))</f>
        <v>#N/A</v>
      </c>
      <c r="X74" s="8" t="str">
        <f>INDEX(meta_Classifiers[Class - Generalization:src], MATCH(meta_Columns[[#This Row],[Generalization 2]],meta_Classifiers[ID],0))</f>
        <v/>
      </c>
      <c r="Y74" s="8" t="str">
        <f>INDEX(meta_Classifiers[Class - Generalization:src], MATCH(meta_Columns[[#This Row],[Generalization 1]],meta_Classifiers[ID],0))</f>
        <v>_Object</v>
      </c>
      <c r="Z74" s="8" t="str">
        <f>INDEX(meta_Classifiers[Class - Generalization:src], MATCH(meta_Columns[[#This Row],[Owning Table Instances Class]],meta_Classifiers[ID],0))</f>
        <v>_NamedElement</v>
      </c>
      <c r="AA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4" s="8" t="b">
        <f>_xlfn.IFNA(
INDEX(meta_Classifiers[Class - Generalization:src],MATCH(
INDEX(meta_Classifiers[Class - Generalization:src],MATCH(meta_Columns[[#This Row],[Property Owning Class]],meta_Classifiers[ID],0)),meta_Classifiers[ID],0))
=meta_Columns[[#This Row],[Owning Table Instances Class]],FALSE)</f>
        <v>0</v>
      </c>
      <c r="AG74" s="8" t="b">
        <f>_xlfn.IFNA(INDEX(meta_Classifiers[Class - Generalization:src],MATCH(meta_Columns[[#This Row],[Property Owning Class]],meta_Classifiers[ID],0))=meta_Columns[[#This Row],[Owning Table Instances Class]],FALSE)</f>
        <v>1</v>
      </c>
      <c r="AH74"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4" s="8" t="str">
        <f>INDEX(meta_Classifiers[Name],MATCH(INDEX(meta_TypedModelElements[Property - Owning Class:src],MATCH(meta_Columns[[#This Row],[Property]],meta_TypedModelElements[ID],0)),meta_Classifiers[ID],0))</f>
        <v>Class</v>
      </c>
      <c r="AJ74" s="8" t="str">
        <f>INDEX(meta_TypedModelElements[Property - Owning Class:src],MATCH(meta_Columns[[#This Row],[Property]],meta_TypedModelElements[ID],0))</f>
        <v>_Class</v>
      </c>
      <c r="AK74" s="8" t="str">
        <f>INDEX(meta_TypedModelElements[Kind:src],MATCH(meta_Columns[[#This Row],[Property]],meta_TypedModelElements[ID],0))</f>
        <v>_Reference</v>
      </c>
      <c r="AL74" s="8" t="str">
        <f>INDEX(meta_TypedModelElements[Name or Type],MATCH(meta_Columns[[#This Row],[Property]],meta_TypedModelElements[ID],0))</f>
        <v>Display Property</v>
      </c>
      <c r="AM74" s="8">
        <f>INDEX(meta_TypedModelElements[Property - Changeable],MATCH(meta_Columns[[#This Row],[Property]],meta_TypedModelElements[ID],0))</f>
        <v>0</v>
      </c>
      <c r="AN74" s="43">
        <v>16</v>
      </c>
      <c r="AO74" s="22">
        <v>11</v>
      </c>
      <c r="AP7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v>
      </c>
      <c r="AQ74" s="8" t="str">
        <f xml:space="preserve"> IF(meta_Columns[[#This Row],[Property Owning Class is Specialization of Instance Class]],meta_Columns[[#This Row],[Property Owning Class Name]]&amp;" - ","")</f>
        <v xml:space="preserve">Class - </v>
      </c>
      <c r="AR7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v>
      </c>
      <c r="AS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4" s="8" t="str">
        <f>IFERROR(LEFT(meta_Columns[[#This Row],[Excel Column - Label Actual without Semantic Case]],FIND("-",
meta_Columns[[#This Row],[Excel Column - Label Actual without Semantic Case]])-2),"")</f>
        <v>Class</v>
      </c>
      <c r="AU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Property:src</v>
      </c>
      <c r="AX74" s="22"/>
      <c r="AY74" s="8" t="str">
        <f>meta_Columns[[#This Row],[Owning Table]]&amp;"."&amp;meta_Columns[[#This Row],[Excel Column - Label]]</f>
        <v>meta::Classifiers.Class - Display Property</v>
      </c>
      <c r="AZ74" s="22" t="s">
        <v>798</v>
      </c>
      <c r="BA74" s="44" t="str">
        <f>IF(TRIM(meta_Columns[[#This Row],[Excel Column - Label Overwrite]])&lt;&gt;"",meta_Columns[[#This Row],[Excel Column - Label Overwrite]],meta_Columns[[#This Row],[Excel Column - Label from Property or Referenced Table]])</f>
        <v>Class - Display Property</v>
      </c>
      <c r="BB74" s="43"/>
      <c r="BC74" s="44" t="str">
        <f>IF(meta_Columns[[#This Row],[Excel Column - Explicit Excel Formula]]="","",meta_Columns[[#This Row],[Excel Column - Explicit Excel Formula]])</f>
        <v/>
      </c>
      <c r="BD74" s="5" t="s">
        <v>1464</v>
      </c>
      <c r="BE74" s="5"/>
    </row>
    <row r="75" spans="1:57">
      <c r="A75" s="10" t="s">
        <v>1396</v>
      </c>
      <c r="B75" s="11" t="s">
        <v>546</v>
      </c>
      <c r="C75" s="22" t="str">
        <f xml:space="preserve"> IF( TRIM( meta_Columns[[#This Row],[Kind:src]] ) = "", "",
        INDEX( meta_Classifiers[Display Qualified], MATCH( meta_Columns[[#This Row],[Kind:src]], meta_Classifiers[ID], 0 ) ) )</f>
        <v>ExcelColumn</v>
      </c>
      <c r="D75" s="44" t="str">
        <f>IF(meta_Columns[[#This Row],[Owning Table:src]]="","",INDEX(meta_Classifiers[Package],MATCH(meta_Columns[[#This Row],[Owning Table Instances Class]],meta_Classifiers[ID],0)))</f>
        <v>meta</v>
      </c>
      <c r="E75" s="43"/>
      <c r="F75" s="8" t="str">
        <f>INDEX(meta_Tables[Excel Table - Excel Name],MATCH(meta_Columns[[#This Row],[Owning Table:src]],meta_Tables[ID],0))</f>
        <v>meta_Classifiers</v>
      </c>
      <c r="G75" s="44" t="str">
        <f>INDEX(meta_Tables[Instances Class:src],MATCH(meta_Columns[[#This Row],[Owning Table:src]],meta_Tables[ID],0))</f>
        <v>_Classifier</v>
      </c>
      <c r="H75" s="11" t="s">
        <v>1010</v>
      </c>
      <c r="I75" s="43" t="str">
        <f xml:space="preserve"> IF( TRIM( meta_Columns[[#This Row],[Owning Table:src]] ) = "", "",
        INDEX( meta_Tables[Display Qualified], MATCH( meta_Columns[[#This Row],[Owning Table:src]], meta_Tables[ID], 0 ) ) )</f>
        <v>meta::Classifiers</v>
      </c>
      <c r="K75" s="22" t="str">
        <f>IF(TRIM(meta_Columns[[#This Row],[Referenced Table:src]])="","",
    INDEX(meta_Tables[Display Qualified],MATCH(meta_Columns[[#This Row],[Referenced Table:src]],meta_Tables[ID],0)))</f>
        <v/>
      </c>
      <c r="L75" s="8"/>
      <c r="M75" s="22" t="str">
        <f xml:space="preserve"> IF( TRIM( meta_Columns[[#This Row],[Referenced Table Display and Select Column:src]] ) = "", "",
        INDEX( meta_Columns[Display Qualified], MATCH( meta_Columns[[#This Row],[Referenced Table Display and Select Column:src]], meta_Columns[ID], 0 ) ) )</f>
        <v/>
      </c>
      <c r="N75" s="8" t="str">
        <f>IF(meta_Columns[[#This Row],[Excel Column - Excel Formula]]="","x","")</f>
        <v/>
      </c>
      <c r="O75" s="22"/>
      <c r="P75" s="8" t="str">
        <f>IF(meta_Columns[[#This Row],[Referenced Table:src]]="","",INDEX(meta_Tables[Instances Class],MATCH(meta_Columns[[#This Row],[Referenced Table:src]],meta_Tables[ID],0)))</f>
        <v/>
      </c>
      <c r="Q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5" s="8" t="s">
        <v>804</v>
      </c>
      <c r="S75" s="22" t="str">
        <f xml:space="preserve"> IF( TRIM( meta_Columns[[#This Row],[Property:src]] ) = "", "",
        INDEX( meta_TypedModelElements[Display Qualified], MATCH( meta_Columns[[#This Row],[Property:src]], meta_TypedModelElements[ID], 0 ) ) )</f>
        <v>meta::Class.businessID_Property</v>
      </c>
      <c r="T75" s="22"/>
      <c r="U75" s="8" t="e">
        <f>INDEX(meta_Classifiers[Class - Generalization:src], MATCH(meta_Columns[[#This Row],[Generalization 5]],meta_Classifiers[ID],0))</f>
        <v>#N/A</v>
      </c>
      <c r="V75" s="8" t="e">
        <f>INDEX(meta_Classifiers[Class - Generalization:src], MATCH(meta_Columns[[#This Row],[Generalization 4]],meta_Classifiers[ID],0))</f>
        <v>#N/A</v>
      </c>
      <c r="W75" s="8" t="e">
        <f>INDEX(meta_Classifiers[Class - Generalization:src], MATCH(meta_Columns[[#This Row],[Generalization 3]],meta_Classifiers[ID],0))</f>
        <v>#N/A</v>
      </c>
      <c r="X75" s="8" t="str">
        <f>INDEX(meta_Classifiers[Class - Generalization:src], MATCH(meta_Columns[[#This Row],[Generalization 2]],meta_Classifiers[ID],0))</f>
        <v/>
      </c>
      <c r="Y75" s="8" t="str">
        <f>INDEX(meta_Classifiers[Class - Generalization:src], MATCH(meta_Columns[[#This Row],[Generalization 1]],meta_Classifiers[ID],0))</f>
        <v>_Object</v>
      </c>
      <c r="Z75" s="8" t="str">
        <f>INDEX(meta_Classifiers[Class - Generalization:src], MATCH(meta_Columns[[#This Row],[Owning Table Instances Class]],meta_Classifiers[ID],0))</f>
        <v>_NamedElement</v>
      </c>
      <c r="AA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5" s="8" t="b">
        <f>_xlfn.IFNA(
INDEX(meta_Classifiers[Class - Generalization:src],MATCH(
INDEX(meta_Classifiers[Class - Generalization:src],MATCH(meta_Columns[[#This Row],[Property Owning Class]],meta_Classifiers[ID],0)),meta_Classifiers[ID],0))
=meta_Columns[[#This Row],[Owning Table Instances Class]],FALSE)</f>
        <v>0</v>
      </c>
      <c r="AG75" s="8" t="b">
        <f>_xlfn.IFNA(INDEX(meta_Classifiers[Class - Generalization:src],MATCH(meta_Columns[[#This Row],[Property Owning Class]],meta_Classifiers[ID],0))=meta_Columns[[#This Row],[Owning Table Instances Class]],FALSE)</f>
        <v>0</v>
      </c>
      <c r="AH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5" s="8" t="e">
        <f>INDEX(meta_Classifiers[Name],MATCH(INDEX(meta_TypedModelElements[Property - Owning Class:src],MATCH(meta_Columns[[#This Row],[Property]],meta_TypedModelElements[ID],0)),meta_Classifiers[ID],0))</f>
        <v>#N/A</v>
      </c>
      <c r="AJ75" s="8" t="e">
        <f>INDEX(meta_TypedModelElements[Property - Owning Class:src],MATCH(meta_Columns[[#This Row],[Property]],meta_TypedModelElements[ID],0))</f>
        <v>#N/A</v>
      </c>
      <c r="AK75" s="8" t="e">
        <f>INDEX(meta_TypedModelElements[Kind:src],MATCH(meta_Columns[[#This Row],[Property]],meta_TypedModelElements[ID],0))</f>
        <v>#N/A</v>
      </c>
      <c r="AL75" s="8" t="e">
        <f>INDEX(meta_TypedModelElements[Name or Type],MATCH(meta_Columns[[#This Row],[Property]],meta_TypedModelElements[ID],0))</f>
        <v>#N/A</v>
      </c>
      <c r="AM75" s="8" t="e">
        <f>INDEX(meta_TypedModelElements[Property - Changeable],MATCH(meta_Columns[[#This Row],[Property]],meta_TypedModelElements[ID],0))</f>
        <v>#N/A</v>
      </c>
      <c r="AN75" s="43">
        <v>17</v>
      </c>
      <c r="AO75" s="22"/>
      <c r="AP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75" s="8" t="str">
        <f xml:space="preserve"> IF(meta_Columns[[#This Row],[Property Owning Class is Specialization of Instance Class]],meta_Columns[[#This Row],[Property Owning Class Name]]&amp;" - ","")</f>
        <v/>
      </c>
      <c r="AR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5" s="8" t="str">
        <f>IFERROR(LEFT(meta_Columns[[#This Row],[Excel Column - Label Actual without Semantic Case]],FIND("-",
meta_Columns[[#This Row],[Excel Column - Label Actual without Semantic Case]])-2),"")</f>
        <v>Class</v>
      </c>
      <c r="AU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v>
      </c>
      <c r="AX75" s="22"/>
      <c r="AY75" s="8" t="str">
        <f>meta_Columns[[#This Row],[Owning Table]]&amp;"."&amp;meta_Columns[[#This Row],[Excel Column - Label]]</f>
        <v>meta::Classifiers.Class - Business ID Property:src</v>
      </c>
      <c r="AZ75" s="22" t="s">
        <v>800</v>
      </c>
      <c r="BA75" s="44" t="str">
        <f>IF(TRIM(meta_Columns[[#This Row],[Excel Column - Label Overwrite]])&lt;&gt;"",meta_Columns[[#This Row],[Excel Column - Label Overwrite]],meta_Columns[[#This Row],[Excel Column - Label from Property or Referenced Table]])</f>
        <v>Class - Business ID Property:src</v>
      </c>
      <c r="BB75" s="43" t="s">
        <v>1397</v>
      </c>
      <c r="BC75" s="44" t="str">
        <f>IF(meta_Columns[[#This Row],[Excel Column - Explicit Excel Formula]]="","",meta_Columns[[#This Row],[Excel Column - Explicit Excel Formula]])</f>
        <v>Formula:=IF([@[Class - Business ID Property:srcLastSaved]]&lt;&gt;"", [@[Class - Business ID Property:srcLastSaved]],
   IF([@[Class - Business ID Property]]="","",
      INDEX(meta_TypedModelElements[ID],
         MATCH([@[Class - Business ID Property]],meta_TypedModelElements[Display Qualified],0))))</v>
      </c>
      <c r="BD75" s="5"/>
      <c r="BE75" s="5"/>
    </row>
    <row r="76" spans="1:57">
      <c r="A76" s="10" t="s">
        <v>1398</v>
      </c>
      <c r="B76" s="11" t="s">
        <v>546</v>
      </c>
      <c r="C76" s="22" t="str">
        <f xml:space="preserve"> IF( TRIM( meta_Columns[[#This Row],[Kind:src]] ) = "", "",
        INDEX( meta_Classifiers[Display Qualified], MATCH( meta_Columns[[#This Row],[Kind:src]], meta_Classifiers[ID], 0 ) ) )</f>
        <v>ExcelColumn</v>
      </c>
      <c r="D76" s="44" t="str">
        <f>IF(meta_Columns[[#This Row],[Owning Table:src]]="","",INDEX(meta_Classifiers[Package],MATCH(meta_Columns[[#This Row],[Owning Table Instances Class]],meta_Classifiers[ID],0)))</f>
        <v>meta</v>
      </c>
      <c r="E76" s="43"/>
      <c r="F76" s="8" t="str">
        <f>INDEX(meta_Tables[Excel Table - Excel Name],MATCH(meta_Columns[[#This Row],[Owning Table:src]],meta_Tables[ID],0))</f>
        <v>meta_Classifiers</v>
      </c>
      <c r="G76" s="44" t="str">
        <f>INDEX(meta_Tables[Instances Class:src],MATCH(meta_Columns[[#This Row],[Owning Table:src]],meta_Tables[ID],0))</f>
        <v>_Classifier</v>
      </c>
      <c r="H76" s="11" t="s">
        <v>1010</v>
      </c>
      <c r="I76" s="43" t="str">
        <f xml:space="preserve"> IF( TRIM( meta_Columns[[#This Row],[Owning Table:src]] ) = "", "",
        INDEX( meta_Tables[Display Qualified], MATCH( meta_Columns[[#This Row],[Owning Table:src]], meta_Tables[ID], 0 ) ) )</f>
        <v>meta::Classifiers</v>
      </c>
      <c r="K76" s="22" t="str">
        <f>IF(TRIM(meta_Columns[[#This Row],[Referenced Table:src]])="","",
    INDEX(meta_Tables[Display Qualified],MATCH(meta_Columns[[#This Row],[Referenced Table:src]],meta_Tables[ID],0)))</f>
        <v/>
      </c>
      <c r="L76" s="8"/>
      <c r="M76" s="22" t="str">
        <f xml:space="preserve"> IF( TRIM( meta_Columns[[#This Row],[Referenced Table Display and Select Column:src]] ) = "", "",
        INDEX( meta_Columns[Display Qualified], MATCH( meta_Columns[[#This Row],[Referenced Table Display and Select Column:src]], meta_Columns[ID], 0 ) ) )</f>
        <v/>
      </c>
      <c r="N76" s="8" t="str">
        <f>IF(meta_Columns[[#This Row],[Excel Column - Excel Formula]]="","x","")</f>
        <v>x</v>
      </c>
      <c r="O76" s="22"/>
      <c r="P76" s="8" t="str">
        <f>IF(meta_Columns[[#This Row],[Referenced Table:src]]="","",INDEX(meta_Tables[Instances Class],MATCH(meta_Columns[[#This Row],[Referenced Table:src]],meta_Tables[ID],0)))</f>
        <v/>
      </c>
      <c r="Q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6" s="8" t="s">
        <v>250</v>
      </c>
      <c r="S76" s="22" t="str">
        <f xml:space="preserve"> IF( TRIM( meta_Columns[[#This Row],[Property:src]] ) = "", "",
        INDEX( meta_TypedModelElements[Display Qualified], MATCH( meta_Columns[[#This Row],[Property:src]], meta_TypedModelElements[ID], 0 ) ) )</f>
        <v>meta::Class.abstract</v>
      </c>
      <c r="T76" s="22"/>
      <c r="U76" s="8" t="e">
        <f>INDEX(meta_Classifiers[Class - Generalization:src], MATCH(meta_Columns[[#This Row],[Generalization 5]],meta_Classifiers[ID],0))</f>
        <v>#N/A</v>
      </c>
      <c r="V76" s="8" t="e">
        <f>INDEX(meta_Classifiers[Class - Generalization:src], MATCH(meta_Columns[[#This Row],[Generalization 4]],meta_Classifiers[ID],0))</f>
        <v>#N/A</v>
      </c>
      <c r="W76" s="8" t="e">
        <f>INDEX(meta_Classifiers[Class - Generalization:src], MATCH(meta_Columns[[#This Row],[Generalization 3]],meta_Classifiers[ID],0))</f>
        <v>#N/A</v>
      </c>
      <c r="X76" s="8" t="str">
        <f>INDEX(meta_Classifiers[Class - Generalization:src], MATCH(meta_Columns[[#This Row],[Generalization 2]],meta_Classifiers[ID],0))</f>
        <v/>
      </c>
      <c r="Y76" s="8" t="str">
        <f>INDEX(meta_Classifiers[Class - Generalization:src], MATCH(meta_Columns[[#This Row],[Generalization 1]],meta_Classifiers[ID],0))</f>
        <v>_Object</v>
      </c>
      <c r="Z76" s="8" t="str">
        <f>INDEX(meta_Classifiers[Class - Generalization:src], MATCH(meta_Columns[[#This Row],[Owning Table Instances Class]],meta_Classifiers[ID],0))</f>
        <v>_NamedElement</v>
      </c>
      <c r="AA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6" s="8" t="b">
        <f>_xlfn.IFNA(
INDEX(meta_Classifiers[Class - Generalization:src],MATCH(
INDEX(meta_Classifiers[Class - Generalization:src],MATCH(meta_Columns[[#This Row],[Property Owning Class]],meta_Classifiers[ID],0)),meta_Classifiers[ID],0))
=meta_Columns[[#This Row],[Owning Table Instances Class]],FALSE)</f>
        <v>0</v>
      </c>
      <c r="AG76" s="8" t="b">
        <f>_xlfn.IFNA(INDEX(meta_Classifiers[Class - Generalization:src],MATCH(meta_Columns[[#This Row],[Property Owning Class]],meta_Classifiers[ID],0))=meta_Columns[[#This Row],[Owning Table Instances Class]],FALSE)</f>
        <v>1</v>
      </c>
      <c r="AH76"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6" s="8" t="str">
        <f>INDEX(meta_Classifiers[Name],MATCH(INDEX(meta_TypedModelElements[Property - Owning Class:src],MATCH(meta_Columns[[#This Row],[Property]],meta_TypedModelElements[ID],0)),meta_Classifiers[ID],0))</f>
        <v>Class</v>
      </c>
      <c r="AJ76" s="8" t="str">
        <f>INDEX(meta_TypedModelElements[Property - Owning Class:src],MATCH(meta_Columns[[#This Row],[Property]],meta_TypedModelElements[ID],0))</f>
        <v>_Class</v>
      </c>
      <c r="AK76" s="8" t="str">
        <f>INDEX(meta_TypedModelElements[Kind:src],MATCH(meta_Columns[[#This Row],[Property]],meta_TypedModelElements[ID],0))</f>
        <v>_Attribute</v>
      </c>
      <c r="AL76" s="8" t="str">
        <f>INDEX(meta_TypedModelElements[Name or Type],MATCH(meta_Columns[[#This Row],[Property]],meta_TypedModelElements[ID],0))</f>
        <v>Abstract</v>
      </c>
      <c r="AM76" s="8" t="str">
        <f>INDEX(meta_TypedModelElements[Property - Changeable],MATCH(meta_Columns[[#This Row],[Property]],meta_TypedModelElements[ID],0))</f>
        <v>x</v>
      </c>
      <c r="AN76" s="43">
        <v>18</v>
      </c>
      <c r="AO76" s="22">
        <v>13</v>
      </c>
      <c r="AP7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76" s="8" t="str">
        <f xml:space="preserve"> IF(meta_Columns[[#This Row],[Property Owning Class is Specialization of Instance Class]],meta_Columns[[#This Row],[Property Owning Class Name]]&amp;" - ","")</f>
        <v xml:space="preserve">Class - </v>
      </c>
      <c r="AR7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ID Property</v>
      </c>
      <c r="AT76" s="8" t="str">
        <f>IFERROR(LEFT(meta_Columns[[#This Row],[Excel Column - Label Actual without Semantic Case]],FIND("-",
meta_Columns[[#This Row],[Excel Column - Label Actual without Semantic Case]])-2),"")</f>
        <v>Class</v>
      </c>
      <c r="AU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Business ID Property</v>
      </c>
      <c r="AV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Business ID Property:src</v>
      </c>
      <c r="AX76" s="22"/>
      <c r="AY76" s="8" t="str">
        <f>meta_Columns[[#This Row],[Owning Table]]&amp;"."&amp;meta_Columns[[#This Row],[Excel Column - Label]]</f>
        <v>meta::Classifiers.Class - Business ID Property</v>
      </c>
      <c r="AZ76" s="22" t="s">
        <v>799</v>
      </c>
      <c r="BA76" s="44" t="str">
        <f>IF(TRIM(meta_Columns[[#This Row],[Excel Column - Label Overwrite]])&lt;&gt;"",meta_Columns[[#This Row],[Excel Column - Label Overwrite]],meta_Columns[[#This Row],[Excel Column - Label from Property or Referenced Table]])</f>
        <v>Class - Business ID Property</v>
      </c>
      <c r="BB76" s="43"/>
      <c r="BC76" s="44" t="str">
        <f>IF(meta_Columns[[#This Row],[Excel Column - Explicit Excel Formula]]="","",meta_Columns[[#This Row],[Excel Column - Explicit Excel Formula]])</f>
        <v/>
      </c>
      <c r="BD76" s="5" t="s">
        <v>1464</v>
      </c>
      <c r="BE76" s="5"/>
    </row>
    <row r="77" spans="1:57">
      <c r="A77" s="10" t="s">
        <v>1069</v>
      </c>
      <c r="B77" s="11" t="s">
        <v>546</v>
      </c>
      <c r="C77" s="22" t="str">
        <f xml:space="preserve"> IF( TRIM( meta_Columns[[#This Row],[Kind:src]] ) = "", "",
        INDEX( meta_Classifiers[Display Qualified], MATCH( meta_Columns[[#This Row],[Kind:src]], meta_Classifiers[ID], 0 ) ) )</f>
        <v>ExcelColumn</v>
      </c>
      <c r="D77" s="44" t="str">
        <f>IF(meta_Columns[[#This Row],[Owning Table:src]]="","",INDEX(meta_Classifiers[Package],MATCH(meta_Columns[[#This Row],[Owning Table Instances Class]],meta_Classifiers[ID],0)))</f>
        <v>meta</v>
      </c>
      <c r="E77" s="43"/>
      <c r="F77" s="8" t="str">
        <f>INDEX(meta_Tables[Excel Table - Excel Name],MATCH(meta_Columns[[#This Row],[Owning Table:src]],meta_Tables[ID],0))</f>
        <v>meta_CodeTemplates</v>
      </c>
      <c r="G77" s="44" t="str">
        <f>INDEX(meta_Tables[Instances Class:src],MATCH(meta_Columns[[#This Row],[Owning Table:src]],meta_Tables[ID],0))</f>
        <v>_Object</v>
      </c>
      <c r="H77" s="11" t="s">
        <v>1018</v>
      </c>
      <c r="I77" s="43" t="str">
        <f xml:space="preserve"> IF( TRIM( meta_Columns[[#This Row],[Owning Table:src]] ) = "", "",
        INDEX( meta_Tables[Display Qualified], MATCH( meta_Columns[[#This Row],[Owning Table:src]], meta_Tables[ID], 0 ) ) )</f>
        <v>meta::CodeTemplates</v>
      </c>
      <c r="K77" s="22" t="str">
        <f>IF(TRIM(meta_Columns[[#This Row],[Referenced Table:src]])="","",
    INDEX(meta_Tables[Display Qualified],MATCH(meta_Columns[[#This Row],[Referenced Table:src]],meta_Tables[ID],0)))</f>
        <v/>
      </c>
      <c r="L77" s="8"/>
      <c r="M77" s="22" t="str">
        <f xml:space="preserve"> IF( TRIM( meta_Columns[[#This Row],[Referenced Table Display and Select Column:src]] ) = "", "",
        INDEX( meta_Columns[Display Qualified], MATCH( meta_Columns[[#This Row],[Referenced Table Display and Select Column:src]], meta_Columns[ID], 0 ) ) )</f>
        <v/>
      </c>
      <c r="N77" s="8" t="str">
        <f>IF(meta_Columns[[#This Row],[Excel Column - Excel Formula]]="","x","")</f>
        <v>x</v>
      </c>
      <c r="O77" s="22"/>
      <c r="P77" s="8" t="str">
        <f>IF(meta_Columns[[#This Row],[Referenced Table:src]]="","",INDEX(meta_Tables[Instances Class],MATCH(meta_Columns[[#This Row],[Referenced Table:src]],meta_Tables[ID],0)))</f>
        <v/>
      </c>
      <c r="Q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7" s="8" t="s">
        <v>246</v>
      </c>
      <c r="S77" s="8" t="str">
        <f xml:space="preserve"> IF( TRIM( meta_Columns[[#This Row],[Property:src]] ) = "", "",
        INDEX( meta_TypedModelElements[Display Qualified], MATCH( meta_Columns[[#This Row],[Property:src]], meta_TypedModelElements[ID], 0 ) ) )</f>
        <v>meta::Object.iD</v>
      </c>
      <c r="T77" s="22"/>
      <c r="U77" s="8" t="e">
        <f>INDEX(meta_Classifiers[Class - Generalization:src], MATCH(meta_Columns[[#This Row],[Generalization 5]],meta_Classifiers[ID],0))</f>
        <v>#N/A</v>
      </c>
      <c r="V77" s="8" t="e">
        <f>INDEX(meta_Classifiers[Class - Generalization:src], MATCH(meta_Columns[[#This Row],[Generalization 4]],meta_Classifiers[ID],0))</f>
        <v>#N/A</v>
      </c>
      <c r="W77" s="8" t="e">
        <f>INDEX(meta_Classifiers[Class - Generalization:src], MATCH(meta_Columns[[#This Row],[Generalization 3]],meta_Classifiers[ID],0))</f>
        <v>#N/A</v>
      </c>
      <c r="X77" s="8" t="e">
        <f>INDEX(meta_Classifiers[Class - Generalization:src], MATCH(meta_Columns[[#This Row],[Generalization 2]],meta_Classifiers[ID],0))</f>
        <v>#N/A</v>
      </c>
      <c r="Y77" s="8" t="e">
        <f>INDEX(meta_Classifiers[Class - Generalization:src], MATCH(meta_Columns[[#This Row],[Generalization 1]],meta_Classifiers[ID],0))</f>
        <v>#N/A</v>
      </c>
      <c r="Z77" s="8" t="str">
        <f>INDEX(meta_Classifiers[Class - Generalization:src], MATCH(meta_Columns[[#This Row],[Owning Table Instances Class]],meta_Classifiers[ID],0))</f>
        <v/>
      </c>
      <c r="AA77"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7" s="8" t="b">
        <f>_xlfn.IFNA(
INDEX(meta_Classifiers[Class - Generalization:src],MATCH(
INDEX(meta_Classifiers[Class - Generalization:src],MATCH(meta_Columns[[#This Row],[Property Owning Class]],meta_Classifiers[ID],0)),meta_Classifiers[ID],0))
=meta_Columns[[#This Row],[Owning Table Instances Class]],FALSE)</f>
        <v>0</v>
      </c>
      <c r="AG77" s="8" t="b">
        <f>_xlfn.IFNA(INDEX(meta_Classifiers[Class - Generalization:src],MATCH(meta_Columns[[#This Row],[Property Owning Class]],meta_Classifiers[ID],0))=meta_Columns[[#This Row],[Owning Table Instances Class]],FALSE)</f>
        <v>0</v>
      </c>
      <c r="AH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7" s="8" t="str">
        <f>INDEX(meta_Classifiers[Name],MATCH(INDEX(meta_TypedModelElements[Property - Owning Class:src],MATCH(meta_Columns[[#This Row],[Property]],meta_TypedModelElements[ID],0)),meta_Classifiers[ID],0))</f>
        <v>Object</v>
      </c>
      <c r="AJ77" s="8" t="str">
        <f>INDEX(meta_TypedModelElements[Property - Owning Class:src],MATCH(meta_Columns[[#This Row],[Property]],meta_TypedModelElements[ID],0))</f>
        <v>_Object</v>
      </c>
      <c r="AK77" s="8" t="str">
        <f>INDEX(meta_TypedModelElements[Kind:src],MATCH(meta_Columns[[#This Row],[Property]],meta_TypedModelElements[ID],0))</f>
        <v>_Attribute</v>
      </c>
      <c r="AL77" s="8" t="str">
        <f>INDEX(meta_TypedModelElements[Name or Type],MATCH(meta_Columns[[#This Row],[Property]],meta_TypedModelElements[ID],0))</f>
        <v>ID</v>
      </c>
      <c r="AM77" s="8" t="str">
        <f>INDEX(meta_TypedModelElements[Property - Changeable],MATCH(meta_Columns[[#This Row],[Property]],meta_TypedModelElements[ID],0))</f>
        <v>x</v>
      </c>
      <c r="AN77" s="43">
        <v>1</v>
      </c>
      <c r="AO77" s="22">
        <v>1</v>
      </c>
      <c r="AP7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77" s="8" t="str">
        <f xml:space="preserve"> IF(meta_Columns[[#This Row],[Property Owning Class is Specialization of Instance Class]],meta_Columns[[#This Row],[Property Owning Class Name]]&amp;" - ","")</f>
        <v/>
      </c>
      <c r="AR7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77" s="8" t="str">
        <f>IFERROR(LEFT(meta_Columns[[#This Row],[Excel Column - Label Actual without Semantic Case]],FIND("-",
meta_Columns[[#This Row],[Excel Column - Label Actual without Semantic Case]])-2),"")</f>
        <v/>
      </c>
      <c r="AU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77" s="22"/>
      <c r="AY77" s="8" t="str">
        <f>meta_Columns[[#This Row],[Owning Table]]&amp;"."&amp;meta_Columns[[#This Row],[Excel Column - Label]]</f>
        <v>meta::CodeTemplates.ID</v>
      </c>
      <c r="AZ77" s="22" t="s">
        <v>0</v>
      </c>
      <c r="BA77" s="44" t="str">
        <f>IF(TRIM(meta_Columns[[#This Row],[Excel Column - Label Overwrite]])&lt;&gt;"",meta_Columns[[#This Row],[Excel Column - Label Overwrite]],meta_Columns[[#This Row],[Excel Column - Label from Property or Referenced Table]])</f>
        <v>ID</v>
      </c>
      <c r="BB77" s="43"/>
      <c r="BC77" s="44" t="str">
        <f>IF(meta_Columns[[#This Row],[Excel Column - Explicit Excel Formula]]="","",meta_Columns[[#This Row],[Excel Column - Explicit Excel Formula]])</f>
        <v/>
      </c>
      <c r="BD77" s="5"/>
      <c r="BE77" s="5"/>
    </row>
    <row r="78" spans="1:57">
      <c r="A78" s="10" t="s">
        <v>1070</v>
      </c>
      <c r="B78" s="11" t="s">
        <v>546</v>
      </c>
      <c r="C78" s="22" t="str">
        <f xml:space="preserve"> IF( TRIM( meta_Columns[[#This Row],[Kind:src]] ) = "", "",
        INDEX( meta_Classifiers[Display Qualified], MATCH( meta_Columns[[#This Row],[Kind:src]], meta_Classifiers[ID], 0 ) ) )</f>
        <v>ExcelColumn</v>
      </c>
      <c r="D78" s="44" t="str">
        <f>IF(meta_Columns[[#This Row],[Owning Table:src]]="","",INDEX(meta_Classifiers[Package],MATCH(meta_Columns[[#This Row],[Owning Table Instances Class]],meta_Classifiers[ID],0)))</f>
        <v>meta</v>
      </c>
      <c r="E78" s="43"/>
      <c r="F78" s="8" t="str">
        <f>INDEX(meta_Tables[Excel Table - Excel Name],MATCH(meta_Columns[[#This Row],[Owning Table:src]],meta_Tables[ID],0))</f>
        <v>meta_CodeTemplates</v>
      </c>
      <c r="G78" s="44" t="str">
        <f>INDEX(meta_Tables[Instances Class:src],MATCH(meta_Columns[[#This Row],[Owning Table:src]],meta_Tables[ID],0))</f>
        <v>_Object</v>
      </c>
      <c r="H78" s="11" t="s">
        <v>1018</v>
      </c>
      <c r="I78" s="43" t="str">
        <f xml:space="preserve"> IF( TRIM( meta_Columns[[#This Row],[Owning Table:src]] ) = "", "",
        INDEX( meta_Tables[Display Qualified], MATCH( meta_Columns[[#This Row],[Owning Table:src]], meta_Tables[ID], 0 ) ) )</f>
        <v>meta::CodeTemplates</v>
      </c>
      <c r="K78" s="22" t="str">
        <f>IF(TRIM(meta_Columns[[#This Row],[Referenced Table:src]])="","",
    INDEX(meta_Tables[Display Qualified],MATCH(meta_Columns[[#This Row],[Referenced Table:src]],meta_Tables[ID],0)))</f>
        <v/>
      </c>
      <c r="L78" s="8"/>
      <c r="M78" s="22" t="str">
        <f xml:space="preserve"> IF( TRIM( meta_Columns[[#This Row],[Referenced Table Display and Select Column:src]] ) = "", "",
        INDEX( meta_Columns[Display Qualified], MATCH( meta_Columns[[#This Row],[Referenced Table Display and Select Column:src]], meta_Columns[ID], 0 ) ) )</f>
        <v/>
      </c>
      <c r="N78" s="8" t="str">
        <f>IF(meta_Columns[[#This Row],[Excel Column - Excel Formula]]="","x","")</f>
        <v>x</v>
      </c>
      <c r="O78" s="22"/>
      <c r="P78" s="8" t="str">
        <f>IF(meta_Columns[[#This Row],[Referenced Table:src]]="","",INDEX(meta_Tables[Instances Class],MATCH(meta_Columns[[#This Row],[Referenced Table:src]],meta_Tables[ID],0)))</f>
        <v/>
      </c>
      <c r="Q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8" s="8" t="s">
        <v>247</v>
      </c>
      <c r="S78" s="22" t="str">
        <f xml:space="preserve"> IF( TRIM( meta_Columns[[#This Row],[Property:src]] ) = "", "",
        INDEX( meta_TypedModelElements[Display Qualified], MATCH( meta_Columns[[#This Row],[Property:src]], meta_TypedModelElements[ID], 0 ) ) )</f>
        <v>meta::Object.kind</v>
      </c>
      <c r="T78" s="22" t="s">
        <v>42</v>
      </c>
      <c r="U78" s="8" t="e">
        <f>INDEX(meta_Classifiers[Class - Generalization:src], MATCH(meta_Columns[[#This Row],[Generalization 5]],meta_Classifiers[ID],0))</f>
        <v>#N/A</v>
      </c>
      <c r="V78" s="8" t="e">
        <f>INDEX(meta_Classifiers[Class - Generalization:src], MATCH(meta_Columns[[#This Row],[Generalization 4]],meta_Classifiers[ID],0))</f>
        <v>#N/A</v>
      </c>
      <c r="W78" s="8" t="e">
        <f>INDEX(meta_Classifiers[Class - Generalization:src], MATCH(meta_Columns[[#This Row],[Generalization 3]],meta_Classifiers[ID],0))</f>
        <v>#N/A</v>
      </c>
      <c r="X78" s="8" t="e">
        <f>INDEX(meta_Classifiers[Class - Generalization:src], MATCH(meta_Columns[[#This Row],[Generalization 2]],meta_Classifiers[ID],0))</f>
        <v>#N/A</v>
      </c>
      <c r="Y78" s="8" t="e">
        <f>INDEX(meta_Classifiers[Class - Generalization:src], MATCH(meta_Columns[[#This Row],[Generalization 1]],meta_Classifiers[ID],0))</f>
        <v>#N/A</v>
      </c>
      <c r="Z78" s="8" t="str">
        <f>INDEX(meta_Classifiers[Class - Generalization:src], MATCH(meta_Columns[[#This Row],[Owning Table Instances Class]],meta_Classifiers[ID],0))</f>
        <v/>
      </c>
      <c r="AA7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8" s="8" t="b">
        <f>_xlfn.IFNA(
INDEX(meta_Classifiers[Class - Generalization:src],MATCH(
INDEX(meta_Classifiers[Class - Generalization:src],MATCH(meta_Columns[[#This Row],[Property Owning Class]],meta_Classifiers[ID],0)),meta_Classifiers[ID],0))
=meta_Columns[[#This Row],[Owning Table Instances Class]],FALSE)</f>
        <v>0</v>
      </c>
      <c r="AG78" s="8" t="b">
        <f>_xlfn.IFNA(INDEX(meta_Classifiers[Class - Generalization:src],MATCH(meta_Columns[[#This Row],[Property Owning Class]],meta_Classifiers[ID],0))=meta_Columns[[#This Row],[Owning Table Instances Class]],FALSE)</f>
        <v>0</v>
      </c>
      <c r="AH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8" s="8" t="str">
        <f>INDEX(meta_Classifiers[Name],MATCH(INDEX(meta_TypedModelElements[Property - Owning Class:src],MATCH(meta_Columns[[#This Row],[Property]],meta_TypedModelElements[ID],0)),meta_Classifiers[ID],0))</f>
        <v>Object</v>
      </c>
      <c r="AJ78" s="8" t="str">
        <f>INDEX(meta_TypedModelElements[Property - Owning Class:src],MATCH(meta_Columns[[#This Row],[Property]],meta_TypedModelElements[ID],0))</f>
        <v>_Object</v>
      </c>
      <c r="AK78" s="8" t="str">
        <f>INDEX(meta_TypedModelElements[Kind:src],MATCH(meta_Columns[[#This Row],[Property]],meta_TypedModelElements[ID],0))</f>
        <v>_Reference</v>
      </c>
      <c r="AL78" s="8" t="str">
        <f>INDEX(meta_TypedModelElements[Name or Type],MATCH(meta_Columns[[#This Row],[Property]],meta_TypedModelElements[ID],0))</f>
        <v>Kind</v>
      </c>
      <c r="AM78" s="8" t="str">
        <f>INDEX(meta_TypedModelElements[Property - Changeable],MATCH(meta_Columns[[#This Row],[Property]],meta_TypedModelElements[ID],0))</f>
        <v>x</v>
      </c>
      <c r="AN78" s="43">
        <v>2</v>
      </c>
      <c r="AO78" s="22">
        <v>2</v>
      </c>
      <c r="AP7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78" s="8" t="str">
        <f xml:space="preserve"> IF(meta_Columns[[#This Row],[Property Owning Class is Specialization of Instance Class]],meta_Columns[[#This Row],[Property Owning Class Name]]&amp;" - ","")</f>
        <v/>
      </c>
      <c r="AR7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8" s="8" t="str">
        <f>IFERROR(LEFT(meta_Columns[[#This Row],[Excel Column - Label Actual without Semantic Case]],FIND("-",
meta_Columns[[#This Row],[Excel Column - Label Actual without Semantic Case]])-2),"")</f>
        <v/>
      </c>
      <c r="AU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78" s="22"/>
      <c r="AY78" s="8" t="str">
        <f>meta_Columns[[#This Row],[Owning Table]]&amp;"."&amp;meta_Columns[[#This Row],[Excel Column - Label]]</f>
        <v>meta::CodeTemplates.Kind:src</v>
      </c>
      <c r="AZ78" s="22" t="s">
        <v>230</v>
      </c>
      <c r="BA78" s="44" t="str">
        <f>IF(TRIM(meta_Columns[[#This Row],[Excel Column - Label Overwrite]])&lt;&gt;"",meta_Columns[[#This Row],[Excel Column - Label Overwrite]],meta_Columns[[#This Row],[Excel Column - Label from Property or Referenced Table]])</f>
        <v>Kind:src</v>
      </c>
      <c r="BB78" s="43"/>
      <c r="BC78" s="44" t="str">
        <f>IF(meta_Columns[[#This Row],[Excel Column - Explicit Excel Formula]]="","",meta_Columns[[#This Row],[Excel Column - Explicit Excel Formula]])</f>
        <v/>
      </c>
      <c r="BD78" s="5"/>
      <c r="BE78" s="5"/>
    </row>
    <row r="79" spans="1:57">
      <c r="A79" s="10" t="s">
        <v>1071</v>
      </c>
      <c r="B79" s="11" t="s">
        <v>546</v>
      </c>
      <c r="C79" s="22" t="str">
        <f xml:space="preserve"> IF( TRIM( meta_Columns[[#This Row],[Kind:src]] ) = "", "",
        INDEX( meta_Classifiers[Display Qualified], MATCH( meta_Columns[[#This Row],[Kind:src]], meta_Classifiers[ID], 0 ) ) )</f>
        <v>ExcelColumn</v>
      </c>
      <c r="D79" s="44" t="str">
        <f>IF(meta_Columns[[#This Row],[Owning Table:src]]="","",INDEX(meta_Classifiers[Package],MATCH(meta_Columns[[#This Row],[Owning Table Instances Class]],meta_Classifiers[ID],0)))</f>
        <v>meta</v>
      </c>
      <c r="E79" s="43"/>
      <c r="F79" s="8" t="str">
        <f>INDEX(meta_Tables[Excel Table - Excel Name],MATCH(meta_Columns[[#This Row],[Owning Table:src]],meta_Tables[ID],0))</f>
        <v>meta_CodeTemplates</v>
      </c>
      <c r="G79" s="44" t="str">
        <f>INDEX(meta_Tables[Instances Class:src],MATCH(meta_Columns[[#This Row],[Owning Table:src]],meta_Tables[ID],0))</f>
        <v>_Object</v>
      </c>
      <c r="H79" s="11" t="s">
        <v>1018</v>
      </c>
      <c r="I79" s="43" t="str">
        <f xml:space="preserve"> IF( TRIM( meta_Columns[[#This Row],[Owning Table:src]] ) = "", "",
        INDEX( meta_Tables[Display Qualified], MATCH( meta_Columns[[#This Row],[Owning Table:src]], meta_Tables[ID], 0 ) ) )</f>
        <v>meta::CodeTemplates</v>
      </c>
      <c r="K79" s="22" t="str">
        <f>IF(TRIM(meta_Columns[[#This Row],[Referenced Table:src]])="","",
    INDEX(meta_Tables[Display Qualified],MATCH(meta_Columns[[#This Row],[Referenced Table:src]],meta_Tables[ID],0)))</f>
        <v/>
      </c>
      <c r="L79" s="8"/>
      <c r="M79" s="22" t="str">
        <f xml:space="preserve"> IF( TRIM( meta_Columns[[#This Row],[Referenced Table Display and Select Column:src]] ) = "", "",
        INDEX( meta_Columns[Display Qualified], MATCH( meta_Columns[[#This Row],[Referenced Table Display and Select Column:src]], meta_Columns[ID], 0 ) ) )</f>
        <v/>
      </c>
      <c r="N79" s="8" t="str">
        <f>IF(meta_Columns[[#This Row],[Excel Column - Excel Formula]]="","x","")</f>
        <v>x</v>
      </c>
      <c r="O79" s="22"/>
      <c r="P79" s="8" t="str">
        <f>IF(meta_Columns[[#This Row],[Referenced Table:src]]="","",INDEX(meta_Tables[Instances Class],MATCH(meta_Columns[[#This Row],[Referenced Table:src]],meta_Tables[ID],0)))</f>
        <v/>
      </c>
      <c r="Q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9" s="8" t="s">
        <v>247</v>
      </c>
      <c r="S79" s="22" t="str">
        <f xml:space="preserve"> IF( TRIM( meta_Columns[[#This Row],[Property:src]] ) = "", "",
        INDEX( meta_TypedModelElements[Display Qualified], MATCH( meta_Columns[[#This Row],[Property:src]], meta_TypedModelElements[ID], 0 ) ) )</f>
        <v>meta::Object.kind</v>
      </c>
      <c r="T79" s="22"/>
      <c r="U79" s="8" t="e">
        <f>INDEX(meta_Classifiers[Class - Generalization:src], MATCH(meta_Columns[[#This Row],[Generalization 5]],meta_Classifiers[ID],0))</f>
        <v>#N/A</v>
      </c>
      <c r="V79" s="8" t="e">
        <f>INDEX(meta_Classifiers[Class - Generalization:src], MATCH(meta_Columns[[#This Row],[Generalization 4]],meta_Classifiers[ID],0))</f>
        <v>#N/A</v>
      </c>
      <c r="W79" s="8" t="e">
        <f>INDEX(meta_Classifiers[Class - Generalization:src], MATCH(meta_Columns[[#This Row],[Generalization 3]],meta_Classifiers[ID],0))</f>
        <v>#N/A</v>
      </c>
      <c r="X79" s="8" t="e">
        <f>INDEX(meta_Classifiers[Class - Generalization:src], MATCH(meta_Columns[[#This Row],[Generalization 2]],meta_Classifiers[ID],0))</f>
        <v>#N/A</v>
      </c>
      <c r="Y79" s="8" t="e">
        <f>INDEX(meta_Classifiers[Class - Generalization:src], MATCH(meta_Columns[[#This Row],[Generalization 1]],meta_Classifiers[ID],0))</f>
        <v>#N/A</v>
      </c>
      <c r="Z79" s="8" t="str">
        <f>INDEX(meta_Classifiers[Class - Generalization:src], MATCH(meta_Columns[[#This Row],[Owning Table Instances Class]],meta_Classifiers[ID],0))</f>
        <v/>
      </c>
      <c r="AA7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9" s="8" t="b">
        <f>_xlfn.IFNA(
INDEX(meta_Classifiers[Class - Generalization:src],MATCH(
INDEX(meta_Classifiers[Class - Generalization:src],MATCH(meta_Columns[[#This Row],[Property Owning Class]],meta_Classifiers[ID],0)),meta_Classifiers[ID],0))
=meta_Columns[[#This Row],[Owning Table Instances Class]],FALSE)</f>
        <v>0</v>
      </c>
      <c r="AG79" s="8" t="b">
        <f>_xlfn.IFNA(INDEX(meta_Classifiers[Class - Generalization:src],MATCH(meta_Columns[[#This Row],[Property Owning Class]],meta_Classifiers[ID],0))=meta_Columns[[#This Row],[Owning Table Instances Class]],FALSE)</f>
        <v>0</v>
      </c>
      <c r="AH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9" s="8" t="str">
        <f>INDEX(meta_Classifiers[Name],MATCH(INDEX(meta_TypedModelElements[Property - Owning Class:src],MATCH(meta_Columns[[#This Row],[Property]],meta_TypedModelElements[ID],0)),meta_Classifiers[ID],0))</f>
        <v>Object</v>
      </c>
      <c r="AJ79" s="8" t="str">
        <f>INDEX(meta_TypedModelElements[Property - Owning Class:src],MATCH(meta_Columns[[#This Row],[Property]],meta_TypedModelElements[ID],0))</f>
        <v>_Object</v>
      </c>
      <c r="AK79" s="8" t="str">
        <f>INDEX(meta_TypedModelElements[Kind:src],MATCH(meta_Columns[[#This Row],[Property]],meta_TypedModelElements[ID],0))</f>
        <v>_Reference</v>
      </c>
      <c r="AL79" s="8" t="str">
        <f>INDEX(meta_TypedModelElements[Name or Type],MATCH(meta_Columns[[#This Row],[Property]],meta_TypedModelElements[ID],0))</f>
        <v>Kind</v>
      </c>
      <c r="AM79" s="8" t="str">
        <f>INDEX(meta_TypedModelElements[Property - Changeable],MATCH(meta_Columns[[#This Row],[Property]],meta_TypedModelElements[ID],0))</f>
        <v>x</v>
      </c>
      <c r="AN79" s="43">
        <v>3</v>
      </c>
      <c r="AO79" s="22">
        <v>3</v>
      </c>
      <c r="AP7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79" s="8" t="str">
        <f xml:space="preserve"> IF(meta_Columns[[#This Row],[Property Owning Class is Specialization of Instance Class]],meta_Columns[[#This Row],[Property Owning Class Name]]&amp;" - ","")</f>
        <v/>
      </c>
      <c r="AR7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9" s="8" t="str">
        <f>IFERROR(LEFT(meta_Columns[[#This Row],[Excel Column - Label Actual without Semantic Case]],FIND("-",
meta_Columns[[#This Row],[Excel Column - Label Actual without Semantic Case]])-2),"")</f>
        <v/>
      </c>
      <c r="AU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79" s="22"/>
      <c r="AY79" s="8" t="str">
        <f>meta_Columns[[#This Row],[Owning Table]]&amp;"."&amp;meta_Columns[[#This Row],[Excel Column - Label]]</f>
        <v>meta::CodeTemplates.Kind</v>
      </c>
      <c r="AZ79" s="22" t="s">
        <v>5</v>
      </c>
      <c r="BA79" s="44" t="str">
        <f>IF(TRIM(meta_Columns[[#This Row],[Excel Column - Label Overwrite]])&lt;&gt;"",meta_Columns[[#This Row],[Excel Column - Label Overwrite]],meta_Columns[[#This Row],[Excel Column - Label from Property or Referenced Table]])</f>
        <v>Kind</v>
      </c>
      <c r="BB79" s="43"/>
      <c r="BC79" s="44" t="str">
        <f>IF(meta_Columns[[#This Row],[Excel Column - Explicit Excel Formula]]="","",meta_Columns[[#This Row],[Excel Column - Explicit Excel Formula]])</f>
        <v/>
      </c>
      <c r="BD79" s="5"/>
      <c r="BE79" s="5"/>
    </row>
    <row r="80" spans="1:57">
      <c r="A80" s="10" t="s">
        <v>1072</v>
      </c>
      <c r="B80" s="11" t="s">
        <v>546</v>
      </c>
      <c r="C80" s="22" t="str">
        <f xml:space="preserve"> IF( TRIM( meta_Columns[[#This Row],[Kind:src]] ) = "", "",
        INDEX( meta_Classifiers[Display Qualified], MATCH( meta_Columns[[#This Row],[Kind:src]], meta_Classifiers[ID], 0 ) ) )</f>
        <v>ExcelColumn</v>
      </c>
      <c r="D80" s="44" t="str">
        <f>IF(meta_Columns[[#This Row],[Owning Table:src]]="","",INDEX(meta_Classifiers[Package],MATCH(meta_Columns[[#This Row],[Owning Table Instances Class]],meta_Classifiers[ID],0)))</f>
        <v>meta</v>
      </c>
      <c r="E80" s="43"/>
      <c r="F80" s="8" t="str">
        <f>INDEX(meta_Tables[Excel Table - Excel Name],MATCH(meta_Columns[[#This Row],[Owning Table:src]],meta_Tables[ID],0))</f>
        <v>meta_CodeTemplates</v>
      </c>
      <c r="G80" s="44" t="str">
        <f>INDEX(meta_Tables[Instances Class:src],MATCH(meta_Columns[[#This Row],[Owning Table:src]],meta_Tables[ID],0))</f>
        <v>_Object</v>
      </c>
      <c r="H80" s="11" t="s">
        <v>1018</v>
      </c>
      <c r="I80" s="43" t="str">
        <f xml:space="preserve"> IF( TRIM( meta_Columns[[#This Row],[Owning Table:src]] ) = "", "",
        INDEX( meta_Tables[Display Qualified], MATCH( meta_Columns[[#This Row],[Owning Table:src]], meta_Tables[ID], 0 ) ) )</f>
        <v>meta::CodeTemplates</v>
      </c>
      <c r="K80" s="22" t="str">
        <f>IF(TRIM(meta_Columns[[#This Row],[Referenced Table:src]])="","",
    INDEX(meta_Tables[Display Qualified],MATCH(meta_Columns[[#This Row],[Referenced Table:src]],meta_Tables[ID],0)))</f>
        <v/>
      </c>
      <c r="L80" s="8"/>
      <c r="M80" s="22" t="str">
        <f xml:space="preserve"> IF( TRIM( meta_Columns[[#This Row],[Referenced Table Display and Select Column:src]] ) = "", "",
        INDEX( meta_Columns[Display Qualified], MATCH( meta_Columns[[#This Row],[Referenced Table Display and Select Column:src]], meta_Columns[ID], 0 ) ) )</f>
        <v/>
      </c>
      <c r="N80" s="8" t="str">
        <f>IF(meta_Columns[[#This Row],[Excel Column - Excel Formula]]="","x","")</f>
        <v>x</v>
      </c>
      <c r="O80" s="22"/>
      <c r="P80" s="8" t="str">
        <f>IF(meta_Columns[[#This Row],[Referenced Table:src]]="","",INDEX(meta_Tables[Instances Class],MATCH(meta_Columns[[#This Row],[Referenced Table:src]],meta_Tables[ID],0)))</f>
        <v/>
      </c>
      <c r="Q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0" s="8" t="s">
        <v>248</v>
      </c>
      <c r="S80" s="22" t="str">
        <f xml:space="preserve"> IF( TRIM( meta_Columns[[#This Row],[Property:src]] ) = "", "",
        INDEX( meta_TypedModelElements[Display Qualified], MATCH( meta_Columns[[#This Row],[Property:src]], meta_TypedModelElements[ID], 0 ) ) )</f>
        <v>meta::Object.package</v>
      </c>
      <c r="T80" s="22"/>
      <c r="U80" s="8" t="e">
        <f>INDEX(meta_Classifiers[Class - Generalization:src], MATCH(meta_Columns[[#This Row],[Generalization 5]],meta_Classifiers[ID],0))</f>
        <v>#N/A</v>
      </c>
      <c r="V80" s="8" t="e">
        <f>INDEX(meta_Classifiers[Class - Generalization:src], MATCH(meta_Columns[[#This Row],[Generalization 4]],meta_Classifiers[ID],0))</f>
        <v>#N/A</v>
      </c>
      <c r="W80" s="8" t="e">
        <f>INDEX(meta_Classifiers[Class - Generalization:src], MATCH(meta_Columns[[#This Row],[Generalization 3]],meta_Classifiers[ID],0))</f>
        <v>#N/A</v>
      </c>
      <c r="X80" s="8" t="e">
        <f>INDEX(meta_Classifiers[Class - Generalization:src], MATCH(meta_Columns[[#This Row],[Generalization 2]],meta_Classifiers[ID],0))</f>
        <v>#N/A</v>
      </c>
      <c r="Y80" s="8" t="e">
        <f>INDEX(meta_Classifiers[Class - Generalization:src], MATCH(meta_Columns[[#This Row],[Generalization 1]],meta_Classifiers[ID],0))</f>
        <v>#N/A</v>
      </c>
      <c r="Z80" s="8" t="str">
        <f>INDEX(meta_Classifiers[Class - Generalization:src], MATCH(meta_Columns[[#This Row],[Owning Table Instances Class]],meta_Classifiers[ID],0))</f>
        <v/>
      </c>
      <c r="AA8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0" s="8" t="b">
        <f>_xlfn.IFNA(
INDEX(meta_Classifiers[Class - Generalization:src],MATCH(
INDEX(meta_Classifiers[Class - Generalization:src],MATCH(meta_Columns[[#This Row],[Property Owning Class]],meta_Classifiers[ID],0)),meta_Classifiers[ID],0))
=meta_Columns[[#This Row],[Owning Table Instances Class]],FALSE)</f>
        <v>0</v>
      </c>
      <c r="AG80" s="8" t="b">
        <f>_xlfn.IFNA(INDEX(meta_Classifiers[Class - Generalization:src],MATCH(meta_Columns[[#This Row],[Property Owning Class]],meta_Classifiers[ID],0))=meta_Columns[[#This Row],[Owning Table Instances Class]],FALSE)</f>
        <v>0</v>
      </c>
      <c r="AH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0" s="8" t="str">
        <f>INDEX(meta_Classifiers[Name],MATCH(INDEX(meta_TypedModelElements[Property - Owning Class:src],MATCH(meta_Columns[[#This Row],[Property]],meta_TypedModelElements[ID],0)),meta_Classifiers[ID],0))</f>
        <v>Object</v>
      </c>
      <c r="AJ80" s="8" t="str">
        <f>INDEX(meta_TypedModelElements[Property - Owning Class:src],MATCH(meta_Columns[[#This Row],[Property]],meta_TypedModelElements[ID],0))</f>
        <v>_Object</v>
      </c>
      <c r="AK80" s="8" t="str">
        <f>INDEX(meta_TypedModelElements[Kind:src],MATCH(meta_Columns[[#This Row],[Property]],meta_TypedModelElements[ID],0))</f>
        <v>_Attribute</v>
      </c>
      <c r="AL80" s="8" t="str">
        <f>INDEX(meta_TypedModelElements[Name or Type],MATCH(meta_Columns[[#This Row],[Property]],meta_TypedModelElements[ID],0))</f>
        <v>Package</v>
      </c>
      <c r="AM80" s="8" t="str">
        <f>INDEX(meta_TypedModelElements[Property - Changeable],MATCH(meta_Columns[[#This Row],[Property]],meta_TypedModelElements[ID],0))</f>
        <v>x</v>
      </c>
      <c r="AN80" s="43">
        <v>4</v>
      </c>
      <c r="AO80" s="22">
        <v>4</v>
      </c>
      <c r="AP8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80" s="8" t="str">
        <f xml:space="preserve"> IF(meta_Columns[[#This Row],[Property Owning Class is Specialization of Instance Class]],meta_Columns[[#This Row],[Property Owning Class Name]]&amp;" - ","")</f>
        <v/>
      </c>
      <c r="AR8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80" s="8" t="str">
        <f>IFERROR(LEFT(meta_Columns[[#This Row],[Excel Column - Label Actual without Semantic Case]],FIND("-",
meta_Columns[[#This Row],[Excel Column - Label Actual without Semantic Case]])-2),"")</f>
        <v/>
      </c>
      <c r="AU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80" s="22"/>
      <c r="AY80" s="8" t="str">
        <f>meta_Columns[[#This Row],[Owning Table]]&amp;"."&amp;meta_Columns[[#This Row],[Excel Column - Label]]</f>
        <v>meta::CodeTemplates.Package</v>
      </c>
      <c r="AZ80" s="22" t="s">
        <v>120</v>
      </c>
      <c r="BA80" s="44" t="str">
        <f>IF(TRIM(meta_Columns[[#This Row],[Excel Column - Label Overwrite]])&lt;&gt;"",meta_Columns[[#This Row],[Excel Column - Label Overwrite]],meta_Columns[[#This Row],[Excel Column - Label from Property or Referenced Table]])</f>
        <v>Package</v>
      </c>
      <c r="BB80" s="43"/>
      <c r="BC80" s="44" t="str">
        <f>IF(meta_Columns[[#This Row],[Excel Column - Explicit Excel Formula]]="","",meta_Columns[[#This Row],[Excel Column - Explicit Excel Formula]])</f>
        <v/>
      </c>
      <c r="BD80" s="5"/>
      <c r="BE80" s="5"/>
    </row>
    <row r="81" spans="1:57">
      <c r="A81" s="10" t="s">
        <v>1073</v>
      </c>
      <c r="B81" s="11" t="s">
        <v>546</v>
      </c>
      <c r="C81" s="22" t="str">
        <f xml:space="preserve"> IF( TRIM( meta_Columns[[#This Row],[Kind:src]] ) = "", "",
        INDEX( meta_Classifiers[Display Qualified], MATCH( meta_Columns[[#This Row],[Kind:src]], meta_Classifiers[ID], 0 ) ) )</f>
        <v>ExcelColumn</v>
      </c>
      <c r="D81" s="44" t="str">
        <f>IF(meta_Columns[[#This Row],[Owning Table:src]]="","",INDEX(meta_Classifiers[Package],MATCH(meta_Columns[[#This Row],[Owning Table Instances Class]],meta_Classifiers[ID],0)))</f>
        <v>meta</v>
      </c>
      <c r="E81" s="43"/>
      <c r="F81" s="8" t="str">
        <f>INDEX(meta_Tables[Excel Table - Excel Name],MATCH(meta_Columns[[#This Row],[Owning Table:src]],meta_Tables[ID],0))</f>
        <v>meta_CodeTemplates</v>
      </c>
      <c r="G81" s="44" t="str">
        <f>INDEX(meta_Tables[Instances Class:src],MATCH(meta_Columns[[#This Row],[Owning Table:src]],meta_Tables[ID],0))</f>
        <v>_Object</v>
      </c>
      <c r="H81" s="11" t="s">
        <v>1018</v>
      </c>
      <c r="I81" s="43" t="str">
        <f xml:space="preserve"> IF( TRIM( meta_Columns[[#This Row],[Owning Table:src]] ) = "", "",
        INDEX( meta_Tables[Display Qualified], MATCH( meta_Columns[[#This Row],[Owning Table:src]], meta_Tables[ID], 0 ) ) )</f>
        <v>meta::CodeTemplates</v>
      </c>
      <c r="K81" s="22" t="str">
        <f>IF(TRIM(meta_Columns[[#This Row],[Referenced Table:src]])="","",
    INDEX(meta_Tables[Display Qualified],MATCH(meta_Columns[[#This Row],[Referenced Table:src]],meta_Tables[ID],0)))</f>
        <v/>
      </c>
      <c r="L81" s="8"/>
      <c r="M81" s="22" t="str">
        <f xml:space="preserve"> IF( TRIM( meta_Columns[[#This Row],[Referenced Table Display and Select Column:src]] ) = "", "",
        INDEX( meta_Columns[Display Qualified], MATCH( meta_Columns[[#This Row],[Referenced Table Display and Select Column:src]], meta_Columns[ID], 0 ) ) )</f>
        <v/>
      </c>
      <c r="N81" s="8" t="str">
        <f>IF(meta_Columns[[#This Row],[Excel Column - Excel Formula]]="","x","")</f>
        <v>x</v>
      </c>
      <c r="O81" s="22"/>
      <c r="P81" s="8" t="str">
        <f>IF(meta_Columns[[#This Row],[Referenced Table:src]]="","",INDEX(meta_Tables[Instances Class],MATCH(meta_Columns[[#This Row],[Referenced Table:src]],meta_Tables[ID],0)))</f>
        <v/>
      </c>
      <c r="Q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1" s="8" t="s">
        <v>460</v>
      </c>
      <c r="S81" s="22" t="str">
        <f xml:space="preserve"> IF( TRIM( meta_Columns[[#This Row],[Property:src]] ) = "", "",
        INDEX( meta_TypedModelElements[Display Qualified], MATCH( meta_Columns[[#This Row],[Property:src]], meta_TypedModelElements[ID], 0 ) ) )</f>
        <v>meta::Object.subPackage</v>
      </c>
      <c r="T81" s="22"/>
      <c r="U81" s="8" t="e">
        <f>INDEX(meta_Classifiers[Class - Generalization:src], MATCH(meta_Columns[[#This Row],[Generalization 5]],meta_Classifiers[ID],0))</f>
        <v>#N/A</v>
      </c>
      <c r="V81" s="8" t="e">
        <f>INDEX(meta_Classifiers[Class - Generalization:src], MATCH(meta_Columns[[#This Row],[Generalization 4]],meta_Classifiers[ID],0))</f>
        <v>#N/A</v>
      </c>
      <c r="W81" s="8" t="e">
        <f>INDEX(meta_Classifiers[Class - Generalization:src], MATCH(meta_Columns[[#This Row],[Generalization 3]],meta_Classifiers[ID],0))</f>
        <v>#N/A</v>
      </c>
      <c r="X81" s="8" t="e">
        <f>INDEX(meta_Classifiers[Class - Generalization:src], MATCH(meta_Columns[[#This Row],[Generalization 2]],meta_Classifiers[ID],0))</f>
        <v>#N/A</v>
      </c>
      <c r="Y81" s="8" t="e">
        <f>INDEX(meta_Classifiers[Class - Generalization:src], MATCH(meta_Columns[[#This Row],[Generalization 1]],meta_Classifiers[ID],0))</f>
        <v>#N/A</v>
      </c>
      <c r="Z81" s="8" t="str">
        <f>INDEX(meta_Classifiers[Class - Generalization:src], MATCH(meta_Columns[[#This Row],[Owning Table Instances Class]],meta_Classifiers[ID],0))</f>
        <v/>
      </c>
      <c r="AA8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1" s="8" t="b">
        <f>_xlfn.IFNA(
INDEX(meta_Classifiers[Class - Generalization:src],MATCH(
INDEX(meta_Classifiers[Class - Generalization:src],MATCH(meta_Columns[[#This Row],[Property Owning Class]],meta_Classifiers[ID],0)),meta_Classifiers[ID],0))
=meta_Columns[[#This Row],[Owning Table Instances Class]],FALSE)</f>
        <v>0</v>
      </c>
      <c r="AG81" s="8" t="b">
        <f>_xlfn.IFNA(INDEX(meta_Classifiers[Class - Generalization:src],MATCH(meta_Columns[[#This Row],[Property Owning Class]],meta_Classifiers[ID],0))=meta_Columns[[#This Row],[Owning Table Instances Class]],FALSE)</f>
        <v>0</v>
      </c>
      <c r="AH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1" s="8" t="str">
        <f>INDEX(meta_Classifiers[Name],MATCH(INDEX(meta_TypedModelElements[Property - Owning Class:src],MATCH(meta_Columns[[#This Row],[Property]],meta_TypedModelElements[ID],0)),meta_Classifiers[ID],0))</f>
        <v>Object</v>
      </c>
      <c r="AJ81" s="8" t="str">
        <f>INDEX(meta_TypedModelElements[Property - Owning Class:src],MATCH(meta_Columns[[#This Row],[Property]],meta_TypedModelElements[ID],0))</f>
        <v>_Object</v>
      </c>
      <c r="AK81" s="8" t="str">
        <f>INDEX(meta_TypedModelElements[Kind:src],MATCH(meta_Columns[[#This Row],[Property]],meta_TypedModelElements[ID],0))</f>
        <v>_Attribute</v>
      </c>
      <c r="AL81" s="8" t="str">
        <f>INDEX(meta_TypedModelElements[Name or Type],MATCH(meta_Columns[[#This Row],[Property]],meta_TypedModelElements[ID],0))</f>
        <v>Sub Package</v>
      </c>
      <c r="AM81" s="8" t="str">
        <f>INDEX(meta_TypedModelElements[Property - Changeable],MATCH(meta_Columns[[#This Row],[Property]],meta_TypedModelElements[ID],0))</f>
        <v>x</v>
      </c>
      <c r="AN81" s="43">
        <v>5</v>
      </c>
      <c r="AO81" s="22">
        <v>5</v>
      </c>
      <c r="AP8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81" s="8" t="str">
        <f xml:space="preserve"> IF(meta_Columns[[#This Row],[Property Owning Class is Specialization of Instance Class]],meta_Columns[[#This Row],[Property Owning Class Name]]&amp;" - ","")</f>
        <v/>
      </c>
      <c r="AR8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81" s="8" t="str">
        <f>IFERROR(LEFT(meta_Columns[[#This Row],[Excel Column - Label Actual without Semantic Case]],FIND("-",
meta_Columns[[#This Row],[Excel Column - Label Actual without Semantic Case]])-2),"")</f>
        <v/>
      </c>
      <c r="AU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81" s="22"/>
      <c r="AY81" s="8" t="str">
        <f>meta_Columns[[#This Row],[Owning Table]]&amp;"."&amp;meta_Columns[[#This Row],[Excel Column - Label]]</f>
        <v>meta::CodeTemplates.Sub Package</v>
      </c>
      <c r="AZ81" s="22" t="s">
        <v>461</v>
      </c>
      <c r="BA81" s="44" t="str">
        <f>IF(TRIM(meta_Columns[[#This Row],[Excel Column - Label Overwrite]])&lt;&gt;"",meta_Columns[[#This Row],[Excel Column - Label Overwrite]],meta_Columns[[#This Row],[Excel Column - Label from Property or Referenced Table]])</f>
        <v>Sub Package</v>
      </c>
      <c r="BB81" s="43"/>
      <c r="BC81" s="44" t="str">
        <f>IF(meta_Columns[[#This Row],[Excel Column - Explicit Excel Formula]]="","",meta_Columns[[#This Row],[Excel Column - Explicit Excel Formula]])</f>
        <v/>
      </c>
      <c r="BD81" s="5"/>
      <c r="BE81" s="5"/>
    </row>
    <row r="82" spans="1:57">
      <c r="A82" s="10" t="s">
        <v>1074</v>
      </c>
      <c r="B82" s="11" t="s">
        <v>546</v>
      </c>
      <c r="C82" s="22" t="str">
        <f xml:space="preserve"> IF( TRIM( meta_Columns[[#This Row],[Kind:src]] ) = "", "",
        INDEX( meta_Classifiers[Display Qualified], MATCH( meta_Columns[[#This Row],[Kind:src]], meta_Classifiers[ID], 0 ) ) )</f>
        <v>ExcelColumn</v>
      </c>
      <c r="D82" s="44" t="str">
        <f>IF(meta_Columns[[#This Row],[Owning Table:src]]="","",INDEX(meta_Classifiers[Package],MATCH(meta_Columns[[#This Row],[Owning Table Instances Class]],meta_Classifiers[ID],0)))</f>
        <v>meta</v>
      </c>
      <c r="E82" s="43"/>
      <c r="F82" s="8" t="str">
        <f>INDEX(meta_Tables[Excel Table - Excel Name],MATCH(meta_Columns[[#This Row],[Owning Table:src]],meta_Tables[ID],0))</f>
        <v>meta_CodeTemplates</v>
      </c>
      <c r="G82" s="44" t="str">
        <f>INDEX(meta_Tables[Instances Class:src],MATCH(meta_Columns[[#This Row],[Owning Table:src]],meta_Tables[ID],0))</f>
        <v>_Object</v>
      </c>
      <c r="H82" s="11" t="s">
        <v>1018</v>
      </c>
      <c r="I82" s="43" t="str">
        <f xml:space="preserve"> IF( TRIM( meta_Columns[[#This Row],[Owning Table:src]] ) = "", "",
        INDEX( meta_Tables[Display Qualified], MATCH( meta_Columns[[#This Row],[Owning Table:src]], meta_Tables[ID], 0 ) ) )</f>
        <v>meta::CodeTemplates</v>
      </c>
      <c r="K82" s="22" t="str">
        <f>IF(TRIM(meta_Columns[[#This Row],[Referenced Table:src]])="","",
    INDEX(meta_Tables[Display Qualified],MATCH(meta_Columns[[#This Row],[Referenced Table:src]],meta_Tables[ID],0)))</f>
        <v/>
      </c>
      <c r="L82" s="8"/>
      <c r="M82" s="22" t="str">
        <f xml:space="preserve"> IF( TRIM( meta_Columns[[#This Row],[Referenced Table Display and Select Column:src]] ) = "", "",
        INDEX( meta_Columns[Display Qualified], MATCH( meta_Columns[[#This Row],[Referenced Table Display and Select Column:src]], meta_Columns[ID], 0 ) ) )</f>
        <v/>
      </c>
      <c r="N82" s="8" t="str">
        <f>IF(meta_Columns[[#This Row],[Excel Column - Excel Formula]]="","x","")</f>
        <v/>
      </c>
      <c r="O82" s="22"/>
      <c r="P82" s="8" t="str">
        <f>IF(meta_Columns[[#This Row],[Referenced Table:src]]="","",INDEX(meta_Tables[Instances Class],MATCH(meta_Columns[[#This Row],[Referenced Table:src]],meta_Tables[ID],0)))</f>
        <v/>
      </c>
      <c r="Q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2" s="8"/>
      <c r="S82" s="22" t="str">
        <f xml:space="preserve"> IF( TRIM( meta_Columns[[#This Row],[Property:src]] ) = "", "",
        INDEX( meta_TypedModelElements[Display Qualified], MATCH( meta_Columns[[#This Row],[Property:src]], meta_TypedModelElements[ID], 0 ) ) )</f>
        <v/>
      </c>
      <c r="T82" s="22"/>
      <c r="U82" s="8" t="e">
        <f>INDEX(meta_Classifiers[Class - Generalization:src], MATCH(meta_Columns[[#This Row],[Generalization 5]],meta_Classifiers[ID],0))</f>
        <v>#N/A</v>
      </c>
      <c r="V82" s="8" t="e">
        <f>INDEX(meta_Classifiers[Class - Generalization:src], MATCH(meta_Columns[[#This Row],[Generalization 4]],meta_Classifiers[ID],0))</f>
        <v>#N/A</v>
      </c>
      <c r="W82" s="8" t="e">
        <f>INDEX(meta_Classifiers[Class - Generalization:src], MATCH(meta_Columns[[#This Row],[Generalization 3]],meta_Classifiers[ID],0))</f>
        <v>#N/A</v>
      </c>
      <c r="X82" s="8" t="e">
        <f>INDEX(meta_Classifiers[Class - Generalization:src], MATCH(meta_Columns[[#This Row],[Generalization 2]],meta_Classifiers[ID],0))</f>
        <v>#N/A</v>
      </c>
      <c r="Y82" s="8" t="e">
        <f>INDEX(meta_Classifiers[Class - Generalization:src], MATCH(meta_Columns[[#This Row],[Generalization 1]],meta_Classifiers[ID],0))</f>
        <v>#N/A</v>
      </c>
      <c r="Z82" s="8" t="str">
        <f>INDEX(meta_Classifiers[Class - Generalization:src], MATCH(meta_Columns[[#This Row],[Owning Table Instances Class]],meta_Classifiers[ID],0))</f>
        <v/>
      </c>
      <c r="AA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2" s="8" t="b">
        <f>_xlfn.IFNA(
INDEX(meta_Classifiers[Class - Generalization:src],MATCH(
INDEX(meta_Classifiers[Class - Generalization:src],MATCH(meta_Columns[[#This Row],[Property Owning Class]],meta_Classifiers[ID],0)),meta_Classifiers[ID],0))
=meta_Columns[[#This Row],[Owning Table Instances Class]],FALSE)</f>
        <v>0</v>
      </c>
      <c r="AG82" s="8" t="b">
        <f>_xlfn.IFNA(INDEX(meta_Classifiers[Class - Generalization:src],MATCH(meta_Columns[[#This Row],[Property Owning Class]],meta_Classifiers[ID],0))=meta_Columns[[#This Row],[Owning Table Instances Class]],FALSE)</f>
        <v>0</v>
      </c>
      <c r="AH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2" s="8" t="e">
        <f>INDEX(meta_Classifiers[Name],MATCH(INDEX(meta_TypedModelElements[Property - Owning Class:src],MATCH(meta_Columns[[#This Row],[Property]],meta_TypedModelElements[ID],0)),meta_Classifiers[ID],0))</f>
        <v>#N/A</v>
      </c>
      <c r="AJ82" s="8" t="e">
        <f>INDEX(meta_TypedModelElements[Property - Owning Class:src],MATCH(meta_Columns[[#This Row],[Property]],meta_TypedModelElements[ID],0))</f>
        <v>#N/A</v>
      </c>
      <c r="AK82" s="8" t="e">
        <f>INDEX(meta_TypedModelElements[Kind:src],MATCH(meta_Columns[[#This Row],[Property]],meta_TypedModelElements[ID],0))</f>
        <v>#N/A</v>
      </c>
      <c r="AL82" s="8" t="e">
        <f>INDEX(meta_TypedModelElements[Name or Type],MATCH(meta_Columns[[#This Row],[Property]],meta_TypedModelElements[ID],0))</f>
        <v>#N/A</v>
      </c>
      <c r="AM82" s="8" t="e">
        <f>INDEX(meta_TypedModelElements[Property - Changeable],MATCH(meta_Columns[[#This Row],[Property]],meta_TypedModelElements[ID],0))</f>
        <v>#N/A</v>
      </c>
      <c r="AN82" s="43">
        <v>6</v>
      </c>
      <c r="AO82" s="22"/>
      <c r="AP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2" s="8" t="str">
        <f xml:space="preserve"> IF(meta_Columns[[#This Row],[Property Owning Class is Specialization of Instance Class]],meta_Columns[[#This Row],[Property Owning Class Name]]&amp;" - ","")</f>
        <v/>
      </c>
      <c r="AR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2" s="8" t="str">
        <f>IFERROR(LEFT(meta_Columns[[#This Row],[Excel Column - Label Actual without Semantic Case]],FIND("-",
meta_Columns[[#This Row],[Excel Column - Label Actual without Semantic Case]])-2),"")</f>
        <v/>
      </c>
      <c r="AU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82" s="22"/>
      <c r="AY82" s="8" t="str">
        <f>meta_Columns[[#This Row],[Owning Table]]&amp;"."&amp;meta_Columns[[#This Row],[Excel Column - Label]]</f>
        <v>meta::CodeTemplates.Display:q</v>
      </c>
      <c r="AZ82" s="22" t="s">
        <v>141</v>
      </c>
      <c r="BA82" s="44" t="str">
        <f>IF(TRIM(meta_Columns[[#This Row],[Excel Column - Label Overwrite]])&lt;&gt;"",meta_Columns[[#This Row],[Excel Column - Label Overwrite]],meta_Columns[[#This Row],[Excel Column - Label from Property or Referenced Table]])</f>
        <v>Display:q</v>
      </c>
      <c r="BB82" s="43" t="s">
        <v>873</v>
      </c>
      <c r="BC82" s="44" t="str">
        <f>IF(meta_Columns[[#This Row],[Excel Column - Explicit Excel Formula]]="","",meta_Columns[[#This Row],[Excel Column - Explicit Excel Formula]])</f>
        <v>Formula:=IF(TRIM([@Package])="","",TRIM(LOWER([@Package]))&amp;"::")&amp;[@Display]</v>
      </c>
      <c r="BD82" s="5"/>
      <c r="BE82" s="5"/>
    </row>
    <row r="83" spans="1:57">
      <c r="A83" s="10" t="s">
        <v>1075</v>
      </c>
      <c r="B83" s="11" t="s">
        <v>546</v>
      </c>
      <c r="C83" s="22" t="str">
        <f xml:space="preserve"> IF( TRIM( meta_Columns[[#This Row],[Kind:src]] ) = "", "",
        INDEX( meta_Classifiers[Display Qualified], MATCH( meta_Columns[[#This Row],[Kind:src]], meta_Classifiers[ID], 0 ) ) )</f>
        <v>ExcelColumn</v>
      </c>
      <c r="D83" s="44" t="str">
        <f>IF(meta_Columns[[#This Row],[Owning Table:src]]="","",INDEX(meta_Classifiers[Package],MATCH(meta_Columns[[#This Row],[Owning Table Instances Class]],meta_Classifiers[ID],0)))</f>
        <v>meta</v>
      </c>
      <c r="E83" s="43"/>
      <c r="F83" s="8" t="str">
        <f>INDEX(meta_Tables[Excel Table - Excel Name],MATCH(meta_Columns[[#This Row],[Owning Table:src]],meta_Tables[ID],0))</f>
        <v>meta_CodeTemplates</v>
      </c>
      <c r="G83" s="44" t="str">
        <f>INDEX(meta_Tables[Instances Class:src],MATCH(meta_Columns[[#This Row],[Owning Table:src]],meta_Tables[ID],0))</f>
        <v>_Object</v>
      </c>
      <c r="H83" s="11" t="s">
        <v>1018</v>
      </c>
      <c r="I83" s="43" t="str">
        <f xml:space="preserve"> IF( TRIM( meta_Columns[[#This Row],[Owning Table:src]] ) = "", "",
        INDEX( meta_Tables[Display Qualified], MATCH( meta_Columns[[#This Row],[Owning Table:src]], meta_Tables[ID], 0 ) ) )</f>
        <v>meta::CodeTemplates</v>
      </c>
      <c r="K83" s="22" t="str">
        <f>IF(TRIM(meta_Columns[[#This Row],[Referenced Table:src]])="","",
    INDEX(meta_Tables[Display Qualified],MATCH(meta_Columns[[#This Row],[Referenced Table:src]],meta_Tables[ID],0)))</f>
        <v/>
      </c>
      <c r="L83" s="8"/>
      <c r="M83" s="22" t="str">
        <f xml:space="preserve"> IF( TRIM( meta_Columns[[#This Row],[Referenced Table Display and Select Column:src]] ) = "", "",
        INDEX( meta_Columns[Display Qualified], MATCH( meta_Columns[[#This Row],[Referenced Table Display and Select Column:src]], meta_Columns[ID], 0 ) ) )</f>
        <v/>
      </c>
      <c r="N83" s="8" t="str">
        <f>IF(meta_Columns[[#This Row],[Excel Column - Excel Formula]]="","x","")</f>
        <v/>
      </c>
      <c r="O83" s="22"/>
      <c r="P83" s="8" t="str">
        <f>IF(meta_Columns[[#This Row],[Referenced Table:src]]="","",INDEX(meta_Tables[Instances Class],MATCH(meta_Columns[[#This Row],[Referenced Table:src]],meta_Tables[ID],0)))</f>
        <v/>
      </c>
      <c r="Q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3" s="8"/>
      <c r="S83" s="22" t="str">
        <f xml:space="preserve"> IF( TRIM( meta_Columns[[#This Row],[Property:src]] ) = "", "",
        INDEX( meta_TypedModelElements[Display Qualified], MATCH( meta_Columns[[#This Row],[Property:src]], meta_TypedModelElements[ID], 0 ) ) )</f>
        <v/>
      </c>
      <c r="T83" s="22"/>
      <c r="U83" s="8" t="e">
        <f>INDEX(meta_Classifiers[Class - Generalization:src], MATCH(meta_Columns[[#This Row],[Generalization 5]],meta_Classifiers[ID],0))</f>
        <v>#N/A</v>
      </c>
      <c r="V83" s="8" t="e">
        <f>INDEX(meta_Classifiers[Class - Generalization:src], MATCH(meta_Columns[[#This Row],[Generalization 4]],meta_Classifiers[ID],0))</f>
        <v>#N/A</v>
      </c>
      <c r="W83" s="8" t="e">
        <f>INDEX(meta_Classifiers[Class - Generalization:src], MATCH(meta_Columns[[#This Row],[Generalization 3]],meta_Classifiers[ID],0))</f>
        <v>#N/A</v>
      </c>
      <c r="X83" s="8" t="e">
        <f>INDEX(meta_Classifiers[Class - Generalization:src], MATCH(meta_Columns[[#This Row],[Generalization 2]],meta_Classifiers[ID],0))</f>
        <v>#N/A</v>
      </c>
      <c r="Y83" s="8" t="e">
        <f>INDEX(meta_Classifiers[Class - Generalization:src], MATCH(meta_Columns[[#This Row],[Generalization 1]],meta_Classifiers[ID],0))</f>
        <v>#N/A</v>
      </c>
      <c r="Z83" s="8" t="str">
        <f>INDEX(meta_Classifiers[Class - Generalization:src], MATCH(meta_Columns[[#This Row],[Owning Table Instances Class]],meta_Classifiers[ID],0))</f>
        <v/>
      </c>
      <c r="AA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3" s="8" t="b">
        <f>_xlfn.IFNA(
INDEX(meta_Classifiers[Class - Generalization:src],MATCH(
INDEX(meta_Classifiers[Class - Generalization:src],MATCH(meta_Columns[[#This Row],[Property Owning Class]],meta_Classifiers[ID],0)),meta_Classifiers[ID],0))
=meta_Columns[[#This Row],[Owning Table Instances Class]],FALSE)</f>
        <v>0</v>
      </c>
      <c r="AG83" s="8" t="b">
        <f>_xlfn.IFNA(INDEX(meta_Classifiers[Class - Generalization:src],MATCH(meta_Columns[[#This Row],[Property Owning Class]],meta_Classifiers[ID],0))=meta_Columns[[#This Row],[Owning Table Instances Class]],FALSE)</f>
        <v>0</v>
      </c>
      <c r="AH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3" s="8" t="e">
        <f>INDEX(meta_Classifiers[Name],MATCH(INDEX(meta_TypedModelElements[Property - Owning Class:src],MATCH(meta_Columns[[#This Row],[Property]],meta_TypedModelElements[ID],0)),meta_Classifiers[ID],0))</f>
        <v>#N/A</v>
      </c>
      <c r="AJ83" s="8" t="e">
        <f>INDEX(meta_TypedModelElements[Property - Owning Class:src],MATCH(meta_Columns[[#This Row],[Property]],meta_TypedModelElements[ID],0))</f>
        <v>#N/A</v>
      </c>
      <c r="AK83" s="8" t="e">
        <f>INDEX(meta_TypedModelElements[Kind:src],MATCH(meta_Columns[[#This Row],[Property]],meta_TypedModelElements[ID],0))</f>
        <v>#N/A</v>
      </c>
      <c r="AL83" s="8" t="e">
        <f>INDEX(meta_TypedModelElements[Name or Type],MATCH(meta_Columns[[#This Row],[Property]],meta_TypedModelElements[ID],0))</f>
        <v>#N/A</v>
      </c>
      <c r="AM83" s="8" t="e">
        <f>INDEX(meta_TypedModelElements[Property - Changeable],MATCH(meta_Columns[[#This Row],[Property]],meta_TypedModelElements[ID],0))</f>
        <v>#N/A</v>
      </c>
      <c r="AN83" s="43">
        <v>7</v>
      </c>
      <c r="AO83" s="22"/>
      <c r="AP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3" s="8" t="str">
        <f xml:space="preserve"> IF(meta_Columns[[#This Row],[Property Owning Class is Specialization of Instance Class]],meta_Columns[[#This Row],[Property Owning Class Name]]&amp;" - ","")</f>
        <v/>
      </c>
      <c r="AR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3" s="8" t="str">
        <f>IFERROR(LEFT(meta_Columns[[#This Row],[Excel Column - Label Actual without Semantic Case]],FIND("-",
meta_Columns[[#This Row],[Excel Column - Label Actual without Semantic Case]])-2),"")</f>
        <v/>
      </c>
      <c r="AU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83" s="22"/>
      <c r="AY83" s="8" t="str">
        <f>meta_Columns[[#This Row],[Owning Table]]&amp;"."&amp;meta_Columns[[#This Row],[Excel Column - Label]]</f>
        <v>meta::CodeTemplates.Display</v>
      </c>
      <c r="AZ83" s="22" t="s">
        <v>32</v>
      </c>
      <c r="BA83" s="44" t="str">
        <f>IF(TRIM(meta_Columns[[#This Row],[Excel Column - Label Overwrite]])&lt;&gt;"",meta_Columns[[#This Row],[Excel Column - Label Overwrite]],meta_Columns[[#This Row],[Excel Column - Label from Property or Referenced Table]])</f>
        <v>Display</v>
      </c>
      <c r="BB83" s="43" t="s">
        <v>908</v>
      </c>
      <c r="BC83" s="44" t="str">
        <f>IF(meta_Columns[[#This Row],[Excel Column - Explicit Excel Formula]]="","",meta_Columns[[#This Row],[Excel Column - Explicit Excel Formula]])</f>
        <v>Formula:=TRIM(SUBSTITUTE([@[Template Begin]]," ",""))</v>
      </c>
      <c r="BD83" s="5"/>
      <c r="BE83" s="5"/>
    </row>
    <row r="84" spans="1:57">
      <c r="A84" s="10" t="s">
        <v>1076</v>
      </c>
      <c r="B84" s="11" t="s">
        <v>546</v>
      </c>
      <c r="C84" s="22" t="str">
        <f xml:space="preserve"> IF( TRIM( meta_Columns[[#This Row],[Kind:src]] ) = "", "",
        INDEX( meta_Classifiers[Display Qualified], MATCH( meta_Columns[[#This Row],[Kind:src]], meta_Classifiers[ID], 0 ) ) )</f>
        <v>ExcelColumn</v>
      </c>
      <c r="D84" s="44" t="str">
        <f>IF(meta_Columns[[#This Row],[Owning Table:src]]="","",INDEX(meta_Classifiers[Package],MATCH(meta_Columns[[#This Row],[Owning Table Instances Class]],meta_Classifiers[ID],0)))</f>
        <v>meta</v>
      </c>
      <c r="E84" s="43"/>
      <c r="F84" s="8" t="str">
        <f>INDEX(meta_Tables[Excel Table - Excel Name],MATCH(meta_Columns[[#This Row],[Owning Table:src]],meta_Tables[ID],0))</f>
        <v>meta_CodeTemplates</v>
      </c>
      <c r="G84" s="44" t="str">
        <f>INDEX(meta_Tables[Instances Class:src],MATCH(meta_Columns[[#This Row],[Owning Table:src]],meta_Tables[ID],0))</f>
        <v>_Object</v>
      </c>
      <c r="H84" s="11" t="s">
        <v>1018</v>
      </c>
      <c r="I84" s="43" t="str">
        <f xml:space="preserve"> IF( TRIM( meta_Columns[[#This Row],[Owning Table:src]] ) = "", "",
        INDEX( meta_Tables[Display Qualified], MATCH( meta_Columns[[#This Row],[Owning Table:src]], meta_Tables[ID], 0 ) ) )</f>
        <v>meta::CodeTemplates</v>
      </c>
      <c r="K84" s="22" t="str">
        <f>IF(TRIM(meta_Columns[[#This Row],[Referenced Table:src]])="","",
    INDEX(meta_Tables[Display Qualified],MATCH(meta_Columns[[#This Row],[Referenced Table:src]],meta_Tables[ID],0)))</f>
        <v/>
      </c>
      <c r="L84" s="8"/>
      <c r="M84" s="22" t="str">
        <f xml:space="preserve"> IF( TRIM( meta_Columns[[#This Row],[Referenced Table Display and Select Column:src]] ) = "", "",
        INDEX( meta_Columns[Display Qualified], MATCH( meta_Columns[[#This Row],[Referenced Table Display and Select Column:src]], meta_Columns[ID], 0 ) ) )</f>
        <v/>
      </c>
      <c r="N84" s="8" t="str">
        <f>IF(meta_Columns[[#This Row],[Excel Column - Excel Formula]]="","x","")</f>
        <v>x</v>
      </c>
      <c r="O84" s="22"/>
      <c r="P84" s="8" t="str">
        <f>IF(meta_Columns[[#This Row],[Referenced Table:src]]="","",INDEX(meta_Tables[Instances Class],MATCH(meta_Columns[[#This Row],[Referenced Table:src]],meta_Tables[ID],0)))</f>
        <v/>
      </c>
      <c r="Q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meta::Object.whereClause</v>
      </c>
      <c r="R84" s="8"/>
      <c r="S84" s="22" t="str">
        <f xml:space="preserve"> IF( TRIM( meta_Columns[[#This Row],[Property:src]] ) = "", "",
        INDEX( meta_TypedModelElements[Display Qualified], MATCH( meta_Columns[[#This Row],[Property:src]], meta_TypedModelElements[ID], 0 ) ) )</f>
        <v/>
      </c>
      <c r="T84" s="22"/>
      <c r="U84" s="8" t="e">
        <f>INDEX(meta_Classifiers[Class - Generalization:src], MATCH(meta_Columns[[#This Row],[Generalization 5]],meta_Classifiers[ID],0))</f>
        <v>#N/A</v>
      </c>
      <c r="V84" s="8" t="e">
        <f>INDEX(meta_Classifiers[Class - Generalization:src], MATCH(meta_Columns[[#This Row],[Generalization 4]],meta_Classifiers[ID],0))</f>
        <v>#N/A</v>
      </c>
      <c r="W84" s="8" t="e">
        <f>INDEX(meta_Classifiers[Class - Generalization:src], MATCH(meta_Columns[[#This Row],[Generalization 3]],meta_Classifiers[ID],0))</f>
        <v>#N/A</v>
      </c>
      <c r="X84" s="8" t="e">
        <f>INDEX(meta_Classifiers[Class - Generalization:src], MATCH(meta_Columns[[#This Row],[Generalization 2]],meta_Classifiers[ID],0))</f>
        <v>#N/A</v>
      </c>
      <c r="Y84" s="8" t="e">
        <f>INDEX(meta_Classifiers[Class - Generalization:src], MATCH(meta_Columns[[#This Row],[Generalization 1]],meta_Classifiers[ID],0))</f>
        <v>#N/A</v>
      </c>
      <c r="Z84" s="8" t="str">
        <f>INDEX(meta_Classifiers[Class - Generalization:src], MATCH(meta_Columns[[#This Row],[Owning Table Instances Class]],meta_Classifiers[ID],0))</f>
        <v/>
      </c>
      <c r="AA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4" s="8" t="b">
        <f>_xlfn.IFNA(
INDEX(meta_Classifiers[Class - Generalization:src],MATCH(
INDEX(meta_Classifiers[Class - Generalization:src],MATCH(meta_Columns[[#This Row],[Property Owning Class]],meta_Classifiers[ID],0)),meta_Classifiers[ID],0))
=meta_Columns[[#This Row],[Owning Table Instances Class]],FALSE)</f>
        <v>0</v>
      </c>
      <c r="AG84" s="8" t="b">
        <f>_xlfn.IFNA(INDEX(meta_Classifiers[Class - Generalization:src],MATCH(meta_Columns[[#This Row],[Property Owning Class]],meta_Classifiers[ID],0))=meta_Columns[[#This Row],[Owning Table Instances Class]],FALSE)</f>
        <v>0</v>
      </c>
      <c r="AH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4" s="8" t="e">
        <f>INDEX(meta_Classifiers[Name],MATCH(INDEX(meta_TypedModelElements[Property - Owning Class:src],MATCH(meta_Columns[[#This Row],[Property]],meta_TypedModelElements[ID],0)),meta_Classifiers[ID],0))</f>
        <v>#N/A</v>
      </c>
      <c r="AJ84" s="8" t="e">
        <f>INDEX(meta_TypedModelElements[Property - Owning Class:src],MATCH(meta_Columns[[#This Row],[Property]],meta_TypedModelElements[ID],0))</f>
        <v>#N/A</v>
      </c>
      <c r="AK84" s="8" t="e">
        <f>INDEX(meta_TypedModelElements[Kind:src],MATCH(meta_Columns[[#This Row],[Property]],meta_TypedModelElements[ID],0))</f>
        <v>#N/A</v>
      </c>
      <c r="AL84" s="8" t="e">
        <f>INDEX(meta_TypedModelElements[Name or Type],MATCH(meta_Columns[[#This Row],[Property]],meta_TypedModelElements[ID],0))</f>
        <v>#N/A</v>
      </c>
      <c r="AM84" s="8" t="e">
        <f>INDEX(meta_TypedModelElements[Property - Changeable],MATCH(meta_Columns[[#This Row],[Property]],meta_TypedModelElements[ID],0))</f>
        <v>#N/A</v>
      </c>
      <c r="AN84" s="43">
        <v>8</v>
      </c>
      <c r="AO84" s="22">
        <v>6</v>
      </c>
      <c r="AP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4" s="8" t="str">
        <f xml:space="preserve"> IF(meta_Columns[[#This Row],[Property Owning Class is Specialization of Instance Class]],meta_Columns[[#This Row],[Property Owning Class Name]]&amp;" - ","")</f>
        <v/>
      </c>
      <c r="AR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Where Clause</v>
      </c>
      <c r="AT84" s="8" t="str">
        <f>IFERROR(LEFT(meta_Columns[[#This Row],[Excel Column - Label Actual without Semantic Case]],FIND("-",
meta_Columns[[#This Row],[Excel Column - Label Actual without Semantic Case]])-2),"")</f>
        <v/>
      </c>
      <c r="AU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Where Clause</v>
      </c>
      <c r="AV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Where Clause</v>
      </c>
      <c r="AX84" s="22"/>
      <c r="AY84" s="8" t="str">
        <f>meta_Columns[[#This Row],[Owning Table]]&amp;"."&amp;meta_Columns[[#This Row],[Excel Column - Label]]</f>
        <v>meta::CodeTemplates.Where Clause</v>
      </c>
      <c r="AZ84" s="22" t="s">
        <v>536</v>
      </c>
      <c r="BA84" s="44" t="str">
        <f>IF(TRIM(meta_Columns[[#This Row],[Excel Column - Label Overwrite]])&lt;&gt;"",meta_Columns[[#This Row],[Excel Column - Label Overwrite]],meta_Columns[[#This Row],[Excel Column - Label from Property or Referenced Table]])</f>
        <v>Where Clause</v>
      </c>
      <c r="BB84" s="43"/>
      <c r="BC84" s="44" t="str">
        <f>IF(meta_Columns[[#This Row],[Excel Column - Explicit Excel Formula]]="","",meta_Columns[[#This Row],[Excel Column - Explicit Excel Formula]])</f>
        <v/>
      </c>
      <c r="BD84" s="5"/>
      <c r="BE84" s="5"/>
    </row>
    <row r="85" spans="1:57">
      <c r="A85" s="10" t="s">
        <v>1077</v>
      </c>
      <c r="B85" s="11" t="s">
        <v>546</v>
      </c>
      <c r="C85" s="22" t="str">
        <f xml:space="preserve"> IF( TRIM( meta_Columns[[#This Row],[Kind:src]] ) = "", "",
        INDEX( meta_Classifiers[Display Qualified], MATCH( meta_Columns[[#This Row],[Kind:src]], meta_Classifiers[ID], 0 ) ) )</f>
        <v>ExcelColumn</v>
      </c>
      <c r="D85" s="44" t="str">
        <f>IF(meta_Columns[[#This Row],[Owning Table:src]]="","",INDEX(meta_Classifiers[Package],MATCH(meta_Columns[[#This Row],[Owning Table Instances Class]],meta_Classifiers[ID],0)))</f>
        <v>meta</v>
      </c>
      <c r="E85" s="43"/>
      <c r="F85" s="8" t="str">
        <f>INDEX(meta_Tables[Excel Table - Excel Name],MATCH(meta_Columns[[#This Row],[Owning Table:src]],meta_Tables[ID],0))</f>
        <v>meta_CodeTemplates</v>
      </c>
      <c r="G85" s="44" t="str">
        <f>INDEX(meta_Tables[Instances Class:src],MATCH(meta_Columns[[#This Row],[Owning Table:src]],meta_Tables[ID],0))</f>
        <v>_Object</v>
      </c>
      <c r="H85" s="11" t="s">
        <v>1018</v>
      </c>
      <c r="I85" s="43" t="str">
        <f xml:space="preserve"> IF( TRIM( meta_Columns[[#This Row],[Owning Table:src]] ) = "", "",
        INDEX( meta_Tables[Display Qualified], MATCH( meta_Columns[[#This Row],[Owning Table:src]], meta_Tables[ID], 0 ) ) )</f>
        <v>meta::CodeTemplates</v>
      </c>
      <c r="K85" s="22" t="str">
        <f>IF(TRIM(meta_Columns[[#This Row],[Referenced Table:src]])="","",
    INDEX(meta_Tables[Display Qualified],MATCH(meta_Columns[[#This Row],[Referenced Table:src]],meta_Tables[ID],0)))</f>
        <v/>
      </c>
      <c r="L85" s="8"/>
      <c r="M85" s="22" t="str">
        <f xml:space="preserve"> IF( TRIM( meta_Columns[[#This Row],[Referenced Table Display and Select Column:src]] ) = "", "",
        INDEX( meta_Columns[Display Qualified], MATCH( meta_Columns[[#This Row],[Referenced Table Display and Select Column:src]], meta_Columns[ID], 0 ) ) )</f>
        <v/>
      </c>
      <c r="N85" s="8" t="str">
        <f>IF(meta_Columns[[#This Row],[Excel Column - Excel Formula]]="","x","")</f>
        <v>x</v>
      </c>
      <c r="O85" s="22"/>
      <c r="P85" s="8" t="str">
        <f>IF(meta_Columns[[#This Row],[Referenced Table:src]]="","",INDEX(meta_Tables[Instances Class],MATCH(meta_Columns[[#This Row],[Referenced Table:src]],meta_Tables[ID],0)))</f>
        <v/>
      </c>
      <c r="Q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meta::Object.templateBegin</v>
      </c>
      <c r="R85" s="8"/>
      <c r="S85" s="22" t="str">
        <f xml:space="preserve"> IF( TRIM( meta_Columns[[#This Row],[Property:src]] ) = "", "",
        INDEX( meta_TypedModelElements[Display Qualified], MATCH( meta_Columns[[#This Row],[Property:src]], meta_TypedModelElements[ID], 0 ) ) )</f>
        <v/>
      </c>
      <c r="T85" s="22"/>
      <c r="U85" s="8" t="e">
        <f>INDEX(meta_Classifiers[Class - Generalization:src], MATCH(meta_Columns[[#This Row],[Generalization 5]],meta_Classifiers[ID],0))</f>
        <v>#N/A</v>
      </c>
      <c r="V85" s="8" t="e">
        <f>INDEX(meta_Classifiers[Class - Generalization:src], MATCH(meta_Columns[[#This Row],[Generalization 4]],meta_Classifiers[ID],0))</f>
        <v>#N/A</v>
      </c>
      <c r="W85" s="8" t="e">
        <f>INDEX(meta_Classifiers[Class - Generalization:src], MATCH(meta_Columns[[#This Row],[Generalization 3]],meta_Classifiers[ID],0))</f>
        <v>#N/A</v>
      </c>
      <c r="X85" s="8" t="e">
        <f>INDEX(meta_Classifiers[Class - Generalization:src], MATCH(meta_Columns[[#This Row],[Generalization 2]],meta_Classifiers[ID],0))</f>
        <v>#N/A</v>
      </c>
      <c r="Y85" s="8" t="e">
        <f>INDEX(meta_Classifiers[Class - Generalization:src], MATCH(meta_Columns[[#This Row],[Generalization 1]],meta_Classifiers[ID],0))</f>
        <v>#N/A</v>
      </c>
      <c r="Z85" s="8" t="str">
        <f>INDEX(meta_Classifiers[Class - Generalization:src], MATCH(meta_Columns[[#This Row],[Owning Table Instances Class]],meta_Classifiers[ID],0))</f>
        <v/>
      </c>
      <c r="AA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5" s="8" t="b">
        <f>_xlfn.IFNA(
INDEX(meta_Classifiers[Class - Generalization:src],MATCH(
INDEX(meta_Classifiers[Class - Generalization:src],MATCH(meta_Columns[[#This Row],[Property Owning Class]],meta_Classifiers[ID],0)),meta_Classifiers[ID],0))
=meta_Columns[[#This Row],[Owning Table Instances Class]],FALSE)</f>
        <v>0</v>
      </c>
      <c r="AG85" s="8" t="b">
        <f>_xlfn.IFNA(INDEX(meta_Classifiers[Class - Generalization:src],MATCH(meta_Columns[[#This Row],[Property Owning Class]],meta_Classifiers[ID],0))=meta_Columns[[#This Row],[Owning Table Instances Class]],FALSE)</f>
        <v>0</v>
      </c>
      <c r="AH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5" s="8" t="e">
        <f>INDEX(meta_Classifiers[Name],MATCH(INDEX(meta_TypedModelElements[Property - Owning Class:src],MATCH(meta_Columns[[#This Row],[Property]],meta_TypedModelElements[ID],0)),meta_Classifiers[ID],0))</f>
        <v>#N/A</v>
      </c>
      <c r="AJ85" s="8" t="e">
        <f>INDEX(meta_TypedModelElements[Property - Owning Class:src],MATCH(meta_Columns[[#This Row],[Property]],meta_TypedModelElements[ID],0))</f>
        <v>#N/A</v>
      </c>
      <c r="AK85" s="8" t="e">
        <f>INDEX(meta_TypedModelElements[Kind:src],MATCH(meta_Columns[[#This Row],[Property]],meta_TypedModelElements[ID],0))</f>
        <v>#N/A</v>
      </c>
      <c r="AL85" s="8" t="e">
        <f>INDEX(meta_TypedModelElements[Name or Type],MATCH(meta_Columns[[#This Row],[Property]],meta_TypedModelElements[ID],0))</f>
        <v>#N/A</v>
      </c>
      <c r="AM85" s="8" t="e">
        <f>INDEX(meta_TypedModelElements[Property - Changeable],MATCH(meta_Columns[[#This Row],[Property]],meta_TypedModelElements[ID],0))</f>
        <v>#N/A</v>
      </c>
      <c r="AN85" s="43">
        <v>9</v>
      </c>
      <c r="AO85" s="22">
        <v>7</v>
      </c>
      <c r="AP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5" s="8" t="str">
        <f xml:space="preserve"> IF(meta_Columns[[#This Row],[Property Owning Class is Specialization of Instance Class]],meta_Columns[[#This Row],[Property Owning Class Name]]&amp;" - ","")</f>
        <v/>
      </c>
      <c r="AR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Begin</v>
      </c>
      <c r="AT85" s="8" t="str">
        <f>IFERROR(LEFT(meta_Columns[[#This Row],[Excel Column - Label Actual without Semantic Case]],FIND("-",
meta_Columns[[#This Row],[Excel Column - Label Actual without Semantic Case]])-2),"")</f>
        <v/>
      </c>
      <c r="AU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Begin</v>
      </c>
      <c r="AV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Begin</v>
      </c>
      <c r="AX85" s="22"/>
      <c r="AY85" s="8" t="str">
        <f>meta_Columns[[#This Row],[Owning Table]]&amp;"."&amp;meta_Columns[[#This Row],[Excel Column - Label]]</f>
        <v>meta::CodeTemplates.Template Begin</v>
      </c>
      <c r="AZ85" s="22" t="s">
        <v>506</v>
      </c>
      <c r="BA85" s="44" t="str">
        <f>IF(TRIM(meta_Columns[[#This Row],[Excel Column - Label Overwrite]])&lt;&gt;"",meta_Columns[[#This Row],[Excel Column - Label Overwrite]],meta_Columns[[#This Row],[Excel Column - Label from Property or Referenced Table]])</f>
        <v>Template Begin</v>
      </c>
      <c r="BB85" s="43"/>
      <c r="BC85" s="44" t="str">
        <f>IF(meta_Columns[[#This Row],[Excel Column - Explicit Excel Formula]]="","",meta_Columns[[#This Row],[Excel Column - Explicit Excel Formula]])</f>
        <v/>
      </c>
      <c r="BD85" s="5"/>
      <c r="BE85" s="5"/>
    </row>
    <row r="86" spans="1:57">
      <c r="A86" s="10" t="s">
        <v>1078</v>
      </c>
      <c r="B86" s="11" t="s">
        <v>546</v>
      </c>
      <c r="C86" s="22" t="str">
        <f xml:space="preserve"> IF( TRIM( meta_Columns[[#This Row],[Kind:src]] ) = "", "",
        INDEX( meta_Classifiers[Display Qualified], MATCH( meta_Columns[[#This Row],[Kind:src]], meta_Classifiers[ID], 0 ) ) )</f>
        <v>ExcelColumn</v>
      </c>
      <c r="D86" s="44" t="str">
        <f>IF(meta_Columns[[#This Row],[Owning Table:src]]="","",INDEX(meta_Classifiers[Package],MATCH(meta_Columns[[#This Row],[Owning Table Instances Class]],meta_Classifiers[ID],0)))</f>
        <v>meta</v>
      </c>
      <c r="E86" s="43"/>
      <c r="F86" s="8" t="str">
        <f>INDEX(meta_Tables[Excel Table - Excel Name],MATCH(meta_Columns[[#This Row],[Owning Table:src]],meta_Tables[ID],0))</f>
        <v>meta_CodeTemplates</v>
      </c>
      <c r="G86" s="44" t="str">
        <f>INDEX(meta_Tables[Instances Class:src],MATCH(meta_Columns[[#This Row],[Owning Table:src]],meta_Tables[ID],0))</f>
        <v>_Object</v>
      </c>
      <c r="H86" s="11" t="s">
        <v>1018</v>
      </c>
      <c r="I86" s="43" t="str">
        <f xml:space="preserve"> IF( TRIM( meta_Columns[[#This Row],[Owning Table:src]] ) = "", "",
        INDEX( meta_Tables[Display Qualified], MATCH( meta_Columns[[#This Row],[Owning Table:src]], meta_Tables[ID], 0 ) ) )</f>
        <v>meta::CodeTemplates</v>
      </c>
      <c r="K86" s="22" t="str">
        <f>IF(TRIM(meta_Columns[[#This Row],[Referenced Table:src]])="","",
    INDEX(meta_Tables[Display Qualified],MATCH(meta_Columns[[#This Row],[Referenced Table:src]],meta_Tables[ID],0)))</f>
        <v/>
      </c>
      <c r="L86" s="8"/>
      <c r="M86" s="22" t="str">
        <f xml:space="preserve"> IF( TRIM( meta_Columns[[#This Row],[Referenced Table Display and Select Column:src]] ) = "", "",
        INDEX( meta_Columns[Display Qualified], MATCH( meta_Columns[[#This Row],[Referenced Table Display and Select Column:src]], meta_Columns[ID], 0 ) ) )</f>
        <v/>
      </c>
      <c r="N86" s="8" t="str">
        <f>IF(meta_Columns[[#This Row],[Excel Column - Excel Formula]]="","x","")</f>
        <v>x</v>
      </c>
      <c r="O86" s="22"/>
      <c r="P86" s="8" t="str">
        <f>IF(meta_Columns[[#This Row],[Referenced Table:src]]="","",INDEX(meta_Tables[Instances Class],MATCH(meta_Columns[[#This Row],[Referenced Table:src]],meta_Tables[ID],0)))</f>
        <v/>
      </c>
      <c r="Q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meta::Object.matchedPatern1</v>
      </c>
      <c r="R86" s="8"/>
      <c r="S86" s="22" t="str">
        <f xml:space="preserve"> IF( TRIM( meta_Columns[[#This Row],[Property:src]] ) = "", "",
        INDEX( meta_TypedModelElements[Display Qualified], MATCH( meta_Columns[[#This Row],[Property:src]], meta_TypedModelElements[ID], 0 ) ) )</f>
        <v/>
      </c>
      <c r="T86" s="22"/>
      <c r="U86" s="8" t="e">
        <f>INDEX(meta_Classifiers[Class - Generalization:src], MATCH(meta_Columns[[#This Row],[Generalization 5]],meta_Classifiers[ID],0))</f>
        <v>#N/A</v>
      </c>
      <c r="V86" s="8" t="e">
        <f>INDEX(meta_Classifiers[Class - Generalization:src], MATCH(meta_Columns[[#This Row],[Generalization 4]],meta_Classifiers[ID],0))</f>
        <v>#N/A</v>
      </c>
      <c r="W86" s="8" t="e">
        <f>INDEX(meta_Classifiers[Class - Generalization:src], MATCH(meta_Columns[[#This Row],[Generalization 3]],meta_Classifiers[ID],0))</f>
        <v>#N/A</v>
      </c>
      <c r="X86" s="8" t="e">
        <f>INDEX(meta_Classifiers[Class - Generalization:src], MATCH(meta_Columns[[#This Row],[Generalization 2]],meta_Classifiers[ID],0))</f>
        <v>#N/A</v>
      </c>
      <c r="Y86" s="8" t="e">
        <f>INDEX(meta_Classifiers[Class - Generalization:src], MATCH(meta_Columns[[#This Row],[Generalization 1]],meta_Classifiers[ID],0))</f>
        <v>#N/A</v>
      </c>
      <c r="Z86" s="8" t="str">
        <f>INDEX(meta_Classifiers[Class - Generalization:src], MATCH(meta_Columns[[#This Row],[Owning Table Instances Class]],meta_Classifiers[ID],0))</f>
        <v/>
      </c>
      <c r="AA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6" s="8" t="b">
        <f>_xlfn.IFNA(
INDEX(meta_Classifiers[Class - Generalization:src],MATCH(
INDEX(meta_Classifiers[Class - Generalization:src],MATCH(meta_Columns[[#This Row],[Property Owning Class]],meta_Classifiers[ID],0)),meta_Classifiers[ID],0))
=meta_Columns[[#This Row],[Owning Table Instances Class]],FALSE)</f>
        <v>0</v>
      </c>
      <c r="AG86" s="8" t="b">
        <f>_xlfn.IFNA(INDEX(meta_Classifiers[Class - Generalization:src],MATCH(meta_Columns[[#This Row],[Property Owning Class]],meta_Classifiers[ID],0))=meta_Columns[[#This Row],[Owning Table Instances Class]],FALSE)</f>
        <v>0</v>
      </c>
      <c r="AH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6" s="8" t="e">
        <f>INDEX(meta_Classifiers[Name],MATCH(INDEX(meta_TypedModelElements[Property - Owning Class:src],MATCH(meta_Columns[[#This Row],[Property]],meta_TypedModelElements[ID],0)),meta_Classifiers[ID],0))</f>
        <v>#N/A</v>
      </c>
      <c r="AJ86" s="8" t="e">
        <f>INDEX(meta_TypedModelElements[Property - Owning Class:src],MATCH(meta_Columns[[#This Row],[Property]],meta_TypedModelElements[ID],0))</f>
        <v>#N/A</v>
      </c>
      <c r="AK86" s="8" t="e">
        <f>INDEX(meta_TypedModelElements[Kind:src],MATCH(meta_Columns[[#This Row],[Property]],meta_TypedModelElements[ID],0))</f>
        <v>#N/A</v>
      </c>
      <c r="AL86" s="8" t="e">
        <f>INDEX(meta_TypedModelElements[Name or Type],MATCH(meta_Columns[[#This Row],[Property]],meta_TypedModelElements[ID],0))</f>
        <v>#N/A</v>
      </c>
      <c r="AM86" s="8" t="e">
        <f>INDEX(meta_TypedModelElements[Property - Changeable],MATCH(meta_Columns[[#This Row],[Property]],meta_TypedModelElements[ID],0))</f>
        <v>#N/A</v>
      </c>
      <c r="AN86" s="43">
        <v>10</v>
      </c>
      <c r="AO86" s="22">
        <v>8</v>
      </c>
      <c r="AP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6" s="8" t="str">
        <f xml:space="preserve"> IF(meta_Columns[[#This Row],[Property Owning Class is Specialization of Instance Class]],meta_Columns[[#This Row],[Property Owning Class Name]]&amp;" - ","")</f>
        <v/>
      </c>
      <c r="AR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Patern 1</v>
      </c>
      <c r="AT86" s="8" t="str">
        <f>IFERROR(LEFT(meta_Columns[[#This Row],[Excel Column - Label Actual without Semantic Case]],FIND("-",
meta_Columns[[#This Row],[Excel Column - Label Actual without Semantic Case]])-2),"")</f>
        <v/>
      </c>
      <c r="AU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Patern 1</v>
      </c>
      <c r="AV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Patern 1:src</v>
      </c>
      <c r="AX86" s="22"/>
      <c r="AY86" s="8" t="str">
        <f>meta_Columns[[#This Row],[Owning Table]]&amp;"."&amp;meta_Columns[[#This Row],[Excel Column - Label]]</f>
        <v>meta::CodeTemplates.Matched Patern 1:src</v>
      </c>
      <c r="AZ86" s="22" t="s">
        <v>504</v>
      </c>
      <c r="BA86" s="44" t="str">
        <f>IF(TRIM(meta_Columns[[#This Row],[Excel Column - Label Overwrite]])&lt;&gt;"",meta_Columns[[#This Row],[Excel Column - Label Overwrite]],meta_Columns[[#This Row],[Excel Column - Label from Property or Referenced Table]])</f>
        <v>Matched Patern 1:src</v>
      </c>
      <c r="BB86" s="43"/>
      <c r="BC86" s="44" t="str">
        <f>IF(meta_Columns[[#This Row],[Excel Column - Explicit Excel Formula]]="","",meta_Columns[[#This Row],[Excel Column - Explicit Excel Formula]])</f>
        <v/>
      </c>
      <c r="BD86" s="5"/>
      <c r="BE86" s="5"/>
    </row>
    <row r="87" spans="1:57">
      <c r="A87" s="10" t="s">
        <v>1079</v>
      </c>
      <c r="B87" s="11" t="s">
        <v>546</v>
      </c>
      <c r="C87" s="22" t="str">
        <f xml:space="preserve"> IF( TRIM( meta_Columns[[#This Row],[Kind:src]] ) = "", "",
        INDEX( meta_Classifiers[Display Qualified], MATCH( meta_Columns[[#This Row],[Kind:src]], meta_Classifiers[ID], 0 ) ) )</f>
        <v>ExcelColumn</v>
      </c>
      <c r="D87" s="44" t="str">
        <f>IF(meta_Columns[[#This Row],[Owning Table:src]]="","",INDEX(meta_Classifiers[Package],MATCH(meta_Columns[[#This Row],[Owning Table Instances Class]],meta_Classifiers[ID],0)))</f>
        <v>meta</v>
      </c>
      <c r="E87" s="43"/>
      <c r="F87" s="8" t="str">
        <f>INDEX(meta_Tables[Excel Table - Excel Name],MATCH(meta_Columns[[#This Row],[Owning Table:src]],meta_Tables[ID],0))</f>
        <v>meta_CodeTemplates</v>
      </c>
      <c r="G87" s="44" t="str">
        <f>INDEX(meta_Tables[Instances Class:src],MATCH(meta_Columns[[#This Row],[Owning Table:src]],meta_Tables[ID],0))</f>
        <v>_Object</v>
      </c>
      <c r="H87" s="11" t="s">
        <v>1018</v>
      </c>
      <c r="I87" s="43" t="str">
        <f xml:space="preserve"> IF( TRIM( meta_Columns[[#This Row],[Owning Table:src]] ) = "", "",
        INDEX( meta_Tables[Display Qualified], MATCH( meta_Columns[[#This Row],[Owning Table:src]], meta_Tables[ID], 0 ) ) )</f>
        <v>meta::CodeTemplates</v>
      </c>
      <c r="K87" s="22" t="str">
        <f>IF(TRIM(meta_Columns[[#This Row],[Referenced Table:src]])="","",
    INDEX(meta_Tables[Display Qualified],MATCH(meta_Columns[[#This Row],[Referenced Table:src]],meta_Tables[ID],0)))</f>
        <v/>
      </c>
      <c r="L87" s="8"/>
      <c r="M87" s="22" t="str">
        <f xml:space="preserve"> IF( TRIM( meta_Columns[[#This Row],[Referenced Table Display and Select Column:src]] ) = "", "",
        INDEX( meta_Columns[Display Qualified], MATCH( meta_Columns[[#This Row],[Referenced Table Display and Select Column:src]], meta_Columns[ID], 0 ) ) )</f>
        <v/>
      </c>
      <c r="N87" s="8" t="str">
        <f>IF(meta_Columns[[#This Row],[Excel Column - Excel Formula]]="","x","")</f>
        <v/>
      </c>
      <c r="O87" s="22"/>
      <c r="P87" s="8" t="str">
        <f>IF(meta_Columns[[#This Row],[Referenced Table:src]]="","",INDEX(meta_Tables[Instances Class],MATCH(meta_Columns[[#This Row],[Referenced Table:src]],meta_Tables[ID],0)))</f>
        <v/>
      </c>
      <c r="Q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v>
      </c>
      <c r="R87" s="8"/>
      <c r="S87" s="22" t="str">
        <f xml:space="preserve"> IF( TRIM( meta_Columns[[#This Row],[Property:src]] ) = "", "",
        INDEX( meta_TypedModelElements[Display Qualified], MATCH( meta_Columns[[#This Row],[Property:src]], meta_TypedModelElements[ID], 0 ) ) )</f>
        <v/>
      </c>
      <c r="T87" s="22"/>
      <c r="U87" s="8" t="e">
        <f>INDEX(meta_Classifiers[Class - Generalization:src], MATCH(meta_Columns[[#This Row],[Generalization 5]],meta_Classifiers[ID],0))</f>
        <v>#N/A</v>
      </c>
      <c r="V87" s="8" t="e">
        <f>INDEX(meta_Classifiers[Class - Generalization:src], MATCH(meta_Columns[[#This Row],[Generalization 4]],meta_Classifiers[ID],0))</f>
        <v>#N/A</v>
      </c>
      <c r="W87" s="8" t="e">
        <f>INDEX(meta_Classifiers[Class - Generalization:src], MATCH(meta_Columns[[#This Row],[Generalization 3]],meta_Classifiers[ID],0))</f>
        <v>#N/A</v>
      </c>
      <c r="X87" s="8" t="e">
        <f>INDEX(meta_Classifiers[Class - Generalization:src], MATCH(meta_Columns[[#This Row],[Generalization 2]],meta_Classifiers[ID],0))</f>
        <v>#N/A</v>
      </c>
      <c r="Y87" s="8" t="e">
        <f>INDEX(meta_Classifiers[Class - Generalization:src], MATCH(meta_Columns[[#This Row],[Generalization 1]],meta_Classifiers[ID],0))</f>
        <v>#N/A</v>
      </c>
      <c r="Z87" s="8" t="str">
        <f>INDEX(meta_Classifiers[Class - Generalization:src], MATCH(meta_Columns[[#This Row],[Owning Table Instances Class]],meta_Classifiers[ID],0))</f>
        <v/>
      </c>
      <c r="AA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7" s="8" t="b">
        <f>_xlfn.IFNA(
INDEX(meta_Classifiers[Class - Generalization:src],MATCH(
INDEX(meta_Classifiers[Class - Generalization:src],MATCH(meta_Columns[[#This Row],[Property Owning Class]],meta_Classifiers[ID],0)),meta_Classifiers[ID],0))
=meta_Columns[[#This Row],[Owning Table Instances Class]],FALSE)</f>
        <v>0</v>
      </c>
      <c r="AG87" s="8" t="b">
        <f>_xlfn.IFNA(INDEX(meta_Classifiers[Class - Generalization:src],MATCH(meta_Columns[[#This Row],[Property Owning Class]],meta_Classifiers[ID],0))=meta_Columns[[#This Row],[Owning Table Instances Class]],FALSE)</f>
        <v>0</v>
      </c>
      <c r="AH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7" s="8" t="e">
        <f>INDEX(meta_Classifiers[Name],MATCH(INDEX(meta_TypedModelElements[Property - Owning Class:src],MATCH(meta_Columns[[#This Row],[Property]],meta_TypedModelElements[ID],0)),meta_Classifiers[ID],0))</f>
        <v>#N/A</v>
      </c>
      <c r="AJ87" s="8" t="e">
        <f>INDEX(meta_TypedModelElements[Property - Owning Class:src],MATCH(meta_Columns[[#This Row],[Property]],meta_TypedModelElements[ID],0))</f>
        <v>#N/A</v>
      </c>
      <c r="AK87" s="8" t="e">
        <f>INDEX(meta_TypedModelElements[Kind:src],MATCH(meta_Columns[[#This Row],[Property]],meta_TypedModelElements[ID],0))</f>
        <v>#N/A</v>
      </c>
      <c r="AL87" s="8" t="e">
        <f>INDEX(meta_TypedModelElements[Name or Type],MATCH(meta_Columns[[#This Row],[Property]],meta_TypedModelElements[ID],0))</f>
        <v>#N/A</v>
      </c>
      <c r="AM87" s="8" t="e">
        <f>INDEX(meta_TypedModelElements[Property - Changeable],MATCH(meta_Columns[[#This Row],[Property]],meta_TypedModelElements[ID],0))</f>
        <v>#N/A</v>
      </c>
      <c r="AN87" s="43">
        <v>11</v>
      </c>
      <c r="AO87" s="22"/>
      <c r="AP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7" s="8" t="str">
        <f xml:space="preserve"> IF(meta_Columns[[#This Row],[Property Owning Class is Specialization of Instance Class]],meta_Columns[[#This Row],[Property Owning Class Name]]&amp;" - ","")</f>
        <v/>
      </c>
      <c r="AR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v>
      </c>
      <c r="AT87" s="8" t="str">
        <f>IFERROR(LEFT(meta_Columns[[#This Row],[Excel Column - Label Actual without Semantic Case]],FIND("-",
meta_Columns[[#This Row],[Excel Column - Label Actual without Semantic Case]])-2),"")</f>
        <v/>
      </c>
      <c r="AU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v>
      </c>
      <c r="AV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v>
      </c>
      <c r="AX87" s="22"/>
      <c r="AY87" s="8" t="str">
        <f>meta_Columns[[#This Row],[Owning Table]]&amp;"."&amp;meta_Columns[[#This Row],[Excel Column - Label]]</f>
        <v>meta::CodeTemplates.Matched Pattern 1</v>
      </c>
      <c r="AZ87" s="22" t="s">
        <v>505</v>
      </c>
      <c r="BA87" s="44" t="str">
        <f>IF(TRIM(meta_Columns[[#This Row],[Excel Column - Label Overwrite]])&lt;&gt;"",meta_Columns[[#This Row],[Excel Column - Label Overwrite]],meta_Columns[[#This Row],[Excel Column - Label from Property or Referenced Table]])</f>
        <v>Matched Pattern 1</v>
      </c>
      <c r="BB87" s="43" t="s">
        <v>909</v>
      </c>
      <c r="BC87" s="44" t="str">
        <f>IF(meta_Columns[[#This Row],[Excel Column - Explicit Excel Formula]]="","",meta_Columns[[#This Row],[Excel Column - Explicit Excel Formula]])</f>
        <v>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v>
      </c>
      <c r="BD87" s="5"/>
      <c r="BE87" s="5"/>
    </row>
    <row r="88" spans="1:57">
      <c r="A88" s="10" t="s">
        <v>1080</v>
      </c>
      <c r="B88" s="11" t="s">
        <v>546</v>
      </c>
      <c r="C88" s="22" t="str">
        <f xml:space="preserve"> IF( TRIM( meta_Columns[[#This Row],[Kind:src]] ) = "", "",
        INDEX( meta_Classifiers[Display Qualified], MATCH( meta_Columns[[#This Row],[Kind:src]], meta_Classifiers[ID], 0 ) ) )</f>
        <v>ExcelColumn</v>
      </c>
      <c r="D88" s="44" t="str">
        <f>IF(meta_Columns[[#This Row],[Owning Table:src]]="","",INDEX(meta_Classifiers[Package],MATCH(meta_Columns[[#This Row],[Owning Table Instances Class]],meta_Classifiers[ID],0)))</f>
        <v>meta</v>
      </c>
      <c r="E88" s="43"/>
      <c r="F88" s="8" t="str">
        <f>INDEX(meta_Tables[Excel Table - Excel Name],MATCH(meta_Columns[[#This Row],[Owning Table:src]],meta_Tables[ID],0))</f>
        <v>meta_CodeTemplates</v>
      </c>
      <c r="G88" s="44" t="str">
        <f>INDEX(meta_Tables[Instances Class:src],MATCH(meta_Columns[[#This Row],[Owning Table:src]],meta_Tables[ID],0))</f>
        <v>_Object</v>
      </c>
      <c r="H88" s="11" t="s">
        <v>1018</v>
      </c>
      <c r="I88" s="43" t="str">
        <f xml:space="preserve"> IF( TRIM( meta_Columns[[#This Row],[Owning Table:src]] ) = "", "",
        INDEX( meta_Tables[Display Qualified], MATCH( meta_Columns[[#This Row],[Owning Table:src]], meta_Tables[ID], 0 ) ) )</f>
        <v>meta::CodeTemplates</v>
      </c>
      <c r="K88" s="22" t="str">
        <f>IF(TRIM(meta_Columns[[#This Row],[Referenced Table:src]])="","",
    INDEX(meta_Tables[Display Qualified],MATCH(meta_Columns[[#This Row],[Referenced Table:src]],meta_Tables[ID],0)))</f>
        <v/>
      </c>
      <c r="L88" s="8"/>
      <c r="M88" s="22" t="str">
        <f xml:space="preserve"> IF( TRIM( meta_Columns[[#This Row],[Referenced Table Display and Select Column:src]] ) = "", "",
        INDEX( meta_Columns[Display Qualified], MATCH( meta_Columns[[#This Row],[Referenced Table Display and Select Column:src]], meta_Columns[ID], 0 ) ) )</f>
        <v/>
      </c>
      <c r="N88" s="8" t="str">
        <f>IF(meta_Columns[[#This Row],[Excel Column - Excel Formula]]="","x","")</f>
        <v>x</v>
      </c>
      <c r="O88" s="22"/>
      <c r="P88" s="8" t="str">
        <f>IF(meta_Columns[[#This Row],[Referenced Table:src]]="","",INDEX(meta_Tables[Instances Class],MATCH(meta_Columns[[#This Row],[Referenced Table:src]],meta_Tables[ID],0)))</f>
        <v/>
      </c>
      <c r="Q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meta::Object.matchedPattern1FilterValue1</v>
      </c>
      <c r="R88" s="8"/>
      <c r="S88" s="22" t="str">
        <f xml:space="preserve"> IF( TRIM( meta_Columns[[#This Row],[Property:src]] ) = "", "",
        INDEX( meta_TypedModelElements[Display Qualified], MATCH( meta_Columns[[#This Row],[Property:src]], meta_TypedModelElements[ID], 0 ) ) )</f>
        <v/>
      </c>
      <c r="T88" s="22"/>
      <c r="U88" s="8" t="e">
        <f>INDEX(meta_Classifiers[Class - Generalization:src], MATCH(meta_Columns[[#This Row],[Generalization 5]],meta_Classifiers[ID],0))</f>
        <v>#N/A</v>
      </c>
      <c r="V88" s="8" t="e">
        <f>INDEX(meta_Classifiers[Class - Generalization:src], MATCH(meta_Columns[[#This Row],[Generalization 4]],meta_Classifiers[ID],0))</f>
        <v>#N/A</v>
      </c>
      <c r="W88" s="8" t="e">
        <f>INDEX(meta_Classifiers[Class - Generalization:src], MATCH(meta_Columns[[#This Row],[Generalization 3]],meta_Classifiers[ID],0))</f>
        <v>#N/A</v>
      </c>
      <c r="X88" s="8" t="e">
        <f>INDEX(meta_Classifiers[Class - Generalization:src], MATCH(meta_Columns[[#This Row],[Generalization 2]],meta_Classifiers[ID],0))</f>
        <v>#N/A</v>
      </c>
      <c r="Y88" s="8" t="e">
        <f>INDEX(meta_Classifiers[Class - Generalization:src], MATCH(meta_Columns[[#This Row],[Generalization 1]],meta_Classifiers[ID],0))</f>
        <v>#N/A</v>
      </c>
      <c r="Z88" s="8" t="str">
        <f>INDEX(meta_Classifiers[Class - Generalization:src], MATCH(meta_Columns[[#This Row],[Owning Table Instances Class]],meta_Classifiers[ID],0))</f>
        <v/>
      </c>
      <c r="AA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8" s="8" t="b">
        <f>_xlfn.IFNA(
INDEX(meta_Classifiers[Class - Generalization:src],MATCH(
INDEX(meta_Classifiers[Class - Generalization:src],MATCH(meta_Columns[[#This Row],[Property Owning Class]],meta_Classifiers[ID],0)),meta_Classifiers[ID],0))
=meta_Columns[[#This Row],[Owning Table Instances Class]],FALSE)</f>
        <v>0</v>
      </c>
      <c r="AG88" s="8" t="b">
        <f>_xlfn.IFNA(INDEX(meta_Classifiers[Class - Generalization:src],MATCH(meta_Columns[[#This Row],[Property Owning Class]],meta_Classifiers[ID],0))=meta_Columns[[#This Row],[Owning Table Instances Class]],FALSE)</f>
        <v>0</v>
      </c>
      <c r="AH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8" s="8" t="e">
        <f>INDEX(meta_Classifiers[Name],MATCH(INDEX(meta_TypedModelElements[Property - Owning Class:src],MATCH(meta_Columns[[#This Row],[Property]],meta_TypedModelElements[ID],0)),meta_Classifiers[ID],0))</f>
        <v>#N/A</v>
      </c>
      <c r="AJ88" s="8" t="e">
        <f>INDEX(meta_TypedModelElements[Property - Owning Class:src],MATCH(meta_Columns[[#This Row],[Property]],meta_TypedModelElements[ID],0))</f>
        <v>#N/A</v>
      </c>
      <c r="AK88" s="8" t="e">
        <f>INDEX(meta_TypedModelElements[Kind:src],MATCH(meta_Columns[[#This Row],[Property]],meta_TypedModelElements[ID],0))</f>
        <v>#N/A</v>
      </c>
      <c r="AL88" s="8" t="e">
        <f>INDEX(meta_TypedModelElements[Name or Type],MATCH(meta_Columns[[#This Row],[Property]],meta_TypedModelElements[ID],0))</f>
        <v>#N/A</v>
      </c>
      <c r="AM88" s="8" t="e">
        <f>INDEX(meta_TypedModelElements[Property - Changeable],MATCH(meta_Columns[[#This Row],[Property]],meta_TypedModelElements[ID],0))</f>
        <v>#N/A</v>
      </c>
      <c r="AN88" s="43">
        <v>12</v>
      </c>
      <c r="AO88" s="22">
        <v>9</v>
      </c>
      <c r="AP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8" s="8" t="str">
        <f xml:space="preserve"> IF(meta_Columns[[#This Row],[Property Owning Class is Specialization of Instance Class]],meta_Columns[[#This Row],[Property Owning Class Name]]&amp;" - ","")</f>
        <v/>
      </c>
      <c r="AR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1</v>
      </c>
      <c r="AT88" s="8" t="str">
        <f>IFERROR(LEFT(meta_Columns[[#This Row],[Excel Column - Label Actual without Semantic Case]],FIND("-",
meta_Columns[[#This Row],[Excel Column - Label Actual without Semantic Case]])-2),"")</f>
        <v/>
      </c>
      <c r="AU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1</v>
      </c>
      <c r="AV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1</v>
      </c>
      <c r="AX88" s="22"/>
      <c r="AY88" s="8" t="str">
        <f>meta_Columns[[#This Row],[Owning Table]]&amp;"."&amp;meta_Columns[[#This Row],[Excel Column - Label]]</f>
        <v>meta::CodeTemplates.Matched Pattern 1 Filter Value 1</v>
      </c>
      <c r="AZ88" s="22" t="s">
        <v>537</v>
      </c>
      <c r="BA88" s="44" t="str">
        <f>IF(TRIM(meta_Columns[[#This Row],[Excel Column - Label Overwrite]])&lt;&gt;"",meta_Columns[[#This Row],[Excel Column - Label Overwrite]],meta_Columns[[#This Row],[Excel Column - Label from Property or Referenced Table]])</f>
        <v>Matched Pattern 1 Filter Value 1</v>
      </c>
      <c r="BB88" s="43"/>
      <c r="BC88" s="44" t="str">
        <f>IF(meta_Columns[[#This Row],[Excel Column - Explicit Excel Formula]]="","",meta_Columns[[#This Row],[Excel Column - Explicit Excel Formula]])</f>
        <v/>
      </c>
      <c r="BD88" s="5"/>
      <c r="BE88" s="5"/>
    </row>
    <row r="89" spans="1:57">
      <c r="A89" s="10" t="s">
        <v>1081</v>
      </c>
      <c r="B89" s="11" t="s">
        <v>546</v>
      </c>
      <c r="C89" s="22" t="str">
        <f xml:space="preserve"> IF( TRIM( meta_Columns[[#This Row],[Kind:src]] ) = "", "",
        INDEX( meta_Classifiers[Display Qualified], MATCH( meta_Columns[[#This Row],[Kind:src]], meta_Classifiers[ID], 0 ) ) )</f>
        <v>ExcelColumn</v>
      </c>
      <c r="D89" s="44" t="str">
        <f>IF(meta_Columns[[#This Row],[Owning Table:src]]="","",INDEX(meta_Classifiers[Package],MATCH(meta_Columns[[#This Row],[Owning Table Instances Class]],meta_Classifiers[ID],0)))</f>
        <v>meta</v>
      </c>
      <c r="E89" s="43"/>
      <c r="F89" s="44" t="str">
        <f>INDEX(meta_Tables[Excel Table - Excel Name],MATCH(meta_Columns[[#This Row],[Owning Table:src]],meta_Tables[ID],0))</f>
        <v>meta_CodeTemplates</v>
      </c>
      <c r="G89" s="44" t="str">
        <f>INDEX(meta_Tables[Instances Class:src],MATCH(meta_Columns[[#This Row],[Owning Table:src]],meta_Tables[ID],0))</f>
        <v>_Object</v>
      </c>
      <c r="H89" s="11" t="s">
        <v>1018</v>
      </c>
      <c r="I89" s="43" t="str">
        <f xml:space="preserve"> IF( TRIM( meta_Columns[[#This Row],[Owning Table:src]] ) = "", "",
        INDEX( meta_Tables[Display Qualified], MATCH( meta_Columns[[#This Row],[Owning Table:src]], meta_Tables[ID], 0 ) ) )</f>
        <v>meta::CodeTemplates</v>
      </c>
      <c r="K89" s="22" t="str">
        <f>IF(TRIM(meta_Columns[[#This Row],[Referenced Table:src]])="","",
    INDEX(meta_Tables[Display Qualified],MATCH(meta_Columns[[#This Row],[Referenced Table:src]],meta_Tables[ID],0)))</f>
        <v/>
      </c>
      <c r="L89" s="8"/>
      <c r="M89" s="22" t="str">
        <f xml:space="preserve"> IF( TRIM( meta_Columns[[#This Row],[Referenced Table Display and Select Column:src]] ) = "", "",
        INDEX( meta_Columns[Display Qualified], MATCH( meta_Columns[[#This Row],[Referenced Table Display and Select Column:src]], meta_Columns[ID], 0 ) ) )</f>
        <v/>
      </c>
      <c r="N89" s="8" t="str">
        <f>IF(meta_Columns[[#This Row],[Excel Column - Excel Formula]]="","x","")</f>
        <v>x</v>
      </c>
      <c r="O89" s="22"/>
      <c r="P89" s="8" t="str">
        <f>IF(meta_Columns[[#This Row],[Referenced Table:src]]="","",INDEX(meta_Tables[Instances Class],MATCH(meta_Columns[[#This Row],[Referenced Table:src]],meta_Tables[ID],0)))</f>
        <v/>
      </c>
      <c r="Q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meta::Object.matchedPattern1FilterValue2</v>
      </c>
      <c r="R89" s="8"/>
      <c r="S89" s="22" t="str">
        <f xml:space="preserve"> IF( TRIM( meta_Columns[[#This Row],[Property:src]] ) = "", "",
        INDEX( meta_TypedModelElements[Display Qualified], MATCH( meta_Columns[[#This Row],[Property:src]], meta_TypedModelElements[ID], 0 ) ) )</f>
        <v/>
      </c>
      <c r="T89" s="22"/>
      <c r="U89" s="8" t="e">
        <f>INDEX(meta_Classifiers[Class - Generalization:src], MATCH(meta_Columns[[#This Row],[Generalization 5]],meta_Classifiers[ID],0))</f>
        <v>#N/A</v>
      </c>
      <c r="V89" s="8" t="e">
        <f>INDEX(meta_Classifiers[Class - Generalization:src], MATCH(meta_Columns[[#This Row],[Generalization 4]],meta_Classifiers[ID],0))</f>
        <v>#N/A</v>
      </c>
      <c r="W89" s="8" t="e">
        <f>INDEX(meta_Classifiers[Class - Generalization:src], MATCH(meta_Columns[[#This Row],[Generalization 3]],meta_Classifiers[ID],0))</f>
        <v>#N/A</v>
      </c>
      <c r="X89" s="8" t="e">
        <f>INDEX(meta_Classifiers[Class - Generalization:src], MATCH(meta_Columns[[#This Row],[Generalization 2]],meta_Classifiers[ID],0))</f>
        <v>#N/A</v>
      </c>
      <c r="Y89" s="8" t="e">
        <f>INDEX(meta_Classifiers[Class - Generalization:src], MATCH(meta_Columns[[#This Row],[Generalization 1]],meta_Classifiers[ID],0))</f>
        <v>#N/A</v>
      </c>
      <c r="Z89" s="8" t="str">
        <f>INDEX(meta_Classifiers[Class - Generalization:src], MATCH(meta_Columns[[#This Row],[Owning Table Instances Class]],meta_Classifiers[ID],0))</f>
        <v/>
      </c>
      <c r="AA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9" s="8" t="b">
        <f>_xlfn.IFNA(
INDEX(meta_Classifiers[Class - Generalization:src],MATCH(
INDEX(meta_Classifiers[Class - Generalization:src],MATCH(meta_Columns[[#This Row],[Property Owning Class]],meta_Classifiers[ID],0)),meta_Classifiers[ID],0))
=meta_Columns[[#This Row],[Owning Table Instances Class]],FALSE)</f>
        <v>0</v>
      </c>
      <c r="AG89" s="8" t="b">
        <f>_xlfn.IFNA(INDEX(meta_Classifiers[Class - Generalization:src],MATCH(meta_Columns[[#This Row],[Property Owning Class]],meta_Classifiers[ID],0))=meta_Columns[[#This Row],[Owning Table Instances Class]],FALSE)</f>
        <v>0</v>
      </c>
      <c r="AH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9" s="8" t="e">
        <f>INDEX(meta_Classifiers[Name],MATCH(INDEX(meta_TypedModelElements[Property - Owning Class:src],MATCH(meta_Columns[[#This Row],[Property]],meta_TypedModelElements[ID],0)),meta_Classifiers[ID],0))</f>
        <v>#N/A</v>
      </c>
      <c r="AJ89" s="8" t="e">
        <f>INDEX(meta_TypedModelElements[Property - Owning Class:src],MATCH(meta_Columns[[#This Row],[Property]],meta_TypedModelElements[ID],0))</f>
        <v>#N/A</v>
      </c>
      <c r="AK89" s="8" t="e">
        <f>INDEX(meta_TypedModelElements[Kind:src],MATCH(meta_Columns[[#This Row],[Property]],meta_TypedModelElements[ID],0))</f>
        <v>#N/A</v>
      </c>
      <c r="AL89" s="8" t="e">
        <f>INDEX(meta_TypedModelElements[Name or Type],MATCH(meta_Columns[[#This Row],[Property]],meta_TypedModelElements[ID],0))</f>
        <v>#N/A</v>
      </c>
      <c r="AM89" s="8" t="e">
        <f>INDEX(meta_TypedModelElements[Property - Changeable],MATCH(meta_Columns[[#This Row],[Property]],meta_TypedModelElements[ID],0))</f>
        <v>#N/A</v>
      </c>
      <c r="AN89" s="43">
        <v>13</v>
      </c>
      <c r="AO89" s="22">
        <v>10</v>
      </c>
      <c r="AP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9" s="8" t="str">
        <f xml:space="preserve"> IF(meta_Columns[[#This Row],[Property Owning Class is Specialization of Instance Class]],meta_Columns[[#This Row],[Property Owning Class Name]]&amp;" - ","")</f>
        <v/>
      </c>
      <c r="AR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2</v>
      </c>
      <c r="AT89" s="8" t="str">
        <f>IFERROR(LEFT(meta_Columns[[#This Row],[Excel Column - Label Actual without Semantic Case]],FIND("-",
meta_Columns[[#This Row],[Excel Column - Label Actual without Semantic Case]])-2),"")</f>
        <v/>
      </c>
      <c r="AU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2</v>
      </c>
      <c r="AV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2</v>
      </c>
      <c r="AX89" s="22"/>
      <c r="AY89" s="8" t="str">
        <f>meta_Columns[[#This Row],[Owning Table]]&amp;"."&amp;meta_Columns[[#This Row],[Excel Column - Label]]</f>
        <v>meta::CodeTemplates.Matched Pattern 1 Filter Value 2</v>
      </c>
      <c r="AZ89" s="43" t="s">
        <v>538</v>
      </c>
      <c r="BA89" s="44" t="str">
        <f>IF(TRIM(meta_Columns[[#This Row],[Excel Column - Label Overwrite]])&lt;&gt;"",meta_Columns[[#This Row],[Excel Column - Label Overwrite]],meta_Columns[[#This Row],[Excel Column - Label from Property or Referenced Table]])</f>
        <v>Matched Pattern 1 Filter Value 2</v>
      </c>
      <c r="BB89" s="43"/>
      <c r="BC89" s="44" t="str">
        <f>IF(meta_Columns[[#This Row],[Excel Column - Explicit Excel Formula]]="","",meta_Columns[[#This Row],[Excel Column - Explicit Excel Formula]])</f>
        <v/>
      </c>
      <c r="BD89" s="5"/>
      <c r="BE89" s="5"/>
    </row>
    <row r="90" spans="1:57">
      <c r="A90" s="10" t="s">
        <v>1082</v>
      </c>
      <c r="B90" s="11" t="s">
        <v>546</v>
      </c>
      <c r="C90" s="22" t="str">
        <f xml:space="preserve"> IF( TRIM( meta_Columns[[#This Row],[Kind:src]] ) = "", "",
        INDEX( meta_Classifiers[Display Qualified], MATCH( meta_Columns[[#This Row],[Kind:src]], meta_Classifiers[ID], 0 ) ) )</f>
        <v>ExcelColumn</v>
      </c>
      <c r="D90" s="44" t="str">
        <f>IF(meta_Columns[[#This Row],[Owning Table:src]]="","",INDEX(meta_Classifiers[Package],MATCH(meta_Columns[[#This Row],[Owning Table Instances Class]],meta_Classifiers[ID],0)))</f>
        <v>meta</v>
      </c>
      <c r="E90" s="43"/>
      <c r="F90" s="44" t="str">
        <f>INDEX(meta_Tables[Excel Table - Excel Name],MATCH(meta_Columns[[#This Row],[Owning Table:src]],meta_Tables[ID],0))</f>
        <v>meta_CodeTemplates</v>
      </c>
      <c r="G90" s="44" t="str">
        <f>INDEX(meta_Tables[Instances Class:src],MATCH(meta_Columns[[#This Row],[Owning Table:src]],meta_Tables[ID],0))</f>
        <v>_Object</v>
      </c>
      <c r="H90" s="11" t="s">
        <v>1018</v>
      </c>
      <c r="I90" s="43" t="str">
        <f xml:space="preserve"> IF( TRIM( meta_Columns[[#This Row],[Owning Table:src]] ) = "", "",
        INDEX( meta_Tables[Display Qualified], MATCH( meta_Columns[[#This Row],[Owning Table:src]], meta_Tables[ID], 0 ) ) )</f>
        <v>meta::CodeTemplates</v>
      </c>
      <c r="K90" s="22" t="str">
        <f>IF(TRIM(meta_Columns[[#This Row],[Referenced Table:src]])="","",
    INDEX(meta_Tables[Display Qualified],MATCH(meta_Columns[[#This Row],[Referenced Table:src]],meta_Tables[ID],0)))</f>
        <v/>
      </c>
      <c r="L90" s="8"/>
      <c r="M90" s="22" t="str">
        <f xml:space="preserve"> IF( TRIM( meta_Columns[[#This Row],[Referenced Table Display and Select Column:src]] ) = "", "",
        INDEX( meta_Columns[Display Qualified], MATCH( meta_Columns[[#This Row],[Referenced Table Display and Select Column:src]], meta_Columns[ID], 0 ) ) )</f>
        <v/>
      </c>
      <c r="N90" s="8" t="str">
        <f>IF(meta_Columns[[#This Row],[Excel Column - Excel Formula]]="","x","")</f>
        <v>x</v>
      </c>
      <c r="O90" s="22"/>
      <c r="P90" s="8" t="str">
        <f>IF(meta_Columns[[#This Row],[Referenced Table:src]]="","",INDEX(meta_Tables[Instances Class],MATCH(meta_Columns[[#This Row],[Referenced Table:src]],meta_Tables[ID],0)))</f>
        <v/>
      </c>
      <c r="Q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meta::Object.matchedPattern1TemplateColumn</v>
      </c>
      <c r="R90" s="8"/>
      <c r="S90" s="22" t="str">
        <f xml:space="preserve"> IF( TRIM( meta_Columns[[#This Row],[Property:src]] ) = "", "",
        INDEX( meta_TypedModelElements[Display Qualified], MATCH( meta_Columns[[#This Row],[Property:src]], meta_TypedModelElements[ID], 0 ) ) )</f>
        <v/>
      </c>
      <c r="T90" s="22"/>
      <c r="U90" s="8" t="e">
        <f>INDEX(meta_Classifiers[Class - Generalization:src], MATCH(meta_Columns[[#This Row],[Generalization 5]],meta_Classifiers[ID],0))</f>
        <v>#N/A</v>
      </c>
      <c r="V90" s="8" t="e">
        <f>INDEX(meta_Classifiers[Class - Generalization:src], MATCH(meta_Columns[[#This Row],[Generalization 4]],meta_Classifiers[ID],0))</f>
        <v>#N/A</v>
      </c>
      <c r="W90" s="8" t="e">
        <f>INDEX(meta_Classifiers[Class - Generalization:src], MATCH(meta_Columns[[#This Row],[Generalization 3]],meta_Classifiers[ID],0))</f>
        <v>#N/A</v>
      </c>
      <c r="X90" s="8" t="e">
        <f>INDEX(meta_Classifiers[Class - Generalization:src], MATCH(meta_Columns[[#This Row],[Generalization 2]],meta_Classifiers[ID],0))</f>
        <v>#N/A</v>
      </c>
      <c r="Y90" s="8" t="e">
        <f>INDEX(meta_Classifiers[Class - Generalization:src], MATCH(meta_Columns[[#This Row],[Generalization 1]],meta_Classifiers[ID],0))</f>
        <v>#N/A</v>
      </c>
      <c r="Z90" s="8" t="str">
        <f>INDEX(meta_Classifiers[Class - Generalization:src], MATCH(meta_Columns[[#This Row],[Owning Table Instances Class]],meta_Classifiers[ID],0))</f>
        <v/>
      </c>
      <c r="AA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0" s="8" t="b">
        <f>_xlfn.IFNA(
INDEX(meta_Classifiers[Class - Generalization:src],MATCH(
INDEX(meta_Classifiers[Class - Generalization:src],MATCH(meta_Columns[[#This Row],[Property Owning Class]],meta_Classifiers[ID],0)),meta_Classifiers[ID],0))
=meta_Columns[[#This Row],[Owning Table Instances Class]],FALSE)</f>
        <v>0</v>
      </c>
      <c r="AG90" s="8" t="b">
        <f>_xlfn.IFNA(INDEX(meta_Classifiers[Class - Generalization:src],MATCH(meta_Columns[[#This Row],[Property Owning Class]],meta_Classifiers[ID],0))=meta_Columns[[#This Row],[Owning Table Instances Class]],FALSE)</f>
        <v>0</v>
      </c>
      <c r="AH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0" s="8" t="e">
        <f>INDEX(meta_Classifiers[Name],MATCH(INDEX(meta_TypedModelElements[Property - Owning Class:src],MATCH(meta_Columns[[#This Row],[Property]],meta_TypedModelElements[ID],0)),meta_Classifiers[ID],0))</f>
        <v>#N/A</v>
      </c>
      <c r="AJ90" s="8" t="e">
        <f>INDEX(meta_TypedModelElements[Property - Owning Class:src],MATCH(meta_Columns[[#This Row],[Property]],meta_TypedModelElements[ID],0))</f>
        <v>#N/A</v>
      </c>
      <c r="AK90" s="8" t="e">
        <f>INDEX(meta_TypedModelElements[Kind:src],MATCH(meta_Columns[[#This Row],[Property]],meta_TypedModelElements[ID],0))</f>
        <v>#N/A</v>
      </c>
      <c r="AL90" s="8" t="e">
        <f>INDEX(meta_TypedModelElements[Name or Type],MATCH(meta_Columns[[#This Row],[Property]],meta_TypedModelElements[ID],0))</f>
        <v>#N/A</v>
      </c>
      <c r="AM90" s="8" t="e">
        <f>INDEX(meta_TypedModelElements[Property - Changeable],MATCH(meta_Columns[[#This Row],[Property]],meta_TypedModelElements[ID],0))</f>
        <v>#N/A</v>
      </c>
      <c r="AN90" s="43">
        <v>14</v>
      </c>
      <c r="AO90" s="22">
        <v>11</v>
      </c>
      <c r="AP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0" s="8" t="str">
        <f xml:space="preserve"> IF(meta_Columns[[#This Row],[Property Owning Class is Specialization of Instance Class]],meta_Columns[[#This Row],[Property Owning Class Name]]&amp;" - ","")</f>
        <v/>
      </c>
      <c r="AR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Template Column</v>
      </c>
      <c r="AT90" s="8" t="str">
        <f>IFERROR(LEFT(meta_Columns[[#This Row],[Excel Column - Label Actual without Semantic Case]],FIND("-",
meta_Columns[[#This Row],[Excel Column - Label Actual without Semantic Case]])-2),"")</f>
        <v/>
      </c>
      <c r="AU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Template Column</v>
      </c>
      <c r="AV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Template Column</v>
      </c>
      <c r="AX90" s="22"/>
      <c r="AY90" s="8" t="str">
        <f>meta_Columns[[#This Row],[Owning Table]]&amp;"."&amp;meta_Columns[[#This Row],[Excel Column - Label]]</f>
        <v>meta::CodeTemplates.Matched Pattern 1 Template Column</v>
      </c>
      <c r="AZ90" s="43" t="s">
        <v>531</v>
      </c>
      <c r="BA90" s="44" t="str">
        <f>IF(TRIM(meta_Columns[[#This Row],[Excel Column - Label Overwrite]])&lt;&gt;"",meta_Columns[[#This Row],[Excel Column - Label Overwrite]],meta_Columns[[#This Row],[Excel Column - Label from Property or Referenced Table]])</f>
        <v>Matched Pattern 1 Template Column</v>
      </c>
      <c r="BB90" s="43"/>
      <c r="BC90" s="44" t="str">
        <f>IF(meta_Columns[[#This Row],[Excel Column - Explicit Excel Formula]]="","",meta_Columns[[#This Row],[Excel Column - Explicit Excel Formula]])</f>
        <v/>
      </c>
      <c r="BD90" s="5"/>
      <c r="BE90" s="5"/>
    </row>
    <row r="91" spans="1:57">
      <c r="A91" s="10" t="s">
        <v>1083</v>
      </c>
      <c r="B91" s="11" t="s">
        <v>546</v>
      </c>
      <c r="C91" s="22" t="str">
        <f xml:space="preserve"> IF( TRIM( meta_Columns[[#This Row],[Kind:src]] ) = "", "",
        INDEX( meta_Classifiers[Display Qualified], MATCH( meta_Columns[[#This Row],[Kind:src]], meta_Classifiers[ID], 0 ) ) )</f>
        <v>ExcelColumn</v>
      </c>
      <c r="D91" s="44" t="str">
        <f>IF(meta_Columns[[#This Row],[Owning Table:src]]="","",INDEX(meta_Classifiers[Package],MATCH(meta_Columns[[#This Row],[Owning Table Instances Class]],meta_Classifiers[ID],0)))</f>
        <v>meta</v>
      </c>
      <c r="E91" s="43"/>
      <c r="F91" s="44" t="str">
        <f>INDEX(meta_Tables[Excel Table - Excel Name],MATCH(meta_Columns[[#This Row],[Owning Table:src]],meta_Tables[ID],0))</f>
        <v>meta_CodeTemplates</v>
      </c>
      <c r="G91" s="44" t="str">
        <f>INDEX(meta_Tables[Instances Class:src],MATCH(meta_Columns[[#This Row],[Owning Table:src]],meta_Tables[ID],0))</f>
        <v>_Object</v>
      </c>
      <c r="H91" s="11" t="s">
        <v>1018</v>
      </c>
      <c r="I91" s="43" t="str">
        <f xml:space="preserve"> IF( TRIM( meta_Columns[[#This Row],[Owning Table:src]] ) = "", "",
        INDEX( meta_Tables[Display Qualified], MATCH( meta_Columns[[#This Row],[Owning Table:src]], meta_Tables[ID], 0 ) ) )</f>
        <v>meta::CodeTemplates</v>
      </c>
      <c r="K91" s="22" t="str">
        <f>IF(TRIM(meta_Columns[[#This Row],[Referenced Table:src]])="","",
    INDEX(meta_Tables[Display Qualified],MATCH(meta_Columns[[#This Row],[Referenced Table:src]],meta_Tables[ID],0)))</f>
        <v/>
      </c>
      <c r="L91" s="8"/>
      <c r="M91" s="22" t="str">
        <f xml:space="preserve"> IF( TRIM( meta_Columns[[#This Row],[Referenced Table Display and Select Column:src]] ) = "", "",
        INDEX( meta_Columns[Display Qualified], MATCH( meta_Columns[[#This Row],[Referenced Table Display and Select Column:src]], meta_Columns[ID], 0 ) ) )</f>
        <v/>
      </c>
      <c r="N91" s="8" t="str">
        <f>IF(meta_Columns[[#This Row],[Excel Column - Excel Formula]]="","x","")</f>
        <v>x</v>
      </c>
      <c r="O91" s="22"/>
      <c r="P91" s="8" t="str">
        <f>IF(meta_Columns[[#This Row],[Referenced Table:src]]="","",INDEX(meta_Tables[Instances Class],MATCH(meta_Columns[[#This Row],[Referenced Table:src]],meta_Tables[ID],0)))</f>
        <v/>
      </c>
      <c r="Q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meta::Object.templateMiddle</v>
      </c>
      <c r="R91" s="8"/>
      <c r="S91" s="22" t="str">
        <f xml:space="preserve"> IF( TRIM( meta_Columns[[#This Row],[Property:src]] ) = "", "",
        INDEX( meta_TypedModelElements[Display Qualified], MATCH( meta_Columns[[#This Row],[Property:src]], meta_TypedModelElements[ID], 0 ) ) )</f>
        <v/>
      </c>
      <c r="T91" s="22"/>
      <c r="U91" s="8" t="e">
        <f>INDEX(meta_Classifiers[Class - Generalization:src], MATCH(meta_Columns[[#This Row],[Generalization 5]],meta_Classifiers[ID],0))</f>
        <v>#N/A</v>
      </c>
      <c r="V91" s="8" t="e">
        <f>INDEX(meta_Classifiers[Class - Generalization:src], MATCH(meta_Columns[[#This Row],[Generalization 4]],meta_Classifiers[ID],0))</f>
        <v>#N/A</v>
      </c>
      <c r="W91" s="8" t="e">
        <f>INDEX(meta_Classifiers[Class - Generalization:src], MATCH(meta_Columns[[#This Row],[Generalization 3]],meta_Classifiers[ID],0))</f>
        <v>#N/A</v>
      </c>
      <c r="X91" s="8" t="e">
        <f>INDEX(meta_Classifiers[Class - Generalization:src], MATCH(meta_Columns[[#This Row],[Generalization 2]],meta_Classifiers[ID],0))</f>
        <v>#N/A</v>
      </c>
      <c r="Y91" s="8" t="e">
        <f>INDEX(meta_Classifiers[Class - Generalization:src], MATCH(meta_Columns[[#This Row],[Generalization 1]],meta_Classifiers[ID],0))</f>
        <v>#N/A</v>
      </c>
      <c r="Z91" s="8" t="str">
        <f>INDEX(meta_Classifiers[Class - Generalization:src], MATCH(meta_Columns[[#This Row],[Owning Table Instances Class]],meta_Classifiers[ID],0))</f>
        <v/>
      </c>
      <c r="AA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1" s="8" t="b">
        <f>_xlfn.IFNA(
INDEX(meta_Classifiers[Class - Generalization:src],MATCH(
INDEX(meta_Classifiers[Class - Generalization:src],MATCH(meta_Columns[[#This Row],[Property Owning Class]],meta_Classifiers[ID],0)),meta_Classifiers[ID],0))
=meta_Columns[[#This Row],[Owning Table Instances Class]],FALSE)</f>
        <v>0</v>
      </c>
      <c r="AG91" s="8" t="b">
        <f>_xlfn.IFNA(INDEX(meta_Classifiers[Class - Generalization:src],MATCH(meta_Columns[[#This Row],[Property Owning Class]],meta_Classifiers[ID],0))=meta_Columns[[#This Row],[Owning Table Instances Class]],FALSE)</f>
        <v>0</v>
      </c>
      <c r="AH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1" s="8" t="e">
        <f>INDEX(meta_Classifiers[Name],MATCH(INDEX(meta_TypedModelElements[Property - Owning Class:src],MATCH(meta_Columns[[#This Row],[Property]],meta_TypedModelElements[ID],0)),meta_Classifiers[ID],0))</f>
        <v>#N/A</v>
      </c>
      <c r="AJ91" s="8" t="e">
        <f>INDEX(meta_TypedModelElements[Property - Owning Class:src],MATCH(meta_Columns[[#This Row],[Property]],meta_TypedModelElements[ID],0))</f>
        <v>#N/A</v>
      </c>
      <c r="AK91" s="8" t="e">
        <f>INDEX(meta_TypedModelElements[Kind:src],MATCH(meta_Columns[[#This Row],[Property]],meta_TypedModelElements[ID],0))</f>
        <v>#N/A</v>
      </c>
      <c r="AL91" s="8" t="e">
        <f>INDEX(meta_TypedModelElements[Name or Type],MATCH(meta_Columns[[#This Row],[Property]],meta_TypedModelElements[ID],0))</f>
        <v>#N/A</v>
      </c>
      <c r="AM91" s="8" t="e">
        <f>INDEX(meta_TypedModelElements[Property - Changeable],MATCH(meta_Columns[[#This Row],[Property]],meta_TypedModelElements[ID],0))</f>
        <v>#N/A</v>
      </c>
      <c r="AN91" s="43">
        <v>15</v>
      </c>
      <c r="AO91" s="22">
        <v>12</v>
      </c>
      <c r="AP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1" s="8" t="str">
        <f xml:space="preserve"> IF(meta_Columns[[#This Row],[Property Owning Class is Specialization of Instance Class]],meta_Columns[[#This Row],[Property Owning Class Name]]&amp;" - ","")</f>
        <v/>
      </c>
      <c r="AR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Middle</v>
      </c>
      <c r="AT91" s="8" t="str">
        <f>IFERROR(LEFT(meta_Columns[[#This Row],[Excel Column - Label Actual without Semantic Case]],FIND("-",
meta_Columns[[#This Row],[Excel Column - Label Actual without Semantic Case]])-2),"")</f>
        <v/>
      </c>
      <c r="AU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Middle</v>
      </c>
      <c r="AV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Middle</v>
      </c>
      <c r="AX91" s="22"/>
      <c r="AY91" s="8" t="str">
        <f>meta_Columns[[#This Row],[Owning Table]]&amp;"."&amp;meta_Columns[[#This Row],[Excel Column - Label]]</f>
        <v>meta::CodeTemplates.Template Middle</v>
      </c>
      <c r="AZ91" s="43" t="s">
        <v>507</v>
      </c>
      <c r="BA91" s="44" t="str">
        <f>IF(TRIM(meta_Columns[[#This Row],[Excel Column - Label Overwrite]])&lt;&gt;"",meta_Columns[[#This Row],[Excel Column - Label Overwrite]],meta_Columns[[#This Row],[Excel Column - Label from Property or Referenced Table]])</f>
        <v>Template Middle</v>
      </c>
      <c r="BB91" s="43"/>
      <c r="BC91" s="44" t="str">
        <f>IF(meta_Columns[[#This Row],[Excel Column - Explicit Excel Formula]]="","",meta_Columns[[#This Row],[Excel Column - Explicit Excel Formula]])</f>
        <v/>
      </c>
      <c r="BD91" s="5"/>
      <c r="BE91" s="5"/>
    </row>
    <row r="92" spans="1:57">
      <c r="A92" s="10" t="s">
        <v>1084</v>
      </c>
      <c r="B92" s="11" t="s">
        <v>546</v>
      </c>
      <c r="C92" s="22" t="str">
        <f xml:space="preserve"> IF( TRIM( meta_Columns[[#This Row],[Kind:src]] ) = "", "",
        INDEX( meta_Classifiers[Display Qualified], MATCH( meta_Columns[[#This Row],[Kind:src]], meta_Classifiers[ID], 0 ) ) )</f>
        <v>ExcelColumn</v>
      </c>
      <c r="D92" s="44" t="str">
        <f>IF(meta_Columns[[#This Row],[Owning Table:src]]="","",INDEX(meta_Classifiers[Package],MATCH(meta_Columns[[#This Row],[Owning Table Instances Class]],meta_Classifiers[ID],0)))</f>
        <v>meta</v>
      </c>
      <c r="E92" s="43"/>
      <c r="F92" s="44" t="str">
        <f>INDEX(meta_Tables[Excel Table - Excel Name],MATCH(meta_Columns[[#This Row],[Owning Table:src]],meta_Tables[ID],0))</f>
        <v>meta_CodeTemplates</v>
      </c>
      <c r="G92" s="44" t="str">
        <f>INDEX(meta_Tables[Instances Class:src],MATCH(meta_Columns[[#This Row],[Owning Table:src]],meta_Tables[ID],0))</f>
        <v>_Object</v>
      </c>
      <c r="H92" s="11" t="s">
        <v>1018</v>
      </c>
      <c r="I92" s="43" t="str">
        <f xml:space="preserve"> IF( TRIM( meta_Columns[[#This Row],[Owning Table:src]] ) = "", "",
        INDEX( meta_Tables[Display Qualified], MATCH( meta_Columns[[#This Row],[Owning Table:src]], meta_Tables[ID], 0 ) ) )</f>
        <v>meta::CodeTemplates</v>
      </c>
      <c r="K92" s="22" t="str">
        <f>IF(TRIM(meta_Columns[[#This Row],[Referenced Table:src]])="","",
    INDEX(meta_Tables[Display Qualified],MATCH(meta_Columns[[#This Row],[Referenced Table:src]],meta_Tables[ID],0)))</f>
        <v/>
      </c>
      <c r="L92" s="8"/>
      <c r="M92" s="22" t="str">
        <f xml:space="preserve"> IF( TRIM( meta_Columns[[#This Row],[Referenced Table Display and Select Column:src]] ) = "", "",
        INDEX( meta_Columns[Display Qualified], MATCH( meta_Columns[[#This Row],[Referenced Table Display and Select Column:src]], meta_Columns[ID], 0 ) ) )</f>
        <v/>
      </c>
      <c r="N92" s="8" t="str">
        <f>IF(meta_Columns[[#This Row],[Excel Column - Excel Formula]]="","x","")</f>
        <v>x</v>
      </c>
      <c r="O92" s="22"/>
      <c r="P92" s="8" t="str">
        <f>IF(meta_Columns[[#This Row],[Referenced Table:src]]="","",INDEX(meta_Tables[Instances Class],MATCH(meta_Columns[[#This Row],[Referenced Table:src]],meta_Tables[ID],0)))</f>
        <v/>
      </c>
      <c r="Q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2" s="8"/>
      <c r="S92" s="22" t="str">
        <f xml:space="preserve"> IF( TRIM( meta_Columns[[#This Row],[Property:src]] ) = "", "",
        INDEX( meta_TypedModelElements[Display Qualified], MATCH( meta_Columns[[#This Row],[Property:src]], meta_TypedModelElements[ID], 0 ) ) )</f>
        <v/>
      </c>
      <c r="T92" s="22"/>
      <c r="U92" s="8" t="e">
        <f>INDEX(meta_Classifiers[Class - Generalization:src], MATCH(meta_Columns[[#This Row],[Generalization 5]],meta_Classifiers[ID],0))</f>
        <v>#N/A</v>
      </c>
      <c r="V92" s="8" t="e">
        <f>INDEX(meta_Classifiers[Class - Generalization:src], MATCH(meta_Columns[[#This Row],[Generalization 4]],meta_Classifiers[ID],0))</f>
        <v>#N/A</v>
      </c>
      <c r="W92" s="8" t="e">
        <f>INDEX(meta_Classifiers[Class - Generalization:src], MATCH(meta_Columns[[#This Row],[Generalization 3]],meta_Classifiers[ID],0))</f>
        <v>#N/A</v>
      </c>
      <c r="X92" s="8" t="e">
        <f>INDEX(meta_Classifiers[Class - Generalization:src], MATCH(meta_Columns[[#This Row],[Generalization 2]],meta_Classifiers[ID],0))</f>
        <v>#N/A</v>
      </c>
      <c r="Y92" s="8" t="e">
        <f>INDEX(meta_Classifiers[Class - Generalization:src], MATCH(meta_Columns[[#This Row],[Generalization 1]],meta_Classifiers[ID],0))</f>
        <v>#N/A</v>
      </c>
      <c r="Z92" s="8" t="str">
        <f>INDEX(meta_Classifiers[Class - Generalization:src], MATCH(meta_Columns[[#This Row],[Owning Table Instances Class]],meta_Classifiers[ID],0))</f>
        <v/>
      </c>
      <c r="AA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2" s="8" t="b">
        <f>_xlfn.IFNA(
INDEX(meta_Classifiers[Class - Generalization:src],MATCH(
INDEX(meta_Classifiers[Class - Generalization:src],MATCH(meta_Columns[[#This Row],[Property Owning Class]],meta_Classifiers[ID],0)),meta_Classifiers[ID],0))
=meta_Columns[[#This Row],[Owning Table Instances Class]],FALSE)</f>
        <v>0</v>
      </c>
      <c r="AG92" s="8" t="b">
        <f>_xlfn.IFNA(INDEX(meta_Classifiers[Class - Generalization:src],MATCH(meta_Columns[[#This Row],[Property Owning Class]],meta_Classifiers[ID],0))=meta_Columns[[#This Row],[Owning Table Instances Class]],FALSE)</f>
        <v>0</v>
      </c>
      <c r="AH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2" s="8" t="e">
        <f>INDEX(meta_Classifiers[Name],MATCH(INDEX(meta_TypedModelElements[Property - Owning Class:src],MATCH(meta_Columns[[#This Row],[Property]],meta_TypedModelElements[ID],0)),meta_Classifiers[ID],0))</f>
        <v>#N/A</v>
      </c>
      <c r="AJ92" s="8" t="e">
        <f>INDEX(meta_TypedModelElements[Property - Owning Class:src],MATCH(meta_Columns[[#This Row],[Property]],meta_TypedModelElements[ID],0))</f>
        <v>#N/A</v>
      </c>
      <c r="AK92" s="8" t="e">
        <f>INDEX(meta_TypedModelElements[Kind:src],MATCH(meta_Columns[[#This Row],[Property]],meta_TypedModelElements[ID],0))</f>
        <v>#N/A</v>
      </c>
      <c r="AL92" s="8" t="e">
        <f>INDEX(meta_TypedModelElements[Name or Type],MATCH(meta_Columns[[#This Row],[Property]],meta_TypedModelElements[ID],0))</f>
        <v>#N/A</v>
      </c>
      <c r="AM92" s="8" t="e">
        <f>INDEX(meta_TypedModelElements[Property - Changeable],MATCH(meta_Columns[[#This Row],[Property]],meta_TypedModelElements[ID],0))</f>
        <v>#N/A</v>
      </c>
      <c r="AN92" s="43">
        <v>16</v>
      </c>
      <c r="AO92" s="22">
        <v>13</v>
      </c>
      <c r="AP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2" s="8" t="str">
        <f xml:space="preserve"> IF(meta_Columns[[#This Row],[Property Owning Class is Specialization of Instance Class]],meta_Columns[[#This Row],[Property Owning Class Name]]&amp;" - ","")</f>
        <v/>
      </c>
      <c r="AR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v>
      </c>
      <c r="AT92" s="8" t="str">
        <f>IFERROR(LEFT(meta_Columns[[#This Row],[Excel Column - Label Actual without Semantic Case]],FIND("-",
meta_Columns[[#This Row],[Excel Column - Label Actual without Semantic Case]])-2),"")</f>
        <v/>
      </c>
      <c r="AU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v>
      </c>
      <c r="AV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2:src</v>
      </c>
      <c r="AX92" s="22"/>
      <c r="AY92" s="8" t="str">
        <f>meta_Columns[[#This Row],[Owning Table]]&amp;"."&amp;meta_Columns[[#This Row],[Excel Column - Label]]</f>
        <v>meta::CodeTemplates.Matched Pattern 2:src</v>
      </c>
      <c r="AZ92" s="43" t="s">
        <v>528</v>
      </c>
      <c r="BA92" s="44" t="str">
        <f>IF(TRIM(meta_Columns[[#This Row],[Excel Column - Label Overwrite]])&lt;&gt;"",meta_Columns[[#This Row],[Excel Column - Label Overwrite]],meta_Columns[[#This Row],[Excel Column - Label from Property or Referenced Table]])</f>
        <v>Matched Pattern 2:src</v>
      </c>
      <c r="BB92" s="43"/>
      <c r="BC92" s="44" t="str">
        <f>IF(meta_Columns[[#This Row],[Excel Column - Explicit Excel Formula]]="","",meta_Columns[[#This Row],[Excel Column - Explicit Excel Formula]])</f>
        <v/>
      </c>
      <c r="BD92" s="5"/>
      <c r="BE92" s="5"/>
    </row>
    <row r="93" spans="1:57">
      <c r="A93" s="10" t="s">
        <v>1085</v>
      </c>
      <c r="B93" s="11" t="s">
        <v>546</v>
      </c>
      <c r="C93" s="22" t="str">
        <f xml:space="preserve"> IF( TRIM( meta_Columns[[#This Row],[Kind:src]] ) = "", "",
        INDEX( meta_Classifiers[Display Qualified], MATCH( meta_Columns[[#This Row],[Kind:src]], meta_Classifiers[ID], 0 ) ) )</f>
        <v>ExcelColumn</v>
      </c>
      <c r="D93" s="44" t="str">
        <f>IF(meta_Columns[[#This Row],[Owning Table:src]]="","",INDEX(meta_Classifiers[Package],MATCH(meta_Columns[[#This Row],[Owning Table Instances Class]],meta_Classifiers[ID],0)))</f>
        <v>meta</v>
      </c>
      <c r="E93" s="43"/>
      <c r="F93" s="44" t="str">
        <f>INDEX(meta_Tables[Excel Table - Excel Name],MATCH(meta_Columns[[#This Row],[Owning Table:src]],meta_Tables[ID],0))</f>
        <v>meta_CodeTemplates</v>
      </c>
      <c r="G93" s="44" t="str">
        <f>INDEX(meta_Tables[Instances Class:src],MATCH(meta_Columns[[#This Row],[Owning Table:src]],meta_Tables[ID],0))</f>
        <v>_Object</v>
      </c>
      <c r="H93" s="11" t="s">
        <v>1018</v>
      </c>
      <c r="I93" s="43" t="str">
        <f xml:space="preserve"> IF( TRIM( meta_Columns[[#This Row],[Owning Table:src]] ) = "", "",
        INDEX( meta_Tables[Display Qualified], MATCH( meta_Columns[[#This Row],[Owning Table:src]], meta_Tables[ID], 0 ) ) )</f>
        <v>meta::CodeTemplates</v>
      </c>
      <c r="K93" s="22" t="str">
        <f>IF(TRIM(meta_Columns[[#This Row],[Referenced Table:src]])="","",
    INDEX(meta_Tables[Display Qualified],MATCH(meta_Columns[[#This Row],[Referenced Table:src]],meta_Tables[ID],0)))</f>
        <v/>
      </c>
      <c r="L93" s="8"/>
      <c r="M93" s="22" t="str">
        <f xml:space="preserve"> IF( TRIM( meta_Columns[[#This Row],[Referenced Table Display and Select Column:src]] ) = "", "",
        INDEX( meta_Columns[Display Qualified], MATCH( meta_Columns[[#This Row],[Referenced Table Display and Select Column:src]], meta_Columns[ID], 0 ) ) )</f>
        <v/>
      </c>
      <c r="N93" s="8" t="str">
        <f>IF(meta_Columns[[#This Row],[Excel Column - Excel Formula]]="","x","")</f>
        <v>x</v>
      </c>
      <c r="O93" s="22"/>
      <c r="P93" s="8" t="str">
        <f>IF(meta_Columns[[#This Row],[Referenced Table:src]]="","",INDEX(meta_Tables[Instances Class],MATCH(meta_Columns[[#This Row],[Referenced Table:src]],meta_Tables[ID],0)))</f>
        <v/>
      </c>
      <c r="Q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3" s="8"/>
      <c r="S93" s="22" t="str">
        <f xml:space="preserve"> IF( TRIM( meta_Columns[[#This Row],[Property:src]] ) = "", "",
        INDEX( meta_TypedModelElements[Display Qualified], MATCH( meta_Columns[[#This Row],[Property:src]], meta_TypedModelElements[ID], 0 ) ) )</f>
        <v/>
      </c>
      <c r="T93" s="22"/>
      <c r="U93" s="8" t="e">
        <f>INDEX(meta_Classifiers[Class - Generalization:src], MATCH(meta_Columns[[#This Row],[Generalization 5]],meta_Classifiers[ID],0))</f>
        <v>#N/A</v>
      </c>
      <c r="V93" s="8" t="e">
        <f>INDEX(meta_Classifiers[Class - Generalization:src], MATCH(meta_Columns[[#This Row],[Generalization 4]],meta_Classifiers[ID],0))</f>
        <v>#N/A</v>
      </c>
      <c r="W93" s="8" t="e">
        <f>INDEX(meta_Classifiers[Class - Generalization:src], MATCH(meta_Columns[[#This Row],[Generalization 3]],meta_Classifiers[ID],0))</f>
        <v>#N/A</v>
      </c>
      <c r="X93" s="8" t="e">
        <f>INDEX(meta_Classifiers[Class - Generalization:src], MATCH(meta_Columns[[#This Row],[Generalization 2]],meta_Classifiers[ID],0))</f>
        <v>#N/A</v>
      </c>
      <c r="Y93" s="8" t="e">
        <f>INDEX(meta_Classifiers[Class - Generalization:src], MATCH(meta_Columns[[#This Row],[Generalization 1]],meta_Classifiers[ID],0))</f>
        <v>#N/A</v>
      </c>
      <c r="Z93" s="8" t="str">
        <f>INDEX(meta_Classifiers[Class - Generalization:src], MATCH(meta_Columns[[#This Row],[Owning Table Instances Class]],meta_Classifiers[ID],0))</f>
        <v/>
      </c>
      <c r="AA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3" s="8" t="b">
        <f>_xlfn.IFNA(
INDEX(meta_Classifiers[Class - Generalization:src],MATCH(
INDEX(meta_Classifiers[Class - Generalization:src],MATCH(meta_Columns[[#This Row],[Property Owning Class]],meta_Classifiers[ID],0)),meta_Classifiers[ID],0))
=meta_Columns[[#This Row],[Owning Table Instances Class]],FALSE)</f>
        <v>0</v>
      </c>
      <c r="AG93" s="8" t="b">
        <f>_xlfn.IFNA(INDEX(meta_Classifiers[Class - Generalization:src],MATCH(meta_Columns[[#This Row],[Property Owning Class]],meta_Classifiers[ID],0))=meta_Columns[[#This Row],[Owning Table Instances Class]],FALSE)</f>
        <v>0</v>
      </c>
      <c r="AH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3" s="8" t="e">
        <f>INDEX(meta_Classifiers[Name],MATCH(INDEX(meta_TypedModelElements[Property - Owning Class:src],MATCH(meta_Columns[[#This Row],[Property]],meta_TypedModelElements[ID],0)),meta_Classifiers[ID],0))</f>
        <v>#N/A</v>
      </c>
      <c r="AJ93" s="8" t="e">
        <f>INDEX(meta_TypedModelElements[Property - Owning Class:src],MATCH(meta_Columns[[#This Row],[Property]],meta_TypedModelElements[ID],0))</f>
        <v>#N/A</v>
      </c>
      <c r="AK93" s="8" t="e">
        <f>INDEX(meta_TypedModelElements[Kind:src],MATCH(meta_Columns[[#This Row],[Property]],meta_TypedModelElements[ID],0))</f>
        <v>#N/A</v>
      </c>
      <c r="AL93" s="8" t="e">
        <f>INDEX(meta_TypedModelElements[Name or Type],MATCH(meta_Columns[[#This Row],[Property]],meta_TypedModelElements[ID],0))</f>
        <v>#N/A</v>
      </c>
      <c r="AM93" s="8" t="e">
        <f>INDEX(meta_TypedModelElements[Property - Changeable],MATCH(meta_Columns[[#This Row],[Property]],meta_TypedModelElements[ID],0))</f>
        <v>#N/A</v>
      </c>
      <c r="AN93" s="43">
        <v>17</v>
      </c>
      <c r="AO93" s="22">
        <v>14</v>
      </c>
      <c r="AP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3" s="8" t="str">
        <f xml:space="preserve"> IF(meta_Columns[[#This Row],[Property Owning Class is Specialization of Instance Class]],meta_Columns[[#This Row],[Property Owning Class Name]]&amp;" - ","")</f>
        <v/>
      </c>
      <c r="AR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Pattern2</v>
      </c>
      <c r="AT93" s="8" t="str">
        <f>IFERROR(LEFT(meta_Columns[[#This Row],[Excel Column - Label Actual without Semantic Case]],FIND("-",
meta_Columns[[#This Row],[Excel Column - Label Actual without Semantic Case]])-2),"")</f>
        <v/>
      </c>
      <c r="AU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Pattern2</v>
      </c>
      <c r="AV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Pattern2</v>
      </c>
      <c r="AX93" s="22"/>
      <c r="AY93" s="8" t="str">
        <f>meta_Columns[[#This Row],[Owning Table]]&amp;"."&amp;meta_Columns[[#This Row],[Excel Column - Label]]</f>
        <v>meta::CodeTemplates.Matched Pattern2</v>
      </c>
      <c r="AZ93" s="43" t="s">
        <v>529</v>
      </c>
      <c r="BA93" s="44" t="str">
        <f>IF(TRIM(meta_Columns[[#This Row],[Excel Column - Label Overwrite]])&lt;&gt;"",meta_Columns[[#This Row],[Excel Column - Label Overwrite]],meta_Columns[[#This Row],[Excel Column - Label from Property or Referenced Table]])</f>
        <v>Matched Pattern2</v>
      </c>
      <c r="BB93" s="43"/>
      <c r="BC93" s="44" t="str">
        <f>IF(meta_Columns[[#This Row],[Excel Column - Explicit Excel Formula]]="","",meta_Columns[[#This Row],[Excel Column - Explicit Excel Formula]])</f>
        <v/>
      </c>
      <c r="BD93" s="5"/>
      <c r="BE93" s="5"/>
    </row>
    <row r="94" spans="1:57">
      <c r="A94" s="10" t="s">
        <v>1086</v>
      </c>
      <c r="B94" s="11" t="s">
        <v>546</v>
      </c>
      <c r="C94" s="22" t="str">
        <f xml:space="preserve"> IF( TRIM( meta_Columns[[#This Row],[Kind:src]] ) = "", "",
        INDEX( meta_Classifiers[Display Qualified], MATCH( meta_Columns[[#This Row],[Kind:src]], meta_Classifiers[ID], 0 ) ) )</f>
        <v>ExcelColumn</v>
      </c>
      <c r="D94" s="44" t="str">
        <f>IF(meta_Columns[[#This Row],[Owning Table:src]]="","",INDEX(meta_Classifiers[Package],MATCH(meta_Columns[[#This Row],[Owning Table Instances Class]],meta_Classifiers[ID],0)))</f>
        <v>meta</v>
      </c>
      <c r="E94" s="43"/>
      <c r="F94" s="8" t="str">
        <f>INDEX(meta_Tables[Excel Table - Excel Name],MATCH(meta_Columns[[#This Row],[Owning Table:src]],meta_Tables[ID],0))</f>
        <v>meta_CodeTemplates</v>
      </c>
      <c r="G94" s="44" t="str">
        <f>INDEX(meta_Tables[Instances Class:src],MATCH(meta_Columns[[#This Row],[Owning Table:src]],meta_Tables[ID],0))</f>
        <v>_Object</v>
      </c>
      <c r="H94" s="11" t="s">
        <v>1018</v>
      </c>
      <c r="I94" s="43" t="str">
        <f xml:space="preserve"> IF( TRIM( meta_Columns[[#This Row],[Owning Table:src]] ) = "", "",
        INDEX( meta_Tables[Display Qualified], MATCH( meta_Columns[[#This Row],[Owning Table:src]], meta_Tables[ID], 0 ) ) )</f>
        <v>meta::CodeTemplates</v>
      </c>
      <c r="K94" s="22" t="str">
        <f>IF(TRIM(meta_Columns[[#This Row],[Referenced Table:src]])="","",
    INDEX(meta_Tables[Display Qualified],MATCH(meta_Columns[[#This Row],[Referenced Table:src]],meta_Tables[ID],0)))</f>
        <v/>
      </c>
      <c r="L94" s="8"/>
      <c r="M94" s="22" t="str">
        <f xml:space="preserve"> IF( TRIM( meta_Columns[[#This Row],[Referenced Table Display and Select Column:src]] ) = "", "",
        INDEX( meta_Columns[Display Qualified], MATCH( meta_Columns[[#This Row],[Referenced Table Display and Select Column:src]], meta_Columns[ID], 0 ) ) )</f>
        <v/>
      </c>
      <c r="N94" s="8" t="str">
        <f>IF(meta_Columns[[#This Row],[Excel Column - Excel Formula]]="","x","")</f>
        <v>x</v>
      </c>
      <c r="O94" s="22"/>
      <c r="P94" s="8" t="str">
        <f>IF(meta_Columns[[#This Row],[Referenced Table:src]]="","",INDEX(meta_Tables[Instances Class],MATCH(meta_Columns[[#This Row],[Referenced Table:src]],meta_Tables[ID],0)))</f>
        <v/>
      </c>
      <c r="Q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meta::Object.matchedPattern2FilterValue1</v>
      </c>
      <c r="R94" s="8"/>
      <c r="S94" s="22" t="str">
        <f xml:space="preserve"> IF( TRIM( meta_Columns[[#This Row],[Property:src]] ) = "", "",
        INDEX( meta_TypedModelElements[Display Qualified], MATCH( meta_Columns[[#This Row],[Property:src]], meta_TypedModelElements[ID], 0 ) ) )</f>
        <v/>
      </c>
      <c r="T94" s="22"/>
      <c r="U94" s="8" t="e">
        <f>INDEX(meta_Classifiers[Class - Generalization:src], MATCH(meta_Columns[[#This Row],[Generalization 5]],meta_Classifiers[ID],0))</f>
        <v>#N/A</v>
      </c>
      <c r="V94" s="8" t="e">
        <f>INDEX(meta_Classifiers[Class - Generalization:src], MATCH(meta_Columns[[#This Row],[Generalization 4]],meta_Classifiers[ID],0))</f>
        <v>#N/A</v>
      </c>
      <c r="W94" s="8" t="e">
        <f>INDEX(meta_Classifiers[Class - Generalization:src], MATCH(meta_Columns[[#This Row],[Generalization 3]],meta_Classifiers[ID],0))</f>
        <v>#N/A</v>
      </c>
      <c r="X94" s="8" t="e">
        <f>INDEX(meta_Classifiers[Class - Generalization:src], MATCH(meta_Columns[[#This Row],[Generalization 2]],meta_Classifiers[ID],0))</f>
        <v>#N/A</v>
      </c>
      <c r="Y94" s="8" t="e">
        <f>INDEX(meta_Classifiers[Class - Generalization:src], MATCH(meta_Columns[[#This Row],[Generalization 1]],meta_Classifiers[ID],0))</f>
        <v>#N/A</v>
      </c>
      <c r="Z94" s="8" t="str">
        <f>INDEX(meta_Classifiers[Class - Generalization:src], MATCH(meta_Columns[[#This Row],[Owning Table Instances Class]],meta_Classifiers[ID],0))</f>
        <v/>
      </c>
      <c r="AA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4" s="8" t="b">
        <f>_xlfn.IFNA(
INDEX(meta_Classifiers[Class - Generalization:src],MATCH(
INDEX(meta_Classifiers[Class - Generalization:src],MATCH(meta_Columns[[#This Row],[Property Owning Class]],meta_Classifiers[ID],0)),meta_Classifiers[ID],0))
=meta_Columns[[#This Row],[Owning Table Instances Class]],FALSE)</f>
        <v>0</v>
      </c>
      <c r="AG94" s="8" t="b">
        <f>_xlfn.IFNA(INDEX(meta_Classifiers[Class - Generalization:src],MATCH(meta_Columns[[#This Row],[Property Owning Class]],meta_Classifiers[ID],0))=meta_Columns[[#This Row],[Owning Table Instances Class]],FALSE)</f>
        <v>0</v>
      </c>
      <c r="AH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4" s="8" t="e">
        <f>INDEX(meta_Classifiers[Name],MATCH(INDEX(meta_TypedModelElements[Property - Owning Class:src],MATCH(meta_Columns[[#This Row],[Property]],meta_TypedModelElements[ID],0)),meta_Classifiers[ID],0))</f>
        <v>#N/A</v>
      </c>
      <c r="AJ94" s="8" t="e">
        <f>INDEX(meta_TypedModelElements[Property - Owning Class:src],MATCH(meta_Columns[[#This Row],[Property]],meta_TypedModelElements[ID],0))</f>
        <v>#N/A</v>
      </c>
      <c r="AK94" s="8" t="e">
        <f>INDEX(meta_TypedModelElements[Kind:src],MATCH(meta_Columns[[#This Row],[Property]],meta_TypedModelElements[ID],0))</f>
        <v>#N/A</v>
      </c>
      <c r="AL94" s="8" t="e">
        <f>INDEX(meta_TypedModelElements[Name or Type],MATCH(meta_Columns[[#This Row],[Property]],meta_TypedModelElements[ID],0))</f>
        <v>#N/A</v>
      </c>
      <c r="AM94" s="8" t="e">
        <f>INDEX(meta_TypedModelElements[Property - Changeable],MATCH(meta_Columns[[#This Row],[Property]],meta_TypedModelElements[ID],0))</f>
        <v>#N/A</v>
      </c>
      <c r="AN94" s="43">
        <v>18</v>
      </c>
      <c r="AO94" s="22">
        <v>15</v>
      </c>
      <c r="AP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4" s="8" t="str">
        <f xml:space="preserve"> IF(meta_Columns[[#This Row],[Property Owning Class is Specialization of Instance Class]],meta_Columns[[#This Row],[Property Owning Class Name]]&amp;" - ","")</f>
        <v/>
      </c>
      <c r="AR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1</v>
      </c>
      <c r="AT94" s="8" t="str">
        <f>IFERROR(LEFT(meta_Columns[[#This Row],[Excel Column - Label Actual without Semantic Case]],FIND("-",
meta_Columns[[#This Row],[Excel Column - Label Actual without Semantic Case]])-2),"")</f>
        <v/>
      </c>
      <c r="AU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1</v>
      </c>
      <c r="AV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1</v>
      </c>
      <c r="AX94" s="22"/>
      <c r="AY94" s="8" t="str">
        <f>meta_Columns[[#This Row],[Owning Table]]&amp;"."&amp;meta_Columns[[#This Row],[Excel Column - Label]]</f>
        <v>meta::CodeTemplates.Matched Pattern 2 Filter Value 1</v>
      </c>
      <c r="AZ94" s="22" t="s">
        <v>539</v>
      </c>
      <c r="BA94" s="44" t="str">
        <f>IF(TRIM(meta_Columns[[#This Row],[Excel Column - Label Overwrite]])&lt;&gt;"",meta_Columns[[#This Row],[Excel Column - Label Overwrite]],meta_Columns[[#This Row],[Excel Column - Label from Property or Referenced Table]])</f>
        <v>Matched Pattern 2 Filter Value 1</v>
      </c>
      <c r="BB94" s="43"/>
      <c r="BC94" s="44" t="str">
        <f>IF(meta_Columns[[#This Row],[Excel Column - Explicit Excel Formula]]="","",meta_Columns[[#This Row],[Excel Column - Explicit Excel Formula]])</f>
        <v/>
      </c>
      <c r="BD94" s="5"/>
      <c r="BE94" s="5"/>
    </row>
    <row r="95" spans="1:57">
      <c r="A95" s="10" t="s">
        <v>1087</v>
      </c>
      <c r="B95" s="11" t="s">
        <v>546</v>
      </c>
      <c r="C95" s="22" t="str">
        <f xml:space="preserve"> IF( TRIM( meta_Columns[[#This Row],[Kind:src]] ) = "", "",
        INDEX( meta_Classifiers[Display Qualified], MATCH( meta_Columns[[#This Row],[Kind:src]], meta_Classifiers[ID], 0 ) ) )</f>
        <v>ExcelColumn</v>
      </c>
      <c r="D95" s="44" t="str">
        <f>IF(meta_Columns[[#This Row],[Owning Table:src]]="","",INDEX(meta_Classifiers[Package],MATCH(meta_Columns[[#This Row],[Owning Table Instances Class]],meta_Classifiers[ID],0)))</f>
        <v>meta</v>
      </c>
      <c r="E95" s="43"/>
      <c r="F95" s="8" t="str">
        <f>INDEX(meta_Tables[Excel Table - Excel Name],MATCH(meta_Columns[[#This Row],[Owning Table:src]],meta_Tables[ID],0))</f>
        <v>meta_CodeTemplates</v>
      </c>
      <c r="G95" s="44" t="str">
        <f>INDEX(meta_Tables[Instances Class:src],MATCH(meta_Columns[[#This Row],[Owning Table:src]],meta_Tables[ID],0))</f>
        <v>_Object</v>
      </c>
      <c r="H95" s="11" t="s">
        <v>1018</v>
      </c>
      <c r="I95" s="43" t="str">
        <f xml:space="preserve"> IF( TRIM( meta_Columns[[#This Row],[Owning Table:src]] ) = "", "",
        INDEX( meta_Tables[Display Qualified], MATCH( meta_Columns[[#This Row],[Owning Table:src]], meta_Tables[ID], 0 ) ) )</f>
        <v>meta::CodeTemplates</v>
      </c>
      <c r="K95" s="22" t="str">
        <f>IF(TRIM(meta_Columns[[#This Row],[Referenced Table:src]])="","",
    INDEX(meta_Tables[Display Qualified],MATCH(meta_Columns[[#This Row],[Referenced Table:src]],meta_Tables[ID],0)))</f>
        <v/>
      </c>
      <c r="L95" s="8"/>
      <c r="M95" s="22" t="str">
        <f xml:space="preserve"> IF( TRIM( meta_Columns[[#This Row],[Referenced Table Display and Select Column:src]] ) = "", "",
        INDEX( meta_Columns[Display Qualified], MATCH( meta_Columns[[#This Row],[Referenced Table Display and Select Column:src]], meta_Columns[ID], 0 ) ) )</f>
        <v/>
      </c>
      <c r="N95" s="8" t="str">
        <f>IF(meta_Columns[[#This Row],[Excel Column - Excel Formula]]="","x","")</f>
        <v>x</v>
      </c>
      <c r="O95" s="22"/>
      <c r="P95" s="8" t="str">
        <f>IF(meta_Columns[[#This Row],[Referenced Table:src]]="","",INDEX(meta_Tables[Instances Class],MATCH(meta_Columns[[#This Row],[Referenced Table:src]],meta_Tables[ID],0)))</f>
        <v/>
      </c>
      <c r="Q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meta::Object.matchedPattern2FilterValue2</v>
      </c>
      <c r="R95" s="8"/>
      <c r="S95" s="22" t="str">
        <f xml:space="preserve"> IF( TRIM( meta_Columns[[#This Row],[Property:src]] ) = "", "",
        INDEX( meta_TypedModelElements[Display Qualified], MATCH( meta_Columns[[#This Row],[Property:src]], meta_TypedModelElements[ID], 0 ) ) )</f>
        <v/>
      </c>
      <c r="T95" s="22"/>
      <c r="U95" s="8" t="e">
        <f>INDEX(meta_Classifiers[Class - Generalization:src], MATCH(meta_Columns[[#This Row],[Generalization 5]],meta_Classifiers[ID],0))</f>
        <v>#N/A</v>
      </c>
      <c r="V95" s="8" t="e">
        <f>INDEX(meta_Classifiers[Class - Generalization:src], MATCH(meta_Columns[[#This Row],[Generalization 4]],meta_Classifiers[ID],0))</f>
        <v>#N/A</v>
      </c>
      <c r="W95" s="8" t="e">
        <f>INDEX(meta_Classifiers[Class - Generalization:src], MATCH(meta_Columns[[#This Row],[Generalization 3]],meta_Classifiers[ID],0))</f>
        <v>#N/A</v>
      </c>
      <c r="X95" s="8" t="e">
        <f>INDEX(meta_Classifiers[Class - Generalization:src], MATCH(meta_Columns[[#This Row],[Generalization 2]],meta_Classifiers[ID],0))</f>
        <v>#N/A</v>
      </c>
      <c r="Y95" s="8" t="e">
        <f>INDEX(meta_Classifiers[Class - Generalization:src], MATCH(meta_Columns[[#This Row],[Generalization 1]],meta_Classifiers[ID],0))</f>
        <v>#N/A</v>
      </c>
      <c r="Z95" s="8" t="str">
        <f>INDEX(meta_Classifiers[Class - Generalization:src], MATCH(meta_Columns[[#This Row],[Owning Table Instances Class]],meta_Classifiers[ID],0))</f>
        <v/>
      </c>
      <c r="AA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5" s="8" t="b">
        <f>_xlfn.IFNA(
INDEX(meta_Classifiers[Class - Generalization:src],MATCH(
INDEX(meta_Classifiers[Class - Generalization:src],MATCH(meta_Columns[[#This Row],[Property Owning Class]],meta_Classifiers[ID],0)),meta_Classifiers[ID],0))
=meta_Columns[[#This Row],[Owning Table Instances Class]],FALSE)</f>
        <v>0</v>
      </c>
      <c r="AG95" s="8" t="b">
        <f>_xlfn.IFNA(INDEX(meta_Classifiers[Class - Generalization:src],MATCH(meta_Columns[[#This Row],[Property Owning Class]],meta_Classifiers[ID],0))=meta_Columns[[#This Row],[Owning Table Instances Class]],FALSE)</f>
        <v>0</v>
      </c>
      <c r="AH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5" s="8" t="e">
        <f>INDEX(meta_Classifiers[Name],MATCH(INDEX(meta_TypedModelElements[Property - Owning Class:src],MATCH(meta_Columns[[#This Row],[Property]],meta_TypedModelElements[ID],0)),meta_Classifiers[ID],0))</f>
        <v>#N/A</v>
      </c>
      <c r="AJ95" s="8" t="e">
        <f>INDEX(meta_TypedModelElements[Property - Owning Class:src],MATCH(meta_Columns[[#This Row],[Property]],meta_TypedModelElements[ID],0))</f>
        <v>#N/A</v>
      </c>
      <c r="AK95" s="8" t="e">
        <f>INDEX(meta_TypedModelElements[Kind:src],MATCH(meta_Columns[[#This Row],[Property]],meta_TypedModelElements[ID],0))</f>
        <v>#N/A</v>
      </c>
      <c r="AL95" s="8" t="e">
        <f>INDEX(meta_TypedModelElements[Name or Type],MATCH(meta_Columns[[#This Row],[Property]],meta_TypedModelElements[ID],0))</f>
        <v>#N/A</v>
      </c>
      <c r="AM95" s="8" t="e">
        <f>INDEX(meta_TypedModelElements[Property - Changeable],MATCH(meta_Columns[[#This Row],[Property]],meta_TypedModelElements[ID],0))</f>
        <v>#N/A</v>
      </c>
      <c r="AN95" s="43">
        <v>19</v>
      </c>
      <c r="AO95" s="22">
        <v>16</v>
      </c>
      <c r="AP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5" s="8" t="str">
        <f xml:space="preserve"> IF(meta_Columns[[#This Row],[Property Owning Class is Specialization of Instance Class]],meta_Columns[[#This Row],[Property Owning Class Name]]&amp;" - ","")</f>
        <v/>
      </c>
      <c r="AR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2</v>
      </c>
      <c r="AT95" s="8" t="str">
        <f>IFERROR(LEFT(meta_Columns[[#This Row],[Excel Column - Label Actual without Semantic Case]],FIND("-",
meta_Columns[[#This Row],[Excel Column - Label Actual without Semantic Case]])-2),"")</f>
        <v/>
      </c>
      <c r="AU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2</v>
      </c>
      <c r="AV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2</v>
      </c>
      <c r="AX95" s="22"/>
      <c r="AY95" s="8" t="str">
        <f>meta_Columns[[#This Row],[Owning Table]]&amp;"."&amp;meta_Columns[[#This Row],[Excel Column - Label]]</f>
        <v>meta::CodeTemplates.Matched Pattern 2 Filter Value 2</v>
      </c>
      <c r="AZ95" s="22" t="s">
        <v>540</v>
      </c>
      <c r="BA95" s="44" t="str">
        <f>IF(TRIM(meta_Columns[[#This Row],[Excel Column - Label Overwrite]])&lt;&gt;"",meta_Columns[[#This Row],[Excel Column - Label Overwrite]],meta_Columns[[#This Row],[Excel Column - Label from Property or Referenced Table]])</f>
        <v>Matched Pattern 2 Filter Value 2</v>
      </c>
      <c r="BB95" s="43"/>
      <c r="BC95" s="44" t="str">
        <f>IF(meta_Columns[[#This Row],[Excel Column - Explicit Excel Formula]]="","",meta_Columns[[#This Row],[Excel Column - Explicit Excel Formula]])</f>
        <v/>
      </c>
      <c r="BD95" s="5"/>
      <c r="BE95" s="5"/>
    </row>
    <row r="96" spans="1:57">
      <c r="A96" s="10" t="s">
        <v>1088</v>
      </c>
      <c r="B96" s="11" t="s">
        <v>546</v>
      </c>
      <c r="C96" s="22" t="str">
        <f xml:space="preserve"> IF( TRIM( meta_Columns[[#This Row],[Kind:src]] ) = "", "",
        INDEX( meta_Classifiers[Display Qualified], MATCH( meta_Columns[[#This Row],[Kind:src]], meta_Classifiers[ID], 0 ) ) )</f>
        <v>ExcelColumn</v>
      </c>
      <c r="D96" s="44" t="str">
        <f>IF(meta_Columns[[#This Row],[Owning Table:src]]="","",INDEX(meta_Classifiers[Package],MATCH(meta_Columns[[#This Row],[Owning Table Instances Class]],meta_Classifiers[ID],0)))</f>
        <v>meta</v>
      </c>
      <c r="E96" s="43"/>
      <c r="F96" s="8" t="str">
        <f>INDEX(meta_Tables[Excel Table - Excel Name],MATCH(meta_Columns[[#This Row],[Owning Table:src]],meta_Tables[ID],0))</f>
        <v>meta_CodeTemplates</v>
      </c>
      <c r="G96" s="44" t="str">
        <f>INDEX(meta_Tables[Instances Class:src],MATCH(meta_Columns[[#This Row],[Owning Table:src]],meta_Tables[ID],0))</f>
        <v>_Object</v>
      </c>
      <c r="H96" s="11" t="s">
        <v>1018</v>
      </c>
      <c r="I96" s="43" t="str">
        <f xml:space="preserve"> IF( TRIM( meta_Columns[[#This Row],[Owning Table:src]] ) = "", "",
        INDEX( meta_Tables[Display Qualified], MATCH( meta_Columns[[#This Row],[Owning Table:src]], meta_Tables[ID], 0 ) ) )</f>
        <v>meta::CodeTemplates</v>
      </c>
      <c r="K96" s="22" t="str">
        <f>IF(TRIM(meta_Columns[[#This Row],[Referenced Table:src]])="","",
    INDEX(meta_Tables[Display Qualified],MATCH(meta_Columns[[#This Row],[Referenced Table:src]],meta_Tables[ID],0)))</f>
        <v/>
      </c>
      <c r="L96" s="8"/>
      <c r="M96" s="22" t="str">
        <f xml:space="preserve"> IF( TRIM( meta_Columns[[#This Row],[Referenced Table Display and Select Column:src]] ) = "", "",
        INDEX( meta_Columns[Display Qualified], MATCH( meta_Columns[[#This Row],[Referenced Table Display and Select Column:src]], meta_Columns[ID], 0 ) ) )</f>
        <v/>
      </c>
      <c r="N96" s="8" t="str">
        <f>IF(meta_Columns[[#This Row],[Excel Column - Excel Formula]]="","x","")</f>
        <v>x</v>
      </c>
      <c r="O96" s="22"/>
      <c r="P96" s="8" t="str">
        <f>IF(meta_Columns[[#This Row],[Referenced Table:src]]="","",INDEX(meta_Tables[Instances Class],MATCH(meta_Columns[[#This Row],[Referenced Table:src]],meta_Tables[ID],0)))</f>
        <v/>
      </c>
      <c r="Q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meta::Object.matchedPattern2TemplateColumn</v>
      </c>
      <c r="R96" s="8"/>
      <c r="S96" s="22" t="str">
        <f xml:space="preserve"> IF( TRIM( meta_Columns[[#This Row],[Property:src]] ) = "", "",
        INDEX( meta_TypedModelElements[Display Qualified], MATCH( meta_Columns[[#This Row],[Property:src]], meta_TypedModelElements[ID], 0 ) ) )</f>
        <v/>
      </c>
      <c r="T96" s="22"/>
      <c r="U96" s="8" t="e">
        <f>INDEX(meta_Classifiers[Class - Generalization:src], MATCH(meta_Columns[[#This Row],[Generalization 5]],meta_Classifiers[ID],0))</f>
        <v>#N/A</v>
      </c>
      <c r="V96" s="8" t="e">
        <f>INDEX(meta_Classifiers[Class - Generalization:src], MATCH(meta_Columns[[#This Row],[Generalization 4]],meta_Classifiers[ID],0))</f>
        <v>#N/A</v>
      </c>
      <c r="W96" s="8" t="e">
        <f>INDEX(meta_Classifiers[Class - Generalization:src], MATCH(meta_Columns[[#This Row],[Generalization 3]],meta_Classifiers[ID],0))</f>
        <v>#N/A</v>
      </c>
      <c r="X96" s="8" t="e">
        <f>INDEX(meta_Classifiers[Class - Generalization:src], MATCH(meta_Columns[[#This Row],[Generalization 2]],meta_Classifiers[ID],0))</f>
        <v>#N/A</v>
      </c>
      <c r="Y96" s="8" t="e">
        <f>INDEX(meta_Classifiers[Class - Generalization:src], MATCH(meta_Columns[[#This Row],[Generalization 1]],meta_Classifiers[ID],0))</f>
        <v>#N/A</v>
      </c>
      <c r="Z96" s="8" t="str">
        <f>INDEX(meta_Classifiers[Class - Generalization:src], MATCH(meta_Columns[[#This Row],[Owning Table Instances Class]],meta_Classifiers[ID],0))</f>
        <v/>
      </c>
      <c r="AA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6" s="8" t="b">
        <f>_xlfn.IFNA(
INDEX(meta_Classifiers[Class - Generalization:src],MATCH(
INDEX(meta_Classifiers[Class - Generalization:src],MATCH(meta_Columns[[#This Row],[Property Owning Class]],meta_Classifiers[ID],0)),meta_Classifiers[ID],0))
=meta_Columns[[#This Row],[Owning Table Instances Class]],FALSE)</f>
        <v>0</v>
      </c>
      <c r="AG96" s="8" t="b">
        <f>_xlfn.IFNA(INDEX(meta_Classifiers[Class - Generalization:src],MATCH(meta_Columns[[#This Row],[Property Owning Class]],meta_Classifiers[ID],0))=meta_Columns[[#This Row],[Owning Table Instances Class]],FALSE)</f>
        <v>0</v>
      </c>
      <c r="AH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6" s="8" t="e">
        <f>INDEX(meta_Classifiers[Name],MATCH(INDEX(meta_TypedModelElements[Property - Owning Class:src],MATCH(meta_Columns[[#This Row],[Property]],meta_TypedModelElements[ID],0)),meta_Classifiers[ID],0))</f>
        <v>#N/A</v>
      </c>
      <c r="AJ96" s="8" t="e">
        <f>INDEX(meta_TypedModelElements[Property - Owning Class:src],MATCH(meta_Columns[[#This Row],[Property]],meta_TypedModelElements[ID],0))</f>
        <v>#N/A</v>
      </c>
      <c r="AK96" s="8" t="e">
        <f>INDEX(meta_TypedModelElements[Kind:src],MATCH(meta_Columns[[#This Row],[Property]],meta_TypedModelElements[ID],0))</f>
        <v>#N/A</v>
      </c>
      <c r="AL96" s="8" t="e">
        <f>INDEX(meta_TypedModelElements[Name or Type],MATCH(meta_Columns[[#This Row],[Property]],meta_TypedModelElements[ID],0))</f>
        <v>#N/A</v>
      </c>
      <c r="AM96" s="8" t="e">
        <f>INDEX(meta_TypedModelElements[Property - Changeable],MATCH(meta_Columns[[#This Row],[Property]],meta_TypedModelElements[ID],0))</f>
        <v>#N/A</v>
      </c>
      <c r="AN96" s="43">
        <v>20</v>
      </c>
      <c r="AO96" s="22">
        <v>17</v>
      </c>
      <c r="AP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6" s="8" t="str">
        <f xml:space="preserve"> IF(meta_Columns[[#This Row],[Property Owning Class is Specialization of Instance Class]],meta_Columns[[#This Row],[Property Owning Class Name]]&amp;" - ","")</f>
        <v/>
      </c>
      <c r="AR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Template Column</v>
      </c>
      <c r="AT96" s="8" t="str">
        <f>IFERROR(LEFT(meta_Columns[[#This Row],[Excel Column - Label Actual without Semantic Case]],FIND("-",
meta_Columns[[#This Row],[Excel Column - Label Actual without Semantic Case]])-2),"")</f>
        <v/>
      </c>
      <c r="AU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Template Column</v>
      </c>
      <c r="AV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Template Column</v>
      </c>
      <c r="AX96" s="22"/>
      <c r="AY96" s="8" t="str">
        <f>meta_Columns[[#This Row],[Owning Table]]&amp;"."&amp;meta_Columns[[#This Row],[Excel Column - Label]]</f>
        <v>meta::CodeTemplates.Matched Pattern 2 Template Column</v>
      </c>
      <c r="AZ96" s="22" t="s">
        <v>530</v>
      </c>
      <c r="BA96" s="44" t="str">
        <f>IF(TRIM(meta_Columns[[#This Row],[Excel Column - Label Overwrite]])&lt;&gt;"",meta_Columns[[#This Row],[Excel Column - Label Overwrite]],meta_Columns[[#This Row],[Excel Column - Label from Property or Referenced Table]])</f>
        <v>Matched Pattern 2 Template Column</v>
      </c>
      <c r="BB96" s="43"/>
      <c r="BC96" s="44" t="str">
        <f>IF(meta_Columns[[#This Row],[Excel Column - Explicit Excel Formula]]="","",meta_Columns[[#This Row],[Excel Column - Explicit Excel Formula]])</f>
        <v/>
      </c>
      <c r="BD96" s="5"/>
      <c r="BE96" s="5"/>
    </row>
    <row r="97" spans="1:57">
      <c r="A97" s="10" t="s">
        <v>1089</v>
      </c>
      <c r="B97" s="11" t="s">
        <v>546</v>
      </c>
      <c r="C97" s="22" t="str">
        <f xml:space="preserve"> IF( TRIM( meta_Columns[[#This Row],[Kind:src]] ) = "", "",
        INDEX( meta_Classifiers[Display Qualified], MATCH( meta_Columns[[#This Row],[Kind:src]], meta_Classifiers[ID], 0 ) ) )</f>
        <v>ExcelColumn</v>
      </c>
      <c r="D97" s="44" t="str">
        <f>IF(meta_Columns[[#This Row],[Owning Table:src]]="","",INDEX(meta_Classifiers[Package],MATCH(meta_Columns[[#This Row],[Owning Table Instances Class]],meta_Classifiers[ID],0)))</f>
        <v>meta</v>
      </c>
      <c r="E97" s="43"/>
      <c r="F97" s="8" t="str">
        <f>INDEX(meta_Tables[Excel Table - Excel Name],MATCH(meta_Columns[[#This Row],[Owning Table:src]],meta_Tables[ID],0))</f>
        <v>meta_CodeTemplates</v>
      </c>
      <c r="G97" s="44" t="str">
        <f>INDEX(meta_Tables[Instances Class:src],MATCH(meta_Columns[[#This Row],[Owning Table:src]],meta_Tables[ID],0))</f>
        <v>_Object</v>
      </c>
      <c r="H97" s="11" t="s">
        <v>1018</v>
      </c>
      <c r="I97" s="43" t="str">
        <f xml:space="preserve"> IF( TRIM( meta_Columns[[#This Row],[Owning Table:src]] ) = "", "",
        INDEX( meta_Tables[Display Qualified], MATCH( meta_Columns[[#This Row],[Owning Table:src]], meta_Tables[ID], 0 ) ) )</f>
        <v>meta::CodeTemplates</v>
      </c>
      <c r="K97" s="22" t="str">
        <f>IF(TRIM(meta_Columns[[#This Row],[Referenced Table:src]])="","",
    INDEX(meta_Tables[Display Qualified],MATCH(meta_Columns[[#This Row],[Referenced Table:src]],meta_Tables[ID],0)))</f>
        <v/>
      </c>
      <c r="L97" s="8"/>
      <c r="M97" s="22" t="str">
        <f xml:space="preserve"> IF( TRIM( meta_Columns[[#This Row],[Referenced Table Display and Select Column:src]] ) = "", "",
        INDEX( meta_Columns[Display Qualified], MATCH( meta_Columns[[#This Row],[Referenced Table Display and Select Column:src]], meta_Columns[ID], 0 ) ) )</f>
        <v/>
      </c>
      <c r="N97" s="8" t="str">
        <f>IF(meta_Columns[[#This Row],[Excel Column - Excel Formula]]="","x","")</f>
        <v>x</v>
      </c>
      <c r="O97" s="22"/>
      <c r="P97" s="8" t="str">
        <f>IF(meta_Columns[[#This Row],[Referenced Table:src]]="","",INDEX(meta_Tables[Instances Class],MATCH(meta_Columns[[#This Row],[Referenced Table:src]],meta_Tables[ID],0)))</f>
        <v/>
      </c>
      <c r="Q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meta::Object.templateEnd</v>
      </c>
      <c r="R97" s="8"/>
      <c r="S97" s="22" t="str">
        <f xml:space="preserve"> IF( TRIM( meta_Columns[[#This Row],[Property:src]] ) = "", "",
        INDEX( meta_TypedModelElements[Display Qualified], MATCH( meta_Columns[[#This Row],[Property:src]], meta_TypedModelElements[ID], 0 ) ) )</f>
        <v/>
      </c>
      <c r="T97" s="22"/>
      <c r="U97" s="8" t="e">
        <f>INDEX(meta_Classifiers[Class - Generalization:src], MATCH(meta_Columns[[#This Row],[Generalization 5]],meta_Classifiers[ID],0))</f>
        <v>#N/A</v>
      </c>
      <c r="V97" s="8" t="e">
        <f>INDEX(meta_Classifiers[Class - Generalization:src], MATCH(meta_Columns[[#This Row],[Generalization 4]],meta_Classifiers[ID],0))</f>
        <v>#N/A</v>
      </c>
      <c r="W97" s="8" t="e">
        <f>INDEX(meta_Classifiers[Class - Generalization:src], MATCH(meta_Columns[[#This Row],[Generalization 3]],meta_Classifiers[ID],0))</f>
        <v>#N/A</v>
      </c>
      <c r="X97" s="8" t="e">
        <f>INDEX(meta_Classifiers[Class - Generalization:src], MATCH(meta_Columns[[#This Row],[Generalization 2]],meta_Classifiers[ID],0))</f>
        <v>#N/A</v>
      </c>
      <c r="Y97" s="8" t="e">
        <f>INDEX(meta_Classifiers[Class - Generalization:src], MATCH(meta_Columns[[#This Row],[Generalization 1]],meta_Classifiers[ID],0))</f>
        <v>#N/A</v>
      </c>
      <c r="Z97" s="8" t="str">
        <f>INDEX(meta_Classifiers[Class - Generalization:src], MATCH(meta_Columns[[#This Row],[Owning Table Instances Class]],meta_Classifiers[ID],0))</f>
        <v/>
      </c>
      <c r="AA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7" s="8" t="b">
        <f>_xlfn.IFNA(
INDEX(meta_Classifiers[Class - Generalization:src],MATCH(
INDEX(meta_Classifiers[Class - Generalization:src],MATCH(meta_Columns[[#This Row],[Property Owning Class]],meta_Classifiers[ID],0)),meta_Classifiers[ID],0))
=meta_Columns[[#This Row],[Owning Table Instances Class]],FALSE)</f>
        <v>0</v>
      </c>
      <c r="AG97" s="8" t="b">
        <f>_xlfn.IFNA(INDEX(meta_Classifiers[Class - Generalization:src],MATCH(meta_Columns[[#This Row],[Property Owning Class]],meta_Classifiers[ID],0))=meta_Columns[[#This Row],[Owning Table Instances Class]],FALSE)</f>
        <v>0</v>
      </c>
      <c r="AH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7" s="8" t="e">
        <f>INDEX(meta_Classifiers[Name],MATCH(INDEX(meta_TypedModelElements[Property - Owning Class:src],MATCH(meta_Columns[[#This Row],[Property]],meta_TypedModelElements[ID],0)),meta_Classifiers[ID],0))</f>
        <v>#N/A</v>
      </c>
      <c r="AJ97" s="8" t="e">
        <f>INDEX(meta_TypedModelElements[Property - Owning Class:src],MATCH(meta_Columns[[#This Row],[Property]],meta_TypedModelElements[ID],0))</f>
        <v>#N/A</v>
      </c>
      <c r="AK97" s="8" t="e">
        <f>INDEX(meta_TypedModelElements[Kind:src],MATCH(meta_Columns[[#This Row],[Property]],meta_TypedModelElements[ID],0))</f>
        <v>#N/A</v>
      </c>
      <c r="AL97" s="8" t="e">
        <f>INDEX(meta_TypedModelElements[Name or Type],MATCH(meta_Columns[[#This Row],[Property]],meta_TypedModelElements[ID],0))</f>
        <v>#N/A</v>
      </c>
      <c r="AM97" s="8" t="e">
        <f>INDEX(meta_TypedModelElements[Property - Changeable],MATCH(meta_Columns[[#This Row],[Property]],meta_TypedModelElements[ID],0))</f>
        <v>#N/A</v>
      </c>
      <c r="AN97" s="43">
        <v>21</v>
      </c>
      <c r="AO97" s="22">
        <v>18</v>
      </c>
      <c r="AP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7" s="8" t="str">
        <f xml:space="preserve"> IF(meta_Columns[[#This Row],[Property Owning Class is Specialization of Instance Class]],meta_Columns[[#This Row],[Property Owning Class Name]]&amp;" - ","")</f>
        <v/>
      </c>
      <c r="AR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End</v>
      </c>
      <c r="AT97" s="8" t="str">
        <f>IFERROR(LEFT(meta_Columns[[#This Row],[Excel Column - Label Actual without Semantic Case]],FIND("-",
meta_Columns[[#This Row],[Excel Column - Label Actual without Semantic Case]])-2),"")</f>
        <v/>
      </c>
      <c r="AU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End</v>
      </c>
      <c r="AV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End</v>
      </c>
      <c r="AX97" s="22"/>
      <c r="AY97" s="8" t="str">
        <f>meta_Columns[[#This Row],[Owning Table]]&amp;"."&amp;meta_Columns[[#This Row],[Excel Column - Label]]</f>
        <v>meta::CodeTemplates.Template End</v>
      </c>
      <c r="AZ97" s="22" t="s">
        <v>508</v>
      </c>
      <c r="BA97" s="44" t="str">
        <f>IF(TRIM(meta_Columns[[#This Row],[Excel Column - Label Overwrite]])&lt;&gt;"",meta_Columns[[#This Row],[Excel Column - Label Overwrite]],meta_Columns[[#This Row],[Excel Column - Label from Property or Referenced Table]])</f>
        <v>Template End</v>
      </c>
      <c r="BB97" s="43"/>
      <c r="BC97" s="44" t="str">
        <f>IF(meta_Columns[[#This Row],[Excel Column - Explicit Excel Formula]]="","",meta_Columns[[#This Row],[Excel Column - Explicit Excel Formula]])</f>
        <v/>
      </c>
      <c r="BD97" s="5"/>
      <c r="BE97" s="5"/>
    </row>
    <row r="98" spans="1:57">
      <c r="A98" s="10" t="s">
        <v>1090</v>
      </c>
      <c r="B98" s="11" t="s">
        <v>546</v>
      </c>
      <c r="C98" s="22" t="str">
        <f xml:space="preserve"> IF( TRIM( meta_Columns[[#This Row],[Kind:src]] ) = "", "",
        INDEX( meta_Classifiers[Display Qualified], MATCH( meta_Columns[[#This Row],[Kind:src]], meta_Classifiers[ID], 0 ) ) )</f>
        <v>ExcelColumn</v>
      </c>
      <c r="D98" s="44" t="str">
        <f>IF(meta_Columns[[#This Row],[Owning Table:src]]="","",INDEX(meta_Classifiers[Package],MATCH(meta_Columns[[#This Row],[Owning Table Instances Class]],meta_Classifiers[ID],0)))</f>
        <v>meta</v>
      </c>
      <c r="E98" s="43"/>
      <c r="F98" s="8" t="str">
        <f>INDEX(meta_Tables[Excel Table - Excel Name],MATCH(meta_Columns[[#This Row],[Owning Table:src]],meta_Tables[ID],0))</f>
        <v>meta_CodeTemplates</v>
      </c>
      <c r="G98" s="44" t="str">
        <f>INDEX(meta_Tables[Instances Class:src],MATCH(meta_Columns[[#This Row],[Owning Table:src]],meta_Tables[ID],0))</f>
        <v>_Object</v>
      </c>
      <c r="H98" s="11" t="s">
        <v>1018</v>
      </c>
      <c r="I98" s="43" t="str">
        <f xml:space="preserve"> IF( TRIM( meta_Columns[[#This Row],[Owning Table:src]] ) = "", "",
        INDEX( meta_Tables[Display Qualified], MATCH( meta_Columns[[#This Row],[Owning Table:src]], meta_Tables[ID], 0 ) ) )</f>
        <v>meta::CodeTemplates</v>
      </c>
      <c r="K98" s="22" t="str">
        <f>IF(TRIM(meta_Columns[[#This Row],[Referenced Table:src]])="","",
    INDEX(meta_Tables[Display Qualified],MATCH(meta_Columns[[#This Row],[Referenced Table:src]],meta_Tables[ID],0)))</f>
        <v/>
      </c>
      <c r="L98" s="8"/>
      <c r="M98" s="22" t="str">
        <f xml:space="preserve"> IF( TRIM( meta_Columns[[#This Row],[Referenced Table Display and Select Column:src]] ) = "", "",
        INDEX( meta_Columns[Display Qualified], MATCH( meta_Columns[[#This Row],[Referenced Table Display and Select Column:src]], meta_Columns[ID], 0 ) ) )</f>
        <v/>
      </c>
      <c r="N98" s="8" t="str">
        <f>IF(meta_Columns[[#This Row],[Excel Column - Excel Formula]]="","x","")</f>
        <v>x</v>
      </c>
      <c r="O98" s="22"/>
      <c r="P98" s="8" t="str">
        <f>IF(meta_Columns[[#This Row],[Referenced Table:src]]="","",INDEX(meta_Tables[Instances Class],MATCH(meta_Columns[[#This Row],[Referenced Table:src]],meta_Tables[ID],0)))</f>
        <v/>
      </c>
      <c r="Q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meta::ExcelFormula.targetProperty</v>
      </c>
      <c r="R98" s="8"/>
      <c r="S98" s="22" t="str">
        <f xml:space="preserve"> IF( TRIM( meta_Columns[[#This Row],[Property:src]] ) = "", "",
        INDEX( meta_TypedModelElements[Display Qualified], MATCH( meta_Columns[[#This Row],[Property:src]], meta_TypedModelElements[ID], 0 ) ) )</f>
        <v/>
      </c>
      <c r="T98" s="22"/>
      <c r="U98" s="8" t="e">
        <f>INDEX(meta_Classifiers[Class - Generalization:src], MATCH(meta_Columns[[#This Row],[Generalization 5]],meta_Classifiers[ID],0))</f>
        <v>#N/A</v>
      </c>
      <c r="V98" s="8" t="e">
        <f>INDEX(meta_Classifiers[Class - Generalization:src], MATCH(meta_Columns[[#This Row],[Generalization 4]],meta_Classifiers[ID],0))</f>
        <v>#N/A</v>
      </c>
      <c r="W98" s="8" t="e">
        <f>INDEX(meta_Classifiers[Class - Generalization:src], MATCH(meta_Columns[[#This Row],[Generalization 3]],meta_Classifiers[ID],0))</f>
        <v>#N/A</v>
      </c>
      <c r="X98" s="8" t="e">
        <f>INDEX(meta_Classifiers[Class - Generalization:src], MATCH(meta_Columns[[#This Row],[Generalization 2]],meta_Classifiers[ID],0))</f>
        <v>#N/A</v>
      </c>
      <c r="Y98" s="8" t="e">
        <f>INDEX(meta_Classifiers[Class - Generalization:src], MATCH(meta_Columns[[#This Row],[Generalization 1]],meta_Classifiers[ID],0))</f>
        <v>#N/A</v>
      </c>
      <c r="Z98" s="8" t="str">
        <f>INDEX(meta_Classifiers[Class - Generalization:src], MATCH(meta_Columns[[#This Row],[Owning Table Instances Class]],meta_Classifiers[ID],0))</f>
        <v/>
      </c>
      <c r="AA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8" s="8" t="b">
        <f>_xlfn.IFNA(
INDEX(meta_Classifiers[Class - Generalization:src],MATCH(
INDEX(meta_Classifiers[Class - Generalization:src],MATCH(meta_Columns[[#This Row],[Property Owning Class]],meta_Classifiers[ID],0)),meta_Classifiers[ID],0))
=meta_Columns[[#This Row],[Owning Table Instances Class]],FALSE)</f>
        <v>0</v>
      </c>
      <c r="AG98" s="8" t="b">
        <f>_xlfn.IFNA(INDEX(meta_Classifiers[Class - Generalization:src],MATCH(meta_Columns[[#This Row],[Property Owning Class]],meta_Classifiers[ID],0))=meta_Columns[[#This Row],[Owning Table Instances Class]],FALSE)</f>
        <v>0</v>
      </c>
      <c r="AH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8" s="8" t="e">
        <f>INDEX(meta_Classifiers[Name],MATCH(INDEX(meta_TypedModelElements[Property - Owning Class:src],MATCH(meta_Columns[[#This Row],[Property]],meta_TypedModelElements[ID],0)),meta_Classifiers[ID],0))</f>
        <v>#N/A</v>
      </c>
      <c r="AJ98" s="8" t="e">
        <f>INDEX(meta_TypedModelElements[Property - Owning Class:src],MATCH(meta_Columns[[#This Row],[Property]],meta_TypedModelElements[ID],0))</f>
        <v>#N/A</v>
      </c>
      <c r="AK98" s="8" t="e">
        <f>INDEX(meta_TypedModelElements[Kind:src],MATCH(meta_Columns[[#This Row],[Property]],meta_TypedModelElements[ID],0))</f>
        <v>#N/A</v>
      </c>
      <c r="AL98" s="8" t="e">
        <f>INDEX(meta_TypedModelElements[Name or Type],MATCH(meta_Columns[[#This Row],[Property]],meta_TypedModelElements[ID],0))</f>
        <v>#N/A</v>
      </c>
      <c r="AM98" s="8" t="e">
        <f>INDEX(meta_TypedModelElements[Property - Changeable],MATCH(meta_Columns[[#This Row],[Property]],meta_TypedModelElements[ID],0))</f>
        <v>#N/A</v>
      </c>
      <c r="AN98" s="43">
        <v>22</v>
      </c>
      <c r="AO98" s="22">
        <v>19</v>
      </c>
      <c r="AP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8" s="8" t="str">
        <f xml:space="preserve"> IF(meta_Columns[[#This Row],[Property Owning Class is Specialization of Instance Class]],meta_Columns[[#This Row],[Property Owning Class Name]]&amp;" - ","")</f>
        <v/>
      </c>
      <c r="AR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Property</v>
      </c>
      <c r="AT98" s="8" t="str">
        <f>IFERROR(LEFT(meta_Columns[[#This Row],[Excel Column - Label Actual without Semantic Case]],FIND("-",
meta_Columns[[#This Row],[Excel Column - Label Actual without Semantic Case]])-2),"")</f>
        <v>Excel Formula</v>
      </c>
      <c r="AU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 Target Property</v>
      </c>
      <c r="AV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 Target Property</v>
      </c>
      <c r="AX98" s="22"/>
      <c r="AY98" s="8" t="str">
        <f>meta_Columns[[#This Row],[Owning Table]]&amp;"."&amp;meta_Columns[[#This Row],[Excel Column - Label]]</f>
        <v>meta::CodeTemplates.Excel Formula - Target Property</v>
      </c>
      <c r="AZ98" s="22" t="s">
        <v>502</v>
      </c>
      <c r="BA98" s="44" t="str">
        <f>IF(TRIM(meta_Columns[[#This Row],[Excel Column - Label Overwrite]])&lt;&gt;"",meta_Columns[[#This Row],[Excel Column - Label Overwrite]],meta_Columns[[#This Row],[Excel Column - Label from Property or Referenced Table]])</f>
        <v>Excel Formula - Target Property</v>
      </c>
      <c r="BB98" s="43"/>
      <c r="BC98" s="44" t="str">
        <f>IF(meta_Columns[[#This Row],[Excel Column - Explicit Excel Formula]]="","",meta_Columns[[#This Row],[Excel Column - Explicit Excel Formula]])</f>
        <v/>
      </c>
      <c r="BD98" s="5"/>
      <c r="BE98" s="5"/>
    </row>
    <row r="99" spans="1:57">
      <c r="A99" s="10" t="s">
        <v>1091</v>
      </c>
      <c r="B99" s="11" t="s">
        <v>546</v>
      </c>
      <c r="C99" s="22" t="str">
        <f xml:space="preserve"> IF( TRIM( meta_Columns[[#This Row],[Kind:src]] ) = "", "",
        INDEX( meta_Classifiers[Display Qualified], MATCH( meta_Columns[[#This Row],[Kind:src]], meta_Classifiers[ID], 0 ) ) )</f>
        <v>ExcelColumn</v>
      </c>
      <c r="D99" s="44" t="str">
        <f>IF(meta_Columns[[#This Row],[Owning Table:src]]="","",INDEX(meta_Classifiers[Package],MATCH(meta_Columns[[#This Row],[Owning Table Instances Class]],meta_Classifiers[ID],0)))</f>
        <v>meta</v>
      </c>
      <c r="E99" s="43"/>
      <c r="F99" s="8" t="str">
        <f>INDEX(meta_Tables[Excel Table - Excel Name],MATCH(meta_Columns[[#This Row],[Owning Table:src]],meta_Tables[ID],0))</f>
        <v>meta_CodeTemplates</v>
      </c>
      <c r="G99" s="44" t="str">
        <f>INDEX(meta_Tables[Instances Class:src],MATCH(meta_Columns[[#This Row],[Owning Table:src]],meta_Tables[ID],0))</f>
        <v>_Object</v>
      </c>
      <c r="H99" s="11" t="s">
        <v>1018</v>
      </c>
      <c r="I99" s="43" t="str">
        <f xml:space="preserve"> IF( TRIM( meta_Columns[[#This Row],[Owning Table:src]] ) = "", "",
        INDEX( meta_Tables[Display Qualified], MATCH( meta_Columns[[#This Row],[Owning Table:src]], meta_Tables[ID], 0 ) ) )</f>
        <v>meta::CodeTemplates</v>
      </c>
      <c r="K99" s="22" t="str">
        <f>IF(TRIM(meta_Columns[[#This Row],[Referenced Table:src]])="","",
    INDEX(meta_Tables[Display Qualified],MATCH(meta_Columns[[#This Row],[Referenced Table:src]],meta_Tables[ID],0)))</f>
        <v/>
      </c>
      <c r="L99" s="8"/>
      <c r="M99" s="22" t="str">
        <f xml:space="preserve"> IF( TRIM( meta_Columns[[#This Row],[Referenced Table Display and Select Column:src]] ) = "", "",
        INDEX( meta_Columns[Display Qualified], MATCH( meta_Columns[[#This Row],[Referenced Table Display and Select Column:src]], meta_Columns[ID], 0 ) ) )</f>
        <v/>
      </c>
      <c r="N99" s="8" t="str">
        <f>IF(meta_Columns[[#This Row],[Excel Column - Excel Formula]]="","x","")</f>
        <v>x</v>
      </c>
      <c r="O99" s="22"/>
      <c r="P99" s="8" t="str">
        <f>IF(meta_Columns[[#This Row],[Referenced Table:src]]="","",INDEX(meta_Tables[Instances Class],MATCH(meta_Columns[[#This Row],[Referenced Table:src]],meta_Tables[ID],0)))</f>
        <v/>
      </c>
      <c r="Q9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99" s="8"/>
      <c r="S99" s="22" t="str">
        <f xml:space="preserve"> IF( TRIM( meta_Columns[[#This Row],[Property:src]] ) = "", "",
        INDEX( meta_TypedModelElements[Display Qualified], MATCH( meta_Columns[[#This Row],[Property:src]], meta_TypedModelElements[ID], 0 ) ) )</f>
        <v/>
      </c>
      <c r="T99" s="22"/>
      <c r="U99" s="8" t="e">
        <f>INDEX(meta_Classifiers[Class - Generalization:src], MATCH(meta_Columns[[#This Row],[Generalization 5]],meta_Classifiers[ID],0))</f>
        <v>#N/A</v>
      </c>
      <c r="V99" s="8" t="e">
        <f>INDEX(meta_Classifiers[Class - Generalization:src], MATCH(meta_Columns[[#This Row],[Generalization 4]],meta_Classifiers[ID],0))</f>
        <v>#N/A</v>
      </c>
      <c r="W99" s="8" t="e">
        <f>INDEX(meta_Classifiers[Class - Generalization:src], MATCH(meta_Columns[[#This Row],[Generalization 3]],meta_Classifiers[ID],0))</f>
        <v>#N/A</v>
      </c>
      <c r="X99" s="8" t="e">
        <f>INDEX(meta_Classifiers[Class - Generalization:src], MATCH(meta_Columns[[#This Row],[Generalization 2]],meta_Classifiers[ID],0))</f>
        <v>#N/A</v>
      </c>
      <c r="Y99" s="8" t="e">
        <f>INDEX(meta_Classifiers[Class - Generalization:src], MATCH(meta_Columns[[#This Row],[Generalization 1]],meta_Classifiers[ID],0))</f>
        <v>#N/A</v>
      </c>
      <c r="Z99" s="8" t="str">
        <f>INDEX(meta_Classifiers[Class - Generalization:src], MATCH(meta_Columns[[#This Row],[Owning Table Instances Class]],meta_Classifiers[ID],0))</f>
        <v/>
      </c>
      <c r="AA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9" s="8" t="b">
        <f>_xlfn.IFNA(
INDEX(meta_Classifiers[Class - Generalization:src],MATCH(
INDEX(meta_Classifiers[Class - Generalization:src],MATCH(meta_Columns[[#This Row],[Property Owning Class]],meta_Classifiers[ID],0)),meta_Classifiers[ID],0))
=meta_Columns[[#This Row],[Owning Table Instances Class]],FALSE)</f>
        <v>0</v>
      </c>
      <c r="AG99" s="8" t="b">
        <f>_xlfn.IFNA(INDEX(meta_Classifiers[Class - Generalization:src],MATCH(meta_Columns[[#This Row],[Property Owning Class]],meta_Classifiers[ID],0))=meta_Columns[[#This Row],[Owning Table Instances Class]],FALSE)</f>
        <v>0</v>
      </c>
      <c r="AH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9" s="8" t="e">
        <f>INDEX(meta_Classifiers[Name],MATCH(INDEX(meta_TypedModelElements[Property - Owning Class:src],MATCH(meta_Columns[[#This Row],[Property]],meta_TypedModelElements[ID],0)),meta_Classifiers[ID],0))</f>
        <v>#N/A</v>
      </c>
      <c r="AJ99" s="8" t="e">
        <f>INDEX(meta_TypedModelElements[Property - Owning Class:src],MATCH(meta_Columns[[#This Row],[Property]],meta_TypedModelElements[ID],0))</f>
        <v>#N/A</v>
      </c>
      <c r="AK99" s="8" t="e">
        <f>INDEX(meta_TypedModelElements[Kind:src],MATCH(meta_Columns[[#This Row],[Property]],meta_TypedModelElements[ID],0))</f>
        <v>#N/A</v>
      </c>
      <c r="AL99" s="8" t="e">
        <f>INDEX(meta_TypedModelElements[Name or Type],MATCH(meta_Columns[[#This Row],[Property]],meta_TypedModelElements[ID],0))</f>
        <v>#N/A</v>
      </c>
      <c r="AM99" s="8" t="e">
        <f>INDEX(meta_TypedModelElements[Property - Changeable],MATCH(meta_Columns[[#This Row],[Property]],meta_TypedModelElements[ID],0))</f>
        <v>#N/A</v>
      </c>
      <c r="AN99" s="43">
        <v>23</v>
      </c>
      <c r="AO99" s="22">
        <v>20</v>
      </c>
      <c r="AP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9" s="8" t="str">
        <f xml:space="preserve"> IF(meta_Columns[[#This Row],[Property Owning Class is Specialization of Instance Class]],meta_Columns[[#This Row],[Property Owning Class Name]]&amp;" - ","")</f>
        <v/>
      </c>
      <c r="AR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Module</v>
      </c>
      <c r="AT99" s="8" t="str">
        <f>IFERROR(LEFT(meta_Columns[[#This Row],[Excel Column - Label Actual without Semantic Case]],FIND("-",
meta_Columns[[#This Row],[Excel Column - Label Actual without Semantic Case]])-2),"")</f>
        <v>VBA Code</v>
      </c>
      <c r="AU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 - Target Module</v>
      </c>
      <c r="AV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 - Target Module</v>
      </c>
      <c r="AX99" s="22"/>
      <c r="AY99" s="8" t="str">
        <f>meta_Columns[[#This Row],[Owning Table]]&amp;"."&amp;meta_Columns[[#This Row],[Excel Column - Label]]</f>
        <v>meta::CodeTemplates.VBA Code - Target Module</v>
      </c>
      <c r="AZ99" s="22" t="s">
        <v>503</v>
      </c>
      <c r="BA99" s="44" t="str">
        <f>IF(TRIM(meta_Columns[[#This Row],[Excel Column - Label Overwrite]])&lt;&gt;"",meta_Columns[[#This Row],[Excel Column - Label Overwrite]],meta_Columns[[#This Row],[Excel Column - Label from Property or Referenced Table]])</f>
        <v>VBA Code - Target Module</v>
      </c>
      <c r="BB99" s="43"/>
      <c r="BC99" s="44" t="str">
        <f>IF(meta_Columns[[#This Row],[Excel Column - Explicit Excel Formula]]="","",meta_Columns[[#This Row],[Excel Column - Explicit Excel Formula]])</f>
        <v/>
      </c>
      <c r="BD99" s="5"/>
      <c r="BE99" s="5"/>
    </row>
    <row r="100" spans="1:57">
      <c r="A100" s="10" t="s">
        <v>1092</v>
      </c>
      <c r="B100" s="11" t="s">
        <v>546</v>
      </c>
      <c r="C100" s="22" t="str">
        <f xml:space="preserve"> IF( TRIM( meta_Columns[[#This Row],[Kind:src]] ) = "", "",
        INDEX( meta_Classifiers[Display Qualified], MATCH( meta_Columns[[#This Row],[Kind:src]], meta_Classifiers[ID], 0 ) ) )</f>
        <v>ExcelColumn</v>
      </c>
      <c r="D100" s="44" t="str">
        <f>IF(meta_Columns[[#This Row],[Owning Table:src]]="","",INDEX(meta_Classifiers[Package],MATCH(meta_Columns[[#This Row],[Owning Table Instances Class]],meta_Classifiers[ID],0)))</f>
        <v>meta</v>
      </c>
      <c r="E100" s="43"/>
      <c r="F100" s="8" t="str">
        <f>INDEX(meta_Tables[Excel Table - Excel Name],MATCH(meta_Columns[[#This Row],[Owning Table:src]],meta_Tables[ID],0))</f>
        <v>meta_CodeTemplates</v>
      </c>
      <c r="G100" s="44" t="str">
        <f>INDEX(meta_Tables[Instances Class:src],MATCH(meta_Columns[[#This Row],[Owning Table:src]],meta_Tables[ID],0))</f>
        <v>_Object</v>
      </c>
      <c r="H100" s="11" t="s">
        <v>1018</v>
      </c>
      <c r="I100" s="43" t="str">
        <f xml:space="preserve"> IF( TRIM( meta_Columns[[#This Row],[Owning Table:src]] ) = "", "",
        INDEX( meta_Tables[Display Qualified], MATCH( meta_Columns[[#This Row],[Owning Table:src]], meta_Tables[ID], 0 ) ) )</f>
        <v>meta::CodeTemplates</v>
      </c>
      <c r="K100" s="22" t="str">
        <f>IF(TRIM(meta_Columns[[#This Row],[Referenced Table:src]])="","",
    INDEX(meta_Tables[Display Qualified],MATCH(meta_Columns[[#This Row],[Referenced Table:src]],meta_Tables[ID],0)))</f>
        <v/>
      </c>
      <c r="L100" s="8"/>
      <c r="M100" s="22" t="str">
        <f xml:space="preserve"> IF( TRIM( meta_Columns[[#This Row],[Referenced Table Display and Select Column:src]] ) = "", "",
        INDEX( meta_Columns[Display Qualified], MATCH( meta_Columns[[#This Row],[Referenced Table Display and Select Column:src]], meta_Columns[ID], 0 ) ) )</f>
        <v/>
      </c>
      <c r="N100" s="8" t="str">
        <f>IF(meta_Columns[[#This Row],[Excel Column - Excel Formula]]="","x","")</f>
        <v>x</v>
      </c>
      <c r="O100" s="22"/>
      <c r="P100" s="8" t="str">
        <f>IF(meta_Columns[[#This Row],[Referenced Table:src]]="","",INDEX(meta_Tables[Instances Class],MATCH(meta_Columns[[#This Row],[Referenced Table:src]],meta_Tables[ID],0)))</f>
        <v/>
      </c>
      <c r="Q1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meta::Object.definition</v>
      </c>
      <c r="R100" s="8"/>
      <c r="S100" s="22" t="str">
        <f xml:space="preserve"> IF( TRIM( meta_Columns[[#This Row],[Property:src]] ) = "", "",
        INDEX( meta_TypedModelElements[Display Qualified], MATCH( meta_Columns[[#This Row],[Property:src]], meta_TypedModelElements[ID], 0 ) ) )</f>
        <v/>
      </c>
      <c r="T100" s="22"/>
      <c r="U100" s="8" t="e">
        <f>INDEX(meta_Classifiers[Class - Generalization:src], MATCH(meta_Columns[[#This Row],[Generalization 5]],meta_Classifiers[ID],0))</f>
        <v>#N/A</v>
      </c>
      <c r="V100" s="8" t="e">
        <f>INDEX(meta_Classifiers[Class - Generalization:src], MATCH(meta_Columns[[#This Row],[Generalization 4]],meta_Classifiers[ID],0))</f>
        <v>#N/A</v>
      </c>
      <c r="W100" s="8" t="e">
        <f>INDEX(meta_Classifiers[Class - Generalization:src], MATCH(meta_Columns[[#This Row],[Generalization 3]],meta_Classifiers[ID],0))</f>
        <v>#N/A</v>
      </c>
      <c r="X100" s="8" t="e">
        <f>INDEX(meta_Classifiers[Class - Generalization:src], MATCH(meta_Columns[[#This Row],[Generalization 2]],meta_Classifiers[ID],0))</f>
        <v>#N/A</v>
      </c>
      <c r="Y100" s="8" t="e">
        <f>INDEX(meta_Classifiers[Class - Generalization:src], MATCH(meta_Columns[[#This Row],[Generalization 1]],meta_Classifiers[ID],0))</f>
        <v>#N/A</v>
      </c>
      <c r="Z100" s="8" t="str">
        <f>INDEX(meta_Classifiers[Class - Generalization:src], MATCH(meta_Columns[[#This Row],[Owning Table Instances Class]],meta_Classifiers[ID],0))</f>
        <v/>
      </c>
      <c r="AA1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0" s="8" t="b">
        <f>_xlfn.IFNA(
INDEX(meta_Classifiers[Class - Generalization:src],MATCH(
INDEX(meta_Classifiers[Class - Generalization:src],MATCH(meta_Columns[[#This Row],[Property Owning Class]],meta_Classifiers[ID],0)),meta_Classifiers[ID],0))
=meta_Columns[[#This Row],[Owning Table Instances Class]],FALSE)</f>
        <v>0</v>
      </c>
      <c r="AG100" s="8" t="b">
        <f>_xlfn.IFNA(INDEX(meta_Classifiers[Class - Generalization:src],MATCH(meta_Columns[[#This Row],[Property Owning Class]],meta_Classifiers[ID],0))=meta_Columns[[#This Row],[Owning Table Instances Class]],FALSE)</f>
        <v>0</v>
      </c>
      <c r="AH1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0" s="8" t="e">
        <f>INDEX(meta_Classifiers[Name],MATCH(INDEX(meta_TypedModelElements[Property - Owning Class:src],MATCH(meta_Columns[[#This Row],[Property]],meta_TypedModelElements[ID],0)),meta_Classifiers[ID],0))</f>
        <v>#N/A</v>
      </c>
      <c r="AJ100" s="8" t="e">
        <f>INDEX(meta_TypedModelElements[Property - Owning Class:src],MATCH(meta_Columns[[#This Row],[Property]],meta_TypedModelElements[ID],0))</f>
        <v>#N/A</v>
      </c>
      <c r="AK100" s="8" t="e">
        <f>INDEX(meta_TypedModelElements[Kind:src],MATCH(meta_Columns[[#This Row],[Property]],meta_TypedModelElements[ID],0))</f>
        <v>#N/A</v>
      </c>
      <c r="AL100" s="8" t="e">
        <f>INDEX(meta_TypedModelElements[Name or Type],MATCH(meta_Columns[[#This Row],[Property]],meta_TypedModelElements[ID],0))</f>
        <v>#N/A</v>
      </c>
      <c r="AM100" s="8" t="e">
        <f>INDEX(meta_TypedModelElements[Property - Changeable],MATCH(meta_Columns[[#This Row],[Property]],meta_TypedModelElements[ID],0))</f>
        <v>#N/A</v>
      </c>
      <c r="AN100" s="43">
        <v>24</v>
      </c>
      <c r="AO100" s="22">
        <v>21</v>
      </c>
      <c r="AP1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0" s="8" t="str">
        <f xml:space="preserve"> IF(meta_Columns[[#This Row],[Property Owning Class is Specialization of Instance Class]],meta_Columns[[#This Row],[Property Owning Class Name]]&amp;" - ","")</f>
        <v/>
      </c>
      <c r="AR1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00" s="8" t="str">
        <f>IFERROR(LEFT(meta_Columns[[#This Row],[Excel Column - Label Actual without Semantic Case]],FIND("-",
meta_Columns[[#This Row],[Excel Column - Label Actual without Semantic Case]])-2),"")</f>
        <v/>
      </c>
      <c r="AU1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00" s="22"/>
      <c r="AY100" s="8" t="str">
        <f>meta_Columns[[#This Row],[Owning Table]]&amp;"."&amp;meta_Columns[[#This Row],[Excel Column - Label]]</f>
        <v>meta::CodeTemplates.Definition</v>
      </c>
      <c r="AZ100" s="22" t="s">
        <v>84</v>
      </c>
      <c r="BA100" s="44" t="str">
        <f>IF(TRIM(meta_Columns[[#This Row],[Excel Column - Label Overwrite]])&lt;&gt;"",meta_Columns[[#This Row],[Excel Column - Label Overwrite]],meta_Columns[[#This Row],[Excel Column - Label from Property or Referenced Table]])</f>
        <v>Definition</v>
      </c>
      <c r="BB100" s="43"/>
      <c r="BC100" s="44" t="str">
        <f>IF(meta_Columns[[#This Row],[Excel Column - Explicit Excel Formula]]="","",meta_Columns[[#This Row],[Excel Column - Explicit Excel Formula]])</f>
        <v/>
      </c>
      <c r="BD100" s="5"/>
      <c r="BE100" s="5"/>
    </row>
    <row r="101" spans="1:57">
      <c r="A101" s="10" t="s">
        <v>1093</v>
      </c>
      <c r="B101" s="11" t="s">
        <v>546</v>
      </c>
      <c r="C101" s="22" t="str">
        <f xml:space="preserve"> IF( TRIM( meta_Columns[[#This Row],[Kind:src]] ) = "", "",
        INDEX( meta_Classifiers[Display Qualified], MATCH( meta_Columns[[#This Row],[Kind:src]], meta_Classifiers[ID], 0 ) ) )</f>
        <v>ExcelColumn</v>
      </c>
      <c r="D101" s="44" t="str">
        <f>IF(meta_Columns[[#This Row],[Owning Table:src]]="","",INDEX(meta_Classifiers[Package],MATCH(meta_Columns[[#This Row],[Owning Table Instances Class]],meta_Classifiers[ID],0)))</f>
        <v>meta</v>
      </c>
      <c r="E101" s="43"/>
      <c r="F101" s="8" t="str">
        <f>INDEX(meta_Tables[Excel Table - Excel Name],MATCH(meta_Columns[[#This Row],[Owning Table:src]],meta_Tables[ID],0))</f>
        <v>meta_Columns</v>
      </c>
      <c r="G101" s="44" t="str">
        <f>INDEX(meta_Tables[Instances Class:src],MATCH(meta_Columns[[#This Row],[Owning Table:src]],meta_Tables[ID],0))</f>
        <v>_Column</v>
      </c>
      <c r="H101" s="11" t="s">
        <v>1013</v>
      </c>
      <c r="I101" s="43" t="str">
        <f xml:space="preserve"> IF( TRIM( meta_Columns[[#This Row],[Owning Table:src]] ) = "", "",
        INDEX( meta_Tables[Display Qualified], MATCH( meta_Columns[[#This Row],[Owning Table:src]], meta_Tables[ID], 0 ) ) )</f>
        <v>meta::Columns</v>
      </c>
      <c r="K101" s="22" t="str">
        <f>IF(TRIM(meta_Columns[[#This Row],[Referenced Table:src]])="","",
    INDEX(meta_Tables[Display Qualified],MATCH(meta_Columns[[#This Row],[Referenced Table:src]],meta_Tables[ID],0)))</f>
        <v/>
      </c>
      <c r="L101" s="8"/>
      <c r="M101" s="22" t="str">
        <f xml:space="preserve"> IF( TRIM( meta_Columns[[#This Row],[Referenced Table Display and Select Column:src]] ) = "", "",
        INDEX( meta_Columns[Display Qualified], MATCH( meta_Columns[[#This Row],[Referenced Table Display and Select Column:src]], meta_Columns[ID], 0 ) ) )</f>
        <v/>
      </c>
      <c r="N101" s="8" t="str">
        <f>IF(meta_Columns[[#This Row],[Excel Column - Excel Formula]]="","x","")</f>
        <v>x</v>
      </c>
      <c r="O101" s="22"/>
      <c r="P101" s="8" t="str">
        <f>IF(meta_Columns[[#This Row],[Referenced Table:src]]="","",INDEX(meta_Tables[Instances Class],MATCH(meta_Columns[[#This Row],[Referenced Table:src]],meta_Tables[ID],0)))</f>
        <v/>
      </c>
      <c r="Q1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1" s="8" t="s">
        <v>246</v>
      </c>
      <c r="S101" s="22" t="str">
        <f xml:space="preserve"> IF( TRIM( meta_Columns[[#This Row],[Property:src]] ) = "", "",
        INDEX( meta_TypedModelElements[Display Qualified], MATCH( meta_Columns[[#This Row],[Property:src]], meta_TypedModelElements[ID], 0 ) ) )</f>
        <v>meta::Object.iD</v>
      </c>
      <c r="T101" s="22" t="s">
        <v>42</v>
      </c>
      <c r="U101" s="8" t="e">
        <f>INDEX(meta_Classifiers[Class - Generalization:src], MATCH(meta_Columns[[#This Row],[Generalization 5]],meta_Classifiers[ID],0))</f>
        <v>#N/A</v>
      </c>
      <c r="V101" s="8" t="e">
        <f>INDEX(meta_Classifiers[Class - Generalization:src], MATCH(meta_Columns[[#This Row],[Generalization 4]],meta_Classifiers[ID],0))</f>
        <v>#N/A</v>
      </c>
      <c r="W101" s="8" t="e">
        <f>INDEX(meta_Classifiers[Class - Generalization:src], MATCH(meta_Columns[[#This Row],[Generalization 3]],meta_Classifiers[ID],0))</f>
        <v>#N/A</v>
      </c>
      <c r="X101" s="8" t="str">
        <f>INDEX(meta_Classifiers[Class - Generalization:src], MATCH(meta_Columns[[#This Row],[Generalization 2]],meta_Classifiers[ID],0))</f>
        <v/>
      </c>
      <c r="Y101" s="8" t="str">
        <f>INDEX(meta_Classifiers[Class - Generalization:src], MATCH(meta_Columns[[#This Row],[Generalization 1]],meta_Classifiers[ID],0))</f>
        <v>_Object</v>
      </c>
      <c r="Z101" s="8" t="str">
        <f>INDEX(meta_Classifiers[Class - Generalization:src], MATCH(meta_Columns[[#This Row],[Owning Table Instances Class]],meta_Classifiers[ID],0))</f>
        <v>_NamedElement</v>
      </c>
      <c r="AA1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1" s="8" t="b">
        <f>_xlfn.IFNA(
INDEX(meta_Classifiers[Class - Generalization:src],MATCH(
INDEX(meta_Classifiers[Class - Generalization:src],MATCH(meta_Columns[[#This Row],[Property Owning Class]],meta_Classifiers[ID],0)),meta_Classifiers[ID],0))
=meta_Columns[[#This Row],[Owning Table Instances Class]],FALSE)</f>
        <v>0</v>
      </c>
      <c r="AG101" s="8" t="b">
        <f>_xlfn.IFNA(INDEX(meta_Classifiers[Class - Generalization:src],MATCH(meta_Columns[[#This Row],[Property Owning Class]],meta_Classifiers[ID],0))=meta_Columns[[#This Row],[Owning Table Instances Class]],FALSE)</f>
        <v>0</v>
      </c>
      <c r="AH1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1" s="8" t="str">
        <f>INDEX(meta_Classifiers[Name],MATCH(INDEX(meta_TypedModelElements[Property - Owning Class:src],MATCH(meta_Columns[[#This Row],[Property]],meta_TypedModelElements[ID],0)),meta_Classifiers[ID],0))</f>
        <v>Object</v>
      </c>
      <c r="AJ101" s="8" t="str">
        <f>INDEX(meta_TypedModelElements[Property - Owning Class:src],MATCH(meta_Columns[[#This Row],[Property]],meta_TypedModelElements[ID],0))</f>
        <v>_Object</v>
      </c>
      <c r="AK101" s="8" t="str">
        <f>INDEX(meta_TypedModelElements[Kind:src],MATCH(meta_Columns[[#This Row],[Property]],meta_TypedModelElements[ID],0))</f>
        <v>_Attribute</v>
      </c>
      <c r="AL101" s="8" t="str">
        <f>INDEX(meta_TypedModelElements[Name or Type],MATCH(meta_Columns[[#This Row],[Property]],meta_TypedModelElements[ID],0))</f>
        <v>ID</v>
      </c>
      <c r="AM101" s="8" t="str">
        <f>INDEX(meta_TypedModelElements[Property - Changeable],MATCH(meta_Columns[[#This Row],[Property]],meta_TypedModelElements[ID],0))</f>
        <v>x</v>
      </c>
      <c r="AN101" s="43">
        <v>1</v>
      </c>
      <c r="AO101" s="22">
        <v>1</v>
      </c>
      <c r="AP10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01" s="8" t="str">
        <f xml:space="preserve"> IF(meta_Columns[[#This Row],[Property Owning Class is Specialization of Instance Class]],meta_Columns[[#This Row],[Property Owning Class Name]]&amp;" - ","")</f>
        <v/>
      </c>
      <c r="AR10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01" s="8" t="str">
        <f>IFERROR(LEFT(meta_Columns[[#This Row],[Excel Column - Label Actual without Semantic Case]],FIND("-",
meta_Columns[[#This Row],[Excel Column - Label Actual without Semantic Case]])-2),"")</f>
        <v/>
      </c>
      <c r="AU1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01" s="22"/>
      <c r="AY101" s="8" t="str">
        <f>meta_Columns[[#This Row],[Owning Table]]&amp;"."&amp;meta_Columns[[#This Row],[Excel Column - Label]]</f>
        <v>meta::Columns.ID</v>
      </c>
      <c r="AZ101" s="22" t="s">
        <v>0</v>
      </c>
      <c r="BA101" s="44" t="str">
        <f>IF(TRIM(meta_Columns[[#This Row],[Excel Column - Label Overwrite]])&lt;&gt;"",meta_Columns[[#This Row],[Excel Column - Label Overwrite]],meta_Columns[[#This Row],[Excel Column - Label from Property or Referenced Table]])</f>
        <v>ID</v>
      </c>
      <c r="BB101" s="43"/>
      <c r="BC101" s="44" t="str">
        <f>IF(meta_Columns[[#This Row],[Excel Column - Explicit Excel Formula]]="","",meta_Columns[[#This Row],[Excel Column - Explicit Excel Formula]])</f>
        <v/>
      </c>
      <c r="BD101" s="5"/>
      <c r="BE101" s="5"/>
    </row>
    <row r="102" spans="1:57">
      <c r="A102" s="10" t="s">
        <v>1094</v>
      </c>
      <c r="B102" s="11" t="s">
        <v>546</v>
      </c>
      <c r="C102" s="22" t="str">
        <f xml:space="preserve"> IF( TRIM( meta_Columns[[#This Row],[Kind:src]] ) = "", "",
        INDEX( meta_Classifiers[Display Qualified], MATCH( meta_Columns[[#This Row],[Kind:src]], meta_Classifiers[ID], 0 ) ) )</f>
        <v>ExcelColumn</v>
      </c>
      <c r="D102" s="44" t="str">
        <f>IF(meta_Columns[[#This Row],[Owning Table:src]]="","",INDEX(meta_Classifiers[Package],MATCH(meta_Columns[[#This Row],[Owning Table Instances Class]],meta_Classifiers[ID],0)))</f>
        <v>meta</v>
      </c>
      <c r="E102" s="43"/>
      <c r="F102" s="8" t="str">
        <f>INDEX(meta_Tables[Excel Table - Excel Name],MATCH(meta_Columns[[#This Row],[Owning Table:src]],meta_Tables[ID],0))</f>
        <v>meta_Columns</v>
      </c>
      <c r="G102" s="44" t="str">
        <f>INDEX(meta_Tables[Instances Class:src],MATCH(meta_Columns[[#This Row],[Owning Table:src]],meta_Tables[ID],0))</f>
        <v>_Column</v>
      </c>
      <c r="H102" s="11" t="s">
        <v>1013</v>
      </c>
      <c r="I102" s="43" t="str">
        <f xml:space="preserve"> IF( TRIM( meta_Columns[[#This Row],[Owning Table:src]] ) = "", "",
        INDEX( meta_Tables[Display Qualified], MATCH( meta_Columns[[#This Row],[Owning Table:src]], meta_Tables[ID], 0 ) ) )</f>
        <v>meta::Columns</v>
      </c>
      <c r="K102" s="22" t="str">
        <f>IF(TRIM(meta_Columns[[#This Row],[Referenced Table:src]])="","",
    INDEX(meta_Tables[Display Qualified],MATCH(meta_Columns[[#This Row],[Referenced Table:src]],meta_Tables[ID],0)))</f>
        <v/>
      </c>
      <c r="L102" s="8"/>
      <c r="M102" s="22" t="str">
        <f xml:space="preserve"> IF( TRIM( meta_Columns[[#This Row],[Referenced Table Display and Select Column:src]] ) = "", "",
        INDEX( meta_Columns[Display Qualified], MATCH( meta_Columns[[#This Row],[Referenced Table Display and Select Column:src]], meta_Columns[ID], 0 ) ) )</f>
        <v/>
      </c>
      <c r="N102" s="8" t="str">
        <f>IF(meta_Columns[[#This Row],[Excel Column - Excel Formula]]="","x","")</f>
        <v>x</v>
      </c>
      <c r="O102" s="22"/>
      <c r="P102" s="8" t="str">
        <f>IF(meta_Columns[[#This Row],[Referenced Table:src]]="","",INDEX(meta_Tables[Instances Class],MATCH(meta_Columns[[#This Row],[Referenced Table:src]],meta_Tables[ID],0)))</f>
        <v/>
      </c>
      <c r="Q1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2" s="8" t="s">
        <v>247</v>
      </c>
      <c r="S102" s="22" t="str">
        <f xml:space="preserve"> IF( TRIM( meta_Columns[[#This Row],[Property:src]] ) = "", "",
        INDEX( meta_TypedModelElements[Display Qualified], MATCH( meta_Columns[[#This Row],[Property:src]], meta_TypedModelElements[ID], 0 ) ) )</f>
        <v>meta::Object.kind</v>
      </c>
      <c r="T102" s="22" t="s">
        <v>42</v>
      </c>
      <c r="U102" s="8" t="e">
        <f>INDEX(meta_Classifiers[Class - Generalization:src], MATCH(meta_Columns[[#This Row],[Generalization 5]],meta_Classifiers[ID],0))</f>
        <v>#N/A</v>
      </c>
      <c r="V102" s="8" t="e">
        <f>INDEX(meta_Classifiers[Class - Generalization:src], MATCH(meta_Columns[[#This Row],[Generalization 4]],meta_Classifiers[ID],0))</f>
        <v>#N/A</v>
      </c>
      <c r="W102" s="8" t="e">
        <f>INDEX(meta_Classifiers[Class - Generalization:src], MATCH(meta_Columns[[#This Row],[Generalization 3]],meta_Classifiers[ID],0))</f>
        <v>#N/A</v>
      </c>
      <c r="X102" s="8" t="str">
        <f>INDEX(meta_Classifiers[Class - Generalization:src], MATCH(meta_Columns[[#This Row],[Generalization 2]],meta_Classifiers[ID],0))</f>
        <v/>
      </c>
      <c r="Y102" s="8" t="str">
        <f>INDEX(meta_Classifiers[Class - Generalization:src], MATCH(meta_Columns[[#This Row],[Generalization 1]],meta_Classifiers[ID],0))</f>
        <v>_Object</v>
      </c>
      <c r="Z102" s="8" t="str">
        <f>INDEX(meta_Classifiers[Class - Generalization:src], MATCH(meta_Columns[[#This Row],[Owning Table Instances Class]],meta_Classifiers[ID],0))</f>
        <v>_NamedElement</v>
      </c>
      <c r="AA1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2" s="8" t="b">
        <f>_xlfn.IFNA(
INDEX(meta_Classifiers[Class - Generalization:src],MATCH(
INDEX(meta_Classifiers[Class - Generalization:src],MATCH(meta_Columns[[#This Row],[Property Owning Class]],meta_Classifiers[ID],0)),meta_Classifiers[ID],0))
=meta_Columns[[#This Row],[Owning Table Instances Class]],FALSE)</f>
        <v>0</v>
      </c>
      <c r="AG102" s="8" t="b">
        <f>_xlfn.IFNA(INDEX(meta_Classifiers[Class - Generalization:src],MATCH(meta_Columns[[#This Row],[Property Owning Class]],meta_Classifiers[ID],0))=meta_Columns[[#This Row],[Owning Table Instances Class]],FALSE)</f>
        <v>0</v>
      </c>
      <c r="AH1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2" s="8" t="str">
        <f>INDEX(meta_Classifiers[Name],MATCH(INDEX(meta_TypedModelElements[Property - Owning Class:src],MATCH(meta_Columns[[#This Row],[Property]],meta_TypedModelElements[ID],0)),meta_Classifiers[ID],0))</f>
        <v>Object</v>
      </c>
      <c r="AJ102" s="8" t="str">
        <f>INDEX(meta_TypedModelElements[Property - Owning Class:src],MATCH(meta_Columns[[#This Row],[Property]],meta_TypedModelElements[ID],0))</f>
        <v>_Object</v>
      </c>
      <c r="AK102" s="8" t="str">
        <f>INDEX(meta_TypedModelElements[Kind:src],MATCH(meta_Columns[[#This Row],[Property]],meta_TypedModelElements[ID],0))</f>
        <v>_Reference</v>
      </c>
      <c r="AL102" s="8" t="str">
        <f>INDEX(meta_TypedModelElements[Name or Type],MATCH(meta_Columns[[#This Row],[Property]],meta_TypedModelElements[ID],0))</f>
        <v>Kind</v>
      </c>
      <c r="AM102" s="8" t="str">
        <f>INDEX(meta_TypedModelElements[Property - Changeable],MATCH(meta_Columns[[#This Row],[Property]],meta_TypedModelElements[ID],0))</f>
        <v>x</v>
      </c>
      <c r="AN102" s="43">
        <v>2</v>
      </c>
      <c r="AO102" s="22">
        <v>2</v>
      </c>
      <c r="AP10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02" s="8" t="str">
        <f xml:space="preserve"> IF(meta_Columns[[#This Row],[Property Owning Class is Specialization of Instance Class]],meta_Columns[[#This Row],[Property Owning Class Name]]&amp;" - ","")</f>
        <v/>
      </c>
      <c r="AR10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2" s="8" t="str">
        <f>IFERROR(LEFT(meta_Columns[[#This Row],[Excel Column - Label Actual without Semantic Case]],FIND("-",
meta_Columns[[#This Row],[Excel Column - Label Actual without Semantic Case]])-2),"")</f>
        <v/>
      </c>
      <c r="AU1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02" s="22"/>
      <c r="AY102" s="8" t="str">
        <f>meta_Columns[[#This Row],[Owning Table]]&amp;"."&amp;meta_Columns[[#This Row],[Excel Column - Label]]</f>
        <v>meta::Columns.Kind:src</v>
      </c>
      <c r="AZ102" s="22" t="s">
        <v>230</v>
      </c>
      <c r="BA102" s="44" t="str">
        <f>IF(TRIM(meta_Columns[[#This Row],[Excel Column - Label Overwrite]])&lt;&gt;"",meta_Columns[[#This Row],[Excel Column - Label Overwrite]],meta_Columns[[#This Row],[Excel Column - Label from Property or Referenced Table]])</f>
        <v>Kind:src</v>
      </c>
      <c r="BB102" s="43"/>
      <c r="BC102" s="44" t="str">
        <f>IF(meta_Columns[[#This Row],[Excel Column - Explicit Excel Formula]]="","",meta_Columns[[#This Row],[Excel Column - Explicit Excel Formula]])</f>
        <v/>
      </c>
      <c r="BD102" s="5"/>
      <c r="BE102" s="5"/>
    </row>
    <row r="103" spans="1:57">
      <c r="A103" s="10" t="s">
        <v>1095</v>
      </c>
      <c r="B103" s="11" t="s">
        <v>546</v>
      </c>
      <c r="C103" s="22" t="str">
        <f xml:space="preserve"> IF( TRIM( meta_Columns[[#This Row],[Kind:src]] ) = "", "",
        INDEX( meta_Classifiers[Display Qualified], MATCH( meta_Columns[[#This Row],[Kind:src]], meta_Classifiers[ID], 0 ) ) )</f>
        <v>ExcelColumn</v>
      </c>
      <c r="D103" s="44" t="str">
        <f>IF(meta_Columns[[#This Row],[Owning Table:src]]="","",INDEX(meta_Classifiers[Package],MATCH(meta_Columns[[#This Row],[Owning Table Instances Class]],meta_Classifiers[ID],0)))</f>
        <v>meta</v>
      </c>
      <c r="E103" s="43"/>
      <c r="F103" s="8" t="str">
        <f>INDEX(meta_Tables[Excel Table - Excel Name],MATCH(meta_Columns[[#This Row],[Owning Table:src]],meta_Tables[ID],0))</f>
        <v>meta_Columns</v>
      </c>
      <c r="G103" s="44" t="str">
        <f>INDEX(meta_Tables[Instances Class:src],MATCH(meta_Columns[[#This Row],[Owning Table:src]],meta_Tables[ID],0))</f>
        <v>_Column</v>
      </c>
      <c r="H103" s="11" t="s">
        <v>1013</v>
      </c>
      <c r="I103" s="43" t="str">
        <f xml:space="preserve"> IF( TRIM( meta_Columns[[#This Row],[Owning Table:src]] ) = "", "",
        INDEX( meta_Tables[Display Qualified], MATCH( meta_Columns[[#This Row],[Owning Table:src]], meta_Tables[ID], 0 ) ) )</f>
        <v>meta::Columns</v>
      </c>
      <c r="K103" s="22" t="str">
        <f>IF(TRIM(meta_Columns[[#This Row],[Referenced Table:src]])="","",
    INDEX(meta_Tables[Display Qualified],MATCH(meta_Columns[[#This Row],[Referenced Table:src]],meta_Tables[ID],0)))</f>
        <v/>
      </c>
      <c r="L103" s="8"/>
      <c r="M103" s="22" t="str">
        <f xml:space="preserve"> IF( TRIM( meta_Columns[[#This Row],[Referenced Table Display and Select Column:src]] ) = "", "",
        INDEX( meta_Columns[Display Qualified], MATCH( meta_Columns[[#This Row],[Referenced Table Display and Select Column:src]], meta_Columns[ID], 0 ) ) )</f>
        <v/>
      </c>
      <c r="N103" s="8" t="str">
        <f>IF(meta_Columns[[#This Row],[Excel Column - Excel Formula]]="","x","")</f>
        <v/>
      </c>
      <c r="O103" s="22"/>
      <c r="P103" s="8" t="str">
        <f>IF(meta_Columns[[#This Row],[Referenced Table:src]]="","",INDEX(meta_Tables[Instances Class],MATCH(meta_Columns[[#This Row],[Referenced Table:src]],meta_Tables[ID],0)))</f>
        <v/>
      </c>
      <c r="Q1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3" s="8" t="s">
        <v>247</v>
      </c>
      <c r="S103" s="22" t="str">
        <f xml:space="preserve"> IF( TRIM( meta_Columns[[#This Row],[Property:src]] ) = "", "",
        INDEX( meta_TypedModelElements[Display Qualified], MATCH( meta_Columns[[#This Row],[Property:src]], meta_TypedModelElements[ID], 0 ) ) )</f>
        <v>meta::Object.kind</v>
      </c>
      <c r="T103" s="22" t="s">
        <v>999</v>
      </c>
      <c r="U103" s="8" t="e">
        <f>INDEX(meta_Classifiers[Class - Generalization:src], MATCH(meta_Columns[[#This Row],[Generalization 5]],meta_Classifiers[ID],0))</f>
        <v>#N/A</v>
      </c>
      <c r="V103" s="8" t="e">
        <f>INDEX(meta_Classifiers[Class - Generalization:src], MATCH(meta_Columns[[#This Row],[Generalization 4]],meta_Classifiers[ID],0))</f>
        <v>#N/A</v>
      </c>
      <c r="W103" s="8" t="e">
        <f>INDEX(meta_Classifiers[Class - Generalization:src], MATCH(meta_Columns[[#This Row],[Generalization 3]],meta_Classifiers[ID],0))</f>
        <v>#N/A</v>
      </c>
      <c r="X103" s="8" t="str">
        <f>INDEX(meta_Classifiers[Class - Generalization:src], MATCH(meta_Columns[[#This Row],[Generalization 2]],meta_Classifiers[ID],0))</f>
        <v/>
      </c>
      <c r="Y103" s="8" t="str">
        <f>INDEX(meta_Classifiers[Class - Generalization:src], MATCH(meta_Columns[[#This Row],[Generalization 1]],meta_Classifiers[ID],0))</f>
        <v>_Object</v>
      </c>
      <c r="Z103" s="8" t="str">
        <f>INDEX(meta_Classifiers[Class - Generalization:src], MATCH(meta_Columns[[#This Row],[Owning Table Instances Class]],meta_Classifiers[ID],0))</f>
        <v>_NamedElement</v>
      </c>
      <c r="AA1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3" s="8" t="b">
        <f>_xlfn.IFNA(
INDEX(meta_Classifiers[Class - Generalization:src],MATCH(
INDEX(meta_Classifiers[Class - Generalization:src],MATCH(meta_Columns[[#This Row],[Property Owning Class]],meta_Classifiers[ID],0)),meta_Classifiers[ID],0))
=meta_Columns[[#This Row],[Owning Table Instances Class]],FALSE)</f>
        <v>0</v>
      </c>
      <c r="AG103" s="8" t="b">
        <f>_xlfn.IFNA(INDEX(meta_Classifiers[Class - Generalization:src],MATCH(meta_Columns[[#This Row],[Property Owning Class]],meta_Classifiers[ID],0))=meta_Columns[[#This Row],[Owning Table Instances Class]],FALSE)</f>
        <v>0</v>
      </c>
      <c r="AH1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3" s="8" t="str">
        <f>INDEX(meta_Classifiers[Name],MATCH(INDEX(meta_TypedModelElements[Property - Owning Class:src],MATCH(meta_Columns[[#This Row],[Property]],meta_TypedModelElements[ID],0)),meta_Classifiers[ID],0))</f>
        <v>Object</v>
      </c>
      <c r="AJ103" s="8" t="str">
        <f>INDEX(meta_TypedModelElements[Property - Owning Class:src],MATCH(meta_Columns[[#This Row],[Property]],meta_TypedModelElements[ID],0))</f>
        <v>_Object</v>
      </c>
      <c r="AK103" s="8" t="str">
        <f>INDEX(meta_TypedModelElements[Kind:src],MATCH(meta_Columns[[#This Row],[Property]],meta_TypedModelElements[ID],0))</f>
        <v>_Reference</v>
      </c>
      <c r="AL103" s="8" t="str">
        <f>INDEX(meta_TypedModelElements[Name or Type],MATCH(meta_Columns[[#This Row],[Property]],meta_TypedModelElements[ID],0))</f>
        <v>Kind</v>
      </c>
      <c r="AM103" s="8" t="str">
        <f>INDEX(meta_TypedModelElements[Property - Changeable],MATCH(meta_Columns[[#This Row],[Property]],meta_TypedModelElements[ID],0))</f>
        <v>x</v>
      </c>
      <c r="AN103" s="43">
        <v>3</v>
      </c>
      <c r="AO103" s="22"/>
      <c r="AP10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Kind:displayLastSaved</v>
      </c>
      <c r="AQ103" s="8" t="str">
        <f xml:space="preserve"> IF(meta_Columns[[#This Row],[Property Owning Class is Specialization of Instance Class]],meta_Columns[[#This Row],[Property Owning Class Name]]&amp;" - ","")</f>
        <v/>
      </c>
      <c r="AR10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Kind:displayLastSaved</v>
      </c>
      <c r="AS1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3" s="8" t="str">
        <f>IFERROR(LEFT(meta_Columns[[#This Row],[Excel Column - Label Actual without Semantic Case]],FIND("-",
meta_Columns[[#This Row],[Excel Column - Label Actual without Semantic Case]])-2),"")</f>
        <v/>
      </c>
      <c r="AU1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03" s="22"/>
      <c r="AY103" s="8" t="str">
        <f>meta_Columns[[#This Row],[Owning Table]]&amp;"."&amp;meta_Columns[[#This Row],[Excel Column - Label]]</f>
        <v>meta::Columns.Kind</v>
      </c>
      <c r="AZ103" s="22" t="s">
        <v>5</v>
      </c>
      <c r="BA103" s="44" t="str">
        <f>IF(TRIM(meta_Columns[[#This Row],[Excel Column - Label Overwrite]])&lt;&gt;"",meta_Columns[[#This Row],[Excel Column - Label Overwrite]],meta_Columns[[#This Row],[Excel Column - Label from Property or Referenced Table]])</f>
        <v>Kind</v>
      </c>
      <c r="BB103" s="43" t="s">
        <v>1484</v>
      </c>
      <c r="BC103" s="44" t="str">
        <f>IF(meta_Columns[[#This Row],[Excel Column - Explicit Excel Formula]]="","",meta_Columns[[#This Row],[Excel Column - Explicit Excel Formula]])</f>
        <v>Formula:= IF( TRIM( [@[Kind:src]] ) = "", "",
        INDEX( meta_Classifiers[Display Qualified], MATCH( [@[Kind:src]], meta_Classifiers[ID], 0 ) ) )</v>
      </c>
      <c r="BD103" s="5" t="s">
        <v>1461</v>
      </c>
      <c r="BE103" s="5"/>
    </row>
    <row r="104" spans="1:57">
      <c r="A104" s="10" t="s">
        <v>1096</v>
      </c>
      <c r="B104" s="11" t="s">
        <v>546</v>
      </c>
      <c r="C104" s="22" t="str">
        <f xml:space="preserve"> IF( TRIM( meta_Columns[[#This Row],[Kind:src]] ) = "", "",
        INDEX( meta_Classifiers[Display Qualified], MATCH( meta_Columns[[#This Row],[Kind:src]], meta_Classifiers[ID], 0 ) ) )</f>
        <v>ExcelColumn</v>
      </c>
      <c r="D104" s="44" t="str">
        <f>IF(meta_Columns[[#This Row],[Owning Table:src]]="","",INDEX(meta_Classifiers[Package],MATCH(meta_Columns[[#This Row],[Owning Table Instances Class]],meta_Classifiers[ID],0)))</f>
        <v>meta</v>
      </c>
      <c r="E104" s="43"/>
      <c r="F104" s="8" t="str">
        <f>INDEX(meta_Tables[Excel Table - Excel Name],MATCH(meta_Columns[[#This Row],[Owning Table:src]],meta_Tables[ID],0))</f>
        <v>meta_Columns</v>
      </c>
      <c r="G104" s="44" t="str">
        <f>INDEX(meta_Tables[Instances Class:src],MATCH(meta_Columns[[#This Row],[Owning Table:src]],meta_Tables[ID],0))</f>
        <v>_Column</v>
      </c>
      <c r="H104" s="11" t="s">
        <v>1013</v>
      </c>
      <c r="I104" s="43" t="str">
        <f xml:space="preserve"> IF( TRIM( meta_Columns[[#This Row],[Owning Table:src]] ) = "", "",
        INDEX( meta_Tables[Display Qualified], MATCH( meta_Columns[[#This Row],[Owning Table:src]], meta_Tables[ID], 0 ) ) )</f>
        <v>meta::Columns</v>
      </c>
      <c r="K104" s="22" t="str">
        <f>IF(TRIM(meta_Columns[[#This Row],[Referenced Table:src]])="","",
    INDEX(meta_Tables[Display Qualified],MATCH(meta_Columns[[#This Row],[Referenced Table:src]],meta_Tables[ID],0)))</f>
        <v/>
      </c>
      <c r="L104" s="8"/>
      <c r="M104" s="22" t="str">
        <f xml:space="preserve"> IF( TRIM( meta_Columns[[#This Row],[Referenced Table Display and Select Column:src]] ) = "", "",
        INDEX( meta_Columns[Display Qualified], MATCH( meta_Columns[[#This Row],[Referenced Table Display and Select Column:src]], meta_Columns[ID], 0 ) ) )</f>
        <v/>
      </c>
      <c r="N104" s="8" t="str">
        <f>IF(meta_Columns[[#This Row],[Excel Column - Excel Formula]]="","x","")</f>
        <v/>
      </c>
      <c r="O104" s="22"/>
      <c r="P104" s="8" t="str">
        <f>IF(meta_Columns[[#This Row],[Referenced Table:src]]="","",INDEX(meta_Tables[Instances Class],MATCH(meta_Columns[[#This Row],[Referenced Table:src]],meta_Tables[ID],0)))</f>
        <v/>
      </c>
      <c r="Q1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4" s="8" t="s">
        <v>248</v>
      </c>
      <c r="S104" s="22" t="str">
        <f xml:space="preserve"> IF( TRIM( meta_Columns[[#This Row],[Property:src]] ) = "", "",
        INDEX( meta_TypedModelElements[Display Qualified], MATCH( meta_Columns[[#This Row],[Property:src]], meta_TypedModelElements[ID], 0 ) ) )</f>
        <v>meta::Object.package</v>
      </c>
      <c r="T104" s="22" t="s">
        <v>42</v>
      </c>
      <c r="U104" s="8" t="e">
        <f>INDEX(meta_Classifiers[Class - Generalization:src], MATCH(meta_Columns[[#This Row],[Generalization 5]],meta_Classifiers[ID],0))</f>
        <v>#N/A</v>
      </c>
      <c r="V104" s="8" t="e">
        <f>INDEX(meta_Classifiers[Class - Generalization:src], MATCH(meta_Columns[[#This Row],[Generalization 4]],meta_Classifiers[ID],0))</f>
        <v>#N/A</v>
      </c>
      <c r="W104" s="8" t="e">
        <f>INDEX(meta_Classifiers[Class - Generalization:src], MATCH(meta_Columns[[#This Row],[Generalization 3]],meta_Classifiers[ID],0))</f>
        <v>#N/A</v>
      </c>
      <c r="X104" s="8" t="str">
        <f>INDEX(meta_Classifiers[Class - Generalization:src], MATCH(meta_Columns[[#This Row],[Generalization 2]],meta_Classifiers[ID],0))</f>
        <v/>
      </c>
      <c r="Y104" s="8" t="str">
        <f>INDEX(meta_Classifiers[Class - Generalization:src], MATCH(meta_Columns[[#This Row],[Generalization 1]],meta_Classifiers[ID],0))</f>
        <v>_Object</v>
      </c>
      <c r="Z104" s="8" t="str">
        <f>INDEX(meta_Classifiers[Class - Generalization:src], MATCH(meta_Columns[[#This Row],[Owning Table Instances Class]],meta_Classifiers[ID],0))</f>
        <v>_NamedElement</v>
      </c>
      <c r="AA1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4" s="8" t="b">
        <f>_xlfn.IFNA(
INDEX(meta_Classifiers[Class - Generalization:src],MATCH(
INDEX(meta_Classifiers[Class - Generalization:src],MATCH(meta_Columns[[#This Row],[Property Owning Class]],meta_Classifiers[ID],0)),meta_Classifiers[ID],0))
=meta_Columns[[#This Row],[Owning Table Instances Class]],FALSE)</f>
        <v>0</v>
      </c>
      <c r="AG104" s="8" t="b">
        <f>_xlfn.IFNA(INDEX(meta_Classifiers[Class - Generalization:src],MATCH(meta_Columns[[#This Row],[Property Owning Class]],meta_Classifiers[ID],0))=meta_Columns[[#This Row],[Owning Table Instances Class]],FALSE)</f>
        <v>0</v>
      </c>
      <c r="AH1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4" s="8" t="str">
        <f>INDEX(meta_Classifiers[Name],MATCH(INDEX(meta_TypedModelElements[Property - Owning Class:src],MATCH(meta_Columns[[#This Row],[Property]],meta_TypedModelElements[ID],0)),meta_Classifiers[ID],0))</f>
        <v>Object</v>
      </c>
      <c r="AJ104" s="8" t="str">
        <f>INDEX(meta_TypedModelElements[Property - Owning Class:src],MATCH(meta_Columns[[#This Row],[Property]],meta_TypedModelElements[ID],0))</f>
        <v>_Object</v>
      </c>
      <c r="AK104" s="8" t="str">
        <f>INDEX(meta_TypedModelElements[Kind:src],MATCH(meta_Columns[[#This Row],[Property]],meta_TypedModelElements[ID],0))</f>
        <v>_Attribute</v>
      </c>
      <c r="AL104" s="8" t="str">
        <f>INDEX(meta_TypedModelElements[Name or Type],MATCH(meta_Columns[[#This Row],[Property]],meta_TypedModelElements[ID],0))</f>
        <v>Package</v>
      </c>
      <c r="AM104" s="8" t="str">
        <f>INDEX(meta_TypedModelElements[Property - Changeable],MATCH(meta_Columns[[#This Row],[Property]],meta_TypedModelElements[ID],0))</f>
        <v>x</v>
      </c>
      <c r="AN104" s="43">
        <v>4</v>
      </c>
      <c r="AO104" s="22"/>
      <c r="AP10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04" s="8" t="str">
        <f xml:space="preserve"> IF(meta_Columns[[#This Row],[Property Owning Class is Specialization of Instance Class]],meta_Columns[[#This Row],[Property Owning Class Name]]&amp;" - ","")</f>
        <v/>
      </c>
      <c r="AR10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04" s="8" t="str">
        <f>IFERROR(LEFT(meta_Columns[[#This Row],[Excel Column - Label Actual without Semantic Case]],FIND("-",
meta_Columns[[#This Row],[Excel Column - Label Actual without Semantic Case]])-2),"")</f>
        <v/>
      </c>
      <c r="AU1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04" s="22"/>
      <c r="AY104" s="8" t="str">
        <f>meta_Columns[[#This Row],[Owning Table]]&amp;"."&amp;meta_Columns[[#This Row],[Excel Column - Label]]</f>
        <v>meta::Columns.Package</v>
      </c>
      <c r="AZ104" s="22" t="s">
        <v>120</v>
      </c>
      <c r="BA104" s="44" t="str">
        <f>IF(TRIM(meta_Columns[[#This Row],[Excel Column - Label Overwrite]])&lt;&gt;"",meta_Columns[[#This Row],[Excel Column - Label Overwrite]],meta_Columns[[#This Row],[Excel Column - Label from Property or Referenced Table]])</f>
        <v>Package</v>
      </c>
      <c r="BB104" s="43" t="s">
        <v>1431</v>
      </c>
      <c r="BC104" s="44" t="str">
        <f>IF(meta_Columns[[#This Row],[Excel Column - Explicit Excel Formula]]="","",meta_Columns[[#This Row],[Excel Column - Explicit Excel Formula]])</f>
        <v>Formula:=IF([@[Owning Table:src]]="","",INDEX(meta_Classifiers[Package],MATCH([@[Owning Table Instances Class]],meta_Classifiers[ID],0)))</v>
      </c>
      <c r="BD104" s="5"/>
      <c r="BE104" s="5"/>
    </row>
    <row r="105" spans="1:57">
      <c r="A105" s="10" t="s">
        <v>1097</v>
      </c>
      <c r="B105" s="11" t="s">
        <v>546</v>
      </c>
      <c r="C105" s="22" t="str">
        <f xml:space="preserve"> IF( TRIM( meta_Columns[[#This Row],[Kind:src]] ) = "", "",
        INDEX( meta_Classifiers[Display Qualified], MATCH( meta_Columns[[#This Row],[Kind:src]], meta_Classifiers[ID], 0 ) ) )</f>
        <v>ExcelColumn</v>
      </c>
      <c r="D105" s="44" t="str">
        <f>IF(meta_Columns[[#This Row],[Owning Table:src]]="","",INDEX(meta_Classifiers[Package],MATCH(meta_Columns[[#This Row],[Owning Table Instances Class]],meta_Classifiers[ID],0)))</f>
        <v>meta</v>
      </c>
      <c r="E105" s="43"/>
      <c r="F105" s="8" t="str">
        <f>INDEX(meta_Tables[Excel Table - Excel Name],MATCH(meta_Columns[[#This Row],[Owning Table:src]],meta_Tables[ID],0))</f>
        <v>meta_Columns</v>
      </c>
      <c r="G105" s="44" t="str">
        <f>INDEX(meta_Tables[Instances Class:src],MATCH(meta_Columns[[#This Row],[Owning Table:src]],meta_Tables[ID],0))</f>
        <v>_Column</v>
      </c>
      <c r="H105" s="11" t="s">
        <v>1013</v>
      </c>
      <c r="I105" s="43" t="str">
        <f xml:space="preserve"> IF( TRIM( meta_Columns[[#This Row],[Owning Table:src]] ) = "", "",
        INDEX( meta_Tables[Display Qualified], MATCH( meta_Columns[[#This Row],[Owning Table:src]], meta_Tables[ID], 0 ) ) )</f>
        <v>meta::Columns</v>
      </c>
      <c r="K105" s="22" t="str">
        <f>IF(TRIM(meta_Columns[[#This Row],[Referenced Table:src]])="","",
    INDEX(meta_Tables[Display Qualified],MATCH(meta_Columns[[#This Row],[Referenced Table:src]],meta_Tables[ID],0)))</f>
        <v/>
      </c>
      <c r="L105" s="8"/>
      <c r="M105" s="22" t="str">
        <f xml:space="preserve"> IF( TRIM( meta_Columns[[#This Row],[Referenced Table Display and Select Column:src]] ) = "", "",
        INDEX( meta_Columns[Display Qualified], MATCH( meta_Columns[[#This Row],[Referenced Table Display and Select Column:src]], meta_Columns[ID], 0 ) ) )</f>
        <v/>
      </c>
      <c r="N105" s="8" t="str">
        <f>IF(meta_Columns[[#This Row],[Excel Column - Excel Formula]]="","x","")</f>
        <v>x</v>
      </c>
      <c r="O105" s="22"/>
      <c r="P105" s="8" t="str">
        <f>IF(meta_Columns[[#This Row],[Referenced Table:src]]="","",INDEX(meta_Tables[Instances Class],MATCH(meta_Columns[[#This Row],[Referenced Table:src]],meta_Tables[ID],0)))</f>
        <v/>
      </c>
      <c r="Q1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5" s="8" t="s">
        <v>460</v>
      </c>
      <c r="S105" s="22" t="str">
        <f xml:space="preserve"> IF( TRIM( meta_Columns[[#This Row],[Property:src]] ) = "", "",
        INDEX( meta_TypedModelElements[Display Qualified], MATCH( meta_Columns[[#This Row],[Property:src]], meta_TypedModelElements[ID], 0 ) ) )</f>
        <v>meta::Object.subPackage</v>
      </c>
      <c r="T105" s="22" t="s">
        <v>42</v>
      </c>
      <c r="U105" s="8" t="e">
        <f>INDEX(meta_Classifiers[Class - Generalization:src], MATCH(meta_Columns[[#This Row],[Generalization 5]],meta_Classifiers[ID],0))</f>
        <v>#N/A</v>
      </c>
      <c r="V105" s="8" t="e">
        <f>INDEX(meta_Classifiers[Class - Generalization:src], MATCH(meta_Columns[[#This Row],[Generalization 4]],meta_Classifiers[ID],0))</f>
        <v>#N/A</v>
      </c>
      <c r="W105" s="8" t="e">
        <f>INDEX(meta_Classifiers[Class - Generalization:src], MATCH(meta_Columns[[#This Row],[Generalization 3]],meta_Classifiers[ID],0))</f>
        <v>#N/A</v>
      </c>
      <c r="X105" s="8" t="str">
        <f>INDEX(meta_Classifiers[Class - Generalization:src], MATCH(meta_Columns[[#This Row],[Generalization 2]],meta_Classifiers[ID],0))</f>
        <v/>
      </c>
      <c r="Y105" s="8" t="str">
        <f>INDEX(meta_Classifiers[Class - Generalization:src], MATCH(meta_Columns[[#This Row],[Generalization 1]],meta_Classifiers[ID],0))</f>
        <v>_Object</v>
      </c>
      <c r="Z105" s="8" t="str">
        <f>INDEX(meta_Classifiers[Class - Generalization:src], MATCH(meta_Columns[[#This Row],[Owning Table Instances Class]],meta_Classifiers[ID],0))</f>
        <v>_NamedElement</v>
      </c>
      <c r="AA1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5" s="8" t="b">
        <f>_xlfn.IFNA(
INDEX(meta_Classifiers[Class - Generalization:src],MATCH(
INDEX(meta_Classifiers[Class - Generalization:src],MATCH(meta_Columns[[#This Row],[Property Owning Class]],meta_Classifiers[ID],0)),meta_Classifiers[ID],0))
=meta_Columns[[#This Row],[Owning Table Instances Class]],FALSE)</f>
        <v>0</v>
      </c>
      <c r="AG105" s="8" t="b">
        <f>_xlfn.IFNA(INDEX(meta_Classifiers[Class - Generalization:src],MATCH(meta_Columns[[#This Row],[Property Owning Class]],meta_Classifiers[ID],0))=meta_Columns[[#This Row],[Owning Table Instances Class]],FALSE)</f>
        <v>0</v>
      </c>
      <c r="AH1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5" s="8" t="str">
        <f>INDEX(meta_Classifiers[Name],MATCH(INDEX(meta_TypedModelElements[Property - Owning Class:src],MATCH(meta_Columns[[#This Row],[Property]],meta_TypedModelElements[ID],0)),meta_Classifiers[ID],0))</f>
        <v>Object</v>
      </c>
      <c r="AJ105" s="8" t="str">
        <f>INDEX(meta_TypedModelElements[Property - Owning Class:src],MATCH(meta_Columns[[#This Row],[Property]],meta_TypedModelElements[ID],0))</f>
        <v>_Object</v>
      </c>
      <c r="AK105" s="8" t="str">
        <f>INDEX(meta_TypedModelElements[Kind:src],MATCH(meta_Columns[[#This Row],[Property]],meta_TypedModelElements[ID],0))</f>
        <v>_Attribute</v>
      </c>
      <c r="AL105" s="8" t="str">
        <f>INDEX(meta_TypedModelElements[Name or Type],MATCH(meta_Columns[[#This Row],[Property]],meta_TypedModelElements[ID],0))</f>
        <v>Sub Package</v>
      </c>
      <c r="AM105" s="8" t="str">
        <f>INDEX(meta_TypedModelElements[Property - Changeable],MATCH(meta_Columns[[#This Row],[Property]],meta_TypedModelElements[ID],0))</f>
        <v>x</v>
      </c>
      <c r="AN105" s="43">
        <v>5</v>
      </c>
      <c r="AO105" s="22">
        <v>3</v>
      </c>
      <c r="AP1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05" s="8" t="str">
        <f xml:space="preserve"> IF(meta_Columns[[#This Row],[Property Owning Class is Specialization of Instance Class]],meta_Columns[[#This Row],[Property Owning Class Name]]&amp;" - ","")</f>
        <v/>
      </c>
      <c r="AR1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05" s="8" t="str">
        <f>IFERROR(LEFT(meta_Columns[[#This Row],[Excel Column - Label Actual without Semantic Case]],FIND("-",
meta_Columns[[#This Row],[Excel Column - Label Actual without Semantic Case]])-2),"")</f>
        <v/>
      </c>
      <c r="AU1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05" s="22"/>
      <c r="AY105" s="8" t="str">
        <f>meta_Columns[[#This Row],[Owning Table]]&amp;"."&amp;meta_Columns[[#This Row],[Excel Column - Label]]</f>
        <v>meta::Columns.Sub Package</v>
      </c>
      <c r="AZ105" s="22" t="s">
        <v>461</v>
      </c>
      <c r="BA105" s="44" t="str">
        <f>IF(TRIM(meta_Columns[[#This Row],[Excel Column - Label Overwrite]])&lt;&gt;"",meta_Columns[[#This Row],[Excel Column - Label Overwrite]],meta_Columns[[#This Row],[Excel Column - Label from Property or Referenced Table]])</f>
        <v>Sub Package</v>
      </c>
      <c r="BB105" s="43"/>
      <c r="BC105" s="44" t="str">
        <f>IF(meta_Columns[[#This Row],[Excel Column - Explicit Excel Formula]]="","",meta_Columns[[#This Row],[Excel Column - Explicit Excel Formula]])</f>
        <v/>
      </c>
      <c r="BD105" s="5"/>
      <c r="BE105" s="5"/>
    </row>
    <row r="106" spans="1:57">
      <c r="A106" s="111" t="s">
        <v>1491</v>
      </c>
      <c r="B106" s="11"/>
      <c r="C106" s="22" t="str">
        <f xml:space="preserve"> IF( TRIM( meta_Columns[[#This Row],[Kind:src]] ) = "", "",
        INDEX( meta_Classifiers[Display Qualified], MATCH( meta_Columns[[#This Row],[Kind:src]], meta_Classifiers[ID], 0 ) ) )</f>
        <v/>
      </c>
      <c r="D106" s="113" t="str">
        <f>IF(meta_Columns[[#This Row],[Owning Table:src]]="","",INDEX(meta_Classifiers[Package],MATCH(meta_Columns[[#This Row],[Owning Table Instances Class]],meta_Classifiers[ID],0)))</f>
        <v/>
      </c>
      <c r="E106" s="112"/>
      <c r="F106" s="115" t="e">
        <f>INDEX(meta_Tables[Excel Table - Excel Name],MATCH(meta_Columns[[#This Row],[Owning Table:src]],meta_Tables[ID],0))</f>
        <v>#N/A</v>
      </c>
      <c r="G106" s="113" t="e">
        <f>INDEX(meta_Tables[Instances Class:src],MATCH(meta_Columns[[#This Row],[Owning Table:src]],meta_Tables[ID],0))</f>
        <v>#N/A</v>
      </c>
      <c r="H106" s="11"/>
      <c r="I106" s="43" t="str">
        <f xml:space="preserve"> IF( TRIM( meta_Columns[[#This Row],[Owning Table:src]] ) = "", "",
        INDEX( meta_Tables[Display Qualified], MATCH( meta_Columns[[#This Row],[Owning Table:src]], meta_Tables[ID], 0 ) ) )</f>
        <v/>
      </c>
      <c r="K106" s="22" t="str">
        <f>IF(TRIM(meta_Columns[[#This Row],[Referenced Table:src]])="","",
    INDEX(meta_Tables[Display Qualified],MATCH(meta_Columns[[#This Row],[Referenced Table:src]],meta_Tables[ID],0)))</f>
        <v/>
      </c>
      <c r="L106" s="8"/>
      <c r="M106" s="22" t="str">
        <f xml:space="preserve"> IF( TRIM( meta_Columns[[#This Row],[Referenced Table Display and Select Column:src]] ) = "", "",
        INDEX( meta_Columns[Display Qualified], MATCH( meta_Columns[[#This Row],[Referenced Table Display and Select Column:src]], meta_Columns[ID], 0 ) ) )</f>
        <v/>
      </c>
      <c r="N106" s="8" t="str">
        <f>IF(meta_Columns[[#This Row],[Excel Column - Excel Formula]]="","x","")</f>
        <v/>
      </c>
      <c r="O106" s="22"/>
      <c r="P106" s="8" t="str">
        <f>IF(meta_Columns[[#This Row],[Referenced Table:src]]="","",INDEX(meta_Tables[Instances Class],MATCH(meta_Columns[[#This Row],[Referenced Table:src]],meta_Tables[ID],0)))</f>
        <v/>
      </c>
      <c r="Q10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06" s="8"/>
      <c r="S106" s="114" t="str">
        <f xml:space="preserve"> IF( TRIM( meta_Columns[[#This Row],[Property:src]] ) = "", "",
        INDEX( meta_TypedModelElements[Display Qualified], MATCH( meta_Columns[[#This Row],[Property:src]], meta_TypedModelElements[ID], 0 ) ) )</f>
        <v/>
      </c>
      <c r="T106" s="114"/>
      <c r="U106" s="8" t="e">
        <f>INDEX(meta_Classifiers[Class - Generalization:src], MATCH(meta_Columns[[#This Row],[Generalization 5]],meta_Classifiers[ID],0))</f>
        <v>#N/A</v>
      </c>
      <c r="V106" s="8" t="e">
        <f>INDEX(meta_Classifiers[Class - Generalization:src], MATCH(meta_Columns[[#This Row],[Generalization 4]],meta_Classifiers[ID],0))</f>
        <v>#N/A</v>
      </c>
      <c r="W106" s="8" t="e">
        <f>INDEX(meta_Classifiers[Class - Generalization:src], MATCH(meta_Columns[[#This Row],[Generalization 3]],meta_Classifiers[ID],0))</f>
        <v>#N/A</v>
      </c>
      <c r="X106" s="8" t="e">
        <f>INDEX(meta_Classifiers[Class - Generalization:src], MATCH(meta_Columns[[#This Row],[Generalization 2]],meta_Classifiers[ID],0))</f>
        <v>#N/A</v>
      </c>
      <c r="Y106" s="8" t="e">
        <f>INDEX(meta_Classifiers[Class - Generalization:src], MATCH(meta_Columns[[#This Row],[Generalization 1]],meta_Classifiers[ID],0))</f>
        <v>#N/A</v>
      </c>
      <c r="Z106" s="8" t="e">
        <f>INDEX(meta_Classifiers[Class - Generalization:src], MATCH(meta_Columns[[#This Row],[Owning Table Instances Class]],meta_Classifiers[ID],0))</f>
        <v>#N/A</v>
      </c>
      <c r="AA10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6" s="8" t="b">
        <f>_xlfn.IFNA(
INDEX(meta_Classifiers[Class - Generalization:src],MATCH(
INDEX(meta_Classifiers[Class - Generalization:src],MATCH(meta_Columns[[#This Row],[Property Owning Class]],meta_Classifiers[ID],0)),meta_Classifiers[ID],0))
=meta_Columns[[#This Row],[Owning Table Instances Class]],FALSE)</f>
        <v>0</v>
      </c>
      <c r="AG106" s="8" t="b">
        <f>_xlfn.IFNA(INDEX(meta_Classifiers[Class - Generalization:src],MATCH(meta_Columns[[#This Row],[Property Owning Class]],meta_Classifiers[ID],0))=meta_Columns[[#This Row],[Owning Table Instances Class]],FALSE)</f>
        <v>0</v>
      </c>
      <c r="AH10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6" s="8" t="e">
        <f>INDEX(meta_Classifiers[Name],MATCH(INDEX(meta_TypedModelElements[Property - Owning Class:src],MATCH(meta_Columns[[#This Row],[Property]],meta_TypedModelElements[ID],0)),meta_Classifiers[ID],0))</f>
        <v>#N/A</v>
      </c>
      <c r="AJ106" s="8" t="e">
        <f>INDEX(meta_TypedModelElements[Property - Owning Class:src],MATCH(meta_Columns[[#This Row],[Property]],meta_TypedModelElements[ID],0))</f>
        <v>#N/A</v>
      </c>
      <c r="AK106" s="8" t="e">
        <f>INDEX(meta_TypedModelElements[Kind:src],MATCH(meta_Columns[[#This Row],[Property]],meta_TypedModelElements[ID],0))</f>
        <v>#N/A</v>
      </c>
      <c r="AL106" s="115" t="e">
        <f>INDEX(meta_TypedModelElements[Name or Type],MATCH(meta_Columns[[#This Row],[Property]],meta_TypedModelElements[ID],0))</f>
        <v>#N/A</v>
      </c>
      <c r="AM106" s="115" t="e">
        <f>INDEX(meta_TypedModelElements[Property - Changeable],MATCH(meta_Columns[[#This Row],[Property]],meta_TypedModelElements[ID],0))</f>
        <v>#N/A</v>
      </c>
      <c r="AN106" s="112">
        <v>6</v>
      </c>
      <c r="AO106" s="22"/>
      <c r="AP10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6" s="8" t="str">
        <f xml:space="preserve"> IF(meta_Columns[[#This Row],[Property Owning Class is Specialization of Instance Class]],meta_Columns[[#This Row],[Property Owning Class Name]]&amp;" - ","")</f>
        <v/>
      </c>
      <c r="AR1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06" s="8" t="str">
        <f>IFERROR(LEFT(meta_Columns[[#This Row],[Excel Column - Label Actual without Semantic Case]],FIND("-",
meta_Columns[[#This Row],[Excel Column - Label Actual without Semantic Case]])-2),"")</f>
        <v/>
      </c>
      <c r="AU1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06" s="114"/>
      <c r="AY106" s="8" t="str">
        <f>meta_Columns[[#This Row],[Owning Table]]&amp;"."&amp;meta_Columns[[#This Row],[Excel Column - Label]]</f>
        <v>._Tables</v>
      </c>
      <c r="AZ106" s="114" t="s">
        <v>1471</v>
      </c>
      <c r="BA106" s="113" t="str">
        <f>IF(TRIM(meta_Columns[[#This Row],[Excel Column - Label Overwrite]])&lt;&gt;"",meta_Columns[[#This Row],[Excel Column - Label Overwrite]],meta_Columns[[#This Row],[Excel Column - Label from Property or Referenced Table]])</f>
        <v>_Tables</v>
      </c>
      <c r="BB106" s="112" t="s">
        <v>1432</v>
      </c>
      <c r="BC106" s="113" t="str">
        <f>IF(meta_Columns[[#This Row],[Excel Column - Explicit Excel Formula]]="","",meta_Columns[[#This Row],[Excel Column - Explicit Excel Formula]])</f>
        <v>Formula:=INDEX(meta_Tables[Excel Table - Excel Name],MATCH([@[Owning Table:src]],meta_Tables[ID],0))</v>
      </c>
      <c r="BD106" s="115"/>
      <c r="BE106" s="116"/>
    </row>
    <row r="107" spans="1:57">
      <c r="A107" s="10" t="s">
        <v>1098</v>
      </c>
      <c r="B107" s="11" t="s">
        <v>546</v>
      </c>
      <c r="C107" s="22" t="str">
        <f xml:space="preserve"> IF( TRIM( meta_Columns[[#This Row],[Kind:src]] ) = "", "",
        INDEX( meta_Classifiers[Display Qualified], MATCH( meta_Columns[[#This Row],[Kind:src]], meta_Classifiers[ID], 0 ) ) )</f>
        <v>ExcelColumn</v>
      </c>
      <c r="D107" s="44" t="str">
        <f>IF(meta_Columns[[#This Row],[Owning Table:src]]="","",INDEX(meta_Classifiers[Package],MATCH(meta_Columns[[#This Row],[Owning Table Instances Class]],meta_Classifiers[ID],0)))</f>
        <v>meta</v>
      </c>
      <c r="E107" s="43"/>
      <c r="F107" s="44" t="str">
        <f>INDEX(meta_Tables[Excel Table - Excel Name],MATCH(meta_Columns[[#This Row],[Owning Table:src]],meta_Tables[ID],0))</f>
        <v>meta_Columns</v>
      </c>
      <c r="G107" s="44" t="str">
        <f>INDEX(meta_Tables[Instances Class:src],MATCH(meta_Columns[[#This Row],[Owning Table:src]],meta_Tables[ID],0))</f>
        <v>_Column</v>
      </c>
      <c r="H107" s="11" t="s">
        <v>1013</v>
      </c>
      <c r="I107" s="43" t="str">
        <f xml:space="preserve"> IF( TRIM( meta_Columns[[#This Row],[Owning Table:src]] ) = "", "",
        INDEX( meta_Tables[Display Qualified], MATCH( meta_Columns[[#This Row],[Owning Table:src]], meta_Tables[ID], 0 ) ) )</f>
        <v>meta::Columns</v>
      </c>
      <c r="K107" s="22" t="str">
        <f>IF(TRIM(meta_Columns[[#This Row],[Referenced Table:src]])="","",
    INDEX(meta_Tables[Display Qualified],MATCH(meta_Columns[[#This Row],[Referenced Table:src]],meta_Tables[ID],0)))</f>
        <v/>
      </c>
      <c r="L107" s="8"/>
      <c r="M107" s="22" t="str">
        <f xml:space="preserve"> IF( TRIM( meta_Columns[[#This Row],[Referenced Table Display and Select Column:src]] ) = "", "",
        INDEX( meta_Columns[Display Qualified], MATCH( meta_Columns[[#This Row],[Referenced Table Display and Select Column:src]], meta_Columns[ID], 0 ) ) )</f>
        <v/>
      </c>
      <c r="N107" s="8" t="str">
        <f>IF(meta_Columns[[#This Row],[Excel Column - Excel Formula]]="","x","")</f>
        <v/>
      </c>
      <c r="O107" s="22"/>
      <c r="P107" s="8" t="str">
        <f>IF(meta_Columns[[#This Row],[Referenced Table:src]]="","",INDEX(meta_Tables[Instances Class],MATCH(meta_Columns[[#This Row],[Referenced Table:src]],meta_Tables[ID],0)))</f>
        <v/>
      </c>
      <c r="Q1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meta::Column.owningTableInstancesClass</v>
      </c>
      <c r="R107" s="8"/>
      <c r="S107" s="22" t="str">
        <f xml:space="preserve"> IF( TRIM( meta_Columns[[#This Row],[Property:src]] ) = "", "",
        INDEX( meta_TypedModelElements[Display Qualified], MATCH( meta_Columns[[#This Row],[Property:src]], meta_TypedModelElements[ID], 0 ) ) )</f>
        <v/>
      </c>
      <c r="T107" s="22"/>
      <c r="U107" s="8" t="e">
        <f>INDEX(meta_Classifiers[Class - Generalization:src], MATCH(meta_Columns[[#This Row],[Generalization 5]],meta_Classifiers[ID],0))</f>
        <v>#N/A</v>
      </c>
      <c r="V107" s="8" t="e">
        <f>INDEX(meta_Classifiers[Class - Generalization:src], MATCH(meta_Columns[[#This Row],[Generalization 4]],meta_Classifiers[ID],0))</f>
        <v>#N/A</v>
      </c>
      <c r="W107" s="8" t="e">
        <f>INDEX(meta_Classifiers[Class - Generalization:src], MATCH(meta_Columns[[#This Row],[Generalization 3]],meta_Classifiers[ID],0))</f>
        <v>#N/A</v>
      </c>
      <c r="X107" s="8" t="str">
        <f>INDEX(meta_Classifiers[Class - Generalization:src], MATCH(meta_Columns[[#This Row],[Generalization 2]],meta_Classifiers[ID],0))</f>
        <v/>
      </c>
      <c r="Y107" s="8" t="str">
        <f>INDEX(meta_Classifiers[Class - Generalization:src], MATCH(meta_Columns[[#This Row],[Generalization 1]],meta_Classifiers[ID],0))</f>
        <v>_Object</v>
      </c>
      <c r="Z107" s="8" t="str">
        <f>INDEX(meta_Classifiers[Class - Generalization:src], MATCH(meta_Columns[[#This Row],[Owning Table Instances Class]],meta_Classifiers[ID],0))</f>
        <v>_NamedElement</v>
      </c>
      <c r="AA1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7" s="8" t="b">
        <f>_xlfn.IFNA(
INDEX(meta_Classifiers[Class - Generalization:src],MATCH(
INDEX(meta_Classifiers[Class - Generalization:src],MATCH(meta_Columns[[#This Row],[Property Owning Class]],meta_Classifiers[ID],0)),meta_Classifiers[ID],0))
=meta_Columns[[#This Row],[Owning Table Instances Class]],FALSE)</f>
        <v>0</v>
      </c>
      <c r="AG107" s="8" t="b">
        <f>_xlfn.IFNA(INDEX(meta_Classifiers[Class - Generalization:src],MATCH(meta_Columns[[#This Row],[Property Owning Class]],meta_Classifiers[ID],0))=meta_Columns[[#This Row],[Owning Table Instances Class]],FALSE)</f>
        <v>0</v>
      </c>
      <c r="AH1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7" s="8" t="e">
        <f>INDEX(meta_Classifiers[Name],MATCH(INDEX(meta_TypedModelElements[Property - Owning Class:src],MATCH(meta_Columns[[#This Row],[Property]],meta_TypedModelElements[ID],0)),meta_Classifiers[ID],0))</f>
        <v>#N/A</v>
      </c>
      <c r="AJ107" s="8" t="e">
        <f>INDEX(meta_TypedModelElements[Property - Owning Class:src],MATCH(meta_Columns[[#This Row],[Property]],meta_TypedModelElements[ID],0))</f>
        <v>#N/A</v>
      </c>
      <c r="AK107" s="8" t="e">
        <f>INDEX(meta_TypedModelElements[Kind:src],MATCH(meta_Columns[[#This Row],[Property]],meta_TypedModelElements[ID],0))</f>
        <v>#N/A</v>
      </c>
      <c r="AL107" s="8" t="e">
        <f>INDEX(meta_TypedModelElements[Name or Type],MATCH(meta_Columns[[#This Row],[Property]],meta_TypedModelElements[ID],0))</f>
        <v>#N/A</v>
      </c>
      <c r="AM107" s="8" t="e">
        <f>INDEX(meta_TypedModelElements[Property - Changeable],MATCH(meta_Columns[[#This Row],[Property]],meta_TypedModelElements[ID],0))</f>
        <v>#N/A</v>
      </c>
      <c r="AN107" s="43">
        <v>7</v>
      </c>
      <c r="AO107" s="22"/>
      <c r="AP1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7" s="8" t="str">
        <f xml:space="preserve"> IF(meta_Columns[[#This Row],[Property Owning Class is Specialization of Instance Class]],meta_Columns[[#This Row],[Property Owning Class Name]]&amp;" - ","")</f>
        <v/>
      </c>
      <c r="AR1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 Instances Class</v>
      </c>
      <c r="AT107" s="8" t="str">
        <f>IFERROR(LEFT(meta_Columns[[#This Row],[Excel Column - Label Actual without Semantic Case]],FIND("-",
meta_Columns[[#This Row],[Excel Column - Label Actual without Semantic Case]])-2),"")</f>
        <v/>
      </c>
      <c r="AU1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 Instances Class</v>
      </c>
      <c r="AV1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 Instances Class</v>
      </c>
      <c r="AX107" s="22"/>
      <c r="AY107" s="8" t="str">
        <f>meta_Columns[[#This Row],[Owning Table]]&amp;"."&amp;meta_Columns[[#This Row],[Excel Column - Label]]</f>
        <v>meta::Columns.Owning Table Instances Class</v>
      </c>
      <c r="AZ107" s="43" t="s">
        <v>470</v>
      </c>
      <c r="BA107" s="44" t="str">
        <f>IF(TRIM(meta_Columns[[#This Row],[Excel Column - Label Overwrite]])&lt;&gt;"",meta_Columns[[#This Row],[Excel Column - Label Overwrite]],meta_Columns[[#This Row],[Excel Column - Label from Property or Referenced Table]])</f>
        <v>Owning Table Instances Class</v>
      </c>
      <c r="BB107" s="43" t="s">
        <v>1433</v>
      </c>
      <c r="BC107" s="44" t="str">
        <f>IF(meta_Columns[[#This Row],[Excel Column - Explicit Excel Formula]]="","",meta_Columns[[#This Row],[Excel Column - Explicit Excel Formula]])</f>
        <v>Formula:=INDEX(meta_Tables[Instances Class:src],MATCH([@[Owning Table:src]],meta_Tables[ID],0))</v>
      </c>
      <c r="BD107" s="5"/>
      <c r="BE107" s="5"/>
    </row>
    <row r="108" spans="1:57">
      <c r="A108" s="10" t="s">
        <v>1370</v>
      </c>
      <c r="B108" s="5" t="s">
        <v>546</v>
      </c>
      <c r="C108" s="22" t="str">
        <f xml:space="preserve"> IF( TRIM( meta_Columns[[#This Row],[Kind:src]] ) = "", "",
        INDEX( meta_Classifiers[Display Qualified], MATCH( meta_Columns[[#This Row],[Kind:src]], meta_Classifiers[ID], 0 ) ) )</f>
        <v>ExcelColumn</v>
      </c>
      <c r="D108" s="44" t="str">
        <f>IF(meta_Columns[[#This Row],[Owning Table:src]]="","",INDEX(meta_Classifiers[Package],MATCH(meta_Columns[[#This Row],[Owning Table Instances Class]],meta_Classifiers[ID],0)))</f>
        <v>meta</v>
      </c>
      <c r="E108" s="43"/>
      <c r="F108" s="8" t="str">
        <f>INDEX(meta_Tables[Excel Table - Excel Name],MATCH(meta_Columns[[#This Row],[Owning Table:src]],meta_Tables[ID],0))</f>
        <v>meta_Columns</v>
      </c>
      <c r="G108" s="44" t="str">
        <f>INDEX(meta_Tables[Instances Class:src],MATCH(meta_Columns[[#This Row],[Owning Table:src]],meta_Tables[ID],0))</f>
        <v>_Column</v>
      </c>
      <c r="H108" s="11" t="s">
        <v>1013</v>
      </c>
      <c r="I108" s="43" t="str">
        <f xml:space="preserve"> IF( TRIM( meta_Columns[[#This Row],[Owning Table:src]] ) = "", "",
        INDEX( meta_Tables[Display Qualified], MATCH( meta_Columns[[#This Row],[Owning Table:src]], meta_Tables[ID], 0 ) ) )</f>
        <v>meta::Columns</v>
      </c>
      <c r="K108" s="22" t="str">
        <f>IF(TRIM(meta_Columns[[#This Row],[Referenced Table:src]])="","",
    INDEX(meta_Tables[Display Qualified],MATCH(meta_Columns[[#This Row],[Referenced Table:src]],meta_Tables[ID],0)))</f>
        <v/>
      </c>
      <c r="L108" s="8"/>
      <c r="M108" s="22" t="str">
        <f xml:space="preserve"> IF( TRIM( meta_Columns[[#This Row],[Referenced Table Display and Select Column:src]] ) = "", "",
        INDEX( meta_Columns[Display Qualified], MATCH( meta_Columns[[#This Row],[Referenced Table Display and Select Column:src]], meta_Columns[ID], 0 ) ) )</f>
        <v/>
      </c>
      <c r="N108" s="8" t="str">
        <f>IF(meta_Columns[[#This Row],[Excel Column - Excel Formula]]="","x","")</f>
        <v>x</v>
      </c>
      <c r="O108" s="22"/>
      <c r="P108" s="8" t="str">
        <f>IF(meta_Columns[[#This Row],[Referenced Table:src]]="","",INDEX(meta_Tables[Instances Class],MATCH(meta_Columns[[#This Row],[Referenced Table:src]],meta_Tables[ID],0)))</f>
        <v/>
      </c>
      <c r="Q1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8" s="8"/>
      <c r="S108" s="22" t="str">
        <f xml:space="preserve"> IF( TRIM( meta_Columns[[#This Row],[Property:src]] ) = "", "",
        INDEX( meta_TypedModelElements[Display Qualified], MATCH( meta_Columns[[#This Row],[Property:src]], meta_TypedModelElements[ID], 0 ) ) )</f>
        <v/>
      </c>
      <c r="T108" s="22"/>
      <c r="U108" s="8" t="e">
        <f>INDEX(meta_Classifiers[Class - Generalization:src], MATCH(meta_Columns[[#This Row],[Generalization 5]],meta_Classifiers[ID],0))</f>
        <v>#N/A</v>
      </c>
      <c r="V108" s="8" t="e">
        <f>INDEX(meta_Classifiers[Class - Generalization:src], MATCH(meta_Columns[[#This Row],[Generalization 4]],meta_Classifiers[ID],0))</f>
        <v>#N/A</v>
      </c>
      <c r="W108" s="8" t="e">
        <f>INDEX(meta_Classifiers[Class - Generalization:src], MATCH(meta_Columns[[#This Row],[Generalization 3]],meta_Classifiers[ID],0))</f>
        <v>#N/A</v>
      </c>
      <c r="X108" s="8" t="str">
        <f>INDEX(meta_Classifiers[Class - Generalization:src], MATCH(meta_Columns[[#This Row],[Generalization 2]],meta_Classifiers[ID],0))</f>
        <v/>
      </c>
      <c r="Y108" s="8" t="str">
        <f>INDEX(meta_Classifiers[Class - Generalization:src], MATCH(meta_Columns[[#This Row],[Generalization 1]],meta_Classifiers[ID],0))</f>
        <v>_Object</v>
      </c>
      <c r="Z108" s="8" t="str">
        <f>INDEX(meta_Classifiers[Class - Generalization:src], MATCH(meta_Columns[[#This Row],[Owning Table Instances Class]],meta_Classifiers[ID],0))</f>
        <v>_NamedElement</v>
      </c>
      <c r="AA1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8" s="8" t="b">
        <f>_xlfn.IFNA(
INDEX(meta_Classifiers[Class - Generalization:src],MATCH(
INDEX(meta_Classifiers[Class - Generalization:src],MATCH(meta_Columns[[#This Row],[Property Owning Class]],meta_Classifiers[ID],0)),meta_Classifiers[ID],0))
=meta_Columns[[#This Row],[Owning Table Instances Class]],FALSE)</f>
        <v>0</v>
      </c>
      <c r="AG108" s="8" t="b">
        <f>_xlfn.IFNA(INDEX(meta_Classifiers[Class - Generalization:src],MATCH(meta_Columns[[#This Row],[Property Owning Class]],meta_Classifiers[ID],0))=meta_Columns[[#This Row],[Owning Table Instances Class]],FALSE)</f>
        <v>0</v>
      </c>
      <c r="AH1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8" s="8" t="e">
        <f>INDEX(meta_Classifiers[Name],MATCH(INDEX(meta_TypedModelElements[Property - Owning Class:src],MATCH(meta_Columns[[#This Row],[Property]],meta_TypedModelElements[ID],0)),meta_Classifiers[ID],0))</f>
        <v>#N/A</v>
      </c>
      <c r="AJ108" s="8" t="e">
        <f>INDEX(meta_TypedModelElements[Property - Owning Class:src],MATCH(meta_Columns[[#This Row],[Property]],meta_TypedModelElements[ID],0))</f>
        <v>#N/A</v>
      </c>
      <c r="AK108" s="8" t="e">
        <f>INDEX(meta_TypedModelElements[Kind:src],MATCH(meta_Columns[[#This Row],[Property]],meta_TypedModelElements[ID],0))</f>
        <v>#N/A</v>
      </c>
      <c r="AL108" s="8" t="e">
        <f>INDEX(meta_TypedModelElements[Name or Type],MATCH(meta_Columns[[#This Row],[Property]],meta_TypedModelElements[ID],0))</f>
        <v>#N/A</v>
      </c>
      <c r="AM108" s="8" t="e">
        <f>INDEX(meta_TypedModelElements[Property - Changeable],MATCH(meta_Columns[[#This Row],[Property]],meta_TypedModelElements[ID],0))</f>
        <v>#N/A</v>
      </c>
      <c r="AN108" s="43">
        <v>8</v>
      </c>
      <c r="AO108" s="22">
        <v>4</v>
      </c>
      <c r="AP1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8" s="8" t="str">
        <f xml:space="preserve"> IF(meta_Columns[[#This Row],[Property Owning Class is Specialization of Instance Class]],meta_Columns[[#This Row],[Property Owning Class Name]]&amp;" - ","")</f>
        <v/>
      </c>
      <c r="AR1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8" s="8" t="str">
        <f>IFERROR(LEFT(meta_Columns[[#This Row],[Excel Column - Label Actual without Semantic Case]],FIND("-",
meta_Columns[[#This Row],[Excel Column - Label Actual without Semantic Case]])-2),"")</f>
        <v/>
      </c>
      <c r="AU1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Table:src</v>
      </c>
      <c r="AX108" s="22"/>
      <c r="AY108" s="8" t="str">
        <f>meta_Columns[[#This Row],[Owning Table]]&amp;"."&amp;meta_Columns[[#This Row],[Excel Column - Label]]</f>
        <v>meta::Columns.Owning Table:src</v>
      </c>
      <c r="AZ108" s="22" t="s">
        <v>988</v>
      </c>
      <c r="BA108" s="8" t="str">
        <f>IF(TRIM(meta_Columns[[#This Row],[Excel Column - Label Overwrite]])&lt;&gt;"",meta_Columns[[#This Row],[Excel Column - Label Overwrite]],meta_Columns[[#This Row],[Excel Column - Label from Property or Referenced Table]])</f>
        <v>Owning Table:src</v>
      </c>
      <c r="BB108" s="43"/>
      <c r="BC108" s="44" t="str">
        <f>IF(meta_Columns[[#This Row],[Excel Column - Explicit Excel Formula]]="","",meta_Columns[[#This Row],[Excel Column - Explicit Excel Formula]])</f>
        <v/>
      </c>
      <c r="BD108" s="5"/>
      <c r="BE108" s="5"/>
    </row>
    <row r="109" spans="1:57">
      <c r="A109" s="10" t="s">
        <v>1099</v>
      </c>
      <c r="B109" s="5" t="s">
        <v>546</v>
      </c>
      <c r="C109" s="22" t="str">
        <f xml:space="preserve"> IF( TRIM( meta_Columns[[#This Row],[Kind:src]] ) = "", "",
        INDEX( meta_Classifiers[Display Qualified], MATCH( meta_Columns[[#This Row],[Kind:src]], meta_Classifiers[ID], 0 ) ) )</f>
        <v>ExcelColumn</v>
      </c>
      <c r="D109" s="44" t="str">
        <f>IF(meta_Columns[[#This Row],[Owning Table:src]]="","",INDEX(meta_Classifiers[Package],MATCH(meta_Columns[[#This Row],[Owning Table Instances Class]],meta_Classifiers[ID],0)))</f>
        <v>meta</v>
      </c>
      <c r="E109" s="43"/>
      <c r="F109" s="8" t="str">
        <f>INDEX(meta_Tables[Excel Table - Excel Name],MATCH(meta_Columns[[#This Row],[Owning Table:src]],meta_Tables[ID],0))</f>
        <v>meta_Columns</v>
      </c>
      <c r="G109" s="44" t="str">
        <f>INDEX(meta_Tables[Instances Class:src],MATCH(meta_Columns[[#This Row],[Owning Table:src]],meta_Tables[ID],0))</f>
        <v>_Column</v>
      </c>
      <c r="H109" s="11" t="s">
        <v>1013</v>
      </c>
      <c r="I109" s="43" t="str">
        <f xml:space="preserve"> IF( TRIM( meta_Columns[[#This Row],[Owning Table:src]] ) = "", "",
        INDEX( meta_Tables[Display Qualified], MATCH( meta_Columns[[#This Row],[Owning Table:src]], meta_Tables[ID], 0 ) ) )</f>
        <v>meta::Columns</v>
      </c>
      <c r="K109" s="22" t="str">
        <f>IF(TRIM(meta_Columns[[#This Row],[Referenced Table:src]])="","",
    INDEX(meta_Tables[Display Qualified],MATCH(meta_Columns[[#This Row],[Referenced Table:src]],meta_Tables[ID],0)))</f>
        <v/>
      </c>
      <c r="L109" s="8"/>
      <c r="M109" s="22" t="str">
        <f xml:space="preserve"> IF( TRIM( meta_Columns[[#This Row],[Referenced Table Display and Select Column:src]] ) = "", "",
        INDEX( meta_Columns[Display Qualified], MATCH( meta_Columns[[#This Row],[Referenced Table Display and Select Column:src]], meta_Columns[ID], 0 ) ) )</f>
        <v/>
      </c>
      <c r="N109" s="8" t="str">
        <f>IF(meta_Columns[[#This Row],[Excel Column - Excel Formula]]="","x","")</f>
        <v/>
      </c>
      <c r="O109" s="22"/>
      <c r="P109" s="8" t="str">
        <f>IF(meta_Columns[[#This Row],[Referenced Table:src]]="","",INDEX(meta_Tables[Instances Class],MATCH(meta_Columns[[#This Row],[Referenced Table:src]],meta_Tables[ID],0)))</f>
        <v/>
      </c>
      <c r="Q1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9" s="8"/>
      <c r="S109" s="22" t="str">
        <f xml:space="preserve"> IF( TRIM( meta_Columns[[#This Row],[Property:src]] ) = "", "",
        INDEX( meta_TypedModelElements[Display Qualified], MATCH( meta_Columns[[#This Row],[Property:src]], meta_TypedModelElements[ID], 0 ) ) )</f>
        <v/>
      </c>
      <c r="T109" s="22"/>
      <c r="U109" s="8" t="e">
        <f>INDEX(meta_Classifiers[Class - Generalization:src], MATCH(meta_Columns[[#This Row],[Generalization 5]],meta_Classifiers[ID],0))</f>
        <v>#N/A</v>
      </c>
      <c r="V109" s="8" t="e">
        <f>INDEX(meta_Classifiers[Class - Generalization:src], MATCH(meta_Columns[[#This Row],[Generalization 4]],meta_Classifiers[ID],0))</f>
        <v>#N/A</v>
      </c>
      <c r="W109" s="8" t="e">
        <f>INDEX(meta_Classifiers[Class - Generalization:src], MATCH(meta_Columns[[#This Row],[Generalization 3]],meta_Classifiers[ID],0))</f>
        <v>#N/A</v>
      </c>
      <c r="X109" s="8" t="str">
        <f>INDEX(meta_Classifiers[Class - Generalization:src], MATCH(meta_Columns[[#This Row],[Generalization 2]],meta_Classifiers[ID],0))</f>
        <v/>
      </c>
      <c r="Y109" s="8" t="str">
        <f>INDEX(meta_Classifiers[Class - Generalization:src], MATCH(meta_Columns[[#This Row],[Generalization 1]],meta_Classifiers[ID],0))</f>
        <v>_Object</v>
      </c>
      <c r="Z109" s="8" t="str">
        <f>INDEX(meta_Classifiers[Class - Generalization:src], MATCH(meta_Columns[[#This Row],[Owning Table Instances Class]],meta_Classifiers[ID],0))</f>
        <v>_NamedElement</v>
      </c>
      <c r="AA1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9" s="8" t="b">
        <f>_xlfn.IFNA(
INDEX(meta_Classifiers[Class - Generalization:src],MATCH(
INDEX(meta_Classifiers[Class - Generalization:src],MATCH(meta_Columns[[#This Row],[Property Owning Class]],meta_Classifiers[ID],0)),meta_Classifiers[ID],0))
=meta_Columns[[#This Row],[Owning Table Instances Class]],FALSE)</f>
        <v>0</v>
      </c>
      <c r="AG109" s="8" t="b">
        <f>_xlfn.IFNA(INDEX(meta_Classifiers[Class - Generalization:src],MATCH(meta_Columns[[#This Row],[Property Owning Class]],meta_Classifiers[ID],0))=meta_Columns[[#This Row],[Owning Table Instances Class]],FALSE)</f>
        <v>0</v>
      </c>
      <c r="AH1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9" s="8" t="e">
        <f>INDEX(meta_Classifiers[Name],MATCH(INDEX(meta_TypedModelElements[Property - Owning Class:src],MATCH(meta_Columns[[#This Row],[Property]],meta_TypedModelElements[ID],0)),meta_Classifiers[ID],0))</f>
        <v>#N/A</v>
      </c>
      <c r="AJ109" s="8" t="e">
        <f>INDEX(meta_TypedModelElements[Property - Owning Class:src],MATCH(meta_Columns[[#This Row],[Property]],meta_TypedModelElements[ID],0))</f>
        <v>#N/A</v>
      </c>
      <c r="AK109" s="8" t="e">
        <f>INDEX(meta_TypedModelElements[Kind:src],MATCH(meta_Columns[[#This Row],[Property]],meta_TypedModelElements[ID],0))</f>
        <v>#N/A</v>
      </c>
      <c r="AL109" s="8" t="e">
        <f>INDEX(meta_TypedModelElements[Name or Type],MATCH(meta_Columns[[#This Row],[Property]],meta_TypedModelElements[ID],0))</f>
        <v>#N/A</v>
      </c>
      <c r="AM109" s="8" t="e">
        <f>INDEX(meta_TypedModelElements[Property - Changeable],MATCH(meta_Columns[[#This Row],[Property]],meta_TypedModelElements[ID],0))</f>
        <v>#N/A</v>
      </c>
      <c r="AN109" s="43">
        <v>9</v>
      </c>
      <c r="AO109" s="22"/>
      <c r="AP1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9" s="8" t="str">
        <f xml:space="preserve"> IF(meta_Columns[[#This Row],[Property Owning Class is Specialization of Instance Class]],meta_Columns[[#This Row],[Property Owning Class Name]]&amp;" - ","")</f>
        <v/>
      </c>
      <c r="AR1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9" s="8" t="str">
        <f>IFERROR(LEFT(meta_Columns[[#This Row],[Excel Column - Label Actual without Semantic Case]],FIND("-",
meta_Columns[[#This Row],[Excel Column - Label Actual without Semantic Case]])-2),"")</f>
        <v/>
      </c>
      <c r="AU1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v>
      </c>
      <c r="AX109" s="22"/>
      <c r="AY109" s="8" t="str">
        <f>meta_Columns[[#This Row],[Owning Table]]&amp;"."&amp;meta_Columns[[#This Row],[Excel Column - Label]]</f>
        <v>meta::Columns.Owning Table</v>
      </c>
      <c r="AZ109" s="22" t="s">
        <v>463</v>
      </c>
      <c r="BA109" s="8" t="str">
        <f>IF(TRIM(meta_Columns[[#This Row],[Excel Column - Label Overwrite]])&lt;&gt;"",meta_Columns[[#This Row],[Excel Column - Label Overwrite]],meta_Columns[[#This Row],[Excel Column - Label from Property or Referenced Table]])</f>
        <v>Owning Table</v>
      </c>
      <c r="BB109" s="43" t="s">
        <v>1492</v>
      </c>
      <c r="BC109" s="44" t="str">
        <f>IF(meta_Columns[[#This Row],[Excel Column - Explicit Excel Formula]]="","",meta_Columns[[#This Row],[Excel Column - Explicit Excel Formula]])</f>
        <v>Formula:=IF(TRIM([@[Owning Table:src]])="","",
    INDEX(meta_Tables[Display Qualified],MATCH([@[Owning Table:src]],meta_Tables[ID],0)))</v>
      </c>
      <c r="BD109" s="5" t="s">
        <v>1462</v>
      </c>
      <c r="BE109" s="5"/>
    </row>
    <row r="110" spans="1:57">
      <c r="A110" s="10" t="s">
        <v>1371</v>
      </c>
      <c r="B110" s="5" t="s">
        <v>546</v>
      </c>
      <c r="C110" s="22" t="str">
        <f xml:space="preserve"> IF( TRIM( meta_Columns[[#This Row],[Kind:src]] ) = "", "",
        INDEX( meta_Classifiers[Display Qualified], MATCH( meta_Columns[[#This Row],[Kind:src]], meta_Classifiers[ID], 0 ) ) )</f>
        <v>ExcelColumn</v>
      </c>
      <c r="D110" s="44" t="str">
        <f>IF(meta_Columns[[#This Row],[Owning Table:src]]="","",INDEX(meta_Classifiers[Package],MATCH(meta_Columns[[#This Row],[Owning Table Instances Class]],meta_Classifiers[ID],0)))</f>
        <v>meta</v>
      </c>
      <c r="E110" s="43"/>
      <c r="F110" s="8" t="str">
        <f>INDEX(meta_Tables[Excel Table - Excel Name],MATCH(meta_Columns[[#This Row],[Owning Table:src]],meta_Tables[ID],0))</f>
        <v>meta_Columns</v>
      </c>
      <c r="G110" s="44" t="str">
        <f>INDEX(meta_Tables[Instances Class:src],MATCH(meta_Columns[[#This Row],[Owning Table:src]],meta_Tables[ID],0))</f>
        <v>_Column</v>
      </c>
      <c r="H110" s="11" t="s">
        <v>1013</v>
      </c>
      <c r="I110" s="43" t="str">
        <f xml:space="preserve"> IF( TRIM( meta_Columns[[#This Row],[Owning Table:src]] ) = "", "",
        INDEX( meta_Tables[Display Qualified], MATCH( meta_Columns[[#This Row],[Owning Table:src]], meta_Tables[ID], 0 ) ) )</f>
        <v>meta::Columns</v>
      </c>
      <c r="K110" s="22" t="str">
        <f>IF(TRIM(meta_Columns[[#This Row],[Referenced Table:src]])="","",
    INDEX(meta_Tables[Display Qualified],MATCH(meta_Columns[[#This Row],[Referenced Table:src]],meta_Tables[ID],0)))</f>
        <v/>
      </c>
      <c r="L110" s="8"/>
      <c r="M110" s="22" t="str">
        <f xml:space="preserve"> IF( TRIM( meta_Columns[[#This Row],[Referenced Table Display and Select Column:src]] ) = "", "",
        INDEX( meta_Columns[Display Qualified], MATCH( meta_Columns[[#This Row],[Referenced Table Display and Select Column:src]], meta_Columns[ID], 0 ) ) )</f>
        <v/>
      </c>
      <c r="N110" s="8" t="str">
        <f>IF(meta_Columns[[#This Row],[Excel Column - Excel Formula]]="","x","")</f>
        <v>x</v>
      </c>
      <c r="O110" s="22"/>
      <c r="P110" s="8" t="str">
        <f>IF(meta_Columns[[#This Row],[Referenced Table:src]]="","",INDEX(meta_Tables[Instances Class],MATCH(meta_Columns[[#This Row],[Referenced Table:src]],meta_Tables[ID],0)))</f>
        <v/>
      </c>
      <c r="Q1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0" s="8"/>
      <c r="S110" s="22" t="str">
        <f xml:space="preserve"> IF( TRIM( meta_Columns[[#This Row],[Property:src]] ) = "", "",
        INDEX( meta_TypedModelElements[Display Qualified], MATCH( meta_Columns[[#This Row],[Property:src]], meta_TypedModelElements[ID], 0 ) ) )</f>
        <v/>
      </c>
      <c r="T110" s="22"/>
      <c r="U110" s="8" t="e">
        <f>INDEX(meta_Classifiers[Class - Generalization:src], MATCH(meta_Columns[[#This Row],[Generalization 5]],meta_Classifiers[ID],0))</f>
        <v>#N/A</v>
      </c>
      <c r="V110" s="8" t="e">
        <f>INDEX(meta_Classifiers[Class - Generalization:src], MATCH(meta_Columns[[#This Row],[Generalization 4]],meta_Classifiers[ID],0))</f>
        <v>#N/A</v>
      </c>
      <c r="W110" s="8" t="e">
        <f>INDEX(meta_Classifiers[Class - Generalization:src], MATCH(meta_Columns[[#This Row],[Generalization 3]],meta_Classifiers[ID],0))</f>
        <v>#N/A</v>
      </c>
      <c r="X110" s="8" t="str">
        <f>INDEX(meta_Classifiers[Class - Generalization:src], MATCH(meta_Columns[[#This Row],[Generalization 2]],meta_Classifiers[ID],0))</f>
        <v/>
      </c>
      <c r="Y110" s="8" t="str">
        <f>INDEX(meta_Classifiers[Class - Generalization:src], MATCH(meta_Columns[[#This Row],[Generalization 1]],meta_Classifiers[ID],0))</f>
        <v>_Object</v>
      </c>
      <c r="Z110" s="8" t="str">
        <f>INDEX(meta_Classifiers[Class - Generalization:src], MATCH(meta_Columns[[#This Row],[Owning Table Instances Class]],meta_Classifiers[ID],0))</f>
        <v>_NamedElement</v>
      </c>
      <c r="AA1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0" s="8" t="b">
        <f>_xlfn.IFNA(
INDEX(meta_Classifiers[Class - Generalization:src],MATCH(
INDEX(meta_Classifiers[Class - Generalization:src],MATCH(meta_Columns[[#This Row],[Property Owning Class]],meta_Classifiers[ID],0)),meta_Classifiers[ID],0))
=meta_Columns[[#This Row],[Owning Table Instances Class]],FALSE)</f>
        <v>0</v>
      </c>
      <c r="AG110" s="8" t="b">
        <f>_xlfn.IFNA(INDEX(meta_Classifiers[Class - Generalization:src],MATCH(meta_Columns[[#This Row],[Property Owning Class]],meta_Classifiers[ID],0))=meta_Columns[[#This Row],[Owning Table Instances Class]],FALSE)</f>
        <v>0</v>
      </c>
      <c r="AH1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0" s="8" t="e">
        <f>INDEX(meta_Classifiers[Name],MATCH(INDEX(meta_TypedModelElements[Property - Owning Class:src],MATCH(meta_Columns[[#This Row],[Property]],meta_TypedModelElements[ID],0)),meta_Classifiers[ID],0))</f>
        <v>#N/A</v>
      </c>
      <c r="AJ110" s="8" t="e">
        <f>INDEX(meta_TypedModelElements[Property - Owning Class:src],MATCH(meta_Columns[[#This Row],[Property]],meta_TypedModelElements[ID],0))</f>
        <v>#N/A</v>
      </c>
      <c r="AK110" s="8" t="e">
        <f>INDEX(meta_TypedModelElements[Kind:src],MATCH(meta_Columns[[#This Row],[Property]],meta_TypedModelElements[ID],0))</f>
        <v>#N/A</v>
      </c>
      <c r="AL110" s="8" t="e">
        <f>INDEX(meta_TypedModelElements[Name or Type],MATCH(meta_Columns[[#This Row],[Property]],meta_TypedModelElements[ID],0))</f>
        <v>#N/A</v>
      </c>
      <c r="AM110" s="8" t="e">
        <f>INDEX(meta_TypedModelElements[Property - Changeable],MATCH(meta_Columns[[#This Row],[Property]],meta_TypedModelElements[ID],0))</f>
        <v>#N/A</v>
      </c>
      <c r="AN110" s="43">
        <v>10</v>
      </c>
      <c r="AO110" s="22">
        <v>5</v>
      </c>
      <c r="AP1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0" s="8" t="str">
        <f xml:space="preserve"> IF(meta_Columns[[#This Row],[Property Owning Class is Specialization of Instance Class]],meta_Columns[[#This Row],[Property Owning Class Name]]&amp;" - ","")</f>
        <v/>
      </c>
      <c r="AR1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0" s="8" t="str">
        <f>IFERROR(LEFT(meta_Columns[[#This Row],[Excel Column - Label Actual without Semantic Case]],FIND("-",
meta_Columns[[#This Row],[Excel Column - Label Actual without Semantic Case]])-2),"")</f>
        <v/>
      </c>
      <c r="AU1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Table:src</v>
      </c>
      <c r="AX110" s="22"/>
      <c r="AY110" s="8" t="str">
        <f>meta_Columns[[#This Row],[Owning Table]]&amp;"."&amp;meta_Columns[[#This Row],[Excel Column - Label]]</f>
        <v>meta::Columns.Referenced Table:src</v>
      </c>
      <c r="AZ110" s="22" t="s">
        <v>990</v>
      </c>
      <c r="BA110" s="8" t="str">
        <f>IF(TRIM(meta_Columns[[#This Row],[Excel Column - Label Overwrite]])&lt;&gt;"",meta_Columns[[#This Row],[Excel Column - Label Overwrite]],meta_Columns[[#This Row],[Excel Column - Label from Property or Referenced Table]])</f>
        <v>Referenced Table:src</v>
      </c>
      <c r="BB110" s="43"/>
      <c r="BC110" s="44" t="str">
        <f>IF(meta_Columns[[#This Row],[Excel Column - Explicit Excel Formula]]="","",meta_Columns[[#This Row],[Excel Column - Explicit Excel Formula]])</f>
        <v/>
      </c>
      <c r="BD110" s="5"/>
      <c r="BE110" s="5"/>
    </row>
    <row r="111" spans="1:57">
      <c r="A111" s="10" t="s">
        <v>1100</v>
      </c>
      <c r="B111" s="5" t="s">
        <v>546</v>
      </c>
      <c r="C111" s="22" t="str">
        <f xml:space="preserve"> IF( TRIM( meta_Columns[[#This Row],[Kind:src]] ) = "", "",
        INDEX( meta_Classifiers[Display Qualified], MATCH( meta_Columns[[#This Row],[Kind:src]], meta_Classifiers[ID], 0 ) ) )</f>
        <v>ExcelColumn</v>
      </c>
      <c r="D111" s="44" t="str">
        <f>IF(meta_Columns[[#This Row],[Owning Table:src]]="","",INDEX(meta_Classifiers[Package],MATCH(meta_Columns[[#This Row],[Owning Table Instances Class]],meta_Classifiers[ID],0)))</f>
        <v>meta</v>
      </c>
      <c r="E111" s="43"/>
      <c r="F111" s="8" t="str">
        <f>INDEX(meta_Tables[Excel Table - Excel Name],MATCH(meta_Columns[[#This Row],[Owning Table:src]],meta_Tables[ID],0))</f>
        <v>meta_Columns</v>
      </c>
      <c r="G111" s="44" t="str">
        <f>INDEX(meta_Tables[Instances Class:src],MATCH(meta_Columns[[#This Row],[Owning Table:src]],meta_Tables[ID],0))</f>
        <v>_Column</v>
      </c>
      <c r="H111" s="11" t="s">
        <v>1013</v>
      </c>
      <c r="I111" s="43" t="str">
        <f xml:space="preserve"> IF( TRIM( meta_Columns[[#This Row],[Owning Table:src]] ) = "", "",
        INDEX( meta_Tables[Display Qualified], MATCH( meta_Columns[[#This Row],[Owning Table:src]], meta_Tables[ID], 0 ) ) )</f>
        <v>meta::Columns</v>
      </c>
      <c r="K111" s="22" t="str">
        <f>IF(TRIM(meta_Columns[[#This Row],[Referenced Table:src]])="","",
    INDEX(meta_Tables[Display Qualified],MATCH(meta_Columns[[#This Row],[Referenced Table:src]],meta_Tables[ID],0)))</f>
        <v/>
      </c>
      <c r="L111" s="8"/>
      <c r="M111" s="22" t="str">
        <f xml:space="preserve"> IF( TRIM( meta_Columns[[#This Row],[Referenced Table Display and Select Column:src]] ) = "", "",
        INDEX( meta_Columns[Display Qualified], MATCH( meta_Columns[[#This Row],[Referenced Table Display and Select Column:src]], meta_Columns[ID], 0 ) ) )</f>
        <v/>
      </c>
      <c r="N111" s="8" t="str">
        <f>IF(meta_Columns[[#This Row],[Excel Column - Excel Formula]]="","x","")</f>
        <v/>
      </c>
      <c r="O111" s="22"/>
      <c r="P111" s="8" t="str">
        <f>IF(meta_Columns[[#This Row],[Referenced Table:src]]="","",INDEX(meta_Tables[Instances Class],MATCH(meta_Columns[[#This Row],[Referenced Table:src]],meta_Tables[ID],0)))</f>
        <v/>
      </c>
      <c r="Q1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1" s="8"/>
      <c r="S111" s="22" t="str">
        <f xml:space="preserve"> IF( TRIM( meta_Columns[[#This Row],[Property:src]] ) = "", "",
        INDEX( meta_TypedModelElements[Display Qualified], MATCH( meta_Columns[[#This Row],[Property:src]], meta_TypedModelElements[ID], 0 ) ) )</f>
        <v/>
      </c>
      <c r="T111" s="22"/>
      <c r="U111" s="8" t="e">
        <f>INDEX(meta_Classifiers[Class - Generalization:src], MATCH(meta_Columns[[#This Row],[Generalization 5]],meta_Classifiers[ID],0))</f>
        <v>#N/A</v>
      </c>
      <c r="V111" s="8" t="e">
        <f>INDEX(meta_Classifiers[Class - Generalization:src], MATCH(meta_Columns[[#This Row],[Generalization 4]],meta_Classifiers[ID],0))</f>
        <v>#N/A</v>
      </c>
      <c r="W111" s="8" t="e">
        <f>INDEX(meta_Classifiers[Class - Generalization:src], MATCH(meta_Columns[[#This Row],[Generalization 3]],meta_Classifiers[ID],0))</f>
        <v>#N/A</v>
      </c>
      <c r="X111" s="8" t="str">
        <f>INDEX(meta_Classifiers[Class - Generalization:src], MATCH(meta_Columns[[#This Row],[Generalization 2]],meta_Classifiers[ID],0))</f>
        <v/>
      </c>
      <c r="Y111" s="8" t="str">
        <f>INDEX(meta_Classifiers[Class - Generalization:src], MATCH(meta_Columns[[#This Row],[Generalization 1]],meta_Classifiers[ID],0))</f>
        <v>_Object</v>
      </c>
      <c r="Z111" s="8" t="str">
        <f>INDEX(meta_Classifiers[Class - Generalization:src], MATCH(meta_Columns[[#This Row],[Owning Table Instances Class]],meta_Classifiers[ID],0))</f>
        <v>_NamedElement</v>
      </c>
      <c r="AA1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1" s="8" t="b">
        <f>_xlfn.IFNA(
INDEX(meta_Classifiers[Class - Generalization:src],MATCH(
INDEX(meta_Classifiers[Class - Generalization:src],MATCH(meta_Columns[[#This Row],[Property Owning Class]],meta_Classifiers[ID],0)),meta_Classifiers[ID],0))
=meta_Columns[[#This Row],[Owning Table Instances Class]],FALSE)</f>
        <v>0</v>
      </c>
      <c r="AG111" s="8" t="b">
        <f>_xlfn.IFNA(INDEX(meta_Classifiers[Class - Generalization:src],MATCH(meta_Columns[[#This Row],[Property Owning Class]],meta_Classifiers[ID],0))=meta_Columns[[#This Row],[Owning Table Instances Class]],FALSE)</f>
        <v>0</v>
      </c>
      <c r="AH1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1" s="8" t="e">
        <f>INDEX(meta_Classifiers[Name],MATCH(INDEX(meta_TypedModelElements[Property - Owning Class:src],MATCH(meta_Columns[[#This Row],[Property]],meta_TypedModelElements[ID],0)),meta_Classifiers[ID],0))</f>
        <v>#N/A</v>
      </c>
      <c r="AJ111" s="8" t="e">
        <f>INDEX(meta_TypedModelElements[Property - Owning Class:src],MATCH(meta_Columns[[#This Row],[Property]],meta_TypedModelElements[ID],0))</f>
        <v>#N/A</v>
      </c>
      <c r="AK111" s="8" t="e">
        <f>INDEX(meta_TypedModelElements[Kind:src],MATCH(meta_Columns[[#This Row],[Property]],meta_TypedModelElements[ID],0))</f>
        <v>#N/A</v>
      </c>
      <c r="AL111" s="8" t="e">
        <f>INDEX(meta_TypedModelElements[Name or Type],MATCH(meta_Columns[[#This Row],[Property]],meta_TypedModelElements[ID],0))</f>
        <v>#N/A</v>
      </c>
      <c r="AM111" s="8" t="e">
        <f>INDEX(meta_TypedModelElements[Property - Changeable],MATCH(meta_Columns[[#This Row],[Property]],meta_TypedModelElements[ID],0))</f>
        <v>#N/A</v>
      </c>
      <c r="AN111" s="43">
        <v>11</v>
      </c>
      <c r="AO111" s="22"/>
      <c r="AP1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1" s="8" t="str">
        <f xml:space="preserve"> IF(meta_Columns[[#This Row],[Property Owning Class is Specialization of Instance Class]],meta_Columns[[#This Row],[Property Owning Class Name]]&amp;" - ","")</f>
        <v/>
      </c>
      <c r="AR1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1" s="8" t="str">
        <f>IFERROR(LEFT(meta_Columns[[#This Row],[Excel Column - Label Actual without Semantic Case]],FIND("-",
meta_Columns[[#This Row],[Excel Column - Label Actual without Semantic Case]])-2),"")</f>
        <v/>
      </c>
      <c r="AU1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v>
      </c>
      <c r="AX111" s="22"/>
      <c r="AY111" s="8" t="str">
        <f>meta_Columns[[#This Row],[Owning Table]]&amp;"."&amp;meta_Columns[[#This Row],[Excel Column - Label]]</f>
        <v>meta::Columns.Referenced Table</v>
      </c>
      <c r="AZ111" s="22" t="s">
        <v>917</v>
      </c>
      <c r="BA111" s="8" t="str">
        <f>IF(TRIM(meta_Columns[[#This Row],[Excel Column - Label Overwrite]])&lt;&gt;"",meta_Columns[[#This Row],[Excel Column - Label Overwrite]],meta_Columns[[#This Row],[Excel Column - Label from Property or Referenced Table]])</f>
        <v>Referenced Table</v>
      </c>
      <c r="BB111" s="43" t="s">
        <v>1493</v>
      </c>
      <c r="BC111" s="44" t="str">
        <f>IF(meta_Columns[[#This Row],[Excel Column - Explicit Excel Formula]]="","",meta_Columns[[#This Row],[Excel Column - Explicit Excel Formula]])</f>
        <v>Formula:=IF(TRIM([@[Referenced Table:src]])="","",
    INDEX(meta_Tables[Display Qualified],MATCH([@[Referenced Table:src]],meta_Tables[ID],0)))</v>
      </c>
      <c r="BD111" s="5" t="s">
        <v>1462</v>
      </c>
      <c r="BE111" s="5"/>
    </row>
    <row r="112" spans="1:57">
      <c r="A112" s="10" t="s">
        <v>1372</v>
      </c>
      <c r="B112" s="5" t="s">
        <v>546</v>
      </c>
      <c r="C112" s="22" t="str">
        <f xml:space="preserve"> IF( TRIM( meta_Columns[[#This Row],[Kind:src]] ) = "", "",
        INDEX( meta_Classifiers[Display Qualified], MATCH( meta_Columns[[#This Row],[Kind:src]], meta_Classifiers[ID], 0 ) ) )</f>
        <v>ExcelColumn</v>
      </c>
      <c r="D112" s="44" t="str">
        <f>IF(meta_Columns[[#This Row],[Owning Table:src]]="","",INDEX(meta_Classifiers[Package],MATCH(meta_Columns[[#This Row],[Owning Table Instances Class]],meta_Classifiers[ID],0)))</f>
        <v>meta</v>
      </c>
      <c r="E112" s="43"/>
      <c r="F112" s="8" t="str">
        <f>INDEX(meta_Tables[Excel Table - Excel Name],MATCH(meta_Columns[[#This Row],[Owning Table:src]],meta_Tables[ID],0))</f>
        <v>meta_Columns</v>
      </c>
      <c r="G112" s="44" t="str">
        <f>INDEX(meta_Tables[Instances Class:src],MATCH(meta_Columns[[#This Row],[Owning Table:src]],meta_Tables[ID],0))</f>
        <v>_Column</v>
      </c>
      <c r="H112" s="11" t="s">
        <v>1013</v>
      </c>
      <c r="I112" s="43" t="str">
        <f xml:space="preserve"> IF( TRIM( meta_Columns[[#This Row],[Owning Table:src]] ) = "", "",
        INDEX( meta_Tables[Display Qualified], MATCH( meta_Columns[[#This Row],[Owning Table:src]], meta_Tables[ID], 0 ) ) )</f>
        <v>meta::Columns</v>
      </c>
      <c r="K112" s="22" t="str">
        <f>IF(TRIM(meta_Columns[[#This Row],[Referenced Table:src]])="","",
    INDEX(meta_Tables[Display Qualified],MATCH(meta_Columns[[#This Row],[Referenced Table:src]],meta_Tables[ID],0)))</f>
        <v/>
      </c>
      <c r="L112" s="8"/>
      <c r="M112" s="22" t="str">
        <f xml:space="preserve"> IF( TRIM( meta_Columns[[#This Row],[Referenced Table Display and Select Column:src]] ) = "", "",
        INDEX( meta_Columns[Display Qualified], MATCH( meta_Columns[[#This Row],[Referenced Table Display and Select Column:src]], meta_Columns[ID], 0 ) ) )</f>
        <v/>
      </c>
      <c r="N112" s="8" t="str">
        <f>IF(meta_Columns[[#This Row],[Excel Column - Excel Formula]]="","x","")</f>
        <v>x</v>
      </c>
      <c r="O112" s="22"/>
      <c r="P112" s="8" t="str">
        <f>IF(meta_Columns[[#This Row],[Referenced Table:src]]="","",INDEX(meta_Tables[Instances Class],MATCH(meta_Columns[[#This Row],[Referenced Table:src]],meta_Tables[ID],0)))</f>
        <v/>
      </c>
      <c r="Q1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2" s="8"/>
      <c r="S112" s="22" t="str">
        <f xml:space="preserve"> IF( TRIM( meta_Columns[[#This Row],[Property:src]] ) = "", "",
        INDEX( meta_TypedModelElements[Display Qualified], MATCH( meta_Columns[[#This Row],[Property:src]], meta_TypedModelElements[ID], 0 ) ) )</f>
        <v/>
      </c>
      <c r="T112" s="22"/>
      <c r="U112" s="8" t="e">
        <f>INDEX(meta_Classifiers[Class - Generalization:src], MATCH(meta_Columns[[#This Row],[Generalization 5]],meta_Classifiers[ID],0))</f>
        <v>#N/A</v>
      </c>
      <c r="V112" s="8" t="e">
        <f>INDEX(meta_Classifiers[Class - Generalization:src], MATCH(meta_Columns[[#This Row],[Generalization 4]],meta_Classifiers[ID],0))</f>
        <v>#N/A</v>
      </c>
      <c r="W112" s="8" t="e">
        <f>INDEX(meta_Classifiers[Class - Generalization:src], MATCH(meta_Columns[[#This Row],[Generalization 3]],meta_Classifiers[ID],0))</f>
        <v>#N/A</v>
      </c>
      <c r="X112" s="8" t="str">
        <f>INDEX(meta_Classifiers[Class - Generalization:src], MATCH(meta_Columns[[#This Row],[Generalization 2]],meta_Classifiers[ID],0))</f>
        <v/>
      </c>
      <c r="Y112" s="8" t="str">
        <f>INDEX(meta_Classifiers[Class - Generalization:src], MATCH(meta_Columns[[#This Row],[Generalization 1]],meta_Classifiers[ID],0))</f>
        <v>_Object</v>
      </c>
      <c r="Z112" s="8" t="str">
        <f>INDEX(meta_Classifiers[Class - Generalization:src], MATCH(meta_Columns[[#This Row],[Owning Table Instances Class]],meta_Classifiers[ID],0))</f>
        <v>_NamedElement</v>
      </c>
      <c r="AA1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2" s="8" t="b">
        <f>_xlfn.IFNA(
INDEX(meta_Classifiers[Class - Generalization:src],MATCH(
INDEX(meta_Classifiers[Class - Generalization:src],MATCH(meta_Columns[[#This Row],[Property Owning Class]],meta_Classifiers[ID],0)),meta_Classifiers[ID],0))
=meta_Columns[[#This Row],[Owning Table Instances Class]],FALSE)</f>
        <v>0</v>
      </c>
      <c r="AG112" s="8" t="b">
        <f>_xlfn.IFNA(INDEX(meta_Classifiers[Class - Generalization:src],MATCH(meta_Columns[[#This Row],[Property Owning Class]],meta_Classifiers[ID],0))=meta_Columns[[#This Row],[Owning Table Instances Class]],FALSE)</f>
        <v>0</v>
      </c>
      <c r="AH1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2" s="8" t="e">
        <f>INDEX(meta_Classifiers[Name],MATCH(INDEX(meta_TypedModelElements[Property - Owning Class:src],MATCH(meta_Columns[[#This Row],[Property]],meta_TypedModelElements[ID],0)),meta_Classifiers[ID],0))</f>
        <v>#N/A</v>
      </c>
      <c r="AJ112" s="8" t="e">
        <f>INDEX(meta_TypedModelElements[Property - Owning Class:src],MATCH(meta_Columns[[#This Row],[Property]],meta_TypedModelElements[ID],0))</f>
        <v>#N/A</v>
      </c>
      <c r="AK112" s="8" t="e">
        <f>INDEX(meta_TypedModelElements[Kind:src],MATCH(meta_Columns[[#This Row],[Property]],meta_TypedModelElements[ID],0))</f>
        <v>#N/A</v>
      </c>
      <c r="AL112" s="8" t="e">
        <f>INDEX(meta_TypedModelElements[Name or Type],MATCH(meta_Columns[[#This Row],[Property]],meta_TypedModelElements[ID],0))</f>
        <v>#N/A</v>
      </c>
      <c r="AM112" s="8" t="e">
        <f>INDEX(meta_TypedModelElements[Property - Changeable],MATCH(meta_Columns[[#This Row],[Property]],meta_TypedModelElements[ID],0))</f>
        <v>#N/A</v>
      </c>
      <c r="AN112" s="43">
        <v>12</v>
      </c>
      <c r="AO112" s="22">
        <v>6</v>
      </c>
      <c r="AP1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2" s="8" t="str">
        <f xml:space="preserve"> IF(meta_Columns[[#This Row],[Property Owning Class is Specialization of Instance Class]],meta_Columns[[#This Row],[Property Owning Class Name]]&amp;" - ","")</f>
        <v/>
      </c>
      <c r="AR1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2" s="8" t="str">
        <f>IFERROR(LEFT(meta_Columns[[#This Row],[Excel Column - Label Actual without Semantic Case]],FIND("-",
meta_Columns[[#This Row],[Excel Column - Label Actual without Semantic Case]])-2),"")</f>
        <v/>
      </c>
      <c r="AU1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Column:src</v>
      </c>
      <c r="AX112" s="22"/>
      <c r="AY112" s="8" t="str">
        <f>meta_Columns[[#This Row],[Owning Table]]&amp;"."&amp;meta_Columns[[#This Row],[Excel Column - Label]]</f>
        <v>meta::Columns.Referenced Table Display and Select Column:src</v>
      </c>
      <c r="AZ112" s="22" t="s">
        <v>991</v>
      </c>
      <c r="BA112" s="8" t="str">
        <f>IF(TRIM(meta_Columns[[#This Row],[Excel Column - Label Overwrite]])&lt;&gt;"",meta_Columns[[#This Row],[Excel Column - Label Overwrite]],meta_Columns[[#This Row],[Excel Column - Label from Property or Referenced Table]])</f>
        <v>Referenced Table Display and Select Column:src</v>
      </c>
      <c r="BB112" s="43"/>
      <c r="BC112" s="44" t="str">
        <f>IF(meta_Columns[[#This Row],[Excel Column - Explicit Excel Formula]]="","",meta_Columns[[#This Row],[Excel Column - Explicit Excel Formula]])</f>
        <v/>
      </c>
      <c r="BD112" s="5"/>
      <c r="BE112" s="5"/>
    </row>
    <row r="113" spans="1:57">
      <c r="A113" s="10" t="s">
        <v>1101</v>
      </c>
      <c r="B113" s="5" t="s">
        <v>546</v>
      </c>
      <c r="C113" s="22" t="str">
        <f xml:space="preserve"> IF( TRIM( meta_Columns[[#This Row],[Kind:src]] ) = "", "",
        INDEX( meta_Classifiers[Display Qualified], MATCH( meta_Columns[[#This Row],[Kind:src]], meta_Classifiers[ID], 0 ) ) )</f>
        <v>ExcelColumn</v>
      </c>
      <c r="D113" s="44" t="str">
        <f>IF(meta_Columns[[#This Row],[Owning Table:src]]="","",INDEX(meta_Classifiers[Package],MATCH(meta_Columns[[#This Row],[Owning Table Instances Class]],meta_Classifiers[ID],0)))</f>
        <v>meta</v>
      </c>
      <c r="E113" s="43"/>
      <c r="F113" s="8" t="str">
        <f>INDEX(meta_Tables[Excel Table - Excel Name],MATCH(meta_Columns[[#This Row],[Owning Table:src]],meta_Tables[ID],0))</f>
        <v>meta_Columns</v>
      </c>
      <c r="G113" s="44" t="str">
        <f>INDEX(meta_Tables[Instances Class:src],MATCH(meta_Columns[[#This Row],[Owning Table:src]],meta_Tables[ID],0))</f>
        <v>_Column</v>
      </c>
      <c r="H113" s="11" t="s">
        <v>1013</v>
      </c>
      <c r="I113" s="43" t="str">
        <f xml:space="preserve"> IF( TRIM( meta_Columns[[#This Row],[Owning Table:src]] ) = "", "",
        INDEX( meta_Tables[Display Qualified], MATCH( meta_Columns[[#This Row],[Owning Table:src]], meta_Tables[ID], 0 ) ) )</f>
        <v>meta::Columns</v>
      </c>
      <c r="K113" s="22" t="str">
        <f>IF(TRIM(meta_Columns[[#This Row],[Referenced Table:src]])="","",
    INDEX(meta_Tables[Display Qualified],MATCH(meta_Columns[[#This Row],[Referenced Table:src]],meta_Tables[ID],0)))</f>
        <v/>
      </c>
      <c r="L113" s="8"/>
      <c r="M113" s="22" t="str">
        <f xml:space="preserve"> IF( TRIM( meta_Columns[[#This Row],[Referenced Table Display and Select Column:src]] ) = "", "",
        INDEX( meta_Columns[Display Qualified], MATCH( meta_Columns[[#This Row],[Referenced Table Display and Select Column:src]], meta_Columns[ID], 0 ) ) )</f>
        <v/>
      </c>
      <c r="N113" s="8" t="str">
        <f>IF(meta_Columns[[#This Row],[Excel Column - Excel Formula]]="","x","")</f>
        <v>x</v>
      </c>
      <c r="O113" s="22"/>
      <c r="P113" s="8" t="str">
        <f>IF(meta_Columns[[#This Row],[Referenced Table:src]]="","",INDEX(meta_Tables[Instances Class],MATCH(meta_Columns[[#This Row],[Referenced Table:src]],meta_Tables[ID],0)))</f>
        <v/>
      </c>
      <c r="Q1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3" s="8"/>
      <c r="S113" s="22" t="str">
        <f xml:space="preserve"> IF( TRIM( meta_Columns[[#This Row],[Property:src]] ) = "", "",
        INDEX( meta_TypedModelElements[Display Qualified], MATCH( meta_Columns[[#This Row],[Property:src]], meta_TypedModelElements[ID], 0 ) ) )</f>
        <v/>
      </c>
      <c r="T113" s="22"/>
      <c r="U113" s="8" t="e">
        <f>INDEX(meta_Classifiers[Class - Generalization:src], MATCH(meta_Columns[[#This Row],[Generalization 5]],meta_Classifiers[ID],0))</f>
        <v>#N/A</v>
      </c>
      <c r="V113" s="8" t="e">
        <f>INDEX(meta_Classifiers[Class - Generalization:src], MATCH(meta_Columns[[#This Row],[Generalization 4]],meta_Classifiers[ID],0))</f>
        <v>#N/A</v>
      </c>
      <c r="W113" s="8" t="e">
        <f>INDEX(meta_Classifiers[Class - Generalization:src], MATCH(meta_Columns[[#This Row],[Generalization 3]],meta_Classifiers[ID],0))</f>
        <v>#N/A</v>
      </c>
      <c r="X113" s="8" t="str">
        <f>INDEX(meta_Classifiers[Class - Generalization:src], MATCH(meta_Columns[[#This Row],[Generalization 2]],meta_Classifiers[ID],0))</f>
        <v/>
      </c>
      <c r="Y113" s="8" t="str">
        <f>INDEX(meta_Classifiers[Class - Generalization:src], MATCH(meta_Columns[[#This Row],[Generalization 1]],meta_Classifiers[ID],0))</f>
        <v>_Object</v>
      </c>
      <c r="Z113" s="8" t="str">
        <f>INDEX(meta_Classifiers[Class - Generalization:src], MATCH(meta_Columns[[#This Row],[Owning Table Instances Class]],meta_Classifiers[ID],0))</f>
        <v>_NamedElement</v>
      </c>
      <c r="AA1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3" s="8" t="b">
        <f>_xlfn.IFNA(
INDEX(meta_Classifiers[Class - Generalization:src],MATCH(
INDEX(meta_Classifiers[Class - Generalization:src],MATCH(meta_Columns[[#This Row],[Property Owning Class]],meta_Classifiers[ID],0)),meta_Classifiers[ID],0))
=meta_Columns[[#This Row],[Owning Table Instances Class]],FALSE)</f>
        <v>0</v>
      </c>
      <c r="AG113" s="8" t="b">
        <f>_xlfn.IFNA(INDEX(meta_Classifiers[Class - Generalization:src],MATCH(meta_Columns[[#This Row],[Property Owning Class]],meta_Classifiers[ID],0))=meta_Columns[[#This Row],[Owning Table Instances Class]],FALSE)</f>
        <v>0</v>
      </c>
      <c r="AH1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3" s="8" t="e">
        <f>INDEX(meta_Classifiers[Name],MATCH(INDEX(meta_TypedModelElements[Property - Owning Class:src],MATCH(meta_Columns[[#This Row],[Property]],meta_TypedModelElements[ID],0)),meta_Classifiers[ID],0))</f>
        <v>#N/A</v>
      </c>
      <c r="AJ113" s="8" t="e">
        <f>INDEX(meta_TypedModelElements[Property - Owning Class:src],MATCH(meta_Columns[[#This Row],[Property]],meta_TypedModelElements[ID],0))</f>
        <v>#N/A</v>
      </c>
      <c r="AK113" s="8" t="e">
        <f>INDEX(meta_TypedModelElements[Kind:src],MATCH(meta_Columns[[#This Row],[Property]],meta_TypedModelElements[ID],0))</f>
        <v>#N/A</v>
      </c>
      <c r="AL113" s="8" t="e">
        <f>INDEX(meta_TypedModelElements[Name or Type],MATCH(meta_Columns[[#This Row],[Property]],meta_TypedModelElements[ID],0))</f>
        <v>#N/A</v>
      </c>
      <c r="AM113" s="8" t="e">
        <f>INDEX(meta_TypedModelElements[Property - Changeable],MATCH(meta_Columns[[#This Row],[Property]],meta_TypedModelElements[ID],0))</f>
        <v>#N/A</v>
      </c>
      <c r="AN113" s="43">
        <v>13</v>
      </c>
      <c r="AO113" s="22">
        <v>7</v>
      </c>
      <c r="AP1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3" s="8" t="str">
        <f xml:space="preserve"> IF(meta_Columns[[#This Row],[Property Owning Class is Specialization of Instance Class]],meta_Columns[[#This Row],[Property Owning Class Name]]&amp;" - ","")</f>
        <v/>
      </c>
      <c r="AR1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3" s="8" t="str">
        <f>IFERROR(LEFT(meta_Columns[[#This Row],[Excel Column - Label Actual without Semantic Case]],FIND("-",
meta_Columns[[#This Row],[Excel Column - Label Actual without Semantic Case]])-2),"")</f>
        <v/>
      </c>
      <c r="AU1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v>
      </c>
      <c r="AX113" s="22"/>
      <c r="AY113" s="8" t="str">
        <f>meta_Columns[[#This Row],[Owning Table]]&amp;"."&amp;meta_Columns[[#This Row],[Excel Column - Label]]</f>
        <v>meta::Columns.Referenced Table Display and Select Column</v>
      </c>
      <c r="AZ113" s="22" t="s">
        <v>920</v>
      </c>
      <c r="BA113" s="8" t="str">
        <f>IF(TRIM(meta_Columns[[#This Row],[Excel Column - Label Overwrite]])&lt;&gt;"",meta_Columns[[#This Row],[Excel Column - Label Overwrite]],meta_Columns[[#This Row],[Excel Column - Label from Property or Referenced Table]])</f>
        <v>Referenced Table Display and Select Column</v>
      </c>
      <c r="BB113" s="43"/>
      <c r="BC113" s="44" t="str">
        <f>IF(meta_Columns[[#This Row],[Excel Column - Explicit Excel Formula]]="","",meta_Columns[[#This Row],[Excel Column - Explicit Excel Formula]])</f>
        <v/>
      </c>
      <c r="BD113" s="5" t="s">
        <v>1463</v>
      </c>
      <c r="BE113" s="5"/>
    </row>
    <row r="114" spans="1:57">
      <c r="A114" s="10" t="s">
        <v>1373</v>
      </c>
      <c r="B114" s="5" t="s">
        <v>546</v>
      </c>
      <c r="C114" s="22" t="str">
        <f xml:space="preserve"> IF( TRIM( meta_Columns[[#This Row],[Kind:src]] ) = "", "",
        INDEX( meta_Classifiers[Display Qualified], MATCH( meta_Columns[[#This Row],[Kind:src]], meta_Classifiers[ID], 0 ) ) )</f>
        <v>ExcelColumn</v>
      </c>
      <c r="D114" s="44" t="str">
        <f>IF(meta_Columns[[#This Row],[Owning Table:src]]="","",INDEX(meta_Classifiers[Package],MATCH(meta_Columns[[#This Row],[Owning Table Instances Class]],meta_Classifiers[ID],0)))</f>
        <v>meta</v>
      </c>
      <c r="E114" s="43"/>
      <c r="F114" s="8" t="str">
        <f>INDEX(meta_Tables[Excel Table - Excel Name],MATCH(meta_Columns[[#This Row],[Owning Table:src]],meta_Tables[ID],0))</f>
        <v>meta_Columns</v>
      </c>
      <c r="G114" s="44" t="str">
        <f>INDEX(meta_Tables[Instances Class:src],MATCH(meta_Columns[[#This Row],[Owning Table:src]],meta_Tables[ID],0))</f>
        <v>_Column</v>
      </c>
      <c r="H114" s="11" t="s">
        <v>1013</v>
      </c>
      <c r="I114" s="43" t="str">
        <f xml:space="preserve"> IF( TRIM( meta_Columns[[#This Row],[Owning Table:src]] ) = "", "",
        INDEX( meta_Tables[Display Qualified], MATCH( meta_Columns[[#This Row],[Owning Table:src]], meta_Tables[ID], 0 ) ) )</f>
        <v>meta::Columns</v>
      </c>
      <c r="K114" s="22" t="str">
        <f>IF(TRIM(meta_Columns[[#This Row],[Referenced Table:src]])="","",
    INDEX(meta_Tables[Display Qualified],MATCH(meta_Columns[[#This Row],[Referenced Table:src]],meta_Tables[ID],0)))</f>
        <v/>
      </c>
      <c r="L114" s="8"/>
      <c r="M114" s="22" t="str">
        <f xml:space="preserve"> IF( TRIM( meta_Columns[[#This Row],[Referenced Table Display and Select Column:src]] ) = "", "",
        INDEX( meta_Columns[Display Qualified], MATCH( meta_Columns[[#This Row],[Referenced Table Display and Select Column:src]], meta_Columns[ID], 0 ) ) )</f>
        <v/>
      </c>
      <c r="N114" s="8" t="str">
        <f>IF(meta_Columns[[#This Row],[Excel Column - Excel Formula]]="","x","")</f>
        <v/>
      </c>
      <c r="O114" s="22"/>
      <c r="P114" s="8" t="str">
        <f>IF(meta_Columns[[#This Row],[Referenced Table:src]]="","",INDEX(meta_Tables[Instances Class],MATCH(meta_Columns[[#This Row],[Referenced Table:src]],meta_Tables[ID],0)))</f>
        <v/>
      </c>
      <c r="Q1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meta::Column.changeable</v>
      </c>
      <c r="R114" s="8"/>
      <c r="S114" s="22" t="str">
        <f xml:space="preserve"> IF( TRIM( meta_Columns[[#This Row],[Property:src]] ) = "", "",
        INDEX( meta_TypedModelElements[Display Qualified], MATCH( meta_Columns[[#This Row],[Property:src]], meta_TypedModelElements[ID], 0 ) ) )</f>
        <v/>
      </c>
      <c r="T114" s="22"/>
      <c r="U114" s="8" t="e">
        <f>INDEX(meta_Classifiers[Class - Generalization:src], MATCH(meta_Columns[[#This Row],[Generalization 5]],meta_Classifiers[ID],0))</f>
        <v>#N/A</v>
      </c>
      <c r="V114" s="8" t="e">
        <f>INDEX(meta_Classifiers[Class - Generalization:src], MATCH(meta_Columns[[#This Row],[Generalization 4]],meta_Classifiers[ID],0))</f>
        <v>#N/A</v>
      </c>
      <c r="W114" s="8" t="e">
        <f>INDEX(meta_Classifiers[Class - Generalization:src], MATCH(meta_Columns[[#This Row],[Generalization 3]],meta_Classifiers[ID],0))</f>
        <v>#N/A</v>
      </c>
      <c r="X114" s="8" t="str">
        <f>INDEX(meta_Classifiers[Class - Generalization:src], MATCH(meta_Columns[[#This Row],[Generalization 2]],meta_Classifiers[ID],0))</f>
        <v/>
      </c>
      <c r="Y114" s="8" t="str">
        <f>INDEX(meta_Classifiers[Class - Generalization:src], MATCH(meta_Columns[[#This Row],[Generalization 1]],meta_Classifiers[ID],0))</f>
        <v>_Object</v>
      </c>
      <c r="Z114" s="8" t="str">
        <f>INDEX(meta_Classifiers[Class - Generalization:src], MATCH(meta_Columns[[#This Row],[Owning Table Instances Class]],meta_Classifiers[ID],0))</f>
        <v>_NamedElement</v>
      </c>
      <c r="AA1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4" s="8" t="b">
        <f>_xlfn.IFNA(
INDEX(meta_Classifiers[Class - Generalization:src],MATCH(
INDEX(meta_Classifiers[Class - Generalization:src],MATCH(meta_Columns[[#This Row],[Property Owning Class]],meta_Classifiers[ID],0)),meta_Classifiers[ID],0))
=meta_Columns[[#This Row],[Owning Table Instances Class]],FALSE)</f>
        <v>0</v>
      </c>
      <c r="AG114" s="8" t="b">
        <f>_xlfn.IFNA(INDEX(meta_Classifiers[Class - Generalization:src],MATCH(meta_Columns[[#This Row],[Property Owning Class]],meta_Classifiers[ID],0))=meta_Columns[[#This Row],[Owning Table Instances Class]],FALSE)</f>
        <v>0</v>
      </c>
      <c r="AH1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4" s="8" t="e">
        <f>INDEX(meta_Classifiers[Name],MATCH(INDEX(meta_TypedModelElements[Property - Owning Class:src],MATCH(meta_Columns[[#This Row],[Property]],meta_TypedModelElements[ID],0)),meta_Classifiers[ID],0))</f>
        <v>#N/A</v>
      </c>
      <c r="AJ114" s="8" t="e">
        <f>INDEX(meta_TypedModelElements[Property - Owning Class:src],MATCH(meta_Columns[[#This Row],[Property]],meta_TypedModelElements[ID],0))</f>
        <v>#N/A</v>
      </c>
      <c r="AK114" s="8" t="e">
        <f>INDEX(meta_TypedModelElements[Kind:src],MATCH(meta_Columns[[#This Row],[Property]],meta_TypedModelElements[ID],0))</f>
        <v>#N/A</v>
      </c>
      <c r="AL114" s="8" t="e">
        <f>INDEX(meta_TypedModelElements[Name or Type],MATCH(meta_Columns[[#This Row],[Property]],meta_TypedModelElements[ID],0))</f>
        <v>#N/A</v>
      </c>
      <c r="AM114" s="8" t="e">
        <f>INDEX(meta_TypedModelElements[Property - Changeable],MATCH(meta_Columns[[#This Row],[Property]],meta_TypedModelElements[ID],0))</f>
        <v>#N/A</v>
      </c>
      <c r="AN114" s="43">
        <v>14</v>
      </c>
      <c r="AO114" s="22"/>
      <c r="AP1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4" s="8" t="str">
        <f xml:space="preserve"> IF(meta_Columns[[#This Row],[Property Owning Class is Specialization of Instance Class]],meta_Columns[[#This Row],[Property Owning Class Name]]&amp;" - ","")</f>
        <v/>
      </c>
      <c r="AR1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Changeable</v>
      </c>
      <c r="AT114" s="8" t="str">
        <f>IFERROR(LEFT(meta_Columns[[#This Row],[Excel Column - Label Actual without Semantic Case]],FIND("-",
meta_Columns[[#This Row],[Excel Column - Label Actual without Semantic Case]])-2),"")</f>
        <v/>
      </c>
      <c r="AU1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Changeable</v>
      </c>
      <c r="AV1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Changeable</v>
      </c>
      <c r="AX114" s="22"/>
      <c r="AY114" s="8" t="str">
        <f>meta_Columns[[#This Row],[Owning Table]]&amp;"."&amp;meta_Columns[[#This Row],[Excel Column - Label]]</f>
        <v>meta::Columns.Changeable</v>
      </c>
      <c r="AZ114" s="22" t="s">
        <v>481</v>
      </c>
      <c r="BA114" s="8" t="str">
        <f>IF(TRIM(meta_Columns[[#This Row],[Excel Column - Label Overwrite]])&lt;&gt;"",meta_Columns[[#This Row],[Excel Column - Label Overwrite]],meta_Columns[[#This Row],[Excel Column - Label from Property or Referenced Table]])</f>
        <v>Changeable</v>
      </c>
      <c r="BB114" s="43" t="s">
        <v>1374</v>
      </c>
      <c r="BC114" s="44" t="str">
        <f>IF(meta_Columns[[#This Row],[Excel Column - Explicit Excel Formula]]="","",meta_Columns[[#This Row],[Excel Column - Explicit Excel Formula]])</f>
        <v>Formula:=IF([@[Excel Column - Excel Formula]]="","x","")</v>
      </c>
      <c r="BD114" s="5"/>
      <c r="BE114" s="5"/>
    </row>
    <row r="115" spans="1:57">
      <c r="A115" s="10" t="s">
        <v>1375</v>
      </c>
      <c r="B115" s="5" t="s">
        <v>546</v>
      </c>
      <c r="C115" s="22" t="str">
        <f xml:space="preserve"> IF( TRIM( meta_Columns[[#This Row],[Kind:src]] ) = "", "",
        INDEX( meta_Classifiers[Display Qualified], MATCH( meta_Columns[[#This Row],[Kind:src]], meta_Classifiers[ID], 0 ) ) )</f>
        <v>ExcelColumn</v>
      </c>
      <c r="D115" s="44" t="str">
        <f>IF(meta_Columns[[#This Row],[Owning Table:src]]="","",INDEX(meta_Classifiers[Package],MATCH(meta_Columns[[#This Row],[Owning Table Instances Class]],meta_Classifiers[ID],0)))</f>
        <v>meta</v>
      </c>
      <c r="E115" s="43"/>
      <c r="F115" s="8" t="str">
        <f>INDEX(meta_Tables[Excel Table - Excel Name],MATCH(meta_Columns[[#This Row],[Owning Table:src]],meta_Tables[ID],0))</f>
        <v>meta_Columns</v>
      </c>
      <c r="G115" s="44" t="str">
        <f>INDEX(meta_Tables[Instances Class:src],MATCH(meta_Columns[[#This Row],[Owning Table:src]],meta_Tables[ID],0))</f>
        <v>_Column</v>
      </c>
      <c r="H115" s="11" t="s">
        <v>1013</v>
      </c>
      <c r="I115" s="43" t="str">
        <f xml:space="preserve"> IF( TRIM( meta_Columns[[#This Row],[Owning Table:src]] ) = "", "",
        INDEX( meta_Tables[Display Qualified], MATCH( meta_Columns[[#This Row],[Owning Table:src]], meta_Tables[ID], 0 ) ) )</f>
        <v>meta::Columns</v>
      </c>
      <c r="K115" s="22" t="str">
        <f>IF(TRIM(meta_Columns[[#This Row],[Referenced Table:src]])="","",
    INDEX(meta_Tables[Display Qualified],MATCH(meta_Columns[[#This Row],[Referenced Table:src]],meta_Tables[ID],0)))</f>
        <v/>
      </c>
      <c r="L115" s="8"/>
      <c r="M115" s="22" t="str">
        <f xml:space="preserve"> IF( TRIM( meta_Columns[[#This Row],[Referenced Table Display and Select Column:src]] ) = "", "",
        INDEX( meta_Columns[Display Qualified], MATCH( meta_Columns[[#This Row],[Referenced Table Display and Select Column:src]], meta_Columns[ID], 0 ) ) )</f>
        <v/>
      </c>
      <c r="N115" s="8" t="str">
        <f>IF(meta_Columns[[#This Row],[Excel Column - Excel Formula]]="","x","")</f>
        <v>x</v>
      </c>
      <c r="O115" s="22"/>
      <c r="P115" s="8" t="str">
        <f>IF(meta_Columns[[#This Row],[Referenced Table:src]]="","",INDEX(meta_Tables[Instances Class],MATCH(meta_Columns[[#This Row],[Referenced Table:src]],meta_Tables[ID],0)))</f>
        <v/>
      </c>
      <c r="Q1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meta::ExcelColumn.namePrefix</v>
      </c>
      <c r="R115" s="8"/>
      <c r="S115" s="22" t="str">
        <f xml:space="preserve"> IF( TRIM( meta_Columns[[#This Row],[Property:src]] ) = "", "",
        INDEX( meta_TypedModelElements[Display Qualified], MATCH( meta_Columns[[#This Row],[Property:src]], meta_TypedModelElements[ID], 0 ) ) )</f>
        <v/>
      </c>
      <c r="T115" s="22"/>
      <c r="U115" s="8" t="e">
        <f>INDEX(meta_Classifiers[Class - Generalization:src], MATCH(meta_Columns[[#This Row],[Generalization 5]],meta_Classifiers[ID],0))</f>
        <v>#N/A</v>
      </c>
      <c r="V115" s="8" t="e">
        <f>INDEX(meta_Classifiers[Class - Generalization:src], MATCH(meta_Columns[[#This Row],[Generalization 4]],meta_Classifiers[ID],0))</f>
        <v>#N/A</v>
      </c>
      <c r="W115" s="8" t="e">
        <f>INDEX(meta_Classifiers[Class - Generalization:src], MATCH(meta_Columns[[#This Row],[Generalization 3]],meta_Classifiers[ID],0))</f>
        <v>#N/A</v>
      </c>
      <c r="X115" s="8" t="str">
        <f>INDEX(meta_Classifiers[Class - Generalization:src], MATCH(meta_Columns[[#This Row],[Generalization 2]],meta_Classifiers[ID],0))</f>
        <v/>
      </c>
      <c r="Y115" s="8" t="str">
        <f>INDEX(meta_Classifiers[Class - Generalization:src], MATCH(meta_Columns[[#This Row],[Generalization 1]],meta_Classifiers[ID],0))</f>
        <v>_Object</v>
      </c>
      <c r="Z115" s="8" t="str">
        <f>INDEX(meta_Classifiers[Class - Generalization:src], MATCH(meta_Columns[[#This Row],[Owning Table Instances Class]],meta_Classifiers[ID],0))</f>
        <v>_NamedElement</v>
      </c>
      <c r="AA1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5" s="8" t="b">
        <f>_xlfn.IFNA(
INDEX(meta_Classifiers[Class - Generalization:src],MATCH(
INDEX(meta_Classifiers[Class - Generalization:src],MATCH(meta_Columns[[#This Row],[Property Owning Class]],meta_Classifiers[ID],0)),meta_Classifiers[ID],0))
=meta_Columns[[#This Row],[Owning Table Instances Class]],FALSE)</f>
        <v>0</v>
      </c>
      <c r="AG115" s="8" t="b">
        <f>_xlfn.IFNA(INDEX(meta_Classifiers[Class - Generalization:src],MATCH(meta_Columns[[#This Row],[Property Owning Class]],meta_Classifiers[ID],0))=meta_Columns[[#This Row],[Owning Table Instances Class]],FALSE)</f>
        <v>0</v>
      </c>
      <c r="AH1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5" s="8" t="e">
        <f>INDEX(meta_Classifiers[Name],MATCH(INDEX(meta_TypedModelElements[Property - Owning Class:src],MATCH(meta_Columns[[#This Row],[Property]],meta_TypedModelElements[ID],0)),meta_Classifiers[ID],0))</f>
        <v>#N/A</v>
      </c>
      <c r="AJ115" s="8" t="e">
        <f>INDEX(meta_TypedModelElements[Property - Owning Class:src],MATCH(meta_Columns[[#This Row],[Property]],meta_TypedModelElements[ID],0))</f>
        <v>#N/A</v>
      </c>
      <c r="AK115" s="8" t="e">
        <f>INDEX(meta_TypedModelElements[Kind:src],MATCH(meta_Columns[[#This Row],[Property]],meta_TypedModelElements[ID],0))</f>
        <v>#N/A</v>
      </c>
      <c r="AL115" s="8" t="e">
        <f>INDEX(meta_TypedModelElements[Name or Type],MATCH(meta_Columns[[#This Row],[Property]],meta_TypedModelElements[ID],0))</f>
        <v>#N/A</v>
      </c>
      <c r="AM115" s="8" t="e">
        <f>INDEX(meta_TypedModelElements[Property - Changeable],MATCH(meta_Columns[[#This Row],[Property]],meta_TypedModelElements[ID],0))</f>
        <v>#N/A</v>
      </c>
      <c r="AN115" s="43">
        <v>15</v>
      </c>
      <c r="AO115" s="22">
        <v>8</v>
      </c>
      <c r="AP1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5" s="8" t="str">
        <f xml:space="preserve"> IF(meta_Columns[[#This Row],[Property Owning Class is Specialization of Instance Class]],meta_Columns[[#This Row],[Property Owning Class Name]]&amp;" - ","")</f>
        <v/>
      </c>
      <c r="AR1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 Prefix</v>
      </c>
      <c r="AT115" s="8" t="str">
        <f>IFERROR(LEFT(meta_Columns[[#This Row],[Excel Column - Label Actual without Semantic Case]],FIND("-",
meta_Columns[[#This Row],[Excel Column - Label Actual without Semantic Case]])-2),"")</f>
        <v>Excel Column</v>
      </c>
      <c r="AU1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Name Prefix</v>
      </c>
      <c r="AV1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Name Prefix</v>
      </c>
      <c r="AX115" s="22"/>
      <c r="AY115" s="8" t="str">
        <f>meta_Columns[[#This Row],[Owning Table]]&amp;"."&amp;meta_Columns[[#This Row],[Excel Column - Label]]</f>
        <v>meta::Columns.Excel Column - Name Prefix</v>
      </c>
      <c r="AZ115" s="22" t="s">
        <v>996</v>
      </c>
      <c r="BA115" s="8" t="str">
        <f>IF(TRIM(meta_Columns[[#This Row],[Excel Column - Label Overwrite]])&lt;&gt;"",meta_Columns[[#This Row],[Excel Column - Label Overwrite]],meta_Columns[[#This Row],[Excel Column - Label from Property or Referenced Table]])</f>
        <v>Excel Column - Name Prefix</v>
      </c>
      <c r="BB115" s="43"/>
      <c r="BC115" s="44" t="str">
        <f>IF(meta_Columns[[#This Row],[Excel Column - Explicit Excel Formula]]="","",meta_Columns[[#This Row],[Excel Column - Explicit Excel Formula]])</f>
        <v/>
      </c>
      <c r="BD115" s="5"/>
      <c r="BE115" s="5"/>
    </row>
    <row r="116" spans="1:57">
      <c r="A116" s="10" t="s">
        <v>1376</v>
      </c>
      <c r="B116" s="5" t="s">
        <v>546</v>
      </c>
      <c r="C116" s="22" t="str">
        <f xml:space="preserve"> IF( TRIM( meta_Columns[[#This Row],[Kind:src]] ) = "", "",
        INDEX( meta_Classifiers[Display Qualified], MATCH( meta_Columns[[#This Row],[Kind:src]], meta_Classifiers[ID], 0 ) ) )</f>
        <v>ExcelColumn</v>
      </c>
      <c r="D116" s="44" t="str">
        <f>IF(meta_Columns[[#This Row],[Owning Table:src]]="","",INDEX(meta_Classifiers[Package],MATCH(meta_Columns[[#This Row],[Owning Table Instances Class]],meta_Classifiers[ID],0)))</f>
        <v>meta</v>
      </c>
      <c r="E116" s="43"/>
      <c r="F116" s="8" t="str">
        <f>INDEX(meta_Tables[Excel Table - Excel Name],MATCH(meta_Columns[[#This Row],[Owning Table:src]],meta_Tables[ID],0))</f>
        <v>meta_Columns</v>
      </c>
      <c r="G116" s="44" t="str">
        <f>INDEX(meta_Tables[Instances Class:src],MATCH(meta_Columns[[#This Row],[Owning Table:src]],meta_Tables[ID],0))</f>
        <v>_Column</v>
      </c>
      <c r="H116" s="11" t="s">
        <v>1013</v>
      </c>
      <c r="I116" s="43" t="str">
        <f xml:space="preserve"> IF( TRIM( meta_Columns[[#This Row],[Owning Table:src]] ) = "", "",
        INDEX( meta_Tables[Display Qualified], MATCH( meta_Columns[[#This Row],[Owning Table:src]], meta_Tables[ID], 0 ) ) )</f>
        <v>meta::Columns</v>
      </c>
      <c r="K116" s="22" t="str">
        <f>IF(TRIM(meta_Columns[[#This Row],[Referenced Table:src]])="","",
    INDEX(meta_Tables[Display Qualified],MATCH(meta_Columns[[#This Row],[Referenced Table:src]],meta_Tables[ID],0)))</f>
        <v/>
      </c>
      <c r="L116" s="8"/>
      <c r="M116" s="22" t="str">
        <f xml:space="preserve"> IF( TRIM( meta_Columns[[#This Row],[Referenced Table Display and Select Column:src]] ) = "", "",
        INDEX( meta_Columns[Display Qualified], MATCH( meta_Columns[[#This Row],[Referenced Table Display and Select Column:src]], meta_Columns[ID], 0 ) ) )</f>
        <v/>
      </c>
      <c r="N116" s="8" t="str">
        <f>IF(meta_Columns[[#This Row],[Excel Column - Excel Formula]]="","x","")</f>
        <v/>
      </c>
      <c r="O116" s="22"/>
      <c r="P116" s="8" t="str">
        <f>IF(meta_Columns[[#This Row],[Referenced Table:src]]="","",INDEX(meta_Tables[Instances Class],MATCH(meta_Columns[[#This Row],[Referenced Table:src]],meta_Tables[ID],0)))</f>
        <v/>
      </c>
      <c r="Q1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meta::Column.referencedTableInstanceClassName</v>
      </c>
      <c r="R116" s="8"/>
      <c r="S116" s="22" t="str">
        <f xml:space="preserve"> IF( TRIM( meta_Columns[[#This Row],[Property:src]] ) = "", "",
        INDEX( meta_TypedModelElements[Display Qualified], MATCH( meta_Columns[[#This Row],[Property:src]], meta_TypedModelElements[ID], 0 ) ) )</f>
        <v/>
      </c>
      <c r="T116" s="22"/>
      <c r="U116" s="8" t="e">
        <f>INDEX(meta_Classifiers[Class - Generalization:src], MATCH(meta_Columns[[#This Row],[Generalization 5]],meta_Classifiers[ID],0))</f>
        <v>#N/A</v>
      </c>
      <c r="V116" s="8" t="e">
        <f>INDEX(meta_Classifiers[Class - Generalization:src], MATCH(meta_Columns[[#This Row],[Generalization 4]],meta_Classifiers[ID],0))</f>
        <v>#N/A</v>
      </c>
      <c r="W116" s="8" t="e">
        <f>INDEX(meta_Classifiers[Class - Generalization:src], MATCH(meta_Columns[[#This Row],[Generalization 3]],meta_Classifiers[ID],0))</f>
        <v>#N/A</v>
      </c>
      <c r="X116" s="8" t="str">
        <f>INDEX(meta_Classifiers[Class - Generalization:src], MATCH(meta_Columns[[#This Row],[Generalization 2]],meta_Classifiers[ID],0))</f>
        <v/>
      </c>
      <c r="Y116" s="8" t="str">
        <f>INDEX(meta_Classifiers[Class - Generalization:src], MATCH(meta_Columns[[#This Row],[Generalization 1]],meta_Classifiers[ID],0))</f>
        <v>_Object</v>
      </c>
      <c r="Z116" s="8" t="str">
        <f>INDEX(meta_Classifiers[Class - Generalization:src], MATCH(meta_Columns[[#This Row],[Owning Table Instances Class]],meta_Classifiers[ID],0))</f>
        <v>_NamedElement</v>
      </c>
      <c r="AA1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6" s="8" t="b">
        <f>_xlfn.IFNA(
INDEX(meta_Classifiers[Class - Generalization:src],MATCH(
INDEX(meta_Classifiers[Class - Generalization:src],MATCH(meta_Columns[[#This Row],[Property Owning Class]],meta_Classifiers[ID],0)),meta_Classifiers[ID],0))
=meta_Columns[[#This Row],[Owning Table Instances Class]],FALSE)</f>
        <v>0</v>
      </c>
      <c r="AG116" s="8" t="b">
        <f>_xlfn.IFNA(INDEX(meta_Classifiers[Class - Generalization:src],MATCH(meta_Columns[[#This Row],[Property Owning Class]],meta_Classifiers[ID],0))=meta_Columns[[#This Row],[Owning Table Instances Class]],FALSE)</f>
        <v>0</v>
      </c>
      <c r="AH1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6" s="8" t="e">
        <f>INDEX(meta_Classifiers[Name],MATCH(INDEX(meta_TypedModelElements[Property - Owning Class:src],MATCH(meta_Columns[[#This Row],[Property]],meta_TypedModelElements[ID],0)),meta_Classifiers[ID],0))</f>
        <v>#N/A</v>
      </c>
      <c r="AJ116" s="8" t="e">
        <f>INDEX(meta_TypedModelElements[Property - Owning Class:src],MATCH(meta_Columns[[#This Row],[Property]],meta_TypedModelElements[ID],0))</f>
        <v>#N/A</v>
      </c>
      <c r="AK116" s="8" t="e">
        <f>INDEX(meta_TypedModelElements[Kind:src],MATCH(meta_Columns[[#This Row],[Property]],meta_TypedModelElements[ID],0))</f>
        <v>#N/A</v>
      </c>
      <c r="AL116" s="8" t="e">
        <f>INDEX(meta_TypedModelElements[Name or Type],MATCH(meta_Columns[[#This Row],[Property]],meta_TypedModelElements[ID],0))</f>
        <v>#N/A</v>
      </c>
      <c r="AM116" s="8" t="e">
        <f>INDEX(meta_TypedModelElements[Property - Changeable],MATCH(meta_Columns[[#This Row],[Property]],meta_TypedModelElements[ID],0))</f>
        <v>#N/A</v>
      </c>
      <c r="AN116" s="43">
        <v>16</v>
      </c>
      <c r="AO116" s="22"/>
      <c r="AP1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6" s="8" t="str">
        <f xml:space="preserve"> IF(meta_Columns[[#This Row],[Property Owning Class is Specialization of Instance Class]],meta_Columns[[#This Row],[Property Owning Class Name]]&amp;" - ","")</f>
        <v/>
      </c>
      <c r="AR1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Instance Class Name</v>
      </c>
      <c r="AT116" s="8" t="str">
        <f>IFERROR(LEFT(meta_Columns[[#This Row],[Excel Column - Label Actual without Semantic Case]],FIND("-",
meta_Columns[[#This Row],[Excel Column - Label Actual without Semantic Case]])-2),"")</f>
        <v/>
      </c>
      <c r="AU1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Instance Class Name</v>
      </c>
      <c r="AV1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Instance Class Name</v>
      </c>
      <c r="AX116" s="22"/>
      <c r="AY116" s="8" t="str">
        <f>meta_Columns[[#This Row],[Owning Table]]&amp;"."&amp;meta_Columns[[#This Row],[Excel Column - Label]]</f>
        <v>meta::Columns.Referenced Table Instance Class Name</v>
      </c>
      <c r="AZ116" s="22" t="s">
        <v>997</v>
      </c>
      <c r="BA116" s="8" t="str">
        <f>IF(TRIM(meta_Columns[[#This Row],[Excel Column - Label Overwrite]])&lt;&gt;"",meta_Columns[[#This Row],[Excel Column - Label Overwrite]],meta_Columns[[#This Row],[Excel Column - Label from Property or Referenced Table]])</f>
        <v>Referenced Table Instance Class Name</v>
      </c>
      <c r="BB116" s="43" t="s">
        <v>1377</v>
      </c>
      <c r="BC116" s="44" t="str">
        <f>IF(meta_Columns[[#This Row],[Excel Column - Explicit Excel Formula]]="","",meta_Columns[[#This Row],[Excel Column - Explicit Excel Formula]])</f>
        <v>Formula:=IF([@[Referenced Table:src]]="","",INDEX(meta_Tables[Instances Class],MATCH([@[Referenced Table:src]],meta_Tables[ID],0)))</v>
      </c>
      <c r="BD116" s="5"/>
      <c r="BE116" s="5"/>
    </row>
    <row r="117" spans="1:57">
      <c r="A117" s="10" t="s">
        <v>1102</v>
      </c>
      <c r="B117" s="5" t="s">
        <v>546</v>
      </c>
      <c r="C117" s="22" t="str">
        <f xml:space="preserve"> IF( TRIM( meta_Columns[[#This Row],[Kind:src]] ) = "", "",
        INDEX( meta_Classifiers[Display Qualified], MATCH( meta_Columns[[#This Row],[Kind:src]], meta_Classifiers[ID], 0 ) ) )</f>
        <v>ExcelColumn</v>
      </c>
      <c r="D117" s="44" t="str">
        <f>IF(meta_Columns[[#This Row],[Owning Table:src]]="","",INDEX(meta_Classifiers[Package],MATCH(meta_Columns[[#This Row],[Owning Table Instances Class]],meta_Classifiers[ID],0)))</f>
        <v>meta</v>
      </c>
      <c r="E117" s="43"/>
      <c r="F117" s="8" t="str">
        <f>INDEX(meta_Tables[Excel Table - Excel Name],MATCH(meta_Columns[[#This Row],[Owning Table:src]],meta_Tables[ID],0))</f>
        <v>meta_Columns</v>
      </c>
      <c r="G117" s="44" t="str">
        <f>INDEX(meta_Tables[Instances Class:src],MATCH(meta_Columns[[#This Row],[Owning Table:src]],meta_Tables[ID],0))</f>
        <v>_Column</v>
      </c>
      <c r="H117" s="11" t="s">
        <v>1013</v>
      </c>
      <c r="I117" s="43" t="str">
        <f xml:space="preserve"> IF( TRIM( meta_Columns[[#This Row],[Owning Table:src]] ) = "", "",
        INDEX( meta_Tables[Display Qualified], MATCH( meta_Columns[[#This Row],[Owning Table:src]], meta_Tables[ID], 0 ) ) )</f>
        <v>meta::Columns</v>
      </c>
      <c r="K117" s="22" t="str">
        <f>IF(TRIM(meta_Columns[[#This Row],[Referenced Table:src]])="","",
    INDEX(meta_Tables[Display Qualified],MATCH(meta_Columns[[#This Row],[Referenced Table:src]],meta_Tables[ID],0)))</f>
        <v/>
      </c>
      <c r="L117" s="8"/>
      <c r="M117" s="22" t="str">
        <f xml:space="preserve"> IF( TRIM( meta_Columns[[#This Row],[Referenced Table Display and Select Column:src]] ) = "", "",
        INDEX( meta_Columns[Display Qualified], MATCH( meta_Columns[[#This Row],[Referenced Table Display and Select Column:src]], meta_Columns[ID], 0 ) ) )</f>
        <v/>
      </c>
      <c r="N117" s="8" t="str">
        <f>IF(meta_Columns[[#This Row],[Excel Column - Excel Formula]]="","x","")</f>
        <v/>
      </c>
      <c r="O117" s="22"/>
      <c r="P117" s="8" t="str">
        <f>IF(meta_Columns[[#This Row],[Referenced Table:src]]="","",INDEX(meta_Tables[Instances Class],MATCH(meta_Columns[[#This Row],[Referenced Table:src]],meta_Tables[ID],0)))</f>
        <v/>
      </c>
      <c r="Q1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meta::Column.propertyID_FromActualColumnLabel</v>
      </c>
      <c r="R117" s="8"/>
      <c r="S117" s="22" t="str">
        <f xml:space="preserve"> IF( TRIM( meta_Columns[[#This Row],[Property:src]] ) = "", "",
        INDEX( meta_TypedModelElements[Display Qualified], MATCH( meta_Columns[[#This Row],[Property:src]], meta_TypedModelElements[ID], 0 ) ) )</f>
        <v/>
      </c>
      <c r="T117" s="22"/>
      <c r="U117" s="8" t="e">
        <f>INDEX(meta_Classifiers[Class - Generalization:src], MATCH(meta_Columns[[#This Row],[Generalization 5]],meta_Classifiers[ID],0))</f>
        <v>#N/A</v>
      </c>
      <c r="V117" s="8" t="e">
        <f>INDEX(meta_Classifiers[Class - Generalization:src], MATCH(meta_Columns[[#This Row],[Generalization 4]],meta_Classifiers[ID],0))</f>
        <v>#N/A</v>
      </c>
      <c r="W117" s="8" t="e">
        <f>INDEX(meta_Classifiers[Class - Generalization:src], MATCH(meta_Columns[[#This Row],[Generalization 3]],meta_Classifiers[ID],0))</f>
        <v>#N/A</v>
      </c>
      <c r="X117" s="8" t="str">
        <f>INDEX(meta_Classifiers[Class - Generalization:src], MATCH(meta_Columns[[#This Row],[Generalization 2]],meta_Classifiers[ID],0))</f>
        <v/>
      </c>
      <c r="Y117" s="8" t="str">
        <f>INDEX(meta_Classifiers[Class - Generalization:src], MATCH(meta_Columns[[#This Row],[Generalization 1]],meta_Classifiers[ID],0))</f>
        <v>_Object</v>
      </c>
      <c r="Z117" s="8" t="str">
        <f>INDEX(meta_Classifiers[Class - Generalization:src], MATCH(meta_Columns[[#This Row],[Owning Table Instances Class]],meta_Classifiers[ID],0))</f>
        <v>_NamedElement</v>
      </c>
      <c r="AA1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7" s="8" t="b">
        <f>_xlfn.IFNA(
INDEX(meta_Classifiers[Class - Generalization:src],MATCH(
INDEX(meta_Classifiers[Class - Generalization:src],MATCH(meta_Columns[[#This Row],[Property Owning Class]],meta_Classifiers[ID],0)),meta_Classifiers[ID],0))
=meta_Columns[[#This Row],[Owning Table Instances Class]],FALSE)</f>
        <v>0</v>
      </c>
      <c r="AG117" s="8" t="b">
        <f>_xlfn.IFNA(INDEX(meta_Classifiers[Class - Generalization:src],MATCH(meta_Columns[[#This Row],[Property Owning Class]],meta_Classifiers[ID],0))=meta_Columns[[#This Row],[Owning Table Instances Class]],FALSE)</f>
        <v>0</v>
      </c>
      <c r="AH1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7" s="8" t="e">
        <f>INDEX(meta_Classifiers[Name],MATCH(INDEX(meta_TypedModelElements[Property - Owning Class:src],MATCH(meta_Columns[[#This Row],[Property]],meta_TypedModelElements[ID],0)),meta_Classifiers[ID],0))</f>
        <v>#N/A</v>
      </c>
      <c r="AJ117" s="8" t="e">
        <f>INDEX(meta_TypedModelElements[Property - Owning Class:src],MATCH(meta_Columns[[#This Row],[Property]],meta_TypedModelElements[ID],0))</f>
        <v>#N/A</v>
      </c>
      <c r="AK117" s="8" t="e">
        <f>INDEX(meta_TypedModelElements[Kind:src],MATCH(meta_Columns[[#This Row],[Property]],meta_TypedModelElements[ID],0))</f>
        <v>#N/A</v>
      </c>
      <c r="AL117" s="8" t="e">
        <f>INDEX(meta_TypedModelElements[Name or Type],MATCH(meta_Columns[[#This Row],[Property]],meta_TypedModelElements[ID],0))</f>
        <v>#N/A</v>
      </c>
      <c r="AM117" s="8" t="e">
        <f>INDEX(meta_TypedModelElements[Property - Changeable],MATCH(meta_Columns[[#This Row],[Property]],meta_TypedModelElements[ID],0))</f>
        <v>#N/A</v>
      </c>
      <c r="AN117" s="43">
        <v>17</v>
      </c>
      <c r="AO117" s="22"/>
      <c r="AP1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7" s="8" t="str">
        <f xml:space="preserve"> IF(meta_Columns[[#This Row],[Property Owning Class is Specialization of Instance Class]],meta_Columns[[#This Row],[Property Owning Class Name]]&amp;" - ","")</f>
        <v/>
      </c>
      <c r="AR1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ID from Actual Column Label</v>
      </c>
      <c r="AT117" s="8" t="str">
        <f>IFERROR(LEFT(meta_Columns[[#This Row],[Excel Column - Label Actual without Semantic Case]],FIND("-",
meta_Columns[[#This Row],[Excel Column - Label Actual without Semantic Case]])-2),"")</f>
        <v/>
      </c>
      <c r="AU1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ID from Actual Column Label</v>
      </c>
      <c r="AV1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ID from Actual Column Label</v>
      </c>
      <c r="AX117" s="22"/>
      <c r="AY117" s="8" t="str">
        <f>meta_Columns[[#This Row],[Owning Table]]&amp;"."&amp;meta_Columns[[#This Row],[Excel Column - Label]]</f>
        <v>meta::Columns.Property ID from Column Label</v>
      </c>
      <c r="AZ117" s="22" t="s">
        <v>644</v>
      </c>
      <c r="BA117" s="8" t="str">
        <f>IF(TRIM(meta_Columns[[#This Row],[Excel Column - Label Overwrite]])&lt;&gt;"",meta_Columns[[#This Row],[Excel Column - Label Overwrite]],meta_Columns[[#This Row],[Excel Column - Label from Property or Referenced Table]])</f>
        <v>Property ID from Column Label</v>
      </c>
      <c r="BB117" s="43" t="s">
        <v>900</v>
      </c>
      <c r="BC117" s="44" t="str">
        <f>IF(meta_Columns[[#This Row],[Excel Column - Explicit Excel Formula]]="","",meta_Columns[[#This Row],[Excel Column - Explicit Excel Formula]])</f>
        <v>Formula:=IF([@Property]&lt;&gt;"","",[@Package]&amp;"::"&amp;INDEX(meta_Classifiers[Display],MATCH([@[Owning Table Instances Class]],meta_Classifiers[ID],0))&amp;"."&amp;camelCaseLower([@[Excel Column - Label Actual]]))</v>
      </c>
      <c r="BD117" s="5"/>
      <c r="BE117" s="5"/>
    </row>
    <row r="118" spans="1:57">
      <c r="A118" s="10" t="s">
        <v>1378</v>
      </c>
      <c r="B118" s="5" t="s">
        <v>546</v>
      </c>
      <c r="C118" s="22" t="str">
        <f xml:space="preserve"> IF( TRIM( meta_Columns[[#This Row],[Kind:src]] ) = "", "",
        INDEX( meta_Classifiers[Display Qualified], MATCH( meta_Columns[[#This Row],[Kind:src]], meta_Classifiers[ID], 0 ) ) )</f>
        <v>ExcelColumn</v>
      </c>
      <c r="D118" s="44" t="str">
        <f>IF(meta_Columns[[#This Row],[Owning Table:src]]="","",INDEX(meta_Classifiers[Package],MATCH(meta_Columns[[#This Row],[Owning Table Instances Class]],meta_Classifiers[ID],0)))</f>
        <v>meta</v>
      </c>
      <c r="E118" s="43"/>
      <c r="F118" s="8" t="str">
        <f>INDEX(meta_Tables[Excel Table - Excel Name],MATCH(meta_Columns[[#This Row],[Owning Table:src]],meta_Tables[ID],0))</f>
        <v>meta_Columns</v>
      </c>
      <c r="G118" s="44" t="str">
        <f>INDEX(meta_Tables[Instances Class:src],MATCH(meta_Columns[[#This Row],[Owning Table:src]],meta_Tables[ID],0))</f>
        <v>_Column</v>
      </c>
      <c r="H118" s="11" t="s">
        <v>1013</v>
      </c>
      <c r="I118" s="43" t="str">
        <f xml:space="preserve"> IF( TRIM( meta_Columns[[#This Row],[Owning Table:src]] ) = "", "",
        INDEX( meta_Tables[Display Qualified], MATCH( meta_Columns[[#This Row],[Owning Table:src]], meta_Tables[ID], 0 ) ) )</f>
        <v>meta::Columns</v>
      </c>
      <c r="K118" s="22" t="str">
        <f>IF(TRIM(meta_Columns[[#This Row],[Referenced Table:src]])="","",
    INDEX(meta_Tables[Display Qualified],MATCH(meta_Columns[[#This Row],[Referenced Table:src]],meta_Tables[ID],0)))</f>
        <v/>
      </c>
      <c r="L118" s="8"/>
      <c r="M118" s="22" t="str">
        <f xml:space="preserve"> IF( TRIM( meta_Columns[[#This Row],[Referenced Table Display and Select Column:src]] ) = "", "",
        INDEX( meta_Columns[Display Qualified], MATCH( meta_Columns[[#This Row],[Referenced Table Display and Select Column:src]], meta_Columns[ID], 0 ) ) )</f>
        <v/>
      </c>
      <c r="N118" s="8" t="str">
        <f>IF(meta_Columns[[#This Row],[Excel Column - Excel Formula]]="","x","")</f>
        <v>x</v>
      </c>
      <c r="O118" s="22"/>
      <c r="P118" s="8" t="str">
        <f>IF(meta_Columns[[#This Row],[Referenced Table:src]]="","",INDEX(meta_Tables[Instances Class],MATCH(meta_Columns[[#This Row],[Referenced Table:src]],meta_Tables[ID],0)))</f>
        <v/>
      </c>
      <c r="Q1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8" s="8"/>
      <c r="S118" s="22" t="str">
        <f xml:space="preserve"> IF( TRIM( meta_Columns[[#This Row],[Property:src]] ) = "", "",
        INDEX( meta_TypedModelElements[Display Qualified], MATCH( meta_Columns[[#This Row],[Property:src]], meta_TypedModelElements[ID], 0 ) ) )</f>
        <v/>
      </c>
      <c r="T118" s="22"/>
      <c r="U118" s="8" t="e">
        <f>INDEX(meta_Classifiers[Class - Generalization:src], MATCH(meta_Columns[[#This Row],[Generalization 5]],meta_Classifiers[ID],0))</f>
        <v>#N/A</v>
      </c>
      <c r="V118" s="8" t="e">
        <f>INDEX(meta_Classifiers[Class - Generalization:src], MATCH(meta_Columns[[#This Row],[Generalization 4]],meta_Classifiers[ID],0))</f>
        <v>#N/A</v>
      </c>
      <c r="W118" s="8" t="e">
        <f>INDEX(meta_Classifiers[Class - Generalization:src], MATCH(meta_Columns[[#This Row],[Generalization 3]],meta_Classifiers[ID],0))</f>
        <v>#N/A</v>
      </c>
      <c r="X118" s="8" t="str">
        <f>INDEX(meta_Classifiers[Class - Generalization:src], MATCH(meta_Columns[[#This Row],[Generalization 2]],meta_Classifiers[ID],0))</f>
        <v/>
      </c>
      <c r="Y118" s="8" t="str">
        <f>INDEX(meta_Classifiers[Class - Generalization:src], MATCH(meta_Columns[[#This Row],[Generalization 1]],meta_Classifiers[ID],0))</f>
        <v>_Object</v>
      </c>
      <c r="Z118" s="8" t="str">
        <f>INDEX(meta_Classifiers[Class - Generalization:src], MATCH(meta_Columns[[#This Row],[Owning Table Instances Class]],meta_Classifiers[ID],0))</f>
        <v>_NamedElement</v>
      </c>
      <c r="AA1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8" s="8" t="b">
        <f>_xlfn.IFNA(
INDEX(meta_Classifiers[Class - Generalization:src],MATCH(
INDEX(meta_Classifiers[Class - Generalization:src],MATCH(meta_Columns[[#This Row],[Property Owning Class]],meta_Classifiers[ID],0)),meta_Classifiers[ID],0))
=meta_Columns[[#This Row],[Owning Table Instances Class]],FALSE)</f>
        <v>0</v>
      </c>
      <c r="AG118" s="8" t="b">
        <f>_xlfn.IFNA(INDEX(meta_Classifiers[Class - Generalization:src],MATCH(meta_Columns[[#This Row],[Property Owning Class]],meta_Classifiers[ID],0))=meta_Columns[[#This Row],[Owning Table Instances Class]],FALSE)</f>
        <v>0</v>
      </c>
      <c r="AH1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8" s="8" t="e">
        <f>INDEX(meta_Classifiers[Name],MATCH(INDEX(meta_TypedModelElements[Property - Owning Class:src],MATCH(meta_Columns[[#This Row],[Property]],meta_TypedModelElements[ID],0)),meta_Classifiers[ID],0))</f>
        <v>#N/A</v>
      </c>
      <c r="AJ118" s="8" t="e">
        <f>INDEX(meta_TypedModelElements[Property - Owning Class:src],MATCH(meta_Columns[[#This Row],[Property]],meta_TypedModelElements[ID],0))</f>
        <v>#N/A</v>
      </c>
      <c r="AK118" s="8" t="e">
        <f>INDEX(meta_TypedModelElements[Kind:src],MATCH(meta_Columns[[#This Row],[Property]],meta_TypedModelElements[ID],0))</f>
        <v>#N/A</v>
      </c>
      <c r="AL118" s="8" t="e">
        <f>INDEX(meta_TypedModelElements[Name or Type],MATCH(meta_Columns[[#This Row],[Property]],meta_TypedModelElements[ID],0))</f>
        <v>#N/A</v>
      </c>
      <c r="AM118" s="8" t="e">
        <f>INDEX(meta_TypedModelElements[Property - Changeable],MATCH(meta_Columns[[#This Row],[Property]],meta_TypedModelElements[ID],0))</f>
        <v>#N/A</v>
      </c>
      <c r="AN118" s="43">
        <v>18</v>
      </c>
      <c r="AO118" s="22">
        <v>9</v>
      </c>
      <c r="AP1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8" s="8" t="str">
        <f xml:space="preserve"> IF(meta_Columns[[#This Row],[Property Owning Class is Specialization of Instance Class]],meta_Columns[[#This Row],[Property Owning Class Name]]&amp;" - ","")</f>
        <v/>
      </c>
      <c r="AR1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8" s="8" t="str">
        <f>IFERROR(LEFT(meta_Columns[[#This Row],[Excel Column - Label Actual without Semantic Case]],FIND("-",
meta_Columns[[#This Row],[Excel Column - Label Actual without Semantic Case]])-2),"")</f>
        <v/>
      </c>
      <c r="AU1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Property:src</v>
      </c>
      <c r="AX118" s="22"/>
      <c r="AY118" s="8" t="str">
        <f>meta_Columns[[#This Row],[Owning Table]]&amp;"."&amp;meta_Columns[[#This Row],[Excel Column - Label]]</f>
        <v>meta::Columns.Property:src</v>
      </c>
      <c r="AZ118" s="22" t="s">
        <v>992</v>
      </c>
      <c r="BA118" s="8" t="str">
        <f>IF(TRIM(meta_Columns[[#This Row],[Excel Column - Label Overwrite]])&lt;&gt;"",meta_Columns[[#This Row],[Excel Column - Label Overwrite]],meta_Columns[[#This Row],[Excel Column - Label from Property or Referenced Table]])</f>
        <v>Property:src</v>
      </c>
      <c r="BB118" s="43"/>
      <c r="BC118" s="44" t="str">
        <f>IF(meta_Columns[[#This Row],[Excel Column - Explicit Excel Formula]]="","",meta_Columns[[#This Row],[Excel Column - Explicit Excel Formula]])</f>
        <v/>
      </c>
      <c r="BD118" s="5"/>
      <c r="BE118" s="5"/>
    </row>
    <row r="119" spans="1:57">
      <c r="A119" s="10" t="s">
        <v>1103</v>
      </c>
      <c r="B119" s="5" t="s">
        <v>546</v>
      </c>
      <c r="C119" s="22" t="str">
        <f xml:space="preserve"> IF( TRIM( meta_Columns[[#This Row],[Kind:src]] ) = "", "",
        INDEX( meta_Classifiers[Display Qualified], MATCH( meta_Columns[[#This Row],[Kind:src]], meta_Classifiers[ID], 0 ) ) )</f>
        <v>ExcelColumn</v>
      </c>
      <c r="D119" s="44" t="str">
        <f>IF(meta_Columns[[#This Row],[Owning Table:src]]="","",INDEX(meta_Classifiers[Package],MATCH(meta_Columns[[#This Row],[Owning Table Instances Class]],meta_Classifiers[ID],0)))</f>
        <v>meta</v>
      </c>
      <c r="E119" s="43"/>
      <c r="F119" s="8" t="str">
        <f>INDEX(meta_Tables[Excel Table - Excel Name],MATCH(meta_Columns[[#This Row],[Owning Table:src]],meta_Tables[ID],0))</f>
        <v>meta_Columns</v>
      </c>
      <c r="G119" s="44" t="str">
        <f>INDEX(meta_Tables[Instances Class:src],MATCH(meta_Columns[[#This Row],[Owning Table:src]],meta_Tables[ID],0))</f>
        <v>_Column</v>
      </c>
      <c r="H119" s="11" t="s">
        <v>1013</v>
      </c>
      <c r="I119" s="43" t="str">
        <f xml:space="preserve"> IF( TRIM( meta_Columns[[#This Row],[Owning Table:src]] ) = "", "",
        INDEX( meta_Tables[Display Qualified], MATCH( meta_Columns[[#This Row],[Owning Table:src]], meta_Tables[ID], 0 ) ) )</f>
        <v>meta::Columns</v>
      </c>
      <c r="K119" s="22" t="str">
        <f>IF(TRIM(meta_Columns[[#This Row],[Referenced Table:src]])="","",
    INDEX(meta_Tables[Display Qualified],MATCH(meta_Columns[[#This Row],[Referenced Table:src]],meta_Tables[ID],0)))</f>
        <v/>
      </c>
      <c r="L119" s="8"/>
      <c r="M119" s="22" t="str">
        <f xml:space="preserve"> IF( TRIM( meta_Columns[[#This Row],[Referenced Table Display and Select Column:src]] ) = "", "",
        INDEX( meta_Columns[Display Qualified], MATCH( meta_Columns[[#This Row],[Referenced Table Display and Select Column:src]], meta_Columns[ID], 0 ) ) )</f>
        <v/>
      </c>
      <c r="N119" s="8" t="str">
        <f>IF(meta_Columns[[#This Row],[Excel Column - Excel Formula]]="","x","")</f>
        <v/>
      </c>
      <c r="O119" s="22"/>
      <c r="P119" s="8" t="str">
        <f>IF(meta_Columns[[#This Row],[Referenced Table:src]]="","",INDEX(meta_Tables[Instances Class],MATCH(meta_Columns[[#This Row],[Referenced Table:src]],meta_Tables[ID],0)))</f>
        <v/>
      </c>
      <c r="Q1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9" s="8"/>
      <c r="S119" s="22" t="str">
        <f xml:space="preserve"> IF( TRIM( meta_Columns[[#This Row],[Property:src]] ) = "", "",
        INDEX( meta_TypedModelElements[Display Qualified], MATCH( meta_Columns[[#This Row],[Property:src]], meta_TypedModelElements[ID], 0 ) ) )</f>
        <v/>
      </c>
      <c r="T119" s="22"/>
      <c r="U119" s="8" t="e">
        <f>INDEX(meta_Classifiers[Class - Generalization:src], MATCH(meta_Columns[[#This Row],[Generalization 5]],meta_Classifiers[ID],0))</f>
        <v>#N/A</v>
      </c>
      <c r="V119" s="8" t="e">
        <f>INDEX(meta_Classifiers[Class - Generalization:src], MATCH(meta_Columns[[#This Row],[Generalization 4]],meta_Classifiers[ID],0))</f>
        <v>#N/A</v>
      </c>
      <c r="W119" s="8" t="e">
        <f>INDEX(meta_Classifiers[Class - Generalization:src], MATCH(meta_Columns[[#This Row],[Generalization 3]],meta_Classifiers[ID],0))</f>
        <v>#N/A</v>
      </c>
      <c r="X119" s="8" t="str">
        <f>INDEX(meta_Classifiers[Class - Generalization:src], MATCH(meta_Columns[[#This Row],[Generalization 2]],meta_Classifiers[ID],0))</f>
        <v/>
      </c>
      <c r="Y119" s="8" t="str">
        <f>INDEX(meta_Classifiers[Class - Generalization:src], MATCH(meta_Columns[[#This Row],[Generalization 1]],meta_Classifiers[ID],0))</f>
        <v>_Object</v>
      </c>
      <c r="Z119" s="8" t="str">
        <f>INDEX(meta_Classifiers[Class - Generalization:src], MATCH(meta_Columns[[#This Row],[Owning Table Instances Class]],meta_Classifiers[ID],0))</f>
        <v>_NamedElement</v>
      </c>
      <c r="AA1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9" s="8" t="b">
        <f>_xlfn.IFNA(
INDEX(meta_Classifiers[Class - Generalization:src],MATCH(
INDEX(meta_Classifiers[Class - Generalization:src],MATCH(meta_Columns[[#This Row],[Property Owning Class]],meta_Classifiers[ID],0)),meta_Classifiers[ID],0))
=meta_Columns[[#This Row],[Owning Table Instances Class]],FALSE)</f>
        <v>0</v>
      </c>
      <c r="AG119" s="8" t="b">
        <f>_xlfn.IFNA(INDEX(meta_Classifiers[Class - Generalization:src],MATCH(meta_Columns[[#This Row],[Property Owning Class]],meta_Classifiers[ID],0))=meta_Columns[[#This Row],[Owning Table Instances Class]],FALSE)</f>
        <v>0</v>
      </c>
      <c r="AH1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9" s="8" t="e">
        <f>INDEX(meta_Classifiers[Name],MATCH(INDEX(meta_TypedModelElements[Property - Owning Class:src],MATCH(meta_Columns[[#This Row],[Property]],meta_TypedModelElements[ID],0)),meta_Classifiers[ID],0))</f>
        <v>#N/A</v>
      </c>
      <c r="AJ119" s="8" t="e">
        <f>INDEX(meta_TypedModelElements[Property - Owning Class:src],MATCH(meta_Columns[[#This Row],[Property]],meta_TypedModelElements[ID],0))</f>
        <v>#N/A</v>
      </c>
      <c r="AK119" s="8" t="e">
        <f>INDEX(meta_TypedModelElements[Kind:src],MATCH(meta_Columns[[#This Row],[Property]],meta_TypedModelElements[ID],0))</f>
        <v>#N/A</v>
      </c>
      <c r="AL119" s="8" t="e">
        <f>INDEX(meta_TypedModelElements[Name or Type],MATCH(meta_Columns[[#This Row],[Property]],meta_TypedModelElements[ID],0))</f>
        <v>#N/A</v>
      </c>
      <c r="AM119" s="8" t="e">
        <f>INDEX(meta_TypedModelElements[Property - Changeable],MATCH(meta_Columns[[#This Row],[Property]],meta_TypedModelElements[ID],0))</f>
        <v>#N/A</v>
      </c>
      <c r="AN119" s="43">
        <v>19</v>
      </c>
      <c r="AO119" s="22"/>
      <c r="AP1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9" s="8" t="str">
        <f xml:space="preserve"> IF(meta_Columns[[#This Row],[Property Owning Class is Specialization of Instance Class]],meta_Columns[[#This Row],[Property Owning Class Name]]&amp;" - ","")</f>
        <v/>
      </c>
      <c r="AR1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9" s="8" t="str">
        <f>IFERROR(LEFT(meta_Columns[[#This Row],[Excel Column - Label Actual without Semantic Case]],FIND("-",
meta_Columns[[#This Row],[Excel Column - Label Actual without Semantic Case]])-2),"")</f>
        <v/>
      </c>
      <c r="AU1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v>
      </c>
      <c r="AX119" s="22"/>
      <c r="AY119" s="8" t="str">
        <f>meta_Columns[[#This Row],[Owning Table]]&amp;"."&amp;meta_Columns[[#This Row],[Excel Column - Label]]</f>
        <v>meta::Columns.Property</v>
      </c>
      <c r="AZ119" s="22" t="s">
        <v>7</v>
      </c>
      <c r="BA119" s="8" t="str">
        <f>IF(TRIM(meta_Columns[[#This Row],[Excel Column - Label Overwrite]])&lt;&gt;"",meta_Columns[[#This Row],[Excel Column - Label Overwrite]],meta_Columns[[#This Row],[Excel Column - Label from Property or Referenced Table]])</f>
        <v>Property</v>
      </c>
      <c r="BB119" s="43" t="s">
        <v>1494</v>
      </c>
      <c r="BC119" s="44" t="str">
        <f>IF(meta_Columns[[#This Row],[Excel Column - Explicit Excel Formula]]="","",meta_Columns[[#This Row],[Excel Column - Explicit Excel Formula]])</f>
        <v>Formula:= IF( TRIM( [@[Property:src]] ) = "", "",
        INDEX( meta_TypedModelElements[Display Qualified], MATCH( [@[Property:src]], meta_TypedModelElements[ID], 0 ) ) )</v>
      </c>
      <c r="BD119" s="5" t="s">
        <v>1464</v>
      </c>
      <c r="BE119" s="5"/>
    </row>
    <row r="120" spans="1:57">
      <c r="A120" s="10" t="s">
        <v>1104</v>
      </c>
      <c r="B120" s="5" t="s">
        <v>546</v>
      </c>
      <c r="C120" s="22" t="str">
        <f xml:space="preserve"> IF( TRIM( meta_Columns[[#This Row],[Kind:src]] ) = "", "",
        INDEX( meta_Classifiers[Display Qualified], MATCH( meta_Columns[[#This Row],[Kind:src]], meta_Classifiers[ID], 0 ) ) )</f>
        <v>ExcelColumn</v>
      </c>
      <c r="D120" s="44" t="str">
        <f>IF(meta_Columns[[#This Row],[Owning Table:src]]="","",INDEX(meta_Classifiers[Package],MATCH(meta_Columns[[#This Row],[Owning Table Instances Class]],meta_Classifiers[ID],0)))</f>
        <v>meta</v>
      </c>
      <c r="E120" s="43"/>
      <c r="F120" s="8" t="str">
        <f>INDEX(meta_Tables[Excel Table - Excel Name],MATCH(meta_Columns[[#This Row],[Owning Table:src]],meta_Tables[ID],0))</f>
        <v>meta_Columns</v>
      </c>
      <c r="G120" s="44" t="str">
        <f>INDEX(meta_Tables[Instances Class:src],MATCH(meta_Columns[[#This Row],[Owning Table:src]],meta_Tables[ID],0))</f>
        <v>_Column</v>
      </c>
      <c r="H120" s="11" t="s">
        <v>1013</v>
      </c>
      <c r="I120" s="43" t="str">
        <f xml:space="preserve"> IF( TRIM( meta_Columns[[#This Row],[Owning Table:src]] ) = "", "",
        INDEX( meta_Tables[Display Qualified], MATCH( meta_Columns[[#This Row],[Owning Table:src]], meta_Tables[ID], 0 ) ) )</f>
        <v>meta::Columns</v>
      </c>
      <c r="K120" s="22" t="str">
        <f>IF(TRIM(meta_Columns[[#This Row],[Referenced Table:src]])="","",
    INDEX(meta_Tables[Display Qualified],MATCH(meta_Columns[[#This Row],[Referenced Table:src]],meta_Tables[ID],0)))</f>
        <v/>
      </c>
      <c r="L120" s="8"/>
      <c r="M120" s="22" t="str">
        <f xml:space="preserve"> IF( TRIM( meta_Columns[[#This Row],[Referenced Table Display and Select Column:src]] ) = "", "",
        INDEX( meta_Columns[Display Qualified], MATCH( meta_Columns[[#This Row],[Referenced Table Display and Select Column:src]], meta_Columns[ID], 0 ) ) )</f>
        <v/>
      </c>
      <c r="N120" s="8" t="str">
        <f>IF(meta_Columns[[#This Row],[Excel Column - Excel Formula]]="","x","")</f>
        <v>x</v>
      </c>
      <c r="O120" s="22"/>
      <c r="P120" s="8" t="str">
        <f>IF(meta_Columns[[#This Row],[Referenced Table:src]]="","",INDEX(meta_Tables[Instances Class],MATCH(meta_Columns[[#This Row],[Referenced Table:src]],meta_Tables[ID],0)))</f>
        <v/>
      </c>
      <c r="Q1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meta::Column.semanticsCase</v>
      </c>
      <c r="R120" s="8"/>
      <c r="S120" s="22" t="str">
        <f xml:space="preserve"> IF( TRIM( meta_Columns[[#This Row],[Property:src]] ) = "", "",
        INDEX( meta_TypedModelElements[Display Qualified], MATCH( meta_Columns[[#This Row],[Property:src]], meta_TypedModelElements[ID], 0 ) ) )</f>
        <v/>
      </c>
      <c r="T120" s="22"/>
      <c r="U120" s="8" t="e">
        <f>INDEX(meta_Classifiers[Class - Generalization:src], MATCH(meta_Columns[[#This Row],[Generalization 5]],meta_Classifiers[ID],0))</f>
        <v>#N/A</v>
      </c>
      <c r="V120" s="8" t="e">
        <f>INDEX(meta_Classifiers[Class - Generalization:src], MATCH(meta_Columns[[#This Row],[Generalization 4]],meta_Classifiers[ID],0))</f>
        <v>#N/A</v>
      </c>
      <c r="W120" s="8" t="e">
        <f>INDEX(meta_Classifiers[Class - Generalization:src], MATCH(meta_Columns[[#This Row],[Generalization 3]],meta_Classifiers[ID],0))</f>
        <v>#N/A</v>
      </c>
      <c r="X120" s="8" t="str">
        <f>INDEX(meta_Classifiers[Class - Generalization:src], MATCH(meta_Columns[[#This Row],[Generalization 2]],meta_Classifiers[ID],0))</f>
        <v/>
      </c>
      <c r="Y120" s="8" t="str">
        <f>INDEX(meta_Classifiers[Class - Generalization:src], MATCH(meta_Columns[[#This Row],[Generalization 1]],meta_Classifiers[ID],0))</f>
        <v>_Object</v>
      </c>
      <c r="Z120" s="8" t="str">
        <f>INDEX(meta_Classifiers[Class - Generalization:src], MATCH(meta_Columns[[#This Row],[Owning Table Instances Class]],meta_Classifiers[ID],0))</f>
        <v>_NamedElement</v>
      </c>
      <c r="AA1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0" s="8" t="b">
        <f>_xlfn.IFNA(
INDEX(meta_Classifiers[Class - Generalization:src],MATCH(
INDEX(meta_Classifiers[Class - Generalization:src],MATCH(meta_Columns[[#This Row],[Property Owning Class]],meta_Classifiers[ID],0)),meta_Classifiers[ID],0))
=meta_Columns[[#This Row],[Owning Table Instances Class]],FALSE)</f>
        <v>0</v>
      </c>
      <c r="AG120" s="8" t="b">
        <f>_xlfn.IFNA(INDEX(meta_Classifiers[Class - Generalization:src],MATCH(meta_Columns[[#This Row],[Property Owning Class]],meta_Classifiers[ID],0))=meta_Columns[[#This Row],[Owning Table Instances Class]],FALSE)</f>
        <v>0</v>
      </c>
      <c r="AH1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0" s="8" t="e">
        <f>INDEX(meta_Classifiers[Name],MATCH(INDEX(meta_TypedModelElements[Property - Owning Class:src],MATCH(meta_Columns[[#This Row],[Property]],meta_TypedModelElements[ID],0)),meta_Classifiers[ID],0))</f>
        <v>#N/A</v>
      </c>
      <c r="AJ120" s="8" t="e">
        <f>INDEX(meta_TypedModelElements[Property - Owning Class:src],MATCH(meta_Columns[[#This Row],[Property]],meta_TypedModelElements[ID],0))</f>
        <v>#N/A</v>
      </c>
      <c r="AK120" s="8" t="e">
        <f>INDEX(meta_TypedModelElements[Kind:src],MATCH(meta_Columns[[#This Row],[Property]],meta_TypedModelElements[ID],0))</f>
        <v>#N/A</v>
      </c>
      <c r="AL120" s="8" t="e">
        <f>INDEX(meta_TypedModelElements[Name or Type],MATCH(meta_Columns[[#This Row],[Property]],meta_TypedModelElements[ID],0))</f>
        <v>#N/A</v>
      </c>
      <c r="AM120" s="8" t="e">
        <f>INDEX(meta_TypedModelElements[Property - Changeable],MATCH(meta_Columns[[#This Row],[Property]],meta_TypedModelElements[ID],0))</f>
        <v>#N/A</v>
      </c>
      <c r="AN120" s="43">
        <v>20</v>
      </c>
      <c r="AO120" s="22">
        <v>10</v>
      </c>
      <c r="AP1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0" s="8" t="str">
        <f xml:space="preserve"> IF(meta_Columns[[#This Row],[Property Owning Class is Specialization of Instance Class]],meta_Columns[[#This Row],[Property Owning Class Name]]&amp;" - ","")</f>
        <v/>
      </c>
      <c r="AR1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Semantics Case</v>
      </c>
      <c r="AT120" s="8" t="str">
        <f>IFERROR(LEFT(meta_Columns[[#This Row],[Excel Column - Label Actual without Semantic Case]],FIND("-",
meta_Columns[[#This Row],[Excel Column - Label Actual without Semantic Case]])-2),"")</f>
        <v/>
      </c>
      <c r="AU1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Semantics Case</v>
      </c>
      <c r="AV1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Semantics Case</v>
      </c>
      <c r="AX120" s="22"/>
      <c r="AY120" s="8" t="str">
        <f>meta_Columns[[#This Row],[Owning Table]]&amp;"."&amp;meta_Columns[[#This Row],[Excel Column - Label]]</f>
        <v>meta::Columns.Semantics Case</v>
      </c>
      <c r="AZ120" s="22" t="s">
        <v>474</v>
      </c>
      <c r="BA120" s="8" t="str">
        <f>IF(TRIM(meta_Columns[[#This Row],[Excel Column - Label Overwrite]])&lt;&gt;"",meta_Columns[[#This Row],[Excel Column - Label Overwrite]],meta_Columns[[#This Row],[Excel Column - Label from Property or Referenced Table]])</f>
        <v>Semantics Case</v>
      </c>
      <c r="BB120" s="43"/>
      <c r="BC120" s="44" t="str">
        <f>IF(meta_Columns[[#This Row],[Excel Column - Explicit Excel Formula]]="","",meta_Columns[[#This Row],[Excel Column - Explicit Excel Formula]])</f>
        <v/>
      </c>
      <c r="BD120" s="5"/>
      <c r="BE120" s="5"/>
    </row>
    <row r="121" spans="1:57">
      <c r="A121" s="10" t="s">
        <v>1105</v>
      </c>
      <c r="B121" s="5" t="s">
        <v>546</v>
      </c>
      <c r="C121" s="22" t="str">
        <f xml:space="preserve"> IF( TRIM( meta_Columns[[#This Row],[Kind:src]] ) = "", "",
        INDEX( meta_Classifiers[Display Qualified], MATCH( meta_Columns[[#This Row],[Kind:src]], meta_Classifiers[ID], 0 ) ) )</f>
        <v>ExcelColumn</v>
      </c>
      <c r="D121" s="44" t="str">
        <f>IF(meta_Columns[[#This Row],[Owning Table:src]]="","",INDEX(meta_Classifiers[Package],MATCH(meta_Columns[[#This Row],[Owning Table Instances Class]],meta_Classifiers[ID],0)))</f>
        <v>meta</v>
      </c>
      <c r="E121" s="43"/>
      <c r="F121" s="8" t="str">
        <f>INDEX(meta_Tables[Excel Table - Excel Name],MATCH(meta_Columns[[#This Row],[Owning Table:src]],meta_Tables[ID],0))</f>
        <v>meta_Columns</v>
      </c>
      <c r="G121" s="44" t="str">
        <f>INDEX(meta_Tables[Instances Class:src],MATCH(meta_Columns[[#This Row],[Owning Table:src]],meta_Tables[ID],0))</f>
        <v>_Column</v>
      </c>
      <c r="H121" s="11" t="s">
        <v>1013</v>
      </c>
      <c r="I121" s="43" t="str">
        <f xml:space="preserve"> IF( TRIM( meta_Columns[[#This Row],[Owning Table:src]] ) = "", "",
        INDEX( meta_Tables[Display Qualified], MATCH( meta_Columns[[#This Row],[Owning Table:src]], meta_Tables[ID], 0 ) ) )</f>
        <v>meta::Columns</v>
      </c>
      <c r="K121" s="22" t="str">
        <f>IF(TRIM(meta_Columns[[#This Row],[Referenced Table:src]])="","",
    INDEX(meta_Tables[Display Qualified],MATCH(meta_Columns[[#This Row],[Referenced Table:src]],meta_Tables[ID],0)))</f>
        <v/>
      </c>
      <c r="L121" s="8"/>
      <c r="M121" s="22" t="str">
        <f xml:space="preserve"> IF( TRIM( meta_Columns[[#This Row],[Referenced Table Display and Select Column:src]] ) = "", "",
        INDEX( meta_Columns[Display Qualified], MATCH( meta_Columns[[#This Row],[Referenced Table Display and Select Column:src]], meta_Columns[ID], 0 ) ) )</f>
        <v/>
      </c>
      <c r="N121" s="8" t="str">
        <f>IF(meta_Columns[[#This Row],[Excel Column - Excel Formula]]="","x","")</f>
        <v/>
      </c>
      <c r="O121" s="22"/>
      <c r="P121" s="8" t="str">
        <f>IF(meta_Columns[[#This Row],[Referenced Table:src]]="","",INDEX(meta_Tables[Instances Class],MATCH(meta_Columns[[#This Row],[Referenced Table:src]],meta_Tables[ID],0)))</f>
        <v/>
      </c>
      <c r="Q1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meta::Column.generalization6</v>
      </c>
      <c r="R121" s="8"/>
      <c r="S121" s="22" t="str">
        <f xml:space="preserve"> IF( TRIM( meta_Columns[[#This Row],[Property:src]] ) = "", "",
        INDEX( meta_TypedModelElements[Display Qualified], MATCH( meta_Columns[[#This Row],[Property:src]], meta_TypedModelElements[ID], 0 ) ) )</f>
        <v/>
      </c>
      <c r="T121" s="22"/>
      <c r="U121" s="8" t="e">
        <f>INDEX(meta_Classifiers[Class - Generalization:src], MATCH(meta_Columns[[#This Row],[Generalization 5]],meta_Classifiers[ID],0))</f>
        <v>#N/A</v>
      </c>
      <c r="V121" s="8" t="e">
        <f>INDEX(meta_Classifiers[Class - Generalization:src], MATCH(meta_Columns[[#This Row],[Generalization 4]],meta_Classifiers[ID],0))</f>
        <v>#N/A</v>
      </c>
      <c r="W121" s="8" t="e">
        <f>INDEX(meta_Classifiers[Class - Generalization:src], MATCH(meta_Columns[[#This Row],[Generalization 3]],meta_Classifiers[ID],0))</f>
        <v>#N/A</v>
      </c>
      <c r="X121" s="8" t="str">
        <f>INDEX(meta_Classifiers[Class - Generalization:src], MATCH(meta_Columns[[#This Row],[Generalization 2]],meta_Classifiers[ID],0))</f>
        <v/>
      </c>
      <c r="Y121" s="8" t="str">
        <f>INDEX(meta_Classifiers[Class - Generalization:src], MATCH(meta_Columns[[#This Row],[Generalization 1]],meta_Classifiers[ID],0))</f>
        <v>_Object</v>
      </c>
      <c r="Z121" s="8" t="str">
        <f>INDEX(meta_Classifiers[Class - Generalization:src], MATCH(meta_Columns[[#This Row],[Owning Table Instances Class]],meta_Classifiers[ID],0))</f>
        <v>_NamedElement</v>
      </c>
      <c r="AA1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1" s="8" t="b">
        <f>_xlfn.IFNA(
INDEX(meta_Classifiers[Class - Generalization:src],MATCH(
INDEX(meta_Classifiers[Class - Generalization:src],MATCH(meta_Columns[[#This Row],[Property Owning Class]],meta_Classifiers[ID],0)),meta_Classifiers[ID],0))
=meta_Columns[[#This Row],[Owning Table Instances Class]],FALSE)</f>
        <v>0</v>
      </c>
      <c r="AG121" s="8" t="b">
        <f>_xlfn.IFNA(INDEX(meta_Classifiers[Class - Generalization:src],MATCH(meta_Columns[[#This Row],[Property Owning Class]],meta_Classifiers[ID],0))=meta_Columns[[#This Row],[Owning Table Instances Class]],FALSE)</f>
        <v>0</v>
      </c>
      <c r="AH1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1" s="8" t="e">
        <f>INDEX(meta_Classifiers[Name],MATCH(INDEX(meta_TypedModelElements[Property - Owning Class:src],MATCH(meta_Columns[[#This Row],[Property]],meta_TypedModelElements[ID],0)),meta_Classifiers[ID],0))</f>
        <v>#N/A</v>
      </c>
      <c r="AJ121" s="8" t="e">
        <f>INDEX(meta_TypedModelElements[Property - Owning Class:src],MATCH(meta_Columns[[#This Row],[Property]],meta_TypedModelElements[ID],0))</f>
        <v>#N/A</v>
      </c>
      <c r="AK121" s="8" t="e">
        <f>INDEX(meta_TypedModelElements[Kind:src],MATCH(meta_Columns[[#This Row],[Property]],meta_TypedModelElements[ID],0))</f>
        <v>#N/A</v>
      </c>
      <c r="AL121" s="8" t="e">
        <f>INDEX(meta_TypedModelElements[Name or Type],MATCH(meta_Columns[[#This Row],[Property]],meta_TypedModelElements[ID],0))</f>
        <v>#N/A</v>
      </c>
      <c r="AM121" s="8" t="e">
        <f>INDEX(meta_TypedModelElements[Property - Changeable],MATCH(meta_Columns[[#This Row],[Property]],meta_TypedModelElements[ID],0))</f>
        <v>#N/A</v>
      </c>
      <c r="AN121" s="43">
        <v>21</v>
      </c>
      <c r="AO121" s="22"/>
      <c r="AP1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1" s="8" t="str">
        <f xml:space="preserve"> IF(meta_Columns[[#This Row],[Property Owning Class is Specialization of Instance Class]],meta_Columns[[#This Row],[Property Owning Class Name]]&amp;" - ","")</f>
        <v/>
      </c>
      <c r="AR1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6</v>
      </c>
      <c r="AT121" s="8" t="str">
        <f>IFERROR(LEFT(meta_Columns[[#This Row],[Excel Column - Label Actual without Semantic Case]],FIND("-",
meta_Columns[[#This Row],[Excel Column - Label Actual without Semantic Case]])-2),"")</f>
        <v/>
      </c>
      <c r="AU1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6</v>
      </c>
      <c r="AV1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6</v>
      </c>
      <c r="AX121" s="22"/>
      <c r="AY121" s="8" t="str">
        <f>meta_Columns[[#This Row],[Owning Table]]&amp;"."&amp;meta_Columns[[#This Row],[Excel Column - Label]]</f>
        <v>meta::Columns.Generalization 6</v>
      </c>
      <c r="AZ121" s="22" t="s">
        <v>487</v>
      </c>
      <c r="BA121" s="8" t="str">
        <f>IF(TRIM(meta_Columns[[#This Row],[Excel Column - Label Overwrite]])&lt;&gt;"",meta_Columns[[#This Row],[Excel Column - Label Overwrite]],meta_Columns[[#This Row],[Excel Column - Label from Property or Referenced Table]])</f>
        <v>Generalization 6</v>
      </c>
      <c r="BB121" s="43" t="s">
        <v>1495</v>
      </c>
      <c r="BC121" s="44" t="str">
        <f>IF(meta_Columns[[#This Row],[Excel Column - Explicit Excel Formula]]="","",meta_Columns[[#This Row],[Excel Column - Explicit Excel Formula]])</f>
        <v>Formula:=INDEX(#REF!, MATCH([@[Generalization 5]],meta_Classifiers[ID],0))</v>
      </c>
      <c r="BD121" s="5"/>
      <c r="BE121" s="5"/>
    </row>
    <row r="122" spans="1:57">
      <c r="A122" s="10" t="s">
        <v>1106</v>
      </c>
      <c r="B122" s="5" t="s">
        <v>546</v>
      </c>
      <c r="C122" s="22" t="str">
        <f xml:space="preserve"> IF( TRIM( meta_Columns[[#This Row],[Kind:src]] ) = "", "",
        INDEX( meta_Classifiers[Display Qualified], MATCH( meta_Columns[[#This Row],[Kind:src]], meta_Classifiers[ID], 0 ) ) )</f>
        <v>ExcelColumn</v>
      </c>
      <c r="D122" s="44" t="str">
        <f>IF(meta_Columns[[#This Row],[Owning Table:src]]="","",INDEX(meta_Classifiers[Package],MATCH(meta_Columns[[#This Row],[Owning Table Instances Class]],meta_Classifiers[ID],0)))</f>
        <v>meta</v>
      </c>
      <c r="E122" s="43"/>
      <c r="F122" s="8" t="str">
        <f>INDEX(meta_Tables[Excel Table - Excel Name],MATCH(meta_Columns[[#This Row],[Owning Table:src]],meta_Tables[ID],0))</f>
        <v>meta_Columns</v>
      </c>
      <c r="G122" s="44" t="str">
        <f>INDEX(meta_Tables[Instances Class:src],MATCH(meta_Columns[[#This Row],[Owning Table:src]],meta_Tables[ID],0))</f>
        <v>_Column</v>
      </c>
      <c r="H122" s="11" t="s">
        <v>1013</v>
      </c>
      <c r="I122" s="43" t="str">
        <f xml:space="preserve"> IF( TRIM( meta_Columns[[#This Row],[Owning Table:src]] ) = "", "",
        INDEX( meta_Tables[Display Qualified], MATCH( meta_Columns[[#This Row],[Owning Table:src]], meta_Tables[ID], 0 ) ) )</f>
        <v>meta::Columns</v>
      </c>
      <c r="K122" s="22" t="str">
        <f>IF(TRIM(meta_Columns[[#This Row],[Referenced Table:src]])="","",
    INDEX(meta_Tables[Display Qualified],MATCH(meta_Columns[[#This Row],[Referenced Table:src]],meta_Tables[ID],0)))</f>
        <v/>
      </c>
      <c r="L122" s="8"/>
      <c r="M122" s="22" t="str">
        <f xml:space="preserve"> IF( TRIM( meta_Columns[[#This Row],[Referenced Table Display and Select Column:src]] ) = "", "",
        INDEX( meta_Columns[Display Qualified], MATCH( meta_Columns[[#This Row],[Referenced Table Display and Select Column:src]], meta_Columns[ID], 0 ) ) )</f>
        <v/>
      </c>
      <c r="N122" s="8" t="str">
        <f>IF(meta_Columns[[#This Row],[Excel Column - Excel Formula]]="","x","")</f>
        <v/>
      </c>
      <c r="O122" s="22"/>
      <c r="P122" s="8" t="str">
        <f>IF(meta_Columns[[#This Row],[Referenced Table:src]]="","",INDEX(meta_Tables[Instances Class],MATCH(meta_Columns[[#This Row],[Referenced Table:src]],meta_Tables[ID],0)))</f>
        <v/>
      </c>
      <c r="Q1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meta::Column.generalization5</v>
      </c>
      <c r="R122" s="8"/>
      <c r="S122" s="22" t="str">
        <f xml:space="preserve"> IF( TRIM( meta_Columns[[#This Row],[Property:src]] ) = "", "",
        INDEX( meta_TypedModelElements[Display Qualified], MATCH( meta_Columns[[#This Row],[Property:src]], meta_TypedModelElements[ID], 0 ) ) )</f>
        <v/>
      </c>
      <c r="T122" s="22"/>
      <c r="U122" s="8" t="e">
        <f>INDEX(meta_Classifiers[Class - Generalization:src], MATCH(meta_Columns[[#This Row],[Generalization 5]],meta_Classifiers[ID],0))</f>
        <v>#N/A</v>
      </c>
      <c r="V122" s="8" t="e">
        <f>INDEX(meta_Classifiers[Class - Generalization:src], MATCH(meta_Columns[[#This Row],[Generalization 4]],meta_Classifiers[ID],0))</f>
        <v>#N/A</v>
      </c>
      <c r="W122" s="8" t="e">
        <f>INDEX(meta_Classifiers[Class - Generalization:src], MATCH(meta_Columns[[#This Row],[Generalization 3]],meta_Classifiers[ID],0))</f>
        <v>#N/A</v>
      </c>
      <c r="X122" s="8" t="str">
        <f>INDEX(meta_Classifiers[Class - Generalization:src], MATCH(meta_Columns[[#This Row],[Generalization 2]],meta_Classifiers[ID],0))</f>
        <v/>
      </c>
      <c r="Y122" s="8" t="str">
        <f>INDEX(meta_Classifiers[Class - Generalization:src], MATCH(meta_Columns[[#This Row],[Generalization 1]],meta_Classifiers[ID],0))</f>
        <v>_Object</v>
      </c>
      <c r="Z122" s="8" t="str">
        <f>INDEX(meta_Classifiers[Class - Generalization:src], MATCH(meta_Columns[[#This Row],[Owning Table Instances Class]],meta_Classifiers[ID],0))</f>
        <v>_NamedElement</v>
      </c>
      <c r="AA1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2" s="8" t="b">
        <f>_xlfn.IFNA(
INDEX(meta_Classifiers[Class - Generalization:src],MATCH(
INDEX(meta_Classifiers[Class - Generalization:src],MATCH(meta_Columns[[#This Row],[Property Owning Class]],meta_Classifiers[ID],0)),meta_Classifiers[ID],0))
=meta_Columns[[#This Row],[Owning Table Instances Class]],FALSE)</f>
        <v>0</v>
      </c>
      <c r="AG122" s="8" t="b">
        <f>_xlfn.IFNA(INDEX(meta_Classifiers[Class - Generalization:src],MATCH(meta_Columns[[#This Row],[Property Owning Class]],meta_Classifiers[ID],0))=meta_Columns[[#This Row],[Owning Table Instances Class]],FALSE)</f>
        <v>0</v>
      </c>
      <c r="AH1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2" s="8" t="e">
        <f>INDEX(meta_Classifiers[Name],MATCH(INDEX(meta_TypedModelElements[Property - Owning Class:src],MATCH(meta_Columns[[#This Row],[Property]],meta_TypedModelElements[ID],0)),meta_Classifiers[ID],0))</f>
        <v>#N/A</v>
      </c>
      <c r="AJ122" s="8" t="e">
        <f>INDEX(meta_TypedModelElements[Property - Owning Class:src],MATCH(meta_Columns[[#This Row],[Property]],meta_TypedModelElements[ID],0))</f>
        <v>#N/A</v>
      </c>
      <c r="AK122" s="8" t="e">
        <f>INDEX(meta_TypedModelElements[Kind:src],MATCH(meta_Columns[[#This Row],[Property]],meta_TypedModelElements[ID],0))</f>
        <v>#N/A</v>
      </c>
      <c r="AL122" s="8" t="e">
        <f>INDEX(meta_TypedModelElements[Name or Type],MATCH(meta_Columns[[#This Row],[Property]],meta_TypedModelElements[ID],0))</f>
        <v>#N/A</v>
      </c>
      <c r="AM122" s="8" t="e">
        <f>INDEX(meta_TypedModelElements[Property - Changeable],MATCH(meta_Columns[[#This Row],[Property]],meta_TypedModelElements[ID],0))</f>
        <v>#N/A</v>
      </c>
      <c r="AN122" s="43">
        <v>22</v>
      </c>
      <c r="AO122" s="22"/>
      <c r="AP1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2" s="8" t="str">
        <f xml:space="preserve"> IF(meta_Columns[[#This Row],[Property Owning Class is Specialization of Instance Class]],meta_Columns[[#This Row],[Property Owning Class Name]]&amp;" - ","")</f>
        <v/>
      </c>
      <c r="AR1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5</v>
      </c>
      <c r="AT122" s="8" t="str">
        <f>IFERROR(LEFT(meta_Columns[[#This Row],[Excel Column - Label Actual without Semantic Case]],FIND("-",
meta_Columns[[#This Row],[Excel Column - Label Actual without Semantic Case]])-2),"")</f>
        <v/>
      </c>
      <c r="AU1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5</v>
      </c>
      <c r="AV1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5</v>
      </c>
      <c r="AX122" s="22"/>
      <c r="AY122" s="8" t="str">
        <f>meta_Columns[[#This Row],[Owning Table]]&amp;"."&amp;meta_Columns[[#This Row],[Excel Column - Label]]</f>
        <v>meta::Columns.Generalization 5</v>
      </c>
      <c r="AZ122" s="22" t="s">
        <v>488</v>
      </c>
      <c r="BA122" s="8" t="str">
        <f>IF(TRIM(meta_Columns[[#This Row],[Excel Column - Label Overwrite]])&lt;&gt;"",meta_Columns[[#This Row],[Excel Column - Label Overwrite]],meta_Columns[[#This Row],[Excel Column - Label from Property or Referenced Table]])</f>
        <v>Generalization 5</v>
      </c>
      <c r="BB122" s="43" t="s">
        <v>1496</v>
      </c>
      <c r="BC122" s="44" t="str">
        <f>IF(meta_Columns[[#This Row],[Excel Column - Explicit Excel Formula]]="","",meta_Columns[[#This Row],[Excel Column - Explicit Excel Formula]])</f>
        <v>Formula:=INDEX(#REF!, MATCH([@[Generalization 4]],meta_Classifiers[ID],0))</v>
      </c>
      <c r="BD122" s="5"/>
      <c r="BE122" s="5"/>
    </row>
    <row r="123" spans="1:57">
      <c r="A123" s="10" t="s">
        <v>1107</v>
      </c>
      <c r="B123" s="5" t="s">
        <v>546</v>
      </c>
      <c r="C123" s="22" t="str">
        <f xml:space="preserve"> IF( TRIM( meta_Columns[[#This Row],[Kind:src]] ) = "", "",
        INDEX( meta_Classifiers[Display Qualified], MATCH( meta_Columns[[#This Row],[Kind:src]], meta_Classifiers[ID], 0 ) ) )</f>
        <v>ExcelColumn</v>
      </c>
      <c r="D123" s="44" t="str">
        <f>IF(meta_Columns[[#This Row],[Owning Table:src]]="","",INDEX(meta_Classifiers[Package],MATCH(meta_Columns[[#This Row],[Owning Table Instances Class]],meta_Classifiers[ID],0)))</f>
        <v>meta</v>
      </c>
      <c r="E123" s="43"/>
      <c r="F123" s="8" t="str">
        <f>INDEX(meta_Tables[Excel Table - Excel Name],MATCH(meta_Columns[[#This Row],[Owning Table:src]],meta_Tables[ID],0))</f>
        <v>meta_Columns</v>
      </c>
      <c r="G123" s="44" t="str">
        <f>INDEX(meta_Tables[Instances Class:src],MATCH(meta_Columns[[#This Row],[Owning Table:src]],meta_Tables[ID],0))</f>
        <v>_Column</v>
      </c>
      <c r="H123" s="11" t="s">
        <v>1013</v>
      </c>
      <c r="I123" s="43" t="str">
        <f xml:space="preserve"> IF( TRIM( meta_Columns[[#This Row],[Owning Table:src]] ) = "", "",
        INDEX( meta_Tables[Display Qualified], MATCH( meta_Columns[[#This Row],[Owning Table:src]], meta_Tables[ID], 0 ) ) )</f>
        <v>meta::Columns</v>
      </c>
      <c r="K123" s="22" t="str">
        <f>IF(TRIM(meta_Columns[[#This Row],[Referenced Table:src]])="","",
    INDEX(meta_Tables[Display Qualified],MATCH(meta_Columns[[#This Row],[Referenced Table:src]],meta_Tables[ID],0)))</f>
        <v/>
      </c>
      <c r="L123" s="8"/>
      <c r="M123" s="22" t="str">
        <f xml:space="preserve"> IF( TRIM( meta_Columns[[#This Row],[Referenced Table Display and Select Column:src]] ) = "", "",
        INDEX( meta_Columns[Display Qualified], MATCH( meta_Columns[[#This Row],[Referenced Table Display and Select Column:src]], meta_Columns[ID], 0 ) ) )</f>
        <v/>
      </c>
      <c r="N123" s="8" t="str">
        <f>IF(meta_Columns[[#This Row],[Excel Column - Excel Formula]]="","x","")</f>
        <v/>
      </c>
      <c r="O123" s="22"/>
      <c r="P123" s="8" t="str">
        <f>IF(meta_Columns[[#This Row],[Referenced Table:src]]="","",INDEX(meta_Tables[Instances Class],MATCH(meta_Columns[[#This Row],[Referenced Table:src]],meta_Tables[ID],0)))</f>
        <v/>
      </c>
      <c r="Q1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meta::Column.generalization4</v>
      </c>
      <c r="R123" s="8"/>
      <c r="S123" s="22" t="str">
        <f xml:space="preserve"> IF( TRIM( meta_Columns[[#This Row],[Property:src]] ) = "", "",
        INDEX( meta_TypedModelElements[Display Qualified], MATCH( meta_Columns[[#This Row],[Property:src]], meta_TypedModelElements[ID], 0 ) ) )</f>
        <v/>
      </c>
      <c r="T123" s="22"/>
      <c r="U123" s="8" t="e">
        <f>INDEX(meta_Classifiers[Class - Generalization:src], MATCH(meta_Columns[[#This Row],[Generalization 5]],meta_Classifiers[ID],0))</f>
        <v>#N/A</v>
      </c>
      <c r="V123" s="8" t="e">
        <f>INDEX(meta_Classifiers[Class - Generalization:src], MATCH(meta_Columns[[#This Row],[Generalization 4]],meta_Classifiers[ID],0))</f>
        <v>#N/A</v>
      </c>
      <c r="W123" s="8" t="e">
        <f>INDEX(meta_Classifiers[Class - Generalization:src], MATCH(meta_Columns[[#This Row],[Generalization 3]],meta_Classifiers[ID],0))</f>
        <v>#N/A</v>
      </c>
      <c r="X123" s="8" t="str">
        <f>INDEX(meta_Classifiers[Class - Generalization:src], MATCH(meta_Columns[[#This Row],[Generalization 2]],meta_Classifiers[ID],0))</f>
        <v/>
      </c>
      <c r="Y123" s="8" t="str">
        <f>INDEX(meta_Classifiers[Class - Generalization:src], MATCH(meta_Columns[[#This Row],[Generalization 1]],meta_Classifiers[ID],0))</f>
        <v>_Object</v>
      </c>
      <c r="Z123" s="8" t="str">
        <f>INDEX(meta_Classifiers[Class - Generalization:src], MATCH(meta_Columns[[#This Row],[Owning Table Instances Class]],meta_Classifiers[ID],0))</f>
        <v>_NamedElement</v>
      </c>
      <c r="AA1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3" s="8" t="b">
        <f>_xlfn.IFNA(
INDEX(meta_Classifiers[Class - Generalization:src],MATCH(
INDEX(meta_Classifiers[Class - Generalization:src],MATCH(meta_Columns[[#This Row],[Property Owning Class]],meta_Classifiers[ID],0)),meta_Classifiers[ID],0))
=meta_Columns[[#This Row],[Owning Table Instances Class]],FALSE)</f>
        <v>0</v>
      </c>
      <c r="AG123" s="8" t="b">
        <f>_xlfn.IFNA(INDEX(meta_Classifiers[Class - Generalization:src],MATCH(meta_Columns[[#This Row],[Property Owning Class]],meta_Classifiers[ID],0))=meta_Columns[[#This Row],[Owning Table Instances Class]],FALSE)</f>
        <v>0</v>
      </c>
      <c r="AH1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3" s="8" t="e">
        <f>INDEX(meta_Classifiers[Name],MATCH(INDEX(meta_TypedModelElements[Property - Owning Class:src],MATCH(meta_Columns[[#This Row],[Property]],meta_TypedModelElements[ID],0)),meta_Classifiers[ID],0))</f>
        <v>#N/A</v>
      </c>
      <c r="AJ123" s="8" t="e">
        <f>INDEX(meta_TypedModelElements[Property - Owning Class:src],MATCH(meta_Columns[[#This Row],[Property]],meta_TypedModelElements[ID],0))</f>
        <v>#N/A</v>
      </c>
      <c r="AK123" s="8" t="e">
        <f>INDEX(meta_TypedModelElements[Kind:src],MATCH(meta_Columns[[#This Row],[Property]],meta_TypedModelElements[ID],0))</f>
        <v>#N/A</v>
      </c>
      <c r="AL123" s="8" t="e">
        <f>INDEX(meta_TypedModelElements[Name or Type],MATCH(meta_Columns[[#This Row],[Property]],meta_TypedModelElements[ID],0))</f>
        <v>#N/A</v>
      </c>
      <c r="AM123" s="8" t="e">
        <f>INDEX(meta_TypedModelElements[Property - Changeable],MATCH(meta_Columns[[#This Row],[Property]],meta_TypedModelElements[ID],0))</f>
        <v>#N/A</v>
      </c>
      <c r="AN123" s="43">
        <v>23</v>
      </c>
      <c r="AO123" s="22"/>
      <c r="AP1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3" s="8" t="str">
        <f xml:space="preserve"> IF(meta_Columns[[#This Row],[Property Owning Class is Specialization of Instance Class]],meta_Columns[[#This Row],[Property Owning Class Name]]&amp;" - ","")</f>
        <v/>
      </c>
      <c r="AR1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4</v>
      </c>
      <c r="AT123" s="8" t="str">
        <f>IFERROR(LEFT(meta_Columns[[#This Row],[Excel Column - Label Actual without Semantic Case]],FIND("-",
meta_Columns[[#This Row],[Excel Column - Label Actual without Semantic Case]])-2),"")</f>
        <v/>
      </c>
      <c r="AU1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4</v>
      </c>
      <c r="AV1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4</v>
      </c>
      <c r="AX123" s="22"/>
      <c r="AY123" s="8" t="str">
        <f>meta_Columns[[#This Row],[Owning Table]]&amp;"."&amp;meta_Columns[[#This Row],[Excel Column - Label]]</f>
        <v>meta::Columns.Generalization 4</v>
      </c>
      <c r="AZ123" s="22" t="s">
        <v>484</v>
      </c>
      <c r="BA123" s="8" t="str">
        <f>IF(TRIM(meta_Columns[[#This Row],[Excel Column - Label Overwrite]])&lt;&gt;"",meta_Columns[[#This Row],[Excel Column - Label Overwrite]],meta_Columns[[#This Row],[Excel Column - Label from Property or Referenced Table]])</f>
        <v>Generalization 4</v>
      </c>
      <c r="BB123" s="43" t="s">
        <v>1497</v>
      </c>
      <c r="BC123" s="44" t="str">
        <f>IF(meta_Columns[[#This Row],[Excel Column - Explicit Excel Formula]]="","",meta_Columns[[#This Row],[Excel Column - Explicit Excel Formula]])</f>
        <v>Formula:=INDEX(#REF!, MATCH([@[Generalization 3]],meta_Classifiers[ID],0))</v>
      </c>
      <c r="BD123" s="5"/>
      <c r="BE123" s="5"/>
    </row>
    <row r="124" spans="1:57">
      <c r="A124" s="10" t="s">
        <v>1108</v>
      </c>
      <c r="B124" s="5" t="s">
        <v>546</v>
      </c>
      <c r="C124" s="22" t="str">
        <f xml:space="preserve"> IF( TRIM( meta_Columns[[#This Row],[Kind:src]] ) = "", "",
        INDEX( meta_Classifiers[Display Qualified], MATCH( meta_Columns[[#This Row],[Kind:src]], meta_Classifiers[ID], 0 ) ) )</f>
        <v>ExcelColumn</v>
      </c>
      <c r="D124" s="44" t="str">
        <f>IF(meta_Columns[[#This Row],[Owning Table:src]]="","",INDEX(meta_Classifiers[Package],MATCH(meta_Columns[[#This Row],[Owning Table Instances Class]],meta_Classifiers[ID],0)))</f>
        <v>meta</v>
      </c>
      <c r="E124" s="43"/>
      <c r="F124" s="8" t="str">
        <f>INDEX(meta_Tables[Excel Table - Excel Name],MATCH(meta_Columns[[#This Row],[Owning Table:src]],meta_Tables[ID],0))</f>
        <v>meta_Columns</v>
      </c>
      <c r="G124" s="44" t="str">
        <f>INDEX(meta_Tables[Instances Class:src],MATCH(meta_Columns[[#This Row],[Owning Table:src]],meta_Tables[ID],0))</f>
        <v>_Column</v>
      </c>
      <c r="H124" s="11" t="s">
        <v>1013</v>
      </c>
      <c r="I124" s="43" t="str">
        <f xml:space="preserve"> IF( TRIM( meta_Columns[[#This Row],[Owning Table:src]] ) = "", "",
        INDEX( meta_Tables[Display Qualified], MATCH( meta_Columns[[#This Row],[Owning Table:src]], meta_Tables[ID], 0 ) ) )</f>
        <v>meta::Columns</v>
      </c>
      <c r="K124" s="22" t="str">
        <f>IF(TRIM(meta_Columns[[#This Row],[Referenced Table:src]])="","",
    INDEX(meta_Tables[Display Qualified],MATCH(meta_Columns[[#This Row],[Referenced Table:src]],meta_Tables[ID],0)))</f>
        <v/>
      </c>
      <c r="L124" s="8"/>
      <c r="M124" s="22" t="str">
        <f xml:space="preserve"> IF( TRIM( meta_Columns[[#This Row],[Referenced Table Display and Select Column:src]] ) = "", "",
        INDEX( meta_Columns[Display Qualified], MATCH( meta_Columns[[#This Row],[Referenced Table Display and Select Column:src]], meta_Columns[ID], 0 ) ) )</f>
        <v/>
      </c>
      <c r="N124" s="8" t="str">
        <f>IF(meta_Columns[[#This Row],[Excel Column - Excel Formula]]="","x","")</f>
        <v/>
      </c>
      <c r="O124" s="22"/>
      <c r="P124" s="8" t="str">
        <f>IF(meta_Columns[[#This Row],[Referenced Table:src]]="","",INDEX(meta_Tables[Instances Class],MATCH(meta_Columns[[#This Row],[Referenced Table:src]],meta_Tables[ID],0)))</f>
        <v/>
      </c>
      <c r="Q1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meta::Column.generalization3</v>
      </c>
      <c r="R124" s="8"/>
      <c r="S124" s="22" t="str">
        <f xml:space="preserve"> IF( TRIM( meta_Columns[[#This Row],[Property:src]] ) = "", "",
        INDEX( meta_TypedModelElements[Display Qualified], MATCH( meta_Columns[[#This Row],[Property:src]], meta_TypedModelElements[ID], 0 ) ) )</f>
        <v/>
      </c>
      <c r="T124" s="22"/>
      <c r="U124" s="8" t="e">
        <f>INDEX(meta_Classifiers[Class - Generalization:src], MATCH(meta_Columns[[#This Row],[Generalization 5]],meta_Classifiers[ID],0))</f>
        <v>#N/A</v>
      </c>
      <c r="V124" s="8" t="e">
        <f>INDEX(meta_Classifiers[Class - Generalization:src], MATCH(meta_Columns[[#This Row],[Generalization 4]],meta_Classifiers[ID],0))</f>
        <v>#N/A</v>
      </c>
      <c r="W124" s="8" t="e">
        <f>INDEX(meta_Classifiers[Class - Generalization:src], MATCH(meta_Columns[[#This Row],[Generalization 3]],meta_Classifiers[ID],0))</f>
        <v>#N/A</v>
      </c>
      <c r="X124" s="8" t="str">
        <f>INDEX(meta_Classifiers[Class - Generalization:src], MATCH(meta_Columns[[#This Row],[Generalization 2]],meta_Classifiers[ID],0))</f>
        <v/>
      </c>
      <c r="Y124" s="8" t="str">
        <f>INDEX(meta_Classifiers[Class - Generalization:src], MATCH(meta_Columns[[#This Row],[Generalization 1]],meta_Classifiers[ID],0))</f>
        <v>_Object</v>
      </c>
      <c r="Z124" s="8" t="str">
        <f>INDEX(meta_Classifiers[Class - Generalization:src], MATCH(meta_Columns[[#This Row],[Owning Table Instances Class]],meta_Classifiers[ID],0))</f>
        <v>_NamedElement</v>
      </c>
      <c r="AA1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4" s="8" t="b">
        <f>_xlfn.IFNA(
INDEX(meta_Classifiers[Class - Generalization:src],MATCH(
INDEX(meta_Classifiers[Class - Generalization:src],MATCH(meta_Columns[[#This Row],[Property Owning Class]],meta_Classifiers[ID],0)),meta_Classifiers[ID],0))
=meta_Columns[[#This Row],[Owning Table Instances Class]],FALSE)</f>
        <v>0</v>
      </c>
      <c r="AG124" s="8" t="b">
        <f>_xlfn.IFNA(INDEX(meta_Classifiers[Class - Generalization:src],MATCH(meta_Columns[[#This Row],[Property Owning Class]],meta_Classifiers[ID],0))=meta_Columns[[#This Row],[Owning Table Instances Class]],FALSE)</f>
        <v>0</v>
      </c>
      <c r="AH1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4" s="8" t="e">
        <f>INDEX(meta_Classifiers[Name],MATCH(INDEX(meta_TypedModelElements[Property - Owning Class:src],MATCH(meta_Columns[[#This Row],[Property]],meta_TypedModelElements[ID],0)),meta_Classifiers[ID],0))</f>
        <v>#N/A</v>
      </c>
      <c r="AJ124" s="8" t="e">
        <f>INDEX(meta_TypedModelElements[Property - Owning Class:src],MATCH(meta_Columns[[#This Row],[Property]],meta_TypedModelElements[ID],0))</f>
        <v>#N/A</v>
      </c>
      <c r="AK124" s="8" t="e">
        <f>INDEX(meta_TypedModelElements[Kind:src],MATCH(meta_Columns[[#This Row],[Property]],meta_TypedModelElements[ID],0))</f>
        <v>#N/A</v>
      </c>
      <c r="AL124" s="8" t="e">
        <f>INDEX(meta_TypedModelElements[Name or Type],MATCH(meta_Columns[[#This Row],[Property]],meta_TypedModelElements[ID],0))</f>
        <v>#N/A</v>
      </c>
      <c r="AM124" s="8" t="e">
        <f>INDEX(meta_TypedModelElements[Property - Changeable],MATCH(meta_Columns[[#This Row],[Property]],meta_TypedModelElements[ID],0))</f>
        <v>#N/A</v>
      </c>
      <c r="AN124" s="43">
        <v>24</v>
      </c>
      <c r="AO124" s="22"/>
      <c r="AP1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4" s="8" t="str">
        <f xml:space="preserve"> IF(meta_Columns[[#This Row],[Property Owning Class is Specialization of Instance Class]],meta_Columns[[#This Row],[Property Owning Class Name]]&amp;" - ","")</f>
        <v/>
      </c>
      <c r="AR1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3</v>
      </c>
      <c r="AT124" s="8" t="str">
        <f>IFERROR(LEFT(meta_Columns[[#This Row],[Excel Column - Label Actual without Semantic Case]],FIND("-",
meta_Columns[[#This Row],[Excel Column - Label Actual without Semantic Case]])-2),"")</f>
        <v/>
      </c>
      <c r="AU1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3</v>
      </c>
      <c r="AV1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3</v>
      </c>
      <c r="AX124" s="22"/>
      <c r="AY124" s="8" t="str">
        <f>meta_Columns[[#This Row],[Owning Table]]&amp;"."&amp;meta_Columns[[#This Row],[Excel Column - Label]]</f>
        <v>meta::Columns.Generalization 3</v>
      </c>
      <c r="AZ124" s="22" t="s">
        <v>485</v>
      </c>
      <c r="BA124" s="8" t="str">
        <f>IF(TRIM(meta_Columns[[#This Row],[Excel Column - Label Overwrite]])&lt;&gt;"",meta_Columns[[#This Row],[Excel Column - Label Overwrite]],meta_Columns[[#This Row],[Excel Column - Label from Property or Referenced Table]])</f>
        <v>Generalization 3</v>
      </c>
      <c r="BB124" s="43" t="s">
        <v>1498</v>
      </c>
      <c r="BC124" s="44" t="str">
        <f>IF(meta_Columns[[#This Row],[Excel Column - Explicit Excel Formula]]="","",meta_Columns[[#This Row],[Excel Column - Explicit Excel Formula]])</f>
        <v>Formula:=INDEX(#REF!, MATCH([@[Generalization 2]],meta_Classifiers[ID],0))</v>
      </c>
      <c r="BD124" s="5"/>
      <c r="BE124" s="5"/>
    </row>
    <row r="125" spans="1:57">
      <c r="A125" s="10" t="s">
        <v>1109</v>
      </c>
      <c r="B125" s="5" t="s">
        <v>546</v>
      </c>
      <c r="C125" s="22" t="str">
        <f xml:space="preserve"> IF( TRIM( meta_Columns[[#This Row],[Kind:src]] ) = "", "",
        INDEX( meta_Classifiers[Display Qualified], MATCH( meta_Columns[[#This Row],[Kind:src]], meta_Classifiers[ID], 0 ) ) )</f>
        <v>ExcelColumn</v>
      </c>
      <c r="D125" s="44" t="str">
        <f>IF(meta_Columns[[#This Row],[Owning Table:src]]="","",INDEX(meta_Classifiers[Package],MATCH(meta_Columns[[#This Row],[Owning Table Instances Class]],meta_Classifiers[ID],0)))</f>
        <v>meta</v>
      </c>
      <c r="E125" s="43"/>
      <c r="F125" s="8" t="str">
        <f>INDEX(meta_Tables[Excel Table - Excel Name],MATCH(meta_Columns[[#This Row],[Owning Table:src]],meta_Tables[ID],0))</f>
        <v>meta_Columns</v>
      </c>
      <c r="G125" s="44" t="str">
        <f>INDEX(meta_Tables[Instances Class:src],MATCH(meta_Columns[[#This Row],[Owning Table:src]],meta_Tables[ID],0))</f>
        <v>_Column</v>
      </c>
      <c r="H125" s="11" t="s">
        <v>1013</v>
      </c>
      <c r="I125" s="43" t="str">
        <f xml:space="preserve"> IF( TRIM( meta_Columns[[#This Row],[Owning Table:src]] ) = "", "",
        INDEX( meta_Tables[Display Qualified], MATCH( meta_Columns[[#This Row],[Owning Table:src]], meta_Tables[ID], 0 ) ) )</f>
        <v>meta::Columns</v>
      </c>
      <c r="K125" s="22" t="str">
        <f>IF(TRIM(meta_Columns[[#This Row],[Referenced Table:src]])="","",
    INDEX(meta_Tables[Display Qualified],MATCH(meta_Columns[[#This Row],[Referenced Table:src]],meta_Tables[ID],0)))</f>
        <v/>
      </c>
      <c r="L125" s="8"/>
      <c r="M125" s="22" t="str">
        <f xml:space="preserve"> IF( TRIM( meta_Columns[[#This Row],[Referenced Table Display and Select Column:src]] ) = "", "",
        INDEX( meta_Columns[Display Qualified], MATCH( meta_Columns[[#This Row],[Referenced Table Display and Select Column:src]], meta_Columns[ID], 0 ) ) )</f>
        <v/>
      </c>
      <c r="N125" s="8" t="str">
        <f>IF(meta_Columns[[#This Row],[Excel Column - Excel Formula]]="","x","")</f>
        <v/>
      </c>
      <c r="O125" s="22"/>
      <c r="P125" s="8" t="str">
        <f>IF(meta_Columns[[#This Row],[Referenced Table:src]]="","",INDEX(meta_Tables[Instances Class],MATCH(meta_Columns[[#This Row],[Referenced Table:src]],meta_Tables[ID],0)))</f>
        <v/>
      </c>
      <c r="Q1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meta::Column.generalization2</v>
      </c>
      <c r="R125" s="8"/>
      <c r="S125" s="22" t="str">
        <f xml:space="preserve"> IF( TRIM( meta_Columns[[#This Row],[Property:src]] ) = "", "",
        INDEX( meta_TypedModelElements[Display Qualified], MATCH( meta_Columns[[#This Row],[Property:src]], meta_TypedModelElements[ID], 0 ) ) )</f>
        <v/>
      </c>
      <c r="T125" s="22"/>
      <c r="U125" s="8" t="e">
        <f>INDEX(meta_Classifiers[Class - Generalization:src], MATCH(meta_Columns[[#This Row],[Generalization 5]],meta_Classifiers[ID],0))</f>
        <v>#N/A</v>
      </c>
      <c r="V125" s="8" t="e">
        <f>INDEX(meta_Classifiers[Class - Generalization:src], MATCH(meta_Columns[[#This Row],[Generalization 4]],meta_Classifiers[ID],0))</f>
        <v>#N/A</v>
      </c>
      <c r="W125" s="8" t="e">
        <f>INDEX(meta_Classifiers[Class - Generalization:src], MATCH(meta_Columns[[#This Row],[Generalization 3]],meta_Classifiers[ID],0))</f>
        <v>#N/A</v>
      </c>
      <c r="X125" s="8" t="str">
        <f>INDEX(meta_Classifiers[Class - Generalization:src], MATCH(meta_Columns[[#This Row],[Generalization 2]],meta_Classifiers[ID],0))</f>
        <v/>
      </c>
      <c r="Y125" s="8" t="str">
        <f>INDEX(meta_Classifiers[Class - Generalization:src], MATCH(meta_Columns[[#This Row],[Generalization 1]],meta_Classifiers[ID],0))</f>
        <v>_Object</v>
      </c>
      <c r="Z125" s="8" t="str">
        <f>INDEX(meta_Classifiers[Class - Generalization:src], MATCH(meta_Columns[[#This Row],[Owning Table Instances Class]],meta_Classifiers[ID],0))</f>
        <v>_NamedElement</v>
      </c>
      <c r="AA1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5" s="8" t="b">
        <f>_xlfn.IFNA(
INDEX(meta_Classifiers[Class - Generalization:src],MATCH(
INDEX(meta_Classifiers[Class - Generalization:src],MATCH(meta_Columns[[#This Row],[Property Owning Class]],meta_Classifiers[ID],0)),meta_Classifiers[ID],0))
=meta_Columns[[#This Row],[Owning Table Instances Class]],FALSE)</f>
        <v>0</v>
      </c>
      <c r="AG125" s="8" t="b">
        <f>_xlfn.IFNA(INDEX(meta_Classifiers[Class - Generalization:src],MATCH(meta_Columns[[#This Row],[Property Owning Class]],meta_Classifiers[ID],0))=meta_Columns[[#This Row],[Owning Table Instances Class]],FALSE)</f>
        <v>0</v>
      </c>
      <c r="AH1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5" s="8" t="e">
        <f>INDEX(meta_Classifiers[Name],MATCH(INDEX(meta_TypedModelElements[Property - Owning Class:src],MATCH(meta_Columns[[#This Row],[Property]],meta_TypedModelElements[ID],0)),meta_Classifiers[ID],0))</f>
        <v>#N/A</v>
      </c>
      <c r="AJ125" s="8" t="e">
        <f>INDEX(meta_TypedModelElements[Property - Owning Class:src],MATCH(meta_Columns[[#This Row],[Property]],meta_TypedModelElements[ID],0))</f>
        <v>#N/A</v>
      </c>
      <c r="AK125" s="8" t="e">
        <f>INDEX(meta_TypedModelElements[Kind:src],MATCH(meta_Columns[[#This Row],[Property]],meta_TypedModelElements[ID],0))</f>
        <v>#N/A</v>
      </c>
      <c r="AL125" s="8" t="e">
        <f>INDEX(meta_TypedModelElements[Name or Type],MATCH(meta_Columns[[#This Row],[Property]],meta_TypedModelElements[ID],0))</f>
        <v>#N/A</v>
      </c>
      <c r="AM125" s="8" t="e">
        <f>INDEX(meta_TypedModelElements[Property - Changeable],MATCH(meta_Columns[[#This Row],[Property]],meta_TypedModelElements[ID],0))</f>
        <v>#N/A</v>
      </c>
      <c r="AN125" s="43">
        <v>25</v>
      </c>
      <c r="AO125" s="22"/>
      <c r="AP1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5" s="8" t="str">
        <f xml:space="preserve"> IF(meta_Columns[[#This Row],[Property Owning Class is Specialization of Instance Class]],meta_Columns[[#This Row],[Property Owning Class Name]]&amp;" - ","")</f>
        <v/>
      </c>
      <c r="AR1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2</v>
      </c>
      <c r="AT125" s="8" t="str">
        <f>IFERROR(LEFT(meta_Columns[[#This Row],[Excel Column - Label Actual without Semantic Case]],FIND("-",
meta_Columns[[#This Row],[Excel Column - Label Actual without Semantic Case]])-2),"")</f>
        <v/>
      </c>
      <c r="AU1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2</v>
      </c>
      <c r="AV1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2</v>
      </c>
      <c r="AX125" s="22"/>
      <c r="AY125" s="8" t="str">
        <f>meta_Columns[[#This Row],[Owning Table]]&amp;"."&amp;meta_Columns[[#This Row],[Excel Column - Label]]</f>
        <v>meta::Columns.Generalization 2</v>
      </c>
      <c r="AZ125" s="22" t="s">
        <v>486</v>
      </c>
      <c r="BA125" s="8" t="str">
        <f>IF(TRIM(meta_Columns[[#This Row],[Excel Column - Label Overwrite]])&lt;&gt;"",meta_Columns[[#This Row],[Excel Column - Label Overwrite]],meta_Columns[[#This Row],[Excel Column - Label from Property or Referenced Table]])</f>
        <v>Generalization 2</v>
      </c>
      <c r="BB125" s="43" t="s">
        <v>1499</v>
      </c>
      <c r="BC125" s="44" t="str">
        <f>IF(meta_Columns[[#This Row],[Excel Column - Explicit Excel Formula]]="","",meta_Columns[[#This Row],[Excel Column - Explicit Excel Formula]])</f>
        <v>Formula:=INDEX(#REF!, MATCH([@[Generalization 1]],meta_Classifiers[ID],0))</v>
      </c>
      <c r="BD125" s="5"/>
      <c r="BE125" s="5"/>
    </row>
    <row r="126" spans="1:57">
      <c r="A126" s="10" t="s">
        <v>1110</v>
      </c>
      <c r="B126" s="5" t="s">
        <v>546</v>
      </c>
      <c r="C126" s="22" t="str">
        <f xml:space="preserve"> IF( TRIM( meta_Columns[[#This Row],[Kind:src]] ) = "", "",
        INDEX( meta_Classifiers[Display Qualified], MATCH( meta_Columns[[#This Row],[Kind:src]], meta_Classifiers[ID], 0 ) ) )</f>
        <v>ExcelColumn</v>
      </c>
      <c r="D126" s="44" t="str">
        <f>IF(meta_Columns[[#This Row],[Owning Table:src]]="","",INDEX(meta_Classifiers[Package],MATCH(meta_Columns[[#This Row],[Owning Table Instances Class]],meta_Classifiers[ID],0)))</f>
        <v>meta</v>
      </c>
      <c r="E126" s="43"/>
      <c r="F126" s="8" t="str">
        <f>INDEX(meta_Tables[Excel Table - Excel Name],MATCH(meta_Columns[[#This Row],[Owning Table:src]],meta_Tables[ID],0))</f>
        <v>meta_Columns</v>
      </c>
      <c r="G126" s="44" t="str">
        <f>INDEX(meta_Tables[Instances Class:src],MATCH(meta_Columns[[#This Row],[Owning Table:src]],meta_Tables[ID],0))</f>
        <v>_Column</v>
      </c>
      <c r="H126" s="11" t="s">
        <v>1013</v>
      </c>
      <c r="I126" s="43" t="str">
        <f xml:space="preserve"> IF( TRIM( meta_Columns[[#This Row],[Owning Table:src]] ) = "", "",
        INDEX( meta_Tables[Display Qualified], MATCH( meta_Columns[[#This Row],[Owning Table:src]], meta_Tables[ID], 0 ) ) )</f>
        <v>meta::Columns</v>
      </c>
      <c r="K126" s="22" t="str">
        <f>IF(TRIM(meta_Columns[[#This Row],[Referenced Table:src]])="","",
    INDEX(meta_Tables[Display Qualified],MATCH(meta_Columns[[#This Row],[Referenced Table:src]],meta_Tables[ID],0)))</f>
        <v/>
      </c>
      <c r="L126" s="8"/>
      <c r="M126" s="22" t="str">
        <f xml:space="preserve"> IF( TRIM( meta_Columns[[#This Row],[Referenced Table Display and Select Column:src]] ) = "", "",
        INDEX( meta_Columns[Display Qualified], MATCH( meta_Columns[[#This Row],[Referenced Table Display and Select Column:src]], meta_Columns[ID], 0 ) ) )</f>
        <v/>
      </c>
      <c r="N126" s="8" t="str">
        <f>IF(meta_Columns[[#This Row],[Excel Column - Excel Formula]]="","x","")</f>
        <v/>
      </c>
      <c r="O126" s="22"/>
      <c r="P126" s="8" t="str">
        <f>IF(meta_Columns[[#This Row],[Referenced Table:src]]="","",INDEX(meta_Tables[Instances Class],MATCH(meta_Columns[[#This Row],[Referenced Table:src]],meta_Tables[ID],0)))</f>
        <v/>
      </c>
      <c r="Q1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meta::Column.generalization1</v>
      </c>
      <c r="R126" s="8"/>
      <c r="S126" s="22" t="str">
        <f xml:space="preserve"> IF( TRIM( meta_Columns[[#This Row],[Property:src]] ) = "", "",
        INDEX( meta_TypedModelElements[Display Qualified], MATCH( meta_Columns[[#This Row],[Property:src]], meta_TypedModelElements[ID], 0 ) ) )</f>
        <v/>
      </c>
      <c r="T126" s="22"/>
      <c r="U126" s="8" t="e">
        <f>INDEX(meta_Classifiers[Class - Generalization:src], MATCH(meta_Columns[[#This Row],[Generalization 5]],meta_Classifiers[ID],0))</f>
        <v>#N/A</v>
      </c>
      <c r="V126" s="8" t="e">
        <f>INDEX(meta_Classifiers[Class - Generalization:src], MATCH(meta_Columns[[#This Row],[Generalization 4]],meta_Classifiers[ID],0))</f>
        <v>#N/A</v>
      </c>
      <c r="W126" s="8" t="e">
        <f>INDEX(meta_Classifiers[Class - Generalization:src], MATCH(meta_Columns[[#This Row],[Generalization 3]],meta_Classifiers[ID],0))</f>
        <v>#N/A</v>
      </c>
      <c r="X126" s="8" t="str">
        <f>INDEX(meta_Classifiers[Class - Generalization:src], MATCH(meta_Columns[[#This Row],[Generalization 2]],meta_Classifiers[ID],0))</f>
        <v/>
      </c>
      <c r="Y126" s="8" t="str">
        <f>INDEX(meta_Classifiers[Class - Generalization:src], MATCH(meta_Columns[[#This Row],[Generalization 1]],meta_Classifiers[ID],0))</f>
        <v>_Object</v>
      </c>
      <c r="Z126" s="8" t="str">
        <f>INDEX(meta_Classifiers[Class - Generalization:src], MATCH(meta_Columns[[#This Row],[Owning Table Instances Class]],meta_Classifiers[ID],0))</f>
        <v>_NamedElement</v>
      </c>
      <c r="AA1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6" s="8" t="b">
        <f>_xlfn.IFNA(
INDEX(meta_Classifiers[Class - Generalization:src],MATCH(
INDEX(meta_Classifiers[Class - Generalization:src],MATCH(meta_Columns[[#This Row],[Property Owning Class]],meta_Classifiers[ID],0)),meta_Classifiers[ID],0))
=meta_Columns[[#This Row],[Owning Table Instances Class]],FALSE)</f>
        <v>0</v>
      </c>
      <c r="AG126" s="8" t="b">
        <f>_xlfn.IFNA(INDEX(meta_Classifiers[Class - Generalization:src],MATCH(meta_Columns[[#This Row],[Property Owning Class]],meta_Classifiers[ID],0))=meta_Columns[[#This Row],[Owning Table Instances Class]],FALSE)</f>
        <v>0</v>
      </c>
      <c r="AH1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6" s="8" t="e">
        <f>INDEX(meta_Classifiers[Name],MATCH(INDEX(meta_TypedModelElements[Property - Owning Class:src],MATCH(meta_Columns[[#This Row],[Property]],meta_TypedModelElements[ID],0)),meta_Classifiers[ID],0))</f>
        <v>#N/A</v>
      </c>
      <c r="AJ126" s="8" t="e">
        <f>INDEX(meta_TypedModelElements[Property - Owning Class:src],MATCH(meta_Columns[[#This Row],[Property]],meta_TypedModelElements[ID],0))</f>
        <v>#N/A</v>
      </c>
      <c r="AK126" s="8" t="e">
        <f>INDEX(meta_TypedModelElements[Kind:src],MATCH(meta_Columns[[#This Row],[Property]],meta_TypedModelElements[ID],0))</f>
        <v>#N/A</v>
      </c>
      <c r="AL126" s="8" t="e">
        <f>INDEX(meta_TypedModelElements[Name or Type],MATCH(meta_Columns[[#This Row],[Property]],meta_TypedModelElements[ID],0))</f>
        <v>#N/A</v>
      </c>
      <c r="AM126" s="8" t="e">
        <f>INDEX(meta_TypedModelElements[Property - Changeable],MATCH(meta_Columns[[#This Row],[Property]],meta_TypedModelElements[ID],0))</f>
        <v>#N/A</v>
      </c>
      <c r="AN126" s="43">
        <v>26</v>
      </c>
      <c r="AO126" s="22"/>
      <c r="AP1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6" s="8" t="str">
        <f xml:space="preserve"> IF(meta_Columns[[#This Row],[Property Owning Class is Specialization of Instance Class]],meta_Columns[[#This Row],[Property Owning Class Name]]&amp;" - ","")</f>
        <v/>
      </c>
      <c r="AR1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1</v>
      </c>
      <c r="AT126" s="8" t="str">
        <f>IFERROR(LEFT(meta_Columns[[#This Row],[Excel Column - Label Actual without Semantic Case]],FIND("-",
meta_Columns[[#This Row],[Excel Column - Label Actual without Semantic Case]])-2),"")</f>
        <v/>
      </c>
      <c r="AU1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1</v>
      </c>
      <c r="AV1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1</v>
      </c>
      <c r="AX126" s="22"/>
      <c r="AY126" s="8" t="str">
        <f>meta_Columns[[#This Row],[Owning Table]]&amp;"."&amp;meta_Columns[[#This Row],[Excel Column - Label]]</f>
        <v>meta::Columns.Generalization 1</v>
      </c>
      <c r="AZ126" s="22" t="s">
        <v>483</v>
      </c>
      <c r="BA126" s="8" t="str">
        <f>IF(TRIM(meta_Columns[[#This Row],[Excel Column - Label Overwrite]])&lt;&gt;"",meta_Columns[[#This Row],[Excel Column - Label Overwrite]],meta_Columns[[#This Row],[Excel Column - Label from Property or Referenced Table]])</f>
        <v>Generalization 1</v>
      </c>
      <c r="BB126" s="43" t="s">
        <v>1500</v>
      </c>
      <c r="BC126" s="44" t="str">
        <f>IF(meta_Columns[[#This Row],[Excel Column - Explicit Excel Formula]]="","",meta_Columns[[#This Row],[Excel Column - Explicit Excel Formula]])</f>
        <v>Formula:=INDEX(#REF!, MATCH([@[Owning Table Instances Class]],meta_Classifiers[ID],0))</v>
      </c>
      <c r="BD126" s="5"/>
      <c r="BE126" s="5"/>
    </row>
    <row r="127" spans="1:57">
      <c r="A127" s="10" t="s">
        <v>1111</v>
      </c>
      <c r="B127" s="5" t="s">
        <v>546</v>
      </c>
      <c r="C127" s="22" t="str">
        <f xml:space="preserve"> IF( TRIM( meta_Columns[[#This Row],[Kind:src]] ) = "", "",
        INDEX( meta_Classifiers[Display Qualified], MATCH( meta_Columns[[#This Row],[Kind:src]], meta_Classifiers[ID], 0 ) ) )</f>
        <v>ExcelColumn</v>
      </c>
      <c r="D127" s="44" t="str">
        <f>IF(meta_Columns[[#This Row],[Owning Table:src]]="","",INDEX(meta_Classifiers[Package],MATCH(meta_Columns[[#This Row],[Owning Table Instances Class]],meta_Classifiers[ID],0)))</f>
        <v>meta</v>
      </c>
      <c r="E127" s="43"/>
      <c r="F127" s="8" t="str">
        <f>INDEX(meta_Tables[Excel Table - Excel Name],MATCH(meta_Columns[[#This Row],[Owning Table:src]],meta_Tables[ID],0))</f>
        <v>meta_Columns</v>
      </c>
      <c r="G127" s="44" t="str">
        <f>INDEX(meta_Tables[Instances Class:src],MATCH(meta_Columns[[#This Row],[Owning Table:src]],meta_Tables[ID],0))</f>
        <v>_Column</v>
      </c>
      <c r="H127" s="11" t="s">
        <v>1013</v>
      </c>
      <c r="I127" s="43" t="str">
        <f xml:space="preserve"> IF( TRIM( meta_Columns[[#This Row],[Owning Table:src]] ) = "", "",
        INDEX( meta_Tables[Display Qualified], MATCH( meta_Columns[[#This Row],[Owning Table:src]], meta_Tables[ID], 0 ) ) )</f>
        <v>meta::Columns</v>
      </c>
      <c r="K127" s="22" t="str">
        <f>IF(TRIM(meta_Columns[[#This Row],[Referenced Table:src]])="","",
    INDEX(meta_Tables[Display Qualified],MATCH(meta_Columns[[#This Row],[Referenced Table:src]],meta_Tables[ID],0)))</f>
        <v/>
      </c>
      <c r="L127" s="8"/>
      <c r="M127" s="22" t="str">
        <f xml:space="preserve"> IF( TRIM( meta_Columns[[#This Row],[Referenced Table Display and Select Column:src]] ) = "", "",
        INDEX( meta_Columns[Display Qualified], MATCH( meta_Columns[[#This Row],[Referenced Table Display and Select Column:src]], meta_Columns[ID], 0 ) ) )</f>
        <v/>
      </c>
      <c r="N127" s="8" t="str">
        <f>IF(meta_Columns[[#This Row],[Excel Column - Excel Formula]]="","x","")</f>
        <v/>
      </c>
      <c r="O127" s="22"/>
      <c r="P127" s="8" t="str">
        <f>IF(meta_Columns[[#This Row],[Referenced Table:src]]="","",INDEX(meta_Tables[Instances Class],MATCH(meta_Columns[[#This Row],[Referenced Table:src]],meta_Tables[ID],0)))</f>
        <v/>
      </c>
      <c r="Q1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meta::Column.propertyOwningClassIsInstanceClassOrGeneralization</v>
      </c>
      <c r="R127" s="8"/>
      <c r="S127" s="22" t="str">
        <f xml:space="preserve"> IF( TRIM( meta_Columns[[#This Row],[Property:src]] ) = "", "",
        INDEX( meta_TypedModelElements[Display Qualified], MATCH( meta_Columns[[#This Row],[Property:src]], meta_TypedModelElements[ID], 0 ) ) )</f>
        <v/>
      </c>
      <c r="T127" s="22"/>
      <c r="U127" s="8" t="e">
        <f>INDEX(meta_Classifiers[Class - Generalization:src], MATCH(meta_Columns[[#This Row],[Generalization 5]],meta_Classifiers[ID],0))</f>
        <v>#N/A</v>
      </c>
      <c r="V127" s="8" t="e">
        <f>INDEX(meta_Classifiers[Class - Generalization:src], MATCH(meta_Columns[[#This Row],[Generalization 4]],meta_Classifiers[ID],0))</f>
        <v>#N/A</v>
      </c>
      <c r="W127" s="8" t="e">
        <f>INDEX(meta_Classifiers[Class - Generalization:src], MATCH(meta_Columns[[#This Row],[Generalization 3]],meta_Classifiers[ID],0))</f>
        <v>#N/A</v>
      </c>
      <c r="X127" s="8" t="str">
        <f>INDEX(meta_Classifiers[Class - Generalization:src], MATCH(meta_Columns[[#This Row],[Generalization 2]],meta_Classifiers[ID],0))</f>
        <v/>
      </c>
      <c r="Y127" s="8" t="str">
        <f>INDEX(meta_Classifiers[Class - Generalization:src], MATCH(meta_Columns[[#This Row],[Generalization 1]],meta_Classifiers[ID],0))</f>
        <v>_Object</v>
      </c>
      <c r="Z127" s="8" t="str">
        <f>INDEX(meta_Classifiers[Class - Generalization:src], MATCH(meta_Columns[[#This Row],[Owning Table Instances Class]],meta_Classifiers[ID],0))</f>
        <v>_NamedElement</v>
      </c>
      <c r="AA1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7" s="8" t="b">
        <f>_xlfn.IFNA(
INDEX(meta_Classifiers[Class - Generalization:src],MATCH(
INDEX(meta_Classifiers[Class - Generalization:src],MATCH(meta_Columns[[#This Row],[Property Owning Class]],meta_Classifiers[ID],0)),meta_Classifiers[ID],0))
=meta_Columns[[#This Row],[Owning Table Instances Class]],FALSE)</f>
        <v>0</v>
      </c>
      <c r="AG127" s="8" t="b">
        <f>_xlfn.IFNA(INDEX(meta_Classifiers[Class - Generalization:src],MATCH(meta_Columns[[#This Row],[Property Owning Class]],meta_Classifiers[ID],0))=meta_Columns[[#This Row],[Owning Table Instances Class]],FALSE)</f>
        <v>0</v>
      </c>
      <c r="AH1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7" s="8" t="e">
        <f>INDEX(meta_Classifiers[Name],MATCH(INDEX(meta_TypedModelElements[Property - Owning Class:src],MATCH(meta_Columns[[#This Row],[Property]],meta_TypedModelElements[ID],0)),meta_Classifiers[ID],0))</f>
        <v>#N/A</v>
      </c>
      <c r="AJ127" s="8" t="e">
        <f>INDEX(meta_TypedModelElements[Property - Owning Class:src],MATCH(meta_Columns[[#This Row],[Property]],meta_TypedModelElements[ID],0))</f>
        <v>#N/A</v>
      </c>
      <c r="AK127" s="8" t="e">
        <f>INDEX(meta_TypedModelElements[Kind:src],MATCH(meta_Columns[[#This Row],[Property]],meta_TypedModelElements[ID],0))</f>
        <v>#N/A</v>
      </c>
      <c r="AL127" s="8" t="e">
        <f>INDEX(meta_TypedModelElements[Name or Type],MATCH(meta_Columns[[#This Row],[Property]],meta_TypedModelElements[ID],0))</f>
        <v>#N/A</v>
      </c>
      <c r="AM127" s="8" t="e">
        <f>INDEX(meta_TypedModelElements[Property - Changeable],MATCH(meta_Columns[[#This Row],[Property]],meta_TypedModelElements[ID],0))</f>
        <v>#N/A</v>
      </c>
      <c r="AN127" s="43">
        <v>27</v>
      </c>
      <c r="AO127" s="22"/>
      <c r="AP1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7" s="8" t="str">
        <f xml:space="preserve"> IF(meta_Columns[[#This Row],[Property Owning Class is Specialization of Instance Class]],meta_Columns[[#This Row],[Property Owning Class Name]]&amp;" - ","")</f>
        <v/>
      </c>
      <c r="AR1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Instance Class or Generalization</v>
      </c>
      <c r="AT127" s="8" t="str">
        <f>IFERROR(LEFT(meta_Columns[[#This Row],[Excel Column - Label Actual without Semantic Case]],FIND("-",
meta_Columns[[#This Row],[Excel Column - Label Actual without Semantic Case]])-2),"")</f>
        <v/>
      </c>
      <c r="AU1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Instance Class or Generalization</v>
      </c>
      <c r="AV1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Instance Class or Generalization</v>
      </c>
      <c r="AX127" s="22"/>
      <c r="AY127" s="8" t="str">
        <f>meta_Columns[[#This Row],[Owning Table]]&amp;"."&amp;meta_Columns[[#This Row],[Excel Column - Label]]</f>
        <v>meta::Columns.Property Owning Class is Instance Class or Generalization</v>
      </c>
      <c r="AZ127" s="22" t="s">
        <v>473</v>
      </c>
      <c r="BA127" s="8" t="str">
        <f>IF(TRIM(meta_Columns[[#This Row],[Excel Column - Label Overwrite]])&lt;&gt;"",meta_Columns[[#This Row],[Excel Column - Label Overwrite]],meta_Columns[[#This Row],[Excel Column - Label from Property or Referenced Table]])</f>
        <v>Property Owning Class is Instance Class or Generalization</v>
      </c>
      <c r="BB127" s="43" t="s">
        <v>901</v>
      </c>
      <c r="BC127" s="44" t="str">
        <f>IF(meta_Columns[[#This Row],[Excel Column - Explicit Excel Formula]]="","",meta_Columns[[#This Row],[Excel Column - Explicit Excel Formula]])</f>
        <v>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v>
      </c>
      <c r="BD127" s="5"/>
      <c r="BE127" s="5"/>
    </row>
    <row r="128" spans="1:57">
      <c r="A128" s="10" t="s">
        <v>1112</v>
      </c>
      <c r="B128" s="5" t="s">
        <v>546</v>
      </c>
      <c r="C128" s="22" t="str">
        <f xml:space="preserve"> IF( TRIM( meta_Columns[[#This Row],[Kind:src]] ) = "", "",
        INDEX( meta_Classifiers[Display Qualified], MATCH( meta_Columns[[#This Row],[Kind:src]], meta_Classifiers[ID], 0 ) ) )</f>
        <v>ExcelColumn</v>
      </c>
      <c r="D128" s="44" t="str">
        <f>IF(meta_Columns[[#This Row],[Owning Table:src]]="","",INDEX(meta_Classifiers[Package],MATCH(meta_Columns[[#This Row],[Owning Table Instances Class]],meta_Classifiers[ID],0)))</f>
        <v>meta</v>
      </c>
      <c r="E128" s="43"/>
      <c r="F128" s="8" t="str">
        <f>INDEX(meta_Tables[Excel Table - Excel Name],MATCH(meta_Columns[[#This Row],[Owning Table:src]],meta_Tables[ID],0))</f>
        <v>meta_Columns</v>
      </c>
      <c r="G128" s="44" t="str">
        <f>INDEX(meta_Tables[Instances Class:src],MATCH(meta_Columns[[#This Row],[Owning Table:src]],meta_Tables[ID],0))</f>
        <v>_Column</v>
      </c>
      <c r="H128" s="11" t="s">
        <v>1013</v>
      </c>
      <c r="I128" s="43" t="str">
        <f xml:space="preserve"> IF( TRIM( meta_Columns[[#This Row],[Owning Table:src]] ) = "", "",
        INDEX( meta_Tables[Display Qualified], MATCH( meta_Columns[[#This Row],[Owning Table:src]], meta_Tables[ID], 0 ) ) )</f>
        <v>meta::Columns</v>
      </c>
      <c r="K128" s="22" t="str">
        <f>IF(TRIM(meta_Columns[[#This Row],[Referenced Table:src]])="","",
    INDEX(meta_Tables[Display Qualified],MATCH(meta_Columns[[#This Row],[Referenced Table:src]],meta_Tables[ID],0)))</f>
        <v/>
      </c>
      <c r="L128" s="8"/>
      <c r="M128" s="22" t="str">
        <f xml:space="preserve"> IF( TRIM( meta_Columns[[#This Row],[Referenced Table Display and Select Column:src]] ) = "", "",
        INDEX( meta_Columns[Display Qualified], MATCH( meta_Columns[[#This Row],[Referenced Table Display and Select Column:src]], meta_Columns[ID], 0 ) ) )</f>
        <v/>
      </c>
      <c r="N128" s="8" t="str">
        <f>IF(meta_Columns[[#This Row],[Excel Column - Excel Formula]]="","x","")</f>
        <v/>
      </c>
      <c r="O128" s="22"/>
      <c r="P128" s="8" t="str">
        <f>IF(meta_Columns[[#This Row],[Referenced Table:src]]="","",INDEX(meta_Tables[Instances Class],MATCH(meta_Columns[[#This Row],[Referenced Table:src]],meta_Tables[ID],0)))</f>
        <v/>
      </c>
      <c r="Q1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meta::Column.isFromSpecialization6</v>
      </c>
      <c r="R128" s="8"/>
      <c r="S128" s="22" t="str">
        <f xml:space="preserve"> IF( TRIM( meta_Columns[[#This Row],[Property:src]] ) = "", "",
        INDEX( meta_TypedModelElements[Display Qualified], MATCH( meta_Columns[[#This Row],[Property:src]], meta_TypedModelElements[ID], 0 ) ) )</f>
        <v/>
      </c>
      <c r="T128" s="22"/>
      <c r="U128" s="8" t="e">
        <f>INDEX(meta_Classifiers[Class - Generalization:src], MATCH(meta_Columns[[#This Row],[Generalization 5]],meta_Classifiers[ID],0))</f>
        <v>#N/A</v>
      </c>
      <c r="V128" s="8" t="e">
        <f>INDEX(meta_Classifiers[Class - Generalization:src], MATCH(meta_Columns[[#This Row],[Generalization 4]],meta_Classifiers[ID],0))</f>
        <v>#N/A</v>
      </c>
      <c r="W128" s="8" t="e">
        <f>INDEX(meta_Classifiers[Class - Generalization:src], MATCH(meta_Columns[[#This Row],[Generalization 3]],meta_Classifiers[ID],0))</f>
        <v>#N/A</v>
      </c>
      <c r="X128" s="8" t="str">
        <f>INDEX(meta_Classifiers[Class - Generalization:src], MATCH(meta_Columns[[#This Row],[Generalization 2]],meta_Classifiers[ID],0))</f>
        <v/>
      </c>
      <c r="Y128" s="8" t="str">
        <f>INDEX(meta_Classifiers[Class - Generalization:src], MATCH(meta_Columns[[#This Row],[Generalization 1]],meta_Classifiers[ID],0))</f>
        <v>_Object</v>
      </c>
      <c r="Z128" s="8" t="str">
        <f>INDEX(meta_Classifiers[Class - Generalization:src], MATCH(meta_Columns[[#This Row],[Owning Table Instances Class]],meta_Classifiers[ID],0))</f>
        <v>_NamedElement</v>
      </c>
      <c r="AA1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8" s="8" t="b">
        <f>_xlfn.IFNA(
INDEX(meta_Classifiers[Class - Generalization:src],MATCH(
INDEX(meta_Classifiers[Class - Generalization:src],MATCH(meta_Columns[[#This Row],[Property Owning Class]],meta_Classifiers[ID],0)),meta_Classifiers[ID],0))
=meta_Columns[[#This Row],[Owning Table Instances Class]],FALSE)</f>
        <v>0</v>
      </c>
      <c r="AG128" s="8" t="b">
        <f>_xlfn.IFNA(INDEX(meta_Classifiers[Class - Generalization:src],MATCH(meta_Columns[[#This Row],[Property Owning Class]],meta_Classifiers[ID],0))=meta_Columns[[#This Row],[Owning Table Instances Class]],FALSE)</f>
        <v>0</v>
      </c>
      <c r="AH1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8" s="8" t="e">
        <f>INDEX(meta_Classifiers[Name],MATCH(INDEX(meta_TypedModelElements[Property - Owning Class:src],MATCH(meta_Columns[[#This Row],[Property]],meta_TypedModelElements[ID],0)),meta_Classifiers[ID],0))</f>
        <v>#N/A</v>
      </c>
      <c r="AJ128" s="8" t="e">
        <f>INDEX(meta_TypedModelElements[Property - Owning Class:src],MATCH(meta_Columns[[#This Row],[Property]],meta_TypedModelElements[ID],0))</f>
        <v>#N/A</v>
      </c>
      <c r="AK128" s="8" t="e">
        <f>INDEX(meta_TypedModelElements[Kind:src],MATCH(meta_Columns[[#This Row],[Property]],meta_TypedModelElements[ID],0))</f>
        <v>#N/A</v>
      </c>
      <c r="AL128" s="8" t="e">
        <f>INDEX(meta_TypedModelElements[Name or Type],MATCH(meta_Columns[[#This Row],[Property]],meta_TypedModelElements[ID],0))</f>
        <v>#N/A</v>
      </c>
      <c r="AM128" s="8" t="e">
        <f>INDEX(meta_TypedModelElements[Property - Changeable],MATCH(meta_Columns[[#This Row],[Property]],meta_TypedModelElements[ID],0))</f>
        <v>#N/A</v>
      </c>
      <c r="AN128" s="43">
        <v>28</v>
      </c>
      <c r="AO128" s="22"/>
      <c r="AP1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8" s="8" t="str">
        <f xml:space="preserve"> IF(meta_Columns[[#This Row],[Property Owning Class is Specialization of Instance Class]],meta_Columns[[#This Row],[Property Owning Class Name]]&amp;" - ","")</f>
        <v/>
      </c>
      <c r="AR1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6</v>
      </c>
      <c r="AT128" s="8" t="str">
        <f>IFERROR(LEFT(meta_Columns[[#This Row],[Excel Column - Label Actual without Semantic Case]],FIND("-",
meta_Columns[[#This Row],[Excel Column - Label Actual without Semantic Case]])-2),"")</f>
        <v/>
      </c>
      <c r="AU1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6</v>
      </c>
      <c r="AV1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6</v>
      </c>
      <c r="AX128" s="22"/>
      <c r="AY128" s="8" t="str">
        <f>meta_Columns[[#This Row],[Owning Table]]&amp;"."&amp;meta_Columns[[#This Row],[Excel Column - Label]]</f>
        <v>meta::Columns.Is From Specialization 6</v>
      </c>
      <c r="AZ128" s="22" t="s">
        <v>494</v>
      </c>
      <c r="BA128" s="8" t="str">
        <f>IF(TRIM(meta_Columns[[#This Row],[Excel Column - Label Overwrite]])&lt;&gt;"",meta_Columns[[#This Row],[Excel Column - Label Overwrite]],meta_Columns[[#This Row],[Excel Column - Label from Property or Referenced Table]])</f>
        <v>Is From Specialization 6</v>
      </c>
      <c r="BB128" s="43" t="s">
        <v>1501</v>
      </c>
      <c r="BC128" s="44" t="str">
        <f>IF(meta_Columns[[#This Row],[Excel Column - Explicit Excel Formula]]="","",meta_Columns[[#This Row],[Excel Column - Explicit Excel Formula]])</f>
        <v>Formula:=IFNA(
INDEX(#REF!,MATCH(
INDEX(#REF!,MATCH(
INDEX(#REF!,MATCH(
INDEX(#REF!,MATCH(
INDEX(#REF!,MATCH(
INDEX(#REF!,MATCH([@[Property Owning Class]],meta_Classifiers[ID],0)),meta_Classifiers[ID],0)),meta_Classifiers[ID],0)),meta_Classifiers[ID],0)),meta_Classifiers[ID],0)),meta_Classifiers[ID],0))
=[@[Owning Table Instances Class]],FALSE)</v>
      </c>
      <c r="BD128" s="5"/>
      <c r="BE128" s="5"/>
    </row>
    <row r="129" spans="1:57">
      <c r="A129" s="10" t="s">
        <v>1113</v>
      </c>
      <c r="B129" s="5" t="s">
        <v>546</v>
      </c>
      <c r="C129" s="22" t="str">
        <f xml:space="preserve"> IF( TRIM( meta_Columns[[#This Row],[Kind:src]] ) = "", "",
        INDEX( meta_Classifiers[Display Qualified], MATCH( meta_Columns[[#This Row],[Kind:src]], meta_Classifiers[ID], 0 ) ) )</f>
        <v>ExcelColumn</v>
      </c>
      <c r="D129" s="44" t="str">
        <f>IF(meta_Columns[[#This Row],[Owning Table:src]]="","",INDEX(meta_Classifiers[Package],MATCH(meta_Columns[[#This Row],[Owning Table Instances Class]],meta_Classifiers[ID],0)))</f>
        <v>meta</v>
      </c>
      <c r="E129" s="43"/>
      <c r="F129" s="8" t="str">
        <f>INDEX(meta_Tables[Excel Table - Excel Name],MATCH(meta_Columns[[#This Row],[Owning Table:src]],meta_Tables[ID],0))</f>
        <v>meta_Columns</v>
      </c>
      <c r="G129" s="44" t="str">
        <f>INDEX(meta_Tables[Instances Class:src],MATCH(meta_Columns[[#This Row],[Owning Table:src]],meta_Tables[ID],0))</f>
        <v>_Column</v>
      </c>
      <c r="H129" s="11" t="s">
        <v>1013</v>
      </c>
      <c r="I129" s="43" t="str">
        <f xml:space="preserve"> IF( TRIM( meta_Columns[[#This Row],[Owning Table:src]] ) = "", "",
        INDEX( meta_Tables[Display Qualified], MATCH( meta_Columns[[#This Row],[Owning Table:src]], meta_Tables[ID], 0 ) ) )</f>
        <v>meta::Columns</v>
      </c>
      <c r="K129" s="22" t="str">
        <f>IF(TRIM(meta_Columns[[#This Row],[Referenced Table:src]])="","",
    INDEX(meta_Tables[Display Qualified],MATCH(meta_Columns[[#This Row],[Referenced Table:src]],meta_Tables[ID],0)))</f>
        <v/>
      </c>
      <c r="L129" s="8"/>
      <c r="M129" s="22" t="str">
        <f xml:space="preserve"> IF( TRIM( meta_Columns[[#This Row],[Referenced Table Display and Select Column:src]] ) = "", "",
        INDEX( meta_Columns[Display Qualified], MATCH( meta_Columns[[#This Row],[Referenced Table Display and Select Column:src]], meta_Columns[ID], 0 ) ) )</f>
        <v/>
      </c>
      <c r="N129" s="8" t="str">
        <f>IF(meta_Columns[[#This Row],[Excel Column - Excel Formula]]="","x","")</f>
        <v/>
      </c>
      <c r="O129" s="22"/>
      <c r="P129" s="8" t="str">
        <f>IF(meta_Columns[[#This Row],[Referenced Table:src]]="","",INDEX(meta_Tables[Instances Class],MATCH(meta_Columns[[#This Row],[Referenced Table:src]],meta_Tables[ID],0)))</f>
        <v/>
      </c>
      <c r="Q1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meta::Column.isFromSpecialization5</v>
      </c>
      <c r="R129" s="8"/>
      <c r="S129" s="22" t="str">
        <f xml:space="preserve"> IF( TRIM( meta_Columns[[#This Row],[Property:src]] ) = "", "",
        INDEX( meta_TypedModelElements[Display Qualified], MATCH( meta_Columns[[#This Row],[Property:src]], meta_TypedModelElements[ID], 0 ) ) )</f>
        <v/>
      </c>
      <c r="T129" s="22"/>
      <c r="U129" s="8" t="e">
        <f>INDEX(meta_Classifiers[Class - Generalization:src], MATCH(meta_Columns[[#This Row],[Generalization 5]],meta_Classifiers[ID],0))</f>
        <v>#N/A</v>
      </c>
      <c r="V129" s="8" t="e">
        <f>INDEX(meta_Classifiers[Class - Generalization:src], MATCH(meta_Columns[[#This Row],[Generalization 4]],meta_Classifiers[ID],0))</f>
        <v>#N/A</v>
      </c>
      <c r="W129" s="8" t="e">
        <f>INDEX(meta_Classifiers[Class - Generalization:src], MATCH(meta_Columns[[#This Row],[Generalization 3]],meta_Classifiers[ID],0))</f>
        <v>#N/A</v>
      </c>
      <c r="X129" s="8" t="str">
        <f>INDEX(meta_Classifiers[Class - Generalization:src], MATCH(meta_Columns[[#This Row],[Generalization 2]],meta_Classifiers[ID],0))</f>
        <v/>
      </c>
      <c r="Y129" s="8" t="str">
        <f>INDEX(meta_Classifiers[Class - Generalization:src], MATCH(meta_Columns[[#This Row],[Generalization 1]],meta_Classifiers[ID],0))</f>
        <v>_Object</v>
      </c>
      <c r="Z129" s="8" t="str">
        <f>INDEX(meta_Classifiers[Class - Generalization:src], MATCH(meta_Columns[[#This Row],[Owning Table Instances Class]],meta_Classifiers[ID],0))</f>
        <v>_NamedElement</v>
      </c>
      <c r="AA1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9" s="8" t="b">
        <f>_xlfn.IFNA(
INDEX(meta_Classifiers[Class - Generalization:src],MATCH(
INDEX(meta_Classifiers[Class - Generalization:src],MATCH(meta_Columns[[#This Row],[Property Owning Class]],meta_Classifiers[ID],0)),meta_Classifiers[ID],0))
=meta_Columns[[#This Row],[Owning Table Instances Class]],FALSE)</f>
        <v>0</v>
      </c>
      <c r="AG129" s="8" t="b">
        <f>_xlfn.IFNA(INDEX(meta_Classifiers[Class - Generalization:src],MATCH(meta_Columns[[#This Row],[Property Owning Class]],meta_Classifiers[ID],0))=meta_Columns[[#This Row],[Owning Table Instances Class]],FALSE)</f>
        <v>0</v>
      </c>
      <c r="AH1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9" s="8" t="e">
        <f>INDEX(meta_Classifiers[Name],MATCH(INDEX(meta_TypedModelElements[Property - Owning Class:src],MATCH(meta_Columns[[#This Row],[Property]],meta_TypedModelElements[ID],0)),meta_Classifiers[ID],0))</f>
        <v>#N/A</v>
      </c>
      <c r="AJ129" s="8" t="e">
        <f>INDEX(meta_TypedModelElements[Property - Owning Class:src],MATCH(meta_Columns[[#This Row],[Property]],meta_TypedModelElements[ID],0))</f>
        <v>#N/A</v>
      </c>
      <c r="AK129" s="8" t="e">
        <f>INDEX(meta_TypedModelElements[Kind:src],MATCH(meta_Columns[[#This Row],[Property]],meta_TypedModelElements[ID],0))</f>
        <v>#N/A</v>
      </c>
      <c r="AL129" s="8" t="e">
        <f>INDEX(meta_TypedModelElements[Name or Type],MATCH(meta_Columns[[#This Row],[Property]],meta_TypedModelElements[ID],0))</f>
        <v>#N/A</v>
      </c>
      <c r="AM129" s="8" t="e">
        <f>INDEX(meta_TypedModelElements[Property - Changeable],MATCH(meta_Columns[[#This Row],[Property]],meta_TypedModelElements[ID],0))</f>
        <v>#N/A</v>
      </c>
      <c r="AN129" s="43">
        <v>29</v>
      </c>
      <c r="AO129" s="22"/>
      <c r="AP1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9" s="8" t="str">
        <f xml:space="preserve"> IF(meta_Columns[[#This Row],[Property Owning Class is Specialization of Instance Class]],meta_Columns[[#This Row],[Property Owning Class Name]]&amp;" - ","")</f>
        <v/>
      </c>
      <c r="AR1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5</v>
      </c>
      <c r="AT129" s="8" t="str">
        <f>IFERROR(LEFT(meta_Columns[[#This Row],[Excel Column - Label Actual without Semantic Case]],FIND("-",
meta_Columns[[#This Row],[Excel Column - Label Actual without Semantic Case]])-2),"")</f>
        <v/>
      </c>
      <c r="AU1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5</v>
      </c>
      <c r="AV1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5</v>
      </c>
      <c r="AX129" s="22"/>
      <c r="AY129" s="8" t="str">
        <f>meta_Columns[[#This Row],[Owning Table]]&amp;"."&amp;meta_Columns[[#This Row],[Excel Column - Label]]</f>
        <v>meta::Columns.Is From Specialization 5</v>
      </c>
      <c r="AZ129" s="22" t="s">
        <v>493</v>
      </c>
      <c r="BA129" s="8" t="str">
        <f>IF(TRIM(meta_Columns[[#This Row],[Excel Column - Label Overwrite]])&lt;&gt;"",meta_Columns[[#This Row],[Excel Column - Label Overwrite]],meta_Columns[[#This Row],[Excel Column - Label from Property or Referenced Table]])</f>
        <v>Is From Specialization 5</v>
      </c>
      <c r="BB129" s="43" t="s">
        <v>1502</v>
      </c>
      <c r="BC129" s="44" t="str">
        <f>IF(meta_Columns[[#This Row],[Excel Column - Explicit Excel Formula]]="","",meta_Columns[[#This Row],[Excel Column - Explicit Excel Formula]])</f>
        <v>Formula:=IFNA(
INDEX(#REF!,MATCH(
INDEX(#REF!,MATCH(
INDEX(#REF!,MATCH(
INDEX(#REF!,MATCH(
INDEX(#REF!,MATCH([@[Property Owning Class]],meta_Classifiers[ID],0)),meta_Classifiers[ID],0)),meta_Classifiers[ID],0)),meta_Classifiers[ID],0)),meta_Classifiers[ID],0))
=[@[Owning Table Instances Class]],FALSE)</v>
      </c>
      <c r="BD129" s="5"/>
      <c r="BE129" s="5"/>
    </row>
    <row r="130" spans="1:57">
      <c r="A130" s="10" t="s">
        <v>1114</v>
      </c>
      <c r="B130" s="5" t="s">
        <v>546</v>
      </c>
      <c r="C130" s="22" t="str">
        <f xml:space="preserve"> IF( TRIM( meta_Columns[[#This Row],[Kind:src]] ) = "", "",
        INDEX( meta_Classifiers[Display Qualified], MATCH( meta_Columns[[#This Row],[Kind:src]], meta_Classifiers[ID], 0 ) ) )</f>
        <v>ExcelColumn</v>
      </c>
      <c r="D130" s="44" t="str">
        <f>IF(meta_Columns[[#This Row],[Owning Table:src]]="","",INDEX(meta_Classifiers[Package],MATCH(meta_Columns[[#This Row],[Owning Table Instances Class]],meta_Classifiers[ID],0)))</f>
        <v>meta</v>
      </c>
      <c r="E130" s="43"/>
      <c r="F130" s="8" t="str">
        <f>INDEX(meta_Tables[Excel Table - Excel Name],MATCH(meta_Columns[[#This Row],[Owning Table:src]],meta_Tables[ID],0))</f>
        <v>meta_Columns</v>
      </c>
      <c r="G130" s="44" t="str">
        <f>INDEX(meta_Tables[Instances Class:src],MATCH(meta_Columns[[#This Row],[Owning Table:src]],meta_Tables[ID],0))</f>
        <v>_Column</v>
      </c>
      <c r="H130" s="11" t="s">
        <v>1013</v>
      </c>
      <c r="I130" s="43" t="str">
        <f xml:space="preserve"> IF( TRIM( meta_Columns[[#This Row],[Owning Table:src]] ) = "", "",
        INDEX( meta_Tables[Display Qualified], MATCH( meta_Columns[[#This Row],[Owning Table:src]], meta_Tables[ID], 0 ) ) )</f>
        <v>meta::Columns</v>
      </c>
      <c r="K130" s="22" t="str">
        <f>IF(TRIM(meta_Columns[[#This Row],[Referenced Table:src]])="","",
    INDEX(meta_Tables[Display Qualified],MATCH(meta_Columns[[#This Row],[Referenced Table:src]],meta_Tables[ID],0)))</f>
        <v/>
      </c>
      <c r="L130" s="8"/>
      <c r="M130" s="22" t="str">
        <f xml:space="preserve"> IF( TRIM( meta_Columns[[#This Row],[Referenced Table Display and Select Column:src]] ) = "", "",
        INDEX( meta_Columns[Display Qualified], MATCH( meta_Columns[[#This Row],[Referenced Table Display and Select Column:src]], meta_Columns[ID], 0 ) ) )</f>
        <v/>
      </c>
      <c r="N130" s="8" t="str">
        <f>IF(meta_Columns[[#This Row],[Excel Column - Excel Formula]]="","x","")</f>
        <v/>
      </c>
      <c r="O130" s="22"/>
      <c r="P130" s="8" t="str">
        <f>IF(meta_Columns[[#This Row],[Referenced Table:src]]="","",INDEX(meta_Tables[Instances Class],MATCH(meta_Columns[[#This Row],[Referenced Table:src]],meta_Tables[ID],0)))</f>
        <v/>
      </c>
      <c r="Q1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meta::Column.isFromSpecialization4</v>
      </c>
      <c r="R130" s="8"/>
      <c r="S130" s="22" t="str">
        <f xml:space="preserve"> IF( TRIM( meta_Columns[[#This Row],[Property:src]] ) = "", "",
        INDEX( meta_TypedModelElements[Display Qualified], MATCH( meta_Columns[[#This Row],[Property:src]], meta_TypedModelElements[ID], 0 ) ) )</f>
        <v/>
      </c>
      <c r="T130" s="22"/>
      <c r="U130" s="8" t="e">
        <f>INDEX(meta_Classifiers[Class - Generalization:src], MATCH(meta_Columns[[#This Row],[Generalization 5]],meta_Classifiers[ID],0))</f>
        <v>#N/A</v>
      </c>
      <c r="V130" s="8" t="e">
        <f>INDEX(meta_Classifiers[Class - Generalization:src], MATCH(meta_Columns[[#This Row],[Generalization 4]],meta_Classifiers[ID],0))</f>
        <v>#N/A</v>
      </c>
      <c r="W130" s="8" t="e">
        <f>INDEX(meta_Classifiers[Class - Generalization:src], MATCH(meta_Columns[[#This Row],[Generalization 3]],meta_Classifiers[ID],0))</f>
        <v>#N/A</v>
      </c>
      <c r="X130" s="8" t="str">
        <f>INDEX(meta_Classifiers[Class - Generalization:src], MATCH(meta_Columns[[#This Row],[Generalization 2]],meta_Classifiers[ID],0))</f>
        <v/>
      </c>
      <c r="Y130" s="8" t="str">
        <f>INDEX(meta_Classifiers[Class - Generalization:src], MATCH(meta_Columns[[#This Row],[Generalization 1]],meta_Classifiers[ID],0))</f>
        <v>_Object</v>
      </c>
      <c r="Z130" s="8" t="str">
        <f>INDEX(meta_Classifiers[Class - Generalization:src], MATCH(meta_Columns[[#This Row],[Owning Table Instances Class]],meta_Classifiers[ID],0))</f>
        <v>_NamedElement</v>
      </c>
      <c r="AA1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0" s="8" t="b">
        <f>_xlfn.IFNA(
INDEX(meta_Classifiers[Class - Generalization:src],MATCH(
INDEX(meta_Classifiers[Class - Generalization:src],MATCH(meta_Columns[[#This Row],[Property Owning Class]],meta_Classifiers[ID],0)),meta_Classifiers[ID],0))
=meta_Columns[[#This Row],[Owning Table Instances Class]],FALSE)</f>
        <v>0</v>
      </c>
      <c r="AG130" s="8" t="b">
        <f>_xlfn.IFNA(INDEX(meta_Classifiers[Class - Generalization:src],MATCH(meta_Columns[[#This Row],[Property Owning Class]],meta_Classifiers[ID],0))=meta_Columns[[#This Row],[Owning Table Instances Class]],FALSE)</f>
        <v>0</v>
      </c>
      <c r="AH1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0" s="8" t="e">
        <f>INDEX(meta_Classifiers[Name],MATCH(INDEX(meta_TypedModelElements[Property - Owning Class:src],MATCH(meta_Columns[[#This Row],[Property]],meta_TypedModelElements[ID],0)),meta_Classifiers[ID],0))</f>
        <v>#N/A</v>
      </c>
      <c r="AJ130" s="8" t="e">
        <f>INDEX(meta_TypedModelElements[Property - Owning Class:src],MATCH(meta_Columns[[#This Row],[Property]],meta_TypedModelElements[ID],0))</f>
        <v>#N/A</v>
      </c>
      <c r="AK130" s="8" t="e">
        <f>INDEX(meta_TypedModelElements[Kind:src],MATCH(meta_Columns[[#This Row],[Property]],meta_TypedModelElements[ID],0))</f>
        <v>#N/A</v>
      </c>
      <c r="AL130" s="8" t="e">
        <f>INDEX(meta_TypedModelElements[Name or Type],MATCH(meta_Columns[[#This Row],[Property]],meta_TypedModelElements[ID],0))</f>
        <v>#N/A</v>
      </c>
      <c r="AM130" s="8" t="e">
        <f>INDEX(meta_TypedModelElements[Property - Changeable],MATCH(meta_Columns[[#This Row],[Property]],meta_TypedModelElements[ID],0))</f>
        <v>#N/A</v>
      </c>
      <c r="AN130" s="43">
        <v>30</v>
      </c>
      <c r="AO130" s="22"/>
      <c r="AP1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0" s="8" t="str">
        <f xml:space="preserve"> IF(meta_Columns[[#This Row],[Property Owning Class is Specialization of Instance Class]],meta_Columns[[#This Row],[Property Owning Class Name]]&amp;" - ","")</f>
        <v/>
      </c>
      <c r="AR1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4</v>
      </c>
      <c r="AT130" s="8" t="str">
        <f>IFERROR(LEFT(meta_Columns[[#This Row],[Excel Column - Label Actual without Semantic Case]],FIND("-",
meta_Columns[[#This Row],[Excel Column - Label Actual without Semantic Case]])-2),"")</f>
        <v/>
      </c>
      <c r="AU1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4</v>
      </c>
      <c r="AV1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4</v>
      </c>
      <c r="AX130" s="22"/>
      <c r="AY130" s="8" t="str">
        <f>meta_Columns[[#This Row],[Owning Table]]&amp;"."&amp;meta_Columns[[#This Row],[Excel Column - Label]]</f>
        <v>meta::Columns.Is From Specialization 4</v>
      </c>
      <c r="AZ130" s="22" t="s">
        <v>492</v>
      </c>
      <c r="BA130" s="8" t="str">
        <f>IF(TRIM(meta_Columns[[#This Row],[Excel Column - Label Overwrite]])&lt;&gt;"",meta_Columns[[#This Row],[Excel Column - Label Overwrite]],meta_Columns[[#This Row],[Excel Column - Label from Property or Referenced Table]])</f>
        <v>Is From Specialization 4</v>
      </c>
      <c r="BB130" s="43" t="s">
        <v>1503</v>
      </c>
      <c r="BC130" s="44" t="str">
        <f>IF(meta_Columns[[#This Row],[Excel Column - Explicit Excel Formula]]="","",meta_Columns[[#This Row],[Excel Column - Explicit Excel Formula]])</f>
        <v>Formula:=IFNA(
INDEX(#REF!,MATCH(
INDEX(#REF!,MATCH(
INDEX(#REF!,MATCH(
INDEX(#REF!,MATCH([@[Property Owning Class]],meta_Classifiers[ID],0)),meta_Classifiers[ID],0)),meta_Classifiers[ID],0)),meta_Classifiers[ID],0))
=[@[Owning Table Instances Class]],FALSE)</v>
      </c>
      <c r="BD130" s="5"/>
      <c r="BE130" s="5"/>
    </row>
    <row r="131" spans="1:57">
      <c r="A131" s="10" t="s">
        <v>1115</v>
      </c>
      <c r="B131" s="5" t="s">
        <v>546</v>
      </c>
      <c r="C131" s="22" t="str">
        <f xml:space="preserve"> IF( TRIM( meta_Columns[[#This Row],[Kind:src]] ) = "", "",
        INDEX( meta_Classifiers[Display Qualified], MATCH( meta_Columns[[#This Row],[Kind:src]], meta_Classifiers[ID], 0 ) ) )</f>
        <v>ExcelColumn</v>
      </c>
      <c r="D131" s="44" t="str">
        <f>IF(meta_Columns[[#This Row],[Owning Table:src]]="","",INDEX(meta_Classifiers[Package],MATCH(meta_Columns[[#This Row],[Owning Table Instances Class]],meta_Classifiers[ID],0)))</f>
        <v>meta</v>
      </c>
      <c r="E131" s="43"/>
      <c r="F131" s="8" t="str">
        <f>INDEX(meta_Tables[Excel Table - Excel Name],MATCH(meta_Columns[[#This Row],[Owning Table:src]],meta_Tables[ID],0))</f>
        <v>meta_Columns</v>
      </c>
      <c r="G131" s="44" t="str">
        <f>INDEX(meta_Tables[Instances Class:src],MATCH(meta_Columns[[#This Row],[Owning Table:src]],meta_Tables[ID],0))</f>
        <v>_Column</v>
      </c>
      <c r="H131" s="11" t="s">
        <v>1013</v>
      </c>
      <c r="I131" s="43" t="str">
        <f xml:space="preserve"> IF( TRIM( meta_Columns[[#This Row],[Owning Table:src]] ) = "", "",
        INDEX( meta_Tables[Display Qualified], MATCH( meta_Columns[[#This Row],[Owning Table:src]], meta_Tables[ID], 0 ) ) )</f>
        <v>meta::Columns</v>
      </c>
      <c r="K131" s="22" t="str">
        <f>IF(TRIM(meta_Columns[[#This Row],[Referenced Table:src]])="","",
    INDEX(meta_Tables[Display Qualified],MATCH(meta_Columns[[#This Row],[Referenced Table:src]],meta_Tables[ID],0)))</f>
        <v/>
      </c>
      <c r="L131" s="8"/>
      <c r="M131" s="22" t="str">
        <f xml:space="preserve"> IF( TRIM( meta_Columns[[#This Row],[Referenced Table Display and Select Column:src]] ) = "", "",
        INDEX( meta_Columns[Display Qualified], MATCH( meta_Columns[[#This Row],[Referenced Table Display and Select Column:src]], meta_Columns[ID], 0 ) ) )</f>
        <v/>
      </c>
      <c r="N131" s="8" t="str">
        <f>IF(meta_Columns[[#This Row],[Excel Column - Excel Formula]]="","x","")</f>
        <v/>
      </c>
      <c r="O131" s="22"/>
      <c r="P131" s="8" t="str">
        <f>IF(meta_Columns[[#This Row],[Referenced Table:src]]="","",INDEX(meta_Tables[Instances Class],MATCH(meta_Columns[[#This Row],[Referenced Table:src]],meta_Tables[ID],0)))</f>
        <v/>
      </c>
      <c r="Q1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meta::Column.isFromSpecialization3</v>
      </c>
      <c r="R131" s="8"/>
      <c r="S131" s="22" t="str">
        <f xml:space="preserve"> IF( TRIM( meta_Columns[[#This Row],[Property:src]] ) = "", "",
        INDEX( meta_TypedModelElements[Display Qualified], MATCH( meta_Columns[[#This Row],[Property:src]], meta_TypedModelElements[ID], 0 ) ) )</f>
        <v/>
      </c>
      <c r="T131" s="22"/>
      <c r="U131" s="8" t="e">
        <f>INDEX(meta_Classifiers[Class - Generalization:src], MATCH(meta_Columns[[#This Row],[Generalization 5]],meta_Classifiers[ID],0))</f>
        <v>#N/A</v>
      </c>
      <c r="V131" s="8" t="e">
        <f>INDEX(meta_Classifiers[Class - Generalization:src], MATCH(meta_Columns[[#This Row],[Generalization 4]],meta_Classifiers[ID],0))</f>
        <v>#N/A</v>
      </c>
      <c r="W131" s="8" t="e">
        <f>INDEX(meta_Classifiers[Class - Generalization:src], MATCH(meta_Columns[[#This Row],[Generalization 3]],meta_Classifiers[ID],0))</f>
        <v>#N/A</v>
      </c>
      <c r="X131" s="8" t="str">
        <f>INDEX(meta_Classifiers[Class - Generalization:src], MATCH(meta_Columns[[#This Row],[Generalization 2]],meta_Classifiers[ID],0))</f>
        <v/>
      </c>
      <c r="Y131" s="8" t="str">
        <f>INDEX(meta_Classifiers[Class - Generalization:src], MATCH(meta_Columns[[#This Row],[Generalization 1]],meta_Classifiers[ID],0))</f>
        <v>_Object</v>
      </c>
      <c r="Z131" s="8" t="str">
        <f>INDEX(meta_Classifiers[Class - Generalization:src], MATCH(meta_Columns[[#This Row],[Owning Table Instances Class]],meta_Classifiers[ID],0))</f>
        <v>_NamedElement</v>
      </c>
      <c r="AA1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1" s="8" t="b">
        <f>_xlfn.IFNA(
INDEX(meta_Classifiers[Class - Generalization:src],MATCH(
INDEX(meta_Classifiers[Class - Generalization:src],MATCH(meta_Columns[[#This Row],[Property Owning Class]],meta_Classifiers[ID],0)),meta_Classifiers[ID],0))
=meta_Columns[[#This Row],[Owning Table Instances Class]],FALSE)</f>
        <v>0</v>
      </c>
      <c r="AG131" s="8" t="b">
        <f>_xlfn.IFNA(INDEX(meta_Classifiers[Class - Generalization:src],MATCH(meta_Columns[[#This Row],[Property Owning Class]],meta_Classifiers[ID],0))=meta_Columns[[#This Row],[Owning Table Instances Class]],FALSE)</f>
        <v>0</v>
      </c>
      <c r="AH1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1" s="8" t="e">
        <f>INDEX(meta_Classifiers[Name],MATCH(INDEX(meta_TypedModelElements[Property - Owning Class:src],MATCH(meta_Columns[[#This Row],[Property]],meta_TypedModelElements[ID],0)),meta_Classifiers[ID],0))</f>
        <v>#N/A</v>
      </c>
      <c r="AJ131" s="8" t="e">
        <f>INDEX(meta_TypedModelElements[Property - Owning Class:src],MATCH(meta_Columns[[#This Row],[Property]],meta_TypedModelElements[ID],0))</f>
        <v>#N/A</v>
      </c>
      <c r="AK131" s="8" t="e">
        <f>INDEX(meta_TypedModelElements[Kind:src],MATCH(meta_Columns[[#This Row],[Property]],meta_TypedModelElements[ID],0))</f>
        <v>#N/A</v>
      </c>
      <c r="AL131" s="8" t="e">
        <f>INDEX(meta_TypedModelElements[Name or Type],MATCH(meta_Columns[[#This Row],[Property]],meta_TypedModelElements[ID],0))</f>
        <v>#N/A</v>
      </c>
      <c r="AM131" s="8" t="e">
        <f>INDEX(meta_TypedModelElements[Property - Changeable],MATCH(meta_Columns[[#This Row],[Property]],meta_TypedModelElements[ID],0))</f>
        <v>#N/A</v>
      </c>
      <c r="AN131" s="43">
        <v>31</v>
      </c>
      <c r="AO131" s="22"/>
      <c r="AP1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1" s="8" t="str">
        <f xml:space="preserve"> IF(meta_Columns[[#This Row],[Property Owning Class is Specialization of Instance Class]],meta_Columns[[#This Row],[Property Owning Class Name]]&amp;" - ","")</f>
        <v/>
      </c>
      <c r="AR1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3</v>
      </c>
      <c r="AT131" s="8" t="str">
        <f>IFERROR(LEFT(meta_Columns[[#This Row],[Excel Column - Label Actual without Semantic Case]],FIND("-",
meta_Columns[[#This Row],[Excel Column - Label Actual without Semantic Case]])-2),"")</f>
        <v/>
      </c>
      <c r="AU1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3</v>
      </c>
      <c r="AV1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3</v>
      </c>
      <c r="AX131" s="22"/>
      <c r="AY131" s="8" t="str">
        <f>meta_Columns[[#This Row],[Owning Table]]&amp;"."&amp;meta_Columns[[#This Row],[Excel Column - Label]]</f>
        <v>meta::Columns.Is From Specialization 3</v>
      </c>
      <c r="AZ131" s="22" t="s">
        <v>491</v>
      </c>
      <c r="BA131" s="8" t="str">
        <f>IF(TRIM(meta_Columns[[#This Row],[Excel Column - Label Overwrite]])&lt;&gt;"",meta_Columns[[#This Row],[Excel Column - Label Overwrite]],meta_Columns[[#This Row],[Excel Column - Label from Property or Referenced Table]])</f>
        <v>Is From Specialization 3</v>
      </c>
      <c r="BB131" s="43" t="s">
        <v>1504</v>
      </c>
      <c r="BC131" s="44" t="str">
        <f>IF(meta_Columns[[#This Row],[Excel Column - Explicit Excel Formula]]="","",meta_Columns[[#This Row],[Excel Column - Explicit Excel Formula]])</f>
        <v>Formula:=IFNA(
INDEX(#REF!,MATCH(
INDEX(#REF!,MATCH(
INDEX(#REF!,MATCH([@[Property Owning Class]],meta_Classifiers[ID],0)),meta_Classifiers[ID],0)),meta_Classifiers[ID],0))
=[@[Owning Table Instances Class]],FALSE)</v>
      </c>
      <c r="BD131" s="5"/>
      <c r="BE131" s="5"/>
    </row>
    <row r="132" spans="1:57">
      <c r="A132" s="10" t="s">
        <v>1116</v>
      </c>
      <c r="B132" s="5" t="s">
        <v>546</v>
      </c>
      <c r="C132" s="22" t="str">
        <f xml:space="preserve"> IF( TRIM( meta_Columns[[#This Row],[Kind:src]] ) = "", "",
        INDEX( meta_Classifiers[Display Qualified], MATCH( meta_Columns[[#This Row],[Kind:src]], meta_Classifiers[ID], 0 ) ) )</f>
        <v>ExcelColumn</v>
      </c>
      <c r="D132" s="44" t="str">
        <f>IF(meta_Columns[[#This Row],[Owning Table:src]]="","",INDEX(meta_Classifiers[Package],MATCH(meta_Columns[[#This Row],[Owning Table Instances Class]],meta_Classifiers[ID],0)))</f>
        <v>meta</v>
      </c>
      <c r="E132" s="43"/>
      <c r="F132" s="8" t="str">
        <f>INDEX(meta_Tables[Excel Table - Excel Name],MATCH(meta_Columns[[#This Row],[Owning Table:src]],meta_Tables[ID],0))</f>
        <v>meta_Columns</v>
      </c>
      <c r="G132" s="44" t="str">
        <f>INDEX(meta_Tables[Instances Class:src],MATCH(meta_Columns[[#This Row],[Owning Table:src]],meta_Tables[ID],0))</f>
        <v>_Column</v>
      </c>
      <c r="H132" s="11" t="s">
        <v>1013</v>
      </c>
      <c r="I132" s="43" t="str">
        <f xml:space="preserve"> IF( TRIM( meta_Columns[[#This Row],[Owning Table:src]] ) = "", "",
        INDEX( meta_Tables[Display Qualified], MATCH( meta_Columns[[#This Row],[Owning Table:src]], meta_Tables[ID], 0 ) ) )</f>
        <v>meta::Columns</v>
      </c>
      <c r="K132" s="22" t="str">
        <f>IF(TRIM(meta_Columns[[#This Row],[Referenced Table:src]])="","",
    INDEX(meta_Tables[Display Qualified],MATCH(meta_Columns[[#This Row],[Referenced Table:src]],meta_Tables[ID],0)))</f>
        <v/>
      </c>
      <c r="L132" s="8"/>
      <c r="M132" s="22" t="str">
        <f xml:space="preserve"> IF( TRIM( meta_Columns[[#This Row],[Referenced Table Display and Select Column:src]] ) = "", "",
        INDEX( meta_Columns[Display Qualified], MATCH( meta_Columns[[#This Row],[Referenced Table Display and Select Column:src]], meta_Columns[ID], 0 ) ) )</f>
        <v/>
      </c>
      <c r="N132" s="8" t="str">
        <f>IF(meta_Columns[[#This Row],[Excel Column - Excel Formula]]="","x","")</f>
        <v/>
      </c>
      <c r="O132" s="22"/>
      <c r="P132" s="8" t="str">
        <f>IF(meta_Columns[[#This Row],[Referenced Table:src]]="","",INDEX(meta_Tables[Instances Class],MATCH(meta_Columns[[#This Row],[Referenced Table:src]],meta_Tables[ID],0)))</f>
        <v/>
      </c>
      <c r="Q1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meta::Column.isFromSpecialization2</v>
      </c>
      <c r="R132" s="8"/>
      <c r="S132" s="22" t="str">
        <f xml:space="preserve"> IF( TRIM( meta_Columns[[#This Row],[Property:src]] ) = "", "",
        INDEX( meta_TypedModelElements[Display Qualified], MATCH( meta_Columns[[#This Row],[Property:src]], meta_TypedModelElements[ID], 0 ) ) )</f>
        <v/>
      </c>
      <c r="T132" s="22"/>
      <c r="U132" s="8" t="e">
        <f>INDEX(meta_Classifiers[Class - Generalization:src], MATCH(meta_Columns[[#This Row],[Generalization 5]],meta_Classifiers[ID],0))</f>
        <v>#N/A</v>
      </c>
      <c r="V132" s="8" t="e">
        <f>INDEX(meta_Classifiers[Class - Generalization:src], MATCH(meta_Columns[[#This Row],[Generalization 4]],meta_Classifiers[ID],0))</f>
        <v>#N/A</v>
      </c>
      <c r="W132" s="8" t="e">
        <f>INDEX(meta_Classifiers[Class - Generalization:src], MATCH(meta_Columns[[#This Row],[Generalization 3]],meta_Classifiers[ID],0))</f>
        <v>#N/A</v>
      </c>
      <c r="X132" s="8" t="str">
        <f>INDEX(meta_Classifiers[Class - Generalization:src], MATCH(meta_Columns[[#This Row],[Generalization 2]],meta_Classifiers[ID],0))</f>
        <v/>
      </c>
      <c r="Y132" s="8" t="str">
        <f>INDEX(meta_Classifiers[Class - Generalization:src], MATCH(meta_Columns[[#This Row],[Generalization 1]],meta_Classifiers[ID],0))</f>
        <v>_Object</v>
      </c>
      <c r="Z132" s="8" t="str">
        <f>INDEX(meta_Classifiers[Class - Generalization:src], MATCH(meta_Columns[[#This Row],[Owning Table Instances Class]],meta_Classifiers[ID],0))</f>
        <v>_NamedElement</v>
      </c>
      <c r="AA1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2" s="8" t="b">
        <f>_xlfn.IFNA(
INDEX(meta_Classifiers[Class - Generalization:src],MATCH(
INDEX(meta_Classifiers[Class - Generalization:src],MATCH(meta_Columns[[#This Row],[Property Owning Class]],meta_Classifiers[ID],0)),meta_Classifiers[ID],0))
=meta_Columns[[#This Row],[Owning Table Instances Class]],FALSE)</f>
        <v>0</v>
      </c>
      <c r="AG132" s="8" t="b">
        <f>_xlfn.IFNA(INDEX(meta_Classifiers[Class - Generalization:src],MATCH(meta_Columns[[#This Row],[Property Owning Class]],meta_Classifiers[ID],0))=meta_Columns[[#This Row],[Owning Table Instances Class]],FALSE)</f>
        <v>0</v>
      </c>
      <c r="AH1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2" s="8" t="e">
        <f>INDEX(meta_Classifiers[Name],MATCH(INDEX(meta_TypedModelElements[Property - Owning Class:src],MATCH(meta_Columns[[#This Row],[Property]],meta_TypedModelElements[ID],0)),meta_Classifiers[ID],0))</f>
        <v>#N/A</v>
      </c>
      <c r="AJ132" s="8" t="e">
        <f>INDEX(meta_TypedModelElements[Property - Owning Class:src],MATCH(meta_Columns[[#This Row],[Property]],meta_TypedModelElements[ID],0))</f>
        <v>#N/A</v>
      </c>
      <c r="AK132" s="8" t="e">
        <f>INDEX(meta_TypedModelElements[Kind:src],MATCH(meta_Columns[[#This Row],[Property]],meta_TypedModelElements[ID],0))</f>
        <v>#N/A</v>
      </c>
      <c r="AL132" s="8" t="e">
        <f>INDEX(meta_TypedModelElements[Name or Type],MATCH(meta_Columns[[#This Row],[Property]],meta_TypedModelElements[ID],0))</f>
        <v>#N/A</v>
      </c>
      <c r="AM132" s="8" t="e">
        <f>INDEX(meta_TypedModelElements[Property - Changeable],MATCH(meta_Columns[[#This Row],[Property]],meta_TypedModelElements[ID],0))</f>
        <v>#N/A</v>
      </c>
      <c r="AN132" s="43">
        <v>32</v>
      </c>
      <c r="AO132" s="22"/>
      <c r="AP1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2" s="8" t="str">
        <f xml:space="preserve"> IF(meta_Columns[[#This Row],[Property Owning Class is Specialization of Instance Class]],meta_Columns[[#This Row],[Property Owning Class Name]]&amp;" - ","")</f>
        <v/>
      </c>
      <c r="AR1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2</v>
      </c>
      <c r="AT132" s="8" t="str">
        <f>IFERROR(LEFT(meta_Columns[[#This Row],[Excel Column - Label Actual without Semantic Case]],FIND("-",
meta_Columns[[#This Row],[Excel Column - Label Actual without Semantic Case]])-2),"")</f>
        <v/>
      </c>
      <c r="AU1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2</v>
      </c>
      <c r="AV1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2</v>
      </c>
      <c r="AX132" s="22"/>
      <c r="AY132" s="8" t="str">
        <f>meta_Columns[[#This Row],[Owning Table]]&amp;"."&amp;meta_Columns[[#This Row],[Excel Column - Label]]</f>
        <v>meta::Columns.Is From Specialization 2</v>
      </c>
      <c r="AZ132" s="22" t="s">
        <v>490</v>
      </c>
      <c r="BA132" s="8" t="str">
        <f>IF(TRIM(meta_Columns[[#This Row],[Excel Column - Label Overwrite]])&lt;&gt;"",meta_Columns[[#This Row],[Excel Column - Label Overwrite]],meta_Columns[[#This Row],[Excel Column - Label from Property or Referenced Table]])</f>
        <v>Is From Specialization 2</v>
      </c>
      <c r="BB132" s="43" t="s">
        <v>1505</v>
      </c>
      <c r="BC132" s="44" t="str">
        <f>IF(meta_Columns[[#This Row],[Excel Column - Explicit Excel Formula]]="","",meta_Columns[[#This Row],[Excel Column - Explicit Excel Formula]])</f>
        <v>Formula:=IFNA(
INDEX(#REF!,MATCH(
INDEX(#REF!,MATCH([@[Property Owning Class]],meta_Classifiers[ID],0)),meta_Classifiers[ID],0))
=[@[Owning Table Instances Class]],FALSE)</v>
      </c>
      <c r="BD132" s="5"/>
      <c r="BE132" s="5"/>
    </row>
    <row r="133" spans="1:57">
      <c r="A133" s="10" t="s">
        <v>1117</v>
      </c>
      <c r="B133" s="5" t="s">
        <v>546</v>
      </c>
      <c r="C133" s="22" t="str">
        <f xml:space="preserve"> IF( TRIM( meta_Columns[[#This Row],[Kind:src]] ) = "", "",
        INDEX( meta_Classifiers[Display Qualified], MATCH( meta_Columns[[#This Row],[Kind:src]], meta_Classifiers[ID], 0 ) ) )</f>
        <v>ExcelColumn</v>
      </c>
      <c r="D133" s="44" t="str">
        <f>IF(meta_Columns[[#This Row],[Owning Table:src]]="","",INDEX(meta_Classifiers[Package],MATCH(meta_Columns[[#This Row],[Owning Table Instances Class]],meta_Classifiers[ID],0)))</f>
        <v>meta</v>
      </c>
      <c r="E133" s="43"/>
      <c r="F133" s="8" t="str">
        <f>INDEX(meta_Tables[Excel Table - Excel Name],MATCH(meta_Columns[[#This Row],[Owning Table:src]],meta_Tables[ID],0))</f>
        <v>meta_Columns</v>
      </c>
      <c r="G133" s="44" t="str">
        <f>INDEX(meta_Tables[Instances Class:src],MATCH(meta_Columns[[#This Row],[Owning Table:src]],meta_Tables[ID],0))</f>
        <v>_Column</v>
      </c>
      <c r="H133" s="11" t="s">
        <v>1013</v>
      </c>
      <c r="I133" s="43" t="str">
        <f xml:space="preserve"> IF( TRIM( meta_Columns[[#This Row],[Owning Table:src]] ) = "", "",
        INDEX( meta_Tables[Display Qualified], MATCH( meta_Columns[[#This Row],[Owning Table:src]], meta_Tables[ID], 0 ) ) )</f>
        <v>meta::Columns</v>
      </c>
      <c r="K133" s="22" t="str">
        <f>IF(TRIM(meta_Columns[[#This Row],[Referenced Table:src]])="","",
    INDEX(meta_Tables[Display Qualified],MATCH(meta_Columns[[#This Row],[Referenced Table:src]],meta_Tables[ID],0)))</f>
        <v/>
      </c>
      <c r="L133" s="8"/>
      <c r="M133" s="22" t="str">
        <f xml:space="preserve"> IF( TRIM( meta_Columns[[#This Row],[Referenced Table Display and Select Column:src]] ) = "", "",
        INDEX( meta_Columns[Display Qualified], MATCH( meta_Columns[[#This Row],[Referenced Table Display and Select Column:src]], meta_Columns[ID], 0 ) ) )</f>
        <v/>
      </c>
      <c r="N133" s="8" t="str">
        <f>IF(meta_Columns[[#This Row],[Excel Column - Excel Formula]]="","x","")</f>
        <v/>
      </c>
      <c r="O133" s="22"/>
      <c r="P133" s="8" t="str">
        <f>IF(meta_Columns[[#This Row],[Referenced Table:src]]="","",INDEX(meta_Tables[Instances Class],MATCH(meta_Columns[[#This Row],[Referenced Table:src]],meta_Tables[ID],0)))</f>
        <v/>
      </c>
      <c r="Q1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meta::Column.isFromSpecialization1</v>
      </c>
      <c r="R133" s="8"/>
      <c r="S133" s="22" t="str">
        <f xml:space="preserve"> IF( TRIM( meta_Columns[[#This Row],[Property:src]] ) = "", "",
        INDEX( meta_TypedModelElements[Display Qualified], MATCH( meta_Columns[[#This Row],[Property:src]], meta_TypedModelElements[ID], 0 ) ) )</f>
        <v/>
      </c>
      <c r="T133" s="22"/>
      <c r="U133" s="8" t="e">
        <f>INDEX(meta_Classifiers[Class - Generalization:src], MATCH(meta_Columns[[#This Row],[Generalization 5]],meta_Classifiers[ID],0))</f>
        <v>#N/A</v>
      </c>
      <c r="V133" s="8" t="e">
        <f>INDEX(meta_Classifiers[Class - Generalization:src], MATCH(meta_Columns[[#This Row],[Generalization 4]],meta_Classifiers[ID],0))</f>
        <v>#N/A</v>
      </c>
      <c r="W133" s="8" t="e">
        <f>INDEX(meta_Classifiers[Class - Generalization:src], MATCH(meta_Columns[[#This Row],[Generalization 3]],meta_Classifiers[ID],0))</f>
        <v>#N/A</v>
      </c>
      <c r="X133" s="8" t="str">
        <f>INDEX(meta_Classifiers[Class - Generalization:src], MATCH(meta_Columns[[#This Row],[Generalization 2]],meta_Classifiers[ID],0))</f>
        <v/>
      </c>
      <c r="Y133" s="8" t="str">
        <f>INDEX(meta_Classifiers[Class - Generalization:src], MATCH(meta_Columns[[#This Row],[Generalization 1]],meta_Classifiers[ID],0))</f>
        <v>_Object</v>
      </c>
      <c r="Z133" s="8" t="str">
        <f>INDEX(meta_Classifiers[Class - Generalization:src], MATCH(meta_Columns[[#This Row],[Owning Table Instances Class]],meta_Classifiers[ID],0))</f>
        <v>_NamedElement</v>
      </c>
      <c r="AA1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3" s="8" t="b">
        <f>_xlfn.IFNA(
INDEX(meta_Classifiers[Class - Generalization:src],MATCH(
INDEX(meta_Classifiers[Class - Generalization:src],MATCH(meta_Columns[[#This Row],[Property Owning Class]],meta_Classifiers[ID],0)),meta_Classifiers[ID],0))
=meta_Columns[[#This Row],[Owning Table Instances Class]],FALSE)</f>
        <v>0</v>
      </c>
      <c r="AG133" s="8" t="b">
        <f>_xlfn.IFNA(INDEX(meta_Classifiers[Class - Generalization:src],MATCH(meta_Columns[[#This Row],[Property Owning Class]],meta_Classifiers[ID],0))=meta_Columns[[#This Row],[Owning Table Instances Class]],FALSE)</f>
        <v>0</v>
      </c>
      <c r="AH1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3" s="8" t="e">
        <f>INDEX(meta_Classifiers[Name],MATCH(INDEX(meta_TypedModelElements[Property - Owning Class:src],MATCH(meta_Columns[[#This Row],[Property]],meta_TypedModelElements[ID],0)),meta_Classifiers[ID],0))</f>
        <v>#N/A</v>
      </c>
      <c r="AJ133" s="8" t="e">
        <f>INDEX(meta_TypedModelElements[Property - Owning Class:src],MATCH(meta_Columns[[#This Row],[Property]],meta_TypedModelElements[ID],0))</f>
        <v>#N/A</v>
      </c>
      <c r="AK133" s="8" t="e">
        <f>INDEX(meta_TypedModelElements[Kind:src],MATCH(meta_Columns[[#This Row],[Property]],meta_TypedModelElements[ID],0))</f>
        <v>#N/A</v>
      </c>
      <c r="AL133" s="8" t="e">
        <f>INDEX(meta_TypedModelElements[Name or Type],MATCH(meta_Columns[[#This Row],[Property]],meta_TypedModelElements[ID],0))</f>
        <v>#N/A</v>
      </c>
      <c r="AM133" s="8" t="e">
        <f>INDEX(meta_TypedModelElements[Property - Changeable],MATCH(meta_Columns[[#This Row],[Property]],meta_TypedModelElements[ID],0))</f>
        <v>#N/A</v>
      </c>
      <c r="AN133" s="43">
        <v>33</v>
      </c>
      <c r="AO133" s="22"/>
      <c r="AP1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3" s="8" t="str">
        <f xml:space="preserve"> IF(meta_Columns[[#This Row],[Property Owning Class is Specialization of Instance Class]],meta_Columns[[#This Row],[Property Owning Class Name]]&amp;" - ","")</f>
        <v/>
      </c>
      <c r="AR1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1</v>
      </c>
      <c r="AT133" s="8" t="str">
        <f>IFERROR(LEFT(meta_Columns[[#This Row],[Excel Column - Label Actual without Semantic Case]],FIND("-",
meta_Columns[[#This Row],[Excel Column - Label Actual without Semantic Case]])-2),"")</f>
        <v/>
      </c>
      <c r="AU1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1</v>
      </c>
      <c r="AV1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1</v>
      </c>
      <c r="AX133" s="22"/>
      <c r="AY133" s="8" t="str">
        <f>meta_Columns[[#This Row],[Owning Table]]&amp;"."&amp;meta_Columns[[#This Row],[Excel Column - Label]]</f>
        <v>meta::Columns.Is From Specialization 1</v>
      </c>
      <c r="AZ133" s="22" t="s">
        <v>489</v>
      </c>
      <c r="BA133" s="8" t="str">
        <f>IF(TRIM(meta_Columns[[#This Row],[Excel Column - Label Overwrite]])&lt;&gt;"",meta_Columns[[#This Row],[Excel Column - Label Overwrite]],meta_Columns[[#This Row],[Excel Column - Label from Property or Referenced Table]])</f>
        <v>Is From Specialization 1</v>
      </c>
      <c r="BB133" s="43" t="s">
        <v>1506</v>
      </c>
      <c r="BC133" s="44" t="str">
        <f>IF(meta_Columns[[#This Row],[Excel Column - Explicit Excel Formula]]="","",meta_Columns[[#This Row],[Excel Column - Explicit Excel Formula]])</f>
        <v>Formula:=IFNA(INDEX(#REF!,MATCH([@[Property Owning Class]],meta_Classifiers[ID],0))=[@[Owning Table Instances Class]],FALSE)</v>
      </c>
      <c r="BD133" s="5"/>
      <c r="BE133" s="5"/>
    </row>
    <row r="134" spans="1:57">
      <c r="A134" s="10" t="s">
        <v>1118</v>
      </c>
      <c r="B134" s="5" t="s">
        <v>546</v>
      </c>
      <c r="C134" s="22" t="str">
        <f xml:space="preserve"> IF( TRIM( meta_Columns[[#This Row],[Kind:src]] ) = "", "",
        INDEX( meta_Classifiers[Display Qualified], MATCH( meta_Columns[[#This Row],[Kind:src]], meta_Classifiers[ID], 0 ) ) )</f>
        <v>ExcelColumn</v>
      </c>
      <c r="D134" s="44" t="str">
        <f>IF(meta_Columns[[#This Row],[Owning Table:src]]="","",INDEX(meta_Classifiers[Package],MATCH(meta_Columns[[#This Row],[Owning Table Instances Class]],meta_Classifiers[ID],0)))</f>
        <v>meta</v>
      </c>
      <c r="E134" s="43"/>
      <c r="F134" s="8" t="str">
        <f>INDEX(meta_Tables[Excel Table - Excel Name],MATCH(meta_Columns[[#This Row],[Owning Table:src]],meta_Tables[ID],0))</f>
        <v>meta_Columns</v>
      </c>
      <c r="G134" s="44" t="str">
        <f>INDEX(meta_Tables[Instances Class:src],MATCH(meta_Columns[[#This Row],[Owning Table:src]],meta_Tables[ID],0))</f>
        <v>_Column</v>
      </c>
      <c r="H134" s="11" t="s">
        <v>1013</v>
      </c>
      <c r="I134" s="43" t="str">
        <f xml:space="preserve"> IF( TRIM( meta_Columns[[#This Row],[Owning Table:src]] ) = "", "",
        INDEX( meta_Tables[Display Qualified], MATCH( meta_Columns[[#This Row],[Owning Table:src]], meta_Tables[ID], 0 ) ) )</f>
        <v>meta::Columns</v>
      </c>
      <c r="K134" s="22" t="str">
        <f>IF(TRIM(meta_Columns[[#This Row],[Referenced Table:src]])="","",
    INDEX(meta_Tables[Display Qualified],MATCH(meta_Columns[[#This Row],[Referenced Table:src]],meta_Tables[ID],0)))</f>
        <v/>
      </c>
      <c r="L134" s="8"/>
      <c r="M134" s="22" t="str">
        <f xml:space="preserve"> IF( TRIM( meta_Columns[[#This Row],[Referenced Table Display and Select Column:src]] ) = "", "",
        INDEX( meta_Columns[Display Qualified], MATCH( meta_Columns[[#This Row],[Referenced Table Display and Select Column:src]], meta_Columns[ID], 0 ) ) )</f>
        <v/>
      </c>
      <c r="N134" s="8" t="str">
        <f>IF(meta_Columns[[#This Row],[Excel Column - Excel Formula]]="","x","")</f>
        <v/>
      </c>
      <c r="O134" s="22"/>
      <c r="P134" s="8" t="str">
        <f>IF(meta_Columns[[#This Row],[Referenced Table:src]]="","",INDEX(meta_Tables[Instances Class],MATCH(meta_Columns[[#This Row],[Referenced Table:src]],meta_Tables[ID],0)))</f>
        <v/>
      </c>
      <c r="Q1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meta::Column.propertyOwningClassIsSpecializationOfInstanceClass</v>
      </c>
      <c r="R134" s="8"/>
      <c r="S134" s="22" t="str">
        <f xml:space="preserve"> IF( TRIM( meta_Columns[[#This Row],[Property:src]] ) = "", "",
        INDEX( meta_TypedModelElements[Display Qualified], MATCH( meta_Columns[[#This Row],[Property:src]], meta_TypedModelElements[ID], 0 ) ) )</f>
        <v/>
      </c>
      <c r="T134" s="22"/>
      <c r="U134" s="8" t="e">
        <f>INDEX(meta_Classifiers[Class - Generalization:src], MATCH(meta_Columns[[#This Row],[Generalization 5]],meta_Classifiers[ID],0))</f>
        <v>#N/A</v>
      </c>
      <c r="V134" s="8" t="e">
        <f>INDEX(meta_Classifiers[Class - Generalization:src], MATCH(meta_Columns[[#This Row],[Generalization 4]],meta_Classifiers[ID],0))</f>
        <v>#N/A</v>
      </c>
      <c r="W134" s="8" t="e">
        <f>INDEX(meta_Classifiers[Class - Generalization:src], MATCH(meta_Columns[[#This Row],[Generalization 3]],meta_Classifiers[ID],0))</f>
        <v>#N/A</v>
      </c>
      <c r="X134" s="8" t="str">
        <f>INDEX(meta_Classifiers[Class - Generalization:src], MATCH(meta_Columns[[#This Row],[Generalization 2]],meta_Classifiers[ID],0))</f>
        <v/>
      </c>
      <c r="Y134" s="8" t="str">
        <f>INDEX(meta_Classifiers[Class - Generalization:src], MATCH(meta_Columns[[#This Row],[Generalization 1]],meta_Classifiers[ID],0))</f>
        <v>_Object</v>
      </c>
      <c r="Z134" s="8" t="str">
        <f>INDEX(meta_Classifiers[Class - Generalization:src], MATCH(meta_Columns[[#This Row],[Owning Table Instances Class]],meta_Classifiers[ID],0))</f>
        <v>_NamedElement</v>
      </c>
      <c r="AA1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4" s="8" t="b">
        <f>_xlfn.IFNA(
INDEX(meta_Classifiers[Class - Generalization:src],MATCH(
INDEX(meta_Classifiers[Class - Generalization:src],MATCH(meta_Columns[[#This Row],[Property Owning Class]],meta_Classifiers[ID],0)),meta_Classifiers[ID],0))
=meta_Columns[[#This Row],[Owning Table Instances Class]],FALSE)</f>
        <v>0</v>
      </c>
      <c r="AG134" s="8" t="b">
        <f>_xlfn.IFNA(INDEX(meta_Classifiers[Class - Generalization:src],MATCH(meta_Columns[[#This Row],[Property Owning Class]],meta_Classifiers[ID],0))=meta_Columns[[#This Row],[Owning Table Instances Class]],FALSE)</f>
        <v>0</v>
      </c>
      <c r="AH1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4" s="8" t="e">
        <f>INDEX(meta_Classifiers[Name],MATCH(INDEX(meta_TypedModelElements[Property - Owning Class:src],MATCH(meta_Columns[[#This Row],[Property]],meta_TypedModelElements[ID],0)),meta_Classifiers[ID],0))</f>
        <v>#N/A</v>
      </c>
      <c r="AJ134" s="8" t="e">
        <f>INDEX(meta_TypedModelElements[Property - Owning Class:src],MATCH(meta_Columns[[#This Row],[Property]],meta_TypedModelElements[ID],0))</f>
        <v>#N/A</v>
      </c>
      <c r="AK134" s="8" t="e">
        <f>INDEX(meta_TypedModelElements[Kind:src],MATCH(meta_Columns[[#This Row],[Property]],meta_TypedModelElements[ID],0))</f>
        <v>#N/A</v>
      </c>
      <c r="AL134" s="8" t="e">
        <f>INDEX(meta_TypedModelElements[Name or Type],MATCH(meta_Columns[[#This Row],[Property]],meta_TypedModelElements[ID],0))</f>
        <v>#N/A</v>
      </c>
      <c r="AM134" s="8" t="e">
        <f>INDEX(meta_TypedModelElements[Property - Changeable],MATCH(meta_Columns[[#This Row],[Property]],meta_TypedModelElements[ID],0))</f>
        <v>#N/A</v>
      </c>
      <c r="AN134" s="43">
        <v>34</v>
      </c>
      <c r="AO134" s="22"/>
      <c r="AP1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4" s="8" t="str">
        <f xml:space="preserve"> IF(meta_Columns[[#This Row],[Property Owning Class is Specialization of Instance Class]],meta_Columns[[#This Row],[Property Owning Class Name]]&amp;" - ","")</f>
        <v/>
      </c>
      <c r="AR1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Specialization of Instance Class</v>
      </c>
      <c r="AT134" s="8" t="str">
        <f>IFERROR(LEFT(meta_Columns[[#This Row],[Excel Column - Label Actual without Semantic Case]],FIND("-",
meta_Columns[[#This Row],[Excel Column - Label Actual without Semantic Case]])-2),"")</f>
        <v/>
      </c>
      <c r="AU1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Specialization of Instance Class</v>
      </c>
      <c r="AV1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Specialization of Instance Class</v>
      </c>
      <c r="AX134" s="22"/>
      <c r="AY134" s="8" t="str">
        <f>meta_Columns[[#This Row],[Owning Table]]&amp;"."&amp;meta_Columns[[#This Row],[Excel Column - Label]]</f>
        <v>meta::Columns.Property Owning Class is Specialization of Instance Class</v>
      </c>
      <c r="AZ134" s="22" t="s">
        <v>472</v>
      </c>
      <c r="BA134" s="8" t="str">
        <f>IF(TRIM(meta_Columns[[#This Row],[Excel Column - Label Overwrite]])&lt;&gt;"",meta_Columns[[#This Row],[Excel Column - Label Overwrite]],meta_Columns[[#This Row],[Excel Column - Label from Property or Referenced Table]])</f>
        <v>Property Owning Class is Specialization of Instance Class</v>
      </c>
      <c r="BB134" s="43" t="s">
        <v>902</v>
      </c>
      <c r="BC134" s="44" t="str">
        <f>IF(meta_Columns[[#This Row],[Excel Column - Explicit Excel Formula]]="","",meta_Columns[[#This Row],[Excel Column - Explicit Excel Formula]])</f>
        <v>Formula:=OR([@[Is From Specialization 1]],[@[Is From Specialization 2]],[@[Is From Specialization 3]],[@[Is From Specialization 4]],[@[Is From Specialization 5]],[@[Is From Specialization 6]])</v>
      </c>
      <c r="BD134" s="5"/>
      <c r="BE134" s="5"/>
    </row>
    <row r="135" spans="1:57">
      <c r="A135" s="10" t="s">
        <v>1119</v>
      </c>
      <c r="B135" s="5" t="s">
        <v>546</v>
      </c>
      <c r="C135" s="22" t="str">
        <f xml:space="preserve"> IF( TRIM( meta_Columns[[#This Row],[Kind:src]] ) = "", "",
        INDEX( meta_Classifiers[Display Qualified], MATCH( meta_Columns[[#This Row],[Kind:src]], meta_Classifiers[ID], 0 ) ) )</f>
        <v>ExcelColumn</v>
      </c>
      <c r="D135" s="44" t="str">
        <f>IF(meta_Columns[[#This Row],[Owning Table:src]]="","",INDEX(meta_Classifiers[Package],MATCH(meta_Columns[[#This Row],[Owning Table Instances Class]],meta_Classifiers[ID],0)))</f>
        <v>meta</v>
      </c>
      <c r="E135" s="43"/>
      <c r="F135" s="8" t="str">
        <f>INDEX(meta_Tables[Excel Table - Excel Name],MATCH(meta_Columns[[#This Row],[Owning Table:src]],meta_Tables[ID],0))</f>
        <v>meta_Columns</v>
      </c>
      <c r="G135" s="44" t="str">
        <f>INDEX(meta_Tables[Instances Class:src],MATCH(meta_Columns[[#This Row],[Owning Table:src]],meta_Tables[ID],0))</f>
        <v>_Column</v>
      </c>
      <c r="H135" s="11" t="s">
        <v>1013</v>
      </c>
      <c r="I135" s="43" t="str">
        <f xml:space="preserve"> IF( TRIM( meta_Columns[[#This Row],[Owning Table:src]] ) = "", "",
        INDEX( meta_Tables[Display Qualified], MATCH( meta_Columns[[#This Row],[Owning Table:src]], meta_Tables[ID], 0 ) ) )</f>
        <v>meta::Columns</v>
      </c>
      <c r="K135" s="22" t="str">
        <f>IF(TRIM(meta_Columns[[#This Row],[Referenced Table:src]])="","",
    INDEX(meta_Tables[Display Qualified],MATCH(meta_Columns[[#This Row],[Referenced Table:src]],meta_Tables[ID],0)))</f>
        <v/>
      </c>
      <c r="L135" s="8"/>
      <c r="M135" s="22" t="str">
        <f xml:space="preserve"> IF( TRIM( meta_Columns[[#This Row],[Referenced Table Display and Select Column:src]] ) = "", "",
        INDEX( meta_Columns[Display Qualified], MATCH( meta_Columns[[#This Row],[Referenced Table Display and Select Column:src]], meta_Columns[ID], 0 ) ) )</f>
        <v/>
      </c>
      <c r="N135" s="8" t="str">
        <f>IF(meta_Columns[[#This Row],[Excel Column - Excel Formula]]="","x","")</f>
        <v/>
      </c>
      <c r="O135" s="22"/>
      <c r="P135" s="8" t="str">
        <f>IF(meta_Columns[[#This Row],[Referenced Table:src]]="","",INDEX(meta_Tables[Instances Class],MATCH(meta_Columns[[#This Row],[Referenced Table:src]],meta_Tables[ID],0)))</f>
        <v/>
      </c>
      <c r="Q1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meta::Column.propertyOwningClassName</v>
      </c>
      <c r="R135" s="8"/>
      <c r="S135" s="22" t="str">
        <f xml:space="preserve"> IF( TRIM( meta_Columns[[#This Row],[Property:src]] ) = "", "",
        INDEX( meta_TypedModelElements[Display Qualified], MATCH( meta_Columns[[#This Row],[Property:src]], meta_TypedModelElements[ID], 0 ) ) )</f>
        <v/>
      </c>
      <c r="T135" s="22"/>
      <c r="U135" s="8" t="e">
        <f>INDEX(meta_Classifiers[Class - Generalization:src], MATCH(meta_Columns[[#This Row],[Generalization 5]],meta_Classifiers[ID],0))</f>
        <v>#N/A</v>
      </c>
      <c r="V135" s="8" t="e">
        <f>INDEX(meta_Classifiers[Class - Generalization:src], MATCH(meta_Columns[[#This Row],[Generalization 4]],meta_Classifiers[ID],0))</f>
        <v>#N/A</v>
      </c>
      <c r="W135" s="8" t="e">
        <f>INDEX(meta_Classifiers[Class - Generalization:src], MATCH(meta_Columns[[#This Row],[Generalization 3]],meta_Classifiers[ID],0))</f>
        <v>#N/A</v>
      </c>
      <c r="X135" s="8" t="str">
        <f>INDEX(meta_Classifiers[Class - Generalization:src], MATCH(meta_Columns[[#This Row],[Generalization 2]],meta_Classifiers[ID],0))</f>
        <v/>
      </c>
      <c r="Y135" s="8" t="str">
        <f>INDEX(meta_Classifiers[Class - Generalization:src], MATCH(meta_Columns[[#This Row],[Generalization 1]],meta_Classifiers[ID],0))</f>
        <v>_Object</v>
      </c>
      <c r="Z135" s="8" t="str">
        <f>INDEX(meta_Classifiers[Class - Generalization:src], MATCH(meta_Columns[[#This Row],[Owning Table Instances Class]],meta_Classifiers[ID],0))</f>
        <v>_NamedElement</v>
      </c>
      <c r="AA1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5" s="8" t="b">
        <f>_xlfn.IFNA(
INDEX(meta_Classifiers[Class - Generalization:src],MATCH(
INDEX(meta_Classifiers[Class - Generalization:src],MATCH(meta_Columns[[#This Row],[Property Owning Class]],meta_Classifiers[ID],0)),meta_Classifiers[ID],0))
=meta_Columns[[#This Row],[Owning Table Instances Class]],FALSE)</f>
        <v>0</v>
      </c>
      <c r="AG135" s="8" t="b">
        <f>_xlfn.IFNA(INDEX(meta_Classifiers[Class - Generalization:src],MATCH(meta_Columns[[#This Row],[Property Owning Class]],meta_Classifiers[ID],0))=meta_Columns[[#This Row],[Owning Table Instances Class]],FALSE)</f>
        <v>0</v>
      </c>
      <c r="AH1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5" s="8" t="e">
        <f>INDEX(meta_Classifiers[Name],MATCH(INDEX(meta_TypedModelElements[Property - Owning Class:src],MATCH(meta_Columns[[#This Row],[Property]],meta_TypedModelElements[ID],0)),meta_Classifiers[ID],0))</f>
        <v>#N/A</v>
      </c>
      <c r="AJ135" s="8" t="e">
        <f>INDEX(meta_TypedModelElements[Property - Owning Class:src],MATCH(meta_Columns[[#This Row],[Property]],meta_TypedModelElements[ID],0))</f>
        <v>#N/A</v>
      </c>
      <c r="AK135" s="8" t="e">
        <f>INDEX(meta_TypedModelElements[Kind:src],MATCH(meta_Columns[[#This Row],[Property]],meta_TypedModelElements[ID],0))</f>
        <v>#N/A</v>
      </c>
      <c r="AL135" s="8" t="e">
        <f>INDEX(meta_TypedModelElements[Name or Type],MATCH(meta_Columns[[#This Row],[Property]],meta_TypedModelElements[ID],0))</f>
        <v>#N/A</v>
      </c>
      <c r="AM135" s="8" t="e">
        <f>INDEX(meta_TypedModelElements[Property - Changeable],MATCH(meta_Columns[[#This Row],[Property]],meta_TypedModelElements[ID],0))</f>
        <v>#N/A</v>
      </c>
      <c r="AN135" s="43">
        <v>35</v>
      </c>
      <c r="AO135" s="22"/>
      <c r="AP1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5" s="8" t="str">
        <f xml:space="preserve"> IF(meta_Columns[[#This Row],[Property Owning Class is Specialization of Instance Class]],meta_Columns[[#This Row],[Property Owning Class Name]]&amp;" - ","")</f>
        <v/>
      </c>
      <c r="AR1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Name</v>
      </c>
      <c r="AT135" s="8" t="str">
        <f>IFERROR(LEFT(meta_Columns[[#This Row],[Excel Column - Label Actual without Semantic Case]],FIND("-",
meta_Columns[[#This Row],[Excel Column - Label Actual without Semantic Case]])-2),"")</f>
        <v/>
      </c>
      <c r="AU1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Name</v>
      </c>
      <c r="AV1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Name</v>
      </c>
      <c r="AX135" s="22"/>
      <c r="AY135" s="8" t="str">
        <f>meta_Columns[[#This Row],[Owning Table]]&amp;"."&amp;meta_Columns[[#This Row],[Excel Column - Label]]</f>
        <v>meta::Columns.Property Owning Class Name</v>
      </c>
      <c r="AZ135" s="22" t="s">
        <v>495</v>
      </c>
      <c r="BA135" s="8" t="str">
        <f>IF(TRIM(meta_Columns[[#This Row],[Excel Column - Label Overwrite]])&lt;&gt;"",meta_Columns[[#This Row],[Excel Column - Label Overwrite]],meta_Columns[[#This Row],[Excel Column - Label from Property or Referenced Table]])</f>
        <v>Property Owning Class Name</v>
      </c>
      <c r="BB135" s="43" t="s">
        <v>949</v>
      </c>
      <c r="BC135" s="44" t="str">
        <f>IF(meta_Columns[[#This Row],[Excel Column - Explicit Excel Formula]]="","",meta_Columns[[#This Row],[Excel Column - Explicit Excel Formula]])</f>
        <v>Formula:=INDEX(meta_Classifiers[Name],MATCH(INDEX(meta_TypedModelElements[Property - Owning Class:srcLastSaved],MATCH([@Property],meta_TypedModelElements[ID],0)),meta_Classifiers[ID],0))</v>
      </c>
      <c r="BD135" s="5"/>
      <c r="BE135" s="5"/>
    </row>
    <row r="136" spans="1:57">
      <c r="A136" s="10" t="s">
        <v>1120</v>
      </c>
      <c r="B136" s="5" t="s">
        <v>546</v>
      </c>
      <c r="C136" s="22" t="str">
        <f xml:space="preserve"> IF( TRIM( meta_Columns[[#This Row],[Kind:src]] ) = "", "",
        INDEX( meta_Classifiers[Display Qualified], MATCH( meta_Columns[[#This Row],[Kind:src]], meta_Classifiers[ID], 0 ) ) )</f>
        <v>ExcelColumn</v>
      </c>
      <c r="D136" s="44" t="str">
        <f>IF(meta_Columns[[#This Row],[Owning Table:src]]="","",INDEX(meta_Classifiers[Package],MATCH(meta_Columns[[#This Row],[Owning Table Instances Class]],meta_Classifiers[ID],0)))</f>
        <v>meta</v>
      </c>
      <c r="E136" s="43"/>
      <c r="F136" s="8" t="str">
        <f>INDEX(meta_Tables[Excel Table - Excel Name],MATCH(meta_Columns[[#This Row],[Owning Table:src]],meta_Tables[ID],0))</f>
        <v>meta_Columns</v>
      </c>
      <c r="G136" s="44" t="str">
        <f>INDEX(meta_Tables[Instances Class:src],MATCH(meta_Columns[[#This Row],[Owning Table:src]],meta_Tables[ID],0))</f>
        <v>_Column</v>
      </c>
      <c r="H136" s="11" t="s">
        <v>1013</v>
      </c>
      <c r="I136" s="43" t="str">
        <f xml:space="preserve"> IF( TRIM( meta_Columns[[#This Row],[Owning Table:src]] ) = "", "",
        INDEX( meta_Tables[Display Qualified], MATCH( meta_Columns[[#This Row],[Owning Table:src]], meta_Tables[ID], 0 ) ) )</f>
        <v>meta::Columns</v>
      </c>
      <c r="K136" s="22" t="str">
        <f>IF(TRIM(meta_Columns[[#This Row],[Referenced Table:src]])="","",
    INDEX(meta_Tables[Display Qualified],MATCH(meta_Columns[[#This Row],[Referenced Table:src]],meta_Tables[ID],0)))</f>
        <v/>
      </c>
      <c r="L136" s="8"/>
      <c r="M136" s="22" t="str">
        <f xml:space="preserve"> IF( TRIM( meta_Columns[[#This Row],[Referenced Table Display and Select Column:src]] ) = "", "",
        INDEX( meta_Columns[Display Qualified], MATCH( meta_Columns[[#This Row],[Referenced Table Display and Select Column:src]], meta_Columns[ID], 0 ) ) )</f>
        <v/>
      </c>
      <c r="N136" s="8" t="str">
        <f>IF(meta_Columns[[#This Row],[Excel Column - Excel Formula]]="","x","")</f>
        <v/>
      </c>
      <c r="O136" s="22"/>
      <c r="P136" s="8" t="str">
        <f>IF(meta_Columns[[#This Row],[Referenced Table:src]]="","",INDEX(meta_Tables[Instances Class],MATCH(meta_Columns[[#This Row],[Referenced Table:src]],meta_Tables[ID],0)))</f>
        <v/>
      </c>
      <c r="Q1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v>
      </c>
      <c r="R136" s="8"/>
      <c r="S136" s="22" t="str">
        <f xml:space="preserve"> IF( TRIM( meta_Columns[[#This Row],[Property:src]] ) = "", "",
        INDEX( meta_TypedModelElements[Display Qualified], MATCH( meta_Columns[[#This Row],[Property:src]], meta_TypedModelElements[ID], 0 ) ) )</f>
        <v/>
      </c>
      <c r="T136" s="22"/>
      <c r="U136" s="8" t="e">
        <f>INDEX(meta_Classifiers[Class - Generalization:src], MATCH(meta_Columns[[#This Row],[Generalization 5]],meta_Classifiers[ID],0))</f>
        <v>#N/A</v>
      </c>
      <c r="V136" s="8" t="e">
        <f>INDEX(meta_Classifiers[Class - Generalization:src], MATCH(meta_Columns[[#This Row],[Generalization 4]],meta_Classifiers[ID],0))</f>
        <v>#N/A</v>
      </c>
      <c r="W136" s="8" t="e">
        <f>INDEX(meta_Classifiers[Class - Generalization:src], MATCH(meta_Columns[[#This Row],[Generalization 3]],meta_Classifiers[ID],0))</f>
        <v>#N/A</v>
      </c>
      <c r="X136" s="8" t="str">
        <f>INDEX(meta_Classifiers[Class - Generalization:src], MATCH(meta_Columns[[#This Row],[Generalization 2]],meta_Classifiers[ID],0))</f>
        <v/>
      </c>
      <c r="Y136" s="8" t="str">
        <f>INDEX(meta_Classifiers[Class - Generalization:src], MATCH(meta_Columns[[#This Row],[Generalization 1]],meta_Classifiers[ID],0))</f>
        <v>_Object</v>
      </c>
      <c r="Z136" s="8" t="str">
        <f>INDEX(meta_Classifiers[Class - Generalization:src], MATCH(meta_Columns[[#This Row],[Owning Table Instances Class]],meta_Classifiers[ID],0))</f>
        <v>_NamedElement</v>
      </c>
      <c r="AA1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6" s="8" t="b">
        <f>_xlfn.IFNA(
INDEX(meta_Classifiers[Class - Generalization:src],MATCH(
INDEX(meta_Classifiers[Class - Generalization:src],MATCH(meta_Columns[[#This Row],[Property Owning Class]],meta_Classifiers[ID],0)),meta_Classifiers[ID],0))
=meta_Columns[[#This Row],[Owning Table Instances Class]],FALSE)</f>
        <v>0</v>
      </c>
      <c r="AG136" s="8" t="b">
        <f>_xlfn.IFNA(INDEX(meta_Classifiers[Class - Generalization:src],MATCH(meta_Columns[[#This Row],[Property Owning Class]],meta_Classifiers[ID],0))=meta_Columns[[#This Row],[Owning Table Instances Class]],FALSE)</f>
        <v>0</v>
      </c>
      <c r="AH1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6" s="8" t="e">
        <f>INDEX(meta_Classifiers[Name],MATCH(INDEX(meta_TypedModelElements[Property - Owning Class:src],MATCH(meta_Columns[[#This Row],[Property]],meta_TypedModelElements[ID],0)),meta_Classifiers[ID],0))</f>
        <v>#N/A</v>
      </c>
      <c r="AJ136" s="8" t="e">
        <f>INDEX(meta_TypedModelElements[Property - Owning Class:src],MATCH(meta_Columns[[#This Row],[Property]],meta_TypedModelElements[ID],0))</f>
        <v>#N/A</v>
      </c>
      <c r="AK136" s="8" t="e">
        <f>INDEX(meta_TypedModelElements[Kind:src],MATCH(meta_Columns[[#This Row],[Property]],meta_TypedModelElements[ID],0))</f>
        <v>#N/A</v>
      </c>
      <c r="AL136" s="8" t="e">
        <f>INDEX(meta_TypedModelElements[Name or Type],MATCH(meta_Columns[[#This Row],[Property]],meta_TypedModelElements[ID],0))</f>
        <v>#N/A</v>
      </c>
      <c r="AM136" s="8" t="e">
        <f>INDEX(meta_TypedModelElements[Property - Changeable],MATCH(meta_Columns[[#This Row],[Property]],meta_TypedModelElements[ID],0))</f>
        <v>#N/A</v>
      </c>
      <c r="AN136" s="43">
        <v>36</v>
      </c>
      <c r="AO136" s="22"/>
      <c r="AP1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6" s="8" t="str">
        <f xml:space="preserve"> IF(meta_Columns[[#This Row],[Property Owning Class is Specialization of Instance Class]],meta_Columns[[#This Row],[Property Owning Class Name]]&amp;" - ","")</f>
        <v/>
      </c>
      <c r="AR1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v>
      </c>
      <c r="AT136" s="8" t="str">
        <f>IFERROR(LEFT(meta_Columns[[#This Row],[Excel Column - Label Actual without Semantic Case]],FIND("-",
meta_Columns[[#This Row],[Excel Column - Label Actual without Semantic Case]])-2),"")</f>
        <v/>
      </c>
      <c r="AU1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v>
      </c>
      <c r="AV1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v>
      </c>
      <c r="AX136" s="22"/>
      <c r="AY136" s="8" t="str">
        <f>meta_Columns[[#This Row],[Owning Table]]&amp;"."&amp;meta_Columns[[#This Row],[Excel Column - Label]]</f>
        <v>meta::Columns.Property Owning Class</v>
      </c>
      <c r="AZ136" s="22" t="s">
        <v>469</v>
      </c>
      <c r="BA136" s="8" t="str">
        <f>IF(TRIM(meta_Columns[[#This Row],[Excel Column - Label Overwrite]])&lt;&gt;"",meta_Columns[[#This Row],[Excel Column - Label Overwrite]],meta_Columns[[#This Row],[Excel Column - Label from Property or Referenced Table]])</f>
        <v>Property Owning Class</v>
      </c>
      <c r="BB136" s="43" t="s">
        <v>950</v>
      </c>
      <c r="BC136" s="44" t="str">
        <f>IF(meta_Columns[[#This Row],[Excel Column - Explicit Excel Formula]]="","",meta_Columns[[#This Row],[Excel Column - Explicit Excel Formula]])</f>
        <v>Formula:=INDEX(meta_TypedModelElements[Property - Owning Class:srcLastSaved],MATCH([@Property],meta_TypedModelElements[ID],0))</v>
      </c>
      <c r="BD136" s="5"/>
      <c r="BE136" s="5"/>
    </row>
    <row r="137" spans="1:57">
      <c r="A137" s="10" t="s">
        <v>1121</v>
      </c>
      <c r="B137" s="5" t="s">
        <v>546</v>
      </c>
      <c r="C137" s="22" t="str">
        <f xml:space="preserve"> IF( TRIM( meta_Columns[[#This Row],[Kind:src]] ) = "", "",
        INDEX( meta_Classifiers[Display Qualified], MATCH( meta_Columns[[#This Row],[Kind:src]], meta_Classifiers[ID], 0 ) ) )</f>
        <v>ExcelColumn</v>
      </c>
      <c r="D137" s="44" t="str">
        <f>IF(meta_Columns[[#This Row],[Owning Table:src]]="","",INDEX(meta_Classifiers[Package],MATCH(meta_Columns[[#This Row],[Owning Table Instances Class]],meta_Classifiers[ID],0)))</f>
        <v>meta</v>
      </c>
      <c r="E137" s="43"/>
      <c r="F137" s="8" t="str">
        <f>INDEX(meta_Tables[Excel Table - Excel Name],MATCH(meta_Columns[[#This Row],[Owning Table:src]],meta_Tables[ID],0))</f>
        <v>meta_Columns</v>
      </c>
      <c r="G137" s="44" t="str">
        <f>INDEX(meta_Tables[Instances Class:src],MATCH(meta_Columns[[#This Row],[Owning Table:src]],meta_Tables[ID],0))</f>
        <v>_Column</v>
      </c>
      <c r="H137" s="11" t="s">
        <v>1013</v>
      </c>
      <c r="I137" s="43" t="str">
        <f xml:space="preserve"> IF( TRIM( meta_Columns[[#This Row],[Owning Table:src]] ) = "", "",
        INDEX( meta_Tables[Display Qualified], MATCH( meta_Columns[[#This Row],[Owning Table:src]], meta_Tables[ID], 0 ) ) )</f>
        <v>meta::Columns</v>
      </c>
      <c r="K137" s="22" t="str">
        <f>IF(TRIM(meta_Columns[[#This Row],[Referenced Table:src]])="","",
    INDEX(meta_Tables[Display Qualified],MATCH(meta_Columns[[#This Row],[Referenced Table:src]],meta_Tables[ID],0)))</f>
        <v/>
      </c>
      <c r="L137" s="8"/>
      <c r="M137" s="22" t="str">
        <f xml:space="preserve"> IF( TRIM( meta_Columns[[#This Row],[Referenced Table Display and Select Column:src]] ) = "", "",
        INDEX( meta_Columns[Display Qualified], MATCH( meta_Columns[[#This Row],[Referenced Table Display and Select Column:src]], meta_Columns[ID], 0 ) ) )</f>
        <v/>
      </c>
      <c r="N137" s="8" t="str">
        <f>IF(meta_Columns[[#This Row],[Excel Column - Excel Formula]]="","x","")</f>
        <v/>
      </c>
      <c r="O137" s="22"/>
      <c r="P137" s="8" t="str">
        <f>IF(meta_Columns[[#This Row],[Referenced Table:src]]="","",INDEX(meta_Tables[Instances Class],MATCH(meta_Columns[[#This Row],[Referenced Table:src]],meta_Tables[ID],0)))</f>
        <v/>
      </c>
      <c r="Q1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meta::Column.propertyKind</v>
      </c>
      <c r="R137" s="8"/>
      <c r="S137" s="22" t="str">
        <f xml:space="preserve"> IF( TRIM( meta_Columns[[#This Row],[Property:src]] ) = "", "",
        INDEX( meta_TypedModelElements[Display Qualified], MATCH( meta_Columns[[#This Row],[Property:src]], meta_TypedModelElements[ID], 0 ) ) )</f>
        <v/>
      </c>
      <c r="T137" s="22"/>
      <c r="U137" s="8" t="e">
        <f>INDEX(meta_Classifiers[Class - Generalization:src], MATCH(meta_Columns[[#This Row],[Generalization 5]],meta_Classifiers[ID],0))</f>
        <v>#N/A</v>
      </c>
      <c r="V137" s="8" t="e">
        <f>INDEX(meta_Classifiers[Class - Generalization:src], MATCH(meta_Columns[[#This Row],[Generalization 4]],meta_Classifiers[ID],0))</f>
        <v>#N/A</v>
      </c>
      <c r="W137" s="8" t="e">
        <f>INDEX(meta_Classifiers[Class - Generalization:src], MATCH(meta_Columns[[#This Row],[Generalization 3]],meta_Classifiers[ID],0))</f>
        <v>#N/A</v>
      </c>
      <c r="X137" s="8" t="str">
        <f>INDEX(meta_Classifiers[Class - Generalization:src], MATCH(meta_Columns[[#This Row],[Generalization 2]],meta_Classifiers[ID],0))</f>
        <v/>
      </c>
      <c r="Y137" s="8" t="str">
        <f>INDEX(meta_Classifiers[Class - Generalization:src], MATCH(meta_Columns[[#This Row],[Generalization 1]],meta_Classifiers[ID],0))</f>
        <v>_Object</v>
      </c>
      <c r="Z137" s="8" t="str">
        <f>INDEX(meta_Classifiers[Class - Generalization:src], MATCH(meta_Columns[[#This Row],[Owning Table Instances Class]],meta_Classifiers[ID],0))</f>
        <v>_NamedElement</v>
      </c>
      <c r="AA1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7" s="8" t="b">
        <f>_xlfn.IFNA(
INDEX(meta_Classifiers[Class - Generalization:src],MATCH(
INDEX(meta_Classifiers[Class - Generalization:src],MATCH(meta_Columns[[#This Row],[Property Owning Class]],meta_Classifiers[ID],0)),meta_Classifiers[ID],0))
=meta_Columns[[#This Row],[Owning Table Instances Class]],FALSE)</f>
        <v>0</v>
      </c>
      <c r="AG137" s="8" t="b">
        <f>_xlfn.IFNA(INDEX(meta_Classifiers[Class - Generalization:src],MATCH(meta_Columns[[#This Row],[Property Owning Class]],meta_Classifiers[ID],0))=meta_Columns[[#This Row],[Owning Table Instances Class]],FALSE)</f>
        <v>0</v>
      </c>
      <c r="AH1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7" s="8" t="e">
        <f>INDEX(meta_Classifiers[Name],MATCH(INDEX(meta_TypedModelElements[Property - Owning Class:src],MATCH(meta_Columns[[#This Row],[Property]],meta_TypedModelElements[ID],0)),meta_Classifiers[ID],0))</f>
        <v>#N/A</v>
      </c>
      <c r="AJ137" s="8" t="e">
        <f>INDEX(meta_TypedModelElements[Property - Owning Class:src],MATCH(meta_Columns[[#This Row],[Property]],meta_TypedModelElements[ID],0))</f>
        <v>#N/A</v>
      </c>
      <c r="AK137" s="8" t="e">
        <f>INDEX(meta_TypedModelElements[Kind:src],MATCH(meta_Columns[[#This Row],[Property]],meta_TypedModelElements[ID],0))</f>
        <v>#N/A</v>
      </c>
      <c r="AL137" s="8" t="e">
        <f>INDEX(meta_TypedModelElements[Name or Type],MATCH(meta_Columns[[#This Row],[Property]],meta_TypedModelElements[ID],0))</f>
        <v>#N/A</v>
      </c>
      <c r="AM137" s="8" t="e">
        <f>INDEX(meta_TypedModelElements[Property - Changeable],MATCH(meta_Columns[[#This Row],[Property]],meta_TypedModelElements[ID],0))</f>
        <v>#N/A</v>
      </c>
      <c r="AN137" s="43">
        <v>37</v>
      </c>
      <c r="AO137" s="22"/>
      <c r="AP1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7" s="8" t="str">
        <f xml:space="preserve"> IF(meta_Columns[[#This Row],[Property Owning Class is Specialization of Instance Class]],meta_Columns[[#This Row],[Property Owning Class Name]]&amp;" - ","")</f>
        <v/>
      </c>
      <c r="AR1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Kind</v>
      </c>
      <c r="AT137" s="8" t="str">
        <f>IFERROR(LEFT(meta_Columns[[#This Row],[Excel Column - Label Actual without Semantic Case]],FIND("-",
meta_Columns[[#This Row],[Excel Column - Label Actual without Semantic Case]])-2),"")</f>
        <v/>
      </c>
      <c r="AU1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Kind</v>
      </c>
      <c r="AV1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Kind</v>
      </c>
      <c r="AX137" s="22"/>
      <c r="AY137" s="8" t="str">
        <f>meta_Columns[[#This Row],[Owning Table]]&amp;"."&amp;meta_Columns[[#This Row],[Excel Column - Label]]</f>
        <v>meta::Columns.Property Kind</v>
      </c>
      <c r="AZ137" s="22" t="s">
        <v>482</v>
      </c>
      <c r="BA137" s="8" t="str">
        <f>IF(TRIM(meta_Columns[[#This Row],[Excel Column - Label Overwrite]])&lt;&gt;"",meta_Columns[[#This Row],[Excel Column - Label Overwrite]],meta_Columns[[#This Row],[Excel Column - Label from Property or Referenced Table]])</f>
        <v>Property Kind</v>
      </c>
      <c r="BB137" s="43" t="s">
        <v>951</v>
      </c>
      <c r="BC137" s="44" t="str">
        <f>IF(meta_Columns[[#This Row],[Excel Column - Explicit Excel Formula]]="","",meta_Columns[[#This Row],[Excel Column - Explicit Excel Formula]])</f>
        <v>Formula:=INDEX(meta_TypedModelElements[Kind:srcLastSaved],MATCH([@Property],meta_TypedModelElements[ID],0))</v>
      </c>
      <c r="BD137" s="5"/>
      <c r="BE137" s="5"/>
    </row>
    <row r="138" spans="1:57">
      <c r="A138" s="10" t="s">
        <v>1122</v>
      </c>
      <c r="B138" s="5" t="s">
        <v>546</v>
      </c>
      <c r="C138" s="22" t="str">
        <f xml:space="preserve"> IF( TRIM( meta_Columns[[#This Row],[Kind:src]] ) = "", "",
        INDEX( meta_Classifiers[Display Qualified], MATCH( meta_Columns[[#This Row],[Kind:src]], meta_Classifiers[ID], 0 ) ) )</f>
        <v>ExcelColumn</v>
      </c>
      <c r="D138" s="44" t="str">
        <f>IF(meta_Columns[[#This Row],[Owning Table:src]]="","",INDEX(meta_Classifiers[Package],MATCH(meta_Columns[[#This Row],[Owning Table Instances Class]],meta_Classifiers[ID],0)))</f>
        <v>meta</v>
      </c>
      <c r="E138" s="43"/>
      <c r="F138" s="8" t="str">
        <f>INDEX(meta_Tables[Excel Table - Excel Name],MATCH(meta_Columns[[#This Row],[Owning Table:src]],meta_Tables[ID],0))</f>
        <v>meta_Columns</v>
      </c>
      <c r="G138" s="44" t="str">
        <f>INDEX(meta_Tables[Instances Class:src],MATCH(meta_Columns[[#This Row],[Owning Table:src]],meta_Tables[ID],0))</f>
        <v>_Column</v>
      </c>
      <c r="H138" s="11" t="s">
        <v>1013</v>
      </c>
      <c r="I138" s="43" t="str">
        <f xml:space="preserve"> IF( TRIM( meta_Columns[[#This Row],[Owning Table:src]] ) = "", "",
        INDEX( meta_Tables[Display Qualified], MATCH( meta_Columns[[#This Row],[Owning Table:src]], meta_Tables[ID], 0 ) ) )</f>
        <v>meta::Columns</v>
      </c>
      <c r="K138" s="22" t="str">
        <f>IF(TRIM(meta_Columns[[#This Row],[Referenced Table:src]])="","",
    INDEX(meta_Tables[Display Qualified],MATCH(meta_Columns[[#This Row],[Referenced Table:src]],meta_Tables[ID],0)))</f>
        <v/>
      </c>
      <c r="L138" s="8"/>
      <c r="M138" s="22" t="str">
        <f xml:space="preserve"> IF( TRIM( meta_Columns[[#This Row],[Referenced Table Display and Select Column:src]] ) = "", "",
        INDEX( meta_Columns[Display Qualified], MATCH( meta_Columns[[#This Row],[Referenced Table Display and Select Column:src]], meta_Columns[ID], 0 ) ) )</f>
        <v/>
      </c>
      <c r="N138" s="8" t="str">
        <f>IF(meta_Columns[[#This Row],[Excel Column - Excel Formula]]="","x","")</f>
        <v/>
      </c>
      <c r="O138" s="22"/>
      <c r="P138" s="8" t="str">
        <f>IF(meta_Columns[[#This Row],[Referenced Table:src]]="","",INDEX(meta_Tables[Instances Class],MATCH(meta_Columns[[#This Row],[Referenced Table:src]],meta_Tables[ID],0)))</f>
        <v/>
      </c>
      <c r="Q1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meta::Column.propertyName</v>
      </c>
      <c r="R138" s="8"/>
      <c r="S138" s="22" t="str">
        <f xml:space="preserve"> IF( TRIM( meta_Columns[[#This Row],[Property:src]] ) = "", "",
        INDEX( meta_TypedModelElements[Display Qualified], MATCH( meta_Columns[[#This Row],[Property:src]], meta_TypedModelElements[ID], 0 ) ) )</f>
        <v/>
      </c>
      <c r="T138" s="22"/>
      <c r="U138" s="8" t="e">
        <f>INDEX(meta_Classifiers[Class - Generalization:src], MATCH(meta_Columns[[#This Row],[Generalization 5]],meta_Classifiers[ID],0))</f>
        <v>#N/A</v>
      </c>
      <c r="V138" s="8" t="e">
        <f>INDEX(meta_Classifiers[Class - Generalization:src], MATCH(meta_Columns[[#This Row],[Generalization 4]],meta_Classifiers[ID],0))</f>
        <v>#N/A</v>
      </c>
      <c r="W138" s="8" t="e">
        <f>INDEX(meta_Classifiers[Class - Generalization:src], MATCH(meta_Columns[[#This Row],[Generalization 3]],meta_Classifiers[ID],0))</f>
        <v>#N/A</v>
      </c>
      <c r="X138" s="8" t="str">
        <f>INDEX(meta_Classifiers[Class - Generalization:src], MATCH(meta_Columns[[#This Row],[Generalization 2]],meta_Classifiers[ID],0))</f>
        <v/>
      </c>
      <c r="Y138" s="8" t="str">
        <f>INDEX(meta_Classifiers[Class - Generalization:src], MATCH(meta_Columns[[#This Row],[Generalization 1]],meta_Classifiers[ID],0))</f>
        <v>_Object</v>
      </c>
      <c r="Z138" s="8" t="str">
        <f>INDEX(meta_Classifiers[Class - Generalization:src], MATCH(meta_Columns[[#This Row],[Owning Table Instances Class]],meta_Classifiers[ID],0))</f>
        <v>_NamedElement</v>
      </c>
      <c r="AA1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8" s="8" t="b">
        <f>_xlfn.IFNA(
INDEX(meta_Classifiers[Class - Generalization:src],MATCH(
INDEX(meta_Classifiers[Class - Generalization:src],MATCH(meta_Columns[[#This Row],[Property Owning Class]],meta_Classifiers[ID],0)),meta_Classifiers[ID],0))
=meta_Columns[[#This Row],[Owning Table Instances Class]],FALSE)</f>
        <v>0</v>
      </c>
      <c r="AG138" s="8" t="b">
        <f>_xlfn.IFNA(INDEX(meta_Classifiers[Class - Generalization:src],MATCH(meta_Columns[[#This Row],[Property Owning Class]],meta_Classifiers[ID],0))=meta_Columns[[#This Row],[Owning Table Instances Class]],FALSE)</f>
        <v>0</v>
      </c>
      <c r="AH1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8" s="8" t="e">
        <f>INDEX(meta_Classifiers[Name],MATCH(INDEX(meta_TypedModelElements[Property - Owning Class:src],MATCH(meta_Columns[[#This Row],[Property]],meta_TypedModelElements[ID],0)),meta_Classifiers[ID],0))</f>
        <v>#N/A</v>
      </c>
      <c r="AJ138" s="8" t="e">
        <f>INDEX(meta_TypedModelElements[Property - Owning Class:src],MATCH(meta_Columns[[#This Row],[Property]],meta_TypedModelElements[ID],0))</f>
        <v>#N/A</v>
      </c>
      <c r="AK138" s="8" t="e">
        <f>INDEX(meta_TypedModelElements[Kind:src],MATCH(meta_Columns[[#This Row],[Property]],meta_TypedModelElements[ID],0))</f>
        <v>#N/A</v>
      </c>
      <c r="AL138" s="8" t="e">
        <f>INDEX(meta_TypedModelElements[Name or Type],MATCH(meta_Columns[[#This Row],[Property]],meta_TypedModelElements[ID],0))</f>
        <v>#N/A</v>
      </c>
      <c r="AM138" s="8" t="e">
        <f>INDEX(meta_TypedModelElements[Property - Changeable],MATCH(meta_Columns[[#This Row],[Property]],meta_TypedModelElements[ID],0))</f>
        <v>#N/A</v>
      </c>
      <c r="AN138" s="43">
        <v>38</v>
      </c>
      <c r="AO138" s="22"/>
      <c r="AP1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8" s="8" t="str">
        <f xml:space="preserve"> IF(meta_Columns[[#This Row],[Property Owning Class is Specialization of Instance Class]],meta_Columns[[#This Row],[Property Owning Class Name]]&amp;" - ","")</f>
        <v/>
      </c>
      <c r="AR1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Name</v>
      </c>
      <c r="AT138" s="8" t="str">
        <f>IFERROR(LEFT(meta_Columns[[#This Row],[Excel Column - Label Actual without Semantic Case]],FIND("-",
meta_Columns[[#This Row],[Excel Column - Label Actual without Semantic Case]])-2),"")</f>
        <v/>
      </c>
      <c r="AU1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Name</v>
      </c>
      <c r="AV1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Name</v>
      </c>
      <c r="AX138" s="22"/>
      <c r="AY138" s="8" t="str">
        <f>meta_Columns[[#This Row],[Owning Table]]&amp;"."&amp;meta_Columns[[#This Row],[Excel Column - Label]]</f>
        <v>meta::Columns.Property Name</v>
      </c>
      <c r="AZ138" s="22" t="s">
        <v>480</v>
      </c>
      <c r="BA138" s="8" t="str">
        <f>IF(TRIM(meta_Columns[[#This Row],[Excel Column - Label Overwrite]])&lt;&gt;"",meta_Columns[[#This Row],[Excel Column - Label Overwrite]],meta_Columns[[#This Row],[Excel Column - Label from Property or Referenced Table]])</f>
        <v>Property Name</v>
      </c>
      <c r="BB138" s="43" t="s">
        <v>903</v>
      </c>
      <c r="BC138" s="44" t="str">
        <f>IF(meta_Columns[[#This Row],[Excel Column - Explicit Excel Formula]]="","",meta_Columns[[#This Row],[Excel Column - Explicit Excel Formula]])</f>
        <v>Formula:=INDEX(meta_TypedModelElements[Name or Type],MATCH([@Property],meta_TypedModelElements[ID],0))</v>
      </c>
      <c r="BD138" s="5"/>
      <c r="BE138" s="5"/>
    </row>
    <row r="139" spans="1:57">
      <c r="A139" s="10" t="s">
        <v>1123</v>
      </c>
      <c r="B139" s="5" t="s">
        <v>546</v>
      </c>
      <c r="C139" s="22" t="str">
        <f xml:space="preserve"> IF( TRIM( meta_Columns[[#This Row],[Kind:src]] ) = "", "",
        INDEX( meta_Classifiers[Display Qualified], MATCH( meta_Columns[[#This Row],[Kind:src]], meta_Classifiers[ID], 0 ) ) )</f>
        <v>ExcelColumn</v>
      </c>
      <c r="D139" s="44" t="str">
        <f>IF(meta_Columns[[#This Row],[Owning Table:src]]="","",INDEX(meta_Classifiers[Package],MATCH(meta_Columns[[#This Row],[Owning Table Instances Class]],meta_Classifiers[ID],0)))</f>
        <v>meta</v>
      </c>
      <c r="E139" s="43"/>
      <c r="F139" s="8" t="str">
        <f>INDEX(meta_Tables[Excel Table - Excel Name],MATCH(meta_Columns[[#This Row],[Owning Table:src]],meta_Tables[ID],0))</f>
        <v>meta_Columns</v>
      </c>
      <c r="G139" s="44" t="str">
        <f>INDEX(meta_Tables[Instances Class:src],MATCH(meta_Columns[[#This Row],[Owning Table:src]],meta_Tables[ID],0))</f>
        <v>_Column</v>
      </c>
      <c r="H139" s="11" t="s">
        <v>1013</v>
      </c>
      <c r="I139" s="43" t="str">
        <f xml:space="preserve"> IF( TRIM( meta_Columns[[#This Row],[Owning Table:src]] ) = "", "",
        INDEX( meta_Tables[Display Qualified], MATCH( meta_Columns[[#This Row],[Owning Table:src]], meta_Tables[ID], 0 ) ) )</f>
        <v>meta::Columns</v>
      </c>
      <c r="K139" s="22" t="str">
        <f>IF(TRIM(meta_Columns[[#This Row],[Referenced Table:src]])="","",
    INDEX(meta_Tables[Display Qualified],MATCH(meta_Columns[[#This Row],[Referenced Table:src]],meta_Tables[ID],0)))</f>
        <v/>
      </c>
      <c r="L139" s="8"/>
      <c r="M139" s="22" t="str">
        <f xml:space="preserve"> IF( TRIM( meta_Columns[[#This Row],[Referenced Table Display and Select Column:src]] ) = "", "",
        INDEX( meta_Columns[Display Qualified], MATCH( meta_Columns[[#This Row],[Referenced Table Display and Select Column:src]], meta_Columns[ID], 0 ) ) )</f>
        <v/>
      </c>
      <c r="N139" s="8" t="str">
        <f>IF(meta_Columns[[#This Row],[Excel Column - Excel Formula]]="","x","")</f>
        <v/>
      </c>
      <c r="O139" s="22"/>
      <c r="P139" s="8" t="str">
        <f>IF(meta_Columns[[#This Row],[Referenced Table:src]]="","",INDEX(meta_Tables[Instances Class],MATCH(meta_Columns[[#This Row],[Referenced Table:src]],meta_Tables[ID],0)))</f>
        <v/>
      </c>
      <c r="Q1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meta::Column.propertyChangeable</v>
      </c>
      <c r="R139" s="8"/>
      <c r="S139" s="22" t="str">
        <f xml:space="preserve"> IF( TRIM( meta_Columns[[#This Row],[Property:src]] ) = "", "",
        INDEX( meta_TypedModelElements[Display Qualified], MATCH( meta_Columns[[#This Row],[Property:src]], meta_TypedModelElements[ID], 0 ) ) )</f>
        <v/>
      </c>
      <c r="T139" s="22"/>
      <c r="U139" s="8" t="e">
        <f>INDEX(meta_Classifiers[Class - Generalization:src], MATCH(meta_Columns[[#This Row],[Generalization 5]],meta_Classifiers[ID],0))</f>
        <v>#N/A</v>
      </c>
      <c r="V139" s="8" t="e">
        <f>INDEX(meta_Classifiers[Class - Generalization:src], MATCH(meta_Columns[[#This Row],[Generalization 4]],meta_Classifiers[ID],0))</f>
        <v>#N/A</v>
      </c>
      <c r="W139" s="8" t="e">
        <f>INDEX(meta_Classifiers[Class - Generalization:src], MATCH(meta_Columns[[#This Row],[Generalization 3]],meta_Classifiers[ID],0))</f>
        <v>#N/A</v>
      </c>
      <c r="X139" s="8" t="str">
        <f>INDEX(meta_Classifiers[Class - Generalization:src], MATCH(meta_Columns[[#This Row],[Generalization 2]],meta_Classifiers[ID],0))</f>
        <v/>
      </c>
      <c r="Y139" s="8" t="str">
        <f>INDEX(meta_Classifiers[Class - Generalization:src], MATCH(meta_Columns[[#This Row],[Generalization 1]],meta_Classifiers[ID],0))</f>
        <v>_Object</v>
      </c>
      <c r="Z139" s="8" t="str">
        <f>INDEX(meta_Classifiers[Class - Generalization:src], MATCH(meta_Columns[[#This Row],[Owning Table Instances Class]],meta_Classifiers[ID],0))</f>
        <v>_NamedElement</v>
      </c>
      <c r="AA1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9" s="8" t="b">
        <f>_xlfn.IFNA(
INDEX(meta_Classifiers[Class - Generalization:src],MATCH(
INDEX(meta_Classifiers[Class - Generalization:src],MATCH(meta_Columns[[#This Row],[Property Owning Class]],meta_Classifiers[ID],0)),meta_Classifiers[ID],0))
=meta_Columns[[#This Row],[Owning Table Instances Class]],FALSE)</f>
        <v>0</v>
      </c>
      <c r="AG139" s="8" t="b">
        <f>_xlfn.IFNA(INDEX(meta_Classifiers[Class - Generalization:src],MATCH(meta_Columns[[#This Row],[Property Owning Class]],meta_Classifiers[ID],0))=meta_Columns[[#This Row],[Owning Table Instances Class]],FALSE)</f>
        <v>0</v>
      </c>
      <c r="AH1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9" s="8" t="e">
        <f>INDEX(meta_Classifiers[Name],MATCH(INDEX(meta_TypedModelElements[Property - Owning Class:src],MATCH(meta_Columns[[#This Row],[Property]],meta_TypedModelElements[ID],0)),meta_Classifiers[ID],0))</f>
        <v>#N/A</v>
      </c>
      <c r="AJ139" s="8" t="e">
        <f>INDEX(meta_TypedModelElements[Property - Owning Class:src],MATCH(meta_Columns[[#This Row],[Property]],meta_TypedModelElements[ID],0))</f>
        <v>#N/A</v>
      </c>
      <c r="AK139" s="8" t="e">
        <f>INDEX(meta_TypedModelElements[Kind:src],MATCH(meta_Columns[[#This Row],[Property]],meta_TypedModelElements[ID],0))</f>
        <v>#N/A</v>
      </c>
      <c r="AL139" s="8" t="e">
        <f>INDEX(meta_TypedModelElements[Name or Type],MATCH(meta_Columns[[#This Row],[Property]],meta_TypedModelElements[ID],0))</f>
        <v>#N/A</v>
      </c>
      <c r="AM139" s="8" t="e">
        <f>INDEX(meta_TypedModelElements[Property - Changeable],MATCH(meta_Columns[[#This Row],[Property]],meta_TypedModelElements[ID],0))</f>
        <v>#N/A</v>
      </c>
      <c r="AN139" s="43">
        <v>39</v>
      </c>
      <c r="AO139" s="22"/>
      <c r="AP1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9" s="8" t="str">
        <f xml:space="preserve"> IF(meta_Columns[[#This Row],[Property Owning Class is Specialization of Instance Class]],meta_Columns[[#This Row],[Property Owning Class Name]]&amp;" - ","")</f>
        <v/>
      </c>
      <c r="AR1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Changeable</v>
      </c>
      <c r="AT139" s="8" t="str">
        <f>IFERROR(LEFT(meta_Columns[[#This Row],[Excel Column - Label Actual without Semantic Case]],FIND("-",
meta_Columns[[#This Row],[Excel Column - Label Actual without Semantic Case]])-2),"")</f>
        <v/>
      </c>
      <c r="AU1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Changeable</v>
      </c>
      <c r="AV1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Changeable</v>
      </c>
      <c r="AX139" s="22"/>
      <c r="AY139" s="8" t="str">
        <f>meta_Columns[[#This Row],[Owning Table]]&amp;"."&amp;meta_Columns[[#This Row],[Excel Column - Label]]</f>
        <v>meta::Columns.Property Changeable</v>
      </c>
      <c r="AZ139" s="22" t="s">
        <v>475</v>
      </c>
      <c r="BA139" s="8" t="str">
        <f>IF(TRIM(meta_Columns[[#This Row],[Excel Column - Label Overwrite]])&lt;&gt;"",meta_Columns[[#This Row],[Excel Column - Label Overwrite]],meta_Columns[[#This Row],[Excel Column - Label from Property or Referenced Table]])</f>
        <v>Property Changeable</v>
      </c>
      <c r="BB139" s="43" t="s">
        <v>904</v>
      </c>
      <c r="BC139" s="44" t="str">
        <f>IF(meta_Columns[[#This Row],[Excel Column - Explicit Excel Formula]]="","",meta_Columns[[#This Row],[Excel Column - Explicit Excel Formula]])</f>
        <v>Formula:=INDEX(meta_TypedModelElements[Property - Changeable],MATCH([@Property],meta_TypedModelElements[ID],0))</v>
      </c>
      <c r="BD139" s="5"/>
      <c r="BE139" s="5"/>
    </row>
    <row r="140" spans="1:57">
      <c r="A140" s="10" t="s">
        <v>1124</v>
      </c>
      <c r="B140" s="5" t="s">
        <v>546</v>
      </c>
      <c r="C140" s="22" t="str">
        <f xml:space="preserve"> IF( TRIM( meta_Columns[[#This Row],[Kind:src]] ) = "", "",
        INDEX( meta_Classifiers[Display Qualified], MATCH( meta_Columns[[#This Row],[Kind:src]], meta_Classifiers[ID], 0 ) ) )</f>
        <v>ExcelColumn</v>
      </c>
      <c r="D140" s="44" t="str">
        <f>IF(meta_Columns[[#This Row],[Owning Table:src]]="","",INDEX(meta_Classifiers[Package],MATCH(meta_Columns[[#This Row],[Owning Table Instances Class]],meta_Classifiers[ID],0)))</f>
        <v>meta</v>
      </c>
      <c r="E140" s="43"/>
      <c r="F140" s="8" t="str">
        <f>INDEX(meta_Tables[Excel Table - Excel Name],MATCH(meta_Columns[[#This Row],[Owning Table:src]],meta_Tables[ID],0))</f>
        <v>meta_Columns</v>
      </c>
      <c r="G140" s="44" t="str">
        <f>INDEX(meta_Tables[Instances Class:src],MATCH(meta_Columns[[#This Row],[Owning Table:src]],meta_Tables[ID],0))</f>
        <v>_Column</v>
      </c>
      <c r="H140" s="11" t="s">
        <v>1013</v>
      </c>
      <c r="I140" s="43" t="str">
        <f xml:space="preserve"> IF( TRIM( meta_Columns[[#This Row],[Owning Table:src]] ) = "", "",
        INDEX( meta_Tables[Display Qualified], MATCH( meta_Columns[[#This Row],[Owning Table:src]], meta_Tables[ID], 0 ) ) )</f>
        <v>meta::Columns</v>
      </c>
      <c r="K140" s="22" t="str">
        <f>IF(TRIM(meta_Columns[[#This Row],[Referenced Table:src]])="","",
    INDEX(meta_Tables[Display Qualified],MATCH(meta_Columns[[#This Row],[Referenced Table:src]],meta_Tables[ID],0)))</f>
        <v/>
      </c>
      <c r="L140" s="8"/>
      <c r="M140" s="22" t="str">
        <f xml:space="preserve"> IF( TRIM( meta_Columns[[#This Row],[Referenced Table Display and Select Column:src]] ) = "", "",
        INDEX( meta_Columns[Display Qualified], MATCH( meta_Columns[[#This Row],[Referenced Table Display and Select Column:src]], meta_Columns[ID], 0 ) ) )</f>
        <v/>
      </c>
      <c r="N140" s="8" t="str">
        <f>IF(meta_Columns[[#This Row],[Excel Column - Excel Formula]]="","x","")</f>
        <v>x</v>
      </c>
      <c r="O140" s="22"/>
      <c r="P140" s="8" t="str">
        <f>IF(meta_Columns[[#This Row],[Referenced Table:src]]="","",INDEX(meta_Tables[Instances Class],MATCH(meta_Columns[[#This Row],[Referenced Table:src]],meta_Tables[ID],0)))</f>
        <v/>
      </c>
      <c r="Q1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meta::Column.position</v>
      </c>
      <c r="R140" s="8"/>
      <c r="S140" s="22" t="str">
        <f xml:space="preserve"> IF( TRIM( meta_Columns[[#This Row],[Property:src]] ) = "", "",
        INDEX( meta_TypedModelElements[Display Qualified], MATCH( meta_Columns[[#This Row],[Property:src]], meta_TypedModelElements[ID], 0 ) ) )</f>
        <v/>
      </c>
      <c r="T140" s="22"/>
      <c r="U140" s="8" t="e">
        <f>INDEX(meta_Classifiers[Class - Generalization:src], MATCH(meta_Columns[[#This Row],[Generalization 5]],meta_Classifiers[ID],0))</f>
        <v>#N/A</v>
      </c>
      <c r="V140" s="8" t="e">
        <f>INDEX(meta_Classifiers[Class - Generalization:src], MATCH(meta_Columns[[#This Row],[Generalization 4]],meta_Classifiers[ID],0))</f>
        <v>#N/A</v>
      </c>
      <c r="W140" s="8" t="e">
        <f>INDEX(meta_Classifiers[Class - Generalization:src], MATCH(meta_Columns[[#This Row],[Generalization 3]],meta_Classifiers[ID],0))</f>
        <v>#N/A</v>
      </c>
      <c r="X140" s="8" t="str">
        <f>INDEX(meta_Classifiers[Class - Generalization:src], MATCH(meta_Columns[[#This Row],[Generalization 2]],meta_Classifiers[ID],0))</f>
        <v/>
      </c>
      <c r="Y140" s="8" t="str">
        <f>INDEX(meta_Classifiers[Class - Generalization:src], MATCH(meta_Columns[[#This Row],[Generalization 1]],meta_Classifiers[ID],0))</f>
        <v>_Object</v>
      </c>
      <c r="Z140" s="8" t="str">
        <f>INDEX(meta_Classifiers[Class - Generalization:src], MATCH(meta_Columns[[#This Row],[Owning Table Instances Class]],meta_Classifiers[ID],0))</f>
        <v>_NamedElement</v>
      </c>
      <c r="AA1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0" s="8" t="b">
        <f>_xlfn.IFNA(
INDEX(meta_Classifiers[Class - Generalization:src],MATCH(
INDEX(meta_Classifiers[Class - Generalization:src],MATCH(meta_Columns[[#This Row],[Property Owning Class]],meta_Classifiers[ID],0)),meta_Classifiers[ID],0))
=meta_Columns[[#This Row],[Owning Table Instances Class]],FALSE)</f>
        <v>0</v>
      </c>
      <c r="AG140" s="8" t="b">
        <f>_xlfn.IFNA(INDEX(meta_Classifiers[Class - Generalization:src],MATCH(meta_Columns[[#This Row],[Property Owning Class]],meta_Classifiers[ID],0))=meta_Columns[[#This Row],[Owning Table Instances Class]],FALSE)</f>
        <v>0</v>
      </c>
      <c r="AH1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0" s="8" t="e">
        <f>INDEX(meta_Classifiers[Name],MATCH(INDEX(meta_TypedModelElements[Property - Owning Class:src],MATCH(meta_Columns[[#This Row],[Property]],meta_TypedModelElements[ID],0)),meta_Classifiers[ID],0))</f>
        <v>#N/A</v>
      </c>
      <c r="AJ140" s="8" t="e">
        <f>INDEX(meta_TypedModelElements[Property - Owning Class:src],MATCH(meta_Columns[[#This Row],[Property]],meta_TypedModelElements[ID],0))</f>
        <v>#N/A</v>
      </c>
      <c r="AK140" s="8" t="e">
        <f>INDEX(meta_TypedModelElements[Kind:src],MATCH(meta_Columns[[#This Row],[Property]],meta_TypedModelElements[ID],0))</f>
        <v>#N/A</v>
      </c>
      <c r="AL140" s="8" t="e">
        <f>INDEX(meta_TypedModelElements[Name or Type],MATCH(meta_Columns[[#This Row],[Property]],meta_TypedModelElements[ID],0))</f>
        <v>#N/A</v>
      </c>
      <c r="AM140" s="8" t="e">
        <f>INDEX(meta_TypedModelElements[Property - Changeable],MATCH(meta_Columns[[#This Row],[Property]],meta_TypedModelElements[ID],0))</f>
        <v>#N/A</v>
      </c>
      <c r="AN140" s="43">
        <v>40</v>
      </c>
      <c r="AO140" s="22">
        <v>11</v>
      </c>
      <c r="AP1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0" s="8" t="str">
        <f xml:space="preserve"> IF(meta_Columns[[#This Row],[Property Owning Class is Specialization of Instance Class]],meta_Columns[[#This Row],[Property Owning Class Name]]&amp;" - ","")</f>
        <v/>
      </c>
      <c r="AR1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Position</v>
      </c>
      <c r="AT140" s="8" t="str">
        <f>IFERROR(LEFT(meta_Columns[[#This Row],[Excel Column - Label Actual without Semantic Case]],FIND("-",
meta_Columns[[#This Row],[Excel Column - Label Actual without Semantic Case]])-2),"")</f>
        <v/>
      </c>
      <c r="AU1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Position</v>
      </c>
      <c r="AV1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Position</v>
      </c>
      <c r="AX140" s="22"/>
      <c r="AY140" s="8" t="str">
        <f>meta_Columns[[#This Row],[Owning Table]]&amp;"."&amp;meta_Columns[[#This Row],[Excel Column - Label]]</f>
        <v>meta::Columns.Position</v>
      </c>
      <c r="AZ140" s="22" t="s">
        <v>465</v>
      </c>
      <c r="BA140" s="8" t="str">
        <f>IF(TRIM(meta_Columns[[#This Row],[Excel Column - Label Overwrite]])&lt;&gt;"",meta_Columns[[#This Row],[Excel Column - Label Overwrite]],meta_Columns[[#This Row],[Excel Column - Label from Property or Referenced Table]])</f>
        <v>Position</v>
      </c>
      <c r="BB140" s="43"/>
      <c r="BC140" s="44" t="str">
        <f>IF(meta_Columns[[#This Row],[Excel Column - Explicit Excel Formula]]="","",meta_Columns[[#This Row],[Excel Column - Explicit Excel Formula]])</f>
        <v/>
      </c>
      <c r="BD140" s="5"/>
      <c r="BE140" s="5"/>
    </row>
    <row r="141" spans="1:57">
      <c r="A141" s="10" t="s">
        <v>1125</v>
      </c>
      <c r="B141" s="5" t="s">
        <v>546</v>
      </c>
      <c r="C141" s="22" t="str">
        <f xml:space="preserve"> IF( TRIM( meta_Columns[[#This Row],[Kind:src]] ) = "", "",
        INDEX( meta_Classifiers[Display Qualified], MATCH( meta_Columns[[#This Row],[Kind:src]], meta_Classifiers[ID], 0 ) ) )</f>
        <v>ExcelColumn</v>
      </c>
      <c r="D141" s="44" t="str">
        <f>IF(meta_Columns[[#This Row],[Owning Table:src]]="","",INDEX(meta_Classifiers[Package],MATCH(meta_Columns[[#This Row],[Owning Table Instances Class]],meta_Classifiers[ID],0)))</f>
        <v>meta</v>
      </c>
      <c r="E141" s="43"/>
      <c r="F141" s="8" t="str">
        <f>INDEX(meta_Tables[Excel Table - Excel Name],MATCH(meta_Columns[[#This Row],[Owning Table:src]],meta_Tables[ID],0))</f>
        <v>meta_Columns</v>
      </c>
      <c r="G141" s="44" t="str">
        <f>INDEX(meta_Tables[Instances Class:src],MATCH(meta_Columns[[#This Row],[Owning Table:src]],meta_Tables[ID],0))</f>
        <v>_Column</v>
      </c>
      <c r="H141" s="11" t="s">
        <v>1013</v>
      </c>
      <c r="I141" s="43" t="str">
        <f xml:space="preserve"> IF( TRIM( meta_Columns[[#This Row],[Owning Table:src]] ) = "", "",
        INDEX( meta_Tables[Display Qualified], MATCH( meta_Columns[[#This Row],[Owning Table:src]], meta_Tables[ID], 0 ) ) )</f>
        <v>meta::Columns</v>
      </c>
      <c r="K141" s="22" t="str">
        <f>IF(TRIM(meta_Columns[[#This Row],[Referenced Table:src]])="","",
    INDEX(meta_Tables[Display Qualified],MATCH(meta_Columns[[#This Row],[Referenced Table:src]],meta_Tables[ID],0)))</f>
        <v/>
      </c>
      <c r="L141" s="8"/>
      <c r="M141" s="22" t="str">
        <f xml:space="preserve"> IF( TRIM( meta_Columns[[#This Row],[Referenced Table Display and Select Column:src]] ) = "", "",
        INDEX( meta_Columns[Display Qualified], MATCH( meta_Columns[[#This Row],[Referenced Table Display and Select Column:src]], meta_Columns[ID], 0 ) ) )</f>
        <v/>
      </c>
      <c r="N141" s="8" t="str">
        <f>IF(meta_Columns[[#This Row],[Excel Column - Excel Formula]]="","x","")</f>
        <v>x</v>
      </c>
      <c r="O141" s="22"/>
      <c r="P141" s="8" t="str">
        <f>IF(meta_Columns[[#This Row],[Referenced Table:src]]="","",INDEX(meta_Tables[Instances Class],MATCH(meta_Columns[[#This Row],[Referenced Table:src]],meta_Tables[ID],0)))</f>
        <v/>
      </c>
      <c r="Q1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meta::Column.storedColumnPosition</v>
      </c>
      <c r="R141" s="8"/>
      <c r="S141" s="22" t="str">
        <f xml:space="preserve"> IF( TRIM( meta_Columns[[#This Row],[Property:src]] ) = "", "",
        INDEX( meta_TypedModelElements[Display Qualified], MATCH( meta_Columns[[#This Row],[Property:src]], meta_TypedModelElements[ID], 0 ) ) )</f>
        <v/>
      </c>
      <c r="T141" s="22"/>
      <c r="U141" s="8" t="e">
        <f>INDEX(meta_Classifiers[Class - Generalization:src], MATCH(meta_Columns[[#This Row],[Generalization 5]],meta_Classifiers[ID],0))</f>
        <v>#N/A</v>
      </c>
      <c r="V141" s="8" t="e">
        <f>INDEX(meta_Classifiers[Class - Generalization:src], MATCH(meta_Columns[[#This Row],[Generalization 4]],meta_Classifiers[ID],0))</f>
        <v>#N/A</v>
      </c>
      <c r="W141" s="8" t="e">
        <f>INDEX(meta_Classifiers[Class - Generalization:src], MATCH(meta_Columns[[#This Row],[Generalization 3]],meta_Classifiers[ID],0))</f>
        <v>#N/A</v>
      </c>
      <c r="X141" s="8" t="str">
        <f>INDEX(meta_Classifiers[Class - Generalization:src], MATCH(meta_Columns[[#This Row],[Generalization 2]],meta_Classifiers[ID],0))</f>
        <v/>
      </c>
      <c r="Y141" s="8" t="str">
        <f>INDEX(meta_Classifiers[Class - Generalization:src], MATCH(meta_Columns[[#This Row],[Generalization 1]],meta_Classifiers[ID],0))</f>
        <v>_Object</v>
      </c>
      <c r="Z141" s="8" t="str">
        <f>INDEX(meta_Classifiers[Class - Generalization:src], MATCH(meta_Columns[[#This Row],[Owning Table Instances Class]],meta_Classifiers[ID],0))</f>
        <v>_NamedElement</v>
      </c>
      <c r="AA1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1" s="8" t="b">
        <f>_xlfn.IFNA(
INDEX(meta_Classifiers[Class - Generalization:src],MATCH(
INDEX(meta_Classifiers[Class - Generalization:src],MATCH(meta_Columns[[#This Row],[Property Owning Class]],meta_Classifiers[ID],0)),meta_Classifiers[ID],0))
=meta_Columns[[#This Row],[Owning Table Instances Class]],FALSE)</f>
        <v>0</v>
      </c>
      <c r="AG141" s="8" t="b">
        <f>_xlfn.IFNA(INDEX(meta_Classifiers[Class - Generalization:src],MATCH(meta_Columns[[#This Row],[Property Owning Class]],meta_Classifiers[ID],0))=meta_Columns[[#This Row],[Owning Table Instances Class]],FALSE)</f>
        <v>0</v>
      </c>
      <c r="AH1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1" s="8" t="e">
        <f>INDEX(meta_Classifiers[Name],MATCH(INDEX(meta_TypedModelElements[Property - Owning Class:src],MATCH(meta_Columns[[#This Row],[Property]],meta_TypedModelElements[ID],0)),meta_Classifiers[ID],0))</f>
        <v>#N/A</v>
      </c>
      <c r="AJ141" s="8" t="e">
        <f>INDEX(meta_TypedModelElements[Property - Owning Class:src],MATCH(meta_Columns[[#This Row],[Property]],meta_TypedModelElements[ID],0))</f>
        <v>#N/A</v>
      </c>
      <c r="AK141" s="8" t="e">
        <f>INDEX(meta_TypedModelElements[Kind:src],MATCH(meta_Columns[[#This Row],[Property]],meta_TypedModelElements[ID],0))</f>
        <v>#N/A</v>
      </c>
      <c r="AL141" s="8" t="e">
        <f>INDEX(meta_TypedModelElements[Name or Type],MATCH(meta_Columns[[#This Row],[Property]],meta_TypedModelElements[ID],0))</f>
        <v>#N/A</v>
      </c>
      <c r="AM141" s="8" t="e">
        <f>INDEX(meta_TypedModelElements[Property - Changeable],MATCH(meta_Columns[[#This Row],[Property]],meta_TypedModelElements[ID],0))</f>
        <v>#N/A</v>
      </c>
      <c r="AN141" s="43">
        <v>41</v>
      </c>
      <c r="AO141" s="22">
        <v>12</v>
      </c>
      <c r="AP1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1" s="8" t="str">
        <f xml:space="preserve"> IF(meta_Columns[[#This Row],[Property Owning Class is Specialization of Instance Class]],meta_Columns[[#This Row],[Property Owning Class Name]]&amp;" - ","")</f>
        <v/>
      </c>
      <c r="AR1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Stored Column Position</v>
      </c>
      <c r="AT141" s="8" t="str">
        <f>IFERROR(LEFT(meta_Columns[[#This Row],[Excel Column - Label Actual without Semantic Case]],FIND("-",
meta_Columns[[#This Row],[Excel Column - Label Actual without Semantic Case]])-2),"")</f>
        <v/>
      </c>
      <c r="AU1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Stored Column Position</v>
      </c>
      <c r="AV1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Stored Column Position</v>
      </c>
      <c r="AX141" s="22"/>
      <c r="AY141" s="8" t="str">
        <f>meta_Columns[[#This Row],[Owning Table]]&amp;"."&amp;meta_Columns[[#This Row],[Excel Column - Label]]</f>
        <v>meta::Columns.Stored Column Position</v>
      </c>
      <c r="AZ141" s="22" t="s">
        <v>551</v>
      </c>
      <c r="BA141" s="8" t="str">
        <f>IF(TRIM(meta_Columns[[#This Row],[Excel Column - Label Overwrite]])&lt;&gt;"",meta_Columns[[#This Row],[Excel Column - Label Overwrite]],meta_Columns[[#This Row],[Excel Column - Label from Property or Referenced Table]])</f>
        <v>Stored Column Position</v>
      </c>
      <c r="BB141" s="43"/>
      <c r="BC141" s="44" t="str">
        <f>IF(meta_Columns[[#This Row],[Excel Column - Explicit Excel Formula]]="","",meta_Columns[[#This Row],[Excel Column - Explicit Excel Formula]])</f>
        <v/>
      </c>
      <c r="BD141" s="5"/>
      <c r="BE141" s="5"/>
    </row>
    <row r="142" spans="1:57">
      <c r="A142" s="10" t="s">
        <v>1379</v>
      </c>
      <c r="B142" s="5" t="s">
        <v>546</v>
      </c>
      <c r="C142" s="22" t="str">
        <f xml:space="preserve"> IF( TRIM( meta_Columns[[#This Row],[Kind:src]] ) = "", "",
        INDEX( meta_Classifiers[Display Qualified], MATCH( meta_Columns[[#This Row],[Kind:src]], meta_Classifiers[ID], 0 ) ) )</f>
        <v>ExcelColumn</v>
      </c>
      <c r="D142" s="44" t="str">
        <f>IF(meta_Columns[[#This Row],[Owning Table:src]]="","",INDEX(meta_Classifiers[Package],MATCH(meta_Columns[[#This Row],[Owning Table Instances Class]],meta_Classifiers[ID],0)))</f>
        <v>meta</v>
      </c>
      <c r="E142" s="43"/>
      <c r="F142" s="8" t="str">
        <f>INDEX(meta_Tables[Excel Table - Excel Name],MATCH(meta_Columns[[#This Row],[Owning Table:src]],meta_Tables[ID],0))</f>
        <v>meta_Columns</v>
      </c>
      <c r="G142" s="44" t="str">
        <f>INDEX(meta_Tables[Instances Class:src],MATCH(meta_Columns[[#This Row],[Owning Table:src]],meta_Tables[ID],0))</f>
        <v>_Column</v>
      </c>
      <c r="H142" s="11" t="s">
        <v>1013</v>
      </c>
      <c r="I142" s="43" t="str">
        <f xml:space="preserve"> IF( TRIM( meta_Columns[[#This Row],[Owning Table:src]] ) = "", "",
        INDEX( meta_Tables[Display Qualified], MATCH( meta_Columns[[#This Row],[Owning Table:src]], meta_Tables[ID], 0 ) ) )</f>
        <v>meta::Columns</v>
      </c>
      <c r="K142" s="22" t="str">
        <f>IF(TRIM(meta_Columns[[#This Row],[Referenced Table:src]])="","",
    INDEX(meta_Tables[Display Qualified],MATCH(meta_Columns[[#This Row],[Referenced Table:src]],meta_Tables[ID],0)))</f>
        <v/>
      </c>
      <c r="L142" s="8"/>
      <c r="M142" s="22" t="str">
        <f xml:space="preserve"> IF( TRIM( meta_Columns[[#This Row],[Referenced Table Display and Select Column:src]] ) = "", "",
        INDEX( meta_Columns[Display Qualified], MATCH( meta_Columns[[#This Row],[Referenced Table Display and Select Column:src]], meta_Columns[ID], 0 ) ) )</f>
        <v/>
      </c>
      <c r="N142" s="8" t="str">
        <f>IF(meta_Columns[[#This Row],[Excel Column - Excel Formula]]="","x","")</f>
        <v/>
      </c>
      <c r="O142" s="22"/>
      <c r="P142" s="8" t="str">
        <f>IF(meta_Columns[[#This Row],[Referenced Table:src]]="","",INDEX(meta_Tables[Instances Class],MATCH(meta_Columns[[#This Row],[Referenced Table:src]],meta_Tables[ID],0)))</f>
        <v/>
      </c>
      <c r="Q1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meta::ExcelColumn.labelFromPropertyOrReferencedTable</v>
      </c>
      <c r="R142" s="8"/>
      <c r="S142" s="22" t="str">
        <f xml:space="preserve"> IF( TRIM( meta_Columns[[#This Row],[Property:src]] ) = "", "",
        INDEX( meta_TypedModelElements[Display Qualified], MATCH( meta_Columns[[#This Row],[Property:src]], meta_TypedModelElements[ID], 0 ) ) )</f>
        <v/>
      </c>
      <c r="T142" s="22"/>
      <c r="U142" s="8" t="e">
        <f>INDEX(meta_Classifiers[Class - Generalization:src], MATCH(meta_Columns[[#This Row],[Generalization 5]],meta_Classifiers[ID],0))</f>
        <v>#N/A</v>
      </c>
      <c r="V142" s="8" t="e">
        <f>INDEX(meta_Classifiers[Class - Generalization:src], MATCH(meta_Columns[[#This Row],[Generalization 4]],meta_Classifiers[ID],0))</f>
        <v>#N/A</v>
      </c>
      <c r="W142" s="8" t="e">
        <f>INDEX(meta_Classifiers[Class - Generalization:src], MATCH(meta_Columns[[#This Row],[Generalization 3]],meta_Classifiers[ID],0))</f>
        <v>#N/A</v>
      </c>
      <c r="X142" s="8" t="str">
        <f>INDEX(meta_Classifiers[Class - Generalization:src], MATCH(meta_Columns[[#This Row],[Generalization 2]],meta_Classifiers[ID],0))</f>
        <v/>
      </c>
      <c r="Y142" s="8" t="str">
        <f>INDEX(meta_Classifiers[Class - Generalization:src], MATCH(meta_Columns[[#This Row],[Generalization 1]],meta_Classifiers[ID],0))</f>
        <v>_Object</v>
      </c>
      <c r="Z142" s="8" t="str">
        <f>INDEX(meta_Classifiers[Class - Generalization:src], MATCH(meta_Columns[[#This Row],[Owning Table Instances Class]],meta_Classifiers[ID],0))</f>
        <v>_NamedElement</v>
      </c>
      <c r="AA1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2" s="8" t="b">
        <f>_xlfn.IFNA(
INDEX(meta_Classifiers[Class - Generalization:src],MATCH(
INDEX(meta_Classifiers[Class - Generalization:src],MATCH(meta_Columns[[#This Row],[Property Owning Class]],meta_Classifiers[ID],0)),meta_Classifiers[ID],0))
=meta_Columns[[#This Row],[Owning Table Instances Class]],FALSE)</f>
        <v>0</v>
      </c>
      <c r="AG142" s="8" t="b">
        <f>_xlfn.IFNA(INDEX(meta_Classifiers[Class - Generalization:src],MATCH(meta_Columns[[#This Row],[Property Owning Class]],meta_Classifiers[ID],0))=meta_Columns[[#This Row],[Owning Table Instances Class]],FALSE)</f>
        <v>0</v>
      </c>
      <c r="AH1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2" s="8" t="e">
        <f>INDEX(meta_Classifiers[Name],MATCH(INDEX(meta_TypedModelElements[Property - Owning Class:src],MATCH(meta_Columns[[#This Row],[Property]],meta_TypedModelElements[ID],0)),meta_Classifiers[ID],0))</f>
        <v>#N/A</v>
      </c>
      <c r="AJ142" s="8" t="e">
        <f>INDEX(meta_TypedModelElements[Property - Owning Class:src],MATCH(meta_Columns[[#This Row],[Property]],meta_TypedModelElements[ID],0))</f>
        <v>#N/A</v>
      </c>
      <c r="AK142" s="8" t="e">
        <f>INDEX(meta_TypedModelElements[Kind:src],MATCH(meta_Columns[[#This Row],[Property]],meta_TypedModelElements[ID],0))</f>
        <v>#N/A</v>
      </c>
      <c r="AL142" s="8" t="e">
        <f>INDEX(meta_TypedModelElements[Name or Type],MATCH(meta_Columns[[#This Row],[Property]],meta_TypedModelElements[ID],0))</f>
        <v>#N/A</v>
      </c>
      <c r="AM142" s="8" t="e">
        <f>INDEX(meta_TypedModelElements[Property - Changeable],MATCH(meta_Columns[[#This Row],[Property]],meta_TypedModelElements[ID],0))</f>
        <v>#N/A</v>
      </c>
      <c r="AN142" s="43">
        <v>42</v>
      </c>
      <c r="AO142" s="22"/>
      <c r="AP1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2" s="8" t="str">
        <f xml:space="preserve"> IF(meta_Columns[[#This Row],[Property Owning Class is Specialization of Instance Class]],meta_Columns[[#This Row],[Property Owning Class Name]]&amp;" - ","")</f>
        <v/>
      </c>
      <c r="AR1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or Referenced Table</v>
      </c>
      <c r="AT142" s="8" t="str">
        <f>IFERROR(LEFT(meta_Columns[[#This Row],[Excel Column - Label Actual without Semantic Case]],FIND("-",
meta_Columns[[#This Row],[Excel Column - Label Actual without Semantic Case]])-2),"")</f>
        <v>Excel Column</v>
      </c>
      <c r="AU1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or Referenced Table</v>
      </c>
      <c r="AV1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or Referenced Table</v>
      </c>
      <c r="AX142" s="22"/>
      <c r="AY142" s="8" t="str">
        <f>meta_Columns[[#This Row],[Owning Table]]&amp;"."&amp;meta_Columns[[#This Row],[Excel Column - Label]]</f>
        <v>meta::Columns.Excel Column - Label from Property or Referenced Table</v>
      </c>
      <c r="AZ142" s="22" t="s">
        <v>1000</v>
      </c>
      <c r="BA142" s="8" t="str">
        <f>IF(TRIM(meta_Columns[[#This Row],[Excel Column - Label Overwrite]])&lt;&gt;"",meta_Columns[[#This Row],[Excel Column - Label Overwrite]],meta_Columns[[#This Row],[Excel Column - Label from Property or Referenced Table]])</f>
        <v>Excel Column - Label from Property or Referenced Table</v>
      </c>
      <c r="BB142" s="43" t="s">
        <v>1380</v>
      </c>
      <c r="BC142" s="44" t="str">
        <f>IF(meta_Columns[[#This Row],[Excel Column - Explicit Excel Formula]]="","",meta_Columns[[#This Row],[Excel Column - Explicit Excel Formula]])</f>
        <v>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v>
      </c>
      <c r="BD142" s="5"/>
      <c r="BE142" s="5"/>
    </row>
    <row r="143" spans="1:57">
      <c r="A143" s="10" t="s">
        <v>1381</v>
      </c>
      <c r="B143" s="5" t="s">
        <v>546</v>
      </c>
      <c r="C143" s="22" t="str">
        <f xml:space="preserve"> IF( TRIM( meta_Columns[[#This Row],[Kind:src]] ) = "", "",
        INDEX( meta_Classifiers[Display Qualified], MATCH( meta_Columns[[#This Row],[Kind:src]], meta_Classifiers[ID], 0 ) ) )</f>
        <v>ExcelColumn</v>
      </c>
      <c r="D143" s="44" t="str">
        <f>IF(meta_Columns[[#This Row],[Owning Table:src]]="","",INDEX(meta_Classifiers[Package],MATCH(meta_Columns[[#This Row],[Owning Table Instances Class]],meta_Classifiers[ID],0)))</f>
        <v>meta</v>
      </c>
      <c r="E143" s="43"/>
      <c r="F143" s="8" t="str">
        <f>INDEX(meta_Tables[Excel Table - Excel Name],MATCH(meta_Columns[[#This Row],[Owning Table:src]],meta_Tables[ID],0))</f>
        <v>meta_Columns</v>
      </c>
      <c r="G143" s="44" t="str">
        <f>INDEX(meta_Tables[Instances Class:src],MATCH(meta_Columns[[#This Row],[Owning Table:src]],meta_Tables[ID],0))</f>
        <v>_Column</v>
      </c>
      <c r="H143" s="11" t="s">
        <v>1013</v>
      </c>
      <c r="I143" s="43" t="str">
        <f xml:space="preserve"> IF( TRIM( meta_Columns[[#This Row],[Owning Table:src]] ) = "", "",
        INDEX( meta_Tables[Display Qualified], MATCH( meta_Columns[[#This Row],[Owning Table:src]], meta_Tables[ID], 0 ) ) )</f>
        <v>meta::Columns</v>
      </c>
      <c r="K143" s="22" t="str">
        <f>IF(TRIM(meta_Columns[[#This Row],[Referenced Table:src]])="","",
    INDEX(meta_Tables[Display Qualified],MATCH(meta_Columns[[#This Row],[Referenced Table:src]],meta_Tables[ID],0)))</f>
        <v/>
      </c>
      <c r="L143" s="8"/>
      <c r="M143" s="22" t="str">
        <f xml:space="preserve"> IF( TRIM( meta_Columns[[#This Row],[Referenced Table Display and Select Column:src]] ) = "", "",
        INDEX( meta_Columns[Display Qualified], MATCH( meta_Columns[[#This Row],[Referenced Table Display and Select Column:src]], meta_Columns[ID], 0 ) ) )</f>
        <v/>
      </c>
      <c r="N143" s="8" t="str">
        <f>IF(meta_Columns[[#This Row],[Excel Column - Excel Formula]]="","x","")</f>
        <v/>
      </c>
      <c r="O143" s="22"/>
      <c r="P143" s="8" t="str">
        <f>IF(meta_Columns[[#This Row],[Referenced Table:src]]="","",INDEX(meta_Tables[Instances Class],MATCH(meta_Columns[[#This Row],[Referenced Table:src]],meta_Tables[ID],0)))</f>
        <v/>
      </c>
      <c r="Q1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meta::ExcelColumn.labelSubtypePrefix</v>
      </c>
      <c r="R143" s="8"/>
      <c r="S143" s="22" t="str">
        <f xml:space="preserve"> IF( TRIM( meta_Columns[[#This Row],[Property:src]] ) = "", "",
        INDEX( meta_TypedModelElements[Display Qualified], MATCH( meta_Columns[[#This Row],[Property:src]], meta_TypedModelElements[ID], 0 ) ) )</f>
        <v/>
      </c>
      <c r="T143" s="22"/>
      <c r="U143" s="8" t="e">
        <f>INDEX(meta_Classifiers[Class - Generalization:src], MATCH(meta_Columns[[#This Row],[Generalization 5]],meta_Classifiers[ID],0))</f>
        <v>#N/A</v>
      </c>
      <c r="V143" s="8" t="e">
        <f>INDEX(meta_Classifiers[Class - Generalization:src], MATCH(meta_Columns[[#This Row],[Generalization 4]],meta_Classifiers[ID],0))</f>
        <v>#N/A</v>
      </c>
      <c r="W143" s="8" t="e">
        <f>INDEX(meta_Classifiers[Class - Generalization:src], MATCH(meta_Columns[[#This Row],[Generalization 3]],meta_Classifiers[ID],0))</f>
        <v>#N/A</v>
      </c>
      <c r="X143" s="8" t="str">
        <f>INDEX(meta_Classifiers[Class - Generalization:src], MATCH(meta_Columns[[#This Row],[Generalization 2]],meta_Classifiers[ID],0))</f>
        <v/>
      </c>
      <c r="Y143" s="8" t="str">
        <f>INDEX(meta_Classifiers[Class - Generalization:src], MATCH(meta_Columns[[#This Row],[Generalization 1]],meta_Classifiers[ID],0))</f>
        <v>_Object</v>
      </c>
      <c r="Z143" s="8" t="str">
        <f>INDEX(meta_Classifiers[Class - Generalization:src], MATCH(meta_Columns[[#This Row],[Owning Table Instances Class]],meta_Classifiers[ID],0))</f>
        <v>_NamedElement</v>
      </c>
      <c r="AA1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3" s="8" t="b">
        <f>_xlfn.IFNA(
INDEX(meta_Classifiers[Class - Generalization:src],MATCH(
INDEX(meta_Classifiers[Class - Generalization:src],MATCH(meta_Columns[[#This Row],[Property Owning Class]],meta_Classifiers[ID],0)),meta_Classifiers[ID],0))
=meta_Columns[[#This Row],[Owning Table Instances Class]],FALSE)</f>
        <v>0</v>
      </c>
      <c r="AG143" s="8" t="b">
        <f>_xlfn.IFNA(INDEX(meta_Classifiers[Class - Generalization:src],MATCH(meta_Columns[[#This Row],[Property Owning Class]],meta_Classifiers[ID],0))=meta_Columns[[#This Row],[Owning Table Instances Class]],FALSE)</f>
        <v>0</v>
      </c>
      <c r="AH1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3" s="8" t="e">
        <f>INDEX(meta_Classifiers[Name],MATCH(INDEX(meta_TypedModelElements[Property - Owning Class:src],MATCH(meta_Columns[[#This Row],[Property]],meta_TypedModelElements[ID],0)),meta_Classifiers[ID],0))</f>
        <v>#N/A</v>
      </c>
      <c r="AJ143" s="8" t="e">
        <f>INDEX(meta_TypedModelElements[Property - Owning Class:src],MATCH(meta_Columns[[#This Row],[Property]],meta_TypedModelElements[ID],0))</f>
        <v>#N/A</v>
      </c>
      <c r="AK143" s="8" t="e">
        <f>INDEX(meta_TypedModelElements[Kind:src],MATCH(meta_Columns[[#This Row],[Property]],meta_TypedModelElements[ID],0))</f>
        <v>#N/A</v>
      </c>
      <c r="AL143" s="8" t="e">
        <f>INDEX(meta_TypedModelElements[Name or Type],MATCH(meta_Columns[[#This Row],[Property]],meta_TypedModelElements[ID],0))</f>
        <v>#N/A</v>
      </c>
      <c r="AM143" s="8" t="e">
        <f>INDEX(meta_TypedModelElements[Property - Changeable],MATCH(meta_Columns[[#This Row],[Property]],meta_TypedModelElements[ID],0))</f>
        <v>#N/A</v>
      </c>
      <c r="AN143" s="43">
        <v>43</v>
      </c>
      <c r="AO143" s="22"/>
      <c r="AP1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3" s="8" t="str">
        <f xml:space="preserve"> IF(meta_Columns[[#This Row],[Property Owning Class is Specialization of Instance Class]],meta_Columns[[#This Row],[Property Owning Class Name]]&amp;" - ","")</f>
        <v/>
      </c>
      <c r="AR1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Subtype Prefix</v>
      </c>
      <c r="AT143" s="8" t="str">
        <f>IFERROR(LEFT(meta_Columns[[#This Row],[Excel Column - Label Actual without Semantic Case]],FIND("-",
meta_Columns[[#This Row],[Excel Column - Label Actual without Semantic Case]])-2),"")</f>
        <v>Excel Column</v>
      </c>
      <c r="AU1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Subtype Prefix</v>
      </c>
      <c r="AV1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Subtype Prefix</v>
      </c>
      <c r="AX143" s="22"/>
      <c r="AY143" s="8" t="str">
        <f>meta_Columns[[#This Row],[Owning Table]]&amp;"."&amp;meta_Columns[[#This Row],[Excel Column - Label]]</f>
        <v>meta::Columns.Excel Column - Label Subtype Prefix</v>
      </c>
      <c r="AZ143" s="22" t="s">
        <v>995</v>
      </c>
      <c r="BA143" s="8" t="str">
        <f>IF(TRIM(meta_Columns[[#This Row],[Excel Column - Label Overwrite]])&lt;&gt;"",meta_Columns[[#This Row],[Excel Column - Label Overwrite]],meta_Columns[[#This Row],[Excel Column - Label from Property or Referenced Table]])</f>
        <v>Excel Column - Label Subtype Prefix</v>
      </c>
      <c r="BB143" s="43" t="s">
        <v>1382</v>
      </c>
      <c r="BC143" s="44" t="str">
        <f>IF(meta_Columns[[#This Row],[Excel Column - Explicit Excel Formula]]="","",meta_Columns[[#This Row],[Excel Column - Explicit Excel Formula]])</f>
        <v>Formula:= IF([@[Property Owning Class is Specialization of Instance Class]],[@[Property Owning Class Name]]&amp;" - ","")</v>
      </c>
      <c r="BD143" s="5"/>
      <c r="BE143" s="5"/>
    </row>
    <row r="144" spans="1:57">
      <c r="A144" s="10" t="s">
        <v>1383</v>
      </c>
      <c r="B144" s="5" t="s">
        <v>546</v>
      </c>
      <c r="C144" s="22" t="str">
        <f xml:space="preserve"> IF( TRIM( meta_Columns[[#This Row],[Kind:src]] ) = "", "",
        INDEX( meta_Classifiers[Display Qualified], MATCH( meta_Columns[[#This Row],[Kind:src]], meta_Classifiers[ID], 0 ) ) )</f>
        <v>ExcelColumn</v>
      </c>
      <c r="D144" s="44" t="str">
        <f>IF(meta_Columns[[#This Row],[Owning Table:src]]="","",INDEX(meta_Classifiers[Package],MATCH(meta_Columns[[#This Row],[Owning Table Instances Class]],meta_Classifiers[ID],0)))</f>
        <v>meta</v>
      </c>
      <c r="E144" s="43"/>
      <c r="F144" s="8" t="str">
        <f>INDEX(meta_Tables[Excel Table - Excel Name],MATCH(meta_Columns[[#This Row],[Owning Table:src]],meta_Tables[ID],0))</f>
        <v>meta_Columns</v>
      </c>
      <c r="G144" s="44" t="str">
        <f>INDEX(meta_Tables[Instances Class:src],MATCH(meta_Columns[[#This Row],[Owning Table:src]],meta_Tables[ID],0))</f>
        <v>_Column</v>
      </c>
      <c r="H144" s="11" t="s">
        <v>1013</v>
      </c>
      <c r="I144" s="43" t="str">
        <f xml:space="preserve"> IF( TRIM( meta_Columns[[#This Row],[Owning Table:src]] ) = "", "",
        INDEX( meta_Tables[Display Qualified], MATCH( meta_Columns[[#This Row],[Owning Table:src]], meta_Tables[ID], 0 ) ) )</f>
        <v>meta::Columns</v>
      </c>
      <c r="K144" s="22" t="str">
        <f>IF(TRIM(meta_Columns[[#This Row],[Referenced Table:src]])="","",
    INDEX(meta_Tables[Display Qualified],MATCH(meta_Columns[[#This Row],[Referenced Table:src]],meta_Tables[ID],0)))</f>
        <v/>
      </c>
      <c r="L144" s="8"/>
      <c r="M144" s="22" t="str">
        <f xml:space="preserve"> IF( TRIM( meta_Columns[[#This Row],[Referenced Table Display and Select Column:src]] ) = "", "",
        INDEX( meta_Columns[Display Qualified], MATCH( meta_Columns[[#This Row],[Referenced Table Display and Select Column:src]], meta_Columns[ID], 0 ) ) )</f>
        <v/>
      </c>
      <c r="N144" s="8" t="str">
        <f>IF(meta_Columns[[#This Row],[Excel Column - Excel Formula]]="","x","")</f>
        <v/>
      </c>
      <c r="O144" s="22"/>
      <c r="P144" s="8" t="str">
        <f>IF(meta_Columns[[#This Row],[Referenced Table:src]]="","",INDEX(meta_Tables[Instances Class],MATCH(meta_Columns[[#This Row],[Referenced Table:src]],meta_Tables[ID],0)))</f>
        <v/>
      </c>
      <c r="Q1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meta::ExcelColumn.labelFromPropertyOLD_Formula</v>
      </c>
      <c r="R144" s="8"/>
      <c r="S144" s="22" t="str">
        <f xml:space="preserve"> IF( TRIM( meta_Columns[[#This Row],[Property:src]] ) = "", "",
        INDEX( meta_TypedModelElements[Display Qualified], MATCH( meta_Columns[[#This Row],[Property:src]], meta_TypedModelElements[ID], 0 ) ) )</f>
        <v/>
      </c>
      <c r="T144" s="22"/>
      <c r="U144" s="8" t="e">
        <f>INDEX(meta_Classifiers[Class - Generalization:src], MATCH(meta_Columns[[#This Row],[Generalization 5]],meta_Classifiers[ID],0))</f>
        <v>#N/A</v>
      </c>
      <c r="V144" s="8" t="e">
        <f>INDEX(meta_Classifiers[Class - Generalization:src], MATCH(meta_Columns[[#This Row],[Generalization 4]],meta_Classifiers[ID],0))</f>
        <v>#N/A</v>
      </c>
      <c r="W144" s="8" t="e">
        <f>INDEX(meta_Classifiers[Class - Generalization:src], MATCH(meta_Columns[[#This Row],[Generalization 3]],meta_Classifiers[ID],0))</f>
        <v>#N/A</v>
      </c>
      <c r="X144" s="8" t="str">
        <f>INDEX(meta_Classifiers[Class - Generalization:src], MATCH(meta_Columns[[#This Row],[Generalization 2]],meta_Classifiers[ID],0))</f>
        <v/>
      </c>
      <c r="Y144" s="8" t="str">
        <f>INDEX(meta_Classifiers[Class - Generalization:src], MATCH(meta_Columns[[#This Row],[Generalization 1]],meta_Classifiers[ID],0))</f>
        <v>_Object</v>
      </c>
      <c r="Z144" s="8" t="str">
        <f>INDEX(meta_Classifiers[Class - Generalization:src], MATCH(meta_Columns[[#This Row],[Owning Table Instances Class]],meta_Classifiers[ID],0))</f>
        <v>_NamedElement</v>
      </c>
      <c r="AA1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4" s="8" t="b">
        <f>_xlfn.IFNA(
INDEX(meta_Classifiers[Class - Generalization:src],MATCH(
INDEX(meta_Classifiers[Class - Generalization:src],MATCH(meta_Columns[[#This Row],[Property Owning Class]],meta_Classifiers[ID],0)),meta_Classifiers[ID],0))
=meta_Columns[[#This Row],[Owning Table Instances Class]],FALSE)</f>
        <v>0</v>
      </c>
      <c r="AG144" s="8" t="b">
        <f>_xlfn.IFNA(INDEX(meta_Classifiers[Class - Generalization:src],MATCH(meta_Columns[[#This Row],[Property Owning Class]],meta_Classifiers[ID],0))=meta_Columns[[#This Row],[Owning Table Instances Class]],FALSE)</f>
        <v>0</v>
      </c>
      <c r="AH1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4" s="8" t="e">
        <f>INDEX(meta_Classifiers[Name],MATCH(INDEX(meta_TypedModelElements[Property - Owning Class:src],MATCH(meta_Columns[[#This Row],[Property]],meta_TypedModelElements[ID],0)),meta_Classifiers[ID],0))</f>
        <v>#N/A</v>
      </c>
      <c r="AJ144" s="8" t="e">
        <f>INDEX(meta_TypedModelElements[Property - Owning Class:src],MATCH(meta_Columns[[#This Row],[Property]],meta_TypedModelElements[ID],0))</f>
        <v>#N/A</v>
      </c>
      <c r="AK144" s="8" t="e">
        <f>INDEX(meta_TypedModelElements[Kind:src],MATCH(meta_Columns[[#This Row],[Property]],meta_TypedModelElements[ID],0))</f>
        <v>#N/A</v>
      </c>
      <c r="AL144" s="8" t="e">
        <f>INDEX(meta_TypedModelElements[Name or Type],MATCH(meta_Columns[[#This Row],[Property]],meta_TypedModelElements[ID],0))</f>
        <v>#N/A</v>
      </c>
      <c r="AM144" s="8" t="e">
        <f>INDEX(meta_TypedModelElements[Property - Changeable],MATCH(meta_Columns[[#This Row],[Property]],meta_TypedModelElements[ID],0))</f>
        <v>#N/A</v>
      </c>
      <c r="AN144" s="43">
        <v>44</v>
      </c>
      <c r="AO144" s="22"/>
      <c r="AP1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4" s="8" t="str">
        <f xml:space="preserve"> IF(meta_Columns[[#This Row],[Property Owning Class is Specialization of Instance Class]],meta_Columns[[#This Row],[Property Owning Class Name]]&amp;" - ","")</f>
        <v/>
      </c>
      <c r="AR1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OLD Formula</v>
      </c>
      <c r="AT144" s="8" t="str">
        <f>IFERROR(LEFT(meta_Columns[[#This Row],[Excel Column - Label Actual without Semantic Case]],FIND("-",
meta_Columns[[#This Row],[Excel Column - Label Actual without Semantic Case]])-2),"")</f>
        <v>Excel Column</v>
      </c>
      <c r="AU1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OLD Formula</v>
      </c>
      <c r="AV1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OLD Formula</v>
      </c>
      <c r="AX144" s="22"/>
      <c r="AY144" s="8" t="str">
        <f>meta_Columns[[#This Row],[Owning Table]]&amp;"."&amp;meta_Columns[[#This Row],[Excel Column - Label]]</f>
        <v>meta::Columns.Excel Column - Label from Property OLD Formula</v>
      </c>
      <c r="AZ144" s="22" t="s">
        <v>994</v>
      </c>
      <c r="BA144" s="8" t="str">
        <f>IF(TRIM(meta_Columns[[#This Row],[Excel Column - Label Overwrite]])&lt;&gt;"",meta_Columns[[#This Row],[Excel Column - Label Overwrite]],meta_Columns[[#This Row],[Excel Column - Label from Property or Referenced Table]])</f>
        <v>Excel Column - Label from Property OLD Formula</v>
      </c>
      <c r="BB144" s="43" t="s">
        <v>905</v>
      </c>
      <c r="BC144" s="44" t="str">
        <f>IF(meta_Columns[[#This Row],[Excel Column - Explicit Excel Formula]]="","",meta_Columns[[#This Row],[Excel Column - Explicit Excel Formula]])</f>
        <v>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v>
      </c>
      <c r="BD144" s="5"/>
      <c r="BE144" s="5"/>
    </row>
    <row r="145" spans="1:57">
      <c r="A145" s="10" t="s">
        <v>1126</v>
      </c>
      <c r="B145" s="5" t="s">
        <v>546</v>
      </c>
      <c r="C145" s="22" t="str">
        <f xml:space="preserve"> IF( TRIM( meta_Columns[[#This Row],[Kind:src]] ) = "", "",
        INDEX( meta_Classifiers[Display Qualified], MATCH( meta_Columns[[#This Row],[Kind:src]], meta_Classifiers[ID], 0 ) ) )</f>
        <v>ExcelColumn</v>
      </c>
      <c r="D145" s="44" t="str">
        <f>IF(meta_Columns[[#This Row],[Owning Table:src]]="","",INDEX(meta_Classifiers[Package],MATCH(meta_Columns[[#This Row],[Owning Table Instances Class]],meta_Classifiers[ID],0)))</f>
        <v>meta</v>
      </c>
      <c r="E145" s="43"/>
      <c r="F145" s="8" t="str">
        <f>INDEX(meta_Tables[Excel Table - Excel Name],MATCH(meta_Columns[[#This Row],[Owning Table:src]],meta_Tables[ID],0))</f>
        <v>meta_Columns</v>
      </c>
      <c r="G145" s="44" t="str">
        <f>INDEX(meta_Tables[Instances Class:src],MATCH(meta_Columns[[#This Row],[Owning Table:src]],meta_Tables[ID],0))</f>
        <v>_Column</v>
      </c>
      <c r="H145" s="11" t="s">
        <v>1013</v>
      </c>
      <c r="I145" s="43" t="str">
        <f xml:space="preserve"> IF( TRIM( meta_Columns[[#This Row],[Owning Table:src]] ) = "", "",
        INDEX( meta_Tables[Display Qualified], MATCH( meta_Columns[[#This Row],[Owning Table:src]], meta_Tables[ID], 0 ) ) )</f>
        <v>meta::Columns</v>
      </c>
      <c r="K145" s="22" t="str">
        <f>IF(TRIM(meta_Columns[[#This Row],[Referenced Table:src]])="","",
    INDEX(meta_Tables[Display Qualified],MATCH(meta_Columns[[#This Row],[Referenced Table:src]],meta_Tables[ID],0)))</f>
        <v/>
      </c>
      <c r="L145" s="8"/>
      <c r="M145" s="22" t="str">
        <f xml:space="preserve"> IF( TRIM( meta_Columns[[#This Row],[Referenced Table Display and Select Column:src]] ) = "", "",
        INDEX( meta_Columns[Display Qualified], MATCH( meta_Columns[[#This Row],[Referenced Table Display and Select Column:src]], meta_Columns[ID], 0 ) ) )</f>
        <v/>
      </c>
      <c r="N145" s="8" t="str">
        <f>IF(meta_Columns[[#This Row],[Excel Column - Excel Formula]]="","x","")</f>
        <v/>
      </c>
      <c r="O145" s="22"/>
      <c r="P145" s="8" t="str">
        <f>IF(meta_Columns[[#This Row],[Referenced Table:src]]="","",INDEX(meta_Tables[Instances Class],MATCH(meta_Columns[[#This Row],[Referenced Table:src]],meta_Tables[ID],0)))</f>
        <v/>
      </c>
      <c r="Q1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meta::ExcelColumn.labelActualPropertyName</v>
      </c>
      <c r="R145" s="8"/>
      <c r="S145" s="22" t="str">
        <f xml:space="preserve"> IF( TRIM( meta_Columns[[#This Row],[Property:src]] ) = "", "",
        INDEX( meta_TypedModelElements[Display Qualified], MATCH( meta_Columns[[#This Row],[Property:src]], meta_TypedModelElements[ID], 0 ) ) )</f>
        <v/>
      </c>
      <c r="T145" s="22"/>
      <c r="U145" s="8" t="e">
        <f>INDEX(meta_Classifiers[Class - Generalization:src], MATCH(meta_Columns[[#This Row],[Generalization 5]],meta_Classifiers[ID],0))</f>
        <v>#N/A</v>
      </c>
      <c r="V145" s="8" t="e">
        <f>INDEX(meta_Classifiers[Class - Generalization:src], MATCH(meta_Columns[[#This Row],[Generalization 4]],meta_Classifiers[ID],0))</f>
        <v>#N/A</v>
      </c>
      <c r="W145" s="8" t="e">
        <f>INDEX(meta_Classifiers[Class - Generalization:src], MATCH(meta_Columns[[#This Row],[Generalization 3]],meta_Classifiers[ID],0))</f>
        <v>#N/A</v>
      </c>
      <c r="X145" s="8" t="str">
        <f>INDEX(meta_Classifiers[Class - Generalization:src], MATCH(meta_Columns[[#This Row],[Generalization 2]],meta_Classifiers[ID],0))</f>
        <v/>
      </c>
      <c r="Y145" s="8" t="str">
        <f>INDEX(meta_Classifiers[Class - Generalization:src], MATCH(meta_Columns[[#This Row],[Generalization 1]],meta_Classifiers[ID],0))</f>
        <v>_Object</v>
      </c>
      <c r="Z145" s="8" t="str">
        <f>INDEX(meta_Classifiers[Class - Generalization:src], MATCH(meta_Columns[[#This Row],[Owning Table Instances Class]],meta_Classifiers[ID],0))</f>
        <v>_NamedElement</v>
      </c>
      <c r="AA1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5" s="8" t="b">
        <f>_xlfn.IFNA(
INDEX(meta_Classifiers[Class - Generalization:src],MATCH(
INDEX(meta_Classifiers[Class - Generalization:src],MATCH(meta_Columns[[#This Row],[Property Owning Class]],meta_Classifiers[ID],0)),meta_Classifiers[ID],0))
=meta_Columns[[#This Row],[Owning Table Instances Class]],FALSE)</f>
        <v>0</v>
      </c>
      <c r="AG145" s="8" t="b">
        <f>_xlfn.IFNA(INDEX(meta_Classifiers[Class - Generalization:src],MATCH(meta_Columns[[#This Row],[Property Owning Class]],meta_Classifiers[ID],0))=meta_Columns[[#This Row],[Owning Table Instances Class]],FALSE)</f>
        <v>0</v>
      </c>
      <c r="AH1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5" s="8" t="e">
        <f>INDEX(meta_Classifiers[Name],MATCH(INDEX(meta_TypedModelElements[Property - Owning Class:src],MATCH(meta_Columns[[#This Row],[Property]],meta_TypedModelElements[ID],0)),meta_Classifiers[ID],0))</f>
        <v>#N/A</v>
      </c>
      <c r="AJ145" s="8" t="e">
        <f>INDEX(meta_TypedModelElements[Property - Owning Class:src],MATCH(meta_Columns[[#This Row],[Property]],meta_TypedModelElements[ID],0))</f>
        <v>#N/A</v>
      </c>
      <c r="AK145" s="8" t="e">
        <f>INDEX(meta_TypedModelElements[Kind:src],MATCH(meta_Columns[[#This Row],[Property]],meta_TypedModelElements[ID],0))</f>
        <v>#N/A</v>
      </c>
      <c r="AL145" s="8" t="e">
        <f>INDEX(meta_TypedModelElements[Name or Type],MATCH(meta_Columns[[#This Row],[Property]],meta_TypedModelElements[ID],0))</f>
        <v>#N/A</v>
      </c>
      <c r="AM145" s="8" t="e">
        <f>INDEX(meta_TypedModelElements[Property - Changeable],MATCH(meta_Columns[[#This Row],[Property]],meta_TypedModelElements[ID],0))</f>
        <v>#N/A</v>
      </c>
      <c r="AN145" s="43">
        <v>45</v>
      </c>
      <c r="AO145" s="22"/>
      <c r="AP1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5" s="8" t="str">
        <f xml:space="preserve"> IF(meta_Columns[[#This Row],[Property Owning Class is Specialization of Instance Class]],meta_Columns[[#This Row],[Property Owning Class Name]]&amp;" - ","")</f>
        <v/>
      </c>
      <c r="AR1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Property Name</v>
      </c>
      <c r="AT145" s="8" t="str">
        <f>IFERROR(LEFT(meta_Columns[[#This Row],[Excel Column - Label Actual without Semantic Case]],FIND("-",
meta_Columns[[#This Row],[Excel Column - Label Actual without Semantic Case]])-2),"")</f>
        <v>Excel Column</v>
      </c>
      <c r="AU1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Property Name</v>
      </c>
      <c r="AV1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Property Name</v>
      </c>
      <c r="AX145" s="22"/>
      <c r="AY145" s="8" t="str">
        <f>meta_Columns[[#This Row],[Owning Table]]&amp;"."&amp;meta_Columns[[#This Row],[Excel Column - Label]]</f>
        <v>meta::Columns.Excel Column - Label Actual</v>
      </c>
      <c r="AZ145" s="22" t="s">
        <v>550</v>
      </c>
      <c r="BA145" s="8" t="str">
        <f>IF(TRIM(meta_Columns[[#This Row],[Excel Column - Label Overwrite]])&lt;&gt;"",meta_Columns[[#This Row],[Excel Column - Label Overwrite]],meta_Columns[[#This Row],[Excel Column - Label from Property or Referenced Table]])</f>
        <v>Excel Column - Label Actual</v>
      </c>
      <c r="BB145" s="43" t="s">
        <v>1507</v>
      </c>
      <c r="BC145" s="44" t="str">
        <f>IF(meta_Columns[[#This Row],[Excel Column - Explicit Excel Formula]]="","",meta_Columns[[#This Row],[Excel Column - Explicit Excel Formula]])</f>
        <v>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v>
      </c>
      <c r="BD145" s="5"/>
      <c r="BE145" s="5"/>
    </row>
    <row r="146" spans="1:57">
      <c r="A146" s="10" t="s">
        <v>1127</v>
      </c>
      <c r="B146" s="5" t="s">
        <v>546</v>
      </c>
      <c r="C146" s="22" t="str">
        <f xml:space="preserve"> IF( TRIM( meta_Columns[[#This Row],[Kind:src]] ) = "", "",
        INDEX( meta_Classifiers[Display Qualified], MATCH( meta_Columns[[#This Row],[Kind:src]], meta_Classifiers[ID], 0 ) ) )</f>
        <v>ExcelColumn</v>
      </c>
      <c r="D146" s="44" t="str">
        <f>IF(meta_Columns[[#This Row],[Owning Table:src]]="","",INDEX(meta_Classifiers[Package],MATCH(meta_Columns[[#This Row],[Owning Table Instances Class]],meta_Classifiers[ID],0)))</f>
        <v>meta</v>
      </c>
      <c r="E146" s="43"/>
      <c r="F146" s="8" t="str">
        <f>INDEX(meta_Tables[Excel Table - Excel Name],MATCH(meta_Columns[[#This Row],[Owning Table:src]],meta_Tables[ID],0))</f>
        <v>meta_Columns</v>
      </c>
      <c r="G146" s="44" t="str">
        <f>INDEX(meta_Tables[Instances Class:src],MATCH(meta_Columns[[#This Row],[Owning Table:src]],meta_Tables[ID],0))</f>
        <v>_Column</v>
      </c>
      <c r="H146" s="11" t="s">
        <v>1013</v>
      </c>
      <c r="I146" s="43" t="str">
        <f xml:space="preserve"> IF( TRIM( meta_Columns[[#This Row],[Owning Table:src]] ) = "", "",
        INDEX( meta_Tables[Display Qualified], MATCH( meta_Columns[[#This Row],[Owning Table:src]], meta_Tables[ID], 0 ) ) )</f>
        <v>meta::Columns</v>
      </c>
      <c r="K146" s="22" t="str">
        <f>IF(TRIM(meta_Columns[[#This Row],[Referenced Table:src]])="","",
    INDEX(meta_Tables[Display Qualified],MATCH(meta_Columns[[#This Row],[Referenced Table:src]],meta_Tables[ID],0)))</f>
        <v/>
      </c>
      <c r="L146" s="8"/>
      <c r="M146" s="22" t="str">
        <f xml:space="preserve"> IF( TRIM( meta_Columns[[#This Row],[Referenced Table Display and Select Column:src]] ) = "", "",
        INDEX( meta_Columns[Display Qualified], MATCH( meta_Columns[[#This Row],[Referenced Table Display and Select Column:src]], meta_Columns[ID], 0 ) ) )</f>
        <v/>
      </c>
      <c r="N146" s="8" t="str">
        <f>IF(meta_Columns[[#This Row],[Excel Column - Excel Formula]]="","x","")</f>
        <v>x</v>
      </c>
      <c r="O146" s="22"/>
      <c r="P146" s="8" t="str">
        <f>IF(meta_Columns[[#This Row],[Referenced Table:src]]="","",INDEX(meta_Tables[Instances Class],MATCH(meta_Columns[[#This Row],[Referenced Table:src]],meta_Tables[ID],0)))</f>
        <v/>
      </c>
      <c r="Q1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meta::ExcelColumn.labelActualSubtype</v>
      </c>
      <c r="R146" s="8"/>
      <c r="S146" s="22" t="str">
        <f xml:space="preserve"> IF( TRIM( meta_Columns[[#This Row],[Property:src]] ) = "", "",
        INDEX( meta_TypedModelElements[Display Qualified], MATCH( meta_Columns[[#This Row],[Property:src]], meta_TypedModelElements[ID], 0 ) ) )</f>
        <v/>
      </c>
      <c r="T146" s="22"/>
      <c r="U146" s="8" t="e">
        <f>INDEX(meta_Classifiers[Class - Generalization:src], MATCH(meta_Columns[[#This Row],[Generalization 5]],meta_Classifiers[ID],0))</f>
        <v>#N/A</v>
      </c>
      <c r="V146" s="8" t="e">
        <f>INDEX(meta_Classifiers[Class - Generalization:src], MATCH(meta_Columns[[#This Row],[Generalization 4]],meta_Classifiers[ID],0))</f>
        <v>#N/A</v>
      </c>
      <c r="W146" s="8" t="e">
        <f>INDEX(meta_Classifiers[Class - Generalization:src], MATCH(meta_Columns[[#This Row],[Generalization 3]],meta_Classifiers[ID],0))</f>
        <v>#N/A</v>
      </c>
      <c r="X146" s="8" t="str">
        <f>INDEX(meta_Classifiers[Class - Generalization:src], MATCH(meta_Columns[[#This Row],[Generalization 2]],meta_Classifiers[ID],0))</f>
        <v/>
      </c>
      <c r="Y146" s="8" t="str">
        <f>INDEX(meta_Classifiers[Class - Generalization:src], MATCH(meta_Columns[[#This Row],[Generalization 1]],meta_Classifiers[ID],0))</f>
        <v>_Object</v>
      </c>
      <c r="Z146" s="8" t="str">
        <f>INDEX(meta_Classifiers[Class - Generalization:src], MATCH(meta_Columns[[#This Row],[Owning Table Instances Class]],meta_Classifiers[ID],0))</f>
        <v>_NamedElement</v>
      </c>
      <c r="AA1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6" s="8" t="b">
        <f>_xlfn.IFNA(
INDEX(meta_Classifiers[Class - Generalization:src],MATCH(
INDEX(meta_Classifiers[Class - Generalization:src],MATCH(meta_Columns[[#This Row],[Property Owning Class]],meta_Classifiers[ID],0)),meta_Classifiers[ID],0))
=meta_Columns[[#This Row],[Owning Table Instances Class]],FALSE)</f>
        <v>0</v>
      </c>
      <c r="AG146" s="8" t="b">
        <f>_xlfn.IFNA(INDEX(meta_Classifiers[Class - Generalization:src],MATCH(meta_Columns[[#This Row],[Property Owning Class]],meta_Classifiers[ID],0))=meta_Columns[[#This Row],[Owning Table Instances Class]],FALSE)</f>
        <v>0</v>
      </c>
      <c r="AH1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6" s="8" t="e">
        <f>INDEX(meta_Classifiers[Name],MATCH(INDEX(meta_TypedModelElements[Property - Owning Class:src],MATCH(meta_Columns[[#This Row],[Property]],meta_TypedModelElements[ID],0)),meta_Classifiers[ID],0))</f>
        <v>#N/A</v>
      </c>
      <c r="AJ146" s="8" t="e">
        <f>INDEX(meta_TypedModelElements[Property - Owning Class:src],MATCH(meta_Columns[[#This Row],[Property]],meta_TypedModelElements[ID],0))</f>
        <v>#N/A</v>
      </c>
      <c r="AK146" s="8" t="e">
        <f>INDEX(meta_TypedModelElements[Kind:src],MATCH(meta_Columns[[#This Row],[Property]],meta_TypedModelElements[ID],0))</f>
        <v>#N/A</v>
      </c>
      <c r="AL146" s="8" t="e">
        <f>INDEX(meta_TypedModelElements[Name or Type],MATCH(meta_Columns[[#This Row],[Property]],meta_TypedModelElements[ID],0))</f>
        <v>#N/A</v>
      </c>
      <c r="AM146" s="8" t="e">
        <f>INDEX(meta_TypedModelElements[Property - Changeable],MATCH(meta_Columns[[#This Row],[Property]],meta_TypedModelElements[ID],0))</f>
        <v>#N/A</v>
      </c>
      <c r="AN146" s="43">
        <v>46</v>
      </c>
      <c r="AO146" s="22">
        <v>13</v>
      </c>
      <c r="AP1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6" s="8" t="str">
        <f xml:space="preserve"> IF(meta_Columns[[#This Row],[Property Owning Class is Specialization of Instance Class]],meta_Columns[[#This Row],[Property Owning Class Name]]&amp;" - ","")</f>
        <v/>
      </c>
      <c r="AR1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Subtype</v>
      </c>
      <c r="AT146" s="8" t="str">
        <f>IFERROR(LEFT(meta_Columns[[#This Row],[Excel Column - Label Actual without Semantic Case]],FIND("-",
meta_Columns[[#This Row],[Excel Column - Label Actual without Semantic Case]])-2),"")</f>
        <v>Excel Column</v>
      </c>
      <c r="AU1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Subtype</v>
      </c>
      <c r="AV1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Subtype</v>
      </c>
      <c r="AX146" s="22"/>
      <c r="AY146" s="8" t="str">
        <f>meta_Columns[[#This Row],[Owning Table]]&amp;"."&amp;meta_Columns[[#This Row],[Excel Column - Label]]</f>
        <v>meta::Columns.Label:backup:previous</v>
      </c>
      <c r="AZ146" s="22" t="s">
        <v>468</v>
      </c>
      <c r="BA146" s="8" t="str">
        <f>IF(TRIM(meta_Columns[[#This Row],[Excel Column - Label Overwrite]])&lt;&gt;"",meta_Columns[[#This Row],[Excel Column - Label Overwrite]],meta_Columns[[#This Row],[Excel Column - Label from Property or Referenced Table]])</f>
        <v>Label:backup:previous</v>
      </c>
      <c r="BB146" s="43"/>
      <c r="BC146" s="44" t="str">
        <f>IF(meta_Columns[[#This Row],[Excel Column - Explicit Excel Formula]]="","",meta_Columns[[#This Row],[Excel Column - Explicit Excel Formula]])</f>
        <v/>
      </c>
      <c r="BD146" s="5"/>
      <c r="BE146" s="5"/>
    </row>
    <row r="147" spans="1:57">
      <c r="A147" s="10" t="s">
        <v>1128</v>
      </c>
      <c r="B147" s="5" t="s">
        <v>546</v>
      </c>
      <c r="C147" s="22" t="str">
        <f xml:space="preserve"> IF( TRIM( meta_Columns[[#This Row],[Kind:src]] ) = "", "",
        INDEX( meta_Classifiers[Display Qualified], MATCH( meta_Columns[[#This Row],[Kind:src]], meta_Classifiers[ID], 0 ) ) )</f>
        <v>ExcelColumn</v>
      </c>
      <c r="D147" s="44" t="str">
        <f>IF(meta_Columns[[#This Row],[Owning Table:src]]="","",INDEX(meta_Classifiers[Package],MATCH(meta_Columns[[#This Row],[Owning Table Instances Class]],meta_Classifiers[ID],0)))</f>
        <v>meta</v>
      </c>
      <c r="E147" s="43"/>
      <c r="F147" s="8" t="str">
        <f>INDEX(meta_Tables[Excel Table - Excel Name],MATCH(meta_Columns[[#This Row],[Owning Table:src]],meta_Tables[ID],0))</f>
        <v>meta_Columns</v>
      </c>
      <c r="G147" s="44" t="str">
        <f>INDEX(meta_Tables[Instances Class:src],MATCH(meta_Columns[[#This Row],[Owning Table:src]],meta_Tables[ID],0))</f>
        <v>_Column</v>
      </c>
      <c r="H147" s="11" t="s">
        <v>1013</v>
      </c>
      <c r="I147" s="43" t="str">
        <f xml:space="preserve"> IF( TRIM( meta_Columns[[#This Row],[Owning Table:src]] ) = "", "",
        INDEX( meta_Tables[Display Qualified], MATCH( meta_Columns[[#This Row],[Owning Table:src]], meta_Tables[ID], 0 ) ) )</f>
        <v>meta::Columns</v>
      </c>
      <c r="K147" s="22" t="str">
        <f>IF(TRIM(meta_Columns[[#This Row],[Referenced Table:src]])="","",
    INDEX(meta_Tables[Display Qualified],MATCH(meta_Columns[[#This Row],[Referenced Table:src]],meta_Tables[ID],0)))</f>
        <v/>
      </c>
      <c r="L147" s="8"/>
      <c r="M147" s="22" t="str">
        <f xml:space="preserve"> IF( TRIM( meta_Columns[[#This Row],[Referenced Table Display and Select Column:src]] ) = "", "",
        INDEX( meta_Columns[Display Qualified], MATCH( meta_Columns[[#This Row],[Referenced Table Display and Select Column:src]], meta_Columns[ID], 0 ) ) )</f>
        <v/>
      </c>
      <c r="N147" s="8" t="str">
        <f>IF(meta_Columns[[#This Row],[Excel Column - Excel Formula]]="","x","")</f>
        <v/>
      </c>
      <c r="O147" s="22"/>
      <c r="P147" s="8" t="str">
        <f>IF(meta_Columns[[#This Row],[Referenced Table:src]]="","",INDEX(meta_Tables[Instances Class],MATCH(meta_Columns[[#This Row],[Referenced Table:src]],meta_Tables[ID],0)))</f>
        <v/>
      </c>
      <c r="Q1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meta::ExcelColumn.labelActualWithoutSemanticCase</v>
      </c>
      <c r="R147" s="8"/>
      <c r="S147" s="22" t="str">
        <f xml:space="preserve"> IF( TRIM( meta_Columns[[#This Row],[Property:src]] ) = "", "",
        INDEX( meta_TypedModelElements[Display Qualified], MATCH( meta_Columns[[#This Row],[Property:src]], meta_TypedModelElements[ID], 0 ) ) )</f>
        <v/>
      </c>
      <c r="T147" s="22"/>
      <c r="U147" s="8" t="e">
        <f>INDEX(meta_Classifiers[Class - Generalization:src], MATCH(meta_Columns[[#This Row],[Generalization 5]],meta_Classifiers[ID],0))</f>
        <v>#N/A</v>
      </c>
      <c r="V147" s="8" t="e">
        <f>INDEX(meta_Classifiers[Class - Generalization:src], MATCH(meta_Columns[[#This Row],[Generalization 4]],meta_Classifiers[ID],0))</f>
        <v>#N/A</v>
      </c>
      <c r="W147" s="8" t="e">
        <f>INDEX(meta_Classifiers[Class - Generalization:src], MATCH(meta_Columns[[#This Row],[Generalization 3]],meta_Classifiers[ID],0))</f>
        <v>#N/A</v>
      </c>
      <c r="X147" s="8" t="str">
        <f>INDEX(meta_Classifiers[Class - Generalization:src], MATCH(meta_Columns[[#This Row],[Generalization 2]],meta_Classifiers[ID],0))</f>
        <v/>
      </c>
      <c r="Y147" s="8" t="str">
        <f>INDEX(meta_Classifiers[Class - Generalization:src], MATCH(meta_Columns[[#This Row],[Generalization 1]],meta_Classifiers[ID],0))</f>
        <v>_Object</v>
      </c>
      <c r="Z147" s="8" t="str">
        <f>INDEX(meta_Classifiers[Class - Generalization:src], MATCH(meta_Columns[[#This Row],[Owning Table Instances Class]],meta_Classifiers[ID],0))</f>
        <v>_NamedElement</v>
      </c>
      <c r="AA1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7" s="8" t="b">
        <f>_xlfn.IFNA(
INDEX(meta_Classifiers[Class - Generalization:src],MATCH(
INDEX(meta_Classifiers[Class - Generalization:src],MATCH(meta_Columns[[#This Row],[Property Owning Class]],meta_Classifiers[ID],0)),meta_Classifiers[ID],0))
=meta_Columns[[#This Row],[Owning Table Instances Class]],FALSE)</f>
        <v>0</v>
      </c>
      <c r="AG147" s="8" t="b">
        <f>_xlfn.IFNA(INDEX(meta_Classifiers[Class - Generalization:src],MATCH(meta_Columns[[#This Row],[Property Owning Class]],meta_Classifiers[ID],0))=meta_Columns[[#This Row],[Owning Table Instances Class]],FALSE)</f>
        <v>0</v>
      </c>
      <c r="AH1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7" s="8" t="e">
        <f>INDEX(meta_Classifiers[Name],MATCH(INDEX(meta_TypedModelElements[Property - Owning Class:src],MATCH(meta_Columns[[#This Row],[Property]],meta_TypedModelElements[ID],0)),meta_Classifiers[ID],0))</f>
        <v>#N/A</v>
      </c>
      <c r="AJ147" s="8" t="e">
        <f>INDEX(meta_TypedModelElements[Property - Owning Class:src],MATCH(meta_Columns[[#This Row],[Property]],meta_TypedModelElements[ID],0))</f>
        <v>#N/A</v>
      </c>
      <c r="AK147" s="8" t="e">
        <f>INDEX(meta_TypedModelElements[Kind:src],MATCH(meta_Columns[[#This Row],[Property]],meta_TypedModelElements[ID],0))</f>
        <v>#N/A</v>
      </c>
      <c r="AL147" s="8" t="e">
        <f>INDEX(meta_TypedModelElements[Name or Type],MATCH(meta_Columns[[#This Row],[Property]],meta_TypedModelElements[ID],0))</f>
        <v>#N/A</v>
      </c>
      <c r="AM147" s="8" t="e">
        <f>INDEX(meta_TypedModelElements[Property - Changeable],MATCH(meta_Columns[[#This Row],[Property]],meta_TypedModelElements[ID],0))</f>
        <v>#N/A</v>
      </c>
      <c r="AN147" s="43">
        <v>47</v>
      </c>
      <c r="AO147" s="22"/>
      <c r="AP1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7" s="8" t="str">
        <f xml:space="preserve"> IF(meta_Columns[[#This Row],[Property Owning Class is Specialization of Instance Class]],meta_Columns[[#This Row],[Property Owning Class Name]]&amp;" - ","")</f>
        <v/>
      </c>
      <c r="AR1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without Semantic Case</v>
      </c>
      <c r="AT147" s="8" t="str">
        <f>IFERROR(LEFT(meta_Columns[[#This Row],[Excel Column - Label Actual without Semantic Case]],FIND("-",
meta_Columns[[#This Row],[Excel Column - Label Actual without Semantic Case]])-2),"")</f>
        <v>Excel Column</v>
      </c>
      <c r="AU1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without Semantic Case</v>
      </c>
      <c r="AV1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without Semantic Case</v>
      </c>
      <c r="AX147" s="22"/>
      <c r="AY147" s="8" t="str">
        <f>meta_Columns[[#This Row],[Owning Table]]&amp;"."&amp;meta_Columns[[#This Row],[Excel Column - Label]]</f>
        <v>meta::Columns.Display Qualified</v>
      </c>
      <c r="AZ147" s="22" t="s">
        <v>806</v>
      </c>
      <c r="BA147" s="8" t="str">
        <f>IF(TRIM(meta_Columns[[#This Row],[Excel Column - Label Overwrite]])&lt;&gt;"",meta_Columns[[#This Row],[Excel Column - Label Overwrite]],meta_Columns[[#This Row],[Excel Column - Label from Property or Referenced Table]])</f>
        <v>Display Qualified</v>
      </c>
      <c r="BB147" s="43" t="s">
        <v>1508</v>
      </c>
      <c r="BC147" s="44" t="str">
        <f>IF(meta_Columns[[#This Row],[Excel Column - Explicit Excel Formula]]="","",meta_Columns[[#This Row],[Excel Column - Explicit Excel Formula]])</f>
        <v>Formula:=[@[Owning Table]]&amp;"."&amp;[@[Excel Column - Label]]</v>
      </c>
      <c r="BD147" s="5"/>
      <c r="BE147" s="5"/>
    </row>
    <row r="148" spans="1:57">
      <c r="A148" s="10" t="s">
        <v>1129</v>
      </c>
      <c r="B148" s="5" t="s">
        <v>546</v>
      </c>
      <c r="C148" s="22" t="str">
        <f xml:space="preserve"> IF( TRIM( meta_Columns[[#This Row],[Kind:src]] ) = "", "",
        INDEX( meta_Classifiers[Display Qualified], MATCH( meta_Columns[[#This Row],[Kind:src]], meta_Classifiers[ID], 0 ) ) )</f>
        <v>ExcelColumn</v>
      </c>
      <c r="D148" s="44" t="str">
        <f>IF(meta_Columns[[#This Row],[Owning Table:src]]="","",INDEX(meta_Classifiers[Package],MATCH(meta_Columns[[#This Row],[Owning Table Instances Class]],meta_Classifiers[ID],0)))</f>
        <v>meta</v>
      </c>
      <c r="E148" s="43"/>
      <c r="F148" s="8" t="str">
        <f>INDEX(meta_Tables[Excel Table - Excel Name],MATCH(meta_Columns[[#This Row],[Owning Table:src]],meta_Tables[ID],0))</f>
        <v>meta_Columns</v>
      </c>
      <c r="G148" s="44" t="str">
        <f>INDEX(meta_Tables[Instances Class:src],MATCH(meta_Columns[[#This Row],[Owning Table:src]],meta_Tables[ID],0))</f>
        <v>_Column</v>
      </c>
      <c r="H148" s="11" t="s">
        <v>1013</v>
      </c>
      <c r="I148" s="43" t="str">
        <f xml:space="preserve"> IF( TRIM( meta_Columns[[#This Row],[Owning Table:src]] ) = "", "",
        INDEX( meta_Tables[Display Qualified], MATCH( meta_Columns[[#This Row],[Owning Table:src]], meta_Tables[ID], 0 ) ) )</f>
        <v>meta::Columns</v>
      </c>
      <c r="K148" s="22" t="str">
        <f>IF(TRIM(meta_Columns[[#This Row],[Referenced Table:src]])="","",
    INDEX(meta_Tables[Display Qualified],MATCH(meta_Columns[[#This Row],[Referenced Table:src]],meta_Tables[ID],0)))</f>
        <v/>
      </c>
      <c r="L148" s="8"/>
      <c r="M148" s="22" t="str">
        <f xml:space="preserve"> IF( TRIM( meta_Columns[[#This Row],[Referenced Table Display and Select Column:src]] ) = "", "",
        INDEX( meta_Columns[Display Qualified], MATCH( meta_Columns[[#This Row],[Referenced Table Display and Select Column:src]], meta_Columns[ID], 0 ) ) )</f>
        <v/>
      </c>
      <c r="N148" s="8" t="str">
        <f>IF(meta_Columns[[#This Row],[Excel Column - Excel Formula]]="","x","")</f>
        <v>x</v>
      </c>
      <c r="O148" s="22"/>
      <c r="P148" s="8" t="str">
        <f>IF(meta_Columns[[#This Row],[Referenced Table:src]]="","",INDEX(meta_Tables[Instances Class],MATCH(meta_Columns[[#This Row],[Referenced Table:src]],meta_Tables[ID],0)))</f>
        <v/>
      </c>
      <c r="Q1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meta::ExcelColumn.labelActualSemanticCase</v>
      </c>
      <c r="R148" s="8"/>
      <c r="S148" s="22" t="str">
        <f xml:space="preserve"> IF( TRIM( meta_Columns[[#This Row],[Property:src]] ) = "", "",
        INDEX( meta_TypedModelElements[Display Qualified], MATCH( meta_Columns[[#This Row],[Property:src]], meta_TypedModelElements[ID], 0 ) ) )</f>
        <v/>
      </c>
      <c r="T148" s="22"/>
      <c r="U148" s="8" t="e">
        <f>INDEX(meta_Classifiers[Class - Generalization:src], MATCH(meta_Columns[[#This Row],[Generalization 5]],meta_Classifiers[ID],0))</f>
        <v>#N/A</v>
      </c>
      <c r="V148" s="8" t="e">
        <f>INDEX(meta_Classifiers[Class - Generalization:src], MATCH(meta_Columns[[#This Row],[Generalization 4]],meta_Classifiers[ID],0))</f>
        <v>#N/A</v>
      </c>
      <c r="W148" s="8" t="e">
        <f>INDEX(meta_Classifiers[Class - Generalization:src], MATCH(meta_Columns[[#This Row],[Generalization 3]],meta_Classifiers[ID],0))</f>
        <v>#N/A</v>
      </c>
      <c r="X148" s="8" t="str">
        <f>INDEX(meta_Classifiers[Class - Generalization:src], MATCH(meta_Columns[[#This Row],[Generalization 2]],meta_Classifiers[ID],0))</f>
        <v/>
      </c>
      <c r="Y148" s="8" t="str">
        <f>INDEX(meta_Classifiers[Class - Generalization:src], MATCH(meta_Columns[[#This Row],[Generalization 1]],meta_Classifiers[ID],0))</f>
        <v>_Object</v>
      </c>
      <c r="Z148" s="8" t="str">
        <f>INDEX(meta_Classifiers[Class - Generalization:src], MATCH(meta_Columns[[#This Row],[Owning Table Instances Class]],meta_Classifiers[ID],0))</f>
        <v>_NamedElement</v>
      </c>
      <c r="AA1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8" s="8" t="b">
        <f>_xlfn.IFNA(
INDEX(meta_Classifiers[Class - Generalization:src],MATCH(
INDEX(meta_Classifiers[Class - Generalization:src],MATCH(meta_Columns[[#This Row],[Property Owning Class]],meta_Classifiers[ID],0)),meta_Classifiers[ID],0))
=meta_Columns[[#This Row],[Owning Table Instances Class]],FALSE)</f>
        <v>0</v>
      </c>
      <c r="AG148" s="8" t="b">
        <f>_xlfn.IFNA(INDEX(meta_Classifiers[Class - Generalization:src],MATCH(meta_Columns[[#This Row],[Property Owning Class]],meta_Classifiers[ID],0))=meta_Columns[[#This Row],[Owning Table Instances Class]],FALSE)</f>
        <v>0</v>
      </c>
      <c r="AH1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8" s="8" t="e">
        <f>INDEX(meta_Classifiers[Name],MATCH(INDEX(meta_TypedModelElements[Property - Owning Class:src],MATCH(meta_Columns[[#This Row],[Property]],meta_TypedModelElements[ID],0)),meta_Classifiers[ID],0))</f>
        <v>#N/A</v>
      </c>
      <c r="AJ148" s="8" t="e">
        <f>INDEX(meta_TypedModelElements[Property - Owning Class:src],MATCH(meta_Columns[[#This Row],[Property]],meta_TypedModelElements[ID],0))</f>
        <v>#N/A</v>
      </c>
      <c r="AK148" s="8" t="e">
        <f>INDEX(meta_TypedModelElements[Kind:src],MATCH(meta_Columns[[#This Row],[Property]],meta_TypedModelElements[ID],0))</f>
        <v>#N/A</v>
      </c>
      <c r="AL148" s="8" t="e">
        <f>INDEX(meta_TypedModelElements[Name or Type],MATCH(meta_Columns[[#This Row],[Property]],meta_TypedModelElements[ID],0))</f>
        <v>#N/A</v>
      </c>
      <c r="AM148" s="8" t="e">
        <f>INDEX(meta_TypedModelElements[Property - Changeable],MATCH(meta_Columns[[#This Row],[Property]],meta_TypedModelElements[ID],0))</f>
        <v>#N/A</v>
      </c>
      <c r="AN148" s="43">
        <v>48</v>
      </c>
      <c r="AO148" s="22">
        <v>14</v>
      </c>
      <c r="AP1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8" s="8" t="str">
        <f xml:space="preserve"> IF(meta_Columns[[#This Row],[Property Owning Class is Specialization of Instance Class]],meta_Columns[[#This Row],[Property Owning Class Name]]&amp;" - ","")</f>
        <v/>
      </c>
      <c r="AR1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Semantic Case</v>
      </c>
      <c r="AT148" s="8" t="str">
        <f>IFERROR(LEFT(meta_Columns[[#This Row],[Excel Column - Label Actual without Semantic Case]],FIND("-",
meta_Columns[[#This Row],[Excel Column - Label Actual without Semantic Case]])-2),"")</f>
        <v>Excel Column</v>
      </c>
      <c r="AU1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Semantic Case</v>
      </c>
      <c r="AV1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Semantic Case</v>
      </c>
      <c r="AX148" s="22"/>
      <c r="AY148" s="8" t="str">
        <f>meta_Columns[[#This Row],[Owning Table]]&amp;"."&amp;meta_Columns[[#This Row],[Excel Column - Label]]</f>
        <v>meta::Columns.Excel Column - Label Overwrite</v>
      </c>
      <c r="AZ148" s="22" t="s">
        <v>548</v>
      </c>
      <c r="BA148" s="8" t="str">
        <f>IF(TRIM(meta_Columns[[#This Row],[Excel Column - Label Overwrite]])&lt;&gt;"",meta_Columns[[#This Row],[Excel Column - Label Overwrite]],meta_Columns[[#This Row],[Excel Column - Label from Property or Referenced Table]])</f>
        <v>Excel Column - Label Overwrite</v>
      </c>
      <c r="BB148" s="43"/>
      <c r="BC148" s="44" t="str">
        <f>IF(meta_Columns[[#This Row],[Excel Column - Explicit Excel Formula]]="","",meta_Columns[[#This Row],[Excel Column - Explicit Excel Formula]])</f>
        <v/>
      </c>
      <c r="BD148" s="5"/>
      <c r="BE148" s="5"/>
    </row>
    <row r="149" spans="1:57">
      <c r="A149" s="10" t="s">
        <v>1130</v>
      </c>
      <c r="B149" s="5" t="s">
        <v>546</v>
      </c>
      <c r="C149" s="22" t="str">
        <f xml:space="preserve"> IF( TRIM( meta_Columns[[#This Row],[Kind:src]] ) = "", "",
        INDEX( meta_Classifiers[Display Qualified], MATCH( meta_Columns[[#This Row],[Kind:src]], meta_Classifiers[ID], 0 ) ) )</f>
        <v>ExcelColumn</v>
      </c>
      <c r="D149" s="44" t="str">
        <f>IF(meta_Columns[[#This Row],[Owning Table:src]]="","",INDEX(meta_Classifiers[Package],MATCH(meta_Columns[[#This Row],[Owning Table Instances Class]],meta_Classifiers[ID],0)))</f>
        <v>meta</v>
      </c>
      <c r="E149" s="43"/>
      <c r="F149" s="8" t="str">
        <f>INDEX(meta_Tables[Excel Table - Excel Name],MATCH(meta_Columns[[#This Row],[Owning Table:src]],meta_Tables[ID],0))</f>
        <v>meta_Columns</v>
      </c>
      <c r="G149" s="44" t="str">
        <f>INDEX(meta_Tables[Instances Class:src],MATCH(meta_Columns[[#This Row],[Owning Table:src]],meta_Tables[ID],0))</f>
        <v>_Column</v>
      </c>
      <c r="H149" s="11" t="s">
        <v>1013</v>
      </c>
      <c r="I149" s="43" t="str">
        <f xml:space="preserve"> IF( TRIM( meta_Columns[[#This Row],[Owning Table:src]] ) = "", "",
        INDEX( meta_Tables[Display Qualified], MATCH( meta_Columns[[#This Row],[Owning Table:src]], meta_Tables[ID], 0 ) ) )</f>
        <v>meta::Columns</v>
      </c>
      <c r="K149" s="22" t="str">
        <f>IF(TRIM(meta_Columns[[#This Row],[Referenced Table:src]])="","",
    INDEX(meta_Tables[Display Qualified],MATCH(meta_Columns[[#This Row],[Referenced Table:src]],meta_Tables[ID],0)))</f>
        <v/>
      </c>
      <c r="L149" s="8"/>
      <c r="M149" s="22" t="str">
        <f xml:space="preserve"> IF( TRIM( meta_Columns[[#This Row],[Referenced Table Display and Select Column:src]] ) = "", "",
        INDEX( meta_Columns[Display Qualified], MATCH( meta_Columns[[#This Row],[Referenced Table Display and Select Column:src]], meta_Columns[ID], 0 ) ) )</f>
        <v/>
      </c>
      <c r="N149" s="8" t="str">
        <f>IF(meta_Columns[[#This Row],[Excel Column - Excel Formula]]="","x","")</f>
        <v/>
      </c>
      <c r="O149" s="22"/>
      <c r="P149" s="8" t="str">
        <f>IF(meta_Columns[[#This Row],[Referenced Table:src]]="","",INDEX(meta_Tables[Instances Class],MATCH(meta_Columns[[#This Row],[Referenced Table:src]],meta_Tables[ID],0)))</f>
        <v/>
      </c>
      <c r="Q1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meta::ExcelColumn.labelActual_n___op__FormulaCalculatedInMeta_u__Tables_QUO2__ExcelFormulaForColumnLabelActualCalculation_QUO__Column_cp__</v>
      </c>
      <c r="R149" s="8"/>
      <c r="S149" s="22" t="str">
        <f xml:space="preserve"> IF( TRIM( meta_Columns[[#This Row],[Property:src]] ) = "", "",
        INDEX( meta_TypedModelElements[Display Qualified], MATCH( meta_Columns[[#This Row],[Property:src]], meta_TypedModelElements[ID], 0 ) ) )</f>
        <v/>
      </c>
      <c r="T149" s="22"/>
      <c r="U149" s="8" t="e">
        <f>INDEX(meta_Classifiers[Class - Generalization:src], MATCH(meta_Columns[[#This Row],[Generalization 5]],meta_Classifiers[ID],0))</f>
        <v>#N/A</v>
      </c>
      <c r="V149" s="8" t="e">
        <f>INDEX(meta_Classifiers[Class - Generalization:src], MATCH(meta_Columns[[#This Row],[Generalization 4]],meta_Classifiers[ID],0))</f>
        <v>#N/A</v>
      </c>
      <c r="W149" s="8" t="e">
        <f>INDEX(meta_Classifiers[Class - Generalization:src], MATCH(meta_Columns[[#This Row],[Generalization 3]],meta_Classifiers[ID],0))</f>
        <v>#N/A</v>
      </c>
      <c r="X149" s="8" t="str">
        <f>INDEX(meta_Classifiers[Class - Generalization:src], MATCH(meta_Columns[[#This Row],[Generalization 2]],meta_Classifiers[ID],0))</f>
        <v/>
      </c>
      <c r="Y149" s="8" t="str">
        <f>INDEX(meta_Classifiers[Class - Generalization:src], MATCH(meta_Columns[[#This Row],[Generalization 1]],meta_Classifiers[ID],0))</f>
        <v>_Object</v>
      </c>
      <c r="Z149" s="8" t="str">
        <f>INDEX(meta_Classifiers[Class - Generalization:src], MATCH(meta_Columns[[#This Row],[Owning Table Instances Class]],meta_Classifiers[ID],0))</f>
        <v>_NamedElement</v>
      </c>
      <c r="AA1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9" s="8" t="b">
        <f>_xlfn.IFNA(
INDEX(meta_Classifiers[Class - Generalization:src],MATCH(
INDEX(meta_Classifiers[Class - Generalization:src],MATCH(meta_Columns[[#This Row],[Property Owning Class]],meta_Classifiers[ID],0)),meta_Classifiers[ID],0))
=meta_Columns[[#This Row],[Owning Table Instances Class]],FALSE)</f>
        <v>0</v>
      </c>
      <c r="AG149" s="8" t="b">
        <f>_xlfn.IFNA(INDEX(meta_Classifiers[Class - Generalization:src],MATCH(meta_Columns[[#This Row],[Property Owning Class]],meta_Classifiers[ID],0))=meta_Columns[[#This Row],[Owning Table Instances Class]],FALSE)</f>
        <v>0</v>
      </c>
      <c r="AH1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9" s="8" t="e">
        <f>INDEX(meta_Classifiers[Name],MATCH(INDEX(meta_TypedModelElements[Property - Owning Class:src],MATCH(meta_Columns[[#This Row],[Property]],meta_TypedModelElements[ID],0)),meta_Classifiers[ID],0))</f>
        <v>#N/A</v>
      </c>
      <c r="AJ149" s="8" t="e">
        <f>INDEX(meta_TypedModelElements[Property - Owning Class:src],MATCH(meta_Columns[[#This Row],[Property]],meta_TypedModelElements[ID],0))</f>
        <v>#N/A</v>
      </c>
      <c r="AK149" s="8" t="e">
        <f>INDEX(meta_TypedModelElements[Kind:src],MATCH(meta_Columns[[#This Row],[Property]],meta_TypedModelElements[ID],0))</f>
        <v>#N/A</v>
      </c>
      <c r="AL149" s="8" t="e">
        <f>INDEX(meta_TypedModelElements[Name or Type],MATCH(meta_Columns[[#This Row],[Property]],meta_TypedModelElements[ID],0))</f>
        <v>#N/A</v>
      </c>
      <c r="AM149" s="8" t="e">
        <f>INDEX(meta_TypedModelElements[Property - Changeable],MATCH(meta_Columns[[#This Row],[Property]],meta_TypedModelElements[ID],0))</f>
        <v>#N/A</v>
      </c>
      <c r="AN149" s="43">
        <v>49</v>
      </c>
      <c r="AO149" s="22"/>
      <c r="AP1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9" s="8" t="str">
        <f xml:space="preserve"> IF(meta_Columns[[#This Row],[Property Owning Class is Specialization of Instance Class]],meta_Columns[[#This Row],[Property Owning Class Name]]&amp;" - ","")</f>
        <v/>
      </c>
      <c r="AR1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(formula calculated in meta_Tables "Excel Formula for Column Label Actual Calculation" column)</v>
      </c>
      <c r="AT149" s="8" t="str">
        <f>IFERROR(LEFT(meta_Columns[[#This Row],[Excel Column - Label Actual without Semantic Case]],FIND("-",
meta_Columns[[#This Row],[Excel Column - Label Actual without Semantic Case]])-2),"")</f>
        <v>Excel Column</v>
      </c>
      <c r="AU1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(formula calculated in meta_Tables "Excel Formula for Column Label Actual Calculation" column)</v>
      </c>
      <c r="AV1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(formula calculated in meta_Tables "Excel Formula for Column Label Actual Calculation" column)</v>
      </c>
      <c r="AX149" s="22"/>
      <c r="AY149" s="8" t="str">
        <f>meta_Columns[[#This Row],[Owning Table]]&amp;"."&amp;meta_Columns[[#This Row],[Excel Column - Label]]</f>
        <v>meta::Columns.Excel Column - Label</v>
      </c>
      <c r="AZ149" s="22" t="s">
        <v>549</v>
      </c>
      <c r="BA149" s="8" t="str">
        <f>IF(TRIM(meta_Columns[[#This Row],[Excel Column - Label Overwrite]])&lt;&gt;"",meta_Columns[[#This Row],[Excel Column - Label Overwrite]],meta_Columns[[#This Row],[Excel Column - Label from Property or Referenced Table]])</f>
        <v>Excel Column - Label</v>
      </c>
      <c r="BB149" s="43" t="s">
        <v>1384</v>
      </c>
      <c r="BC149" s="44" t="str">
        <f>IF(meta_Columns[[#This Row],[Excel Column - Explicit Excel Formula]]="","",meta_Columns[[#This Row],[Excel Column - Explicit Excel Formula]])</f>
        <v>Formula:=IF(TRIM([@[Excel Column - Label Overwrite]])&lt;&gt;"",[@[Excel Column - Label Overwrite]],[@[Excel Column - Label from Property or Referenced Table]])</v>
      </c>
      <c r="BD149" s="5"/>
      <c r="BE149" s="5"/>
    </row>
    <row r="150" spans="1:57">
      <c r="A150" s="10" t="s">
        <v>1131</v>
      </c>
      <c r="B150" s="5" t="s">
        <v>546</v>
      </c>
      <c r="C150" s="22" t="str">
        <f xml:space="preserve"> IF( TRIM( meta_Columns[[#This Row],[Kind:src]] ) = "", "",
        INDEX( meta_Classifiers[Display Qualified], MATCH( meta_Columns[[#This Row],[Kind:src]], meta_Classifiers[ID], 0 ) ) )</f>
        <v>ExcelColumn</v>
      </c>
      <c r="D150" s="44" t="str">
        <f>IF(meta_Columns[[#This Row],[Owning Table:src]]="","",INDEX(meta_Classifiers[Package],MATCH(meta_Columns[[#This Row],[Owning Table Instances Class]],meta_Classifiers[ID],0)))</f>
        <v>meta</v>
      </c>
      <c r="E150" s="43"/>
      <c r="F150" s="8" t="str">
        <f>INDEX(meta_Tables[Excel Table - Excel Name],MATCH(meta_Columns[[#This Row],[Owning Table:src]],meta_Tables[ID],0))</f>
        <v>meta_Columns</v>
      </c>
      <c r="G150" s="44" t="str">
        <f>INDEX(meta_Tables[Instances Class:src],MATCH(meta_Columns[[#This Row],[Owning Table:src]],meta_Tables[ID],0))</f>
        <v>_Column</v>
      </c>
      <c r="H150" s="11" t="s">
        <v>1013</v>
      </c>
      <c r="I150" s="43" t="str">
        <f xml:space="preserve"> IF( TRIM( meta_Columns[[#This Row],[Owning Table:src]] ) = "", "",
        INDEX( meta_Tables[Display Qualified], MATCH( meta_Columns[[#This Row],[Owning Table:src]], meta_Tables[ID], 0 ) ) )</f>
        <v>meta::Columns</v>
      </c>
      <c r="K150" s="22" t="str">
        <f>IF(TRIM(meta_Columns[[#This Row],[Referenced Table:src]])="","",
    INDEX(meta_Tables[Display Qualified],MATCH(meta_Columns[[#This Row],[Referenced Table:src]],meta_Tables[ID],0)))</f>
        <v/>
      </c>
      <c r="L150" s="8"/>
      <c r="M150" s="22" t="str">
        <f xml:space="preserve"> IF( TRIM( meta_Columns[[#This Row],[Referenced Table Display and Select Column:src]] ) = "", "",
        INDEX( meta_Columns[Display Qualified], MATCH( meta_Columns[[#This Row],[Referenced Table Display and Select Column:src]], meta_Columns[ID], 0 ) ) )</f>
        <v/>
      </c>
      <c r="N150" s="8" t="str">
        <f>IF(meta_Columns[[#This Row],[Excel Column - Excel Formula]]="","x","")</f>
        <v>x</v>
      </c>
      <c r="O150" s="22"/>
      <c r="P150" s="8" t="str">
        <f>IF(meta_Columns[[#This Row],[Referenced Table:src]]="","",INDEX(meta_Tables[Instances Class],MATCH(meta_Columns[[#This Row],[Referenced Table:src]],meta_Tables[ID],0)))</f>
        <v/>
      </c>
      <c r="Q1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meta::Column.label</v>
      </c>
      <c r="R150" s="8"/>
      <c r="S150" s="22" t="str">
        <f xml:space="preserve"> IF( TRIM( meta_Columns[[#This Row],[Property:src]] ) = "", "",
        INDEX( meta_TypedModelElements[Display Qualified], MATCH( meta_Columns[[#This Row],[Property:src]], meta_TypedModelElements[ID], 0 ) ) )</f>
        <v/>
      </c>
      <c r="T150" s="22"/>
      <c r="U150" s="8" t="e">
        <f>INDEX(meta_Classifiers[Class - Generalization:src], MATCH(meta_Columns[[#This Row],[Generalization 5]],meta_Classifiers[ID],0))</f>
        <v>#N/A</v>
      </c>
      <c r="V150" s="8" t="e">
        <f>INDEX(meta_Classifiers[Class - Generalization:src], MATCH(meta_Columns[[#This Row],[Generalization 4]],meta_Classifiers[ID],0))</f>
        <v>#N/A</v>
      </c>
      <c r="W150" s="8" t="e">
        <f>INDEX(meta_Classifiers[Class - Generalization:src], MATCH(meta_Columns[[#This Row],[Generalization 3]],meta_Classifiers[ID],0))</f>
        <v>#N/A</v>
      </c>
      <c r="X150" s="8" t="str">
        <f>INDEX(meta_Classifiers[Class - Generalization:src], MATCH(meta_Columns[[#This Row],[Generalization 2]],meta_Classifiers[ID],0))</f>
        <v/>
      </c>
      <c r="Y150" s="8" t="str">
        <f>INDEX(meta_Classifiers[Class - Generalization:src], MATCH(meta_Columns[[#This Row],[Generalization 1]],meta_Classifiers[ID],0))</f>
        <v>_Object</v>
      </c>
      <c r="Z150" s="8" t="str">
        <f>INDEX(meta_Classifiers[Class - Generalization:src], MATCH(meta_Columns[[#This Row],[Owning Table Instances Class]],meta_Classifiers[ID],0))</f>
        <v>_NamedElement</v>
      </c>
      <c r="AA1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0" s="8" t="b">
        <f>_xlfn.IFNA(
INDEX(meta_Classifiers[Class - Generalization:src],MATCH(
INDEX(meta_Classifiers[Class - Generalization:src],MATCH(meta_Columns[[#This Row],[Property Owning Class]],meta_Classifiers[ID],0)),meta_Classifiers[ID],0))
=meta_Columns[[#This Row],[Owning Table Instances Class]],FALSE)</f>
        <v>0</v>
      </c>
      <c r="AG150" s="8" t="b">
        <f>_xlfn.IFNA(INDEX(meta_Classifiers[Class - Generalization:src],MATCH(meta_Columns[[#This Row],[Property Owning Class]],meta_Classifiers[ID],0))=meta_Columns[[#This Row],[Owning Table Instances Class]],FALSE)</f>
        <v>0</v>
      </c>
      <c r="AH1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0" s="8" t="e">
        <f>INDEX(meta_Classifiers[Name],MATCH(INDEX(meta_TypedModelElements[Property - Owning Class:src],MATCH(meta_Columns[[#This Row],[Property]],meta_TypedModelElements[ID],0)),meta_Classifiers[ID],0))</f>
        <v>#N/A</v>
      </c>
      <c r="AJ150" s="8" t="e">
        <f>INDEX(meta_TypedModelElements[Property - Owning Class:src],MATCH(meta_Columns[[#This Row],[Property]],meta_TypedModelElements[ID],0))</f>
        <v>#N/A</v>
      </c>
      <c r="AK150" s="8" t="e">
        <f>INDEX(meta_TypedModelElements[Kind:src],MATCH(meta_Columns[[#This Row],[Property]],meta_TypedModelElements[ID],0))</f>
        <v>#N/A</v>
      </c>
      <c r="AL150" s="8" t="e">
        <f>INDEX(meta_TypedModelElements[Name or Type],MATCH(meta_Columns[[#This Row],[Property]],meta_TypedModelElements[ID],0))</f>
        <v>#N/A</v>
      </c>
      <c r="AM150" s="8" t="e">
        <f>INDEX(meta_TypedModelElements[Property - Changeable],MATCH(meta_Columns[[#This Row],[Property]],meta_TypedModelElements[ID],0))</f>
        <v>#N/A</v>
      </c>
      <c r="AN150" s="43">
        <v>50</v>
      </c>
      <c r="AO150" s="22">
        <v>15</v>
      </c>
      <c r="AP1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0" s="8" t="str">
        <f xml:space="preserve"> IF(meta_Columns[[#This Row],[Property Owning Class is Specialization of Instance Class]],meta_Columns[[#This Row],[Property Owning Class Name]]&amp;" - ","")</f>
        <v/>
      </c>
      <c r="AR1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Label</v>
      </c>
      <c r="AT150" s="8" t="str">
        <f>IFERROR(LEFT(meta_Columns[[#This Row],[Excel Column - Label Actual without Semantic Case]],FIND("-",
meta_Columns[[#This Row],[Excel Column - Label Actual without Semantic Case]])-2),"")</f>
        <v/>
      </c>
      <c r="AU1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Label</v>
      </c>
      <c r="AV1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backup:previous</v>
      </c>
      <c r="AW1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Label:backup:previous</v>
      </c>
      <c r="AX150" s="22"/>
      <c r="AY150" s="8" t="str">
        <f>meta_Columns[[#This Row],[Owning Table]]&amp;"."&amp;meta_Columns[[#This Row],[Excel Column - Label]]</f>
        <v>meta::Columns.Excel Column - Explicit Excel Formula</v>
      </c>
      <c r="AZ150" s="22" t="s">
        <v>865</v>
      </c>
      <c r="BA150" s="8" t="str">
        <f>IF(TRIM(meta_Columns[[#This Row],[Excel Column - Label Overwrite]])&lt;&gt;"",meta_Columns[[#This Row],[Excel Column - Label Overwrite]],meta_Columns[[#This Row],[Excel Column - Label from Property or Referenced Table]])</f>
        <v>Excel Column - Explicit Excel Formula</v>
      </c>
      <c r="BB150" s="43"/>
      <c r="BC150" s="44" t="str">
        <f>IF(meta_Columns[[#This Row],[Excel Column - Explicit Excel Formula]]="","",meta_Columns[[#This Row],[Excel Column - Explicit Excel Formula]])</f>
        <v/>
      </c>
      <c r="BD150" s="5"/>
      <c r="BE150" s="5"/>
    </row>
    <row r="151" spans="1:57">
      <c r="A151" s="10" t="s">
        <v>1132</v>
      </c>
      <c r="B151" s="5" t="s">
        <v>546</v>
      </c>
      <c r="C151" s="22" t="str">
        <f xml:space="preserve"> IF( TRIM( meta_Columns[[#This Row],[Kind:src]] ) = "", "",
        INDEX( meta_Classifiers[Display Qualified], MATCH( meta_Columns[[#This Row],[Kind:src]], meta_Classifiers[ID], 0 ) ) )</f>
        <v>ExcelColumn</v>
      </c>
      <c r="D151" s="44" t="str">
        <f>IF(meta_Columns[[#This Row],[Owning Table:src]]="","",INDEX(meta_Classifiers[Package],MATCH(meta_Columns[[#This Row],[Owning Table Instances Class]],meta_Classifiers[ID],0)))</f>
        <v>meta</v>
      </c>
      <c r="E151" s="43"/>
      <c r="F151" s="8" t="str">
        <f>INDEX(meta_Tables[Excel Table - Excel Name],MATCH(meta_Columns[[#This Row],[Owning Table:src]],meta_Tables[ID],0))</f>
        <v>meta_Columns</v>
      </c>
      <c r="G151" s="44" t="str">
        <f>INDEX(meta_Tables[Instances Class:src],MATCH(meta_Columns[[#This Row],[Owning Table:src]],meta_Tables[ID],0))</f>
        <v>_Column</v>
      </c>
      <c r="H151" s="11" t="s">
        <v>1013</v>
      </c>
      <c r="I151" s="43" t="str">
        <f xml:space="preserve"> IF( TRIM( meta_Columns[[#This Row],[Owning Table:src]] ) = "", "",
        INDEX( meta_Tables[Display Qualified], MATCH( meta_Columns[[#This Row],[Owning Table:src]], meta_Tables[ID], 0 ) ) )</f>
        <v>meta::Columns</v>
      </c>
      <c r="K151" s="22" t="str">
        <f>IF(TRIM(meta_Columns[[#This Row],[Referenced Table:src]])="","",
    INDEX(meta_Tables[Display Qualified],MATCH(meta_Columns[[#This Row],[Referenced Table:src]],meta_Tables[ID],0)))</f>
        <v/>
      </c>
      <c r="L151" s="8"/>
      <c r="M151" s="22" t="str">
        <f xml:space="preserve"> IF( TRIM( meta_Columns[[#This Row],[Referenced Table Display and Select Column:src]] ) = "", "",
        INDEX( meta_Columns[Display Qualified], MATCH( meta_Columns[[#This Row],[Referenced Table Display and Select Column:src]], meta_Columns[ID], 0 ) ) )</f>
        <v/>
      </c>
      <c r="N151" s="8" t="str">
        <f>IF(meta_Columns[[#This Row],[Excel Column - Excel Formula]]="","x","")</f>
        <v/>
      </c>
      <c r="O151" s="22"/>
      <c r="P151" s="8" t="str">
        <f>IF(meta_Columns[[#This Row],[Referenced Table:src]]="","",INDEX(meta_Tables[Instances Class],MATCH(meta_Columns[[#This Row],[Referenced Table:src]],meta_Tables[ID],0)))</f>
        <v/>
      </c>
      <c r="Q1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meta::Column.displayQualified</v>
      </c>
      <c r="R151" s="8"/>
      <c r="S151" s="22" t="str">
        <f xml:space="preserve"> IF( TRIM( meta_Columns[[#This Row],[Property:src]] ) = "", "",
        INDEX( meta_TypedModelElements[Display Qualified], MATCH( meta_Columns[[#This Row],[Property:src]], meta_TypedModelElements[ID], 0 ) ) )</f>
        <v/>
      </c>
      <c r="T151" s="22"/>
      <c r="U151" s="8" t="e">
        <f>INDEX(meta_Classifiers[Class - Generalization:src], MATCH(meta_Columns[[#This Row],[Generalization 5]],meta_Classifiers[ID],0))</f>
        <v>#N/A</v>
      </c>
      <c r="V151" s="8" t="e">
        <f>INDEX(meta_Classifiers[Class - Generalization:src], MATCH(meta_Columns[[#This Row],[Generalization 4]],meta_Classifiers[ID],0))</f>
        <v>#N/A</v>
      </c>
      <c r="W151" s="8" t="e">
        <f>INDEX(meta_Classifiers[Class - Generalization:src], MATCH(meta_Columns[[#This Row],[Generalization 3]],meta_Classifiers[ID],0))</f>
        <v>#N/A</v>
      </c>
      <c r="X151" s="8" t="str">
        <f>INDEX(meta_Classifiers[Class - Generalization:src], MATCH(meta_Columns[[#This Row],[Generalization 2]],meta_Classifiers[ID],0))</f>
        <v/>
      </c>
      <c r="Y151" s="8" t="str">
        <f>INDEX(meta_Classifiers[Class - Generalization:src], MATCH(meta_Columns[[#This Row],[Generalization 1]],meta_Classifiers[ID],0))</f>
        <v>_Object</v>
      </c>
      <c r="Z151" s="8" t="str">
        <f>INDEX(meta_Classifiers[Class - Generalization:src], MATCH(meta_Columns[[#This Row],[Owning Table Instances Class]],meta_Classifiers[ID],0))</f>
        <v>_NamedElement</v>
      </c>
      <c r="AA1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1" s="8" t="b">
        <f>_xlfn.IFNA(
INDEX(meta_Classifiers[Class - Generalization:src],MATCH(
INDEX(meta_Classifiers[Class - Generalization:src],MATCH(meta_Columns[[#This Row],[Property Owning Class]],meta_Classifiers[ID],0)),meta_Classifiers[ID],0))
=meta_Columns[[#This Row],[Owning Table Instances Class]],FALSE)</f>
        <v>0</v>
      </c>
      <c r="AG151" s="8" t="b">
        <f>_xlfn.IFNA(INDEX(meta_Classifiers[Class - Generalization:src],MATCH(meta_Columns[[#This Row],[Property Owning Class]],meta_Classifiers[ID],0))=meta_Columns[[#This Row],[Owning Table Instances Class]],FALSE)</f>
        <v>0</v>
      </c>
      <c r="AH1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1" s="8" t="e">
        <f>INDEX(meta_Classifiers[Name],MATCH(INDEX(meta_TypedModelElements[Property - Owning Class:src],MATCH(meta_Columns[[#This Row],[Property]],meta_TypedModelElements[ID],0)),meta_Classifiers[ID],0))</f>
        <v>#N/A</v>
      </c>
      <c r="AJ151" s="8" t="e">
        <f>INDEX(meta_TypedModelElements[Property - Owning Class:src],MATCH(meta_Columns[[#This Row],[Property]],meta_TypedModelElements[ID],0))</f>
        <v>#N/A</v>
      </c>
      <c r="AK151" s="8" t="e">
        <f>INDEX(meta_TypedModelElements[Kind:src],MATCH(meta_Columns[[#This Row],[Property]],meta_TypedModelElements[ID],0))</f>
        <v>#N/A</v>
      </c>
      <c r="AL151" s="8" t="e">
        <f>INDEX(meta_TypedModelElements[Name or Type],MATCH(meta_Columns[[#This Row],[Property]],meta_TypedModelElements[ID],0))</f>
        <v>#N/A</v>
      </c>
      <c r="AM151" s="8" t="e">
        <f>INDEX(meta_TypedModelElements[Property - Changeable],MATCH(meta_Columns[[#This Row],[Property]],meta_TypedModelElements[ID],0))</f>
        <v>#N/A</v>
      </c>
      <c r="AN151" s="43">
        <v>51</v>
      </c>
      <c r="AO151" s="22"/>
      <c r="AP1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1" s="8" t="str">
        <f xml:space="preserve"> IF(meta_Columns[[#This Row],[Property Owning Class is Specialization of Instance Class]],meta_Columns[[#This Row],[Property Owning Class Name]]&amp;" - ","")</f>
        <v/>
      </c>
      <c r="AR1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151" s="8" t="str">
        <f>IFERROR(LEFT(meta_Columns[[#This Row],[Excel Column - Label Actual without Semantic Case]],FIND("-",
meta_Columns[[#This Row],[Excel Column - Label Actual without Semantic Case]])-2),"")</f>
        <v/>
      </c>
      <c r="AU1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1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151" s="22"/>
      <c r="AY151" s="8" t="str">
        <f>meta_Columns[[#This Row],[Owning Table]]&amp;"."&amp;meta_Columns[[#This Row],[Excel Column - Label]]</f>
        <v>meta::Columns.Excel Column - Excel Formula</v>
      </c>
      <c r="AZ151" s="22" t="s">
        <v>552</v>
      </c>
      <c r="BA151" s="8" t="str">
        <f>IF(TRIM(meta_Columns[[#This Row],[Excel Column - Label Overwrite]])&lt;&gt;"",meta_Columns[[#This Row],[Excel Column - Label Overwrite]],meta_Columns[[#This Row],[Excel Column - Label from Property or Referenced Table]])</f>
        <v>Excel Column - Excel Formula</v>
      </c>
      <c r="BB151" s="43" t="s">
        <v>1385</v>
      </c>
      <c r="BC151" s="44" t="str">
        <f>IF(meta_Columns[[#This Row],[Excel Column - Explicit Excel Formula]]="","",meta_Columns[[#This Row],[Excel Column - Explicit Excel Formula]])</f>
        <v>Formula:=IF([@[Excel Column - Explicit Excel Formula]]="","",[@[Excel Column - Explicit Excel Formula]])</v>
      </c>
      <c r="BD151" s="5"/>
      <c r="BE151" s="5"/>
    </row>
    <row r="152" spans="1:57">
      <c r="A152" s="10" t="s">
        <v>1465</v>
      </c>
      <c r="B152" s="5" t="s">
        <v>546</v>
      </c>
      <c r="C152" s="22" t="str">
        <f xml:space="preserve"> IF( TRIM( meta_Columns[[#This Row],[Kind:src]] ) = "", "",
        INDEX( meta_Classifiers[Display Qualified], MATCH( meta_Columns[[#This Row],[Kind:src]], meta_Classifiers[ID], 0 ) ) )</f>
        <v>ExcelColumn</v>
      </c>
      <c r="D152" s="44" t="str">
        <f>IF(meta_Columns[[#This Row],[Owning Table:src]]="","",INDEX(meta_Classifiers[Package],MATCH(meta_Columns[[#This Row],[Owning Table Instances Class]],meta_Classifiers[ID],0)))</f>
        <v>meta</v>
      </c>
      <c r="E152" s="43"/>
      <c r="F152" s="8" t="str">
        <f>INDEX(meta_Tables[Excel Table - Excel Name],MATCH(meta_Columns[[#This Row],[Owning Table:src]],meta_Tables[ID],0))</f>
        <v>meta_Columns</v>
      </c>
      <c r="G152" s="44" t="str">
        <f>INDEX(meta_Tables[Instances Class:src],MATCH(meta_Columns[[#This Row],[Owning Table:src]],meta_Tables[ID],0))</f>
        <v>_Column</v>
      </c>
      <c r="H152" s="11" t="s">
        <v>1013</v>
      </c>
      <c r="I152" s="43" t="str">
        <f xml:space="preserve"> IF( TRIM( meta_Columns[[#This Row],[Owning Table:src]] ) = "", "",
        INDEX( meta_Tables[Display Qualified], MATCH( meta_Columns[[#This Row],[Owning Table:src]], meta_Tables[ID], 0 ) ) )</f>
        <v>meta::Columns</v>
      </c>
      <c r="K152" s="22" t="str">
        <f>IF(TRIM(meta_Columns[[#This Row],[Referenced Table:src]])="","",
    INDEX(meta_Tables[Display Qualified],MATCH(meta_Columns[[#This Row],[Referenced Table:src]],meta_Tables[ID],0)))</f>
        <v/>
      </c>
      <c r="L152" s="8"/>
      <c r="M152" s="22" t="str">
        <f xml:space="preserve"> IF( TRIM( meta_Columns[[#This Row],[Referenced Table Display and Select Column:src]] ) = "", "",
        INDEX( meta_Columns[Display Qualified], MATCH( meta_Columns[[#This Row],[Referenced Table Display and Select Column:src]], meta_Columns[ID], 0 ) ) )</f>
        <v/>
      </c>
      <c r="N152" s="8" t="str">
        <f>IF(meta_Columns[[#This Row],[Excel Column - Excel Formula]]="","x","")</f>
        <v>x</v>
      </c>
      <c r="O152" s="22"/>
      <c r="P152" s="8" t="str">
        <f>IF(meta_Columns[[#This Row],[Referenced Table:src]]="","",INDEX(meta_Tables[Instances Class],MATCH(meta_Columns[[#This Row],[Referenced Table:src]],meta_Tables[ID],0)))</f>
        <v/>
      </c>
      <c r="Q1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meta::ExcelColumn.labelOverwrite</v>
      </c>
      <c r="R152" s="8"/>
      <c r="S152" s="22" t="str">
        <f xml:space="preserve"> IF( TRIM( meta_Columns[[#This Row],[Property:src]] ) = "", "",
        INDEX( meta_TypedModelElements[Display Qualified], MATCH( meta_Columns[[#This Row],[Property:src]], meta_TypedModelElements[ID], 0 ) ) )</f>
        <v/>
      </c>
      <c r="T152" s="22"/>
      <c r="U152" s="8" t="e">
        <f>INDEX(meta_Classifiers[Class - Generalization:src], MATCH(meta_Columns[[#This Row],[Generalization 5]],meta_Classifiers[ID],0))</f>
        <v>#N/A</v>
      </c>
      <c r="V152" s="8" t="e">
        <f>INDEX(meta_Classifiers[Class - Generalization:src], MATCH(meta_Columns[[#This Row],[Generalization 4]],meta_Classifiers[ID],0))</f>
        <v>#N/A</v>
      </c>
      <c r="W152" s="8" t="e">
        <f>INDEX(meta_Classifiers[Class - Generalization:src], MATCH(meta_Columns[[#This Row],[Generalization 3]],meta_Classifiers[ID],0))</f>
        <v>#N/A</v>
      </c>
      <c r="X152" s="8" t="str">
        <f>INDEX(meta_Classifiers[Class - Generalization:src], MATCH(meta_Columns[[#This Row],[Generalization 2]],meta_Classifiers[ID],0))</f>
        <v/>
      </c>
      <c r="Y152" s="8" t="str">
        <f>INDEX(meta_Classifiers[Class - Generalization:src], MATCH(meta_Columns[[#This Row],[Generalization 1]],meta_Classifiers[ID],0))</f>
        <v>_Object</v>
      </c>
      <c r="Z152" s="8" t="str">
        <f>INDEX(meta_Classifiers[Class - Generalization:src], MATCH(meta_Columns[[#This Row],[Owning Table Instances Class]],meta_Classifiers[ID],0))</f>
        <v>_NamedElement</v>
      </c>
      <c r="AA1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2" s="8" t="b">
        <f>_xlfn.IFNA(
INDEX(meta_Classifiers[Class - Generalization:src],MATCH(
INDEX(meta_Classifiers[Class - Generalization:src],MATCH(meta_Columns[[#This Row],[Property Owning Class]],meta_Classifiers[ID],0)),meta_Classifiers[ID],0))
=meta_Columns[[#This Row],[Owning Table Instances Class]],FALSE)</f>
        <v>0</v>
      </c>
      <c r="AG152" s="8" t="b">
        <f>_xlfn.IFNA(INDEX(meta_Classifiers[Class - Generalization:src],MATCH(meta_Columns[[#This Row],[Property Owning Class]],meta_Classifiers[ID],0))=meta_Columns[[#This Row],[Owning Table Instances Class]],FALSE)</f>
        <v>0</v>
      </c>
      <c r="AH1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2" s="8" t="e">
        <f>INDEX(meta_Classifiers[Name],MATCH(INDEX(meta_TypedModelElements[Property - Owning Class:src],MATCH(meta_Columns[[#This Row],[Property]],meta_TypedModelElements[ID],0)),meta_Classifiers[ID],0))</f>
        <v>#N/A</v>
      </c>
      <c r="AJ152" s="8" t="e">
        <f>INDEX(meta_TypedModelElements[Property - Owning Class:src],MATCH(meta_Columns[[#This Row],[Property]],meta_TypedModelElements[ID],0))</f>
        <v>#N/A</v>
      </c>
      <c r="AK152" s="8" t="e">
        <f>INDEX(meta_TypedModelElements[Kind:src],MATCH(meta_Columns[[#This Row],[Property]],meta_TypedModelElements[ID],0))</f>
        <v>#N/A</v>
      </c>
      <c r="AL152" s="8" t="e">
        <f>INDEX(meta_TypedModelElements[Name or Type],MATCH(meta_Columns[[#This Row],[Property]],meta_TypedModelElements[ID],0))</f>
        <v>#N/A</v>
      </c>
      <c r="AM152" s="8" t="e">
        <f>INDEX(meta_TypedModelElements[Property - Changeable],MATCH(meta_Columns[[#This Row],[Property]],meta_TypedModelElements[ID],0))</f>
        <v>#N/A</v>
      </c>
      <c r="AN152" s="43">
        <v>52</v>
      </c>
      <c r="AO152" s="22">
        <v>16</v>
      </c>
      <c r="AP1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2" s="8" t="str">
        <f xml:space="preserve"> IF(meta_Columns[[#This Row],[Property Owning Class is Specialization of Instance Class]],meta_Columns[[#This Row],[Property Owning Class Name]]&amp;" - ","")</f>
        <v/>
      </c>
      <c r="AR1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Overwrite</v>
      </c>
      <c r="AT152" s="8" t="str">
        <f>IFERROR(LEFT(meta_Columns[[#This Row],[Excel Column - Label Actual without Semantic Case]],FIND("-",
meta_Columns[[#This Row],[Excel Column - Label Actual without Semantic Case]])-2),"")</f>
        <v>Excel Column</v>
      </c>
      <c r="AU1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Overwrite</v>
      </c>
      <c r="AV1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Overwrite</v>
      </c>
      <c r="AX152" s="22"/>
      <c r="AY152" s="8" t="str">
        <f>meta_Columns[[#This Row],[Owning Table]]&amp;"."&amp;meta_Columns[[#This Row],[Excel Column - Label]]</f>
        <v>meta::Columns.Excel Column - Validation Formula</v>
      </c>
      <c r="AZ152" s="22" t="s">
        <v>1460</v>
      </c>
      <c r="BA152" s="8" t="str">
        <f>IF(TRIM(meta_Columns[[#This Row],[Excel Column - Label Overwrite]])&lt;&gt;"",meta_Columns[[#This Row],[Excel Column - Label Overwrite]],meta_Columns[[#This Row],[Excel Column - Label from Property or Referenced Table]])</f>
        <v>Excel Column - Validation Formula</v>
      </c>
      <c r="BB152" s="43"/>
      <c r="BC152" s="44" t="str">
        <f>IF(meta_Columns[[#This Row],[Excel Column - Explicit Excel Formula]]="","",meta_Columns[[#This Row],[Excel Column - Explicit Excel Formula]])</f>
        <v/>
      </c>
      <c r="BD152" s="5"/>
      <c r="BE152" s="5"/>
    </row>
    <row r="153" spans="1:57">
      <c r="A153" s="111" t="s">
        <v>1509</v>
      </c>
      <c r="B153" s="5"/>
      <c r="C153" s="22" t="str">
        <f xml:space="preserve"> IF( TRIM( meta_Columns[[#This Row],[Kind:src]] ) = "", "",
        INDEX( meta_Classifiers[Display Qualified], MATCH( meta_Columns[[#This Row],[Kind:src]], meta_Classifiers[ID], 0 ) ) )</f>
        <v/>
      </c>
      <c r="D153" s="113" t="str">
        <f>IF(meta_Columns[[#This Row],[Owning Table:src]]="","",INDEX(meta_Classifiers[Package],MATCH(meta_Columns[[#This Row],[Owning Table Instances Class]],meta_Classifiers[ID],0)))</f>
        <v/>
      </c>
      <c r="E153" s="112"/>
      <c r="F153" s="115" t="e">
        <f>INDEX(meta_Tables[Excel Table - Excel Name],MATCH(meta_Columns[[#This Row],[Owning Table:src]],meta_Tables[ID],0))</f>
        <v>#N/A</v>
      </c>
      <c r="G153" s="113" t="e">
        <f>INDEX(meta_Tables[Instances Class:src],MATCH(meta_Columns[[#This Row],[Owning Table:src]],meta_Tables[ID],0))</f>
        <v>#N/A</v>
      </c>
      <c r="H153" s="11"/>
      <c r="I153" s="43" t="str">
        <f xml:space="preserve"> IF( TRIM( meta_Columns[[#This Row],[Owning Table:src]] ) = "", "",
        INDEX( meta_Tables[Display Qualified], MATCH( meta_Columns[[#This Row],[Owning Table:src]], meta_Tables[ID], 0 ) ) )</f>
        <v/>
      </c>
      <c r="K153" s="22" t="str">
        <f>IF(TRIM(meta_Columns[[#This Row],[Referenced Table:src]])="","",
    INDEX(meta_Tables[Display Qualified],MATCH(meta_Columns[[#This Row],[Referenced Table:src]],meta_Tables[ID],0)))</f>
        <v/>
      </c>
      <c r="L153" s="8"/>
      <c r="M153" s="22" t="str">
        <f xml:space="preserve"> IF( TRIM( meta_Columns[[#This Row],[Referenced Table Display and Select Column:src]] ) = "", "",
        INDEX( meta_Columns[Display Qualified], MATCH( meta_Columns[[#This Row],[Referenced Table Display and Select Column:src]], meta_Columns[ID], 0 ) ) )</f>
        <v/>
      </c>
      <c r="N153" s="8" t="str">
        <f>IF(meta_Columns[[#This Row],[Excel Column - Excel Formula]]="","x","")</f>
        <v>x</v>
      </c>
      <c r="O153" s="22"/>
      <c r="P153" s="8" t="str">
        <f>IF(meta_Columns[[#This Row],[Referenced Table:src]]="","",INDEX(meta_Tables[Instances Class],MATCH(meta_Columns[[#This Row],[Referenced Table:src]],meta_Tables[ID],0)))</f>
        <v/>
      </c>
      <c r="Q15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3" s="8"/>
      <c r="S153" s="114" t="str">
        <f xml:space="preserve"> IF( TRIM( meta_Columns[[#This Row],[Property:src]] ) = "", "",
        INDEX( meta_TypedModelElements[Display Qualified], MATCH( meta_Columns[[#This Row],[Property:src]], meta_TypedModelElements[ID], 0 ) ) )</f>
        <v/>
      </c>
      <c r="T153" s="114"/>
      <c r="U153" s="8" t="e">
        <f>INDEX(meta_Classifiers[Class - Generalization:src], MATCH(meta_Columns[[#This Row],[Generalization 5]],meta_Classifiers[ID],0))</f>
        <v>#N/A</v>
      </c>
      <c r="V153" s="8" t="e">
        <f>INDEX(meta_Classifiers[Class - Generalization:src], MATCH(meta_Columns[[#This Row],[Generalization 4]],meta_Classifiers[ID],0))</f>
        <v>#N/A</v>
      </c>
      <c r="W153" s="8" t="e">
        <f>INDEX(meta_Classifiers[Class - Generalization:src], MATCH(meta_Columns[[#This Row],[Generalization 3]],meta_Classifiers[ID],0))</f>
        <v>#N/A</v>
      </c>
      <c r="X153" s="8" t="e">
        <f>INDEX(meta_Classifiers[Class - Generalization:src], MATCH(meta_Columns[[#This Row],[Generalization 2]],meta_Classifiers[ID],0))</f>
        <v>#N/A</v>
      </c>
      <c r="Y153" s="8" t="e">
        <f>INDEX(meta_Classifiers[Class - Generalization:src], MATCH(meta_Columns[[#This Row],[Generalization 1]],meta_Classifiers[ID],0))</f>
        <v>#N/A</v>
      </c>
      <c r="Z153" s="8" t="e">
        <f>INDEX(meta_Classifiers[Class - Generalization:src], MATCH(meta_Columns[[#This Row],[Owning Table Instances Class]],meta_Classifiers[ID],0))</f>
        <v>#N/A</v>
      </c>
      <c r="AA153"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3" s="8" t="b">
        <f>_xlfn.IFNA(
INDEX(meta_Classifiers[Class - Generalization:src],MATCH(
INDEX(meta_Classifiers[Class - Generalization:src],MATCH(meta_Columns[[#This Row],[Property Owning Class]],meta_Classifiers[ID],0)),meta_Classifiers[ID],0))
=meta_Columns[[#This Row],[Owning Table Instances Class]],FALSE)</f>
        <v>0</v>
      </c>
      <c r="AG153" s="8" t="b">
        <f>_xlfn.IFNA(INDEX(meta_Classifiers[Class - Generalization:src],MATCH(meta_Columns[[#This Row],[Property Owning Class]],meta_Classifiers[ID],0))=meta_Columns[[#This Row],[Owning Table Instances Class]],FALSE)</f>
        <v>0</v>
      </c>
      <c r="AH153"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3" s="8" t="e">
        <f>INDEX(meta_Classifiers[Name],MATCH(INDEX(meta_TypedModelElements[Property - Owning Class:src],MATCH(meta_Columns[[#This Row],[Property]],meta_TypedModelElements[ID],0)),meta_Classifiers[ID],0))</f>
        <v>#N/A</v>
      </c>
      <c r="AJ153" s="8" t="e">
        <f>INDEX(meta_TypedModelElements[Property - Owning Class:src],MATCH(meta_Columns[[#This Row],[Property]],meta_TypedModelElements[ID],0))</f>
        <v>#N/A</v>
      </c>
      <c r="AK153" s="8" t="e">
        <f>INDEX(meta_TypedModelElements[Kind:src],MATCH(meta_Columns[[#This Row],[Property]],meta_TypedModelElements[ID],0))</f>
        <v>#N/A</v>
      </c>
      <c r="AL153" s="115" t="e">
        <f>INDEX(meta_TypedModelElements[Name or Type],MATCH(meta_Columns[[#This Row],[Property]],meta_TypedModelElements[ID],0))</f>
        <v>#N/A</v>
      </c>
      <c r="AM153" s="115" t="e">
        <f>INDEX(meta_TypedModelElements[Property - Changeable],MATCH(meta_Columns[[#This Row],[Property]],meta_TypedModelElements[ID],0))</f>
        <v>#N/A</v>
      </c>
      <c r="AN153" s="112">
        <v>53</v>
      </c>
      <c r="AO153" s="22">
        <v>17</v>
      </c>
      <c r="AP153"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3" s="8" t="str">
        <f xml:space="preserve"> IF(meta_Columns[[#This Row],[Property Owning Class is Specialization of Instance Class]],meta_Columns[[#This Row],[Property Owning Class Name]]&amp;" - ","")</f>
        <v/>
      </c>
      <c r="AR1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53" s="8" t="str">
        <f>IFERROR(LEFT(meta_Columns[[#This Row],[Excel Column - Label Actual without Semantic Case]],FIND("-",
meta_Columns[[#This Row],[Excel Column - Label Actual without Semantic Case]])-2),"")</f>
        <v/>
      </c>
      <c r="AU1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53" s="114"/>
      <c r="AY153" s="8" t="str">
        <f>meta_Columns[[#This Row],[Owning Table]]&amp;"."&amp;meta_Columns[[#This Row],[Excel Column - Label]]</f>
        <v>.Excel Column - String Type</v>
      </c>
      <c r="AZ153" s="114" t="s">
        <v>1472</v>
      </c>
      <c r="BA153" s="115" t="str">
        <f>IF(TRIM(meta_Columns[[#This Row],[Excel Column - Label Overwrite]])&lt;&gt;"",meta_Columns[[#This Row],[Excel Column - Label Overwrite]],meta_Columns[[#This Row],[Excel Column - Label from Property or Referenced Table]])</f>
        <v>Excel Column - String Type</v>
      </c>
      <c r="BB153" s="112"/>
      <c r="BC153" s="113" t="str">
        <f>IF(meta_Columns[[#This Row],[Excel Column - Explicit Excel Formula]]="","",meta_Columns[[#This Row],[Excel Column - Explicit Excel Formula]])</f>
        <v/>
      </c>
      <c r="BD153" s="116"/>
      <c r="BE153" s="116"/>
    </row>
    <row r="154" spans="1:57">
      <c r="A154" s="10" t="s">
        <v>1133</v>
      </c>
      <c r="B154" s="5" t="s">
        <v>546</v>
      </c>
      <c r="C154" s="22" t="str">
        <f xml:space="preserve"> IF( TRIM( meta_Columns[[#This Row],[Kind:src]] ) = "", "",
        INDEX( meta_Classifiers[Display Qualified], MATCH( meta_Columns[[#This Row],[Kind:src]], meta_Classifiers[ID], 0 ) ) )</f>
        <v>ExcelColumn</v>
      </c>
      <c r="D154" s="44" t="e">
        <f>IF(meta_Columns[[#This Row],[Owning Table:src]]="","",INDEX(meta_Classifiers[Package],MATCH(meta_Columns[[#This Row],[Owning Table Instances Class]],meta_Classifiers[ID],0)))</f>
        <v>#N/A</v>
      </c>
      <c r="E154" s="43"/>
      <c r="F154" s="8" t="str">
        <f>INDEX(meta_Tables[Excel Table - Excel Name],MATCH(meta_Columns[[#This Row],[Owning Table:src]],meta_Tables[ID],0))</f>
        <v>meta_DocumentVersions</v>
      </c>
      <c r="G154" s="44">
        <f>INDEX(meta_Tables[Instances Class:src],MATCH(meta_Columns[[#This Row],[Owning Table:src]],meta_Tables[ID],0))</f>
        <v>0</v>
      </c>
      <c r="H154" s="11" t="s">
        <v>1016</v>
      </c>
      <c r="I154" s="43" t="str">
        <f xml:space="preserve"> IF( TRIM( meta_Columns[[#This Row],[Owning Table:src]] ) = "", "",
        INDEX( meta_Tables[Display Qualified], MATCH( meta_Columns[[#This Row],[Owning Table:src]], meta_Tables[ID], 0 ) ) )</f>
        <v>meta::DocumentVersions</v>
      </c>
      <c r="K154" s="22" t="str">
        <f>IF(TRIM(meta_Columns[[#This Row],[Referenced Table:src]])="","",
    INDEX(meta_Tables[Display Qualified],MATCH(meta_Columns[[#This Row],[Referenced Table:src]],meta_Tables[ID],0)))</f>
        <v/>
      </c>
      <c r="L154" s="8"/>
      <c r="M154" s="22" t="str">
        <f xml:space="preserve"> IF( TRIM( meta_Columns[[#This Row],[Referenced Table Display and Select Column:src]] ) = "", "",
        INDEX( meta_Columns[Display Qualified], MATCH( meta_Columns[[#This Row],[Referenced Table Display and Select Column:src]], meta_Columns[ID], 0 ) ) )</f>
        <v/>
      </c>
      <c r="N154" s="8" t="str">
        <f>IF(meta_Columns[[#This Row],[Excel Column - Excel Formula]]="","x","")</f>
        <v>x</v>
      </c>
      <c r="O154" s="22"/>
      <c r="P154" s="8" t="str">
        <f>IF(meta_Columns[[#This Row],[Referenced Table:src]]="","",INDEX(meta_Tables[Instances Class],MATCH(meta_Columns[[#This Row],[Referenced Table:src]],meta_Tables[ID],0)))</f>
        <v/>
      </c>
      <c r="Q1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54" s="8" t="s">
        <v>246</v>
      </c>
      <c r="S154" s="22" t="str">
        <f xml:space="preserve"> IF( TRIM( meta_Columns[[#This Row],[Property:src]] ) = "", "",
        INDEX( meta_TypedModelElements[Display Qualified], MATCH( meta_Columns[[#This Row],[Property:src]], meta_TypedModelElements[ID], 0 ) ) )</f>
        <v>meta::Object.iD</v>
      </c>
      <c r="T154" s="22"/>
      <c r="U154" s="8" t="e">
        <f>INDEX(meta_Classifiers[Class - Generalization:src], MATCH(meta_Columns[[#This Row],[Generalization 5]],meta_Classifiers[ID],0))</f>
        <v>#N/A</v>
      </c>
      <c r="V154" s="8" t="e">
        <f>INDEX(meta_Classifiers[Class - Generalization:src], MATCH(meta_Columns[[#This Row],[Generalization 4]],meta_Classifiers[ID],0))</f>
        <v>#N/A</v>
      </c>
      <c r="W154" s="8" t="e">
        <f>INDEX(meta_Classifiers[Class - Generalization:src], MATCH(meta_Columns[[#This Row],[Generalization 3]],meta_Classifiers[ID],0))</f>
        <v>#N/A</v>
      </c>
      <c r="X154" s="8" t="e">
        <f>INDEX(meta_Classifiers[Class - Generalization:src], MATCH(meta_Columns[[#This Row],[Generalization 2]],meta_Classifiers[ID],0))</f>
        <v>#N/A</v>
      </c>
      <c r="Y154" s="8" t="e">
        <f>INDEX(meta_Classifiers[Class - Generalization:src], MATCH(meta_Columns[[#This Row],[Generalization 1]],meta_Classifiers[ID],0))</f>
        <v>#N/A</v>
      </c>
      <c r="Z154" s="8" t="e">
        <f>INDEX(meta_Classifiers[Class - Generalization:src], MATCH(meta_Columns[[#This Row],[Owning Table Instances Class]],meta_Classifiers[ID],0))</f>
        <v>#N/A</v>
      </c>
      <c r="AA1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4" s="8" t="b">
        <f>_xlfn.IFNA(
INDEX(meta_Classifiers[Class - Generalization:src],MATCH(
INDEX(meta_Classifiers[Class - Generalization:src],MATCH(meta_Columns[[#This Row],[Property Owning Class]],meta_Classifiers[ID],0)),meta_Classifiers[ID],0))
=meta_Columns[[#This Row],[Owning Table Instances Class]],FALSE)</f>
        <v>0</v>
      </c>
      <c r="AG154" s="8" t="b">
        <f>_xlfn.IFNA(INDEX(meta_Classifiers[Class - Generalization:src],MATCH(meta_Columns[[#This Row],[Property Owning Class]],meta_Classifiers[ID],0))=meta_Columns[[#This Row],[Owning Table Instances Class]],FALSE)</f>
        <v>0</v>
      </c>
      <c r="AH1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4" s="8" t="str">
        <f>INDEX(meta_Classifiers[Name],MATCH(INDEX(meta_TypedModelElements[Property - Owning Class:src],MATCH(meta_Columns[[#This Row],[Property]],meta_TypedModelElements[ID],0)),meta_Classifiers[ID],0))</f>
        <v>Object</v>
      </c>
      <c r="AJ154" s="8" t="str">
        <f>INDEX(meta_TypedModelElements[Property - Owning Class:src],MATCH(meta_Columns[[#This Row],[Property]],meta_TypedModelElements[ID],0))</f>
        <v>_Object</v>
      </c>
      <c r="AK154" s="8" t="str">
        <f>INDEX(meta_TypedModelElements[Kind:src],MATCH(meta_Columns[[#This Row],[Property]],meta_TypedModelElements[ID],0))</f>
        <v>_Attribute</v>
      </c>
      <c r="AL154" s="8" t="str">
        <f>INDEX(meta_TypedModelElements[Name or Type],MATCH(meta_Columns[[#This Row],[Property]],meta_TypedModelElements[ID],0))</f>
        <v>ID</v>
      </c>
      <c r="AM154" s="8" t="str">
        <f>INDEX(meta_TypedModelElements[Property - Changeable],MATCH(meta_Columns[[#This Row],[Property]],meta_TypedModelElements[ID],0))</f>
        <v>x</v>
      </c>
      <c r="AN154" s="43">
        <v>1</v>
      </c>
      <c r="AO154" s="22">
        <v>1</v>
      </c>
      <c r="AP1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54" s="8" t="str">
        <f xml:space="preserve"> IF(meta_Columns[[#This Row],[Property Owning Class is Specialization of Instance Class]],meta_Columns[[#This Row],[Property Owning Class Name]]&amp;" - ","")</f>
        <v/>
      </c>
      <c r="AR1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54" s="8" t="str">
        <f>IFERROR(LEFT(meta_Columns[[#This Row],[Excel Column - Label Actual without Semantic Case]],FIND("-",
meta_Columns[[#This Row],[Excel Column - Label Actual without Semantic Case]])-2),"")</f>
        <v/>
      </c>
      <c r="AU1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54" s="22"/>
      <c r="AY154" s="8" t="str">
        <f>meta_Columns[[#This Row],[Owning Table]]&amp;"."&amp;meta_Columns[[#This Row],[Excel Column - Label]]</f>
        <v>meta::DocumentVersions.ID</v>
      </c>
      <c r="AZ154" s="22" t="s">
        <v>0</v>
      </c>
      <c r="BA154" s="8" t="str">
        <f>IF(TRIM(meta_Columns[[#This Row],[Excel Column - Label Overwrite]])&lt;&gt;"",meta_Columns[[#This Row],[Excel Column - Label Overwrite]],meta_Columns[[#This Row],[Excel Column - Label from Property or Referenced Table]])</f>
        <v>ID</v>
      </c>
      <c r="BB154" s="43"/>
      <c r="BC154" s="44" t="str">
        <f>IF(meta_Columns[[#This Row],[Excel Column - Explicit Excel Formula]]="","",meta_Columns[[#This Row],[Excel Column - Explicit Excel Formula]])</f>
        <v/>
      </c>
      <c r="BD154" s="5"/>
      <c r="BE154" s="5"/>
    </row>
    <row r="155" spans="1:57">
      <c r="A155" s="10" t="s">
        <v>1134</v>
      </c>
      <c r="B155" s="5" t="s">
        <v>546</v>
      </c>
      <c r="C155" s="22" t="str">
        <f xml:space="preserve"> IF( TRIM( meta_Columns[[#This Row],[Kind:src]] ) = "", "",
        INDEX( meta_Classifiers[Display Qualified], MATCH( meta_Columns[[#This Row],[Kind:src]], meta_Classifiers[ID], 0 ) ) )</f>
        <v>ExcelColumn</v>
      </c>
      <c r="D155" s="44" t="e">
        <f>IF(meta_Columns[[#This Row],[Owning Table:src]]="","",INDEX(meta_Classifiers[Package],MATCH(meta_Columns[[#This Row],[Owning Table Instances Class]],meta_Classifiers[ID],0)))</f>
        <v>#N/A</v>
      </c>
      <c r="E155" s="43"/>
      <c r="F155" s="8" t="str">
        <f>INDEX(meta_Tables[Excel Table - Excel Name],MATCH(meta_Columns[[#This Row],[Owning Table:src]],meta_Tables[ID],0))</f>
        <v>meta_DocumentVersions</v>
      </c>
      <c r="G155" s="44">
        <f>INDEX(meta_Tables[Instances Class:src],MATCH(meta_Columns[[#This Row],[Owning Table:src]],meta_Tables[ID],0))</f>
        <v>0</v>
      </c>
      <c r="H155" s="11" t="s">
        <v>1016</v>
      </c>
      <c r="I155" s="43" t="str">
        <f xml:space="preserve"> IF( TRIM( meta_Columns[[#This Row],[Owning Table:src]] ) = "", "",
        INDEX( meta_Tables[Display Qualified], MATCH( meta_Columns[[#This Row],[Owning Table:src]], meta_Tables[ID], 0 ) ) )</f>
        <v>meta::DocumentVersions</v>
      </c>
      <c r="K155" s="22" t="str">
        <f>IF(TRIM(meta_Columns[[#This Row],[Referenced Table:src]])="","",
    INDEX(meta_Tables[Display Qualified],MATCH(meta_Columns[[#This Row],[Referenced Table:src]],meta_Tables[ID],0)))</f>
        <v/>
      </c>
      <c r="L155" s="8"/>
      <c r="M155" s="22" t="str">
        <f xml:space="preserve"> IF( TRIM( meta_Columns[[#This Row],[Referenced Table Display and Select Column:src]] ) = "", "",
        INDEX( meta_Columns[Display Qualified], MATCH( meta_Columns[[#This Row],[Referenced Table Display and Select Column:src]], meta_Columns[ID], 0 ) ) )</f>
        <v/>
      </c>
      <c r="N155" s="8" t="str">
        <f>IF(meta_Columns[[#This Row],[Excel Column - Excel Formula]]="","x","")</f>
        <v>x</v>
      </c>
      <c r="O155" s="22"/>
      <c r="P155" s="8" t="str">
        <f>IF(meta_Columns[[#This Row],[Referenced Table:src]]="","",INDEX(meta_Tables[Instances Class],MATCH(meta_Columns[[#This Row],[Referenced Table:src]],meta_Tables[ID],0)))</f>
        <v/>
      </c>
      <c r="Q15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5" s="8"/>
      <c r="S155" s="22" t="str">
        <f xml:space="preserve"> IF( TRIM( meta_Columns[[#This Row],[Property:src]] ) = "", "",
        INDEX( meta_TypedModelElements[Display Qualified], MATCH( meta_Columns[[#This Row],[Property:src]], meta_TypedModelElements[ID], 0 ) ) )</f>
        <v/>
      </c>
      <c r="T155" s="22"/>
      <c r="U155" s="8" t="e">
        <f>INDEX(meta_Classifiers[Class - Generalization:src], MATCH(meta_Columns[[#This Row],[Generalization 5]],meta_Classifiers[ID],0))</f>
        <v>#N/A</v>
      </c>
      <c r="V155" s="8" t="e">
        <f>INDEX(meta_Classifiers[Class - Generalization:src], MATCH(meta_Columns[[#This Row],[Generalization 4]],meta_Classifiers[ID],0))</f>
        <v>#N/A</v>
      </c>
      <c r="W155" s="8" t="e">
        <f>INDEX(meta_Classifiers[Class - Generalization:src], MATCH(meta_Columns[[#This Row],[Generalization 3]],meta_Classifiers[ID],0))</f>
        <v>#N/A</v>
      </c>
      <c r="X155" s="8" t="e">
        <f>INDEX(meta_Classifiers[Class - Generalization:src], MATCH(meta_Columns[[#This Row],[Generalization 2]],meta_Classifiers[ID],0))</f>
        <v>#N/A</v>
      </c>
      <c r="Y155" s="8" t="e">
        <f>INDEX(meta_Classifiers[Class - Generalization:src], MATCH(meta_Columns[[#This Row],[Generalization 1]],meta_Classifiers[ID],0))</f>
        <v>#N/A</v>
      </c>
      <c r="Z155" s="8" t="e">
        <f>INDEX(meta_Classifiers[Class - Generalization:src], MATCH(meta_Columns[[#This Row],[Owning Table Instances Class]],meta_Classifiers[ID],0))</f>
        <v>#N/A</v>
      </c>
      <c r="AA1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5" s="8" t="b">
        <f>_xlfn.IFNA(
INDEX(meta_Classifiers[Class - Generalization:src],MATCH(
INDEX(meta_Classifiers[Class - Generalization:src],MATCH(meta_Columns[[#This Row],[Property Owning Class]],meta_Classifiers[ID],0)),meta_Classifiers[ID],0))
=meta_Columns[[#This Row],[Owning Table Instances Class]],FALSE)</f>
        <v>0</v>
      </c>
      <c r="AG155" s="8" t="b">
        <f>_xlfn.IFNA(INDEX(meta_Classifiers[Class - Generalization:src],MATCH(meta_Columns[[#This Row],[Property Owning Class]],meta_Classifiers[ID],0))=meta_Columns[[#This Row],[Owning Table Instances Class]],FALSE)</f>
        <v>0</v>
      </c>
      <c r="AH1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5" s="8" t="e">
        <f>INDEX(meta_Classifiers[Name],MATCH(INDEX(meta_TypedModelElements[Property - Owning Class:src],MATCH(meta_Columns[[#This Row],[Property]],meta_TypedModelElements[ID],0)),meta_Classifiers[ID],0))</f>
        <v>#N/A</v>
      </c>
      <c r="AJ155" s="8" t="e">
        <f>INDEX(meta_TypedModelElements[Property - Owning Class:src],MATCH(meta_Columns[[#This Row],[Property]],meta_TypedModelElements[ID],0))</f>
        <v>#N/A</v>
      </c>
      <c r="AK155" s="8" t="e">
        <f>INDEX(meta_TypedModelElements[Kind:src],MATCH(meta_Columns[[#This Row],[Property]],meta_TypedModelElements[ID],0))</f>
        <v>#N/A</v>
      </c>
      <c r="AL155" s="8" t="e">
        <f>INDEX(meta_TypedModelElements[Name or Type],MATCH(meta_Columns[[#This Row],[Property]],meta_TypedModelElements[ID],0))</f>
        <v>#N/A</v>
      </c>
      <c r="AM155" s="8" t="e">
        <f>INDEX(meta_TypedModelElements[Property - Changeable],MATCH(meta_Columns[[#This Row],[Property]],meta_TypedModelElements[ID],0))</f>
        <v>#N/A</v>
      </c>
      <c r="AN155" s="43">
        <v>2</v>
      </c>
      <c r="AO155" s="22">
        <v>2</v>
      </c>
      <c r="AP1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5" s="8" t="str">
        <f xml:space="preserve"> IF(meta_Columns[[#This Row],[Property Owning Class is Specialization of Instance Class]],meta_Columns[[#This Row],[Property Owning Class Name]]&amp;" - ","")</f>
        <v/>
      </c>
      <c r="AR1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55" s="8" t="str">
        <f>IFERROR(LEFT(meta_Columns[[#This Row],[Excel Column - Label Actual without Semantic Case]],FIND("-",
meta_Columns[[#This Row],[Excel Column - Label Actual without Semantic Case]])-2),"")</f>
        <v/>
      </c>
      <c r="AU1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55" s="22"/>
      <c r="AY155" s="8" t="str">
        <f>meta_Columns[[#This Row],[Owning Table]]&amp;"."&amp;meta_Columns[[#This Row],[Excel Column - Label]]</f>
        <v>meta::DocumentVersions.Name</v>
      </c>
      <c r="AZ155" s="22" t="s">
        <v>1</v>
      </c>
      <c r="BA155" s="8" t="str">
        <f>IF(TRIM(meta_Columns[[#This Row],[Excel Column - Label Overwrite]])&lt;&gt;"",meta_Columns[[#This Row],[Excel Column - Label Overwrite]],meta_Columns[[#This Row],[Excel Column - Label from Property or Referenced Table]])</f>
        <v>Name</v>
      </c>
      <c r="BB155" s="43"/>
      <c r="BC155" s="44" t="str">
        <f>IF(meta_Columns[[#This Row],[Excel Column - Explicit Excel Formula]]="","",meta_Columns[[#This Row],[Excel Column - Explicit Excel Formula]])</f>
        <v/>
      </c>
      <c r="BD155" s="5"/>
      <c r="BE155" s="5"/>
    </row>
    <row r="156" spans="1:57">
      <c r="A156" s="10" t="s">
        <v>1135</v>
      </c>
      <c r="B156" s="5" t="s">
        <v>546</v>
      </c>
      <c r="C156" s="22" t="str">
        <f xml:space="preserve"> IF( TRIM( meta_Columns[[#This Row],[Kind:src]] ) = "", "",
        INDEX( meta_Classifiers[Display Qualified], MATCH( meta_Columns[[#This Row],[Kind:src]], meta_Classifiers[ID], 0 ) ) )</f>
        <v>ExcelColumn</v>
      </c>
      <c r="D156" s="44" t="e">
        <f>IF(meta_Columns[[#This Row],[Owning Table:src]]="","",INDEX(meta_Classifiers[Package],MATCH(meta_Columns[[#This Row],[Owning Table Instances Class]],meta_Classifiers[ID],0)))</f>
        <v>#N/A</v>
      </c>
      <c r="E156" s="43"/>
      <c r="F156" s="8" t="str">
        <f>INDEX(meta_Tables[Excel Table - Excel Name],MATCH(meta_Columns[[#This Row],[Owning Table:src]],meta_Tables[ID],0))</f>
        <v>meta_DocumentVersions</v>
      </c>
      <c r="G156" s="44">
        <f>INDEX(meta_Tables[Instances Class:src],MATCH(meta_Columns[[#This Row],[Owning Table:src]],meta_Tables[ID],0))</f>
        <v>0</v>
      </c>
      <c r="H156" s="11" t="s">
        <v>1016</v>
      </c>
      <c r="I156" s="43" t="str">
        <f xml:space="preserve"> IF( TRIM( meta_Columns[[#This Row],[Owning Table:src]] ) = "", "",
        INDEX( meta_Tables[Display Qualified], MATCH( meta_Columns[[#This Row],[Owning Table:src]], meta_Tables[ID], 0 ) ) )</f>
        <v>meta::DocumentVersions</v>
      </c>
      <c r="K156" s="22" t="str">
        <f>IF(TRIM(meta_Columns[[#This Row],[Referenced Table:src]])="","",
    INDEX(meta_Tables[Display Qualified],MATCH(meta_Columns[[#This Row],[Referenced Table:src]],meta_Tables[ID],0)))</f>
        <v/>
      </c>
      <c r="L156" s="8"/>
      <c r="M156" s="22" t="str">
        <f xml:space="preserve"> IF( TRIM( meta_Columns[[#This Row],[Referenced Table Display and Select Column:src]] ) = "", "",
        INDEX( meta_Columns[Display Qualified], MATCH( meta_Columns[[#This Row],[Referenced Table Display and Select Column:src]], meta_Columns[ID], 0 ) ) )</f>
        <v/>
      </c>
      <c r="N156" s="8" t="str">
        <f>IF(meta_Columns[[#This Row],[Excel Column - Excel Formula]]="","x","")</f>
        <v>x</v>
      </c>
      <c r="O156" s="22"/>
      <c r="P156" s="8" t="str">
        <f>IF(meta_Columns[[#This Row],[Referenced Table:src]]="","",INDEX(meta_Tables[Instances Class],MATCH(meta_Columns[[#This Row],[Referenced Table:src]],meta_Tables[ID],0)))</f>
        <v/>
      </c>
      <c r="Q15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6" s="8"/>
      <c r="S156" s="22" t="str">
        <f xml:space="preserve"> IF( TRIM( meta_Columns[[#This Row],[Property:src]] ) = "", "",
        INDEX( meta_TypedModelElements[Display Qualified], MATCH( meta_Columns[[#This Row],[Property:src]], meta_TypedModelElements[ID], 0 ) ) )</f>
        <v/>
      </c>
      <c r="T156" s="22"/>
      <c r="U156" s="8" t="e">
        <f>INDEX(meta_Classifiers[Class - Generalization:src], MATCH(meta_Columns[[#This Row],[Generalization 5]],meta_Classifiers[ID],0))</f>
        <v>#N/A</v>
      </c>
      <c r="V156" s="8" t="e">
        <f>INDEX(meta_Classifiers[Class - Generalization:src], MATCH(meta_Columns[[#This Row],[Generalization 4]],meta_Classifiers[ID],0))</f>
        <v>#N/A</v>
      </c>
      <c r="W156" s="8" t="e">
        <f>INDEX(meta_Classifiers[Class - Generalization:src], MATCH(meta_Columns[[#This Row],[Generalization 3]],meta_Classifiers[ID],0))</f>
        <v>#N/A</v>
      </c>
      <c r="X156" s="8" t="e">
        <f>INDEX(meta_Classifiers[Class - Generalization:src], MATCH(meta_Columns[[#This Row],[Generalization 2]],meta_Classifiers[ID],0))</f>
        <v>#N/A</v>
      </c>
      <c r="Y156" s="8" t="e">
        <f>INDEX(meta_Classifiers[Class - Generalization:src], MATCH(meta_Columns[[#This Row],[Generalization 1]],meta_Classifiers[ID],0))</f>
        <v>#N/A</v>
      </c>
      <c r="Z156" s="8" t="e">
        <f>INDEX(meta_Classifiers[Class - Generalization:src], MATCH(meta_Columns[[#This Row],[Owning Table Instances Class]],meta_Classifiers[ID],0))</f>
        <v>#N/A</v>
      </c>
      <c r="AA1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6" s="8" t="b">
        <f>_xlfn.IFNA(
INDEX(meta_Classifiers[Class - Generalization:src],MATCH(
INDEX(meta_Classifiers[Class - Generalization:src],MATCH(meta_Columns[[#This Row],[Property Owning Class]],meta_Classifiers[ID],0)),meta_Classifiers[ID],0))
=meta_Columns[[#This Row],[Owning Table Instances Class]],FALSE)</f>
        <v>0</v>
      </c>
      <c r="AG156" s="8" t="b">
        <f>_xlfn.IFNA(INDEX(meta_Classifiers[Class - Generalization:src],MATCH(meta_Columns[[#This Row],[Property Owning Class]],meta_Classifiers[ID],0))=meta_Columns[[#This Row],[Owning Table Instances Class]],FALSE)</f>
        <v>0</v>
      </c>
      <c r="AH1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6" s="8" t="e">
        <f>INDEX(meta_Classifiers[Name],MATCH(INDEX(meta_TypedModelElements[Property - Owning Class:src],MATCH(meta_Columns[[#This Row],[Property]],meta_TypedModelElements[ID],0)),meta_Classifiers[ID],0))</f>
        <v>#N/A</v>
      </c>
      <c r="AJ156" s="8" t="e">
        <f>INDEX(meta_TypedModelElements[Property - Owning Class:src],MATCH(meta_Columns[[#This Row],[Property]],meta_TypedModelElements[ID],0))</f>
        <v>#N/A</v>
      </c>
      <c r="AK156" s="8" t="e">
        <f>INDEX(meta_TypedModelElements[Kind:src],MATCH(meta_Columns[[#This Row],[Property]],meta_TypedModelElements[ID],0))</f>
        <v>#N/A</v>
      </c>
      <c r="AL156" s="8" t="e">
        <f>INDEX(meta_TypedModelElements[Name or Type],MATCH(meta_Columns[[#This Row],[Property]],meta_TypedModelElements[ID],0))</f>
        <v>#N/A</v>
      </c>
      <c r="AM156" s="8" t="e">
        <f>INDEX(meta_TypedModelElements[Property - Changeable],MATCH(meta_Columns[[#This Row],[Property]],meta_TypedModelElements[ID],0))</f>
        <v>#N/A</v>
      </c>
      <c r="AN156" s="43">
        <v>3</v>
      </c>
      <c r="AO156" s="22">
        <v>3</v>
      </c>
      <c r="AP1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6" s="8" t="str">
        <f xml:space="preserve"> IF(meta_Columns[[#This Row],[Property Owning Class is Specialization of Instance Class]],meta_Columns[[#This Row],[Property Owning Class Name]]&amp;" - ","")</f>
        <v/>
      </c>
      <c r="AR1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Version</v>
      </c>
      <c r="AT156" s="8" t="str">
        <f>IFERROR(LEFT(meta_Columns[[#This Row],[Excel Column - Label Actual without Semantic Case]],FIND("-",
meta_Columns[[#This Row],[Excel Column - Label Actual without Semantic Case]])-2),"")</f>
        <v/>
      </c>
      <c r="AU1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Version</v>
      </c>
      <c r="AV1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Version</v>
      </c>
      <c r="AX156" s="22"/>
      <c r="AY156" s="8" t="str">
        <f>meta_Columns[[#This Row],[Owning Table]]&amp;"."&amp;meta_Columns[[#This Row],[Excel Column - Label]]</f>
        <v>meta::DocumentVersions.Version</v>
      </c>
      <c r="AZ156" s="22" t="s">
        <v>323</v>
      </c>
      <c r="BA156" s="8" t="str">
        <f>IF(TRIM(meta_Columns[[#This Row],[Excel Column - Label Overwrite]])&lt;&gt;"",meta_Columns[[#This Row],[Excel Column - Label Overwrite]],meta_Columns[[#This Row],[Excel Column - Label from Property or Referenced Table]])</f>
        <v>Version</v>
      </c>
      <c r="BB156" s="43"/>
      <c r="BC156" s="44" t="str">
        <f>IF(meta_Columns[[#This Row],[Excel Column - Explicit Excel Formula]]="","",meta_Columns[[#This Row],[Excel Column - Explicit Excel Formula]])</f>
        <v/>
      </c>
      <c r="BD156" s="5"/>
      <c r="BE156" s="5"/>
    </row>
    <row r="157" spans="1:57">
      <c r="A157" s="10" t="s">
        <v>1136</v>
      </c>
      <c r="B157" s="5" t="s">
        <v>546</v>
      </c>
      <c r="C157" s="22" t="str">
        <f xml:space="preserve"> IF( TRIM( meta_Columns[[#This Row],[Kind:src]] ) = "", "",
        INDEX( meta_Classifiers[Display Qualified], MATCH( meta_Columns[[#This Row],[Kind:src]], meta_Classifiers[ID], 0 ) ) )</f>
        <v>ExcelColumn</v>
      </c>
      <c r="D157" s="44" t="e">
        <f>IF(meta_Columns[[#This Row],[Owning Table:src]]="","",INDEX(meta_Classifiers[Package],MATCH(meta_Columns[[#This Row],[Owning Table Instances Class]],meta_Classifiers[ID],0)))</f>
        <v>#N/A</v>
      </c>
      <c r="E157" s="43"/>
      <c r="F157" s="8" t="str">
        <f>INDEX(meta_Tables[Excel Table - Excel Name],MATCH(meta_Columns[[#This Row],[Owning Table:src]],meta_Tables[ID],0))</f>
        <v>meta_DocumentVersions</v>
      </c>
      <c r="G157" s="44">
        <f>INDEX(meta_Tables[Instances Class:src],MATCH(meta_Columns[[#This Row],[Owning Table:src]],meta_Tables[ID],0))</f>
        <v>0</v>
      </c>
      <c r="H157" s="11" t="s">
        <v>1016</v>
      </c>
      <c r="I157" s="43" t="str">
        <f xml:space="preserve"> IF( TRIM( meta_Columns[[#This Row],[Owning Table:src]] ) = "", "",
        INDEX( meta_Tables[Display Qualified], MATCH( meta_Columns[[#This Row],[Owning Table:src]], meta_Tables[ID], 0 ) ) )</f>
        <v>meta::DocumentVersions</v>
      </c>
      <c r="K157" s="22" t="str">
        <f>IF(TRIM(meta_Columns[[#This Row],[Referenced Table:src]])="","",
    INDEX(meta_Tables[Display Qualified],MATCH(meta_Columns[[#This Row],[Referenced Table:src]],meta_Tables[ID],0)))</f>
        <v/>
      </c>
      <c r="L157" s="8"/>
      <c r="M157" s="22" t="str">
        <f xml:space="preserve"> IF( TRIM( meta_Columns[[#This Row],[Referenced Table Display and Select Column:src]] ) = "", "",
        INDEX( meta_Columns[Display Qualified], MATCH( meta_Columns[[#This Row],[Referenced Table Display and Select Column:src]], meta_Columns[ID], 0 ) ) )</f>
        <v/>
      </c>
      <c r="N157" s="8" t="str">
        <f>IF(meta_Columns[[#This Row],[Excel Column - Excel Formula]]="","x","")</f>
        <v>x</v>
      </c>
      <c r="O157" s="22"/>
      <c r="P157" s="8" t="str">
        <f>IF(meta_Columns[[#This Row],[Referenced Table:src]]="","",INDEX(meta_Tables[Instances Class],MATCH(meta_Columns[[#This Row],[Referenced Table:src]],meta_Tables[ID],0)))</f>
        <v/>
      </c>
      <c r="Q15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7" s="8"/>
      <c r="S157" s="22" t="str">
        <f xml:space="preserve"> IF( TRIM( meta_Columns[[#This Row],[Property:src]] ) = "", "",
        INDEX( meta_TypedModelElements[Display Qualified], MATCH( meta_Columns[[#This Row],[Property:src]], meta_TypedModelElements[ID], 0 ) ) )</f>
        <v/>
      </c>
      <c r="T157" s="22"/>
      <c r="U157" s="8" t="e">
        <f>INDEX(meta_Classifiers[Class - Generalization:src], MATCH(meta_Columns[[#This Row],[Generalization 5]],meta_Classifiers[ID],0))</f>
        <v>#N/A</v>
      </c>
      <c r="V157" s="8" t="e">
        <f>INDEX(meta_Classifiers[Class - Generalization:src], MATCH(meta_Columns[[#This Row],[Generalization 4]],meta_Classifiers[ID],0))</f>
        <v>#N/A</v>
      </c>
      <c r="W157" s="8" t="e">
        <f>INDEX(meta_Classifiers[Class - Generalization:src], MATCH(meta_Columns[[#This Row],[Generalization 3]],meta_Classifiers[ID],0))</f>
        <v>#N/A</v>
      </c>
      <c r="X157" s="8" t="e">
        <f>INDEX(meta_Classifiers[Class - Generalization:src], MATCH(meta_Columns[[#This Row],[Generalization 2]],meta_Classifiers[ID],0))</f>
        <v>#N/A</v>
      </c>
      <c r="Y157" s="8" t="e">
        <f>INDEX(meta_Classifiers[Class - Generalization:src], MATCH(meta_Columns[[#This Row],[Generalization 1]],meta_Classifiers[ID],0))</f>
        <v>#N/A</v>
      </c>
      <c r="Z157" s="8" t="e">
        <f>INDEX(meta_Classifiers[Class - Generalization:src], MATCH(meta_Columns[[#This Row],[Owning Table Instances Class]],meta_Classifiers[ID],0))</f>
        <v>#N/A</v>
      </c>
      <c r="AA1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7" s="8" t="b">
        <f>_xlfn.IFNA(
INDEX(meta_Classifiers[Class - Generalization:src],MATCH(
INDEX(meta_Classifiers[Class - Generalization:src],MATCH(meta_Columns[[#This Row],[Property Owning Class]],meta_Classifiers[ID],0)),meta_Classifiers[ID],0))
=meta_Columns[[#This Row],[Owning Table Instances Class]],FALSE)</f>
        <v>0</v>
      </c>
      <c r="AG157" s="8" t="b">
        <f>_xlfn.IFNA(INDEX(meta_Classifiers[Class - Generalization:src],MATCH(meta_Columns[[#This Row],[Property Owning Class]],meta_Classifiers[ID],0))=meta_Columns[[#This Row],[Owning Table Instances Class]],FALSE)</f>
        <v>0</v>
      </c>
      <c r="AH1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7" s="8" t="e">
        <f>INDEX(meta_Classifiers[Name],MATCH(INDEX(meta_TypedModelElements[Property - Owning Class:src],MATCH(meta_Columns[[#This Row],[Property]],meta_TypedModelElements[ID],0)),meta_Classifiers[ID],0))</f>
        <v>#N/A</v>
      </c>
      <c r="AJ157" s="8" t="e">
        <f>INDEX(meta_TypedModelElements[Property - Owning Class:src],MATCH(meta_Columns[[#This Row],[Property]],meta_TypedModelElements[ID],0))</f>
        <v>#N/A</v>
      </c>
      <c r="AK157" s="8" t="e">
        <f>INDEX(meta_TypedModelElements[Kind:src],MATCH(meta_Columns[[#This Row],[Property]],meta_TypedModelElements[ID],0))</f>
        <v>#N/A</v>
      </c>
      <c r="AL157" s="8" t="e">
        <f>INDEX(meta_TypedModelElements[Name or Type],MATCH(meta_Columns[[#This Row],[Property]],meta_TypedModelElements[ID],0))</f>
        <v>#N/A</v>
      </c>
      <c r="AM157" s="8" t="e">
        <f>INDEX(meta_TypedModelElements[Property - Changeable],MATCH(meta_Columns[[#This Row],[Property]],meta_TypedModelElements[ID],0))</f>
        <v>#N/A</v>
      </c>
      <c r="AN157" s="43">
        <v>4</v>
      </c>
      <c r="AO157" s="22">
        <v>4</v>
      </c>
      <c r="AP1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7" s="8" t="str">
        <f xml:space="preserve"> IF(meta_Columns[[#This Row],[Property Owning Class is Specialization of Instance Class]],meta_Columns[[#This Row],[Property Owning Class Name]]&amp;" - ","")</f>
        <v/>
      </c>
      <c r="AR1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Date Tag</v>
      </c>
      <c r="AT157" s="8" t="str">
        <f>IFERROR(LEFT(meta_Columns[[#This Row],[Excel Column - Label Actual without Semantic Case]],FIND("-",
meta_Columns[[#This Row],[Excel Column - Label Actual without Semantic Case]])-2),"")</f>
        <v/>
      </c>
      <c r="AU1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Date Tag</v>
      </c>
      <c r="AV1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Date Tag</v>
      </c>
      <c r="AX157" s="22"/>
      <c r="AY157" s="8" t="str">
        <f>meta_Columns[[#This Row],[Owning Table]]&amp;"."&amp;meta_Columns[[#This Row],[Excel Column - Label]]</f>
        <v>meta::DocumentVersions.Date Tag</v>
      </c>
      <c r="AZ157" s="22" t="s">
        <v>326</v>
      </c>
      <c r="BA157" s="8" t="str">
        <f>IF(TRIM(meta_Columns[[#This Row],[Excel Column - Label Overwrite]])&lt;&gt;"",meta_Columns[[#This Row],[Excel Column - Label Overwrite]],meta_Columns[[#This Row],[Excel Column - Label from Property or Referenced Table]])</f>
        <v>Date Tag</v>
      </c>
      <c r="BB157" s="43"/>
      <c r="BC157" s="44" t="str">
        <f>IF(meta_Columns[[#This Row],[Excel Column - Explicit Excel Formula]]="","",meta_Columns[[#This Row],[Excel Column - Explicit Excel Formula]])</f>
        <v/>
      </c>
      <c r="BD157" s="5"/>
      <c r="BE157" s="5"/>
    </row>
    <row r="158" spans="1:57">
      <c r="A158" s="10" t="s">
        <v>1137</v>
      </c>
      <c r="B158" s="5" t="s">
        <v>546</v>
      </c>
      <c r="C158" s="22" t="str">
        <f xml:space="preserve"> IF( TRIM( meta_Columns[[#This Row],[Kind:src]] ) = "", "",
        INDEX( meta_Classifiers[Display Qualified], MATCH( meta_Columns[[#This Row],[Kind:src]], meta_Classifiers[ID], 0 ) ) )</f>
        <v>ExcelColumn</v>
      </c>
      <c r="D158" s="44" t="e">
        <f>IF(meta_Columns[[#This Row],[Owning Table:src]]="","",INDEX(meta_Classifiers[Package],MATCH(meta_Columns[[#This Row],[Owning Table Instances Class]],meta_Classifiers[ID],0)))</f>
        <v>#N/A</v>
      </c>
      <c r="E158" s="43"/>
      <c r="F158" s="8" t="str">
        <f>INDEX(meta_Tables[Excel Table - Excel Name],MATCH(meta_Columns[[#This Row],[Owning Table:src]],meta_Tables[ID],0))</f>
        <v>meta_DocumentVersions</v>
      </c>
      <c r="G158" s="44">
        <f>INDEX(meta_Tables[Instances Class:src],MATCH(meta_Columns[[#This Row],[Owning Table:src]],meta_Tables[ID],0))</f>
        <v>0</v>
      </c>
      <c r="H158" s="11" t="s">
        <v>1016</v>
      </c>
      <c r="I158" s="43" t="str">
        <f xml:space="preserve"> IF( TRIM( meta_Columns[[#This Row],[Owning Table:src]] ) = "", "",
        INDEX( meta_Tables[Display Qualified], MATCH( meta_Columns[[#This Row],[Owning Table:src]], meta_Tables[ID], 0 ) ) )</f>
        <v>meta::DocumentVersions</v>
      </c>
      <c r="K158" s="22" t="str">
        <f>IF(TRIM(meta_Columns[[#This Row],[Referenced Table:src]])="","",
    INDEX(meta_Tables[Display Qualified],MATCH(meta_Columns[[#This Row],[Referenced Table:src]],meta_Tables[ID],0)))</f>
        <v/>
      </c>
      <c r="L158" s="8"/>
      <c r="M158" s="22" t="str">
        <f xml:space="preserve"> IF( TRIM( meta_Columns[[#This Row],[Referenced Table Display and Select Column:src]] ) = "", "",
        INDEX( meta_Columns[Display Qualified], MATCH( meta_Columns[[#This Row],[Referenced Table Display and Select Column:src]], meta_Columns[ID], 0 ) ) )</f>
        <v/>
      </c>
      <c r="N158" s="8" t="str">
        <f>IF(meta_Columns[[#This Row],[Excel Column - Excel Formula]]="","x","")</f>
        <v/>
      </c>
      <c r="O158" s="22"/>
      <c r="P158" s="8" t="str">
        <f>IF(meta_Columns[[#This Row],[Referenced Table:src]]="","",INDEX(meta_Tables[Instances Class],MATCH(meta_Columns[[#This Row],[Referenced Table:src]],meta_Tables[ID],0)))</f>
        <v/>
      </c>
      <c r="Q15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8" s="8"/>
      <c r="S158" s="22" t="str">
        <f xml:space="preserve"> IF( TRIM( meta_Columns[[#This Row],[Property:src]] ) = "", "",
        INDEX( meta_TypedModelElements[Display Qualified], MATCH( meta_Columns[[#This Row],[Property:src]], meta_TypedModelElements[ID], 0 ) ) )</f>
        <v/>
      </c>
      <c r="T158" s="22"/>
      <c r="U158" s="8" t="e">
        <f>INDEX(meta_Classifiers[Class - Generalization:src], MATCH(meta_Columns[[#This Row],[Generalization 5]],meta_Classifiers[ID],0))</f>
        <v>#N/A</v>
      </c>
      <c r="V158" s="8" t="e">
        <f>INDEX(meta_Classifiers[Class - Generalization:src], MATCH(meta_Columns[[#This Row],[Generalization 4]],meta_Classifiers[ID],0))</f>
        <v>#N/A</v>
      </c>
      <c r="W158" s="8" t="e">
        <f>INDEX(meta_Classifiers[Class - Generalization:src], MATCH(meta_Columns[[#This Row],[Generalization 3]],meta_Classifiers[ID],0))</f>
        <v>#N/A</v>
      </c>
      <c r="X158" s="8" t="e">
        <f>INDEX(meta_Classifiers[Class - Generalization:src], MATCH(meta_Columns[[#This Row],[Generalization 2]],meta_Classifiers[ID],0))</f>
        <v>#N/A</v>
      </c>
      <c r="Y158" s="8" t="e">
        <f>INDEX(meta_Classifiers[Class - Generalization:src], MATCH(meta_Columns[[#This Row],[Generalization 1]],meta_Classifiers[ID],0))</f>
        <v>#N/A</v>
      </c>
      <c r="Z158" s="8" t="e">
        <f>INDEX(meta_Classifiers[Class - Generalization:src], MATCH(meta_Columns[[#This Row],[Owning Table Instances Class]],meta_Classifiers[ID],0))</f>
        <v>#N/A</v>
      </c>
      <c r="AA1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8" s="8" t="b">
        <f>_xlfn.IFNA(
INDEX(meta_Classifiers[Class - Generalization:src],MATCH(
INDEX(meta_Classifiers[Class - Generalization:src],MATCH(meta_Columns[[#This Row],[Property Owning Class]],meta_Classifiers[ID],0)),meta_Classifiers[ID],0))
=meta_Columns[[#This Row],[Owning Table Instances Class]],FALSE)</f>
        <v>0</v>
      </c>
      <c r="AG158" s="8" t="b">
        <f>_xlfn.IFNA(INDEX(meta_Classifiers[Class - Generalization:src],MATCH(meta_Columns[[#This Row],[Property Owning Class]],meta_Classifiers[ID],0))=meta_Columns[[#This Row],[Owning Table Instances Class]],FALSE)</f>
        <v>0</v>
      </c>
      <c r="AH1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8" s="8" t="e">
        <f>INDEX(meta_Classifiers[Name],MATCH(INDEX(meta_TypedModelElements[Property - Owning Class:src],MATCH(meta_Columns[[#This Row],[Property]],meta_TypedModelElements[ID],0)),meta_Classifiers[ID],0))</f>
        <v>#N/A</v>
      </c>
      <c r="AJ158" s="8" t="e">
        <f>INDEX(meta_TypedModelElements[Property - Owning Class:src],MATCH(meta_Columns[[#This Row],[Property]],meta_TypedModelElements[ID],0))</f>
        <v>#N/A</v>
      </c>
      <c r="AK158" s="8" t="e">
        <f>INDEX(meta_TypedModelElements[Kind:src],MATCH(meta_Columns[[#This Row],[Property]],meta_TypedModelElements[ID],0))</f>
        <v>#N/A</v>
      </c>
      <c r="AL158" s="8" t="e">
        <f>INDEX(meta_TypedModelElements[Name or Type],MATCH(meta_Columns[[#This Row],[Property]],meta_TypedModelElements[ID],0))</f>
        <v>#N/A</v>
      </c>
      <c r="AM158" s="8" t="e">
        <f>INDEX(meta_TypedModelElements[Property - Changeable],MATCH(meta_Columns[[#This Row],[Property]],meta_TypedModelElements[ID],0))</f>
        <v>#N/A</v>
      </c>
      <c r="AN158" s="43">
        <v>5</v>
      </c>
      <c r="AO158" s="22"/>
      <c r="AP1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8" s="8" t="str">
        <f xml:space="preserve"> IF(meta_Columns[[#This Row],[Property Owning Class is Specialization of Instance Class]],meta_Columns[[#This Row],[Property Owning Class Name]]&amp;" - ","")</f>
        <v/>
      </c>
      <c r="AR1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File Name</v>
      </c>
      <c r="AT158" s="8" t="str">
        <f>IFERROR(LEFT(meta_Columns[[#This Row],[Excel Column - Label Actual without Semantic Case]],FIND("-",
meta_Columns[[#This Row],[Excel Column - Label Actual without Semantic Case]])-2),"")</f>
        <v/>
      </c>
      <c r="AU1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File Name</v>
      </c>
      <c r="AV1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File Name</v>
      </c>
      <c r="AX158" s="22"/>
      <c r="AY158" s="8" t="str">
        <f>meta_Columns[[#This Row],[Owning Table]]&amp;"."&amp;meta_Columns[[#This Row],[Excel Column - Label]]</f>
        <v>meta::DocumentVersions.File Name</v>
      </c>
      <c r="AZ158" s="22" t="s">
        <v>322</v>
      </c>
      <c r="BA158" s="8" t="str">
        <f>IF(TRIM(meta_Columns[[#This Row],[Excel Column - Label Overwrite]])&lt;&gt;"",meta_Columns[[#This Row],[Excel Column - Label Overwrite]],meta_Columns[[#This Row],[Excel Column - Label from Property or Referenced Table]])</f>
        <v>File Name</v>
      </c>
      <c r="BB158" s="43" t="s">
        <v>872</v>
      </c>
      <c r="BC158" s="44" t="str">
        <f>IF(meta_Columns[[#This Row],[Excel Column - Explicit Excel Formula]]="","",meta_Columns[[#This Row],[Excel Column - Explicit Excel Formula]])</f>
        <v>Formula:=[@[Date Tag]]&amp;"_"&amp;[@Name]&amp;"_"&amp;[@Version]&amp;".xlsm"</v>
      </c>
      <c r="BD158" s="5"/>
      <c r="BE158" s="5"/>
    </row>
    <row r="159" spans="1:57">
      <c r="A159" s="10" t="s">
        <v>1138</v>
      </c>
      <c r="B159" s="5" t="s">
        <v>546</v>
      </c>
      <c r="C159" s="22" t="str">
        <f xml:space="preserve"> IF( TRIM( meta_Columns[[#This Row],[Kind:src]] ) = "", "",
        INDEX( meta_Classifiers[Display Qualified], MATCH( meta_Columns[[#This Row],[Kind:src]], meta_Classifiers[ID], 0 ) ) )</f>
        <v>ExcelColumn</v>
      </c>
      <c r="D159" s="44" t="e">
        <f>IF(meta_Columns[[#This Row],[Owning Table:src]]="","",INDEX(meta_Classifiers[Package],MATCH(meta_Columns[[#This Row],[Owning Table Instances Class]],meta_Classifiers[ID],0)))</f>
        <v>#N/A</v>
      </c>
      <c r="E159" s="43"/>
      <c r="F159" s="8" t="str">
        <f>INDEX(meta_Tables[Excel Table - Excel Name],MATCH(meta_Columns[[#This Row],[Owning Table:src]],meta_Tables[ID],0))</f>
        <v>meta_DocumentVersions</v>
      </c>
      <c r="G159" s="44">
        <f>INDEX(meta_Tables[Instances Class:src],MATCH(meta_Columns[[#This Row],[Owning Table:src]],meta_Tables[ID],0))</f>
        <v>0</v>
      </c>
      <c r="H159" s="11" t="s">
        <v>1016</v>
      </c>
      <c r="I159" s="43" t="str">
        <f xml:space="preserve"> IF( TRIM( meta_Columns[[#This Row],[Owning Table:src]] ) = "", "",
        INDEX( meta_Tables[Display Qualified], MATCH( meta_Columns[[#This Row],[Owning Table:src]], meta_Tables[ID], 0 ) ) )</f>
        <v>meta::DocumentVersions</v>
      </c>
      <c r="K159" s="22" t="str">
        <f>IF(TRIM(meta_Columns[[#This Row],[Referenced Table:src]])="","",
    INDEX(meta_Tables[Display Qualified],MATCH(meta_Columns[[#This Row],[Referenced Table:src]],meta_Tables[ID],0)))</f>
        <v/>
      </c>
      <c r="L159" s="8"/>
      <c r="M159" s="22" t="str">
        <f xml:space="preserve"> IF( TRIM( meta_Columns[[#This Row],[Referenced Table Display and Select Column:src]] ) = "", "",
        INDEX( meta_Columns[Display Qualified], MATCH( meta_Columns[[#This Row],[Referenced Table Display and Select Column:src]], meta_Columns[ID], 0 ) ) )</f>
        <v/>
      </c>
      <c r="N159" s="8" t="str">
        <f>IF(meta_Columns[[#This Row],[Excel Column - Excel Formula]]="","x","")</f>
        <v>x</v>
      </c>
      <c r="O159" s="22"/>
      <c r="P159" s="8" t="str">
        <f>IF(meta_Columns[[#This Row],[Referenced Table:src]]="","",INDEX(meta_Tables[Instances Class],MATCH(meta_Columns[[#This Row],[Referenced Table:src]],meta_Tables[ID],0)))</f>
        <v/>
      </c>
      <c r="Q15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9" s="8"/>
      <c r="S159" s="22" t="str">
        <f xml:space="preserve"> IF( TRIM( meta_Columns[[#This Row],[Property:src]] ) = "", "",
        INDEX( meta_TypedModelElements[Display Qualified], MATCH( meta_Columns[[#This Row],[Property:src]], meta_TypedModelElements[ID], 0 ) ) )</f>
        <v/>
      </c>
      <c r="T159" s="22"/>
      <c r="U159" s="8" t="e">
        <f>INDEX(meta_Classifiers[Class - Generalization:src], MATCH(meta_Columns[[#This Row],[Generalization 5]],meta_Classifiers[ID],0))</f>
        <v>#N/A</v>
      </c>
      <c r="V159" s="8" t="e">
        <f>INDEX(meta_Classifiers[Class - Generalization:src], MATCH(meta_Columns[[#This Row],[Generalization 4]],meta_Classifiers[ID],0))</f>
        <v>#N/A</v>
      </c>
      <c r="W159" s="8" t="e">
        <f>INDEX(meta_Classifiers[Class - Generalization:src], MATCH(meta_Columns[[#This Row],[Generalization 3]],meta_Classifiers[ID],0))</f>
        <v>#N/A</v>
      </c>
      <c r="X159" s="8" t="e">
        <f>INDEX(meta_Classifiers[Class - Generalization:src], MATCH(meta_Columns[[#This Row],[Generalization 2]],meta_Classifiers[ID],0))</f>
        <v>#N/A</v>
      </c>
      <c r="Y159" s="8" t="e">
        <f>INDEX(meta_Classifiers[Class - Generalization:src], MATCH(meta_Columns[[#This Row],[Generalization 1]],meta_Classifiers[ID],0))</f>
        <v>#N/A</v>
      </c>
      <c r="Z159" s="8" t="e">
        <f>INDEX(meta_Classifiers[Class - Generalization:src], MATCH(meta_Columns[[#This Row],[Owning Table Instances Class]],meta_Classifiers[ID],0))</f>
        <v>#N/A</v>
      </c>
      <c r="AA1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9" s="8" t="b">
        <f>_xlfn.IFNA(
INDEX(meta_Classifiers[Class - Generalization:src],MATCH(
INDEX(meta_Classifiers[Class - Generalization:src],MATCH(meta_Columns[[#This Row],[Property Owning Class]],meta_Classifiers[ID],0)),meta_Classifiers[ID],0))
=meta_Columns[[#This Row],[Owning Table Instances Class]],FALSE)</f>
        <v>0</v>
      </c>
      <c r="AG159" s="8" t="b">
        <f>_xlfn.IFNA(INDEX(meta_Classifiers[Class - Generalization:src],MATCH(meta_Columns[[#This Row],[Property Owning Class]],meta_Classifiers[ID],0))=meta_Columns[[#This Row],[Owning Table Instances Class]],FALSE)</f>
        <v>0</v>
      </c>
      <c r="AH1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9" s="8" t="e">
        <f>INDEX(meta_Classifiers[Name],MATCH(INDEX(meta_TypedModelElements[Property - Owning Class:src],MATCH(meta_Columns[[#This Row],[Property]],meta_TypedModelElements[ID],0)),meta_Classifiers[ID],0))</f>
        <v>#N/A</v>
      </c>
      <c r="AJ159" s="8" t="e">
        <f>INDEX(meta_TypedModelElements[Property - Owning Class:src],MATCH(meta_Columns[[#This Row],[Property]],meta_TypedModelElements[ID],0))</f>
        <v>#N/A</v>
      </c>
      <c r="AK159" s="8" t="e">
        <f>INDEX(meta_TypedModelElements[Kind:src],MATCH(meta_Columns[[#This Row],[Property]],meta_TypedModelElements[ID],0))</f>
        <v>#N/A</v>
      </c>
      <c r="AL159" s="8" t="e">
        <f>INDEX(meta_TypedModelElements[Name or Type],MATCH(meta_Columns[[#This Row],[Property]],meta_TypedModelElements[ID],0))</f>
        <v>#N/A</v>
      </c>
      <c r="AM159" s="8" t="e">
        <f>INDEX(meta_TypedModelElements[Property - Changeable],MATCH(meta_Columns[[#This Row],[Property]],meta_TypedModelElements[ID],0))</f>
        <v>#N/A</v>
      </c>
      <c r="AN159" s="43">
        <v>6</v>
      </c>
      <c r="AO159" s="22">
        <v>5</v>
      </c>
      <c r="AP1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9" s="8" t="str">
        <f xml:space="preserve"> IF(meta_Columns[[#This Row],[Property Owning Class is Specialization of Instance Class]],meta_Columns[[#This Row],[Property Owning Class Name]]&amp;" - ","")</f>
        <v/>
      </c>
      <c r="AR1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 Log</v>
      </c>
      <c r="AT159" s="8" t="str">
        <f>IFERROR(LEFT(meta_Columns[[#This Row],[Excel Column - Label Actual without Semantic Case]],FIND("-",
meta_Columns[[#This Row],[Excel Column - Label Actual without Semantic Case]])-2),"")</f>
        <v/>
      </c>
      <c r="AU1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 Log</v>
      </c>
      <c r="AV1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 Log</v>
      </c>
      <c r="AX159" s="22"/>
      <c r="AY159" s="8" t="str">
        <f>meta_Columns[[#This Row],[Owning Table]]&amp;"."&amp;meta_Columns[[#This Row],[Excel Column - Label]]</f>
        <v>meta::DocumentVersions.Change Log</v>
      </c>
      <c r="AZ159" s="22" t="s">
        <v>327</v>
      </c>
      <c r="BA159" s="8" t="str">
        <f>IF(TRIM(meta_Columns[[#This Row],[Excel Column - Label Overwrite]])&lt;&gt;"",meta_Columns[[#This Row],[Excel Column - Label Overwrite]],meta_Columns[[#This Row],[Excel Column - Label from Property or Referenced Table]])</f>
        <v>Change Log</v>
      </c>
      <c r="BB159" s="43"/>
      <c r="BC159" s="44" t="str">
        <f>IF(meta_Columns[[#This Row],[Excel Column - Explicit Excel Formula]]="","",meta_Columns[[#This Row],[Excel Column - Explicit Excel Formula]])</f>
        <v/>
      </c>
      <c r="BD159" s="5"/>
      <c r="BE159" s="5"/>
    </row>
    <row r="160" spans="1:57">
      <c r="A160" s="10" t="s">
        <v>1139</v>
      </c>
      <c r="B160" s="5" t="s">
        <v>546</v>
      </c>
      <c r="C160" s="22" t="str">
        <f xml:space="preserve"> IF( TRIM( meta_Columns[[#This Row],[Kind:src]] ) = "", "",
        INDEX( meta_Classifiers[Display Qualified], MATCH( meta_Columns[[#This Row],[Kind:src]], meta_Classifiers[ID], 0 ) ) )</f>
        <v>ExcelColumn</v>
      </c>
      <c r="D160" s="44" t="e">
        <f>IF(meta_Columns[[#This Row],[Owning Table:src]]="","",INDEX(meta_Classifiers[Package],MATCH(meta_Columns[[#This Row],[Owning Table Instances Class]],meta_Classifiers[ID],0)))</f>
        <v>#N/A</v>
      </c>
      <c r="E160" s="43"/>
      <c r="F160" s="8" t="str">
        <f>INDEX(meta_Tables[Excel Table - Excel Name],MATCH(meta_Columns[[#This Row],[Owning Table:src]],meta_Tables[ID],0))</f>
        <v>meta_DocumentVersions</v>
      </c>
      <c r="G160" s="44">
        <f>INDEX(meta_Tables[Instances Class:src],MATCH(meta_Columns[[#This Row],[Owning Table:src]],meta_Tables[ID],0))</f>
        <v>0</v>
      </c>
      <c r="H160" s="11" t="s">
        <v>1016</v>
      </c>
      <c r="I160" s="43" t="str">
        <f xml:space="preserve"> IF( TRIM( meta_Columns[[#This Row],[Owning Table:src]] ) = "", "",
        INDEX( meta_Tables[Display Qualified], MATCH( meta_Columns[[#This Row],[Owning Table:src]], meta_Tables[ID], 0 ) ) )</f>
        <v>meta::DocumentVersions</v>
      </c>
      <c r="K160" s="22" t="str">
        <f>IF(TRIM(meta_Columns[[#This Row],[Referenced Table:src]])="","",
    INDEX(meta_Tables[Display Qualified],MATCH(meta_Columns[[#This Row],[Referenced Table:src]],meta_Tables[ID],0)))</f>
        <v/>
      </c>
      <c r="L160" s="8"/>
      <c r="M160" s="22" t="str">
        <f xml:space="preserve"> IF( TRIM( meta_Columns[[#This Row],[Referenced Table Display and Select Column:src]] ) = "", "",
        INDEX( meta_Columns[Display Qualified], MATCH( meta_Columns[[#This Row],[Referenced Table Display and Select Column:src]], meta_Columns[ID], 0 ) ) )</f>
        <v/>
      </c>
      <c r="N160" s="8" t="str">
        <f>IF(meta_Columns[[#This Row],[Excel Column - Excel Formula]]="","x","")</f>
        <v>x</v>
      </c>
      <c r="O160" s="22"/>
      <c r="P160" s="8" t="str">
        <f>IF(meta_Columns[[#This Row],[Referenced Table:src]]="","",INDEX(meta_Tables[Instances Class],MATCH(meta_Columns[[#This Row],[Referenced Table:src]],meta_Tables[ID],0)))</f>
        <v/>
      </c>
      <c r="Q16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0" s="8"/>
      <c r="S160" s="22" t="str">
        <f xml:space="preserve"> IF( TRIM( meta_Columns[[#This Row],[Property:src]] ) = "", "",
        INDEX( meta_TypedModelElements[Display Qualified], MATCH( meta_Columns[[#This Row],[Property:src]], meta_TypedModelElements[ID], 0 ) ) )</f>
        <v/>
      </c>
      <c r="T160" s="22"/>
      <c r="U160" s="8" t="e">
        <f>INDEX(meta_Classifiers[Class - Generalization:src], MATCH(meta_Columns[[#This Row],[Generalization 5]],meta_Classifiers[ID],0))</f>
        <v>#N/A</v>
      </c>
      <c r="V160" s="8" t="e">
        <f>INDEX(meta_Classifiers[Class - Generalization:src], MATCH(meta_Columns[[#This Row],[Generalization 4]],meta_Classifiers[ID],0))</f>
        <v>#N/A</v>
      </c>
      <c r="W160" s="8" t="e">
        <f>INDEX(meta_Classifiers[Class - Generalization:src], MATCH(meta_Columns[[#This Row],[Generalization 3]],meta_Classifiers[ID],0))</f>
        <v>#N/A</v>
      </c>
      <c r="X160" s="8" t="e">
        <f>INDEX(meta_Classifiers[Class - Generalization:src], MATCH(meta_Columns[[#This Row],[Generalization 2]],meta_Classifiers[ID],0))</f>
        <v>#N/A</v>
      </c>
      <c r="Y160" s="8" t="e">
        <f>INDEX(meta_Classifiers[Class - Generalization:src], MATCH(meta_Columns[[#This Row],[Generalization 1]],meta_Classifiers[ID],0))</f>
        <v>#N/A</v>
      </c>
      <c r="Z160" s="8" t="e">
        <f>INDEX(meta_Classifiers[Class - Generalization:src], MATCH(meta_Columns[[#This Row],[Owning Table Instances Class]],meta_Classifiers[ID],0))</f>
        <v>#N/A</v>
      </c>
      <c r="AA1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0" s="8" t="b">
        <f>_xlfn.IFNA(
INDEX(meta_Classifiers[Class - Generalization:src],MATCH(
INDEX(meta_Classifiers[Class - Generalization:src],MATCH(meta_Columns[[#This Row],[Property Owning Class]],meta_Classifiers[ID],0)),meta_Classifiers[ID],0))
=meta_Columns[[#This Row],[Owning Table Instances Class]],FALSE)</f>
        <v>0</v>
      </c>
      <c r="AG160" s="8" t="b">
        <f>_xlfn.IFNA(INDEX(meta_Classifiers[Class - Generalization:src],MATCH(meta_Columns[[#This Row],[Property Owning Class]],meta_Classifiers[ID],0))=meta_Columns[[#This Row],[Owning Table Instances Class]],FALSE)</f>
        <v>0</v>
      </c>
      <c r="AH1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0" s="8" t="e">
        <f>INDEX(meta_Classifiers[Name],MATCH(INDEX(meta_TypedModelElements[Property - Owning Class:src],MATCH(meta_Columns[[#This Row],[Property]],meta_TypedModelElements[ID],0)),meta_Classifiers[ID],0))</f>
        <v>#N/A</v>
      </c>
      <c r="AJ160" s="8" t="e">
        <f>INDEX(meta_TypedModelElements[Property - Owning Class:src],MATCH(meta_Columns[[#This Row],[Property]],meta_TypedModelElements[ID],0))</f>
        <v>#N/A</v>
      </c>
      <c r="AK160" s="8" t="e">
        <f>INDEX(meta_TypedModelElements[Kind:src],MATCH(meta_Columns[[#This Row],[Property]],meta_TypedModelElements[ID],0))</f>
        <v>#N/A</v>
      </c>
      <c r="AL160" s="8" t="e">
        <f>INDEX(meta_TypedModelElements[Name or Type],MATCH(meta_Columns[[#This Row],[Property]],meta_TypedModelElements[ID],0))</f>
        <v>#N/A</v>
      </c>
      <c r="AM160" s="8" t="e">
        <f>INDEX(meta_TypedModelElements[Property - Changeable],MATCH(meta_Columns[[#This Row],[Property]],meta_TypedModelElements[ID],0))</f>
        <v>#N/A</v>
      </c>
      <c r="AN160" s="43">
        <v>7</v>
      </c>
      <c r="AO160" s="22">
        <v>6</v>
      </c>
      <c r="AP1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0" s="8" t="str">
        <f xml:space="preserve"> IF(meta_Columns[[#This Row],[Property Owning Class is Specialization of Instance Class]],meta_Columns[[#This Row],[Property Owning Class Name]]&amp;" - ","")</f>
        <v/>
      </c>
      <c r="AR1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Branch of Document</v>
      </c>
      <c r="AT160" s="8" t="str">
        <f>IFERROR(LEFT(meta_Columns[[#This Row],[Excel Column - Label Actual without Semantic Case]],FIND("-",
meta_Columns[[#This Row],[Excel Column - Label Actual without Semantic Case]])-2),"")</f>
        <v/>
      </c>
      <c r="AU1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Branch of Document</v>
      </c>
      <c r="AV1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Branch of Document</v>
      </c>
      <c r="AX160" s="22"/>
      <c r="AY160" s="8" t="str">
        <f>meta_Columns[[#This Row],[Owning Table]]&amp;"."&amp;meta_Columns[[#This Row],[Excel Column - Label]]</f>
        <v>meta::DocumentVersions.Branch of Document</v>
      </c>
      <c r="AZ160" s="22" t="s">
        <v>329</v>
      </c>
      <c r="BA160" s="8" t="str">
        <f>IF(TRIM(meta_Columns[[#This Row],[Excel Column - Label Overwrite]])&lt;&gt;"",meta_Columns[[#This Row],[Excel Column - Label Overwrite]],meta_Columns[[#This Row],[Excel Column - Label from Property or Referenced Table]])</f>
        <v>Branch of Document</v>
      </c>
      <c r="BB160" s="43"/>
      <c r="BC160" s="44" t="str">
        <f>IF(meta_Columns[[#This Row],[Excel Column - Explicit Excel Formula]]="","",meta_Columns[[#This Row],[Excel Column - Explicit Excel Formula]])</f>
        <v/>
      </c>
      <c r="BD160" s="5"/>
      <c r="BE160" s="5"/>
    </row>
    <row r="161" spans="1:57">
      <c r="A161" s="10" t="s">
        <v>1140</v>
      </c>
      <c r="B161" s="5" t="s">
        <v>546</v>
      </c>
      <c r="C161" s="22" t="str">
        <f xml:space="preserve"> IF( TRIM( meta_Columns[[#This Row],[Kind:src]] ) = "", "",
        INDEX( meta_Classifiers[Display Qualified], MATCH( meta_Columns[[#This Row],[Kind:src]], meta_Classifiers[ID], 0 ) ) )</f>
        <v>ExcelColumn</v>
      </c>
      <c r="D161" s="44" t="e">
        <f>IF(meta_Columns[[#This Row],[Owning Table:src]]="","",INDEX(meta_Classifiers[Package],MATCH(meta_Columns[[#This Row],[Owning Table Instances Class]],meta_Classifiers[ID],0)))</f>
        <v>#N/A</v>
      </c>
      <c r="E161" s="43"/>
      <c r="F161" s="8" t="str">
        <f>INDEX(meta_Tables[Excel Table - Excel Name],MATCH(meta_Columns[[#This Row],[Owning Table:src]],meta_Tables[ID],0))</f>
        <v>meta_DocumentVersions</v>
      </c>
      <c r="G161" s="44">
        <f>INDEX(meta_Tables[Instances Class:src],MATCH(meta_Columns[[#This Row],[Owning Table:src]],meta_Tables[ID],0))</f>
        <v>0</v>
      </c>
      <c r="H161" s="11" t="s">
        <v>1016</v>
      </c>
      <c r="I161" s="43" t="str">
        <f xml:space="preserve"> IF( TRIM( meta_Columns[[#This Row],[Owning Table:src]] ) = "", "",
        INDEX( meta_Tables[Display Qualified], MATCH( meta_Columns[[#This Row],[Owning Table:src]], meta_Tables[ID], 0 ) ) )</f>
        <v>meta::DocumentVersions</v>
      </c>
      <c r="K161" s="22" t="str">
        <f>IF(TRIM(meta_Columns[[#This Row],[Referenced Table:src]])="","",
    INDEX(meta_Tables[Display Qualified],MATCH(meta_Columns[[#This Row],[Referenced Table:src]],meta_Tables[ID],0)))</f>
        <v/>
      </c>
      <c r="L161" s="8"/>
      <c r="M161" s="22" t="str">
        <f xml:space="preserve"> IF( TRIM( meta_Columns[[#This Row],[Referenced Table Display and Select Column:src]] ) = "", "",
        INDEX( meta_Columns[Display Qualified], MATCH( meta_Columns[[#This Row],[Referenced Table Display and Select Column:src]], meta_Columns[ID], 0 ) ) )</f>
        <v/>
      </c>
      <c r="N161" s="8" t="str">
        <f>IF(meta_Columns[[#This Row],[Excel Column - Excel Formula]]="","x","")</f>
        <v>x</v>
      </c>
      <c r="O161" s="22"/>
      <c r="P161" s="8" t="str">
        <f>IF(meta_Columns[[#This Row],[Referenced Table:src]]="","",INDEX(meta_Tables[Instances Class],MATCH(meta_Columns[[#This Row],[Referenced Table:src]],meta_Tables[ID],0)))</f>
        <v/>
      </c>
      <c r="Q16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1" s="8"/>
      <c r="S161" s="22" t="str">
        <f xml:space="preserve"> IF( TRIM( meta_Columns[[#This Row],[Property:src]] ) = "", "",
        INDEX( meta_TypedModelElements[Display Qualified], MATCH( meta_Columns[[#This Row],[Property:src]], meta_TypedModelElements[ID], 0 ) ) )</f>
        <v/>
      </c>
      <c r="T161" s="22"/>
      <c r="U161" s="8" t="e">
        <f>INDEX(meta_Classifiers[Class - Generalization:src], MATCH(meta_Columns[[#This Row],[Generalization 5]],meta_Classifiers[ID],0))</f>
        <v>#N/A</v>
      </c>
      <c r="V161" s="8" t="e">
        <f>INDEX(meta_Classifiers[Class - Generalization:src], MATCH(meta_Columns[[#This Row],[Generalization 4]],meta_Classifiers[ID],0))</f>
        <v>#N/A</v>
      </c>
      <c r="W161" s="8" t="e">
        <f>INDEX(meta_Classifiers[Class - Generalization:src], MATCH(meta_Columns[[#This Row],[Generalization 3]],meta_Classifiers[ID],0))</f>
        <v>#N/A</v>
      </c>
      <c r="X161" s="8" t="e">
        <f>INDEX(meta_Classifiers[Class - Generalization:src], MATCH(meta_Columns[[#This Row],[Generalization 2]],meta_Classifiers[ID],0))</f>
        <v>#N/A</v>
      </c>
      <c r="Y161" s="8" t="e">
        <f>INDEX(meta_Classifiers[Class - Generalization:src], MATCH(meta_Columns[[#This Row],[Generalization 1]],meta_Classifiers[ID],0))</f>
        <v>#N/A</v>
      </c>
      <c r="Z161" s="8" t="e">
        <f>INDEX(meta_Classifiers[Class - Generalization:src], MATCH(meta_Columns[[#This Row],[Owning Table Instances Class]],meta_Classifiers[ID],0))</f>
        <v>#N/A</v>
      </c>
      <c r="AA1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1" s="8" t="b">
        <f>_xlfn.IFNA(
INDEX(meta_Classifiers[Class - Generalization:src],MATCH(
INDEX(meta_Classifiers[Class - Generalization:src],MATCH(meta_Columns[[#This Row],[Property Owning Class]],meta_Classifiers[ID],0)),meta_Classifiers[ID],0))
=meta_Columns[[#This Row],[Owning Table Instances Class]],FALSE)</f>
        <v>0</v>
      </c>
      <c r="AG161" s="8" t="b">
        <f>_xlfn.IFNA(INDEX(meta_Classifiers[Class - Generalization:src],MATCH(meta_Columns[[#This Row],[Property Owning Class]],meta_Classifiers[ID],0))=meta_Columns[[#This Row],[Owning Table Instances Class]],FALSE)</f>
        <v>0</v>
      </c>
      <c r="AH1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1" s="8" t="e">
        <f>INDEX(meta_Classifiers[Name],MATCH(INDEX(meta_TypedModelElements[Property - Owning Class:src],MATCH(meta_Columns[[#This Row],[Property]],meta_TypedModelElements[ID],0)),meta_Classifiers[ID],0))</f>
        <v>#N/A</v>
      </c>
      <c r="AJ161" s="8" t="e">
        <f>INDEX(meta_TypedModelElements[Property - Owning Class:src],MATCH(meta_Columns[[#This Row],[Property]],meta_TypedModelElements[ID],0))</f>
        <v>#N/A</v>
      </c>
      <c r="AK161" s="8" t="e">
        <f>INDEX(meta_TypedModelElements[Kind:src],MATCH(meta_Columns[[#This Row],[Property]],meta_TypedModelElements[ID],0))</f>
        <v>#N/A</v>
      </c>
      <c r="AL161" s="8" t="e">
        <f>INDEX(meta_TypedModelElements[Name or Type],MATCH(meta_Columns[[#This Row],[Property]],meta_TypedModelElements[ID],0))</f>
        <v>#N/A</v>
      </c>
      <c r="AM161" s="8" t="e">
        <f>INDEX(meta_TypedModelElements[Property - Changeable],MATCH(meta_Columns[[#This Row],[Property]],meta_TypedModelElements[ID],0))</f>
        <v>#N/A</v>
      </c>
      <c r="AN161" s="43">
        <v>8</v>
      </c>
      <c r="AO161" s="22">
        <v>7</v>
      </c>
      <c r="AP1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1" s="8" t="str">
        <f xml:space="preserve"> IF(meta_Columns[[#This Row],[Property Owning Class is Specialization of Instance Class]],meta_Columns[[#This Row],[Property Owning Class Name]]&amp;" - ","")</f>
        <v/>
      </c>
      <c r="AR1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Create Branch</v>
      </c>
      <c r="AT161" s="8" t="str">
        <f>IFERROR(LEFT(meta_Columns[[#This Row],[Excel Column - Label Actual without Semantic Case]],FIND("-",
meta_Columns[[#This Row],[Excel Column - Label Actual without Semantic Case]])-2),"")</f>
        <v/>
      </c>
      <c r="AU1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Create Branch</v>
      </c>
      <c r="AV1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Create Branch</v>
      </c>
      <c r="AX161" s="22"/>
      <c r="AY161" s="8" t="str">
        <f>meta_Columns[[#This Row],[Owning Table]]&amp;"."&amp;meta_Columns[[#This Row],[Excel Column - Label]]</f>
        <v>meta::DocumentVersions.Create Branch</v>
      </c>
      <c r="AZ161" s="22" t="s">
        <v>320</v>
      </c>
      <c r="BA161" s="8" t="str">
        <f>IF(TRIM(meta_Columns[[#This Row],[Excel Column - Label Overwrite]])&lt;&gt;"",meta_Columns[[#This Row],[Excel Column - Label Overwrite]],meta_Columns[[#This Row],[Excel Column - Label from Property or Referenced Table]])</f>
        <v>Create Branch</v>
      </c>
      <c r="BB161" s="43"/>
      <c r="BC161" s="44" t="str">
        <f>IF(meta_Columns[[#This Row],[Excel Column - Explicit Excel Formula]]="","",meta_Columns[[#This Row],[Excel Column - Explicit Excel Formula]])</f>
        <v/>
      </c>
      <c r="BD161" s="5"/>
      <c r="BE161" s="5"/>
    </row>
    <row r="162" spans="1:57">
      <c r="A162" s="10" t="s">
        <v>1141</v>
      </c>
      <c r="B162" s="5" t="s">
        <v>546</v>
      </c>
      <c r="C162" s="22" t="str">
        <f xml:space="preserve"> IF( TRIM( meta_Columns[[#This Row],[Kind:src]] ) = "", "",
        INDEX( meta_Classifiers[Display Qualified], MATCH( meta_Columns[[#This Row],[Kind:src]], meta_Classifiers[ID], 0 ) ) )</f>
        <v>ExcelColumn</v>
      </c>
      <c r="D162" s="44" t="e">
        <f>IF(meta_Columns[[#This Row],[Owning Table:src]]="","",INDEX(meta_Classifiers[Package],MATCH(meta_Columns[[#This Row],[Owning Table Instances Class]],meta_Classifiers[ID],0)))</f>
        <v>#N/A</v>
      </c>
      <c r="E162" s="43"/>
      <c r="F162" s="8" t="str">
        <f>INDEX(meta_Tables[Excel Table - Excel Name],MATCH(meta_Columns[[#This Row],[Owning Table:src]],meta_Tables[ID],0))</f>
        <v>meta_DocumentVersions</v>
      </c>
      <c r="G162" s="44">
        <f>INDEX(meta_Tables[Instances Class:src],MATCH(meta_Columns[[#This Row],[Owning Table:src]],meta_Tables[ID],0))</f>
        <v>0</v>
      </c>
      <c r="H162" s="11" t="s">
        <v>1016</v>
      </c>
      <c r="I162" s="43" t="str">
        <f xml:space="preserve"> IF( TRIM( meta_Columns[[#This Row],[Owning Table:src]] ) = "", "",
        INDEX( meta_Tables[Display Qualified], MATCH( meta_Columns[[#This Row],[Owning Table:src]], meta_Tables[ID], 0 ) ) )</f>
        <v>meta::DocumentVersions</v>
      </c>
      <c r="K162" s="22" t="str">
        <f>IF(TRIM(meta_Columns[[#This Row],[Referenced Table:src]])="","",
    INDEX(meta_Tables[Display Qualified],MATCH(meta_Columns[[#This Row],[Referenced Table:src]],meta_Tables[ID],0)))</f>
        <v/>
      </c>
      <c r="L162" s="8"/>
      <c r="M162" s="22" t="str">
        <f xml:space="preserve"> IF( TRIM( meta_Columns[[#This Row],[Referenced Table Display and Select Column:src]] ) = "", "",
        INDEX( meta_Columns[Display Qualified], MATCH( meta_Columns[[#This Row],[Referenced Table Display and Select Column:src]], meta_Columns[ID], 0 ) ) )</f>
        <v/>
      </c>
      <c r="N162" s="8" t="str">
        <f>IF(meta_Columns[[#This Row],[Excel Column - Excel Formula]]="","x","")</f>
        <v>x</v>
      </c>
      <c r="O162" s="22"/>
      <c r="P162" s="8" t="str">
        <f>IF(meta_Columns[[#This Row],[Referenced Table:src]]="","",INDEX(meta_Tables[Instances Class],MATCH(meta_Columns[[#This Row],[Referenced Table:src]],meta_Tables[ID],0)))</f>
        <v/>
      </c>
      <c r="Q16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2" s="8"/>
      <c r="S162" s="22" t="str">
        <f xml:space="preserve"> IF( TRIM( meta_Columns[[#This Row],[Property:src]] ) = "", "",
        INDEX( meta_TypedModelElements[Display Qualified], MATCH( meta_Columns[[#This Row],[Property:src]], meta_TypedModelElements[ID], 0 ) ) )</f>
        <v/>
      </c>
      <c r="T162" s="22"/>
      <c r="U162" s="8" t="e">
        <f>INDEX(meta_Classifiers[Class - Generalization:src], MATCH(meta_Columns[[#This Row],[Generalization 5]],meta_Classifiers[ID],0))</f>
        <v>#N/A</v>
      </c>
      <c r="V162" s="8" t="e">
        <f>INDEX(meta_Classifiers[Class - Generalization:src], MATCH(meta_Columns[[#This Row],[Generalization 4]],meta_Classifiers[ID],0))</f>
        <v>#N/A</v>
      </c>
      <c r="W162" s="8" t="e">
        <f>INDEX(meta_Classifiers[Class - Generalization:src], MATCH(meta_Columns[[#This Row],[Generalization 3]],meta_Classifiers[ID],0))</f>
        <v>#N/A</v>
      </c>
      <c r="X162" s="8" t="e">
        <f>INDEX(meta_Classifiers[Class - Generalization:src], MATCH(meta_Columns[[#This Row],[Generalization 2]],meta_Classifiers[ID],0))</f>
        <v>#N/A</v>
      </c>
      <c r="Y162" s="8" t="e">
        <f>INDEX(meta_Classifiers[Class - Generalization:src], MATCH(meta_Columns[[#This Row],[Generalization 1]],meta_Classifiers[ID],0))</f>
        <v>#N/A</v>
      </c>
      <c r="Z162" s="8" t="e">
        <f>INDEX(meta_Classifiers[Class - Generalization:src], MATCH(meta_Columns[[#This Row],[Owning Table Instances Class]],meta_Classifiers[ID],0))</f>
        <v>#N/A</v>
      </c>
      <c r="AA1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2" s="8" t="b">
        <f>_xlfn.IFNA(
INDEX(meta_Classifiers[Class - Generalization:src],MATCH(
INDEX(meta_Classifiers[Class - Generalization:src],MATCH(meta_Columns[[#This Row],[Property Owning Class]],meta_Classifiers[ID],0)),meta_Classifiers[ID],0))
=meta_Columns[[#This Row],[Owning Table Instances Class]],FALSE)</f>
        <v>0</v>
      </c>
      <c r="AG162" s="8" t="b">
        <f>_xlfn.IFNA(INDEX(meta_Classifiers[Class - Generalization:src],MATCH(meta_Columns[[#This Row],[Property Owning Class]],meta_Classifiers[ID],0))=meta_Columns[[#This Row],[Owning Table Instances Class]],FALSE)</f>
        <v>0</v>
      </c>
      <c r="AH1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2" s="8" t="e">
        <f>INDEX(meta_Classifiers[Name],MATCH(INDEX(meta_TypedModelElements[Property - Owning Class:src],MATCH(meta_Columns[[#This Row],[Property]],meta_TypedModelElements[ID],0)),meta_Classifiers[ID],0))</f>
        <v>#N/A</v>
      </c>
      <c r="AJ162" s="8" t="e">
        <f>INDEX(meta_TypedModelElements[Property - Owning Class:src],MATCH(meta_Columns[[#This Row],[Property]],meta_TypedModelElements[ID],0))</f>
        <v>#N/A</v>
      </c>
      <c r="AK162" s="8" t="e">
        <f>INDEX(meta_TypedModelElements[Kind:src],MATCH(meta_Columns[[#This Row],[Property]],meta_TypedModelElements[ID],0))</f>
        <v>#N/A</v>
      </c>
      <c r="AL162" s="8" t="e">
        <f>INDEX(meta_TypedModelElements[Name or Type],MATCH(meta_Columns[[#This Row],[Property]],meta_TypedModelElements[ID],0))</f>
        <v>#N/A</v>
      </c>
      <c r="AM162" s="8" t="e">
        <f>INDEX(meta_TypedModelElements[Property - Changeable],MATCH(meta_Columns[[#This Row],[Property]],meta_TypedModelElements[ID],0))</f>
        <v>#N/A</v>
      </c>
      <c r="AN162" s="43">
        <v>9</v>
      </c>
      <c r="AO162" s="22">
        <v>8</v>
      </c>
      <c r="AP1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2" s="8" t="str">
        <f xml:space="preserve"> IF(meta_Columns[[#This Row],[Property Owning Class is Specialization of Instance Class]],meta_Columns[[#This Row],[Property Owning Class Name]]&amp;" - ","")</f>
        <v/>
      </c>
      <c r="AR1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Merge Branch</v>
      </c>
      <c r="AT162" s="8" t="str">
        <f>IFERROR(LEFT(meta_Columns[[#This Row],[Excel Column - Label Actual without Semantic Case]],FIND("-",
meta_Columns[[#This Row],[Excel Column - Label Actual without Semantic Case]])-2),"")</f>
        <v/>
      </c>
      <c r="AU1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Merge Branch</v>
      </c>
      <c r="AV1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Merge Branch</v>
      </c>
      <c r="AX162" s="22"/>
      <c r="AY162" s="8" t="str">
        <f>meta_Columns[[#This Row],[Owning Table]]&amp;"."&amp;meta_Columns[[#This Row],[Excel Column - Label]]</f>
        <v>meta::DocumentVersions.Merge Branch</v>
      </c>
      <c r="AZ162" s="22" t="s">
        <v>328</v>
      </c>
      <c r="BA162" s="8" t="str">
        <f>IF(TRIM(meta_Columns[[#This Row],[Excel Column - Label Overwrite]])&lt;&gt;"",meta_Columns[[#This Row],[Excel Column - Label Overwrite]],meta_Columns[[#This Row],[Excel Column - Label from Property or Referenced Table]])</f>
        <v>Merge Branch</v>
      </c>
      <c r="BB162" s="43"/>
      <c r="BC162" s="44" t="str">
        <f>IF(meta_Columns[[#This Row],[Excel Column - Explicit Excel Formula]]="","",meta_Columns[[#This Row],[Excel Column - Explicit Excel Formula]])</f>
        <v/>
      </c>
      <c r="BD162" s="5"/>
      <c r="BE162" s="5"/>
    </row>
    <row r="163" spans="1:57">
      <c r="A163" s="10" t="s">
        <v>1142</v>
      </c>
      <c r="B163" s="5" t="s">
        <v>546</v>
      </c>
      <c r="C163" s="22" t="str">
        <f xml:space="preserve"> IF( TRIM( meta_Columns[[#This Row],[Kind:src]] ) = "", "",
        INDEX( meta_Classifiers[Display Qualified], MATCH( meta_Columns[[#This Row],[Kind:src]], meta_Classifiers[ID], 0 ) ) )</f>
        <v>ExcelColumn</v>
      </c>
      <c r="D163" s="44" t="e">
        <f>IF(meta_Columns[[#This Row],[Owning Table:src]]="","",INDEX(meta_Classifiers[Package],MATCH(meta_Columns[[#This Row],[Owning Table Instances Class]],meta_Classifiers[ID],0)))</f>
        <v>#N/A</v>
      </c>
      <c r="E163" s="43"/>
      <c r="F163" s="8" t="str">
        <f>INDEX(meta_Tables[Excel Table - Excel Name],MATCH(meta_Columns[[#This Row],[Owning Table:src]],meta_Tables[ID],0))</f>
        <v>meta_DocumentVersions</v>
      </c>
      <c r="G163" s="44">
        <f>INDEX(meta_Tables[Instances Class:src],MATCH(meta_Columns[[#This Row],[Owning Table:src]],meta_Tables[ID],0))</f>
        <v>0</v>
      </c>
      <c r="H163" s="11" t="s">
        <v>1016</v>
      </c>
      <c r="I163" s="43" t="str">
        <f xml:space="preserve"> IF( TRIM( meta_Columns[[#This Row],[Owning Table:src]] ) = "", "",
        INDEX( meta_Tables[Display Qualified], MATCH( meta_Columns[[#This Row],[Owning Table:src]], meta_Tables[ID], 0 ) ) )</f>
        <v>meta::DocumentVersions</v>
      </c>
      <c r="K163" s="22" t="str">
        <f>IF(TRIM(meta_Columns[[#This Row],[Referenced Table:src]])="","",
    INDEX(meta_Tables[Display Qualified],MATCH(meta_Columns[[#This Row],[Referenced Table:src]],meta_Tables[ID],0)))</f>
        <v/>
      </c>
      <c r="L163" s="8"/>
      <c r="M163" s="22" t="str">
        <f xml:space="preserve"> IF( TRIM( meta_Columns[[#This Row],[Referenced Table Display and Select Column:src]] ) = "", "",
        INDEX( meta_Columns[Display Qualified], MATCH( meta_Columns[[#This Row],[Referenced Table Display and Select Column:src]], meta_Columns[ID], 0 ) ) )</f>
        <v/>
      </c>
      <c r="N163" s="8" t="str">
        <f>IF(meta_Columns[[#This Row],[Excel Column - Excel Formula]]="","x","")</f>
        <v>x</v>
      </c>
      <c r="O163" s="22"/>
      <c r="P163" s="8" t="str">
        <f>IF(meta_Columns[[#This Row],[Referenced Table:src]]="","",INDEX(meta_Tables[Instances Class],MATCH(meta_Columns[[#This Row],[Referenced Table:src]],meta_Tables[ID],0)))</f>
        <v/>
      </c>
      <c r="Q16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3" s="8"/>
      <c r="S163" s="22" t="str">
        <f xml:space="preserve"> IF( TRIM( meta_Columns[[#This Row],[Property:src]] ) = "", "",
        INDEX( meta_TypedModelElements[Display Qualified], MATCH( meta_Columns[[#This Row],[Property:src]], meta_TypedModelElements[ID], 0 ) ) )</f>
        <v/>
      </c>
      <c r="T163" s="22"/>
      <c r="U163" s="8" t="e">
        <f>INDEX(meta_Classifiers[Class - Generalization:src], MATCH(meta_Columns[[#This Row],[Generalization 5]],meta_Classifiers[ID],0))</f>
        <v>#N/A</v>
      </c>
      <c r="V163" s="8" t="e">
        <f>INDEX(meta_Classifiers[Class - Generalization:src], MATCH(meta_Columns[[#This Row],[Generalization 4]],meta_Classifiers[ID],0))</f>
        <v>#N/A</v>
      </c>
      <c r="W163" s="8" t="e">
        <f>INDEX(meta_Classifiers[Class - Generalization:src], MATCH(meta_Columns[[#This Row],[Generalization 3]],meta_Classifiers[ID],0))</f>
        <v>#N/A</v>
      </c>
      <c r="X163" s="8" t="e">
        <f>INDEX(meta_Classifiers[Class - Generalization:src], MATCH(meta_Columns[[#This Row],[Generalization 2]],meta_Classifiers[ID],0))</f>
        <v>#N/A</v>
      </c>
      <c r="Y163" s="8" t="e">
        <f>INDEX(meta_Classifiers[Class - Generalization:src], MATCH(meta_Columns[[#This Row],[Generalization 1]],meta_Classifiers[ID],0))</f>
        <v>#N/A</v>
      </c>
      <c r="Z163" s="8" t="e">
        <f>INDEX(meta_Classifiers[Class - Generalization:src], MATCH(meta_Columns[[#This Row],[Owning Table Instances Class]],meta_Classifiers[ID],0))</f>
        <v>#N/A</v>
      </c>
      <c r="AA1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3" s="8" t="b">
        <f>_xlfn.IFNA(
INDEX(meta_Classifiers[Class - Generalization:src],MATCH(
INDEX(meta_Classifiers[Class - Generalization:src],MATCH(meta_Columns[[#This Row],[Property Owning Class]],meta_Classifiers[ID],0)),meta_Classifiers[ID],0))
=meta_Columns[[#This Row],[Owning Table Instances Class]],FALSE)</f>
        <v>0</v>
      </c>
      <c r="AG163" s="8" t="b">
        <f>_xlfn.IFNA(INDEX(meta_Classifiers[Class - Generalization:src],MATCH(meta_Columns[[#This Row],[Property Owning Class]],meta_Classifiers[ID],0))=meta_Columns[[#This Row],[Owning Table Instances Class]],FALSE)</f>
        <v>0</v>
      </c>
      <c r="AH1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3" s="8" t="e">
        <f>INDEX(meta_Classifiers[Name],MATCH(INDEX(meta_TypedModelElements[Property - Owning Class:src],MATCH(meta_Columns[[#This Row],[Property]],meta_TypedModelElements[ID],0)),meta_Classifiers[ID],0))</f>
        <v>#N/A</v>
      </c>
      <c r="AJ163" s="8" t="e">
        <f>INDEX(meta_TypedModelElements[Property - Owning Class:src],MATCH(meta_Columns[[#This Row],[Property]],meta_TypedModelElements[ID],0))</f>
        <v>#N/A</v>
      </c>
      <c r="AK163" s="8" t="e">
        <f>INDEX(meta_TypedModelElements[Kind:src],MATCH(meta_Columns[[#This Row],[Property]],meta_TypedModelElements[ID],0))</f>
        <v>#N/A</v>
      </c>
      <c r="AL163" s="8" t="e">
        <f>INDEX(meta_TypedModelElements[Name or Type],MATCH(meta_Columns[[#This Row],[Property]],meta_TypedModelElements[ID],0))</f>
        <v>#N/A</v>
      </c>
      <c r="AM163" s="8" t="e">
        <f>INDEX(meta_TypedModelElements[Property - Changeable],MATCH(meta_Columns[[#This Row],[Property]],meta_TypedModelElements[ID],0))</f>
        <v>#N/A</v>
      </c>
      <c r="AN163" s="43">
        <v>10</v>
      </c>
      <c r="AO163" s="22">
        <v>9</v>
      </c>
      <c r="AP1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3" s="8" t="str">
        <f xml:space="preserve"> IF(meta_Columns[[#This Row],[Property Owning Class is Specialization of Instance Class]],meta_Columns[[#This Row],[Property Owning Class Name]]&amp;" - ","")</f>
        <v/>
      </c>
      <c r="AR1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Freeze Version</v>
      </c>
      <c r="AT163" s="8" t="str">
        <f>IFERROR(LEFT(meta_Columns[[#This Row],[Excel Column - Label Actual without Semantic Case]],FIND("-",
meta_Columns[[#This Row],[Excel Column - Label Actual without Semantic Case]])-2),"")</f>
        <v/>
      </c>
      <c r="AU1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Freeze Version</v>
      </c>
      <c r="AV1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Freeze Version</v>
      </c>
      <c r="AX163" s="22"/>
      <c r="AY163" s="8" t="str">
        <f>meta_Columns[[#This Row],[Owning Table]]&amp;"."&amp;meta_Columns[[#This Row],[Excel Column - Label]]</f>
        <v>meta::DocumentVersions.Freeze Version</v>
      </c>
      <c r="AZ163" s="22" t="s">
        <v>330</v>
      </c>
      <c r="BA163" s="8" t="str">
        <f>IF(TRIM(meta_Columns[[#This Row],[Excel Column - Label Overwrite]])&lt;&gt;"",meta_Columns[[#This Row],[Excel Column - Label Overwrite]],meta_Columns[[#This Row],[Excel Column - Label from Property or Referenced Table]])</f>
        <v>Freeze Version</v>
      </c>
      <c r="BB163" s="43"/>
      <c r="BC163" s="44" t="str">
        <f>IF(meta_Columns[[#This Row],[Excel Column - Explicit Excel Formula]]="","",meta_Columns[[#This Row],[Excel Column - Explicit Excel Formula]])</f>
        <v/>
      </c>
      <c r="BD163" s="5"/>
      <c r="BE163" s="5"/>
    </row>
    <row r="164" spans="1:57">
      <c r="A164" s="10" t="s">
        <v>1143</v>
      </c>
      <c r="B164" s="5" t="s">
        <v>546</v>
      </c>
      <c r="C164" s="22" t="str">
        <f xml:space="preserve"> IF( TRIM( meta_Columns[[#This Row],[Kind:src]] ) = "", "",
        INDEX( meta_Classifiers[Display Qualified], MATCH( meta_Columns[[#This Row],[Kind:src]], meta_Classifiers[ID], 0 ) ) )</f>
        <v>ExcelColumn</v>
      </c>
      <c r="D164" s="44" t="str">
        <f>IF(meta_Columns[[#This Row],[Owning Table:src]]="","",INDEX(meta_Classifiers[Package],MATCH(meta_Columns[[#This Row],[Owning Table Instances Class]],meta_Classifiers[ID],0)))</f>
        <v>meta</v>
      </c>
      <c r="E164" s="43"/>
      <c r="F164" s="8" t="str">
        <f>INDEX(meta_Tables[Excel Table - Excel Name],MATCH(meta_Columns[[#This Row],[Owning Table:src]],meta_Tables[ID],0))</f>
        <v>meta_Literals</v>
      </c>
      <c r="G164" s="44" t="str">
        <f>INDEX(meta_Tables[Instances Class:src],MATCH(meta_Columns[[#This Row],[Owning Table:src]],meta_Tables[ID],0))</f>
        <v>_Literal</v>
      </c>
      <c r="H164" s="11" t="s">
        <v>1015</v>
      </c>
      <c r="I164" s="43" t="str">
        <f xml:space="preserve"> IF( TRIM( meta_Columns[[#This Row],[Owning Table:src]] ) = "", "",
        INDEX( meta_Tables[Display Qualified], MATCH( meta_Columns[[#This Row],[Owning Table:src]], meta_Tables[ID], 0 ) ) )</f>
        <v>meta::Literals</v>
      </c>
      <c r="K164" s="22" t="str">
        <f>IF(TRIM(meta_Columns[[#This Row],[Referenced Table:src]])="","",
    INDEX(meta_Tables[Display Qualified],MATCH(meta_Columns[[#This Row],[Referenced Table:src]],meta_Tables[ID],0)))</f>
        <v/>
      </c>
      <c r="L164" s="8"/>
      <c r="M164" s="22" t="str">
        <f xml:space="preserve"> IF( TRIM( meta_Columns[[#This Row],[Referenced Table Display and Select Column:src]] ) = "", "",
        INDEX( meta_Columns[Display Qualified], MATCH( meta_Columns[[#This Row],[Referenced Table Display and Select Column:src]], meta_Columns[ID], 0 ) ) )</f>
        <v/>
      </c>
      <c r="N164" s="8" t="str">
        <f>IF(meta_Columns[[#This Row],[Excel Column - Excel Formula]]="","x","")</f>
        <v>x</v>
      </c>
      <c r="O164" s="22"/>
      <c r="P164" s="8" t="str">
        <f>IF(meta_Columns[[#This Row],[Referenced Table:src]]="","",INDEX(meta_Tables[Instances Class],MATCH(meta_Columns[[#This Row],[Referenced Table:src]],meta_Tables[ID],0)))</f>
        <v/>
      </c>
      <c r="Q1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4" s="8" t="s">
        <v>246</v>
      </c>
      <c r="S164" s="22" t="str">
        <f xml:space="preserve"> IF( TRIM( meta_Columns[[#This Row],[Property:src]] ) = "", "",
        INDEX( meta_TypedModelElements[Display Qualified], MATCH( meta_Columns[[#This Row],[Property:src]], meta_TypedModelElements[ID], 0 ) ) )</f>
        <v>meta::Object.iD</v>
      </c>
      <c r="T164" s="22"/>
      <c r="U164" s="8" t="e">
        <f>INDEX(meta_Classifiers[Class - Generalization:src], MATCH(meta_Columns[[#This Row],[Generalization 5]],meta_Classifiers[ID],0))</f>
        <v>#N/A</v>
      </c>
      <c r="V164" s="8" t="e">
        <f>INDEX(meta_Classifiers[Class - Generalization:src], MATCH(meta_Columns[[#This Row],[Generalization 4]],meta_Classifiers[ID],0))</f>
        <v>#N/A</v>
      </c>
      <c r="W164" s="8" t="e">
        <f>INDEX(meta_Classifiers[Class - Generalization:src], MATCH(meta_Columns[[#This Row],[Generalization 3]],meta_Classifiers[ID],0))</f>
        <v>#N/A</v>
      </c>
      <c r="X164" s="8" t="str">
        <f>INDEX(meta_Classifiers[Class - Generalization:src], MATCH(meta_Columns[[#This Row],[Generalization 2]],meta_Classifiers[ID],0))</f>
        <v/>
      </c>
      <c r="Y164" s="8" t="str">
        <f>INDEX(meta_Classifiers[Class - Generalization:src], MATCH(meta_Columns[[#This Row],[Generalization 1]],meta_Classifiers[ID],0))</f>
        <v>_Object</v>
      </c>
      <c r="Z164" s="8" t="str">
        <f>INDEX(meta_Classifiers[Class - Generalization:src], MATCH(meta_Columns[[#This Row],[Owning Table Instances Class]],meta_Classifiers[ID],0))</f>
        <v>_NamedElement</v>
      </c>
      <c r="AA1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4" s="8" t="b">
        <f>_xlfn.IFNA(
INDEX(meta_Classifiers[Class - Generalization:src],MATCH(
INDEX(meta_Classifiers[Class - Generalization:src],MATCH(meta_Columns[[#This Row],[Property Owning Class]],meta_Classifiers[ID],0)),meta_Classifiers[ID],0))
=meta_Columns[[#This Row],[Owning Table Instances Class]],FALSE)</f>
        <v>0</v>
      </c>
      <c r="AG164" s="8" t="b">
        <f>_xlfn.IFNA(INDEX(meta_Classifiers[Class - Generalization:src],MATCH(meta_Columns[[#This Row],[Property Owning Class]],meta_Classifiers[ID],0))=meta_Columns[[#This Row],[Owning Table Instances Class]],FALSE)</f>
        <v>0</v>
      </c>
      <c r="AH1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4" s="8" t="str">
        <f>INDEX(meta_Classifiers[Name],MATCH(INDEX(meta_TypedModelElements[Property - Owning Class:src],MATCH(meta_Columns[[#This Row],[Property]],meta_TypedModelElements[ID],0)),meta_Classifiers[ID],0))</f>
        <v>Object</v>
      </c>
      <c r="AJ164" s="8" t="str">
        <f>INDEX(meta_TypedModelElements[Property - Owning Class:src],MATCH(meta_Columns[[#This Row],[Property]],meta_TypedModelElements[ID],0))</f>
        <v>_Object</v>
      </c>
      <c r="AK164" s="8" t="str">
        <f>INDEX(meta_TypedModelElements[Kind:src],MATCH(meta_Columns[[#This Row],[Property]],meta_TypedModelElements[ID],0))</f>
        <v>_Attribute</v>
      </c>
      <c r="AL164" s="8" t="str">
        <f>INDEX(meta_TypedModelElements[Name or Type],MATCH(meta_Columns[[#This Row],[Property]],meta_TypedModelElements[ID],0))</f>
        <v>ID</v>
      </c>
      <c r="AM164" s="8" t="str">
        <f>INDEX(meta_TypedModelElements[Property - Changeable],MATCH(meta_Columns[[#This Row],[Property]],meta_TypedModelElements[ID],0))</f>
        <v>x</v>
      </c>
      <c r="AN164" s="43">
        <v>1</v>
      </c>
      <c r="AO164" s="22">
        <v>1</v>
      </c>
      <c r="AP1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64" s="8" t="str">
        <f xml:space="preserve"> IF(meta_Columns[[#This Row],[Property Owning Class is Specialization of Instance Class]],meta_Columns[[#This Row],[Property Owning Class Name]]&amp;" - ","")</f>
        <v/>
      </c>
      <c r="AR1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64" s="8" t="str">
        <f>IFERROR(LEFT(meta_Columns[[#This Row],[Excel Column - Label Actual without Semantic Case]],FIND("-",
meta_Columns[[#This Row],[Excel Column - Label Actual without Semantic Case]])-2),"")</f>
        <v/>
      </c>
      <c r="AU1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64" s="22"/>
      <c r="AY164" s="8" t="str">
        <f>meta_Columns[[#This Row],[Owning Table]]&amp;"."&amp;meta_Columns[[#This Row],[Excel Column - Label]]</f>
        <v>meta::Literals.ID</v>
      </c>
      <c r="AZ164" s="22" t="s">
        <v>0</v>
      </c>
      <c r="BA164" s="8" t="str">
        <f>IF(TRIM(meta_Columns[[#This Row],[Excel Column - Label Overwrite]])&lt;&gt;"",meta_Columns[[#This Row],[Excel Column - Label Overwrite]],meta_Columns[[#This Row],[Excel Column - Label from Property or Referenced Table]])</f>
        <v>ID</v>
      </c>
      <c r="BB164" s="43"/>
      <c r="BC164" s="44" t="str">
        <f>IF(meta_Columns[[#This Row],[Excel Column - Explicit Excel Formula]]="","",meta_Columns[[#This Row],[Excel Column - Explicit Excel Formula]])</f>
        <v/>
      </c>
      <c r="BD164" s="5"/>
      <c r="BE164" s="5"/>
    </row>
    <row r="165" spans="1:57">
      <c r="A165" s="10" t="s">
        <v>1844</v>
      </c>
      <c r="B165" s="5" t="s">
        <v>546</v>
      </c>
      <c r="C165" s="22" t="str">
        <f xml:space="preserve"> IF( TRIM( meta_Columns[[#This Row],[Kind:src]] ) = "", "",
        INDEX( meta_Classifiers[Display Qualified], MATCH( meta_Columns[[#This Row],[Kind:src]], meta_Classifiers[ID], 0 ) ) )</f>
        <v>ExcelColumn</v>
      </c>
      <c r="D165" s="44" t="str">
        <f>IF(meta_Columns[[#This Row],[Owning Table:src]]="","",INDEX(meta_Classifiers[Package],MATCH(meta_Columns[[#This Row],[Owning Table Instances Class]],meta_Classifiers[ID],0)))</f>
        <v>meta</v>
      </c>
      <c r="E165" s="43"/>
      <c r="F165" s="8" t="str">
        <f>INDEX(meta_Tables[Excel Table - Excel Name],MATCH(meta_Columns[[#This Row],[Owning Table:src]],meta_Tables[ID],0))</f>
        <v>meta_Literals</v>
      </c>
      <c r="G165" s="44" t="str">
        <f>INDEX(meta_Tables[Instances Class:src],MATCH(meta_Columns[[#This Row],[Owning Table:src]],meta_Tables[ID],0))</f>
        <v>_Literal</v>
      </c>
      <c r="H165" s="11" t="s">
        <v>1015</v>
      </c>
      <c r="I165" s="43" t="str">
        <f xml:space="preserve"> IF( TRIM( meta_Columns[[#This Row],[Owning Table:src]] ) = "", "",
        INDEX( meta_Tables[Display Qualified], MATCH( meta_Columns[[#This Row],[Owning Table:src]], meta_Tables[ID], 0 ) ) )</f>
        <v>meta::Literals</v>
      </c>
      <c r="K165" s="22" t="str">
        <f>IF(TRIM(meta_Columns[[#This Row],[Referenced Table:src]])="","",
    INDEX(meta_Tables[Display Qualified],MATCH(meta_Columns[[#This Row],[Referenced Table:src]],meta_Tables[ID],0)))</f>
        <v/>
      </c>
      <c r="L165" s="8"/>
      <c r="M165" s="22" t="str">
        <f xml:space="preserve"> IF( TRIM( meta_Columns[[#This Row],[Referenced Table Display and Select Column:src]] ) = "", "",
        INDEX( meta_Columns[Display Qualified], MATCH( meta_Columns[[#This Row],[Referenced Table Display and Select Column:src]], meta_Columns[ID], 0 ) ) )</f>
        <v/>
      </c>
      <c r="N165" s="8" t="str">
        <f>IF(meta_Columns[[#This Row],[Excel Column - Excel Formula]]="","x","")</f>
        <v>x</v>
      </c>
      <c r="O165" s="22"/>
      <c r="P165" s="8" t="str">
        <f>IF(meta_Columns[[#This Row],[Referenced Table:src]]="","",INDEX(meta_Tables[Instances Class],MATCH(meta_Columns[[#This Row],[Referenced Table:src]],meta_Tables[ID],0)))</f>
        <v/>
      </c>
      <c r="Q1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5" s="8" t="s">
        <v>247</v>
      </c>
      <c r="S165" s="22" t="str">
        <f xml:space="preserve"> IF( TRIM( meta_Columns[[#This Row],[Property:src]] ) = "", "",
        INDEX( meta_TypedModelElements[Display Qualified], MATCH( meta_Columns[[#This Row],[Property:src]], meta_TypedModelElements[ID], 0 ) ) )</f>
        <v>meta::Object.kind</v>
      </c>
      <c r="T165" s="22" t="s">
        <v>42</v>
      </c>
      <c r="U165" s="8" t="e">
        <f>INDEX(meta_Classifiers[Class - Generalization:src], MATCH(meta_Columns[[#This Row],[Generalization 5]],meta_Classifiers[ID],0))</f>
        <v>#N/A</v>
      </c>
      <c r="V165" s="8" t="e">
        <f>INDEX(meta_Classifiers[Class - Generalization:src], MATCH(meta_Columns[[#This Row],[Generalization 4]],meta_Classifiers[ID],0))</f>
        <v>#N/A</v>
      </c>
      <c r="W165" s="8" t="e">
        <f>INDEX(meta_Classifiers[Class - Generalization:src], MATCH(meta_Columns[[#This Row],[Generalization 3]],meta_Classifiers[ID],0))</f>
        <v>#N/A</v>
      </c>
      <c r="X165" s="8" t="str">
        <f>INDEX(meta_Classifiers[Class - Generalization:src], MATCH(meta_Columns[[#This Row],[Generalization 2]],meta_Classifiers[ID],0))</f>
        <v/>
      </c>
      <c r="Y165" s="8" t="str">
        <f>INDEX(meta_Classifiers[Class - Generalization:src], MATCH(meta_Columns[[#This Row],[Generalization 1]],meta_Classifiers[ID],0))</f>
        <v>_Object</v>
      </c>
      <c r="Z165" s="8" t="str">
        <f>INDEX(meta_Classifiers[Class - Generalization:src], MATCH(meta_Columns[[#This Row],[Owning Table Instances Class]],meta_Classifiers[ID],0))</f>
        <v>_NamedElement</v>
      </c>
      <c r="AA1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5" s="8" t="b">
        <f>_xlfn.IFNA(
INDEX(meta_Classifiers[Class - Generalization:src],MATCH(
INDEX(meta_Classifiers[Class - Generalization:src],MATCH(meta_Columns[[#This Row],[Property Owning Class]],meta_Classifiers[ID],0)),meta_Classifiers[ID],0))
=meta_Columns[[#This Row],[Owning Table Instances Class]],FALSE)</f>
        <v>0</v>
      </c>
      <c r="AG165" s="8" t="b">
        <f>_xlfn.IFNA(INDEX(meta_Classifiers[Class - Generalization:src],MATCH(meta_Columns[[#This Row],[Property Owning Class]],meta_Classifiers[ID],0))=meta_Columns[[#This Row],[Owning Table Instances Class]],FALSE)</f>
        <v>0</v>
      </c>
      <c r="AH1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5" s="8" t="str">
        <f>INDEX(meta_Classifiers[Name],MATCH(INDEX(meta_TypedModelElements[Property - Owning Class:src],MATCH(meta_Columns[[#This Row],[Property]],meta_TypedModelElements[ID],0)),meta_Classifiers[ID],0))</f>
        <v>Object</v>
      </c>
      <c r="AJ165" s="8" t="str">
        <f>INDEX(meta_TypedModelElements[Property - Owning Class:src],MATCH(meta_Columns[[#This Row],[Property]],meta_TypedModelElements[ID],0))</f>
        <v>_Object</v>
      </c>
      <c r="AK165" s="8" t="str">
        <f>INDEX(meta_TypedModelElements[Kind:src],MATCH(meta_Columns[[#This Row],[Property]],meta_TypedModelElements[ID],0))</f>
        <v>_Reference</v>
      </c>
      <c r="AL165" s="8" t="str">
        <f>INDEX(meta_TypedModelElements[Name or Type],MATCH(meta_Columns[[#This Row],[Property]],meta_TypedModelElements[ID],0))</f>
        <v>Kind</v>
      </c>
      <c r="AM165" s="8" t="str">
        <f>INDEX(meta_TypedModelElements[Property - Changeable],MATCH(meta_Columns[[#This Row],[Property]],meta_TypedModelElements[ID],0))</f>
        <v>x</v>
      </c>
      <c r="AN165" s="43">
        <v>2</v>
      </c>
      <c r="AO165" s="22">
        <v>2</v>
      </c>
      <c r="AP1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65" s="8" t="str">
        <f xml:space="preserve"> IF(meta_Columns[[#This Row],[Property Owning Class is Specialization of Instance Class]],meta_Columns[[#This Row],[Property Owning Class Name]]&amp;" - ","")</f>
        <v/>
      </c>
      <c r="AR1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5" s="8" t="str">
        <f>IFERROR(LEFT(meta_Columns[[#This Row],[Excel Column - Label Actual without Semantic Case]],FIND("-",
meta_Columns[[#This Row],[Excel Column - Label Actual without Semantic Case]])-2),"")</f>
        <v/>
      </c>
      <c r="AU1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65" s="22"/>
      <c r="AY165" s="8" t="str">
        <f>meta_Columns[[#This Row],[Owning Table]]&amp;"."&amp;meta_Columns[[#This Row],[Excel Column - Label]]</f>
        <v>meta::Literals.Kind:src</v>
      </c>
      <c r="AZ165" s="22" t="s">
        <v>230</v>
      </c>
      <c r="BA165" s="8" t="str">
        <f>IF(TRIM(meta_Columns[[#This Row],[Excel Column - Label Overwrite]])&lt;&gt;"",meta_Columns[[#This Row],[Excel Column - Label Overwrite]],meta_Columns[[#This Row],[Excel Column - Label from Property or Referenced Table]])</f>
        <v>Kind:src</v>
      </c>
      <c r="BB165" s="43"/>
      <c r="BC165" s="44" t="str">
        <f>IF(meta_Columns[[#This Row],[Excel Column - Explicit Excel Formula]]="","",meta_Columns[[#This Row],[Excel Column - Explicit Excel Formula]])</f>
        <v/>
      </c>
      <c r="BD165" s="5"/>
      <c r="BE165" s="5"/>
    </row>
    <row r="166" spans="1:57">
      <c r="A166" s="10" t="s">
        <v>1144</v>
      </c>
      <c r="B166" s="5" t="s">
        <v>546</v>
      </c>
      <c r="C166" s="22" t="str">
        <f xml:space="preserve"> IF( TRIM( meta_Columns[[#This Row],[Kind:src]] ) = "", "",
        INDEX( meta_Classifiers[Display Qualified], MATCH( meta_Columns[[#This Row],[Kind:src]], meta_Classifiers[ID], 0 ) ) )</f>
        <v>ExcelColumn</v>
      </c>
      <c r="D166" s="44" t="str">
        <f>IF(meta_Columns[[#This Row],[Owning Table:src]]="","",INDEX(meta_Classifiers[Package],MATCH(meta_Columns[[#This Row],[Owning Table Instances Class]],meta_Classifiers[ID],0)))</f>
        <v>meta</v>
      </c>
      <c r="E166" s="43"/>
      <c r="F166" s="8" t="str">
        <f>INDEX(meta_Tables[Excel Table - Excel Name],MATCH(meta_Columns[[#This Row],[Owning Table:src]],meta_Tables[ID],0))</f>
        <v>meta_Literals</v>
      </c>
      <c r="G166" s="44" t="str">
        <f>INDEX(meta_Tables[Instances Class:src],MATCH(meta_Columns[[#This Row],[Owning Table:src]],meta_Tables[ID],0))</f>
        <v>_Literal</v>
      </c>
      <c r="H166" s="11" t="s">
        <v>1015</v>
      </c>
      <c r="I166" s="43" t="str">
        <f xml:space="preserve"> IF( TRIM( meta_Columns[[#This Row],[Owning Table:src]] ) = "", "",
        INDEX( meta_Tables[Display Qualified], MATCH( meta_Columns[[#This Row],[Owning Table:src]], meta_Tables[ID], 0 ) ) )</f>
        <v>meta::Literals</v>
      </c>
      <c r="K166" s="22" t="str">
        <f>IF(TRIM(meta_Columns[[#This Row],[Referenced Table:src]])="","",
    INDEX(meta_Tables[Display Qualified],MATCH(meta_Columns[[#This Row],[Referenced Table:src]],meta_Tables[ID],0)))</f>
        <v/>
      </c>
      <c r="L166" s="8"/>
      <c r="M166" s="22" t="str">
        <f xml:space="preserve"> IF( TRIM( meta_Columns[[#This Row],[Referenced Table Display and Select Column:src]] ) = "", "",
        INDEX( meta_Columns[Display Qualified], MATCH( meta_Columns[[#This Row],[Referenced Table Display and Select Column:src]], meta_Columns[ID], 0 ) ) )</f>
        <v/>
      </c>
      <c r="N166" s="8" t="str">
        <f>IF(meta_Columns[[#This Row],[Excel Column - Excel Formula]]="","x","")</f>
        <v>x</v>
      </c>
      <c r="O166" s="22"/>
      <c r="P166" s="8" t="str">
        <f>IF(meta_Columns[[#This Row],[Referenced Table:src]]="","",INDEX(meta_Tables[Instances Class],MATCH(meta_Columns[[#This Row],[Referenced Table:src]],meta_Tables[ID],0)))</f>
        <v/>
      </c>
      <c r="Q1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6" s="8" t="s">
        <v>247</v>
      </c>
      <c r="S166" s="22" t="str">
        <f xml:space="preserve"> IF( TRIM( meta_Columns[[#This Row],[Property:src]] ) = "", "",
        INDEX( meta_TypedModelElements[Display Qualified], MATCH( meta_Columns[[#This Row],[Property:src]], meta_TypedModelElements[ID], 0 ) ) )</f>
        <v>meta::Object.kind</v>
      </c>
      <c r="T166" s="22"/>
      <c r="U166" s="8" t="e">
        <f>INDEX(meta_Classifiers[Class - Generalization:src], MATCH(meta_Columns[[#This Row],[Generalization 5]],meta_Classifiers[ID],0))</f>
        <v>#N/A</v>
      </c>
      <c r="V166" s="8" t="e">
        <f>INDEX(meta_Classifiers[Class - Generalization:src], MATCH(meta_Columns[[#This Row],[Generalization 4]],meta_Classifiers[ID],0))</f>
        <v>#N/A</v>
      </c>
      <c r="W166" s="8" t="e">
        <f>INDEX(meta_Classifiers[Class - Generalization:src], MATCH(meta_Columns[[#This Row],[Generalization 3]],meta_Classifiers[ID],0))</f>
        <v>#N/A</v>
      </c>
      <c r="X166" s="8" t="str">
        <f>INDEX(meta_Classifiers[Class - Generalization:src], MATCH(meta_Columns[[#This Row],[Generalization 2]],meta_Classifiers[ID],0))</f>
        <v/>
      </c>
      <c r="Y166" s="8" t="str">
        <f>INDEX(meta_Classifiers[Class - Generalization:src], MATCH(meta_Columns[[#This Row],[Generalization 1]],meta_Classifiers[ID],0))</f>
        <v>_Object</v>
      </c>
      <c r="Z166" s="8" t="str">
        <f>INDEX(meta_Classifiers[Class - Generalization:src], MATCH(meta_Columns[[#This Row],[Owning Table Instances Class]],meta_Classifiers[ID],0))</f>
        <v>_NamedElement</v>
      </c>
      <c r="AA1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6" s="8" t="b">
        <f>_xlfn.IFNA(
INDEX(meta_Classifiers[Class - Generalization:src],MATCH(
INDEX(meta_Classifiers[Class - Generalization:src],MATCH(meta_Columns[[#This Row],[Property Owning Class]],meta_Classifiers[ID],0)),meta_Classifiers[ID],0))
=meta_Columns[[#This Row],[Owning Table Instances Class]],FALSE)</f>
        <v>0</v>
      </c>
      <c r="AG166" s="8" t="b">
        <f>_xlfn.IFNA(INDEX(meta_Classifiers[Class - Generalization:src],MATCH(meta_Columns[[#This Row],[Property Owning Class]],meta_Classifiers[ID],0))=meta_Columns[[#This Row],[Owning Table Instances Class]],FALSE)</f>
        <v>0</v>
      </c>
      <c r="AH1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6" s="8" t="str">
        <f>INDEX(meta_Classifiers[Name],MATCH(INDEX(meta_TypedModelElements[Property - Owning Class:src],MATCH(meta_Columns[[#This Row],[Property]],meta_TypedModelElements[ID],0)),meta_Classifiers[ID],0))</f>
        <v>Object</v>
      </c>
      <c r="AJ166" s="8" t="str">
        <f>INDEX(meta_TypedModelElements[Property - Owning Class:src],MATCH(meta_Columns[[#This Row],[Property]],meta_TypedModelElements[ID],0))</f>
        <v>_Object</v>
      </c>
      <c r="AK166" s="8" t="str">
        <f>INDEX(meta_TypedModelElements[Kind:src],MATCH(meta_Columns[[#This Row],[Property]],meta_TypedModelElements[ID],0))</f>
        <v>_Reference</v>
      </c>
      <c r="AL166" s="8" t="str">
        <f>INDEX(meta_TypedModelElements[Name or Type],MATCH(meta_Columns[[#This Row],[Property]],meta_TypedModelElements[ID],0))</f>
        <v>Kind</v>
      </c>
      <c r="AM166" s="8" t="str">
        <f>INDEX(meta_TypedModelElements[Property - Changeable],MATCH(meta_Columns[[#This Row],[Property]],meta_TypedModelElements[ID],0))</f>
        <v>x</v>
      </c>
      <c r="AN166" s="43">
        <v>3</v>
      </c>
      <c r="AO166" s="22">
        <v>3</v>
      </c>
      <c r="AP1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66" s="8" t="str">
        <f xml:space="preserve"> IF(meta_Columns[[#This Row],[Property Owning Class is Specialization of Instance Class]],meta_Columns[[#This Row],[Property Owning Class Name]]&amp;" - ","")</f>
        <v/>
      </c>
      <c r="AR1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6" s="8" t="str">
        <f>IFERROR(LEFT(meta_Columns[[#This Row],[Excel Column - Label Actual without Semantic Case]],FIND("-",
meta_Columns[[#This Row],[Excel Column - Label Actual without Semantic Case]])-2),"")</f>
        <v/>
      </c>
      <c r="AU1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66" s="22"/>
      <c r="AY166" s="8" t="str">
        <f>meta_Columns[[#This Row],[Owning Table]]&amp;"."&amp;meta_Columns[[#This Row],[Excel Column - Label]]</f>
        <v>meta::Literals.Kind</v>
      </c>
      <c r="AZ166" s="22" t="s">
        <v>5</v>
      </c>
      <c r="BA166" s="8" t="str">
        <f>IF(TRIM(meta_Columns[[#This Row],[Excel Column - Label Overwrite]])&lt;&gt;"",meta_Columns[[#This Row],[Excel Column - Label Overwrite]],meta_Columns[[#This Row],[Excel Column - Label from Property or Referenced Table]])</f>
        <v>Kind</v>
      </c>
      <c r="BB166" s="43"/>
      <c r="BC166" s="44" t="str">
        <f>IF(meta_Columns[[#This Row],[Excel Column - Explicit Excel Formula]]="","",meta_Columns[[#This Row],[Excel Column - Explicit Excel Formula]])</f>
        <v/>
      </c>
      <c r="BD166" s="5" t="s">
        <v>1461</v>
      </c>
      <c r="BE166" s="5"/>
    </row>
    <row r="167" spans="1:57">
      <c r="A167" s="10" t="s">
        <v>1145</v>
      </c>
      <c r="B167" s="5" t="s">
        <v>546</v>
      </c>
      <c r="C167" s="22" t="str">
        <f xml:space="preserve"> IF( TRIM( meta_Columns[[#This Row],[Kind:src]] ) = "", "",
        INDEX( meta_Classifiers[Display Qualified], MATCH( meta_Columns[[#This Row],[Kind:src]], meta_Classifiers[ID], 0 ) ) )</f>
        <v>ExcelColumn</v>
      </c>
      <c r="D167" s="44" t="str">
        <f>IF(meta_Columns[[#This Row],[Owning Table:src]]="","",INDEX(meta_Classifiers[Package],MATCH(meta_Columns[[#This Row],[Owning Table Instances Class]],meta_Classifiers[ID],0)))</f>
        <v>meta</v>
      </c>
      <c r="E167" s="43"/>
      <c r="F167" s="8" t="str">
        <f>INDEX(meta_Tables[Excel Table - Excel Name],MATCH(meta_Columns[[#This Row],[Owning Table:src]],meta_Tables[ID],0))</f>
        <v>meta_Literals</v>
      </c>
      <c r="G167" s="44" t="str">
        <f>INDEX(meta_Tables[Instances Class:src],MATCH(meta_Columns[[#This Row],[Owning Table:src]],meta_Tables[ID],0))</f>
        <v>_Literal</v>
      </c>
      <c r="H167" s="11" t="s">
        <v>1015</v>
      </c>
      <c r="I167" s="43" t="str">
        <f xml:space="preserve"> IF( TRIM( meta_Columns[[#This Row],[Owning Table:src]] ) = "", "",
        INDEX( meta_Tables[Display Qualified], MATCH( meta_Columns[[#This Row],[Owning Table:src]], meta_Tables[ID], 0 ) ) )</f>
        <v>meta::Literals</v>
      </c>
      <c r="K167" s="22" t="str">
        <f>IF(TRIM(meta_Columns[[#This Row],[Referenced Table:src]])="","",
    INDEX(meta_Tables[Display Qualified],MATCH(meta_Columns[[#This Row],[Referenced Table:src]],meta_Tables[ID],0)))</f>
        <v/>
      </c>
      <c r="L167" s="8"/>
      <c r="M167" s="22" t="str">
        <f xml:space="preserve"> IF( TRIM( meta_Columns[[#This Row],[Referenced Table Display and Select Column:src]] ) = "", "",
        INDEX( meta_Columns[Display Qualified], MATCH( meta_Columns[[#This Row],[Referenced Table Display and Select Column:src]], meta_Columns[ID], 0 ) ) )</f>
        <v/>
      </c>
      <c r="N167" s="8" t="str">
        <f>IF(meta_Columns[[#This Row],[Excel Column - Excel Formula]]="","x","")</f>
        <v>x</v>
      </c>
      <c r="O167" s="22"/>
      <c r="P167" s="8" t="str">
        <f>IF(meta_Columns[[#This Row],[Referenced Table:src]]="","",INDEX(meta_Tables[Instances Class],MATCH(meta_Columns[[#This Row],[Referenced Table:src]],meta_Tables[ID],0)))</f>
        <v/>
      </c>
      <c r="Q1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7" s="8" t="s">
        <v>248</v>
      </c>
      <c r="S167" s="22" t="str">
        <f xml:space="preserve"> IF( TRIM( meta_Columns[[#This Row],[Property:src]] ) = "", "",
        INDEX( meta_TypedModelElements[Display Qualified], MATCH( meta_Columns[[#This Row],[Property:src]], meta_TypedModelElements[ID], 0 ) ) )</f>
        <v>meta::Object.package</v>
      </c>
      <c r="T167" s="22"/>
      <c r="U167" s="8" t="e">
        <f>INDEX(meta_Classifiers[Class - Generalization:src], MATCH(meta_Columns[[#This Row],[Generalization 5]],meta_Classifiers[ID],0))</f>
        <v>#N/A</v>
      </c>
      <c r="V167" s="8" t="e">
        <f>INDEX(meta_Classifiers[Class - Generalization:src], MATCH(meta_Columns[[#This Row],[Generalization 4]],meta_Classifiers[ID],0))</f>
        <v>#N/A</v>
      </c>
      <c r="W167" s="8" t="e">
        <f>INDEX(meta_Classifiers[Class - Generalization:src], MATCH(meta_Columns[[#This Row],[Generalization 3]],meta_Classifiers[ID],0))</f>
        <v>#N/A</v>
      </c>
      <c r="X167" s="8" t="str">
        <f>INDEX(meta_Classifiers[Class - Generalization:src], MATCH(meta_Columns[[#This Row],[Generalization 2]],meta_Classifiers[ID],0))</f>
        <v/>
      </c>
      <c r="Y167" s="8" t="str">
        <f>INDEX(meta_Classifiers[Class - Generalization:src], MATCH(meta_Columns[[#This Row],[Generalization 1]],meta_Classifiers[ID],0))</f>
        <v>_Object</v>
      </c>
      <c r="Z167" s="8" t="str">
        <f>INDEX(meta_Classifiers[Class - Generalization:src], MATCH(meta_Columns[[#This Row],[Owning Table Instances Class]],meta_Classifiers[ID],0))</f>
        <v>_NamedElement</v>
      </c>
      <c r="AA1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7" s="8" t="b">
        <f>_xlfn.IFNA(
INDEX(meta_Classifiers[Class - Generalization:src],MATCH(
INDEX(meta_Classifiers[Class - Generalization:src],MATCH(meta_Columns[[#This Row],[Property Owning Class]],meta_Classifiers[ID],0)),meta_Classifiers[ID],0))
=meta_Columns[[#This Row],[Owning Table Instances Class]],FALSE)</f>
        <v>0</v>
      </c>
      <c r="AG167" s="8" t="b">
        <f>_xlfn.IFNA(INDEX(meta_Classifiers[Class - Generalization:src],MATCH(meta_Columns[[#This Row],[Property Owning Class]],meta_Classifiers[ID],0))=meta_Columns[[#This Row],[Owning Table Instances Class]],FALSE)</f>
        <v>0</v>
      </c>
      <c r="AH1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7" s="8" t="str">
        <f>INDEX(meta_Classifiers[Name],MATCH(INDEX(meta_TypedModelElements[Property - Owning Class:src],MATCH(meta_Columns[[#This Row],[Property]],meta_TypedModelElements[ID],0)),meta_Classifiers[ID],0))</f>
        <v>Object</v>
      </c>
      <c r="AJ167" s="8" t="str">
        <f>INDEX(meta_TypedModelElements[Property - Owning Class:src],MATCH(meta_Columns[[#This Row],[Property]],meta_TypedModelElements[ID],0))</f>
        <v>_Object</v>
      </c>
      <c r="AK167" s="8" t="str">
        <f>INDEX(meta_TypedModelElements[Kind:src],MATCH(meta_Columns[[#This Row],[Property]],meta_TypedModelElements[ID],0))</f>
        <v>_Attribute</v>
      </c>
      <c r="AL167" s="8" t="str">
        <f>INDEX(meta_TypedModelElements[Name or Type],MATCH(meta_Columns[[#This Row],[Property]],meta_TypedModelElements[ID],0))</f>
        <v>Package</v>
      </c>
      <c r="AM167" s="8" t="str">
        <f>INDEX(meta_TypedModelElements[Property - Changeable],MATCH(meta_Columns[[#This Row],[Property]],meta_TypedModelElements[ID],0))</f>
        <v>x</v>
      </c>
      <c r="AN167" s="43">
        <v>4</v>
      </c>
      <c r="AO167" s="22">
        <v>4</v>
      </c>
      <c r="AP1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67" s="8" t="str">
        <f xml:space="preserve"> IF(meta_Columns[[#This Row],[Property Owning Class is Specialization of Instance Class]],meta_Columns[[#This Row],[Property Owning Class Name]]&amp;" - ","")</f>
        <v/>
      </c>
      <c r="AR1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67" s="8" t="str">
        <f>IFERROR(LEFT(meta_Columns[[#This Row],[Excel Column - Label Actual without Semantic Case]],FIND("-",
meta_Columns[[#This Row],[Excel Column - Label Actual without Semantic Case]])-2),"")</f>
        <v/>
      </c>
      <c r="AU1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67" s="22"/>
      <c r="AY167" s="8" t="str">
        <f>meta_Columns[[#This Row],[Owning Table]]&amp;"."&amp;meta_Columns[[#This Row],[Excel Column - Label]]</f>
        <v>meta::Literals.Package</v>
      </c>
      <c r="AZ167" s="22" t="s">
        <v>120</v>
      </c>
      <c r="BA167" s="8" t="str">
        <f>IF(TRIM(meta_Columns[[#This Row],[Excel Column - Label Overwrite]])&lt;&gt;"",meta_Columns[[#This Row],[Excel Column - Label Overwrite]],meta_Columns[[#This Row],[Excel Column - Label from Property or Referenced Table]])</f>
        <v>Package</v>
      </c>
      <c r="BB167" s="43"/>
      <c r="BC167" s="44" t="str">
        <f>IF(meta_Columns[[#This Row],[Excel Column - Explicit Excel Formula]]="","",meta_Columns[[#This Row],[Excel Column - Explicit Excel Formula]])</f>
        <v/>
      </c>
      <c r="BD167" s="5"/>
      <c r="BE167" s="5"/>
    </row>
    <row r="168" spans="1:57">
      <c r="A168" s="10" t="s">
        <v>1146</v>
      </c>
      <c r="B168" s="5" t="s">
        <v>546</v>
      </c>
      <c r="C168" s="22" t="str">
        <f xml:space="preserve"> IF( TRIM( meta_Columns[[#This Row],[Kind:src]] ) = "", "",
        INDEX( meta_Classifiers[Display Qualified], MATCH( meta_Columns[[#This Row],[Kind:src]], meta_Classifiers[ID], 0 ) ) )</f>
        <v>ExcelColumn</v>
      </c>
      <c r="D168" s="44" t="str">
        <f>IF(meta_Columns[[#This Row],[Owning Table:src]]="","",INDEX(meta_Classifiers[Package],MATCH(meta_Columns[[#This Row],[Owning Table Instances Class]],meta_Classifiers[ID],0)))</f>
        <v>meta</v>
      </c>
      <c r="E168" s="43"/>
      <c r="F168" s="8" t="str">
        <f>INDEX(meta_Tables[Excel Table - Excel Name],MATCH(meta_Columns[[#This Row],[Owning Table:src]],meta_Tables[ID],0))</f>
        <v>meta_Literals</v>
      </c>
      <c r="G168" s="44" t="str">
        <f>INDEX(meta_Tables[Instances Class:src],MATCH(meta_Columns[[#This Row],[Owning Table:src]],meta_Tables[ID],0))</f>
        <v>_Literal</v>
      </c>
      <c r="H168" s="11" t="s">
        <v>1015</v>
      </c>
      <c r="I168" s="43" t="str">
        <f xml:space="preserve"> IF( TRIM( meta_Columns[[#This Row],[Owning Table:src]] ) = "", "",
        INDEX( meta_Tables[Display Qualified], MATCH( meta_Columns[[#This Row],[Owning Table:src]], meta_Tables[ID], 0 ) ) )</f>
        <v>meta::Literals</v>
      </c>
      <c r="K168" s="22" t="str">
        <f>IF(TRIM(meta_Columns[[#This Row],[Referenced Table:src]])="","",
    INDEX(meta_Tables[Display Qualified],MATCH(meta_Columns[[#This Row],[Referenced Table:src]],meta_Tables[ID],0)))</f>
        <v/>
      </c>
      <c r="L168" s="8"/>
      <c r="M168" s="22" t="str">
        <f xml:space="preserve"> IF( TRIM( meta_Columns[[#This Row],[Referenced Table Display and Select Column:src]] ) = "", "",
        INDEX( meta_Columns[Display Qualified], MATCH( meta_Columns[[#This Row],[Referenced Table Display and Select Column:src]], meta_Columns[ID], 0 ) ) )</f>
        <v/>
      </c>
      <c r="N168" s="8" t="str">
        <f>IF(meta_Columns[[#This Row],[Excel Column - Excel Formula]]="","x","")</f>
        <v>x</v>
      </c>
      <c r="O168" s="22"/>
      <c r="P168" s="8" t="str">
        <f>IF(meta_Columns[[#This Row],[Referenced Table:src]]="","",INDEX(meta_Tables[Instances Class],MATCH(meta_Columns[[#This Row],[Referenced Table:src]],meta_Tables[ID],0)))</f>
        <v/>
      </c>
      <c r="Q1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8" s="8" t="s">
        <v>460</v>
      </c>
      <c r="S168" s="22" t="str">
        <f xml:space="preserve"> IF( TRIM( meta_Columns[[#This Row],[Property:src]] ) = "", "",
        INDEX( meta_TypedModelElements[Display Qualified], MATCH( meta_Columns[[#This Row],[Property:src]], meta_TypedModelElements[ID], 0 ) ) )</f>
        <v>meta::Object.subPackage</v>
      </c>
      <c r="T168" s="22"/>
      <c r="U168" s="8" t="e">
        <f>INDEX(meta_Classifiers[Class - Generalization:src], MATCH(meta_Columns[[#This Row],[Generalization 5]],meta_Classifiers[ID],0))</f>
        <v>#N/A</v>
      </c>
      <c r="V168" s="8" t="e">
        <f>INDEX(meta_Classifiers[Class - Generalization:src], MATCH(meta_Columns[[#This Row],[Generalization 4]],meta_Classifiers[ID],0))</f>
        <v>#N/A</v>
      </c>
      <c r="W168" s="8" t="e">
        <f>INDEX(meta_Classifiers[Class - Generalization:src], MATCH(meta_Columns[[#This Row],[Generalization 3]],meta_Classifiers[ID],0))</f>
        <v>#N/A</v>
      </c>
      <c r="X168" s="8" t="str">
        <f>INDEX(meta_Classifiers[Class - Generalization:src], MATCH(meta_Columns[[#This Row],[Generalization 2]],meta_Classifiers[ID],0))</f>
        <v/>
      </c>
      <c r="Y168" s="8" t="str">
        <f>INDEX(meta_Classifiers[Class - Generalization:src], MATCH(meta_Columns[[#This Row],[Generalization 1]],meta_Classifiers[ID],0))</f>
        <v>_Object</v>
      </c>
      <c r="Z168" s="8" t="str">
        <f>INDEX(meta_Classifiers[Class - Generalization:src], MATCH(meta_Columns[[#This Row],[Owning Table Instances Class]],meta_Classifiers[ID],0))</f>
        <v>_NamedElement</v>
      </c>
      <c r="AA1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8" s="8" t="b">
        <f>_xlfn.IFNA(
INDEX(meta_Classifiers[Class - Generalization:src],MATCH(
INDEX(meta_Classifiers[Class - Generalization:src],MATCH(meta_Columns[[#This Row],[Property Owning Class]],meta_Classifiers[ID],0)),meta_Classifiers[ID],0))
=meta_Columns[[#This Row],[Owning Table Instances Class]],FALSE)</f>
        <v>0</v>
      </c>
      <c r="AG168" s="8" t="b">
        <f>_xlfn.IFNA(INDEX(meta_Classifiers[Class - Generalization:src],MATCH(meta_Columns[[#This Row],[Property Owning Class]],meta_Classifiers[ID],0))=meta_Columns[[#This Row],[Owning Table Instances Class]],FALSE)</f>
        <v>0</v>
      </c>
      <c r="AH1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8" s="8" t="str">
        <f>INDEX(meta_Classifiers[Name],MATCH(INDEX(meta_TypedModelElements[Property - Owning Class:src],MATCH(meta_Columns[[#This Row],[Property]],meta_TypedModelElements[ID],0)),meta_Classifiers[ID],0))</f>
        <v>Object</v>
      </c>
      <c r="AJ168" s="8" t="str">
        <f>INDEX(meta_TypedModelElements[Property - Owning Class:src],MATCH(meta_Columns[[#This Row],[Property]],meta_TypedModelElements[ID],0))</f>
        <v>_Object</v>
      </c>
      <c r="AK168" s="8" t="str">
        <f>INDEX(meta_TypedModelElements[Kind:src],MATCH(meta_Columns[[#This Row],[Property]],meta_TypedModelElements[ID],0))</f>
        <v>_Attribute</v>
      </c>
      <c r="AL168" s="8" t="str">
        <f>INDEX(meta_TypedModelElements[Name or Type],MATCH(meta_Columns[[#This Row],[Property]],meta_TypedModelElements[ID],0))</f>
        <v>Sub Package</v>
      </c>
      <c r="AM168" s="8" t="str">
        <f>INDEX(meta_TypedModelElements[Property - Changeable],MATCH(meta_Columns[[#This Row],[Property]],meta_TypedModelElements[ID],0))</f>
        <v>x</v>
      </c>
      <c r="AN168" s="43">
        <v>5</v>
      </c>
      <c r="AO168" s="22">
        <v>5</v>
      </c>
      <c r="AP1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68" s="8" t="str">
        <f xml:space="preserve"> IF(meta_Columns[[#This Row],[Property Owning Class is Specialization of Instance Class]],meta_Columns[[#This Row],[Property Owning Class Name]]&amp;" - ","")</f>
        <v/>
      </c>
      <c r="AR1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68" s="8" t="str">
        <f>IFERROR(LEFT(meta_Columns[[#This Row],[Excel Column - Label Actual without Semantic Case]],FIND("-",
meta_Columns[[#This Row],[Excel Column - Label Actual without Semantic Case]])-2),"")</f>
        <v/>
      </c>
      <c r="AU1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68" s="22"/>
      <c r="AY168" s="8" t="str">
        <f>meta_Columns[[#This Row],[Owning Table]]&amp;"."&amp;meta_Columns[[#This Row],[Excel Column - Label]]</f>
        <v>meta::Literals.Sub Package</v>
      </c>
      <c r="AZ168" s="22" t="s">
        <v>461</v>
      </c>
      <c r="BA168" s="8" t="str">
        <f>IF(TRIM(meta_Columns[[#This Row],[Excel Column - Label Overwrite]])&lt;&gt;"",meta_Columns[[#This Row],[Excel Column - Label Overwrite]],meta_Columns[[#This Row],[Excel Column - Label from Property or Referenced Table]])</f>
        <v>Sub Package</v>
      </c>
      <c r="BB168" s="43"/>
      <c r="BC168" s="44" t="str">
        <f>IF(meta_Columns[[#This Row],[Excel Column - Explicit Excel Formula]]="","",meta_Columns[[#This Row],[Excel Column - Explicit Excel Formula]])</f>
        <v/>
      </c>
      <c r="BD168" s="5"/>
      <c r="BE168" s="5"/>
    </row>
    <row r="169" spans="1:57">
      <c r="A169" s="10" t="s">
        <v>1147</v>
      </c>
      <c r="B169" s="5" t="s">
        <v>546</v>
      </c>
      <c r="C169" s="22" t="str">
        <f xml:space="preserve"> IF( TRIM( meta_Columns[[#This Row],[Kind:src]] ) = "", "",
        INDEX( meta_Classifiers[Display Qualified], MATCH( meta_Columns[[#This Row],[Kind:src]], meta_Classifiers[ID], 0 ) ) )</f>
        <v>ExcelColumn</v>
      </c>
      <c r="D169" s="44" t="str">
        <f>IF(meta_Columns[[#This Row],[Owning Table:src]]="","",INDEX(meta_Classifiers[Package],MATCH(meta_Columns[[#This Row],[Owning Table Instances Class]],meta_Classifiers[ID],0)))</f>
        <v>meta</v>
      </c>
      <c r="E169" s="43"/>
      <c r="F169" s="8" t="str">
        <f>INDEX(meta_Tables[Excel Table - Excel Name],MATCH(meta_Columns[[#This Row],[Owning Table:src]],meta_Tables[ID],0))</f>
        <v>meta_Literals</v>
      </c>
      <c r="G169" s="44" t="str">
        <f>INDEX(meta_Tables[Instances Class:src],MATCH(meta_Columns[[#This Row],[Owning Table:src]],meta_Tables[ID],0))</f>
        <v>_Literal</v>
      </c>
      <c r="H169" s="11" t="s">
        <v>1015</v>
      </c>
      <c r="I169" s="43" t="str">
        <f xml:space="preserve"> IF( TRIM( meta_Columns[[#This Row],[Owning Table:src]] ) = "", "",
        INDEX( meta_Tables[Display Qualified], MATCH( meta_Columns[[#This Row],[Owning Table:src]], meta_Tables[ID], 0 ) ) )</f>
        <v>meta::Literals</v>
      </c>
      <c r="K169" s="22" t="str">
        <f>IF(TRIM(meta_Columns[[#This Row],[Referenced Table:src]])="","",
    INDEX(meta_Tables[Display Qualified],MATCH(meta_Columns[[#This Row],[Referenced Table:src]],meta_Tables[ID],0)))</f>
        <v/>
      </c>
      <c r="L169" s="8"/>
      <c r="M169" s="22" t="str">
        <f xml:space="preserve"> IF( TRIM( meta_Columns[[#This Row],[Referenced Table Display and Select Column:src]] ) = "", "",
        INDEX( meta_Columns[Display Qualified], MATCH( meta_Columns[[#This Row],[Referenced Table Display and Select Column:src]], meta_Columns[ID], 0 ) ) )</f>
        <v/>
      </c>
      <c r="N169" s="8" t="str">
        <f>IF(meta_Columns[[#This Row],[Excel Column - Excel Formula]]="","x","")</f>
        <v/>
      </c>
      <c r="O169" s="22"/>
      <c r="P169" s="8" t="str">
        <f>IF(meta_Columns[[#This Row],[Referenced Table:src]]="","",INDEX(meta_Tables[Instances Class],MATCH(meta_Columns[[#This Row],[Referenced Table:src]],meta_Tables[ID],0)))</f>
        <v/>
      </c>
      <c r="Q1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69" s="8"/>
      <c r="S169" s="22" t="str">
        <f xml:space="preserve"> IF( TRIM( meta_Columns[[#This Row],[Property:src]] ) = "", "",
        INDEX( meta_TypedModelElements[Display Qualified], MATCH( meta_Columns[[#This Row],[Property:src]], meta_TypedModelElements[ID], 0 ) ) )</f>
        <v/>
      </c>
      <c r="T169" s="22"/>
      <c r="U169" s="8" t="e">
        <f>INDEX(meta_Classifiers[Class - Generalization:src], MATCH(meta_Columns[[#This Row],[Generalization 5]],meta_Classifiers[ID],0))</f>
        <v>#N/A</v>
      </c>
      <c r="V169" s="8" t="e">
        <f>INDEX(meta_Classifiers[Class - Generalization:src], MATCH(meta_Columns[[#This Row],[Generalization 4]],meta_Classifiers[ID],0))</f>
        <v>#N/A</v>
      </c>
      <c r="W169" s="8" t="e">
        <f>INDEX(meta_Classifiers[Class - Generalization:src], MATCH(meta_Columns[[#This Row],[Generalization 3]],meta_Classifiers[ID],0))</f>
        <v>#N/A</v>
      </c>
      <c r="X169" s="8" t="str">
        <f>INDEX(meta_Classifiers[Class - Generalization:src], MATCH(meta_Columns[[#This Row],[Generalization 2]],meta_Classifiers[ID],0))</f>
        <v/>
      </c>
      <c r="Y169" s="8" t="str">
        <f>INDEX(meta_Classifiers[Class - Generalization:src], MATCH(meta_Columns[[#This Row],[Generalization 1]],meta_Classifiers[ID],0))</f>
        <v>_Object</v>
      </c>
      <c r="Z169" s="8" t="str">
        <f>INDEX(meta_Classifiers[Class - Generalization:src], MATCH(meta_Columns[[#This Row],[Owning Table Instances Class]],meta_Classifiers[ID],0))</f>
        <v>_NamedElement</v>
      </c>
      <c r="AA1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9" s="8" t="b">
        <f>_xlfn.IFNA(
INDEX(meta_Classifiers[Class - Generalization:src],MATCH(
INDEX(meta_Classifiers[Class - Generalization:src],MATCH(meta_Columns[[#This Row],[Property Owning Class]],meta_Classifiers[ID],0)),meta_Classifiers[ID],0))
=meta_Columns[[#This Row],[Owning Table Instances Class]],FALSE)</f>
        <v>0</v>
      </c>
      <c r="AG169" s="8" t="b">
        <f>_xlfn.IFNA(INDEX(meta_Classifiers[Class - Generalization:src],MATCH(meta_Columns[[#This Row],[Property Owning Class]],meta_Classifiers[ID],0))=meta_Columns[[#This Row],[Owning Table Instances Class]],FALSE)</f>
        <v>0</v>
      </c>
      <c r="AH1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9" s="8" t="e">
        <f>INDEX(meta_Classifiers[Name],MATCH(INDEX(meta_TypedModelElements[Property - Owning Class:src],MATCH(meta_Columns[[#This Row],[Property]],meta_TypedModelElements[ID],0)),meta_Classifiers[ID],0))</f>
        <v>#N/A</v>
      </c>
      <c r="AJ169" s="8" t="e">
        <f>INDEX(meta_TypedModelElements[Property - Owning Class:src],MATCH(meta_Columns[[#This Row],[Property]],meta_TypedModelElements[ID],0))</f>
        <v>#N/A</v>
      </c>
      <c r="AK169" s="8" t="e">
        <f>INDEX(meta_TypedModelElements[Kind:src],MATCH(meta_Columns[[#This Row],[Property]],meta_TypedModelElements[ID],0))</f>
        <v>#N/A</v>
      </c>
      <c r="AL169" s="8" t="e">
        <f>INDEX(meta_TypedModelElements[Name or Type],MATCH(meta_Columns[[#This Row],[Property]],meta_TypedModelElements[ID],0))</f>
        <v>#N/A</v>
      </c>
      <c r="AM169" s="8" t="e">
        <f>INDEX(meta_TypedModelElements[Property - Changeable],MATCH(meta_Columns[[#This Row],[Property]],meta_TypedModelElements[ID],0))</f>
        <v>#N/A</v>
      </c>
      <c r="AN169" s="43">
        <v>6</v>
      </c>
      <c r="AO169" s="22"/>
      <c r="AP1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9" s="8" t="str">
        <f xml:space="preserve"> IF(meta_Columns[[#This Row],[Property Owning Class is Specialization of Instance Class]],meta_Columns[[#This Row],[Property Owning Class Name]]&amp;" - ","")</f>
        <v/>
      </c>
      <c r="AR1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69" s="8" t="str">
        <f>IFERROR(LEFT(meta_Columns[[#This Row],[Excel Column - Label Actual without Semantic Case]],FIND("-",
meta_Columns[[#This Row],[Excel Column - Label Actual without Semantic Case]])-2),"")</f>
        <v/>
      </c>
      <c r="AU1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1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169" s="22"/>
      <c r="AY169" s="8" t="str">
        <f>meta_Columns[[#This Row],[Owning Table]]&amp;"."&amp;meta_Columns[[#This Row],[Excel Column - Label]]</f>
        <v>meta::Literals.Display:q</v>
      </c>
      <c r="AZ169" s="22" t="s">
        <v>141</v>
      </c>
      <c r="BA169" s="8" t="str">
        <f>IF(TRIM(meta_Columns[[#This Row],[Excel Column - Label Overwrite]])&lt;&gt;"",meta_Columns[[#This Row],[Excel Column - Label Overwrite]],meta_Columns[[#This Row],[Excel Column - Label from Property or Referenced Table]])</f>
        <v>Display:q</v>
      </c>
      <c r="BB169" s="43" t="s">
        <v>873</v>
      </c>
      <c r="BC169" s="44" t="str">
        <f>IF(meta_Columns[[#This Row],[Excel Column - Explicit Excel Formula]]="","",meta_Columns[[#This Row],[Excel Column - Explicit Excel Formula]])</f>
        <v>Formula:=IF(TRIM([@Package])="","",TRIM(LOWER([@Package]))&amp;"::")&amp;[@Display]</v>
      </c>
      <c r="BD169" s="5"/>
      <c r="BE169" s="5"/>
    </row>
    <row r="170" spans="1:57">
      <c r="A170" s="10" t="s">
        <v>1148</v>
      </c>
      <c r="B170" s="5" t="s">
        <v>546</v>
      </c>
      <c r="C170" s="22" t="str">
        <f xml:space="preserve"> IF( TRIM( meta_Columns[[#This Row],[Kind:src]] ) = "", "",
        INDEX( meta_Classifiers[Display Qualified], MATCH( meta_Columns[[#This Row],[Kind:src]], meta_Classifiers[ID], 0 ) ) )</f>
        <v>ExcelColumn</v>
      </c>
      <c r="D170" s="44" t="str">
        <f>IF(meta_Columns[[#This Row],[Owning Table:src]]="","",INDEX(meta_Classifiers[Package],MATCH(meta_Columns[[#This Row],[Owning Table Instances Class]],meta_Classifiers[ID],0)))</f>
        <v>meta</v>
      </c>
      <c r="E170" s="43"/>
      <c r="F170" s="8" t="str">
        <f>INDEX(meta_Tables[Excel Table - Excel Name],MATCH(meta_Columns[[#This Row],[Owning Table:src]],meta_Tables[ID],0))</f>
        <v>meta_Literals</v>
      </c>
      <c r="G170" s="44" t="str">
        <f>INDEX(meta_Tables[Instances Class:src],MATCH(meta_Columns[[#This Row],[Owning Table:src]],meta_Tables[ID],0))</f>
        <v>_Literal</v>
      </c>
      <c r="H170" s="11" t="s">
        <v>1015</v>
      </c>
      <c r="I170" s="43" t="str">
        <f xml:space="preserve"> IF( TRIM( meta_Columns[[#This Row],[Owning Table:src]] ) = "", "",
        INDEX( meta_Tables[Display Qualified], MATCH( meta_Columns[[#This Row],[Owning Table:src]], meta_Tables[ID], 0 ) ) )</f>
        <v>meta::Literals</v>
      </c>
      <c r="K170" s="22" t="str">
        <f>IF(TRIM(meta_Columns[[#This Row],[Referenced Table:src]])="","",
    INDEX(meta_Tables[Display Qualified],MATCH(meta_Columns[[#This Row],[Referenced Table:src]],meta_Tables[ID],0)))</f>
        <v/>
      </c>
      <c r="L170" s="8"/>
      <c r="M170" s="22" t="str">
        <f xml:space="preserve"> IF( TRIM( meta_Columns[[#This Row],[Referenced Table Display and Select Column:src]] ) = "", "",
        INDEX( meta_Columns[Display Qualified], MATCH( meta_Columns[[#This Row],[Referenced Table Display and Select Column:src]], meta_Columns[ID], 0 ) ) )</f>
        <v/>
      </c>
      <c r="N170" s="8" t="str">
        <f>IF(meta_Columns[[#This Row],[Excel Column - Excel Formula]]="","x","")</f>
        <v/>
      </c>
      <c r="O170" s="22"/>
      <c r="P170" s="8" t="str">
        <f>IF(meta_Columns[[#This Row],[Referenced Table:src]]="","",INDEX(meta_Tables[Instances Class],MATCH(meta_Columns[[#This Row],[Referenced Table:src]],meta_Tables[ID],0)))</f>
        <v/>
      </c>
      <c r="Q1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70" s="8"/>
      <c r="S170" s="22" t="str">
        <f xml:space="preserve"> IF( TRIM( meta_Columns[[#This Row],[Property:src]] ) = "", "",
        INDEX( meta_TypedModelElements[Display Qualified], MATCH( meta_Columns[[#This Row],[Property:src]], meta_TypedModelElements[ID], 0 ) ) )</f>
        <v/>
      </c>
      <c r="T170" s="22"/>
      <c r="U170" s="8" t="e">
        <f>INDEX(meta_Classifiers[Class - Generalization:src], MATCH(meta_Columns[[#This Row],[Generalization 5]],meta_Classifiers[ID],0))</f>
        <v>#N/A</v>
      </c>
      <c r="V170" s="8" t="e">
        <f>INDEX(meta_Classifiers[Class - Generalization:src], MATCH(meta_Columns[[#This Row],[Generalization 4]],meta_Classifiers[ID],0))</f>
        <v>#N/A</v>
      </c>
      <c r="W170" s="8" t="e">
        <f>INDEX(meta_Classifiers[Class - Generalization:src], MATCH(meta_Columns[[#This Row],[Generalization 3]],meta_Classifiers[ID],0))</f>
        <v>#N/A</v>
      </c>
      <c r="X170" s="8" t="str">
        <f>INDEX(meta_Classifiers[Class - Generalization:src], MATCH(meta_Columns[[#This Row],[Generalization 2]],meta_Classifiers[ID],0))</f>
        <v/>
      </c>
      <c r="Y170" s="8" t="str">
        <f>INDEX(meta_Classifiers[Class - Generalization:src], MATCH(meta_Columns[[#This Row],[Generalization 1]],meta_Classifiers[ID],0))</f>
        <v>_Object</v>
      </c>
      <c r="Z170" s="8" t="str">
        <f>INDEX(meta_Classifiers[Class - Generalization:src], MATCH(meta_Columns[[#This Row],[Owning Table Instances Class]],meta_Classifiers[ID],0))</f>
        <v>_NamedElement</v>
      </c>
      <c r="AA1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0" s="8" t="b">
        <f>_xlfn.IFNA(
INDEX(meta_Classifiers[Class - Generalization:src],MATCH(
INDEX(meta_Classifiers[Class - Generalization:src],MATCH(meta_Columns[[#This Row],[Property Owning Class]],meta_Classifiers[ID],0)),meta_Classifiers[ID],0))
=meta_Columns[[#This Row],[Owning Table Instances Class]],FALSE)</f>
        <v>0</v>
      </c>
      <c r="AG170" s="8" t="b">
        <f>_xlfn.IFNA(INDEX(meta_Classifiers[Class - Generalization:src],MATCH(meta_Columns[[#This Row],[Property Owning Class]],meta_Classifiers[ID],0))=meta_Columns[[#This Row],[Owning Table Instances Class]],FALSE)</f>
        <v>0</v>
      </c>
      <c r="AH1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0" s="8" t="e">
        <f>INDEX(meta_Classifiers[Name],MATCH(INDEX(meta_TypedModelElements[Property - Owning Class:src],MATCH(meta_Columns[[#This Row],[Property]],meta_TypedModelElements[ID],0)),meta_Classifiers[ID],0))</f>
        <v>#N/A</v>
      </c>
      <c r="AJ170" s="8" t="e">
        <f>INDEX(meta_TypedModelElements[Property - Owning Class:src],MATCH(meta_Columns[[#This Row],[Property]],meta_TypedModelElements[ID],0))</f>
        <v>#N/A</v>
      </c>
      <c r="AK170" s="8" t="e">
        <f>INDEX(meta_TypedModelElements[Kind:src],MATCH(meta_Columns[[#This Row],[Property]],meta_TypedModelElements[ID],0))</f>
        <v>#N/A</v>
      </c>
      <c r="AL170" s="8" t="e">
        <f>INDEX(meta_TypedModelElements[Name or Type],MATCH(meta_Columns[[#This Row],[Property]],meta_TypedModelElements[ID],0))</f>
        <v>#N/A</v>
      </c>
      <c r="AM170" s="8" t="e">
        <f>INDEX(meta_TypedModelElements[Property - Changeable],MATCH(meta_Columns[[#This Row],[Property]],meta_TypedModelElements[ID],0))</f>
        <v>#N/A</v>
      </c>
      <c r="AN170" s="43">
        <v>7</v>
      </c>
      <c r="AO170" s="22"/>
      <c r="AP1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0" s="8" t="str">
        <f xml:space="preserve"> IF(meta_Columns[[#This Row],[Property Owning Class is Specialization of Instance Class]],meta_Columns[[#This Row],[Property Owning Class Name]]&amp;" - ","")</f>
        <v/>
      </c>
      <c r="AR1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70" s="8" t="str">
        <f>IFERROR(LEFT(meta_Columns[[#This Row],[Excel Column - Label Actual without Semantic Case]],FIND("-",
meta_Columns[[#This Row],[Excel Column - Label Actual without Semantic Case]])-2),"")</f>
        <v/>
      </c>
      <c r="AU1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170" s="22"/>
      <c r="AY170" s="8" t="str">
        <f>meta_Columns[[#This Row],[Owning Table]]&amp;"."&amp;meta_Columns[[#This Row],[Excel Column - Label]]</f>
        <v>meta::Literals.Display</v>
      </c>
      <c r="AZ170" s="22" t="s">
        <v>32</v>
      </c>
      <c r="BA170" s="8" t="str">
        <f>IF(TRIM(meta_Columns[[#This Row],[Excel Column - Label Overwrite]])&lt;&gt;"",meta_Columns[[#This Row],[Excel Column - Label Overwrite]],meta_Columns[[#This Row],[Excel Column - Label from Property or Referenced Table]])</f>
        <v>Display</v>
      </c>
      <c r="BB170" s="43" t="s">
        <v>878</v>
      </c>
      <c r="BC170" s="44" t="str">
        <f>IF(meta_Columns[[#This Row],[Excel Column - Explicit Excel Formula]]="","",meta_Columns[[#This Row],[Excel Column - Explicit Excel Formula]])</f>
        <v>Formula:=TRIM(SUBSTITUTE([@Name]," ",""))</v>
      </c>
      <c r="BD170" s="5"/>
      <c r="BE170" s="5"/>
    </row>
    <row r="171" spans="1:57">
      <c r="A171" s="10" t="s">
        <v>1149</v>
      </c>
      <c r="B171" s="5" t="s">
        <v>546</v>
      </c>
      <c r="C171" s="22" t="str">
        <f xml:space="preserve"> IF( TRIM( meta_Columns[[#This Row],[Kind:src]] ) = "", "",
        INDEX( meta_Classifiers[Display Qualified], MATCH( meta_Columns[[#This Row],[Kind:src]], meta_Classifiers[ID], 0 ) ) )</f>
        <v>ExcelColumn</v>
      </c>
      <c r="D171" s="44" t="str">
        <f>IF(meta_Columns[[#This Row],[Owning Table:src]]="","",INDEX(meta_Classifiers[Package],MATCH(meta_Columns[[#This Row],[Owning Table Instances Class]],meta_Classifiers[ID],0)))</f>
        <v>meta</v>
      </c>
      <c r="E171" s="43"/>
      <c r="F171" s="8" t="str">
        <f>INDEX(meta_Tables[Excel Table - Excel Name],MATCH(meta_Columns[[#This Row],[Owning Table:src]],meta_Tables[ID],0))</f>
        <v>meta_Literals</v>
      </c>
      <c r="G171" s="44" t="str">
        <f>INDEX(meta_Tables[Instances Class:src],MATCH(meta_Columns[[#This Row],[Owning Table:src]],meta_Tables[ID],0))</f>
        <v>_Literal</v>
      </c>
      <c r="H171" s="11" t="s">
        <v>1015</v>
      </c>
      <c r="I171" s="43" t="str">
        <f xml:space="preserve"> IF( TRIM( meta_Columns[[#This Row],[Owning Table:src]] ) = "", "",
        INDEX( meta_Tables[Display Qualified], MATCH( meta_Columns[[#This Row],[Owning Table:src]], meta_Tables[ID], 0 ) ) )</f>
        <v>meta::Literals</v>
      </c>
      <c r="K171" s="22" t="str">
        <f>IF(TRIM(meta_Columns[[#This Row],[Referenced Table:src]])="","",
    INDEX(meta_Tables[Display Qualified],MATCH(meta_Columns[[#This Row],[Referenced Table:src]],meta_Tables[ID],0)))</f>
        <v/>
      </c>
      <c r="L171" s="8"/>
      <c r="M171" s="22" t="str">
        <f xml:space="preserve"> IF( TRIM( meta_Columns[[#This Row],[Referenced Table Display and Select Column:src]] ) = "", "",
        INDEX( meta_Columns[Display Qualified], MATCH( meta_Columns[[#This Row],[Referenced Table Display and Select Column:src]], meta_Columns[ID], 0 ) ) )</f>
        <v/>
      </c>
      <c r="N171" s="8" t="str">
        <f>IF(meta_Columns[[#This Row],[Excel Column - Excel Formula]]="","x","")</f>
        <v>x</v>
      </c>
      <c r="O171" s="22"/>
      <c r="P171" s="8" t="str">
        <f>IF(meta_Columns[[#This Row],[Referenced Table:src]]="","",INDEX(meta_Tables[Instances Class],MATCH(meta_Columns[[#This Row],[Referenced Table:src]],meta_Tables[ID],0)))</f>
        <v/>
      </c>
      <c r="Q1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meta::Literal.name</v>
      </c>
      <c r="R171" s="8"/>
      <c r="S171" s="22" t="str">
        <f xml:space="preserve"> IF( TRIM( meta_Columns[[#This Row],[Property:src]] ) = "", "",
        INDEX( meta_TypedModelElements[Display Qualified], MATCH( meta_Columns[[#This Row],[Property:src]], meta_TypedModelElements[ID], 0 ) ) )</f>
        <v/>
      </c>
      <c r="T171" s="22"/>
      <c r="U171" s="8" t="e">
        <f>INDEX(meta_Classifiers[Class - Generalization:src], MATCH(meta_Columns[[#This Row],[Generalization 5]],meta_Classifiers[ID],0))</f>
        <v>#N/A</v>
      </c>
      <c r="V171" s="8" t="e">
        <f>INDEX(meta_Classifiers[Class - Generalization:src], MATCH(meta_Columns[[#This Row],[Generalization 4]],meta_Classifiers[ID],0))</f>
        <v>#N/A</v>
      </c>
      <c r="W171" s="8" t="e">
        <f>INDEX(meta_Classifiers[Class - Generalization:src], MATCH(meta_Columns[[#This Row],[Generalization 3]],meta_Classifiers[ID],0))</f>
        <v>#N/A</v>
      </c>
      <c r="X171" s="8" t="str">
        <f>INDEX(meta_Classifiers[Class - Generalization:src], MATCH(meta_Columns[[#This Row],[Generalization 2]],meta_Classifiers[ID],0))</f>
        <v/>
      </c>
      <c r="Y171" s="8" t="str">
        <f>INDEX(meta_Classifiers[Class - Generalization:src], MATCH(meta_Columns[[#This Row],[Generalization 1]],meta_Classifiers[ID],0))</f>
        <v>_Object</v>
      </c>
      <c r="Z171" s="8" t="str">
        <f>INDEX(meta_Classifiers[Class - Generalization:src], MATCH(meta_Columns[[#This Row],[Owning Table Instances Class]],meta_Classifiers[ID],0))</f>
        <v>_NamedElement</v>
      </c>
      <c r="AA1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1" s="8" t="b">
        <f>_xlfn.IFNA(
INDEX(meta_Classifiers[Class - Generalization:src],MATCH(
INDEX(meta_Classifiers[Class - Generalization:src],MATCH(meta_Columns[[#This Row],[Property Owning Class]],meta_Classifiers[ID],0)),meta_Classifiers[ID],0))
=meta_Columns[[#This Row],[Owning Table Instances Class]],FALSE)</f>
        <v>0</v>
      </c>
      <c r="AG171" s="8" t="b">
        <f>_xlfn.IFNA(INDEX(meta_Classifiers[Class - Generalization:src],MATCH(meta_Columns[[#This Row],[Property Owning Class]],meta_Classifiers[ID],0))=meta_Columns[[#This Row],[Owning Table Instances Class]],FALSE)</f>
        <v>0</v>
      </c>
      <c r="AH1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1" s="8" t="e">
        <f>INDEX(meta_Classifiers[Name],MATCH(INDEX(meta_TypedModelElements[Property - Owning Class:src],MATCH(meta_Columns[[#This Row],[Property]],meta_TypedModelElements[ID],0)),meta_Classifiers[ID],0))</f>
        <v>#N/A</v>
      </c>
      <c r="AJ171" s="8" t="e">
        <f>INDEX(meta_TypedModelElements[Property - Owning Class:src],MATCH(meta_Columns[[#This Row],[Property]],meta_TypedModelElements[ID],0))</f>
        <v>#N/A</v>
      </c>
      <c r="AK171" s="8" t="e">
        <f>INDEX(meta_TypedModelElements[Kind:src],MATCH(meta_Columns[[#This Row],[Property]],meta_TypedModelElements[ID],0))</f>
        <v>#N/A</v>
      </c>
      <c r="AL171" s="8" t="e">
        <f>INDEX(meta_TypedModelElements[Name or Type],MATCH(meta_Columns[[#This Row],[Property]],meta_TypedModelElements[ID],0))</f>
        <v>#N/A</v>
      </c>
      <c r="AM171" s="8" t="e">
        <f>INDEX(meta_TypedModelElements[Property - Changeable],MATCH(meta_Columns[[#This Row],[Property]],meta_TypedModelElements[ID],0))</f>
        <v>#N/A</v>
      </c>
      <c r="AN171" s="43">
        <v>8</v>
      </c>
      <c r="AO171" s="22">
        <v>6</v>
      </c>
      <c r="AP1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1" s="8" t="str">
        <f xml:space="preserve"> IF(meta_Columns[[#This Row],[Property Owning Class is Specialization of Instance Class]],meta_Columns[[#This Row],[Property Owning Class Name]]&amp;" - ","")</f>
        <v/>
      </c>
      <c r="AR1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71" s="8" t="str">
        <f>IFERROR(LEFT(meta_Columns[[#This Row],[Excel Column - Label Actual without Semantic Case]],FIND("-",
meta_Columns[[#This Row],[Excel Column - Label Actual without Semantic Case]])-2),"")</f>
        <v/>
      </c>
      <c r="AU1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71" s="22"/>
      <c r="AY171" s="8" t="str">
        <f>meta_Columns[[#This Row],[Owning Table]]&amp;"."&amp;meta_Columns[[#This Row],[Excel Column - Label]]</f>
        <v>meta::Literals.Name</v>
      </c>
      <c r="AZ171" s="22" t="s">
        <v>1</v>
      </c>
      <c r="BA171" s="8" t="str">
        <f>IF(TRIM(meta_Columns[[#This Row],[Excel Column - Label Overwrite]])&lt;&gt;"",meta_Columns[[#This Row],[Excel Column - Label Overwrite]],meta_Columns[[#This Row],[Excel Column - Label from Property or Referenced Table]])</f>
        <v>Name</v>
      </c>
      <c r="BB171" s="43"/>
      <c r="BC171" s="44" t="str">
        <f>IF(meta_Columns[[#This Row],[Excel Column - Explicit Excel Formula]]="","",meta_Columns[[#This Row],[Excel Column - Explicit Excel Formula]])</f>
        <v/>
      </c>
      <c r="BD171" s="5"/>
      <c r="BE171" s="5" t="s">
        <v>232</v>
      </c>
    </row>
    <row r="172" spans="1:57">
      <c r="A172" s="10" t="s">
        <v>1150</v>
      </c>
      <c r="B172" s="5" t="s">
        <v>546</v>
      </c>
      <c r="C172" s="22" t="str">
        <f xml:space="preserve"> IF( TRIM( meta_Columns[[#This Row],[Kind:src]] ) = "", "",
        INDEX( meta_Classifiers[Display Qualified], MATCH( meta_Columns[[#This Row],[Kind:src]], meta_Classifiers[ID], 0 ) ) )</f>
        <v>ExcelColumn</v>
      </c>
      <c r="D172" s="44" t="str">
        <f>IF(meta_Columns[[#This Row],[Owning Table:src]]="","",INDEX(meta_Classifiers[Package],MATCH(meta_Columns[[#This Row],[Owning Table Instances Class]],meta_Classifiers[ID],0)))</f>
        <v>meta</v>
      </c>
      <c r="E172" s="43"/>
      <c r="F172" s="8" t="str">
        <f>INDEX(meta_Tables[Excel Table - Excel Name],MATCH(meta_Columns[[#This Row],[Owning Table:src]],meta_Tables[ID],0))</f>
        <v>meta_Literals</v>
      </c>
      <c r="G172" s="44" t="str">
        <f>INDEX(meta_Tables[Instances Class:src],MATCH(meta_Columns[[#This Row],[Owning Table:src]],meta_Tables[ID],0))</f>
        <v>_Literal</v>
      </c>
      <c r="H172" s="11" t="s">
        <v>1015</v>
      </c>
      <c r="I172" s="43" t="str">
        <f xml:space="preserve"> IF( TRIM( meta_Columns[[#This Row],[Owning Table:src]] ) = "", "",
        INDEX( meta_Tables[Display Qualified], MATCH( meta_Columns[[#This Row],[Owning Table:src]], meta_Tables[ID], 0 ) ) )</f>
        <v>meta::Literals</v>
      </c>
      <c r="K172" s="22" t="str">
        <f>IF(TRIM(meta_Columns[[#This Row],[Referenced Table:src]])="","",
    INDEX(meta_Tables[Display Qualified],MATCH(meta_Columns[[#This Row],[Referenced Table:src]],meta_Tables[ID],0)))</f>
        <v/>
      </c>
      <c r="L172" s="8"/>
      <c r="M172" s="22" t="str">
        <f xml:space="preserve"> IF( TRIM( meta_Columns[[#This Row],[Referenced Table Display and Select Column:src]] ) = "", "",
        INDEX( meta_Columns[Display Qualified], MATCH( meta_Columns[[#This Row],[Referenced Table Display and Select Column:src]], meta_Columns[ID], 0 ) ) )</f>
        <v/>
      </c>
      <c r="N172" s="8" t="str">
        <f>IF(meta_Columns[[#This Row],[Excel Column - Excel Formula]]="","x","")</f>
        <v>x</v>
      </c>
      <c r="O172" s="22"/>
      <c r="P172" s="8" t="str">
        <f>IF(meta_Columns[[#This Row],[Referenced Table:src]]="","",INDEX(meta_Tables[Instances Class],MATCH(meta_Columns[[#This Row],[Referenced Table:src]],meta_Tables[ID],0)))</f>
        <v/>
      </c>
      <c r="Q1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2" s="8"/>
      <c r="S172" s="22" t="str">
        <f xml:space="preserve"> IF( TRIM( meta_Columns[[#This Row],[Property:src]] ) = "", "",
        INDEX( meta_TypedModelElements[Display Qualified], MATCH( meta_Columns[[#This Row],[Property:src]], meta_TypedModelElements[ID], 0 ) ) )</f>
        <v/>
      </c>
      <c r="T172" s="22"/>
      <c r="U172" s="8" t="e">
        <f>INDEX(meta_Classifiers[Class - Generalization:src], MATCH(meta_Columns[[#This Row],[Generalization 5]],meta_Classifiers[ID],0))</f>
        <v>#N/A</v>
      </c>
      <c r="V172" s="8" t="e">
        <f>INDEX(meta_Classifiers[Class - Generalization:src], MATCH(meta_Columns[[#This Row],[Generalization 4]],meta_Classifiers[ID],0))</f>
        <v>#N/A</v>
      </c>
      <c r="W172" s="8" t="e">
        <f>INDEX(meta_Classifiers[Class - Generalization:src], MATCH(meta_Columns[[#This Row],[Generalization 3]],meta_Classifiers[ID],0))</f>
        <v>#N/A</v>
      </c>
      <c r="X172" s="8" t="str">
        <f>INDEX(meta_Classifiers[Class - Generalization:src], MATCH(meta_Columns[[#This Row],[Generalization 2]],meta_Classifiers[ID],0))</f>
        <v/>
      </c>
      <c r="Y172" s="8" t="str">
        <f>INDEX(meta_Classifiers[Class - Generalization:src], MATCH(meta_Columns[[#This Row],[Generalization 1]],meta_Classifiers[ID],0))</f>
        <v>_Object</v>
      </c>
      <c r="Z172" s="8" t="str">
        <f>INDEX(meta_Classifiers[Class - Generalization:src], MATCH(meta_Columns[[#This Row],[Owning Table Instances Class]],meta_Classifiers[ID],0))</f>
        <v>_NamedElement</v>
      </c>
      <c r="AA1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2" s="8" t="b">
        <f>_xlfn.IFNA(
INDEX(meta_Classifiers[Class - Generalization:src],MATCH(
INDEX(meta_Classifiers[Class - Generalization:src],MATCH(meta_Columns[[#This Row],[Property Owning Class]],meta_Classifiers[ID],0)),meta_Classifiers[ID],0))
=meta_Columns[[#This Row],[Owning Table Instances Class]],FALSE)</f>
        <v>0</v>
      </c>
      <c r="AG172" s="8" t="b">
        <f>_xlfn.IFNA(INDEX(meta_Classifiers[Class - Generalization:src],MATCH(meta_Columns[[#This Row],[Property Owning Class]],meta_Classifiers[ID],0))=meta_Columns[[#This Row],[Owning Table Instances Class]],FALSE)</f>
        <v>0</v>
      </c>
      <c r="AH1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2" s="8" t="e">
        <f>INDEX(meta_Classifiers[Name],MATCH(INDEX(meta_TypedModelElements[Property - Owning Class:src],MATCH(meta_Columns[[#This Row],[Property]],meta_TypedModelElements[ID],0)),meta_Classifiers[ID],0))</f>
        <v>#N/A</v>
      </c>
      <c r="AJ172" s="8" t="e">
        <f>INDEX(meta_TypedModelElements[Property - Owning Class:src],MATCH(meta_Columns[[#This Row],[Property]],meta_TypedModelElements[ID],0))</f>
        <v>#N/A</v>
      </c>
      <c r="AK172" s="8" t="e">
        <f>INDEX(meta_TypedModelElements[Kind:src],MATCH(meta_Columns[[#This Row],[Property]],meta_TypedModelElements[ID],0))</f>
        <v>#N/A</v>
      </c>
      <c r="AL172" s="8" t="e">
        <f>INDEX(meta_TypedModelElements[Name or Type],MATCH(meta_Columns[[#This Row],[Property]],meta_TypedModelElements[ID],0))</f>
        <v>#N/A</v>
      </c>
      <c r="AM172" s="8" t="e">
        <f>INDEX(meta_TypedModelElements[Property - Changeable],MATCH(meta_Columns[[#This Row],[Property]],meta_TypedModelElements[ID],0))</f>
        <v>#N/A</v>
      </c>
      <c r="AN172" s="43">
        <v>9</v>
      </c>
      <c r="AO172" s="22">
        <v>7</v>
      </c>
      <c r="AP1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2" s="8" t="str">
        <f xml:space="preserve"> IF(meta_Columns[[#This Row],[Property Owning Class is Specialization of Instance Class]],meta_Columns[[#This Row],[Property Owning Class Name]]&amp;" - ","")</f>
        <v/>
      </c>
      <c r="AR1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2" s="8" t="str">
        <f>IFERROR(LEFT(meta_Columns[[#This Row],[Excel Column - Label Actual without Semantic Case]],FIND("-",
meta_Columns[[#This Row],[Excel Column - Label Actual without Semantic Case]])-2),"")</f>
        <v/>
      </c>
      <c r="AU1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Parent:src</v>
      </c>
      <c r="AX172" s="22"/>
      <c r="AY172" s="8" t="str">
        <f>meta_Columns[[#This Row],[Owning Table]]&amp;"."&amp;meta_Columns[[#This Row],[Excel Column - Label]]</f>
        <v>meta::Literals.Parent:src</v>
      </c>
      <c r="AZ172" s="22" t="s">
        <v>238</v>
      </c>
      <c r="BA172" s="8" t="str">
        <f>IF(TRIM(meta_Columns[[#This Row],[Excel Column - Label Overwrite]])&lt;&gt;"",meta_Columns[[#This Row],[Excel Column - Label Overwrite]],meta_Columns[[#This Row],[Excel Column - Label from Property or Referenced Table]])</f>
        <v>Parent:src</v>
      </c>
      <c r="BB172" s="43"/>
      <c r="BC172" s="44" t="str">
        <f>IF(meta_Columns[[#This Row],[Excel Column - Explicit Excel Formula]]="","",meta_Columns[[#This Row],[Excel Column - Explicit Excel Formula]])</f>
        <v/>
      </c>
      <c r="BD172" s="5"/>
      <c r="BE172" s="5"/>
    </row>
    <row r="173" spans="1:57">
      <c r="A173" s="10" t="s">
        <v>1151</v>
      </c>
      <c r="B173" s="5" t="s">
        <v>546</v>
      </c>
      <c r="C173" s="22" t="str">
        <f xml:space="preserve"> IF( TRIM( meta_Columns[[#This Row],[Kind:src]] ) = "", "",
        INDEX( meta_Classifiers[Display Qualified], MATCH( meta_Columns[[#This Row],[Kind:src]], meta_Classifiers[ID], 0 ) ) )</f>
        <v>ExcelColumn</v>
      </c>
      <c r="D173" s="44" t="str">
        <f>IF(meta_Columns[[#This Row],[Owning Table:src]]="","",INDEX(meta_Classifiers[Package],MATCH(meta_Columns[[#This Row],[Owning Table Instances Class]],meta_Classifiers[ID],0)))</f>
        <v>meta</v>
      </c>
      <c r="E173" s="43"/>
      <c r="F173" s="8" t="str">
        <f>INDEX(meta_Tables[Excel Table - Excel Name],MATCH(meta_Columns[[#This Row],[Owning Table:src]],meta_Tables[ID],0))</f>
        <v>meta_Literals</v>
      </c>
      <c r="G173" s="44" t="str">
        <f>INDEX(meta_Tables[Instances Class:src],MATCH(meta_Columns[[#This Row],[Owning Table:src]],meta_Tables[ID],0))</f>
        <v>_Literal</v>
      </c>
      <c r="H173" s="11" t="s">
        <v>1015</v>
      </c>
      <c r="I173" s="43" t="str">
        <f xml:space="preserve"> IF( TRIM( meta_Columns[[#This Row],[Owning Table:src]] ) = "", "",
        INDEX( meta_Tables[Display Qualified], MATCH( meta_Columns[[#This Row],[Owning Table:src]], meta_Tables[ID], 0 ) ) )</f>
        <v>meta::Literals</v>
      </c>
      <c r="K173" s="22" t="str">
        <f>IF(TRIM(meta_Columns[[#This Row],[Referenced Table:src]])="","",
    INDEX(meta_Tables[Display Qualified],MATCH(meta_Columns[[#This Row],[Referenced Table:src]],meta_Tables[ID],0)))</f>
        <v/>
      </c>
      <c r="L173" s="8"/>
      <c r="M173" s="22" t="str">
        <f xml:space="preserve"> IF( TRIM( meta_Columns[[#This Row],[Referenced Table Display and Select Column:src]] ) = "", "",
        INDEX( meta_Columns[Display Qualified], MATCH( meta_Columns[[#This Row],[Referenced Table Display and Select Column:src]], meta_Columns[ID], 0 ) ) )</f>
        <v/>
      </c>
      <c r="N173" s="8" t="str">
        <f>IF(meta_Columns[[#This Row],[Excel Column - Excel Formula]]="","x","")</f>
        <v/>
      </c>
      <c r="O173" s="22"/>
      <c r="P173" s="8" t="str">
        <f>IF(meta_Columns[[#This Row],[Referenced Table:src]]="","",INDEX(meta_Tables[Instances Class],MATCH(meta_Columns[[#This Row],[Referenced Table:src]],meta_Tables[ID],0)))</f>
        <v/>
      </c>
      <c r="Q1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3" s="8"/>
      <c r="S173" s="22" t="str">
        <f xml:space="preserve"> IF( TRIM( meta_Columns[[#This Row],[Property:src]] ) = "", "",
        INDEX( meta_TypedModelElements[Display Qualified], MATCH( meta_Columns[[#This Row],[Property:src]], meta_TypedModelElements[ID], 0 ) ) )</f>
        <v/>
      </c>
      <c r="T173" s="22"/>
      <c r="U173" s="8" t="e">
        <f>INDEX(meta_Classifiers[Class - Generalization:src], MATCH(meta_Columns[[#This Row],[Generalization 5]],meta_Classifiers[ID],0))</f>
        <v>#N/A</v>
      </c>
      <c r="V173" s="8" t="e">
        <f>INDEX(meta_Classifiers[Class - Generalization:src], MATCH(meta_Columns[[#This Row],[Generalization 4]],meta_Classifiers[ID],0))</f>
        <v>#N/A</v>
      </c>
      <c r="W173" s="8" t="e">
        <f>INDEX(meta_Classifiers[Class - Generalization:src], MATCH(meta_Columns[[#This Row],[Generalization 3]],meta_Classifiers[ID],0))</f>
        <v>#N/A</v>
      </c>
      <c r="X173" s="8" t="str">
        <f>INDEX(meta_Classifiers[Class - Generalization:src], MATCH(meta_Columns[[#This Row],[Generalization 2]],meta_Classifiers[ID],0))</f>
        <v/>
      </c>
      <c r="Y173" s="8" t="str">
        <f>INDEX(meta_Classifiers[Class - Generalization:src], MATCH(meta_Columns[[#This Row],[Generalization 1]],meta_Classifiers[ID],0))</f>
        <v>_Object</v>
      </c>
      <c r="Z173" s="8" t="str">
        <f>INDEX(meta_Classifiers[Class - Generalization:src], MATCH(meta_Columns[[#This Row],[Owning Table Instances Class]],meta_Classifiers[ID],0))</f>
        <v>_NamedElement</v>
      </c>
      <c r="AA1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3" s="8" t="b">
        <f>_xlfn.IFNA(
INDEX(meta_Classifiers[Class - Generalization:src],MATCH(
INDEX(meta_Classifiers[Class - Generalization:src],MATCH(meta_Columns[[#This Row],[Property Owning Class]],meta_Classifiers[ID],0)),meta_Classifiers[ID],0))
=meta_Columns[[#This Row],[Owning Table Instances Class]],FALSE)</f>
        <v>0</v>
      </c>
      <c r="AG173" s="8" t="b">
        <f>_xlfn.IFNA(INDEX(meta_Classifiers[Class - Generalization:src],MATCH(meta_Columns[[#This Row],[Property Owning Class]],meta_Classifiers[ID],0))=meta_Columns[[#This Row],[Owning Table Instances Class]],FALSE)</f>
        <v>0</v>
      </c>
      <c r="AH1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3" s="8" t="e">
        <f>INDEX(meta_Classifiers[Name],MATCH(INDEX(meta_TypedModelElements[Property - Owning Class:src],MATCH(meta_Columns[[#This Row],[Property]],meta_TypedModelElements[ID],0)),meta_Classifiers[ID],0))</f>
        <v>#N/A</v>
      </c>
      <c r="AJ173" s="8" t="e">
        <f>INDEX(meta_TypedModelElements[Property - Owning Class:src],MATCH(meta_Columns[[#This Row],[Property]],meta_TypedModelElements[ID],0))</f>
        <v>#N/A</v>
      </c>
      <c r="AK173" s="8" t="e">
        <f>INDEX(meta_TypedModelElements[Kind:src],MATCH(meta_Columns[[#This Row],[Property]],meta_TypedModelElements[ID],0))</f>
        <v>#N/A</v>
      </c>
      <c r="AL173" s="8" t="e">
        <f>INDEX(meta_TypedModelElements[Name or Type],MATCH(meta_Columns[[#This Row],[Property]],meta_TypedModelElements[ID],0))</f>
        <v>#N/A</v>
      </c>
      <c r="AM173" s="8" t="e">
        <f>INDEX(meta_TypedModelElements[Property - Changeable],MATCH(meta_Columns[[#This Row],[Property]],meta_TypedModelElements[ID],0))</f>
        <v>#N/A</v>
      </c>
      <c r="AN173" s="43">
        <v>10</v>
      </c>
      <c r="AO173" s="22"/>
      <c r="AP1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3" s="8" t="str">
        <f xml:space="preserve"> IF(meta_Columns[[#This Row],[Property Owning Class is Specialization of Instance Class]],meta_Columns[[#This Row],[Property Owning Class Name]]&amp;" - ","")</f>
        <v/>
      </c>
      <c r="AR1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3" s="8" t="str">
        <f>IFERROR(LEFT(meta_Columns[[#This Row],[Excel Column - Label Actual without Semantic Case]],FIND("-",
meta_Columns[[#This Row],[Excel Column - Label Actual without Semantic Case]])-2),"")</f>
        <v/>
      </c>
      <c r="AU1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v>
      </c>
      <c r="AX173" s="22"/>
      <c r="AY173" s="8" t="str">
        <f>meta_Columns[[#This Row],[Owning Table]]&amp;"."&amp;meta_Columns[[#This Row],[Excel Column - Label]]</f>
        <v>meta::Literals.Parent</v>
      </c>
      <c r="AZ173" s="22" t="s">
        <v>49</v>
      </c>
      <c r="BA173" s="8" t="str">
        <f>IF(TRIM(meta_Columns[[#This Row],[Excel Column - Label Overwrite]])&lt;&gt;"",meta_Columns[[#This Row],[Excel Column - Label Overwrite]],meta_Columns[[#This Row],[Excel Column - Label from Property or Referenced Table]])</f>
        <v>Parent</v>
      </c>
      <c r="BB173" s="43" t="s">
        <v>879</v>
      </c>
      <c r="BC173" s="44" t="str">
        <f>IF(meta_Columns[[#This Row],[Excel Column - Explicit Excel Formula]]="","",meta_Columns[[#This Row],[Excel Column - Explicit Excel Formula]])</f>
        <v>Formula:= IFNA( IF( TRIM( [@[Parent:src]] ) = "",
        "",
    IF( LEFT([@[Parent:src]],1)="_",
        RIGHT([@[Parent:src]],LEN([@[Parent:src]])-1),
    IF( TRIM( [@Package] )
            &lt;&gt; TRIM( INDEX( [Package], MATCH( [@[Parent:src]], [ID],0 ) ) ),
        TRIM( INDEX( [Package], MATCH( [@[Parent:src]], [ID], 0 ) ) )
            &amp; "::"
            &amp; INDEX( [Display], MATCH( [@[Parent:src]], [ID], 0 ) ),
        INDEX( [Display], MATCH( [@[Parent:src]], [ID], 0 ) )
    ))), "")</v>
      </c>
      <c r="BD173" s="5"/>
      <c r="BE173" s="5"/>
    </row>
    <row r="174" spans="1:57">
      <c r="A174" s="111" t="s">
        <v>1510</v>
      </c>
      <c r="B174" s="5"/>
      <c r="C174" s="22" t="str">
        <f xml:space="preserve"> IF( TRIM( meta_Columns[[#This Row],[Kind:src]] ) = "", "",
        INDEX( meta_Classifiers[Display Qualified], MATCH( meta_Columns[[#This Row],[Kind:src]], meta_Classifiers[ID], 0 ) ) )</f>
        <v/>
      </c>
      <c r="D174" s="113" t="str">
        <f>IF(meta_Columns[[#This Row],[Owning Table:src]]="","",INDEX(meta_Classifiers[Package],MATCH(meta_Columns[[#This Row],[Owning Table Instances Class]],meta_Classifiers[ID],0)))</f>
        <v/>
      </c>
      <c r="E174" s="112"/>
      <c r="F174" s="115" t="e">
        <f>INDEX(meta_Tables[Excel Table - Excel Name],MATCH(meta_Columns[[#This Row],[Owning Table:src]],meta_Tables[ID],0))</f>
        <v>#N/A</v>
      </c>
      <c r="G174" s="113" t="e">
        <f>INDEX(meta_Tables[Instances Class:src],MATCH(meta_Columns[[#This Row],[Owning Table:src]],meta_Tables[ID],0))</f>
        <v>#N/A</v>
      </c>
      <c r="H174" s="11"/>
      <c r="I174" s="43" t="str">
        <f xml:space="preserve"> IF( TRIM( meta_Columns[[#This Row],[Owning Table:src]] ) = "", "",
        INDEX( meta_Tables[Display Qualified], MATCH( meta_Columns[[#This Row],[Owning Table:src]], meta_Tables[ID], 0 ) ) )</f>
        <v/>
      </c>
      <c r="K174" s="22" t="str">
        <f>IF(TRIM(meta_Columns[[#This Row],[Referenced Table:src]])="","",
    INDEX(meta_Tables[Display Qualified],MATCH(meta_Columns[[#This Row],[Referenced Table:src]],meta_Tables[ID],0)))</f>
        <v/>
      </c>
      <c r="L174" s="8"/>
      <c r="M174" s="22" t="str">
        <f xml:space="preserve"> IF( TRIM( meta_Columns[[#This Row],[Referenced Table Display and Select Column:src]] ) = "", "",
        INDEX( meta_Columns[Display Qualified], MATCH( meta_Columns[[#This Row],[Referenced Table Display and Select Column:src]], meta_Columns[ID], 0 ) ) )</f>
        <v/>
      </c>
      <c r="N174" s="8" t="str">
        <f>IF(meta_Columns[[#This Row],[Excel Column - Excel Formula]]="","x","")</f>
        <v>x</v>
      </c>
      <c r="O174" s="22"/>
      <c r="P174" s="8" t="str">
        <f>IF(meta_Columns[[#This Row],[Referenced Table:src]]="","",INDEX(meta_Tables[Instances Class],MATCH(meta_Columns[[#This Row],[Referenced Table:src]],meta_Tables[ID],0)))</f>
        <v/>
      </c>
      <c r="Q17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4" s="8"/>
      <c r="S174" s="114" t="str">
        <f xml:space="preserve"> IF( TRIM( meta_Columns[[#This Row],[Property:src]] ) = "", "",
        INDEX( meta_TypedModelElements[Display Qualified], MATCH( meta_Columns[[#This Row],[Property:src]], meta_TypedModelElements[ID], 0 ) ) )</f>
        <v/>
      </c>
      <c r="T174" s="114"/>
      <c r="U174" s="8" t="e">
        <f>INDEX(meta_Classifiers[Class - Generalization:src], MATCH(meta_Columns[[#This Row],[Generalization 5]],meta_Classifiers[ID],0))</f>
        <v>#N/A</v>
      </c>
      <c r="V174" s="8" t="e">
        <f>INDEX(meta_Classifiers[Class - Generalization:src], MATCH(meta_Columns[[#This Row],[Generalization 4]],meta_Classifiers[ID],0))</f>
        <v>#N/A</v>
      </c>
      <c r="W174" s="8" t="e">
        <f>INDEX(meta_Classifiers[Class - Generalization:src], MATCH(meta_Columns[[#This Row],[Generalization 3]],meta_Classifiers[ID],0))</f>
        <v>#N/A</v>
      </c>
      <c r="X174" s="8" t="e">
        <f>INDEX(meta_Classifiers[Class - Generalization:src], MATCH(meta_Columns[[#This Row],[Generalization 2]],meta_Classifiers[ID],0))</f>
        <v>#N/A</v>
      </c>
      <c r="Y174" s="8" t="e">
        <f>INDEX(meta_Classifiers[Class - Generalization:src], MATCH(meta_Columns[[#This Row],[Generalization 1]],meta_Classifiers[ID],0))</f>
        <v>#N/A</v>
      </c>
      <c r="Z174" s="8" t="e">
        <f>INDEX(meta_Classifiers[Class - Generalization:src], MATCH(meta_Columns[[#This Row],[Owning Table Instances Class]],meta_Classifiers[ID],0))</f>
        <v>#N/A</v>
      </c>
      <c r="AA174"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4" s="8" t="b">
        <f>_xlfn.IFNA(
INDEX(meta_Classifiers[Class - Generalization:src],MATCH(
INDEX(meta_Classifiers[Class - Generalization:src],MATCH(meta_Columns[[#This Row],[Property Owning Class]],meta_Classifiers[ID],0)),meta_Classifiers[ID],0))
=meta_Columns[[#This Row],[Owning Table Instances Class]],FALSE)</f>
        <v>0</v>
      </c>
      <c r="AG174" s="8" t="b">
        <f>_xlfn.IFNA(INDEX(meta_Classifiers[Class - Generalization:src],MATCH(meta_Columns[[#This Row],[Property Owning Class]],meta_Classifiers[ID],0))=meta_Columns[[#This Row],[Owning Table Instances Class]],FALSE)</f>
        <v>0</v>
      </c>
      <c r="AH174"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4" s="8" t="e">
        <f>INDEX(meta_Classifiers[Name],MATCH(INDEX(meta_TypedModelElements[Property - Owning Class:src],MATCH(meta_Columns[[#This Row],[Property]],meta_TypedModelElements[ID],0)),meta_Classifiers[ID],0))</f>
        <v>#N/A</v>
      </c>
      <c r="AJ174" s="8" t="e">
        <f>INDEX(meta_TypedModelElements[Property - Owning Class:src],MATCH(meta_Columns[[#This Row],[Property]],meta_TypedModelElements[ID],0))</f>
        <v>#N/A</v>
      </c>
      <c r="AK174" s="8" t="e">
        <f>INDEX(meta_TypedModelElements[Kind:src],MATCH(meta_Columns[[#This Row],[Property]],meta_TypedModelElements[ID],0))</f>
        <v>#N/A</v>
      </c>
      <c r="AL174" s="115" t="e">
        <f>INDEX(meta_TypedModelElements[Name or Type],MATCH(meta_Columns[[#This Row],[Property]],meta_TypedModelElements[ID],0))</f>
        <v>#N/A</v>
      </c>
      <c r="AM174" s="115" t="e">
        <f>INDEX(meta_TypedModelElements[Property - Changeable],MATCH(meta_Columns[[#This Row],[Property]],meta_TypedModelElements[ID],0))</f>
        <v>#N/A</v>
      </c>
      <c r="AN174" s="112">
        <v>1</v>
      </c>
      <c r="AO174" s="22">
        <v>1</v>
      </c>
      <c r="AP174"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4" s="8" t="str">
        <f xml:space="preserve"> IF(meta_Columns[[#This Row],[Property Owning Class is Specialization of Instance Class]],meta_Columns[[#This Row],[Property Owning Class Name]]&amp;" - ","")</f>
        <v/>
      </c>
      <c r="AR1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4" s="8" t="str">
        <f>IFERROR(LEFT(meta_Columns[[#This Row],[Excel Column - Label Actual without Semantic Case]],FIND("-",
meta_Columns[[#This Row],[Excel Column - Label Actual without Semantic Case]])-2),"")</f>
        <v/>
      </c>
      <c r="AU1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4" s="114"/>
      <c r="AY174" s="8" t="str">
        <f>meta_Columns[[#This Row],[Owning Table]]&amp;"."&amp;meta_Columns[[#This Row],[Excel Column - Label]]</f>
        <v>.ID</v>
      </c>
      <c r="AZ174" s="114" t="s">
        <v>0</v>
      </c>
      <c r="BA174" s="115" t="str">
        <f>IF(TRIM(meta_Columns[[#This Row],[Excel Column - Label Overwrite]])&lt;&gt;"",meta_Columns[[#This Row],[Excel Column - Label Overwrite]],meta_Columns[[#This Row],[Excel Column - Label from Property or Referenced Table]])</f>
        <v>ID</v>
      </c>
      <c r="BB174" s="112"/>
      <c r="BC174" s="113" t="str">
        <f>IF(meta_Columns[[#This Row],[Excel Column - Explicit Excel Formula]]="","",meta_Columns[[#This Row],[Excel Column - Explicit Excel Formula]])</f>
        <v/>
      </c>
      <c r="BD174" s="116"/>
      <c r="BE174" s="116"/>
    </row>
    <row r="175" spans="1:57">
      <c r="A175" s="111" t="s">
        <v>1511</v>
      </c>
      <c r="B175" s="5"/>
      <c r="C175" s="22" t="str">
        <f xml:space="preserve"> IF( TRIM( meta_Columns[[#This Row],[Kind:src]] ) = "", "",
        INDEX( meta_Classifiers[Display Qualified], MATCH( meta_Columns[[#This Row],[Kind:src]], meta_Classifiers[ID], 0 ) ) )</f>
        <v/>
      </c>
      <c r="D175" s="113" t="str">
        <f>IF(meta_Columns[[#This Row],[Owning Table:src]]="","",INDEX(meta_Classifiers[Package],MATCH(meta_Columns[[#This Row],[Owning Table Instances Class]],meta_Classifiers[ID],0)))</f>
        <v/>
      </c>
      <c r="E175" s="112"/>
      <c r="F175" s="115" t="e">
        <f>INDEX(meta_Tables[Excel Table - Excel Name],MATCH(meta_Columns[[#This Row],[Owning Table:src]],meta_Tables[ID],0))</f>
        <v>#N/A</v>
      </c>
      <c r="G175" s="113" t="e">
        <f>INDEX(meta_Tables[Instances Class:src],MATCH(meta_Columns[[#This Row],[Owning Table:src]],meta_Tables[ID],0))</f>
        <v>#N/A</v>
      </c>
      <c r="H175" s="11"/>
      <c r="I175" s="43" t="str">
        <f xml:space="preserve"> IF( TRIM( meta_Columns[[#This Row],[Owning Table:src]] ) = "", "",
        INDEX( meta_Tables[Display Qualified], MATCH( meta_Columns[[#This Row],[Owning Table:src]], meta_Tables[ID], 0 ) ) )</f>
        <v/>
      </c>
      <c r="K175" s="22" t="str">
        <f>IF(TRIM(meta_Columns[[#This Row],[Referenced Table:src]])="","",
    INDEX(meta_Tables[Display Qualified],MATCH(meta_Columns[[#This Row],[Referenced Table:src]],meta_Tables[ID],0)))</f>
        <v/>
      </c>
      <c r="L175" s="8"/>
      <c r="M175" s="22" t="str">
        <f xml:space="preserve"> IF( TRIM( meta_Columns[[#This Row],[Referenced Table Display and Select Column:src]] ) = "", "",
        INDEX( meta_Columns[Display Qualified], MATCH( meta_Columns[[#This Row],[Referenced Table Display and Select Column:src]], meta_Columns[ID], 0 ) ) )</f>
        <v/>
      </c>
      <c r="N175" s="8" t="str">
        <f>IF(meta_Columns[[#This Row],[Excel Column - Excel Formula]]="","x","")</f>
        <v>x</v>
      </c>
      <c r="O175" s="22"/>
      <c r="P175" s="8" t="str">
        <f>IF(meta_Columns[[#This Row],[Referenced Table:src]]="","",INDEX(meta_Tables[Instances Class],MATCH(meta_Columns[[#This Row],[Referenced Table:src]],meta_Tables[ID],0)))</f>
        <v/>
      </c>
      <c r="Q17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5" s="8"/>
      <c r="S175" s="114" t="str">
        <f xml:space="preserve"> IF( TRIM( meta_Columns[[#This Row],[Property:src]] ) = "", "",
        INDEX( meta_TypedModelElements[Display Qualified], MATCH( meta_Columns[[#This Row],[Property:src]], meta_TypedModelElements[ID], 0 ) ) )</f>
        <v/>
      </c>
      <c r="T175" s="114"/>
      <c r="U175" s="8" t="e">
        <f>INDEX(meta_Classifiers[Class - Generalization:src], MATCH(meta_Columns[[#This Row],[Generalization 5]],meta_Classifiers[ID],0))</f>
        <v>#N/A</v>
      </c>
      <c r="V175" s="8" t="e">
        <f>INDEX(meta_Classifiers[Class - Generalization:src], MATCH(meta_Columns[[#This Row],[Generalization 4]],meta_Classifiers[ID],0))</f>
        <v>#N/A</v>
      </c>
      <c r="W175" s="8" t="e">
        <f>INDEX(meta_Classifiers[Class - Generalization:src], MATCH(meta_Columns[[#This Row],[Generalization 3]],meta_Classifiers[ID],0))</f>
        <v>#N/A</v>
      </c>
      <c r="X175" s="8" t="e">
        <f>INDEX(meta_Classifiers[Class - Generalization:src], MATCH(meta_Columns[[#This Row],[Generalization 2]],meta_Classifiers[ID],0))</f>
        <v>#N/A</v>
      </c>
      <c r="Y175" s="8" t="e">
        <f>INDEX(meta_Classifiers[Class - Generalization:src], MATCH(meta_Columns[[#This Row],[Generalization 1]],meta_Classifiers[ID],0))</f>
        <v>#N/A</v>
      </c>
      <c r="Z175" s="8" t="e">
        <f>INDEX(meta_Classifiers[Class - Generalization:src], MATCH(meta_Columns[[#This Row],[Owning Table Instances Class]],meta_Classifiers[ID],0))</f>
        <v>#N/A</v>
      </c>
      <c r="AA175"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5" s="8" t="b">
        <f>_xlfn.IFNA(
INDEX(meta_Classifiers[Class - Generalization:src],MATCH(
INDEX(meta_Classifiers[Class - Generalization:src],MATCH(meta_Columns[[#This Row],[Property Owning Class]],meta_Classifiers[ID],0)),meta_Classifiers[ID],0))
=meta_Columns[[#This Row],[Owning Table Instances Class]],FALSE)</f>
        <v>0</v>
      </c>
      <c r="AG175" s="8" t="b">
        <f>_xlfn.IFNA(INDEX(meta_Classifiers[Class - Generalization:src],MATCH(meta_Columns[[#This Row],[Property Owning Class]],meta_Classifiers[ID],0))=meta_Columns[[#This Row],[Owning Table Instances Class]],FALSE)</f>
        <v>0</v>
      </c>
      <c r="AH175"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5" s="8" t="e">
        <f>INDEX(meta_Classifiers[Name],MATCH(INDEX(meta_TypedModelElements[Property - Owning Class:src],MATCH(meta_Columns[[#This Row],[Property]],meta_TypedModelElements[ID],0)),meta_Classifiers[ID],0))</f>
        <v>#N/A</v>
      </c>
      <c r="AJ175" s="8" t="e">
        <f>INDEX(meta_TypedModelElements[Property - Owning Class:src],MATCH(meta_Columns[[#This Row],[Property]],meta_TypedModelElements[ID],0))</f>
        <v>#N/A</v>
      </c>
      <c r="AK175" s="8" t="e">
        <f>INDEX(meta_TypedModelElements[Kind:src],MATCH(meta_Columns[[#This Row],[Property]],meta_TypedModelElements[ID],0))</f>
        <v>#N/A</v>
      </c>
      <c r="AL175" s="115" t="e">
        <f>INDEX(meta_TypedModelElements[Name or Type],MATCH(meta_Columns[[#This Row],[Property]],meta_TypedModelElements[ID],0))</f>
        <v>#N/A</v>
      </c>
      <c r="AM175" s="115" t="e">
        <f>INDEX(meta_TypedModelElements[Property - Changeable],MATCH(meta_Columns[[#This Row],[Property]],meta_TypedModelElements[ID],0))</f>
        <v>#N/A</v>
      </c>
      <c r="AN175" s="112">
        <v>2</v>
      </c>
      <c r="AO175" s="22">
        <v>2</v>
      </c>
      <c r="AP175"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5" s="8" t="str">
        <f xml:space="preserve"> IF(meta_Columns[[#This Row],[Property Owning Class is Specialization of Instance Class]],meta_Columns[[#This Row],[Property Owning Class Name]]&amp;" - ","")</f>
        <v/>
      </c>
      <c r="AR1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5" s="8" t="str">
        <f>IFERROR(LEFT(meta_Columns[[#This Row],[Excel Column - Label Actual without Semantic Case]],FIND("-",
meta_Columns[[#This Row],[Excel Column - Label Actual without Semantic Case]])-2),"")</f>
        <v/>
      </c>
      <c r="AU1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5" s="114"/>
      <c r="AY175" s="8" t="str">
        <f>meta_Columns[[#This Row],[Owning Table]]&amp;"."&amp;meta_Columns[[#This Row],[Excel Column - Label]]</f>
        <v>.String</v>
      </c>
      <c r="AZ175" s="114" t="s">
        <v>18</v>
      </c>
      <c r="BA175" s="115" t="str">
        <f>IF(TRIM(meta_Columns[[#This Row],[Excel Column - Label Overwrite]])&lt;&gt;"",meta_Columns[[#This Row],[Excel Column - Label Overwrite]],meta_Columns[[#This Row],[Excel Column - Label from Property or Referenced Table]])</f>
        <v>String</v>
      </c>
      <c r="BB175" s="112"/>
      <c r="BC175" s="113" t="str">
        <f>IF(meta_Columns[[#This Row],[Excel Column - Explicit Excel Formula]]="","",meta_Columns[[#This Row],[Excel Column - Explicit Excel Formula]])</f>
        <v/>
      </c>
      <c r="BD175" s="116"/>
      <c r="BE175" s="116"/>
    </row>
    <row r="176" spans="1:57">
      <c r="A176" s="111" t="s">
        <v>1512</v>
      </c>
      <c r="B176" s="5"/>
      <c r="C176" s="22" t="str">
        <f xml:space="preserve"> IF( TRIM( meta_Columns[[#This Row],[Kind:src]] ) = "", "",
        INDEX( meta_Classifiers[Display Qualified], MATCH( meta_Columns[[#This Row],[Kind:src]], meta_Classifiers[ID], 0 ) ) )</f>
        <v/>
      </c>
      <c r="D176" s="113" t="str">
        <f>IF(meta_Columns[[#This Row],[Owning Table:src]]="","",INDEX(meta_Classifiers[Package],MATCH(meta_Columns[[#This Row],[Owning Table Instances Class]],meta_Classifiers[ID],0)))</f>
        <v/>
      </c>
      <c r="E176" s="112"/>
      <c r="F176" s="115" t="e">
        <f>INDEX(meta_Tables[Excel Table - Excel Name],MATCH(meta_Columns[[#This Row],[Owning Table:src]],meta_Tables[ID],0))</f>
        <v>#N/A</v>
      </c>
      <c r="G176" s="113" t="e">
        <f>INDEX(meta_Tables[Instances Class:src],MATCH(meta_Columns[[#This Row],[Owning Table:src]],meta_Tables[ID],0))</f>
        <v>#N/A</v>
      </c>
      <c r="H176" s="11"/>
      <c r="I176" s="43" t="str">
        <f xml:space="preserve"> IF( TRIM( meta_Columns[[#This Row],[Owning Table:src]] ) = "", "",
        INDEX( meta_Tables[Display Qualified], MATCH( meta_Columns[[#This Row],[Owning Table:src]], meta_Tables[ID], 0 ) ) )</f>
        <v/>
      </c>
      <c r="K176" s="22" t="str">
        <f>IF(TRIM(meta_Columns[[#This Row],[Referenced Table:src]])="","",
    INDEX(meta_Tables[Display Qualified],MATCH(meta_Columns[[#This Row],[Referenced Table:src]],meta_Tables[ID],0)))</f>
        <v/>
      </c>
      <c r="L176" s="8"/>
      <c r="M176" s="22" t="str">
        <f xml:space="preserve"> IF( TRIM( meta_Columns[[#This Row],[Referenced Table Display and Select Column:src]] ) = "", "",
        INDEX( meta_Columns[Display Qualified], MATCH( meta_Columns[[#This Row],[Referenced Table Display and Select Column:src]], meta_Columns[ID], 0 ) ) )</f>
        <v/>
      </c>
      <c r="N176" s="8" t="str">
        <f>IF(meta_Columns[[#This Row],[Excel Column - Excel Formula]]="","x","")</f>
        <v>x</v>
      </c>
      <c r="O176" s="22"/>
      <c r="P176" s="8" t="str">
        <f>IF(meta_Columns[[#This Row],[Referenced Table:src]]="","",INDEX(meta_Tables[Instances Class],MATCH(meta_Columns[[#This Row],[Referenced Table:src]],meta_Tables[ID],0)))</f>
        <v/>
      </c>
      <c r="Q17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6" s="8"/>
      <c r="S176" s="114" t="str">
        <f xml:space="preserve"> IF( TRIM( meta_Columns[[#This Row],[Property:src]] ) = "", "",
        INDEX( meta_TypedModelElements[Display Qualified], MATCH( meta_Columns[[#This Row],[Property:src]], meta_TypedModelElements[ID], 0 ) ) )</f>
        <v/>
      </c>
      <c r="T176" s="114"/>
      <c r="U176" s="8" t="e">
        <f>INDEX(meta_Classifiers[Class - Generalization:src], MATCH(meta_Columns[[#This Row],[Generalization 5]],meta_Classifiers[ID],0))</f>
        <v>#N/A</v>
      </c>
      <c r="V176" s="8" t="e">
        <f>INDEX(meta_Classifiers[Class - Generalization:src], MATCH(meta_Columns[[#This Row],[Generalization 4]],meta_Classifiers[ID],0))</f>
        <v>#N/A</v>
      </c>
      <c r="W176" s="8" t="e">
        <f>INDEX(meta_Classifiers[Class - Generalization:src], MATCH(meta_Columns[[#This Row],[Generalization 3]],meta_Classifiers[ID],0))</f>
        <v>#N/A</v>
      </c>
      <c r="X176" s="8" t="e">
        <f>INDEX(meta_Classifiers[Class - Generalization:src], MATCH(meta_Columns[[#This Row],[Generalization 2]],meta_Classifiers[ID],0))</f>
        <v>#N/A</v>
      </c>
      <c r="Y176" s="8" t="e">
        <f>INDEX(meta_Classifiers[Class - Generalization:src], MATCH(meta_Columns[[#This Row],[Generalization 1]],meta_Classifiers[ID],0))</f>
        <v>#N/A</v>
      </c>
      <c r="Z176" s="8" t="e">
        <f>INDEX(meta_Classifiers[Class - Generalization:src], MATCH(meta_Columns[[#This Row],[Owning Table Instances Class]],meta_Classifiers[ID],0))</f>
        <v>#N/A</v>
      </c>
      <c r="AA17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6" s="8" t="b">
        <f>_xlfn.IFNA(
INDEX(meta_Classifiers[Class - Generalization:src],MATCH(
INDEX(meta_Classifiers[Class - Generalization:src],MATCH(meta_Columns[[#This Row],[Property Owning Class]],meta_Classifiers[ID],0)),meta_Classifiers[ID],0))
=meta_Columns[[#This Row],[Owning Table Instances Class]],FALSE)</f>
        <v>0</v>
      </c>
      <c r="AG176" s="8" t="b">
        <f>_xlfn.IFNA(INDEX(meta_Classifiers[Class - Generalization:src],MATCH(meta_Columns[[#This Row],[Property Owning Class]],meta_Classifiers[ID],0))=meta_Columns[[#This Row],[Owning Table Instances Class]],FALSE)</f>
        <v>0</v>
      </c>
      <c r="AH17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6" s="8" t="e">
        <f>INDEX(meta_Classifiers[Name],MATCH(INDEX(meta_TypedModelElements[Property - Owning Class:src],MATCH(meta_Columns[[#This Row],[Property]],meta_TypedModelElements[ID],0)),meta_Classifiers[ID],0))</f>
        <v>#N/A</v>
      </c>
      <c r="AJ176" s="8" t="e">
        <f>INDEX(meta_TypedModelElements[Property - Owning Class:src],MATCH(meta_Columns[[#This Row],[Property]],meta_TypedModelElements[ID],0))</f>
        <v>#N/A</v>
      </c>
      <c r="AK176" s="8" t="e">
        <f>INDEX(meta_TypedModelElements[Kind:src],MATCH(meta_Columns[[#This Row],[Property]],meta_TypedModelElements[ID],0))</f>
        <v>#N/A</v>
      </c>
      <c r="AL176" s="115" t="e">
        <f>INDEX(meta_TypedModelElements[Name or Type],MATCH(meta_Columns[[#This Row],[Property]],meta_TypedModelElements[ID],0))</f>
        <v>#N/A</v>
      </c>
      <c r="AM176" s="115" t="e">
        <f>INDEX(meta_TypedModelElements[Property - Changeable],MATCH(meta_Columns[[#This Row],[Property]],meta_TypedModelElements[ID],0))</f>
        <v>#N/A</v>
      </c>
      <c r="AN176" s="112">
        <v>3</v>
      </c>
      <c r="AO176" s="22">
        <v>3</v>
      </c>
      <c r="AP17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6" s="8" t="str">
        <f xml:space="preserve"> IF(meta_Columns[[#This Row],[Property Owning Class is Specialization of Instance Class]],meta_Columns[[#This Row],[Property Owning Class Name]]&amp;" - ","")</f>
        <v/>
      </c>
      <c r="AR1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6" s="8" t="str">
        <f>IFERROR(LEFT(meta_Columns[[#This Row],[Excel Column - Label Actual without Semantic Case]],FIND("-",
meta_Columns[[#This Row],[Excel Column - Label Actual without Semantic Case]])-2),"")</f>
        <v/>
      </c>
      <c r="AU1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6" s="114"/>
      <c r="AY176" s="8" t="str">
        <f>meta_Columns[[#This Row],[Owning Table]]&amp;"."&amp;meta_Columns[[#This Row],[Excel Column - Label]]</f>
        <v>.Business</v>
      </c>
      <c r="AZ176" s="114" t="s">
        <v>1473</v>
      </c>
      <c r="BA176" s="115" t="str">
        <f>IF(TRIM(meta_Columns[[#This Row],[Excel Column - Label Overwrite]])&lt;&gt;"",meta_Columns[[#This Row],[Excel Column - Label Overwrite]],meta_Columns[[#This Row],[Excel Column - Label from Property or Referenced Table]])</f>
        <v>Business</v>
      </c>
      <c r="BB176" s="112"/>
      <c r="BC176" s="113" t="str">
        <f>IF(meta_Columns[[#This Row],[Excel Column - Explicit Excel Formula]]="","",meta_Columns[[#This Row],[Excel Column - Explicit Excel Formula]])</f>
        <v/>
      </c>
      <c r="BD176" s="116"/>
      <c r="BE176" s="116"/>
    </row>
    <row r="177" spans="1:57">
      <c r="A177" s="111" t="s">
        <v>1513</v>
      </c>
      <c r="B177" s="5"/>
      <c r="C177" s="22" t="str">
        <f xml:space="preserve"> IF( TRIM( meta_Columns[[#This Row],[Kind:src]] ) = "", "",
        INDEX( meta_Classifiers[Display Qualified], MATCH( meta_Columns[[#This Row],[Kind:src]], meta_Classifiers[ID], 0 ) ) )</f>
        <v/>
      </c>
      <c r="D177" s="113" t="str">
        <f>IF(meta_Columns[[#This Row],[Owning Table:src]]="","",INDEX(meta_Classifiers[Package],MATCH(meta_Columns[[#This Row],[Owning Table Instances Class]],meta_Classifiers[ID],0)))</f>
        <v/>
      </c>
      <c r="E177" s="112"/>
      <c r="F177" s="115" t="e">
        <f>INDEX(meta_Tables[Excel Table - Excel Name],MATCH(meta_Columns[[#This Row],[Owning Table:src]],meta_Tables[ID],0))</f>
        <v>#N/A</v>
      </c>
      <c r="G177" s="113" t="e">
        <f>INDEX(meta_Tables[Instances Class:src],MATCH(meta_Columns[[#This Row],[Owning Table:src]],meta_Tables[ID],0))</f>
        <v>#N/A</v>
      </c>
      <c r="H177" s="11"/>
      <c r="I177" s="43" t="str">
        <f xml:space="preserve"> IF( TRIM( meta_Columns[[#This Row],[Owning Table:src]] ) = "", "",
        INDEX( meta_Tables[Display Qualified], MATCH( meta_Columns[[#This Row],[Owning Table:src]], meta_Tables[ID], 0 ) ) )</f>
        <v/>
      </c>
      <c r="K177" s="22" t="str">
        <f>IF(TRIM(meta_Columns[[#This Row],[Referenced Table:src]])="","",
    INDEX(meta_Tables[Display Qualified],MATCH(meta_Columns[[#This Row],[Referenced Table:src]],meta_Tables[ID],0)))</f>
        <v/>
      </c>
      <c r="L177" s="8"/>
      <c r="M177" s="22" t="str">
        <f xml:space="preserve"> IF( TRIM( meta_Columns[[#This Row],[Referenced Table Display and Select Column:src]] ) = "", "",
        INDEX( meta_Columns[Display Qualified], MATCH( meta_Columns[[#This Row],[Referenced Table Display and Select Column:src]], meta_Columns[ID], 0 ) ) )</f>
        <v/>
      </c>
      <c r="N177" s="8" t="str">
        <f>IF(meta_Columns[[#This Row],[Excel Column - Excel Formula]]="","x","")</f>
        <v>x</v>
      </c>
      <c r="O177" s="22"/>
      <c r="P177" s="8" t="str">
        <f>IF(meta_Columns[[#This Row],[Referenced Table:src]]="","",INDEX(meta_Tables[Instances Class],MATCH(meta_Columns[[#This Row],[Referenced Table:src]],meta_Tables[ID],0)))</f>
        <v/>
      </c>
      <c r="Q17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7" s="8"/>
      <c r="S177" s="114" t="str">
        <f xml:space="preserve"> IF( TRIM( meta_Columns[[#This Row],[Property:src]] ) = "", "",
        INDEX( meta_TypedModelElements[Display Qualified], MATCH( meta_Columns[[#This Row],[Property:src]], meta_TypedModelElements[ID], 0 ) ) )</f>
        <v/>
      </c>
      <c r="T177" s="114"/>
      <c r="U177" s="8" t="e">
        <f>INDEX(meta_Classifiers[Class - Generalization:src], MATCH(meta_Columns[[#This Row],[Generalization 5]],meta_Classifiers[ID],0))</f>
        <v>#N/A</v>
      </c>
      <c r="V177" s="8" t="e">
        <f>INDEX(meta_Classifiers[Class - Generalization:src], MATCH(meta_Columns[[#This Row],[Generalization 4]],meta_Classifiers[ID],0))</f>
        <v>#N/A</v>
      </c>
      <c r="W177" s="8" t="e">
        <f>INDEX(meta_Classifiers[Class - Generalization:src], MATCH(meta_Columns[[#This Row],[Generalization 3]],meta_Classifiers[ID],0))</f>
        <v>#N/A</v>
      </c>
      <c r="X177" s="8" t="e">
        <f>INDEX(meta_Classifiers[Class - Generalization:src], MATCH(meta_Columns[[#This Row],[Generalization 2]],meta_Classifiers[ID],0))</f>
        <v>#N/A</v>
      </c>
      <c r="Y177" s="8" t="e">
        <f>INDEX(meta_Classifiers[Class - Generalization:src], MATCH(meta_Columns[[#This Row],[Generalization 1]],meta_Classifiers[ID],0))</f>
        <v>#N/A</v>
      </c>
      <c r="Z177" s="8" t="e">
        <f>INDEX(meta_Classifiers[Class - Generalization:src], MATCH(meta_Columns[[#This Row],[Owning Table Instances Class]],meta_Classifiers[ID],0))</f>
        <v>#N/A</v>
      </c>
      <c r="AA177"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7" s="8" t="b">
        <f>_xlfn.IFNA(
INDEX(meta_Classifiers[Class - Generalization:src],MATCH(
INDEX(meta_Classifiers[Class - Generalization:src],MATCH(meta_Columns[[#This Row],[Property Owning Class]],meta_Classifiers[ID],0)),meta_Classifiers[ID],0))
=meta_Columns[[#This Row],[Owning Table Instances Class]],FALSE)</f>
        <v>0</v>
      </c>
      <c r="AG177" s="8" t="b">
        <f>_xlfn.IFNA(INDEX(meta_Classifiers[Class - Generalization:src],MATCH(meta_Columns[[#This Row],[Property Owning Class]],meta_Classifiers[ID],0))=meta_Columns[[#This Row],[Owning Table Instances Class]],FALSE)</f>
        <v>0</v>
      </c>
      <c r="AH177"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7" s="8" t="e">
        <f>INDEX(meta_Classifiers[Name],MATCH(INDEX(meta_TypedModelElements[Property - Owning Class:src],MATCH(meta_Columns[[#This Row],[Property]],meta_TypedModelElements[ID],0)),meta_Classifiers[ID],0))</f>
        <v>#N/A</v>
      </c>
      <c r="AJ177" s="8" t="e">
        <f>INDEX(meta_TypedModelElements[Property - Owning Class:src],MATCH(meta_Columns[[#This Row],[Property]],meta_TypedModelElements[ID],0))</f>
        <v>#N/A</v>
      </c>
      <c r="AK177" s="8" t="e">
        <f>INDEX(meta_TypedModelElements[Kind:src],MATCH(meta_Columns[[#This Row],[Property]],meta_TypedModelElements[ID],0))</f>
        <v>#N/A</v>
      </c>
      <c r="AL177" s="115" t="e">
        <f>INDEX(meta_TypedModelElements[Name or Type],MATCH(meta_Columns[[#This Row],[Property]],meta_TypedModelElements[ID],0))</f>
        <v>#N/A</v>
      </c>
      <c r="AM177" s="115" t="e">
        <f>INDEX(meta_TypedModelElements[Property - Changeable],MATCH(meta_Columns[[#This Row],[Property]],meta_TypedModelElements[ID],0))</f>
        <v>#N/A</v>
      </c>
      <c r="AN177" s="112">
        <v>4</v>
      </c>
      <c r="AO177" s="22">
        <v>4</v>
      </c>
      <c r="AP177"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7" s="8" t="str">
        <f xml:space="preserve"> IF(meta_Columns[[#This Row],[Property Owning Class is Specialization of Instance Class]],meta_Columns[[#This Row],[Property Owning Class Name]]&amp;" - ","")</f>
        <v/>
      </c>
      <c r="AR1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7" s="8" t="str">
        <f>IFERROR(LEFT(meta_Columns[[#This Row],[Excel Column - Label Actual without Semantic Case]],FIND("-",
meta_Columns[[#This Row],[Excel Column - Label Actual without Semantic Case]])-2),"")</f>
        <v/>
      </c>
      <c r="AU1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7" s="114"/>
      <c r="AY177" s="8" t="str">
        <f>meta_Columns[[#This Row],[Owning Table]]&amp;"."&amp;meta_Columns[[#This Row],[Excel Column - Label]]</f>
        <v>.Camel Upper</v>
      </c>
      <c r="AZ177" s="114" t="s">
        <v>1474</v>
      </c>
      <c r="BA177" s="115" t="str">
        <f>IF(TRIM(meta_Columns[[#This Row],[Excel Column - Label Overwrite]])&lt;&gt;"",meta_Columns[[#This Row],[Excel Column - Label Overwrite]],meta_Columns[[#This Row],[Excel Column - Label from Property or Referenced Table]])</f>
        <v>Camel Upper</v>
      </c>
      <c r="BB177" s="112"/>
      <c r="BC177" s="113" t="str">
        <f>IF(meta_Columns[[#This Row],[Excel Column - Explicit Excel Formula]]="","",meta_Columns[[#This Row],[Excel Column - Explicit Excel Formula]])</f>
        <v/>
      </c>
      <c r="BD177" s="116"/>
      <c r="BE177" s="116"/>
    </row>
    <row r="178" spans="1:57">
      <c r="A178" s="111" t="s">
        <v>1514</v>
      </c>
      <c r="B178" s="5"/>
      <c r="C178" s="22" t="str">
        <f xml:space="preserve"> IF( TRIM( meta_Columns[[#This Row],[Kind:src]] ) = "", "",
        INDEX( meta_Classifiers[Display Qualified], MATCH( meta_Columns[[#This Row],[Kind:src]], meta_Classifiers[ID], 0 ) ) )</f>
        <v/>
      </c>
      <c r="D178" s="113" t="str">
        <f>IF(meta_Columns[[#This Row],[Owning Table:src]]="","",INDEX(meta_Classifiers[Package],MATCH(meta_Columns[[#This Row],[Owning Table Instances Class]],meta_Classifiers[ID],0)))</f>
        <v/>
      </c>
      <c r="E178" s="112"/>
      <c r="F178" s="115" t="e">
        <f>INDEX(meta_Tables[Excel Table - Excel Name],MATCH(meta_Columns[[#This Row],[Owning Table:src]],meta_Tables[ID],0))</f>
        <v>#N/A</v>
      </c>
      <c r="G178" s="113" t="e">
        <f>INDEX(meta_Tables[Instances Class:src],MATCH(meta_Columns[[#This Row],[Owning Table:src]],meta_Tables[ID],0))</f>
        <v>#N/A</v>
      </c>
      <c r="H178" s="11"/>
      <c r="I178" s="43" t="str">
        <f xml:space="preserve"> IF( TRIM( meta_Columns[[#This Row],[Owning Table:src]] ) = "", "",
        INDEX( meta_Tables[Display Qualified], MATCH( meta_Columns[[#This Row],[Owning Table:src]], meta_Tables[ID], 0 ) ) )</f>
        <v/>
      </c>
      <c r="K178" s="22" t="str">
        <f>IF(TRIM(meta_Columns[[#This Row],[Referenced Table:src]])="","",
    INDEX(meta_Tables[Display Qualified],MATCH(meta_Columns[[#This Row],[Referenced Table:src]],meta_Tables[ID],0)))</f>
        <v/>
      </c>
      <c r="L178" s="8"/>
      <c r="M178" s="22" t="str">
        <f xml:space="preserve"> IF( TRIM( meta_Columns[[#This Row],[Referenced Table Display and Select Column:src]] ) = "", "",
        INDEX( meta_Columns[Display Qualified], MATCH( meta_Columns[[#This Row],[Referenced Table Display and Select Column:src]], meta_Columns[ID], 0 ) ) )</f>
        <v/>
      </c>
      <c r="N178" s="8" t="str">
        <f>IF(meta_Columns[[#This Row],[Excel Column - Excel Formula]]="","x","")</f>
        <v>x</v>
      </c>
      <c r="O178" s="22"/>
      <c r="P178" s="8" t="str">
        <f>IF(meta_Columns[[#This Row],[Referenced Table:src]]="","",INDEX(meta_Tables[Instances Class],MATCH(meta_Columns[[#This Row],[Referenced Table:src]],meta_Tables[ID],0)))</f>
        <v/>
      </c>
      <c r="Q17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8" s="8"/>
      <c r="S178" s="114" t="str">
        <f xml:space="preserve"> IF( TRIM( meta_Columns[[#This Row],[Property:src]] ) = "", "",
        INDEX( meta_TypedModelElements[Display Qualified], MATCH( meta_Columns[[#This Row],[Property:src]], meta_TypedModelElements[ID], 0 ) ) )</f>
        <v/>
      </c>
      <c r="T178" s="114"/>
      <c r="U178" s="8" t="e">
        <f>INDEX(meta_Classifiers[Class - Generalization:src], MATCH(meta_Columns[[#This Row],[Generalization 5]],meta_Classifiers[ID],0))</f>
        <v>#N/A</v>
      </c>
      <c r="V178" s="8" t="e">
        <f>INDEX(meta_Classifiers[Class - Generalization:src], MATCH(meta_Columns[[#This Row],[Generalization 4]],meta_Classifiers[ID],0))</f>
        <v>#N/A</v>
      </c>
      <c r="W178" s="8" t="e">
        <f>INDEX(meta_Classifiers[Class - Generalization:src], MATCH(meta_Columns[[#This Row],[Generalization 3]],meta_Classifiers[ID],0))</f>
        <v>#N/A</v>
      </c>
      <c r="X178" s="8" t="e">
        <f>INDEX(meta_Classifiers[Class - Generalization:src], MATCH(meta_Columns[[#This Row],[Generalization 2]],meta_Classifiers[ID],0))</f>
        <v>#N/A</v>
      </c>
      <c r="Y178" s="8" t="e">
        <f>INDEX(meta_Classifiers[Class - Generalization:src], MATCH(meta_Columns[[#This Row],[Generalization 1]],meta_Classifiers[ID],0))</f>
        <v>#N/A</v>
      </c>
      <c r="Z178" s="8" t="e">
        <f>INDEX(meta_Classifiers[Class - Generalization:src], MATCH(meta_Columns[[#This Row],[Owning Table Instances Class]],meta_Classifiers[ID],0))</f>
        <v>#N/A</v>
      </c>
      <c r="AA178"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8" s="8" t="b">
        <f>_xlfn.IFNA(
INDEX(meta_Classifiers[Class - Generalization:src],MATCH(
INDEX(meta_Classifiers[Class - Generalization:src],MATCH(meta_Columns[[#This Row],[Property Owning Class]],meta_Classifiers[ID],0)),meta_Classifiers[ID],0))
=meta_Columns[[#This Row],[Owning Table Instances Class]],FALSE)</f>
        <v>0</v>
      </c>
      <c r="AG178" s="8" t="b">
        <f>_xlfn.IFNA(INDEX(meta_Classifiers[Class - Generalization:src],MATCH(meta_Columns[[#This Row],[Property Owning Class]],meta_Classifiers[ID],0))=meta_Columns[[#This Row],[Owning Table Instances Class]],FALSE)</f>
        <v>0</v>
      </c>
      <c r="AH178"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8" s="8" t="e">
        <f>INDEX(meta_Classifiers[Name],MATCH(INDEX(meta_TypedModelElements[Property - Owning Class:src],MATCH(meta_Columns[[#This Row],[Property]],meta_TypedModelElements[ID],0)),meta_Classifiers[ID],0))</f>
        <v>#N/A</v>
      </c>
      <c r="AJ178" s="8" t="e">
        <f>INDEX(meta_TypedModelElements[Property - Owning Class:src],MATCH(meta_Columns[[#This Row],[Property]],meta_TypedModelElements[ID],0))</f>
        <v>#N/A</v>
      </c>
      <c r="AK178" s="8" t="e">
        <f>INDEX(meta_TypedModelElements[Kind:src],MATCH(meta_Columns[[#This Row],[Property]],meta_TypedModelElements[ID],0))</f>
        <v>#N/A</v>
      </c>
      <c r="AL178" s="115" t="e">
        <f>INDEX(meta_TypedModelElements[Name or Type],MATCH(meta_Columns[[#This Row],[Property]],meta_TypedModelElements[ID],0))</f>
        <v>#N/A</v>
      </c>
      <c r="AM178" s="115" t="e">
        <f>INDEX(meta_TypedModelElements[Property - Changeable],MATCH(meta_Columns[[#This Row],[Property]],meta_TypedModelElements[ID],0))</f>
        <v>#N/A</v>
      </c>
      <c r="AN178" s="112">
        <v>5</v>
      </c>
      <c r="AO178" s="22">
        <v>5</v>
      </c>
      <c r="AP178"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8" s="8" t="str">
        <f xml:space="preserve"> IF(meta_Columns[[#This Row],[Property Owning Class is Specialization of Instance Class]],meta_Columns[[#This Row],[Property Owning Class Name]]&amp;" - ","")</f>
        <v/>
      </c>
      <c r="AR1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8" s="8" t="str">
        <f>IFERROR(LEFT(meta_Columns[[#This Row],[Excel Column - Label Actual without Semantic Case]],FIND("-",
meta_Columns[[#This Row],[Excel Column - Label Actual without Semantic Case]])-2),"")</f>
        <v/>
      </c>
      <c r="AU1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8" s="114"/>
      <c r="AY178" s="8" t="str">
        <f>meta_Columns[[#This Row],[Owning Table]]&amp;"."&amp;meta_Columns[[#This Row],[Excel Column - Label]]</f>
        <v>.Camel Lower</v>
      </c>
      <c r="AZ178" s="114" t="s">
        <v>1475</v>
      </c>
      <c r="BA178" s="115" t="str">
        <f>IF(TRIM(meta_Columns[[#This Row],[Excel Column - Label Overwrite]])&lt;&gt;"",meta_Columns[[#This Row],[Excel Column - Label Overwrite]],meta_Columns[[#This Row],[Excel Column - Label from Property or Referenced Table]])</f>
        <v>Camel Lower</v>
      </c>
      <c r="BB178" s="112"/>
      <c r="BC178" s="113" t="str">
        <f>IF(meta_Columns[[#This Row],[Excel Column - Explicit Excel Formula]]="","",meta_Columns[[#This Row],[Excel Column - Explicit Excel Formula]])</f>
        <v/>
      </c>
      <c r="BD178" s="116"/>
      <c r="BE178" s="116"/>
    </row>
    <row r="179" spans="1:57">
      <c r="A179" s="111" t="s">
        <v>1515</v>
      </c>
      <c r="B179" s="5"/>
      <c r="C179" s="22" t="str">
        <f xml:space="preserve"> IF( TRIM( meta_Columns[[#This Row],[Kind:src]] ) = "", "",
        INDEX( meta_Classifiers[Display Qualified], MATCH( meta_Columns[[#This Row],[Kind:src]], meta_Classifiers[ID], 0 ) ) )</f>
        <v/>
      </c>
      <c r="D179" s="113" t="str">
        <f>IF(meta_Columns[[#This Row],[Owning Table:src]]="","",INDEX(meta_Classifiers[Package],MATCH(meta_Columns[[#This Row],[Owning Table Instances Class]],meta_Classifiers[ID],0)))</f>
        <v/>
      </c>
      <c r="E179" s="112"/>
      <c r="F179" s="115" t="e">
        <f>INDEX(meta_Tables[Excel Table - Excel Name],MATCH(meta_Columns[[#This Row],[Owning Table:src]],meta_Tables[ID],0))</f>
        <v>#N/A</v>
      </c>
      <c r="G179" s="113" t="e">
        <f>INDEX(meta_Tables[Instances Class:src],MATCH(meta_Columns[[#This Row],[Owning Table:src]],meta_Tables[ID],0))</f>
        <v>#N/A</v>
      </c>
      <c r="H179" s="11"/>
      <c r="I179" s="43" t="str">
        <f xml:space="preserve"> IF( TRIM( meta_Columns[[#This Row],[Owning Table:src]] ) = "", "",
        INDEX( meta_Tables[Display Qualified], MATCH( meta_Columns[[#This Row],[Owning Table:src]], meta_Tables[ID], 0 ) ) )</f>
        <v/>
      </c>
      <c r="K179" s="22" t="str">
        <f>IF(TRIM(meta_Columns[[#This Row],[Referenced Table:src]])="","",
    INDEX(meta_Tables[Display Qualified],MATCH(meta_Columns[[#This Row],[Referenced Table:src]],meta_Tables[ID],0)))</f>
        <v/>
      </c>
      <c r="L179" s="8"/>
      <c r="M179" s="22" t="str">
        <f xml:space="preserve"> IF( TRIM( meta_Columns[[#This Row],[Referenced Table Display and Select Column:src]] ) = "", "",
        INDEX( meta_Columns[Display Qualified], MATCH( meta_Columns[[#This Row],[Referenced Table Display and Select Column:src]], meta_Columns[ID], 0 ) ) )</f>
        <v/>
      </c>
      <c r="N179" s="8" t="str">
        <f>IF(meta_Columns[[#This Row],[Excel Column - Excel Formula]]="","x","")</f>
        <v>x</v>
      </c>
      <c r="O179" s="22"/>
      <c r="P179" s="8" t="str">
        <f>IF(meta_Columns[[#This Row],[Referenced Table:src]]="","",INDEX(meta_Tables[Instances Class],MATCH(meta_Columns[[#This Row],[Referenced Table:src]],meta_Tables[ID],0)))</f>
        <v/>
      </c>
      <c r="Q17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9" s="8"/>
      <c r="S179" s="114" t="str">
        <f xml:space="preserve"> IF( TRIM( meta_Columns[[#This Row],[Property:src]] ) = "", "",
        INDEX( meta_TypedModelElements[Display Qualified], MATCH( meta_Columns[[#This Row],[Property:src]], meta_TypedModelElements[ID], 0 ) ) )</f>
        <v/>
      </c>
      <c r="T179" s="114"/>
      <c r="U179" s="8" t="e">
        <f>INDEX(meta_Classifiers[Class - Generalization:src], MATCH(meta_Columns[[#This Row],[Generalization 5]],meta_Classifiers[ID],0))</f>
        <v>#N/A</v>
      </c>
      <c r="V179" s="8" t="e">
        <f>INDEX(meta_Classifiers[Class - Generalization:src], MATCH(meta_Columns[[#This Row],[Generalization 4]],meta_Classifiers[ID],0))</f>
        <v>#N/A</v>
      </c>
      <c r="W179" s="8" t="e">
        <f>INDEX(meta_Classifiers[Class - Generalization:src], MATCH(meta_Columns[[#This Row],[Generalization 3]],meta_Classifiers[ID],0))</f>
        <v>#N/A</v>
      </c>
      <c r="X179" s="8" t="e">
        <f>INDEX(meta_Classifiers[Class - Generalization:src], MATCH(meta_Columns[[#This Row],[Generalization 2]],meta_Classifiers[ID],0))</f>
        <v>#N/A</v>
      </c>
      <c r="Y179" s="8" t="e">
        <f>INDEX(meta_Classifiers[Class - Generalization:src], MATCH(meta_Columns[[#This Row],[Generalization 1]],meta_Classifiers[ID],0))</f>
        <v>#N/A</v>
      </c>
      <c r="Z179" s="8" t="e">
        <f>INDEX(meta_Classifiers[Class - Generalization:src], MATCH(meta_Columns[[#This Row],[Owning Table Instances Class]],meta_Classifiers[ID],0))</f>
        <v>#N/A</v>
      </c>
      <c r="AA179"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9" s="8" t="b">
        <f>_xlfn.IFNA(
INDEX(meta_Classifiers[Class - Generalization:src],MATCH(
INDEX(meta_Classifiers[Class - Generalization:src],MATCH(meta_Columns[[#This Row],[Property Owning Class]],meta_Classifiers[ID],0)),meta_Classifiers[ID],0))
=meta_Columns[[#This Row],[Owning Table Instances Class]],FALSE)</f>
        <v>0</v>
      </c>
      <c r="AG179" s="8" t="b">
        <f>_xlfn.IFNA(INDEX(meta_Classifiers[Class - Generalization:src],MATCH(meta_Columns[[#This Row],[Property Owning Class]],meta_Classifiers[ID],0))=meta_Columns[[#This Row],[Owning Table Instances Class]],FALSE)</f>
        <v>0</v>
      </c>
      <c r="AH179"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9" s="8" t="e">
        <f>INDEX(meta_Classifiers[Name],MATCH(INDEX(meta_TypedModelElements[Property - Owning Class:src],MATCH(meta_Columns[[#This Row],[Property]],meta_TypedModelElements[ID],0)),meta_Classifiers[ID],0))</f>
        <v>#N/A</v>
      </c>
      <c r="AJ179" s="8" t="e">
        <f>INDEX(meta_TypedModelElements[Property - Owning Class:src],MATCH(meta_Columns[[#This Row],[Property]],meta_TypedModelElements[ID],0))</f>
        <v>#N/A</v>
      </c>
      <c r="AK179" s="8" t="e">
        <f>INDEX(meta_TypedModelElements[Kind:src],MATCH(meta_Columns[[#This Row],[Property]],meta_TypedModelElements[ID],0))</f>
        <v>#N/A</v>
      </c>
      <c r="AL179" s="115" t="e">
        <f>INDEX(meta_TypedModelElements[Name or Type],MATCH(meta_Columns[[#This Row],[Property]],meta_TypedModelElements[ID],0))</f>
        <v>#N/A</v>
      </c>
      <c r="AM179" s="115" t="e">
        <f>INDEX(meta_TypedModelElements[Property - Changeable],MATCH(meta_Columns[[#This Row],[Property]],meta_TypedModelElements[ID],0))</f>
        <v>#N/A</v>
      </c>
      <c r="AN179" s="112">
        <v>6</v>
      </c>
      <c r="AO179" s="22">
        <v>6</v>
      </c>
      <c r="AP179"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9" s="8" t="str">
        <f xml:space="preserve"> IF(meta_Columns[[#This Row],[Property Owning Class is Specialization of Instance Class]],meta_Columns[[#This Row],[Property Owning Class Name]]&amp;" - ","")</f>
        <v/>
      </c>
      <c r="AR1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9" s="8" t="str">
        <f>IFERROR(LEFT(meta_Columns[[#This Row],[Excel Column - Label Actual without Semantic Case]],FIND("-",
meta_Columns[[#This Row],[Excel Column - Label Actual without Semantic Case]])-2),"")</f>
        <v/>
      </c>
      <c r="AU1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9" s="114"/>
      <c r="AY179" s="8" t="str">
        <f>meta_Columns[[#This Row],[Owning Table]]&amp;"."&amp;meta_Columns[[#This Row],[Excel Column - Label]]</f>
        <v>.Business from Camel</v>
      </c>
      <c r="AZ179" s="114" t="s">
        <v>1476</v>
      </c>
      <c r="BA179" s="115" t="str">
        <f>IF(TRIM(meta_Columns[[#This Row],[Excel Column - Label Overwrite]])&lt;&gt;"",meta_Columns[[#This Row],[Excel Column - Label Overwrite]],meta_Columns[[#This Row],[Excel Column - Label from Property or Referenced Table]])</f>
        <v>Business from Camel</v>
      </c>
      <c r="BB179" s="112"/>
      <c r="BC179" s="113" t="str">
        <f>IF(meta_Columns[[#This Row],[Excel Column - Explicit Excel Formula]]="","",meta_Columns[[#This Row],[Excel Column - Explicit Excel Formula]])</f>
        <v/>
      </c>
      <c r="BD179" s="116"/>
      <c r="BE179" s="116"/>
    </row>
    <row r="180" spans="1:57">
      <c r="A180" s="111" t="s">
        <v>1516</v>
      </c>
      <c r="B180" s="5"/>
      <c r="C180" s="22" t="str">
        <f xml:space="preserve"> IF( TRIM( meta_Columns[[#This Row],[Kind:src]] ) = "", "",
        INDEX( meta_Classifiers[Display Qualified], MATCH( meta_Columns[[#This Row],[Kind:src]], meta_Classifiers[ID], 0 ) ) )</f>
        <v/>
      </c>
      <c r="D180" s="113" t="str">
        <f>IF(meta_Columns[[#This Row],[Owning Table:src]]="","",INDEX(meta_Classifiers[Package],MATCH(meta_Columns[[#This Row],[Owning Table Instances Class]],meta_Classifiers[ID],0)))</f>
        <v/>
      </c>
      <c r="E180" s="112"/>
      <c r="F180" s="115" t="e">
        <f>INDEX(meta_Tables[Excel Table - Excel Name],MATCH(meta_Columns[[#This Row],[Owning Table:src]],meta_Tables[ID],0))</f>
        <v>#N/A</v>
      </c>
      <c r="G180" s="113" t="e">
        <f>INDEX(meta_Tables[Instances Class:src],MATCH(meta_Columns[[#This Row],[Owning Table:src]],meta_Tables[ID],0))</f>
        <v>#N/A</v>
      </c>
      <c r="H180" s="11"/>
      <c r="I180" s="43" t="str">
        <f xml:space="preserve"> IF( TRIM( meta_Columns[[#This Row],[Owning Table:src]] ) = "", "",
        INDEX( meta_Tables[Display Qualified], MATCH( meta_Columns[[#This Row],[Owning Table:src]], meta_Tables[ID], 0 ) ) )</f>
        <v/>
      </c>
      <c r="K180" s="22" t="str">
        <f>IF(TRIM(meta_Columns[[#This Row],[Referenced Table:src]])="","",
    INDEX(meta_Tables[Display Qualified],MATCH(meta_Columns[[#This Row],[Referenced Table:src]],meta_Tables[ID],0)))</f>
        <v/>
      </c>
      <c r="L180" s="8"/>
      <c r="M180" s="22" t="str">
        <f xml:space="preserve"> IF( TRIM( meta_Columns[[#This Row],[Referenced Table Display and Select Column:src]] ) = "", "",
        INDEX( meta_Columns[Display Qualified], MATCH( meta_Columns[[#This Row],[Referenced Table Display and Select Column:src]], meta_Columns[ID], 0 ) ) )</f>
        <v/>
      </c>
      <c r="N180" s="8" t="str">
        <f>IF(meta_Columns[[#This Row],[Excel Column - Excel Formula]]="","x","")</f>
        <v>x</v>
      </c>
      <c r="O180" s="22"/>
      <c r="P180" s="8" t="str">
        <f>IF(meta_Columns[[#This Row],[Referenced Table:src]]="","",INDEX(meta_Tables[Instances Class],MATCH(meta_Columns[[#This Row],[Referenced Table:src]],meta_Tables[ID],0)))</f>
        <v/>
      </c>
      <c r="Q18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0" s="8"/>
      <c r="S180" s="114" t="str">
        <f xml:space="preserve"> IF( TRIM( meta_Columns[[#This Row],[Property:src]] ) = "", "",
        INDEX( meta_TypedModelElements[Display Qualified], MATCH( meta_Columns[[#This Row],[Property:src]], meta_TypedModelElements[ID], 0 ) ) )</f>
        <v/>
      </c>
      <c r="T180" s="114"/>
      <c r="U180" s="8" t="e">
        <f>INDEX(meta_Classifiers[Class - Generalization:src], MATCH(meta_Columns[[#This Row],[Generalization 5]],meta_Classifiers[ID],0))</f>
        <v>#N/A</v>
      </c>
      <c r="V180" s="8" t="e">
        <f>INDEX(meta_Classifiers[Class - Generalization:src], MATCH(meta_Columns[[#This Row],[Generalization 4]],meta_Classifiers[ID],0))</f>
        <v>#N/A</v>
      </c>
      <c r="W180" s="8" t="e">
        <f>INDEX(meta_Classifiers[Class - Generalization:src], MATCH(meta_Columns[[#This Row],[Generalization 3]],meta_Classifiers[ID],0))</f>
        <v>#N/A</v>
      </c>
      <c r="X180" s="8" t="e">
        <f>INDEX(meta_Classifiers[Class - Generalization:src], MATCH(meta_Columns[[#This Row],[Generalization 2]],meta_Classifiers[ID],0))</f>
        <v>#N/A</v>
      </c>
      <c r="Y180" s="8" t="e">
        <f>INDEX(meta_Classifiers[Class - Generalization:src], MATCH(meta_Columns[[#This Row],[Generalization 1]],meta_Classifiers[ID],0))</f>
        <v>#N/A</v>
      </c>
      <c r="Z180" s="8" t="e">
        <f>INDEX(meta_Classifiers[Class - Generalization:src], MATCH(meta_Columns[[#This Row],[Owning Table Instances Class]],meta_Classifiers[ID],0))</f>
        <v>#N/A</v>
      </c>
      <c r="AA180"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0" s="8" t="b">
        <f>_xlfn.IFNA(
INDEX(meta_Classifiers[Class - Generalization:src],MATCH(
INDEX(meta_Classifiers[Class - Generalization:src],MATCH(meta_Columns[[#This Row],[Property Owning Class]],meta_Classifiers[ID],0)),meta_Classifiers[ID],0))
=meta_Columns[[#This Row],[Owning Table Instances Class]],FALSE)</f>
        <v>0</v>
      </c>
      <c r="AG180" s="8" t="b">
        <f>_xlfn.IFNA(INDEX(meta_Classifiers[Class - Generalization:src],MATCH(meta_Columns[[#This Row],[Property Owning Class]],meta_Classifiers[ID],0))=meta_Columns[[#This Row],[Owning Table Instances Class]],FALSE)</f>
        <v>0</v>
      </c>
      <c r="AH180"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0" s="8" t="e">
        <f>INDEX(meta_Classifiers[Name],MATCH(INDEX(meta_TypedModelElements[Property - Owning Class:src],MATCH(meta_Columns[[#This Row],[Property]],meta_TypedModelElements[ID],0)),meta_Classifiers[ID],0))</f>
        <v>#N/A</v>
      </c>
      <c r="AJ180" s="8" t="e">
        <f>INDEX(meta_TypedModelElements[Property - Owning Class:src],MATCH(meta_Columns[[#This Row],[Property]],meta_TypedModelElements[ID],0))</f>
        <v>#N/A</v>
      </c>
      <c r="AK180" s="8" t="e">
        <f>INDEX(meta_TypedModelElements[Kind:src],MATCH(meta_Columns[[#This Row],[Property]],meta_TypedModelElements[ID],0))</f>
        <v>#N/A</v>
      </c>
      <c r="AL180" s="115" t="e">
        <f>INDEX(meta_TypedModelElements[Name or Type],MATCH(meta_Columns[[#This Row],[Property]],meta_TypedModelElements[ID],0))</f>
        <v>#N/A</v>
      </c>
      <c r="AM180" s="115" t="e">
        <f>INDEX(meta_TypedModelElements[Property - Changeable],MATCH(meta_Columns[[#This Row],[Property]],meta_TypedModelElements[ID],0))</f>
        <v>#N/A</v>
      </c>
      <c r="AN180" s="112">
        <v>7</v>
      </c>
      <c r="AO180" s="22">
        <v>7</v>
      </c>
      <c r="AP180"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0" s="8" t="str">
        <f xml:space="preserve"> IF(meta_Columns[[#This Row],[Property Owning Class is Specialization of Instance Class]],meta_Columns[[#This Row],[Property Owning Class Name]]&amp;" - ","")</f>
        <v/>
      </c>
      <c r="AR1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0" s="8" t="str">
        <f>IFERROR(LEFT(meta_Columns[[#This Row],[Excel Column - Label Actual without Semantic Case]],FIND("-",
meta_Columns[[#This Row],[Excel Column - Label Actual without Semantic Case]])-2),"")</f>
        <v/>
      </c>
      <c r="AU1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0" s="114"/>
      <c r="AY180" s="8" t="str">
        <f>meta_Columns[[#This Row],[Owning Table]]&amp;"."&amp;meta_Columns[[#This Row],[Excel Column - Label]]</f>
        <v>.Camel Upper from Business</v>
      </c>
      <c r="AZ180" s="114" t="s">
        <v>1477</v>
      </c>
      <c r="BA180" s="115" t="str">
        <f>IF(TRIM(meta_Columns[[#This Row],[Excel Column - Label Overwrite]])&lt;&gt;"",meta_Columns[[#This Row],[Excel Column - Label Overwrite]],meta_Columns[[#This Row],[Excel Column - Label from Property or Referenced Table]])</f>
        <v>Camel Upper from Business</v>
      </c>
      <c r="BB180" s="112"/>
      <c r="BC180" s="113" t="str">
        <f>IF(meta_Columns[[#This Row],[Excel Column - Explicit Excel Formula]]="","",meta_Columns[[#This Row],[Excel Column - Explicit Excel Formula]])</f>
        <v/>
      </c>
      <c r="BD180" s="116"/>
      <c r="BE180" s="116"/>
    </row>
    <row r="181" spans="1:57">
      <c r="A181" s="111" t="s">
        <v>1517</v>
      </c>
      <c r="B181" s="5"/>
      <c r="C181" s="22" t="str">
        <f xml:space="preserve"> IF( TRIM( meta_Columns[[#This Row],[Kind:src]] ) = "", "",
        INDEX( meta_Classifiers[Display Qualified], MATCH( meta_Columns[[#This Row],[Kind:src]], meta_Classifiers[ID], 0 ) ) )</f>
        <v/>
      </c>
      <c r="D181" s="113" t="str">
        <f>IF(meta_Columns[[#This Row],[Owning Table:src]]="","",INDEX(meta_Classifiers[Package],MATCH(meta_Columns[[#This Row],[Owning Table Instances Class]],meta_Classifiers[ID],0)))</f>
        <v/>
      </c>
      <c r="E181" s="112"/>
      <c r="F181" s="115" t="e">
        <f>INDEX(meta_Tables[Excel Table - Excel Name],MATCH(meta_Columns[[#This Row],[Owning Table:src]],meta_Tables[ID],0))</f>
        <v>#N/A</v>
      </c>
      <c r="G181" s="113" t="e">
        <f>INDEX(meta_Tables[Instances Class:src],MATCH(meta_Columns[[#This Row],[Owning Table:src]],meta_Tables[ID],0))</f>
        <v>#N/A</v>
      </c>
      <c r="H181" s="11"/>
      <c r="I181" s="43" t="str">
        <f xml:space="preserve"> IF( TRIM( meta_Columns[[#This Row],[Owning Table:src]] ) = "", "",
        INDEX( meta_Tables[Display Qualified], MATCH( meta_Columns[[#This Row],[Owning Table:src]], meta_Tables[ID], 0 ) ) )</f>
        <v/>
      </c>
      <c r="K181" s="22" t="str">
        <f>IF(TRIM(meta_Columns[[#This Row],[Referenced Table:src]])="","",
    INDEX(meta_Tables[Display Qualified],MATCH(meta_Columns[[#This Row],[Referenced Table:src]],meta_Tables[ID],0)))</f>
        <v/>
      </c>
      <c r="L181" s="8"/>
      <c r="M181" s="22" t="str">
        <f xml:space="preserve"> IF( TRIM( meta_Columns[[#This Row],[Referenced Table Display and Select Column:src]] ) = "", "",
        INDEX( meta_Columns[Display Qualified], MATCH( meta_Columns[[#This Row],[Referenced Table Display and Select Column:src]], meta_Columns[ID], 0 ) ) )</f>
        <v/>
      </c>
      <c r="N181" s="8" t="str">
        <f>IF(meta_Columns[[#This Row],[Excel Column - Excel Formula]]="","x","")</f>
        <v>x</v>
      </c>
      <c r="O181" s="22"/>
      <c r="P181" s="8" t="str">
        <f>IF(meta_Columns[[#This Row],[Referenced Table:src]]="","",INDEX(meta_Tables[Instances Class],MATCH(meta_Columns[[#This Row],[Referenced Table:src]],meta_Tables[ID],0)))</f>
        <v/>
      </c>
      <c r="Q18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1" s="8"/>
      <c r="S181" s="114" t="str">
        <f xml:space="preserve"> IF( TRIM( meta_Columns[[#This Row],[Property:src]] ) = "", "",
        INDEX( meta_TypedModelElements[Display Qualified], MATCH( meta_Columns[[#This Row],[Property:src]], meta_TypedModelElements[ID], 0 ) ) )</f>
        <v/>
      </c>
      <c r="T181" s="114"/>
      <c r="U181" s="8" t="e">
        <f>INDEX(meta_Classifiers[Class - Generalization:src], MATCH(meta_Columns[[#This Row],[Generalization 5]],meta_Classifiers[ID],0))</f>
        <v>#N/A</v>
      </c>
      <c r="V181" s="8" t="e">
        <f>INDEX(meta_Classifiers[Class - Generalization:src], MATCH(meta_Columns[[#This Row],[Generalization 4]],meta_Classifiers[ID],0))</f>
        <v>#N/A</v>
      </c>
      <c r="W181" s="8" t="e">
        <f>INDEX(meta_Classifiers[Class - Generalization:src], MATCH(meta_Columns[[#This Row],[Generalization 3]],meta_Classifiers[ID],0))</f>
        <v>#N/A</v>
      </c>
      <c r="X181" s="8" t="e">
        <f>INDEX(meta_Classifiers[Class - Generalization:src], MATCH(meta_Columns[[#This Row],[Generalization 2]],meta_Classifiers[ID],0))</f>
        <v>#N/A</v>
      </c>
      <c r="Y181" s="8" t="e">
        <f>INDEX(meta_Classifiers[Class - Generalization:src], MATCH(meta_Columns[[#This Row],[Generalization 1]],meta_Classifiers[ID],0))</f>
        <v>#N/A</v>
      </c>
      <c r="Z181" s="8" t="e">
        <f>INDEX(meta_Classifiers[Class - Generalization:src], MATCH(meta_Columns[[#This Row],[Owning Table Instances Class]],meta_Classifiers[ID],0))</f>
        <v>#N/A</v>
      </c>
      <c r="AA181"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1" s="8" t="b">
        <f>_xlfn.IFNA(
INDEX(meta_Classifiers[Class - Generalization:src],MATCH(
INDEX(meta_Classifiers[Class - Generalization:src],MATCH(meta_Columns[[#This Row],[Property Owning Class]],meta_Classifiers[ID],0)),meta_Classifiers[ID],0))
=meta_Columns[[#This Row],[Owning Table Instances Class]],FALSE)</f>
        <v>0</v>
      </c>
      <c r="AG181" s="8" t="b">
        <f>_xlfn.IFNA(INDEX(meta_Classifiers[Class - Generalization:src],MATCH(meta_Columns[[#This Row],[Property Owning Class]],meta_Classifiers[ID],0))=meta_Columns[[#This Row],[Owning Table Instances Class]],FALSE)</f>
        <v>0</v>
      </c>
      <c r="AH181"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1" s="8" t="e">
        <f>INDEX(meta_Classifiers[Name],MATCH(INDEX(meta_TypedModelElements[Property - Owning Class:src],MATCH(meta_Columns[[#This Row],[Property]],meta_TypedModelElements[ID],0)),meta_Classifiers[ID],0))</f>
        <v>#N/A</v>
      </c>
      <c r="AJ181" s="8" t="e">
        <f>INDEX(meta_TypedModelElements[Property - Owning Class:src],MATCH(meta_Columns[[#This Row],[Property]],meta_TypedModelElements[ID],0))</f>
        <v>#N/A</v>
      </c>
      <c r="AK181" s="8" t="e">
        <f>INDEX(meta_TypedModelElements[Kind:src],MATCH(meta_Columns[[#This Row],[Property]],meta_TypedModelElements[ID],0))</f>
        <v>#N/A</v>
      </c>
      <c r="AL181" s="115" t="e">
        <f>INDEX(meta_TypedModelElements[Name or Type],MATCH(meta_Columns[[#This Row],[Property]],meta_TypedModelElements[ID],0))</f>
        <v>#N/A</v>
      </c>
      <c r="AM181" s="115" t="e">
        <f>INDEX(meta_TypedModelElements[Property - Changeable],MATCH(meta_Columns[[#This Row],[Property]],meta_TypedModelElements[ID],0))</f>
        <v>#N/A</v>
      </c>
      <c r="AN181" s="112">
        <v>8</v>
      </c>
      <c r="AO181" s="22">
        <v>8</v>
      </c>
      <c r="AP181"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1" s="8" t="str">
        <f xml:space="preserve"> IF(meta_Columns[[#This Row],[Property Owning Class is Specialization of Instance Class]],meta_Columns[[#This Row],[Property Owning Class Name]]&amp;" - ","")</f>
        <v/>
      </c>
      <c r="AR1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1" s="8" t="str">
        <f>IFERROR(LEFT(meta_Columns[[#This Row],[Excel Column - Label Actual without Semantic Case]],FIND("-",
meta_Columns[[#This Row],[Excel Column - Label Actual without Semantic Case]])-2),"")</f>
        <v/>
      </c>
      <c r="AU1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1" s="114"/>
      <c r="AY181" s="8" t="str">
        <f>meta_Columns[[#This Row],[Owning Table]]&amp;"."&amp;meta_Columns[[#This Row],[Excel Column - Label]]</f>
        <v>.Camel Lower from Business</v>
      </c>
      <c r="AZ181" s="114" t="s">
        <v>1478</v>
      </c>
      <c r="BA181" s="115" t="str">
        <f>IF(TRIM(meta_Columns[[#This Row],[Excel Column - Label Overwrite]])&lt;&gt;"",meta_Columns[[#This Row],[Excel Column - Label Overwrite]],meta_Columns[[#This Row],[Excel Column - Label from Property or Referenced Table]])</f>
        <v>Camel Lower from Business</v>
      </c>
      <c r="BB181" s="112"/>
      <c r="BC181" s="113" t="str">
        <f>IF(meta_Columns[[#This Row],[Excel Column - Explicit Excel Formula]]="","",meta_Columns[[#This Row],[Excel Column - Explicit Excel Formula]])</f>
        <v/>
      </c>
      <c r="BD181" s="116"/>
      <c r="BE181" s="116"/>
    </row>
    <row r="182" spans="1:57">
      <c r="A182" s="111" t="s">
        <v>1518</v>
      </c>
      <c r="B182" s="5"/>
      <c r="C182" s="22" t="str">
        <f xml:space="preserve"> IF( TRIM( meta_Columns[[#This Row],[Kind:src]] ) = "", "",
        INDEX( meta_Classifiers[Display Qualified], MATCH( meta_Columns[[#This Row],[Kind:src]], meta_Classifiers[ID], 0 ) ) )</f>
        <v/>
      </c>
      <c r="D182" s="113" t="str">
        <f>IF(meta_Columns[[#This Row],[Owning Table:src]]="","",INDEX(meta_Classifiers[Package],MATCH(meta_Columns[[#This Row],[Owning Table Instances Class]],meta_Classifiers[ID],0)))</f>
        <v/>
      </c>
      <c r="E182" s="112"/>
      <c r="F182" s="115" t="e">
        <f>INDEX(meta_Tables[Excel Table - Excel Name],MATCH(meta_Columns[[#This Row],[Owning Table:src]],meta_Tables[ID],0))</f>
        <v>#N/A</v>
      </c>
      <c r="G182" s="113" t="e">
        <f>INDEX(meta_Tables[Instances Class:src],MATCH(meta_Columns[[#This Row],[Owning Table:src]],meta_Tables[ID],0))</f>
        <v>#N/A</v>
      </c>
      <c r="H182" s="11"/>
      <c r="I182" s="43" t="str">
        <f xml:space="preserve"> IF( TRIM( meta_Columns[[#This Row],[Owning Table:src]] ) = "", "",
        INDEX( meta_Tables[Display Qualified], MATCH( meta_Columns[[#This Row],[Owning Table:src]], meta_Tables[ID], 0 ) ) )</f>
        <v/>
      </c>
      <c r="K182" s="22" t="str">
        <f>IF(TRIM(meta_Columns[[#This Row],[Referenced Table:src]])="","",
    INDEX(meta_Tables[Display Qualified],MATCH(meta_Columns[[#This Row],[Referenced Table:src]],meta_Tables[ID],0)))</f>
        <v/>
      </c>
      <c r="L182" s="8"/>
      <c r="M182" s="22" t="str">
        <f xml:space="preserve"> IF( TRIM( meta_Columns[[#This Row],[Referenced Table Display and Select Column:src]] ) = "", "",
        INDEX( meta_Columns[Display Qualified], MATCH( meta_Columns[[#This Row],[Referenced Table Display and Select Column:src]], meta_Columns[ID], 0 ) ) )</f>
        <v/>
      </c>
      <c r="N182" s="8" t="str">
        <f>IF(meta_Columns[[#This Row],[Excel Column - Excel Formula]]="","x","")</f>
        <v/>
      </c>
      <c r="O182" s="22"/>
      <c r="P182" s="8" t="str">
        <f>IF(meta_Columns[[#This Row],[Referenced Table:src]]="","",INDEX(meta_Tables[Instances Class],MATCH(meta_Columns[[#This Row],[Referenced Table:src]],meta_Tables[ID],0)))</f>
        <v/>
      </c>
      <c r="Q18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2" s="8"/>
      <c r="S182" s="114" t="str">
        <f xml:space="preserve"> IF( TRIM( meta_Columns[[#This Row],[Property:src]] ) = "", "",
        INDEX( meta_TypedModelElements[Display Qualified], MATCH( meta_Columns[[#This Row],[Property:src]], meta_TypedModelElements[ID], 0 ) ) )</f>
        <v/>
      </c>
      <c r="T182" s="114"/>
      <c r="U182" s="8" t="e">
        <f>INDEX(meta_Classifiers[Class - Generalization:src], MATCH(meta_Columns[[#This Row],[Generalization 5]],meta_Classifiers[ID],0))</f>
        <v>#N/A</v>
      </c>
      <c r="V182" s="8" t="e">
        <f>INDEX(meta_Classifiers[Class - Generalization:src], MATCH(meta_Columns[[#This Row],[Generalization 4]],meta_Classifiers[ID],0))</f>
        <v>#N/A</v>
      </c>
      <c r="W182" s="8" t="e">
        <f>INDEX(meta_Classifiers[Class - Generalization:src], MATCH(meta_Columns[[#This Row],[Generalization 3]],meta_Classifiers[ID],0))</f>
        <v>#N/A</v>
      </c>
      <c r="X182" s="8" t="e">
        <f>INDEX(meta_Classifiers[Class - Generalization:src], MATCH(meta_Columns[[#This Row],[Generalization 2]],meta_Classifiers[ID],0))</f>
        <v>#N/A</v>
      </c>
      <c r="Y182" s="8" t="e">
        <f>INDEX(meta_Classifiers[Class - Generalization:src], MATCH(meta_Columns[[#This Row],[Generalization 1]],meta_Classifiers[ID],0))</f>
        <v>#N/A</v>
      </c>
      <c r="Z182" s="8" t="e">
        <f>INDEX(meta_Classifiers[Class - Generalization:src], MATCH(meta_Columns[[#This Row],[Owning Table Instances Class]],meta_Classifiers[ID],0))</f>
        <v>#N/A</v>
      </c>
      <c r="AA182"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2" s="8" t="b">
        <f>_xlfn.IFNA(
INDEX(meta_Classifiers[Class - Generalization:src],MATCH(
INDEX(meta_Classifiers[Class - Generalization:src],MATCH(meta_Columns[[#This Row],[Property Owning Class]],meta_Classifiers[ID],0)),meta_Classifiers[ID],0))
=meta_Columns[[#This Row],[Owning Table Instances Class]],FALSE)</f>
        <v>0</v>
      </c>
      <c r="AG182" s="8" t="b">
        <f>_xlfn.IFNA(INDEX(meta_Classifiers[Class - Generalization:src],MATCH(meta_Columns[[#This Row],[Property Owning Class]],meta_Classifiers[ID],0))=meta_Columns[[#This Row],[Owning Table Instances Class]],FALSE)</f>
        <v>0</v>
      </c>
      <c r="AH182"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2" s="8" t="e">
        <f>INDEX(meta_Classifiers[Name],MATCH(INDEX(meta_TypedModelElements[Property - Owning Class:src],MATCH(meta_Columns[[#This Row],[Property]],meta_TypedModelElements[ID],0)),meta_Classifiers[ID],0))</f>
        <v>#N/A</v>
      </c>
      <c r="AJ182" s="8" t="e">
        <f>INDEX(meta_TypedModelElements[Property - Owning Class:src],MATCH(meta_Columns[[#This Row],[Property]],meta_TypedModelElements[ID],0))</f>
        <v>#N/A</v>
      </c>
      <c r="AK182" s="8" t="e">
        <f>INDEX(meta_TypedModelElements[Kind:src],MATCH(meta_Columns[[#This Row],[Property]],meta_TypedModelElements[ID],0))</f>
        <v>#N/A</v>
      </c>
      <c r="AL182" s="115" t="e">
        <f>INDEX(meta_TypedModelElements[Name or Type],MATCH(meta_Columns[[#This Row],[Property]],meta_TypedModelElements[ID],0))</f>
        <v>#N/A</v>
      </c>
      <c r="AM182" s="115" t="e">
        <f>INDEX(meta_TypedModelElements[Property - Changeable],MATCH(meta_Columns[[#This Row],[Property]],meta_TypedModelElements[ID],0))</f>
        <v>#N/A</v>
      </c>
      <c r="AN182" s="112">
        <v>9</v>
      </c>
      <c r="AO182" s="22"/>
      <c r="AP182"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2" s="8" t="str">
        <f xml:space="preserve"> IF(meta_Columns[[#This Row],[Property Owning Class is Specialization of Instance Class]],meta_Columns[[#This Row],[Property Owning Class Name]]&amp;" - ","")</f>
        <v/>
      </c>
      <c r="AR1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2" s="8" t="str">
        <f>IFERROR(LEFT(meta_Columns[[#This Row],[Excel Column - Label Actual without Semantic Case]],FIND("-",
meta_Columns[[#This Row],[Excel Column - Label Actual without Semantic Case]])-2),"")</f>
        <v/>
      </c>
      <c r="AU1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2" s="114"/>
      <c r="AY182" s="8" t="str">
        <f>meta_Columns[[#This Row],[Owning Table]]&amp;"."&amp;meta_Columns[[#This Row],[Excel Column - Label]]</f>
        <v>.Conversion Check</v>
      </c>
      <c r="AZ182" s="114" t="s">
        <v>1480</v>
      </c>
      <c r="BA182" s="115" t="str">
        <f>IF(TRIM(meta_Columns[[#This Row],[Excel Column - Label Overwrite]])&lt;&gt;"",meta_Columns[[#This Row],[Excel Column - Label Overwrite]],meta_Columns[[#This Row],[Excel Column - Label from Property or Referenced Table]])</f>
        <v>Conversion Check</v>
      </c>
      <c r="BB182" s="112" t="s">
        <v>1519</v>
      </c>
      <c r="BC182" s="113" t="str">
        <f>IF(meta_Columns[[#This Row],[Excel Column - Explicit Excel Formula]]="","",meta_Columns[[#This Row],[Excel Column - Explicit Excel Formula]])</f>
        <v>Formula:=[@Business]=[@[Business from Camel]]</v>
      </c>
      <c r="BD182" s="116"/>
      <c r="BE182" s="116"/>
    </row>
    <row r="183" spans="1:57">
      <c r="A183" s="10" t="s">
        <v>1152</v>
      </c>
      <c r="B183" s="5" t="s">
        <v>546</v>
      </c>
      <c r="C183" s="22" t="str">
        <f xml:space="preserve"> IF( TRIM( meta_Columns[[#This Row],[Kind:src]] ) = "", "",
        INDEX( meta_Classifiers[Display Qualified], MATCH( meta_Columns[[#This Row],[Kind:src]], meta_Classifiers[ID], 0 ) ) )</f>
        <v>ExcelColumn</v>
      </c>
      <c r="D183" s="44" t="str">
        <f>IF(meta_Columns[[#This Row],[Owning Table:src]]="","",INDEX(meta_Classifiers[Package],MATCH(meta_Columns[[#This Row],[Owning Table Instances Class]],meta_Classifiers[ID],0)))</f>
        <v>meta</v>
      </c>
      <c r="E183" s="43"/>
      <c r="F183" s="8" t="str">
        <f>INDEX(meta_Tables[Excel Table - Excel Name],MATCH(meta_Columns[[#This Row],[Owning Table:src]],meta_Tables[ID],0))</f>
        <v>meta_PackageDocumentation</v>
      </c>
      <c r="G183" s="44" t="str">
        <f>INDEX(meta_Tables[Instances Class:src],MATCH(meta_Columns[[#This Row],[Owning Table:src]],meta_Tables[ID],0))</f>
        <v>_PackageDocumentation</v>
      </c>
      <c r="H183" s="11" t="s">
        <v>1008</v>
      </c>
      <c r="I183" s="43" t="str">
        <f xml:space="preserve"> IF( TRIM( meta_Columns[[#This Row],[Owning Table:src]] ) = "", "",
        INDEX( meta_Tables[Display Qualified], MATCH( meta_Columns[[#This Row],[Owning Table:src]], meta_Tables[ID], 0 ) ) )</f>
        <v>meta::PackageDocumentation</v>
      </c>
      <c r="K183" s="22" t="str">
        <f>IF(TRIM(meta_Columns[[#This Row],[Referenced Table:src]])="","",
    INDEX(meta_Tables[Display Qualified],MATCH(meta_Columns[[#This Row],[Referenced Table:src]],meta_Tables[ID],0)))</f>
        <v/>
      </c>
      <c r="L183" s="8"/>
      <c r="M183" s="22" t="str">
        <f xml:space="preserve"> IF( TRIM( meta_Columns[[#This Row],[Referenced Table Display and Select Column:src]] ) = "", "",
        INDEX( meta_Columns[Display Qualified], MATCH( meta_Columns[[#This Row],[Referenced Table Display and Select Column:src]], meta_Columns[ID], 0 ) ) )</f>
        <v/>
      </c>
      <c r="N183" s="8" t="str">
        <f>IF(meta_Columns[[#This Row],[Excel Column - Excel Formula]]="","x","")</f>
        <v>x</v>
      </c>
      <c r="O183" s="22"/>
      <c r="P183" s="8" t="str">
        <f>IF(meta_Columns[[#This Row],[Referenced Table:src]]="","",INDEX(meta_Tables[Instances Class],MATCH(meta_Columns[[#This Row],[Referenced Table:src]],meta_Tables[ID],0)))</f>
        <v/>
      </c>
      <c r="Q1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3" s="8" t="s">
        <v>246</v>
      </c>
      <c r="S183" s="22" t="str">
        <f xml:space="preserve"> IF( TRIM( meta_Columns[[#This Row],[Property:src]] ) = "", "",
        INDEX( meta_TypedModelElements[Display Qualified], MATCH( meta_Columns[[#This Row],[Property:src]], meta_TypedModelElements[ID], 0 ) ) )</f>
        <v>meta::Object.iD</v>
      </c>
      <c r="T183" s="22" t="s">
        <v>42</v>
      </c>
      <c r="U183" s="8" t="e">
        <f>INDEX(meta_Classifiers[Class - Generalization:src], MATCH(meta_Columns[[#This Row],[Generalization 5]],meta_Classifiers[ID],0))</f>
        <v>#N/A</v>
      </c>
      <c r="V183" s="8" t="e">
        <f>INDEX(meta_Classifiers[Class - Generalization:src], MATCH(meta_Columns[[#This Row],[Generalization 4]],meta_Classifiers[ID],0))</f>
        <v>#N/A</v>
      </c>
      <c r="W183" s="8" t="e">
        <f>INDEX(meta_Classifiers[Class - Generalization:src], MATCH(meta_Columns[[#This Row],[Generalization 3]],meta_Classifiers[ID],0))</f>
        <v>#N/A</v>
      </c>
      <c r="X183" s="8" t="e">
        <f>INDEX(meta_Classifiers[Class - Generalization:src], MATCH(meta_Columns[[#This Row],[Generalization 2]],meta_Classifiers[ID],0))</f>
        <v>#N/A</v>
      </c>
      <c r="Y183" s="8" t="str">
        <f>INDEX(meta_Classifiers[Class - Generalization:src], MATCH(meta_Columns[[#This Row],[Generalization 1]],meta_Classifiers[ID],0))</f>
        <v/>
      </c>
      <c r="Z183" s="8" t="str">
        <f>INDEX(meta_Classifiers[Class - Generalization:src], MATCH(meta_Columns[[#This Row],[Owning Table Instances Class]],meta_Classifiers[ID],0))</f>
        <v>_Object</v>
      </c>
      <c r="AA1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3" s="8" t="b">
        <f>_xlfn.IFNA(
INDEX(meta_Classifiers[Class - Generalization:src],MATCH(
INDEX(meta_Classifiers[Class - Generalization:src],MATCH(meta_Columns[[#This Row],[Property Owning Class]],meta_Classifiers[ID],0)),meta_Classifiers[ID],0))
=meta_Columns[[#This Row],[Owning Table Instances Class]],FALSE)</f>
        <v>0</v>
      </c>
      <c r="AG183" s="8" t="b">
        <f>_xlfn.IFNA(INDEX(meta_Classifiers[Class - Generalization:src],MATCH(meta_Columns[[#This Row],[Property Owning Class]],meta_Classifiers[ID],0))=meta_Columns[[#This Row],[Owning Table Instances Class]],FALSE)</f>
        <v>0</v>
      </c>
      <c r="AH1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3" s="8" t="str">
        <f>INDEX(meta_Classifiers[Name],MATCH(INDEX(meta_TypedModelElements[Property - Owning Class:src],MATCH(meta_Columns[[#This Row],[Property]],meta_TypedModelElements[ID],0)),meta_Classifiers[ID],0))</f>
        <v>Object</v>
      </c>
      <c r="AJ183" s="8" t="str">
        <f>INDEX(meta_TypedModelElements[Property - Owning Class:src],MATCH(meta_Columns[[#This Row],[Property]],meta_TypedModelElements[ID],0))</f>
        <v>_Object</v>
      </c>
      <c r="AK183" s="8" t="str">
        <f>INDEX(meta_TypedModelElements[Kind:src],MATCH(meta_Columns[[#This Row],[Property]],meta_TypedModelElements[ID],0))</f>
        <v>_Attribute</v>
      </c>
      <c r="AL183" s="8" t="str">
        <f>INDEX(meta_TypedModelElements[Name or Type],MATCH(meta_Columns[[#This Row],[Property]],meta_TypedModelElements[ID],0))</f>
        <v>ID</v>
      </c>
      <c r="AM183" s="8" t="str">
        <f>INDEX(meta_TypedModelElements[Property - Changeable],MATCH(meta_Columns[[#This Row],[Property]],meta_TypedModelElements[ID],0))</f>
        <v>x</v>
      </c>
      <c r="AN183" s="43">
        <v>1</v>
      </c>
      <c r="AO183" s="22">
        <v>1</v>
      </c>
      <c r="AP18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83" s="8" t="str">
        <f xml:space="preserve"> IF(meta_Columns[[#This Row],[Property Owning Class is Specialization of Instance Class]],meta_Columns[[#This Row],[Property Owning Class Name]]&amp;" - ","")</f>
        <v/>
      </c>
      <c r="AR18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83" s="8" t="str">
        <f>IFERROR(LEFT(meta_Columns[[#This Row],[Excel Column - Label Actual without Semantic Case]],FIND("-",
meta_Columns[[#This Row],[Excel Column - Label Actual without Semantic Case]])-2),"")</f>
        <v/>
      </c>
      <c r="AU1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83" s="22"/>
      <c r="AY183" s="8" t="str">
        <f>meta_Columns[[#This Row],[Owning Table]]&amp;"."&amp;meta_Columns[[#This Row],[Excel Column - Label]]</f>
        <v>meta::PackageDocumentation.ID</v>
      </c>
      <c r="AZ183" s="22" t="s">
        <v>0</v>
      </c>
      <c r="BA183" s="8" t="str">
        <f>IF(TRIM(meta_Columns[[#This Row],[Excel Column - Label Overwrite]])&lt;&gt;"",meta_Columns[[#This Row],[Excel Column - Label Overwrite]],meta_Columns[[#This Row],[Excel Column - Label from Property or Referenced Table]])</f>
        <v>ID</v>
      </c>
      <c r="BB183" s="43"/>
      <c r="BC183" s="44" t="str">
        <f>IF(meta_Columns[[#This Row],[Excel Column - Explicit Excel Formula]]="","",meta_Columns[[#This Row],[Excel Column - Explicit Excel Formula]])</f>
        <v/>
      </c>
      <c r="BD183" s="5"/>
      <c r="BE183" s="5"/>
    </row>
    <row r="184" spans="1:57">
      <c r="A184" s="10" t="s">
        <v>1361</v>
      </c>
      <c r="B184" s="5" t="s">
        <v>546</v>
      </c>
      <c r="C184" s="22" t="str">
        <f xml:space="preserve"> IF( TRIM( meta_Columns[[#This Row],[Kind:src]] ) = "", "",
        INDEX( meta_Classifiers[Display Qualified], MATCH( meta_Columns[[#This Row],[Kind:src]], meta_Classifiers[ID], 0 ) ) )</f>
        <v>ExcelColumn</v>
      </c>
      <c r="D184" s="44" t="str">
        <f>IF(meta_Columns[[#This Row],[Owning Table:src]]="","",INDEX(meta_Classifiers[Package],MATCH(meta_Columns[[#This Row],[Owning Table Instances Class]],meta_Classifiers[ID],0)))</f>
        <v>meta</v>
      </c>
      <c r="E184" s="43"/>
      <c r="F184" s="8" t="str">
        <f>INDEX(meta_Tables[Excel Table - Excel Name],MATCH(meta_Columns[[#This Row],[Owning Table:src]],meta_Tables[ID],0))</f>
        <v>meta_PackageDocumentation</v>
      </c>
      <c r="G184" s="44" t="str">
        <f>INDEX(meta_Tables[Instances Class:src],MATCH(meta_Columns[[#This Row],[Owning Table:src]],meta_Tables[ID],0))</f>
        <v>_PackageDocumentation</v>
      </c>
      <c r="H184" s="11" t="s">
        <v>1008</v>
      </c>
      <c r="I184" s="43" t="str">
        <f xml:space="preserve"> IF( TRIM( meta_Columns[[#This Row],[Owning Table:src]] ) = "", "",
        INDEX( meta_Tables[Display Qualified], MATCH( meta_Columns[[#This Row],[Owning Table:src]], meta_Tables[ID], 0 ) ) )</f>
        <v>meta::PackageDocumentation</v>
      </c>
      <c r="K184" s="22" t="str">
        <f>IF(TRIM(meta_Columns[[#This Row],[Referenced Table:src]])="","",
    INDEX(meta_Tables[Display Qualified],MATCH(meta_Columns[[#This Row],[Referenced Table:src]],meta_Tables[ID],0)))</f>
        <v/>
      </c>
      <c r="L184" s="8"/>
      <c r="M184" s="22" t="str">
        <f xml:space="preserve"> IF( TRIM( meta_Columns[[#This Row],[Referenced Table Display and Select Column:src]] ) = "", "",
        INDEX( meta_Columns[Display Qualified], MATCH( meta_Columns[[#This Row],[Referenced Table Display and Select Column:src]], meta_Columns[ID], 0 ) ) )</f>
        <v/>
      </c>
      <c r="N184" s="8" t="str">
        <f>IF(meta_Columns[[#This Row],[Excel Column - Excel Formula]]="","x","")</f>
        <v/>
      </c>
      <c r="O184" s="22"/>
      <c r="P184" s="8" t="str">
        <f>IF(meta_Columns[[#This Row],[Referenced Table:src]]="","",INDEX(meta_Tables[Instances Class],MATCH(meta_Columns[[#This Row],[Referenced Table:src]],meta_Tables[ID],0)))</f>
        <v/>
      </c>
      <c r="Q1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4" s="8" t="s">
        <v>247</v>
      </c>
      <c r="S184" s="22" t="str">
        <f xml:space="preserve"> IF( TRIM( meta_Columns[[#This Row],[Property:src]] ) = "", "",
        INDEX( meta_TypedModelElements[Display Qualified], MATCH( meta_Columns[[#This Row],[Property:src]], meta_TypedModelElements[ID], 0 ) ) )</f>
        <v>meta::Object.kind</v>
      </c>
      <c r="T184" s="22" t="s">
        <v>42</v>
      </c>
      <c r="U184" s="8" t="e">
        <f>INDEX(meta_Classifiers[Class - Generalization:src], MATCH(meta_Columns[[#This Row],[Generalization 5]],meta_Classifiers[ID],0))</f>
        <v>#N/A</v>
      </c>
      <c r="V184" s="8" t="e">
        <f>INDEX(meta_Classifiers[Class - Generalization:src], MATCH(meta_Columns[[#This Row],[Generalization 4]],meta_Classifiers[ID],0))</f>
        <v>#N/A</v>
      </c>
      <c r="W184" s="8" t="e">
        <f>INDEX(meta_Classifiers[Class - Generalization:src], MATCH(meta_Columns[[#This Row],[Generalization 3]],meta_Classifiers[ID],0))</f>
        <v>#N/A</v>
      </c>
      <c r="X184" s="8" t="e">
        <f>INDEX(meta_Classifiers[Class - Generalization:src], MATCH(meta_Columns[[#This Row],[Generalization 2]],meta_Classifiers[ID],0))</f>
        <v>#N/A</v>
      </c>
      <c r="Y184" s="8" t="str">
        <f>INDEX(meta_Classifiers[Class - Generalization:src], MATCH(meta_Columns[[#This Row],[Generalization 1]],meta_Classifiers[ID],0))</f>
        <v/>
      </c>
      <c r="Z184" s="8" t="str">
        <f>INDEX(meta_Classifiers[Class - Generalization:src], MATCH(meta_Columns[[#This Row],[Owning Table Instances Class]],meta_Classifiers[ID],0))</f>
        <v>_Object</v>
      </c>
      <c r="AA1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4" s="8" t="b">
        <f>_xlfn.IFNA(
INDEX(meta_Classifiers[Class - Generalization:src],MATCH(
INDEX(meta_Classifiers[Class - Generalization:src],MATCH(meta_Columns[[#This Row],[Property Owning Class]],meta_Classifiers[ID],0)),meta_Classifiers[ID],0))
=meta_Columns[[#This Row],[Owning Table Instances Class]],FALSE)</f>
        <v>0</v>
      </c>
      <c r="AG184" s="8" t="b">
        <f>_xlfn.IFNA(INDEX(meta_Classifiers[Class - Generalization:src],MATCH(meta_Columns[[#This Row],[Property Owning Class]],meta_Classifiers[ID],0))=meta_Columns[[#This Row],[Owning Table Instances Class]],FALSE)</f>
        <v>0</v>
      </c>
      <c r="AH1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4" s="8" t="str">
        <f>INDEX(meta_Classifiers[Name],MATCH(INDEX(meta_TypedModelElements[Property - Owning Class:src],MATCH(meta_Columns[[#This Row],[Property]],meta_TypedModelElements[ID],0)),meta_Classifiers[ID],0))</f>
        <v>Object</v>
      </c>
      <c r="AJ184" s="8" t="str">
        <f>INDEX(meta_TypedModelElements[Property - Owning Class:src],MATCH(meta_Columns[[#This Row],[Property]],meta_TypedModelElements[ID],0))</f>
        <v>_Object</v>
      </c>
      <c r="AK184" s="8" t="str">
        <f>INDEX(meta_TypedModelElements[Kind:src],MATCH(meta_Columns[[#This Row],[Property]],meta_TypedModelElements[ID],0))</f>
        <v>_Reference</v>
      </c>
      <c r="AL184" s="8" t="str">
        <f>INDEX(meta_TypedModelElements[Name or Type],MATCH(meta_Columns[[#This Row],[Property]],meta_TypedModelElements[ID],0))</f>
        <v>Kind</v>
      </c>
      <c r="AM184" s="8" t="str">
        <f>INDEX(meta_TypedModelElements[Property - Changeable],MATCH(meta_Columns[[#This Row],[Property]],meta_TypedModelElements[ID],0))</f>
        <v>x</v>
      </c>
      <c r="AN184" s="43">
        <v>2</v>
      </c>
      <c r="AO184" s="22"/>
      <c r="AP18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84" s="8" t="str">
        <f xml:space="preserve"> IF(meta_Columns[[#This Row],[Property Owning Class is Specialization of Instance Class]],meta_Columns[[#This Row],[Property Owning Class Name]]&amp;" - ","")</f>
        <v/>
      </c>
      <c r="AR18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4" s="8" t="str">
        <f>IFERROR(LEFT(meta_Columns[[#This Row],[Excel Column - Label Actual without Semantic Case]],FIND("-",
meta_Columns[[#This Row],[Excel Column - Label Actual without Semantic Case]])-2),"")</f>
        <v/>
      </c>
      <c r="AU1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84" s="22"/>
      <c r="AY184" s="8" t="str">
        <f>meta_Columns[[#This Row],[Owning Table]]&amp;"."&amp;meta_Columns[[#This Row],[Excel Column - Label]]</f>
        <v>meta::PackageDocumentation.Kind:src</v>
      </c>
      <c r="AZ184" s="22" t="s">
        <v>230</v>
      </c>
      <c r="BA184" s="8" t="str">
        <f>IF(TRIM(meta_Columns[[#This Row],[Excel Column - Label Overwrite]])&lt;&gt;"",meta_Columns[[#This Row],[Excel Column - Label Overwrite]],meta_Columns[[#This Row],[Excel Column - Label from Property or Referenced Table]])</f>
        <v>Kind:src</v>
      </c>
      <c r="BB184" s="43" t="s">
        <v>1343</v>
      </c>
      <c r="BC184" s="44" t="str">
        <f>IF(meta_Columns[[#This Row],[Excel Column - Explicit Excel Formula]]="","",meta_Columns[[#This Row],[Excel Column - Explicit Excel Formula]])</f>
        <v>Formula:=IF([@[Kind:srcLastSaved]]="",IF([@Kind]="","",INDEX(meta_Classifiers[ID],MATCH([@Kind],meta_Classifiers[Display Qualified],0))),[@[Kind:srcLastSaved]])</v>
      </c>
      <c r="BD184" s="5"/>
      <c r="BE184" s="5"/>
    </row>
    <row r="185" spans="1:57">
      <c r="A185" s="10" t="s">
        <v>1362</v>
      </c>
      <c r="B185" s="5" t="s">
        <v>546</v>
      </c>
      <c r="C185" s="22" t="str">
        <f xml:space="preserve"> IF( TRIM( meta_Columns[[#This Row],[Kind:src]] ) = "", "",
        INDEX( meta_Classifiers[Display Qualified], MATCH( meta_Columns[[#This Row],[Kind:src]], meta_Classifiers[ID], 0 ) ) )</f>
        <v>ExcelColumn</v>
      </c>
      <c r="D185" s="44" t="str">
        <f>IF(meta_Columns[[#This Row],[Owning Table:src]]="","",INDEX(meta_Classifiers[Package],MATCH(meta_Columns[[#This Row],[Owning Table Instances Class]],meta_Classifiers[ID],0)))</f>
        <v>meta</v>
      </c>
      <c r="E185" s="43"/>
      <c r="F185" s="8" t="str">
        <f>INDEX(meta_Tables[Excel Table - Excel Name],MATCH(meta_Columns[[#This Row],[Owning Table:src]],meta_Tables[ID],0))</f>
        <v>meta_PackageDocumentation</v>
      </c>
      <c r="G185" s="44" t="str">
        <f>INDEX(meta_Tables[Instances Class:src],MATCH(meta_Columns[[#This Row],[Owning Table:src]],meta_Tables[ID],0))</f>
        <v>_PackageDocumentation</v>
      </c>
      <c r="H185" s="11" t="s">
        <v>1008</v>
      </c>
      <c r="I185" s="43" t="str">
        <f xml:space="preserve"> IF( TRIM( meta_Columns[[#This Row],[Owning Table:src]] ) = "", "",
        INDEX( meta_Tables[Display Qualified], MATCH( meta_Columns[[#This Row],[Owning Table:src]], meta_Tables[ID], 0 ) ) )</f>
        <v>meta::PackageDocumentation</v>
      </c>
      <c r="K185" s="22" t="str">
        <f>IF(TRIM(meta_Columns[[#This Row],[Referenced Table:src]])="","",
    INDEX(meta_Tables[Display Qualified],MATCH(meta_Columns[[#This Row],[Referenced Table:src]],meta_Tables[ID],0)))</f>
        <v/>
      </c>
      <c r="L185" s="8"/>
      <c r="M185" s="22" t="str">
        <f xml:space="preserve"> IF( TRIM( meta_Columns[[#This Row],[Referenced Table Display and Select Column:src]] ) = "", "",
        INDEX( meta_Columns[Display Qualified], MATCH( meta_Columns[[#This Row],[Referenced Table Display and Select Column:src]], meta_Columns[ID], 0 ) ) )</f>
        <v/>
      </c>
      <c r="N185" s="8" t="str">
        <f>IF(meta_Columns[[#This Row],[Excel Column - Excel Formula]]="","x","")</f>
        <v>x</v>
      </c>
      <c r="O185" s="22"/>
      <c r="P185" s="8" t="str">
        <f>IF(meta_Columns[[#This Row],[Referenced Table:src]]="","",INDEX(meta_Tables[Instances Class],MATCH(meta_Columns[[#This Row],[Referenced Table:src]],meta_Tables[ID],0)))</f>
        <v/>
      </c>
      <c r="Q1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5" s="8" t="s">
        <v>247</v>
      </c>
      <c r="S185" s="22" t="str">
        <f xml:space="preserve"> IF( TRIM( meta_Columns[[#This Row],[Property:src]] ) = "", "",
        INDEX( meta_TypedModelElements[Display Qualified], MATCH( meta_Columns[[#This Row],[Property:src]], meta_TypedModelElements[ID], 0 ) ) )</f>
        <v>meta::Object.kind</v>
      </c>
      <c r="T185" s="22"/>
      <c r="U185" s="8" t="e">
        <f>INDEX(meta_Classifiers[Class - Generalization:src], MATCH(meta_Columns[[#This Row],[Generalization 5]],meta_Classifiers[ID],0))</f>
        <v>#N/A</v>
      </c>
      <c r="V185" s="8" t="e">
        <f>INDEX(meta_Classifiers[Class - Generalization:src], MATCH(meta_Columns[[#This Row],[Generalization 4]],meta_Classifiers[ID],0))</f>
        <v>#N/A</v>
      </c>
      <c r="W185" s="8" t="e">
        <f>INDEX(meta_Classifiers[Class - Generalization:src], MATCH(meta_Columns[[#This Row],[Generalization 3]],meta_Classifiers[ID],0))</f>
        <v>#N/A</v>
      </c>
      <c r="X185" s="8" t="e">
        <f>INDEX(meta_Classifiers[Class - Generalization:src], MATCH(meta_Columns[[#This Row],[Generalization 2]],meta_Classifiers[ID],0))</f>
        <v>#N/A</v>
      </c>
      <c r="Y185" s="8" t="str">
        <f>INDEX(meta_Classifiers[Class - Generalization:src], MATCH(meta_Columns[[#This Row],[Generalization 1]],meta_Classifiers[ID],0))</f>
        <v/>
      </c>
      <c r="Z185" s="8" t="str">
        <f>INDEX(meta_Classifiers[Class - Generalization:src], MATCH(meta_Columns[[#This Row],[Owning Table Instances Class]],meta_Classifiers[ID],0))</f>
        <v>_Object</v>
      </c>
      <c r="AA1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5" s="8" t="b">
        <f>_xlfn.IFNA(
INDEX(meta_Classifiers[Class - Generalization:src],MATCH(
INDEX(meta_Classifiers[Class - Generalization:src],MATCH(meta_Columns[[#This Row],[Property Owning Class]],meta_Classifiers[ID],0)),meta_Classifiers[ID],0))
=meta_Columns[[#This Row],[Owning Table Instances Class]],FALSE)</f>
        <v>0</v>
      </c>
      <c r="AG185" s="8" t="b">
        <f>_xlfn.IFNA(INDEX(meta_Classifiers[Class - Generalization:src],MATCH(meta_Columns[[#This Row],[Property Owning Class]],meta_Classifiers[ID],0))=meta_Columns[[#This Row],[Owning Table Instances Class]],FALSE)</f>
        <v>0</v>
      </c>
      <c r="AH1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5" s="8" t="str">
        <f>INDEX(meta_Classifiers[Name],MATCH(INDEX(meta_TypedModelElements[Property - Owning Class:src],MATCH(meta_Columns[[#This Row],[Property]],meta_TypedModelElements[ID],0)),meta_Classifiers[ID],0))</f>
        <v>Object</v>
      </c>
      <c r="AJ185" s="8" t="str">
        <f>INDEX(meta_TypedModelElements[Property - Owning Class:src],MATCH(meta_Columns[[#This Row],[Property]],meta_TypedModelElements[ID],0))</f>
        <v>_Object</v>
      </c>
      <c r="AK185" s="8" t="str">
        <f>INDEX(meta_TypedModelElements[Kind:src],MATCH(meta_Columns[[#This Row],[Property]],meta_TypedModelElements[ID],0))</f>
        <v>_Reference</v>
      </c>
      <c r="AL185" s="8" t="str">
        <f>INDEX(meta_TypedModelElements[Name or Type],MATCH(meta_Columns[[#This Row],[Property]],meta_TypedModelElements[ID],0))</f>
        <v>Kind</v>
      </c>
      <c r="AM185" s="8" t="str">
        <f>INDEX(meta_TypedModelElements[Property - Changeable],MATCH(meta_Columns[[#This Row],[Property]],meta_TypedModelElements[ID],0))</f>
        <v>x</v>
      </c>
      <c r="AN185" s="43">
        <v>3</v>
      </c>
      <c r="AO185" s="22">
        <v>3</v>
      </c>
      <c r="AP18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85" s="8" t="str">
        <f xml:space="preserve"> IF(meta_Columns[[#This Row],[Property Owning Class is Specialization of Instance Class]],meta_Columns[[#This Row],[Property Owning Class Name]]&amp;" - ","")</f>
        <v/>
      </c>
      <c r="AR18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5" s="8" t="str">
        <f>IFERROR(LEFT(meta_Columns[[#This Row],[Excel Column - Label Actual without Semantic Case]],FIND("-",
meta_Columns[[#This Row],[Excel Column - Label Actual without Semantic Case]])-2),"")</f>
        <v/>
      </c>
      <c r="AU1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85" s="22"/>
      <c r="AY185" s="8" t="str">
        <f>meta_Columns[[#This Row],[Owning Table]]&amp;"."&amp;meta_Columns[[#This Row],[Excel Column - Label]]</f>
        <v>meta::PackageDocumentation.Kind</v>
      </c>
      <c r="AZ185" s="22" t="s">
        <v>5</v>
      </c>
      <c r="BA185" s="8" t="str">
        <f>IF(TRIM(meta_Columns[[#This Row],[Excel Column - Label Overwrite]])&lt;&gt;"",meta_Columns[[#This Row],[Excel Column - Label Overwrite]],meta_Columns[[#This Row],[Excel Column - Label from Property or Referenced Table]])</f>
        <v>Kind</v>
      </c>
      <c r="BB185" s="43"/>
      <c r="BC185" s="44" t="str">
        <f>IF(meta_Columns[[#This Row],[Excel Column - Explicit Excel Formula]]="","",meta_Columns[[#This Row],[Excel Column - Explicit Excel Formula]])</f>
        <v/>
      </c>
      <c r="BD185" s="5"/>
      <c r="BE185" s="5"/>
    </row>
    <row r="186" spans="1:57">
      <c r="A186" s="10" t="s">
        <v>1363</v>
      </c>
      <c r="B186" s="5" t="s">
        <v>546</v>
      </c>
      <c r="C186" s="22" t="str">
        <f xml:space="preserve"> IF( TRIM( meta_Columns[[#This Row],[Kind:src]] ) = "", "",
        INDEX( meta_Classifiers[Display Qualified], MATCH( meta_Columns[[#This Row],[Kind:src]], meta_Classifiers[ID], 0 ) ) )</f>
        <v>ExcelColumn</v>
      </c>
      <c r="D186" s="44" t="str">
        <f>IF(meta_Columns[[#This Row],[Owning Table:src]]="","",INDEX(meta_Classifiers[Package],MATCH(meta_Columns[[#This Row],[Owning Table Instances Class]],meta_Classifiers[ID],0)))</f>
        <v>meta</v>
      </c>
      <c r="E186" s="43"/>
      <c r="F186" s="8" t="str">
        <f>INDEX(meta_Tables[Excel Table - Excel Name],MATCH(meta_Columns[[#This Row],[Owning Table:src]],meta_Tables[ID],0))</f>
        <v>meta_PackageDocumentation</v>
      </c>
      <c r="G186" s="44" t="str">
        <f>INDEX(meta_Tables[Instances Class:src],MATCH(meta_Columns[[#This Row],[Owning Table:src]],meta_Tables[ID],0))</f>
        <v>_PackageDocumentation</v>
      </c>
      <c r="H186" s="11" t="s">
        <v>1008</v>
      </c>
      <c r="I186" s="43" t="str">
        <f xml:space="preserve"> IF( TRIM( meta_Columns[[#This Row],[Owning Table:src]] ) = "", "",
        INDEX( meta_Tables[Display Qualified], MATCH( meta_Columns[[#This Row],[Owning Table:src]], meta_Tables[ID], 0 ) ) )</f>
        <v>meta::PackageDocumentation</v>
      </c>
      <c r="K186" s="22" t="str">
        <f>IF(TRIM(meta_Columns[[#This Row],[Referenced Table:src]])="","",
    INDEX(meta_Tables[Display Qualified],MATCH(meta_Columns[[#This Row],[Referenced Table:src]],meta_Tables[ID],0)))</f>
        <v/>
      </c>
      <c r="L186" s="8"/>
      <c r="M186" s="22" t="str">
        <f xml:space="preserve"> IF( TRIM( meta_Columns[[#This Row],[Referenced Table Display and Select Column:src]] ) = "", "",
        INDEX( meta_Columns[Display Qualified], MATCH( meta_Columns[[#This Row],[Referenced Table Display and Select Column:src]], meta_Columns[ID], 0 ) ) )</f>
        <v/>
      </c>
      <c r="N186" s="8" t="str">
        <f>IF(meta_Columns[[#This Row],[Excel Column - Excel Formula]]="","x","")</f>
        <v>x</v>
      </c>
      <c r="O186" s="22"/>
      <c r="P186" s="8" t="str">
        <f>IF(meta_Columns[[#This Row],[Referenced Table:src]]="","",INDEX(meta_Tables[Instances Class],MATCH(meta_Columns[[#This Row],[Referenced Table:src]],meta_Tables[ID],0)))</f>
        <v/>
      </c>
      <c r="Q1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6" s="8" t="s">
        <v>248</v>
      </c>
      <c r="S186" s="22" t="str">
        <f xml:space="preserve"> IF( TRIM( meta_Columns[[#This Row],[Property:src]] ) = "", "",
        INDEX( meta_TypedModelElements[Display Qualified], MATCH( meta_Columns[[#This Row],[Property:src]], meta_TypedModelElements[ID], 0 ) ) )</f>
        <v>meta::Object.package</v>
      </c>
      <c r="T186" s="22"/>
      <c r="U186" s="8" t="e">
        <f>INDEX(meta_Classifiers[Class - Generalization:src], MATCH(meta_Columns[[#This Row],[Generalization 5]],meta_Classifiers[ID],0))</f>
        <v>#N/A</v>
      </c>
      <c r="V186" s="8" t="e">
        <f>INDEX(meta_Classifiers[Class - Generalization:src], MATCH(meta_Columns[[#This Row],[Generalization 4]],meta_Classifiers[ID],0))</f>
        <v>#N/A</v>
      </c>
      <c r="W186" s="8" t="e">
        <f>INDEX(meta_Classifiers[Class - Generalization:src], MATCH(meta_Columns[[#This Row],[Generalization 3]],meta_Classifiers[ID],0))</f>
        <v>#N/A</v>
      </c>
      <c r="X186" s="8" t="e">
        <f>INDEX(meta_Classifiers[Class - Generalization:src], MATCH(meta_Columns[[#This Row],[Generalization 2]],meta_Classifiers[ID],0))</f>
        <v>#N/A</v>
      </c>
      <c r="Y186" s="8" t="str">
        <f>INDEX(meta_Classifiers[Class - Generalization:src], MATCH(meta_Columns[[#This Row],[Generalization 1]],meta_Classifiers[ID],0))</f>
        <v/>
      </c>
      <c r="Z186" s="8" t="str">
        <f>INDEX(meta_Classifiers[Class - Generalization:src], MATCH(meta_Columns[[#This Row],[Owning Table Instances Class]],meta_Classifiers[ID],0))</f>
        <v>_Object</v>
      </c>
      <c r="AA1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6" s="8" t="b">
        <f>_xlfn.IFNA(
INDEX(meta_Classifiers[Class - Generalization:src],MATCH(
INDEX(meta_Classifiers[Class - Generalization:src],MATCH(meta_Columns[[#This Row],[Property Owning Class]],meta_Classifiers[ID],0)),meta_Classifiers[ID],0))
=meta_Columns[[#This Row],[Owning Table Instances Class]],FALSE)</f>
        <v>0</v>
      </c>
      <c r="AG186" s="8" t="b">
        <f>_xlfn.IFNA(INDEX(meta_Classifiers[Class - Generalization:src],MATCH(meta_Columns[[#This Row],[Property Owning Class]],meta_Classifiers[ID],0))=meta_Columns[[#This Row],[Owning Table Instances Class]],FALSE)</f>
        <v>0</v>
      </c>
      <c r="AH1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6" s="8" t="str">
        <f>INDEX(meta_Classifiers[Name],MATCH(INDEX(meta_TypedModelElements[Property - Owning Class:src],MATCH(meta_Columns[[#This Row],[Property]],meta_TypedModelElements[ID],0)),meta_Classifiers[ID],0))</f>
        <v>Object</v>
      </c>
      <c r="AJ186" s="8" t="str">
        <f>INDEX(meta_TypedModelElements[Property - Owning Class:src],MATCH(meta_Columns[[#This Row],[Property]],meta_TypedModelElements[ID],0))</f>
        <v>_Object</v>
      </c>
      <c r="AK186" s="8" t="str">
        <f>INDEX(meta_TypedModelElements[Kind:src],MATCH(meta_Columns[[#This Row],[Property]],meta_TypedModelElements[ID],0))</f>
        <v>_Attribute</v>
      </c>
      <c r="AL186" s="8" t="str">
        <f>INDEX(meta_TypedModelElements[Name or Type],MATCH(meta_Columns[[#This Row],[Property]],meta_TypedModelElements[ID],0))</f>
        <v>Package</v>
      </c>
      <c r="AM186" s="8" t="str">
        <f>INDEX(meta_TypedModelElements[Property - Changeable],MATCH(meta_Columns[[#This Row],[Property]],meta_TypedModelElements[ID],0))</f>
        <v>x</v>
      </c>
      <c r="AN186" s="43">
        <v>4</v>
      </c>
      <c r="AO186" s="22">
        <v>4</v>
      </c>
      <c r="AP18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86" s="8" t="str">
        <f xml:space="preserve"> IF(meta_Columns[[#This Row],[Property Owning Class is Specialization of Instance Class]],meta_Columns[[#This Row],[Property Owning Class Name]]&amp;" - ","")</f>
        <v/>
      </c>
      <c r="AR18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86" s="8" t="str">
        <f>IFERROR(LEFT(meta_Columns[[#This Row],[Excel Column - Label Actual without Semantic Case]],FIND("-",
meta_Columns[[#This Row],[Excel Column - Label Actual without Semantic Case]])-2),"")</f>
        <v/>
      </c>
      <c r="AU1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86" s="22"/>
      <c r="AY186" s="8" t="str">
        <f>meta_Columns[[#This Row],[Owning Table]]&amp;"."&amp;meta_Columns[[#This Row],[Excel Column - Label]]</f>
        <v>meta::PackageDocumentation.Package</v>
      </c>
      <c r="AZ186" s="22" t="s">
        <v>120</v>
      </c>
      <c r="BA186" s="8" t="str">
        <f>IF(TRIM(meta_Columns[[#This Row],[Excel Column - Label Overwrite]])&lt;&gt;"",meta_Columns[[#This Row],[Excel Column - Label Overwrite]],meta_Columns[[#This Row],[Excel Column - Label from Property or Referenced Table]])</f>
        <v>Package</v>
      </c>
      <c r="BB186" s="43"/>
      <c r="BC186" s="44" t="str">
        <f>IF(meta_Columns[[#This Row],[Excel Column - Explicit Excel Formula]]="","",meta_Columns[[#This Row],[Excel Column - Explicit Excel Formula]])</f>
        <v/>
      </c>
      <c r="BD186" s="5"/>
      <c r="BE186" s="5"/>
    </row>
    <row r="187" spans="1:57">
      <c r="A187" s="10" t="s">
        <v>1153</v>
      </c>
      <c r="B187" s="5" t="s">
        <v>546</v>
      </c>
      <c r="C187" s="22" t="str">
        <f xml:space="preserve"> IF( TRIM( meta_Columns[[#This Row],[Kind:src]] ) = "", "",
        INDEX( meta_Classifiers[Display Qualified], MATCH( meta_Columns[[#This Row],[Kind:src]], meta_Classifiers[ID], 0 ) ) )</f>
        <v>ExcelColumn</v>
      </c>
      <c r="D187" s="44" t="str">
        <f>IF(meta_Columns[[#This Row],[Owning Table:src]]="","",INDEX(meta_Classifiers[Package],MATCH(meta_Columns[[#This Row],[Owning Table Instances Class]],meta_Classifiers[ID],0)))</f>
        <v>meta</v>
      </c>
      <c r="E187" s="43"/>
      <c r="F187" s="8" t="str">
        <f>INDEX(meta_Tables[Excel Table - Excel Name],MATCH(meta_Columns[[#This Row],[Owning Table:src]],meta_Tables[ID],0))</f>
        <v>meta_PackageDocumentation</v>
      </c>
      <c r="G187" s="44" t="str">
        <f>INDEX(meta_Tables[Instances Class:src],MATCH(meta_Columns[[#This Row],[Owning Table:src]],meta_Tables[ID],0))</f>
        <v>_PackageDocumentation</v>
      </c>
      <c r="H187" s="11" t="s">
        <v>1008</v>
      </c>
      <c r="I187" s="43" t="str">
        <f xml:space="preserve"> IF( TRIM( meta_Columns[[#This Row],[Owning Table:src]] ) = "", "",
        INDEX( meta_Tables[Display Qualified], MATCH( meta_Columns[[#This Row],[Owning Table:src]], meta_Tables[ID], 0 ) ) )</f>
        <v>meta::PackageDocumentation</v>
      </c>
      <c r="K187" s="22" t="str">
        <f>IF(TRIM(meta_Columns[[#This Row],[Referenced Table:src]])="","",
    INDEX(meta_Tables[Display Qualified],MATCH(meta_Columns[[#This Row],[Referenced Table:src]],meta_Tables[ID],0)))</f>
        <v/>
      </c>
      <c r="L187" s="8"/>
      <c r="M187" s="22" t="str">
        <f xml:space="preserve"> IF( TRIM( meta_Columns[[#This Row],[Referenced Table Display and Select Column:src]] ) = "", "",
        INDEX( meta_Columns[Display Qualified], MATCH( meta_Columns[[#This Row],[Referenced Table Display and Select Column:src]], meta_Columns[ID], 0 ) ) )</f>
        <v/>
      </c>
      <c r="N187" s="8" t="str">
        <f>IF(meta_Columns[[#This Row],[Excel Column - Excel Formula]]="","x","")</f>
        <v>x</v>
      </c>
      <c r="O187" s="22"/>
      <c r="P187" s="8" t="str">
        <f>IF(meta_Columns[[#This Row],[Referenced Table:src]]="","",INDEX(meta_Tables[Instances Class],MATCH(meta_Columns[[#This Row],[Referenced Table:src]],meta_Tables[ID],0)))</f>
        <v/>
      </c>
      <c r="Q1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7" s="8" t="s">
        <v>460</v>
      </c>
      <c r="S187" s="22" t="str">
        <f xml:space="preserve"> IF( TRIM( meta_Columns[[#This Row],[Property:src]] ) = "", "",
        INDEX( meta_TypedModelElements[Display Qualified], MATCH( meta_Columns[[#This Row],[Property:src]], meta_TypedModelElements[ID], 0 ) ) )</f>
        <v>meta::Object.subPackage</v>
      </c>
      <c r="T187" s="22" t="s">
        <v>42</v>
      </c>
      <c r="U187" s="8" t="e">
        <f>INDEX(meta_Classifiers[Class - Generalization:src], MATCH(meta_Columns[[#This Row],[Generalization 5]],meta_Classifiers[ID],0))</f>
        <v>#N/A</v>
      </c>
      <c r="V187" s="8" t="e">
        <f>INDEX(meta_Classifiers[Class - Generalization:src], MATCH(meta_Columns[[#This Row],[Generalization 4]],meta_Classifiers[ID],0))</f>
        <v>#N/A</v>
      </c>
      <c r="W187" s="8" t="e">
        <f>INDEX(meta_Classifiers[Class - Generalization:src], MATCH(meta_Columns[[#This Row],[Generalization 3]],meta_Classifiers[ID],0))</f>
        <v>#N/A</v>
      </c>
      <c r="X187" s="8" t="e">
        <f>INDEX(meta_Classifiers[Class - Generalization:src], MATCH(meta_Columns[[#This Row],[Generalization 2]],meta_Classifiers[ID],0))</f>
        <v>#N/A</v>
      </c>
      <c r="Y187" s="8" t="str">
        <f>INDEX(meta_Classifiers[Class - Generalization:src], MATCH(meta_Columns[[#This Row],[Generalization 1]],meta_Classifiers[ID],0))</f>
        <v/>
      </c>
      <c r="Z187" s="8" t="str">
        <f>INDEX(meta_Classifiers[Class - Generalization:src], MATCH(meta_Columns[[#This Row],[Owning Table Instances Class]],meta_Classifiers[ID],0))</f>
        <v>_Object</v>
      </c>
      <c r="AA1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7" s="8" t="b">
        <f>_xlfn.IFNA(
INDEX(meta_Classifiers[Class - Generalization:src],MATCH(
INDEX(meta_Classifiers[Class - Generalization:src],MATCH(meta_Columns[[#This Row],[Property Owning Class]],meta_Classifiers[ID],0)),meta_Classifiers[ID],0))
=meta_Columns[[#This Row],[Owning Table Instances Class]],FALSE)</f>
        <v>0</v>
      </c>
      <c r="AG187" s="8" t="b">
        <f>_xlfn.IFNA(INDEX(meta_Classifiers[Class - Generalization:src],MATCH(meta_Columns[[#This Row],[Property Owning Class]],meta_Classifiers[ID],0))=meta_Columns[[#This Row],[Owning Table Instances Class]],FALSE)</f>
        <v>0</v>
      </c>
      <c r="AH1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7" s="8" t="str">
        <f>INDEX(meta_Classifiers[Name],MATCH(INDEX(meta_TypedModelElements[Property - Owning Class:src],MATCH(meta_Columns[[#This Row],[Property]],meta_TypedModelElements[ID],0)),meta_Classifiers[ID],0))</f>
        <v>Object</v>
      </c>
      <c r="AJ187" s="8" t="str">
        <f>INDEX(meta_TypedModelElements[Property - Owning Class:src],MATCH(meta_Columns[[#This Row],[Property]],meta_TypedModelElements[ID],0))</f>
        <v>_Object</v>
      </c>
      <c r="AK187" s="8" t="str">
        <f>INDEX(meta_TypedModelElements[Kind:src],MATCH(meta_Columns[[#This Row],[Property]],meta_TypedModelElements[ID],0))</f>
        <v>_Attribute</v>
      </c>
      <c r="AL187" s="8" t="str">
        <f>INDEX(meta_TypedModelElements[Name or Type],MATCH(meta_Columns[[#This Row],[Property]],meta_TypedModelElements[ID],0))</f>
        <v>Sub Package</v>
      </c>
      <c r="AM187" s="8" t="str">
        <f>INDEX(meta_TypedModelElements[Property - Changeable],MATCH(meta_Columns[[#This Row],[Property]],meta_TypedModelElements[ID],0))</f>
        <v>x</v>
      </c>
      <c r="AN187" s="43">
        <v>5</v>
      </c>
      <c r="AO187" s="22">
        <v>5</v>
      </c>
      <c r="AP18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87" s="8" t="str">
        <f xml:space="preserve"> IF(meta_Columns[[#This Row],[Property Owning Class is Specialization of Instance Class]],meta_Columns[[#This Row],[Property Owning Class Name]]&amp;" - ","")</f>
        <v/>
      </c>
      <c r="AR18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87" s="8" t="str">
        <f>IFERROR(LEFT(meta_Columns[[#This Row],[Excel Column - Label Actual without Semantic Case]],FIND("-",
meta_Columns[[#This Row],[Excel Column - Label Actual without Semantic Case]])-2),"")</f>
        <v/>
      </c>
      <c r="AU1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87" s="22"/>
      <c r="AY187" s="8" t="str">
        <f>meta_Columns[[#This Row],[Owning Table]]&amp;"."&amp;meta_Columns[[#This Row],[Excel Column - Label]]</f>
        <v>meta::PackageDocumentation.Sub Package</v>
      </c>
      <c r="AZ187" s="22" t="s">
        <v>461</v>
      </c>
      <c r="BA187" s="8" t="str">
        <f>IF(TRIM(meta_Columns[[#This Row],[Excel Column - Label Overwrite]])&lt;&gt;"",meta_Columns[[#This Row],[Excel Column - Label Overwrite]],meta_Columns[[#This Row],[Excel Column - Label from Property or Referenced Table]])</f>
        <v>Sub Package</v>
      </c>
      <c r="BB187" s="43"/>
      <c r="BC187" s="44" t="str">
        <f>IF(meta_Columns[[#This Row],[Excel Column - Explicit Excel Formula]]="","",meta_Columns[[#This Row],[Excel Column - Explicit Excel Formula]])</f>
        <v/>
      </c>
      <c r="BD187" s="5"/>
      <c r="BE187" s="5"/>
    </row>
    <row r="188" spans="1:57">
      <c r="A188" s="10" t="s">
        <v>1154</v>
      </c>
      <c r="B188" s="5" t="s">
        <v>546</v>
      </c>
      <c r="C188" s="22" t="str">
        <f xml:space="preserve"> IF( TRIM( meta_Columns[[#This Row],[Kind:src]] ) = "", "",
        INDEX( meta_Classifiers[Display Qualified], MATCH( meta_Columns[[#This Row],[Kind:src]], meta_Classifiers[ID], 0 ) ) )</f>
        <v>ExcelColumn</v>
      </c>
      <c r="D188" s="44" t="str">
        <f>IF(meta_Columns[[#This Row],[Owning Table:src]]="","",INDEX(meta_Classifiers[Package],MATCH(meta_Columns[[#This Row],[Owning Table Instances Class]],meta_Classifiers[ID],0)))</f>
        <v>meta</v>
      </c>
      <c r="E188" s="43"/>
      <c r="F188" s="8" t="str">
        <f>INDEX(meta_Tables[Excel Table - Excel Name],MATCH(meta_Columns[[#This Row],[Owning Table:src]],meta_Tables[ID],0))</f>
        <v>meta_PackageDocumentation</v>
      </c>
      <c r="G188" s="44" t="str">
        <f>INDEX(meta_Tables[Instances Class:src],MATCH(meta_Columns[[#This Row],[Owning Table:src]],meta_Tables[ID],0))</f>
        <v>_PackageDocumentation</v>
      </c>
      <c r="H188" s="11" t="s">
        <v>1008</v>
      </c>
      <c r="I188" s="43" t="str">
        <f xml:space="preserve"> IF( TRIM( meta_Columns[[#This Row],[Owning Table:src]] ) = "", "",
        INDEX( meta_Tables[Display Qualified], MATCH( meta_Columns[[#This Row],[Owning Table:src]], meta_Tables[ID], 0 ) ) )</f>
        <v>meta::PackageDocumentation</v>
      </c>
      <c r="K188" s="22" t="str">
        <f>IF(TRIM(meta_Columns[[#This Row],[Referenced Table:src]])="","",
    INDEX(meta_Tables[Display Qualified],MATCH(meta_Columns[[#This Row],[Referenced Table:src]],meta_Tables[ID],0)))</f>
        <v/>
      </c>
      <c r="L188" s="8"/>
      <c r="M188" s="22" t="str">
        <f xml:space="preserve"> IF( TRIM( meta_Columns[[#This Row],[Referenced Table Display and Select Column:src]] ) = "", "",
        INDEX( meta_Columns[Display Qualified], MATCH( meta_Columns[[#This Row],[Referenced Table Display and Select Column:src]], meta_Columns[ID], 0 ) ) )</f>
        <v/>
      </c>
      <c r="N188" s="8" t="str">
        <f>IF(meta_Columns[[#This Row],[Excel Column - Excel Formula]]="","x","")</f>
        <v>x</v>
      </c>
      <c r="O188" s="22"/>
      <c r="P188" s="8" t="str">
        <f>IF(meta_Columns[[#This Row],[Referenced Table:src]]="","",INDEX(meta_Tables[Instances Class],MATCH(meta_Columns[[#This Row],[Referenced Table:src]],meta_Tables[ID],0)))</f>
        <v/>
      </c>
      <c r="Q1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meta::PackageDocumentation.topicOrder</v>
      </c>
      <c r="R188" s="8"/>
      <c r="S188" s="22" t="str">
        <f xml:space="preserve"> IF( TRIM( meta_Columns[[#This Row],[Property:src]] ) = "", "",
        INDEX( meta_TypedModelElements[Display Qualified], MATCH( meta_Columns[[#This Row],[Property:src]], meta_TypedModelElements[ID], 0 ) ) )</f>
        <v/>
      </c>
      <c r="T188" s="22"/>
      <c r="U188" s="8" t="e">
        <f>INDEX(meta_Classifiers[Class - Generalization:src], MATCH(meta_Columns[[#This Row],[Generalization 5]],meta_Classifiers[ID],0))</f>
        <v>#N/A</v>
      </c>
      <c r="V188" s="8" t="e">
        <f>INDEX(meta_Classifiers[Class - Generalization:src], MATCH(meta_Columns[[#This Row],[Generalization 4]],meta_Classifiers[ID],0))</f>
        <v>#N/A</v>
      </c>
      <c r="W188" s="8" t="e">
        <f>INDEX(meta_Classifiers[Class - Generalization:src], MATCH(meta_Columns[[#This Row],[Generalization 3]],meta_Classifiers[ID],0))</f>
        <v>#N/A</v>
      </c>
      <c r="X188" s="8" t="e">
        <f>INDEX(meta_Classifiers[Class - Generalization:src], MATCH(meta_Columns[[#This Row],[Generalization 2]],meta_Classifiers[ID],0))</f>
        <v>#N/A</v>
      </c>
      <c r="Y188" s="8" t="str">
        <f>INDEX(meta_Classifiers[Class - Generalization:src], MATCH(meta_Columns[[#This Row],[Generalization 1]],meta_Classifiers[ID],0))</f>
        <v/>
      </c>
      <c r="Z188" s="8" t="str">
        <f>INDEX(meta_Classifiers[Class - Generalization:src], MATCH(meta_Columns[[#This Row],[Owning Table Instances Class]],meta_Classifiers[ID],0))</f>
        <v>_Object</v>
      </c>
      <c r="AA1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8" s="8" t="b">
        <f>_xlfn.IFNA(
INDEX(meta_Classifiers[Class - Generalization:src],MATCH(
INDEX(meta_Classifiers[Class - Generalization:src],MATCH(meta_Columns[[#This Row],[Property Owning Class]],meta_Classifiers[ID],0)),meta_Classifiers[ID],0))
=meta_Columns[[#This Row],[Owning Table Instances Class]],FALSE)</f>
        <v>0</v>
      </c>
      <c r="AG188" s="8" t="b">
        <f>_xlfn.IFNA(INDEX(meta_Classifiers[Class - Generalization:src],MATCH(meta_Columns[[#This Row],[Property Owning Class]],meta_Classifiers[ID],0))=meta_Columns[[#This Row],[Owning Table Instances Class]],FALSE)</f>
        <v>0</v>
      </c>
      <c r="AH1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8" s="8" t="e">
        <f>INDEX(meta_Classifiers[Name],MATCH(INDEX(meta_TypedModelElements[Property - Owning Class:src],MATCH(meta_Columns[[#This Row],[Property]],meta_TypedModelElements[ID],0)),meta_Classifiers[ID],0))</f>
        <v>#N/A</v>
      </c>
      <c r="AJ188" s="8" t="e">
        <f>INDEX(meta_TypedModelElements[Property - Owning Class:src],MATCH(meta_Columns[[#This Row],[Property]],meta_TypedModelElements[ID],0))</f>
        <v>#N/A</v>
      </c>
      <c r="AK188" s="8" t="e">
        <f>INDEX(meta_TypedModelElements[Kind:src],MATCH(meta_Columns[[#This Row],[Property]],meta_TypedModelElements[ID],0))</f>
        <v>#N/A</v>
      </c>
      <c r="AL188" s="8" t="e">
        <f>INDEX(meta_TypedModelElements[Name or Type],MATCH(meta_Columns[[#This Row],[Property]],meta_TypedModelElements[ID],0))</f>
        <v>#N/A</v>
      </c>
      <c r="AM188" s="8" t="e">
        <f>INDEX(meta_TypedModelElements[Property - Changeable],MATCH(meta_Columns[[#This Row],[Property]],meta_TypedModelElements[ID],0))</f>
        <v>#N/A</v>
      </c>
      <c r="AN188" s="43">
        <v>6</v>
      </c>
      <c r="AO188" s="22">
        <v>7</v>
      </c>
      <c r="AP1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8" s="8" t="str">
        <f xml:space="preserve"> IF(meta_Columns[[#This Row],[Property Owning Class is Specialization of Instance Class]],meta_Columns[[#This Row],[Property Owning Class Name]]&amp;" - ","")</f>
        <v/>
      </c>
      <c r="AR1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 Order</v>
      </c>
      <c r="AT188" s="8" t="str">
        <f>IFERROR(LEFT(meta_Columns[[#This Row],[Excel Column - Label Actual without Semantic Case]],FIND("-",
meta_Columns[[#This Row],[Excel Column - Label Actual without Semantic Case]])-2),"")</f>
        <v/>
      </c>
      <c r="AU1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 Order</v>
      </c>
      <c r="AV1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 Order</v>
      </c>
      <c r="AX188" s="22"/>
      <c r="AY188" s="8" t="str">
        <f>meta_Columns[[#This Row],[Owning Table]]&amp;"."&amp;meta_Columns[[#This Row],[Excel Column - Label]]</f>
        <v>meta::PackageDocumentation.Topic Order</v>
      </c>
      <c r="AZ188" s="22" t="s">
        <v>645</v>
      </c>
      <c r="BA188" s="8" t="str">
        <f>IF(TRIM(meta_Columns[[#This Row],[Excel Column - Label Overwrite]])&lt;&gt;"",meta_Columns[[#This Row],[Excel Column - Label Overwrite]],meta_Columns[[#This Row],[Excel Column - Label from Property or Referenced Table]])</f>
        <v>Topic Order</v>
      </c>
      <c r="BB188" s="43"/>
      <c r="BC188" s="44" t="str">
        <f>IF(meta_Columns[[#This Row],[Excel Column - Explicit Excel Formula]]="","",meta_Columns[[#This Row],[Excel Column - Explicit Excel Formula]])</f>
        <v/>
      </c>
      <c r="BD188" s="5"/>
      <c r="BE188" s="5"/>
    </row>
    <row r="189" spans="1:57">
      <c r="A189" s="10" t="s">
        <v>1155</v>
      </c>
      <c r="B189" s="5" t="s">
        <v>546</v>
      </c>
      <c r="C189" s="22" t="str">
        <f xml:space="preserve"> IF( TRIM( meta_Columns[[#This Row],[Kind:src]] ) = "", "",
        INDEX( meta_Classifiers[Display Qualified], MATCH( meta_Columns[[#This Row],[Kind:src]], meta_Classifiers[ID], 0 ) ) )</f>
        <v>ExcelColumn</v>
      </c>
      <c r="D189" s="44" t="str">
        <f>IF(meta_Columns[[#This Row],[Owning Table:src]]="","",INDEX(meta_Classifiers[Package],MATCH(meta_Columns[[#This Row],[Owning Table Instances Class]],meta_Classifiers[ID],0)))</f>
        <v>meta</v>
      </c>
      <c r="E189" s="43"/>
      <c r="F189" s="8" t="str">
        <f>INDEX(meta_Tables[Excel Table - Excel Name],MATCH(meta_Columns[[#This Row],[Owning Table:src]],meta_Tables[ID],0))</f>
        <v>meta_PackageDocumentation</v>
      </c>
      <c r="G189" s="44" t="str">
        <f>INDEX(meta_Tables[Instances Class:src],MATCH(meta_Columns[[#This Row],[Owning Table:src]],meta_Tables[ID],0))</f>
        <v>_PackageDocumentation</v>
      </c>
      <c r="H189" s="11" t="s">
        <v>1008</v>
      </c>
      <c r="I189" s="43" t="str">
        <f xml:space="preserve"> IF( TRIM( meta_Columns[[#This Row],[Owning Table:src]] ) = "", "",
        INDEX( meta_Tables[Display Qualified], MATCH( meta_Columns[[#This Row],[Owning Table:src]], meta_Tables[ID], 0 ) ) )</f>
        <v>meta::PackageDocumentation</v>
      </c>
      <c r="K189" s="22" t="str">
        <f>IF(TRIM(meta_Columns[[#This Row],[Referenced Table:src]])="","",
    INDEX(meta_Tables[Display Qualified],MATCH(meta_Columns[[#This Row],[Referenced Table:src]],meta_Tables[ID],0)))</f>
        <v/>
      </c>
      <c r="L189" s="8"/>
      <c r="M189" s="22" t="str">
        <f xml:space="preserve"> IF( TRIM( meta_Columns[[#This Row],[Referenced Table Display and Select Column:src]] ) = "", "",
        INDEX( meta_Columns[Display Qualified], MATCH( meta_Columns[[#This Row],[Referenced Table Display and Select Column:src]], meta_Columns[ID], 0 ) ) )</f>
        <v/>
      </c>
      <c r="N189" s="8" t="str">
        <f>IF(meta_Columns[[#This Row],[Excel Column - Excel Formula]]="","x","")</f>
        <v>x</v>
      </c>
      <c r="O189" s="22"/>
      <c r="P189" s="8" t="str">
        <f>IF(meta_Columns[[#This Row],[Referenced Table:src]]="","",INDEX(meta_Tables[Instances Class],MATCH(meta_Columns[[#This Row],[Referenced Table:src]],meta_Tables[ID],0)))</f>
        <v/>
      </c>
      <c r="Q1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v>
      </c>
      <c r="R189" s="8"/>
      <c r="S189" s="22" t="str">
        <f xml:space="preserve"> IF( TRIM( meta_Columns[[#This Row],[Property:src]] ) = "", "",
        INDEX( meta_TypedModelElements[Display Qualified], MATCH( meta_Columns[[#This Row],[Property:src]], meta_TypedModelElements[ID], 0 ) ) )</f>
        <v/>
      </c>
      <c r="T189" s="22"/>
      <c r="U189" s="8" t="e">
        <f>INDEX(meta_Classifiers[Class - Generalization:src], MATCH(meta_Columns[[#This Row],[Generalization 5]],meta_Classifiers[ID],0))</f>
        <v>#N/A</v>
      </c>
      <c r="V189" s="8" t="e">
        <f>INDEX(meta_Classifiers[Class - Generalization:src], MATCH(meta_Columns[[#This Row],[Generalization 4]],meta_Classifiers[ID],0))</f>
        <v>#N/A</v>
      </c>
      <c r="W189" s="8" t="e">
        <f>INDEX(meta_Classifiers[Class - Generalization:src], MATCH(meta_Columns[[#This Row],[Generalization 3]],meta_Classifiers[ID],0))</f>
        <v>#N/A</v>
      </c>
      <c r="X189" s="8" t="e">
        <f>INDEX(meta_Classifiers[Class - Generalization:src], MATCH(meta_Columns[[#This Row],[Generalization 2]],meta_Classifiers[ID],0))</f>
        <v>#N/A</v>
      </c>
      <c r="Y189" s="8" t="str">
        <f>INDEX(meta_Classifiers[Class - Generalization:src], MATCH(meta_Columns[[#This Row],[Generalization 1]],meta_Classifiers[ID],0))</f>
        <v/>
      </c>
      <c r="Z189" s="8" t="str">
        <f>INDEX(meta_Classifiers[Class - Generalization:src], MATCH(meta_Columns[[#This Row],[Owning Table Instances Class]],meta_Classifiers[ID],0))</f>
        <v>_Object</v>
      </c>
      <c r="AA1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9" s="8" t="b">
        <f>_xlfn.IFNA(
INDEX(meta_Classifiers[Class - Generalization:src],MATCH(
INDEX(meta_Classifiers[Class - Generalization:src],MATCH(meta_Columns[[#This Row],[Property Owning Class]],meta_Classifiers[ID],0)),meta_Classifiers[ID],0))
=meta_Columns[[#This Row],[Owning Table Instances Class]],FALSE)</f>
        <v>0</v>
      </c>
      <c r="AG189" s="8" t="b">
        <f>_xlfn.IFNA(INDEX(meta_Classifiers[Class - Generalization:src],MATCH(meta_Columns[[#This Row],[Property Owning Class]],meta_Classifiers[ID],0))=meta_Columns[[#This Row],[Owning Table Instances Class]],FALSE)</f>
        <v>0</v>
      </c>
      <c r="AH1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9" s="8" t="e">
        <f>INDEX(meta_Classifiers[Name],MATCH(INDEX(meta_TypedModelElements[Property - Owning Class:src],MATCH(meta_Columns[[#This Row],[Property]],meta_TypedModelElements[ID],0)),meta_Classifiers[ID],0))</f>
        <v>#N/A</v>
      </c>
      <c r="AJ189" s="8" t="e">
        <f>INDEX(meta_TypedModelElements[Property - Owning Class:src],MATCH(meta_Columns[[#This Row],[Property]],meta_TypedModelElements[ID],0))</f>
        <v>#N/A</v>
      </c>
      <c r="AK189" s="8" t="e">
        <f>INDEX(meta_TypedModelElements[Kind:src],MATCH(meta_Columns[[#This Row],[Property]],meta_TypedModelElements[ID],0))</f>
        <v>#N/A</v>
      </c>
      <c r="AL189" s="8" t="e">
        <f>INDEX(meta_TypedModelElements[Name or Type],MATCH(meta_Columns[[#This Row],[Property]],meta_TypedModelElements[ID],0))</f>
        <v>#N/A</v>
      </c>
      <c r="AM189" s="8" t="e">
        <f>INDEX(meta_TypedModelElements[Property - Changeable],MATCH(meta_Columns[[#This Row],[Property]],meta_TypedModelElements[ID],0))</f>
        <v>#N/A</v>
      </c>
      <c r="AN189" s="43">
        <v>7</v>
      </c>
      <c r="AO189" s="22">
        <v>8</v>
      </c>
      <c r="AP1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9" s="8" t="str">
        <f xml:space="preserve"> IF(meta_Columns[[#This Row],[Property Owning Class is Specialization of Instance Class]],meta_Columns[[#This Row],[Property Owning Class Name]]&amp;" - ","")</f>
        <v/>
      </c>
      <c r="AR1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v>
      </c>
      <c r="AT189" s="8" t="str">
        <f>IFERROR(LEFT(meta_Columns[[#This Row],[Excel Column - Label Actual without Semantic Case]],FIND("-",
meta_Columns[[#This Row],[Excel Column - Label Actual without Semantic Case]])-2),"")</f>
        <v/>
      </c>
      <c r="AU1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v>
      </c>
      <c r="AV1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v>
      </c>
      <c r="AX189" s="22"/>
      <c r="AY189" s="8" t="str">
        <f>meta_Columns[[#This Row],[Owning Table]]&amp;"."&amp;meta_Columns[[#This Row],[Excel Column - Label]]</f>
        <v>meta::PackageDocumentation.Topic</v>
      </c>
      <c r="AZ189" s="22" t="s">
        <v>646</v>
      </c>
      <c r="BA189" s="8" t="str">
        <f>IF(TRIM(meta_Columns[[#This Row],[Excel Column - Label Overwrite]])&lt;&gt;"",meta_Columns[[#This Row],[Excel Column - Label Overwrite]],meta_Columns[[#This Row],[Excel Column - Label from Property or Referenced Table]])</f>
        <v>Topic</v>
      </c>
      <c r="BB189" s="43"/>
      <c r="BC189" s="44" t="str">
        <f>IF(meta_Columns[[#This Row],[Excel Column - Explicit Excel Formula]]="","",meta_Columns[[#This Row],[Excel Column - Explicit Excel Formula]])</f>
        <v/>
      </c>
      <c r="BD189" s="5"/>
      <c r="BE189" s="5"/>
    </row>
    <row r="190" spans="1:57">
      <c r="A190" s="10" t="s">
        <v>1364</v>
      </c>
      <c r="B190" s="5" t="s">
        <v>546</v>
      </c>
      <c r="C190" s="22" t="str">
        <f xml:space="preserve"> IF( TRIM( meta_Columns[[#This Row],[Kind:src]] ) = "", "",
        INDEX( meta_Classifiers[Display Qualified], MATCH( meta_Columns[[#This Row],[Kind:src]], meta_Classifiers[ID], 0 ) ) )</f>
        <v>ExcelColumn</v>
      </c>
      <c r="D190" s="44" t="str">
        <f>IF(meta_Columns[[#This Row],[Owning Table:src]]="","",INDEX(meta_Classifiers[Package],MATCH(meta_Columns[[#This Row],[Owning Table Instances Class]],meta_Classifiers[ID],0)))</f>
        <v>meta</v>
      </c>
      <c r="E190" s="43"/>
      <c r="F190" s="8" t="str">
        <f>INDEX(meta_Tables[Excel Table - Excel Name],MATCH(meta_Columns[[#This Row],[Owning Table:src]],meta_Tables[ID],0))</f>
        <v>meta_PackageDocumentation</v>
      </c>
      <c r="G190" s="44" t="str">
        <f>INDEX(meta_Tables[Instances Class:src],MATCH(meta_Columns[[#This Row],[Owning Table:src]],meta_Tables[ID],0))</f>
        <v>_PackageDocumentation</v>
      </c>
      <c r="H190" s="11" t="s">
        <v>1008</v>
      </c>
      <c r="I190" s="43" t="str">
        <f xml:space="preserve"> IF( TRIM( meta_Columns[[#This Row],[Owning Table:src]] ) = "", "",
        INDEX( meta_Tables[Display Qualified], MATCH( meta_Columns[[#This Row],[Owning Table:src]], meta_Tables[ID], 0 ) ) )</f>
        <v>meta::PackageDocumentation</v>
      </c>
      <c r="K190" s="22" t="str">
        <f>IF(TRIM(meta_Columns[[#This Row],[Referenced Table:src]])="","",
    INDEX(meta_Tables[Display Qualified],MATCH(meta_Columns[[#This Row],[Referenced Table:src]],meta_Tables[ID],0)))</f>
        <v/>
      </c>
      <c r="L190" s="8"/>
      <c r="M190" s="22" t="str">
        <f xml:space="preserve"> IF( TRIM( meta_Columns[[#This Row],[Referenced Table Display and Select Column:src]] ) = "", "",
        INDEX( meta_Columns[Display Qualified], MATCH( meta_Columns[[#This Row],[Referenced Table Display and Select Column:src]], meta_Columns[ID], 0 ) ) )</f>
        <v/>
      </c>
      <c r="N190" s="8" t="str">
        <f>IF(meta_Columns[[#This Row],[Excel Column - Excel Formula]]="","x","")</f>
        <v>x</v>
      </c>
      <c r="O190" s="22"/>
      <c r="P190" s="8" t="str">
        <f>IF(meta_Columns[[#This Row],[Referenced Table:src]]="","",INDEX(meta_Tables[Instances Class],MATCH(meta_Columns[[#This Row],[Referenced Table:src]],meta_Tables[ID],0)))</f>
        <v/>
      </c>
      <c r="Q1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meta::PackageDocumentation.definition</v>
      </c>
      <c r="R190" s="8"/>
      <c r="S190" s="22" t="str">
        <f xml:space="preserve"> IF( TRIM( meta_Columns[[#This Row],[Property:src]] ) = "", "",
        INDEX( meta_TypedModelElements[Display Qualified], MATCH( meta_Columns[[#This Row],[Property:src]], meta_TypedModelElements[ID], 0 ) ) )</f>
        <v/>
      </c>
      <c r="T190" s="22"/>
      <c r="U190" s="8" t="e">
        <f>INDEX(meta_Classifiers[Class - Generalization:src], MATCH(meta_Columns[[#This Row],[Generalization 5]],meta_Classifiers[ID],0))</f>
        <v>#N/A</v>
      </c>
      <c r="V190" s="8" t="e">
        <f>INDEX(meta_Classifiers[Class - Generalization:src], MATCH(meta_Columns[[#This Row],[Generalization 4]],meta_Classifiers[ID],0))</f>
        <v>#N/A</v>
      </c>
      <c r="W190" s="8" t="e">
        <f>INDEX(meta_Classifiers[Class - Generalization:src], MATCH(meta_Columns[[#This Row],[Generalization 3]],meta_Classifiers[ID],0))</f>
        <v>#N/A</v>
      </c>
      <c r="X190" s="8" t="e">
        <f>INDEX(meta_Classifiers[Class - Generalization:src], MATCH(meta_Columns[[#This Row],[Generalization 2]],meta_Classifiers[ID],0))</f>
        <v>#N/A</v>
      </c>
      <c r="Y190" s="8" t="str">
        <f>INDEX(meta_Classifiers[Class - Generalization:src], MATCH(meta_Columns[[#This Row],[Generalization 1]],meta_Classifiers[ID],0))</f>
        <v/>
      </c>
      <c r="Z190" s="8" t="str">
        <f>INDEX(meta_Classifiers[Class - Generalization:src], MATCH(meta_Columns[[#This Row],[Owning Table Instances Class]],meta_Classifiers[ID],0))</f>
        <v>_Object</v>
      </c>
      <c r="AA1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0" s="8" t="b">
        <f>_xlfn.IFNA(
INDEX(meta_Classifiers[Class - Generalization:src],MATCH(
INDEX(meta_Classifiers[Class - Generalization:src],MATCH(meta_Columns[[#This Row],[Property Owning Class]],meta_Classifiers[ID],0)),meta_Classifiers[ID],0))
=meta_Columns[[#This Row],[Owning Table Instances Class]],FALSE)</f>
        <v>0</v>
      </c>
      <c r="AG190" s="8" t="b">
        <f>_xlfn.IFNA(INDEX(meta_Classifiers[Class - Generalization:src],MATCH(meta_Columns[[#This Row],[Property Owning Class]],meta_Classifiers[ID],0))=meta_Columns[[#This Row],[Owning Table Instances Class]],FALSE)</f>
        <v>0</v>
      </c>
      <c r="AH1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0" s="8" t="e">
        <f>INDEX(meta_Classifiers[Name],MATCH(INDEX(meta_TypedModelElements[Property - Owning Class:src],MATCH(meta_Columns[[#This Row],[Property]],meta_TypedModelElements[ID],0)),meta_Classifiers[ID],0))</f>
        <v>#N/A</v>
      </c>
      <c r="AJ190" s="8" t="e">
        <f>INDEX(meta_TypedModelElements[Property - Owning Class:src],MATCH(meta_Columns[[#This Row],[Property]],meta_TypedModelElements[ID],0))</f>
        <v>#N/A</v>
      </c>
      <c r="AK190" s="8" t="e">
        <f>INDEX(meta_TypedModelElements[Kind:src],MATCH(meta_Columns[[#This Row],[Property]],meta_TypedModelElements[ID],0))</f>
        <v>#N/A</v>
      </c>
      <c r="AL190" s="8" t="e">
        <f>INDEX(meta_TypedModelElements[Name or Type],MATCH(meta_Columns[[#This Row],[Property]],meta_TypedModelElements[ID],0))</f>
        <v>#N/A</v>
      </c>
      <c r="AM190" s="8" t="e">
        <f>INDEX(meta_TypedModelElements[Property - Changeable],MATCH(meta_Columns[[#This Row],[Property]],meta_TypedModelElements[ID],0))</f>
        <v>#N/A</v>
      </c>
      <c r="AN190" s="43">
        <v>8</v>
      </c>
      <c r="AO190" s="22">
        <v>9</v>
      </c>
      <c r="AP1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0" s="8" t="str">
        <f xml:space="preserve"> IF(meta_Columns[[#This Row],[Property Owning Class is Specialization of Instance Class]],meta_Columns[[#This Row],[Property Owning Class Name]]&amp;" - ","")</f>
        <v/>
      </c>
      <c r="AR1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90" s="8" t="str">
        <f>IFERROR(LEFT(meta_Columns[[#This Row],[Excel Column - Label Actual without Semantic Case]],FIND("-",
meta_Columns[[#This Row],[Excel Column - Label Actual without Semantic Case]])-2),"")</f>
        <v/>
      </c>
      <c r="AU1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90" s="22"/>
      <c r="AY190" s="8" t="str">
        <f>meta_Columns[[#This Row],[Owning Table]]&amp;"."&amp;meta_Columns[[#This Row],[Excel Column - Label]]</f>
        <v>meta::PackageDocumentation.Definition</v>
      </c>
      <c r="AZ190" s="22" t="s">
        <v>84</v>
      </c>
      <c r="BA190" s="8" t="str">
        <f>IF(TRIM(meta_Columns[[#This Row],[Excel Column - Label Overwrite]])&lt;&gt;"",meta_Columns[[#This Row],[Excel Column - Label Overwrite]],meta_Columns[[#This Row],[Excel Column - Label from Property or Referenced Table]])</f>
        <v>Definition</v>
      </c>
      <c r="BB190" s="43"/>
      <c r="BC190" s="44" t="str">
        <f>IF(meta_Columns[[#This Row],[Excel Column - Explicit Excel Formula]]="","",meta_Columns[[#This Row],[Excel Column - Explicit Excel Formula]])</f>
        <v/>
      </c>
      <c r="BD190" s="5"/>
      <c r="BE190" s="5"/>
    </row>
    <row r="191" spans="1:57">
      <c r="A191" s="10" t="s">
        <v>1156</v>
      </c>
      <c r="B191" s="5" t="s">
        <v>546</v>
      </c>
      <c r="C191" s="22" t="str">
        <f xml:space="preserve"> IF( TRIM( meta_Columns[[#This Row],[Kind:src]] ) = "", "",
        INDEX( meta_Classifiers[Display Qualified], MATCH( meta_Columns[[#This Row],[Kind:src]], meta_Classifiers[ID], 0 ) ) )</f>
        <v>ExcelColumn</v>
      </c>
      <c r="D191" s="44" t="str">
        <f>IF(meta_Columns[[#This Row],[Owning Table:src]]="","",INDEX(meta_Classifiers[Package],MATCH(meta_Columns[[#This Row],[Owning Table Instances Class]],meta_Classifiers[ID],0)))</f>
        <v>meta</v>
      </c>
      <c r="E191" s="43"/>
      <c r="F191" s="8" t="str">
        <f>INDEX(meta_Tables[Excel Table - Excel Name],MATCH(meta_Columns[[#This Row],[Owning Table:src]],meta_Tables[ID],0))</f>
        <v>meta_Rules</v>
      </c>
      <c r="G191" s="44" t="str">
        <f>INDEX(meta_Tables[Instances Class:src],MATCH(meta_Columns[[#This Row],[Owning Table:src]],meta_Tables[ID],0))</f>
        <v>_Rule</v>
      </c>
      <c r="H191" s="11" t="s">
        <v>1014</v>
      </c>
      <c r="I191" s="43" t="str">
        <f xml:space="preserve"> IF( TRIM( meta_Columns[[#This Row],[Owning Table:src]] ) = "", "",
        INDEX( meta_Tables[Display Qualified], MATCH( meta_Columns[[#This Row],[Owning Table:src]], meta_Tables[ID], 0 ) ) )</f>
        <v>meta::Rules</v>
      </c>
      <c r="K191" s="22" t="str">
        <f>IF(TRIM(meta_Columns[[#This Row],[Referenced Table:src]])="","",
    INDEX(meta_Tables[Display Qualified],MATCH(meta_Columns[[#This Row],[Referenced Table:src]],meta_Tables[ID],0)))</f>
        <v/>
      </c>
      <c r="L191" s="8"/>
      <c r="M191" s="22" t="str">
        <f xml:space="preserve"> IF( TRIM( meta_Columns[[#This Row],[Referenced Table Display and Select Column:src]] ) = "", "",
        INDEX( meta_Columns[Display Qualified], MATCH( meta_Columns[[#This Row],[Referenced Table Display and Select Column:src]], meta_Columns[ID], 0 ) ) )</f>
        <v/>
      </c>
      <c r="N191" s="8" t="str">
        <f>IF(meta_Columns[[#This Row],[Excel Column - Excel Formula]]="","x","")</f>
        <v>x</v>
      </c>
      <c r="O191" s="22"/>
      <c r="P191" s="8" t="str">
        <f>IF(meta_Columns[[#This Row],[Referenced Table:src]]="","",INDEX(meta_Tables[Instances Class],MATCH(meta_Columns[[#This Row],[Referenced Table:src]],meta_Tables[ID],0)))</f>
        <v/>
      </c>
      <c r="Q1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1" s="8" t="s">
        <v>246</v>
      </c>
      <c r="S191" s="22" t="str">
        <f xml:space="preserve"> IF( TRIM( meta_Columns[[#This Row],[Property:src]] ) = "", "",
        INDEX( meta_TypedModelElements[Display Qualified], MATCH( meta_Columns[[#This Row],[Property:src]], meta_TypedModelElements[ID], 0 ) ) )</f>
        <v>meta::Object.iD</v>
      </c>
      <c r="T191" s="22"/>
      <c r="U191" s="8" t="e">
        <f>INDEX(meta_Classifiers[Class - Generalization:src], MATCH(meta_Columns[[#This Row],[Generalization 5]],meta_Classifiers[ID],0))</f>
        <v>#N/A</v>
      </c>
      <c r="V191" s="8" t="e">
        <f>INDEX(meta_Classifiers[Class - Generalization:src], MATCH(meta_Columns[[#This Row],[Generalization 4]],meta_Classifiers[ID],0))</f>
        <v>#N/A</v>
      </c>
      <c r="W191" s="8" t="e">
        <f>INDEX(meta_Classifiers[Class - Generalization:src], MATCH(meta_Columns[[#This Row],[Generalization 3]],meta_Classifiers[ID],0))</f>
        <v>#N/A</v>
      </c>
      <c r="X191" s="8" t="str">
        <f>INDEX(meta_Classifiers[Class - Generalization:src], MATCH(meta_Columns[[#This Row],[Generalization 2]],meta_Classifiers[ID],0))</f>
        <v/>
      </c>
      <c r="Y191" s="8" t="str">
        <f>INDEX(meta_Classifiers[Class - Generalization:src], MATCH(meta_Columns[[#This Row],[Generalization 1]],meta_Classifiers[ID],0))</f>
        <v>_Object</v>
      </c>
      <c r="Z191" s="8" t="str">
        <f>INDEX(meta_Classifiers[Class - Generalization:src], MATCH(meta_Columns[[#This Row],[Owning Table Instances Class]],meta_Classifiers[ID],0))</f>
        <v>_NamedElement</v>
      </c>
      <c r="AA1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1" s="8" t="b">
        <f>_xlfn.IFNA(
INDEX(meta_Classifiers[Class - Generalization:src],MATCH(
INDEX(meta_Classifiers[Class - Generalization:src],MATCH(meta_Columns[[#This Row],[Property Owning Class]],meta_Classifiers[ID],0)),meta_Classifiers[ID],0))
=meta_Columns[[#This Row],[Owning Table Instances Class]],FALSE)</f>
        <v>0</v>
      </c>
      <c r="AG191" s="8" t="b">
        <f>_xlfn.IFNA(INDEX(meta_Classifiers[Class - Generalization:src],MATCH(meta_Columns[[#This Row],[Property Owning Class]],meta_Classifiers[ID],0))=meta_Columns[[#This Row],[Owning Table Instances Class]],FALSE)</f>
        <v>0</v>
      </c>
      <c r="AH1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1" s="8" t="str">
        <f>INDEX(meta_Classifiers[Name],MATCH(INDEX(meta_TypedModelElements[Property - Owning Class:src],MATCH(meta_Columns[[#This Row],[Property]],meta_TypedModelElements[ID],0)),meta_Classifiers[ID],0))</f>
        <v>Object</v>
      </c>
      <c r="AJ191" s="8" t="str">
        <f>INDEX(meta_TypedModelElements[Property - Owning Class:src],MATCH(meta_Columns[[#This Row],[Property]],meta_TypedModelElements[ID],0))</f>
        <v>_Object</v>
      </c>
      <c r="AK191" s="8" t="str">
        <f>INDEX(meta_TypedModelElements[Kind:src],MATCH(meta_Columns[[#This Row],[Property]],meta_TypedModelElements[ID],0))</f>
        <v>_Attribute</v>
      </c>
      <c r="AL191" s="8" t="str">
        <f>INDEX(meta_TypedModelElements[Name or Type],MATCH(meta_Columns[[#This Row],[Property]],meta_TypedModelElements[ID],0))</f>
        <v>ID</v>
      </c>
      <c r="AM191" s="8" t="str">
        <f>INDEX(meta_TypedModelElements[Property - Changeable],MATCH(meta_Columns[[#This Row],[Property]],meta_TypedModelElements[ID],0))</f>
        <v>x</v>
      </c>
      <c r="AN191" s="43">
        <v>1</v>
      </c>
      <c r="AO191" s="22">
        <v>1</v>
      </c>
      <c r="AP19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91" s="8" t="str">
        <f xml:space="preserve"> IF(meta_Columns[[#This Row],[Property Owning Class is Specialization of Instance Class]],meta_Columns[[#This Row],[Property Owning Class Name]]&amp;" - ","")</f>
        <v/>
      </c>
      <c r="AR19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91" s="8" t="str">
        <f>IFERROR(LEFT(meta_Columns[[#This Row],[Excel Column - Label Actual without Semantic Case]],FIND("-",
meta_Columns[[#This Row],[Excel Column - Label Actual without Semantic Case]])-2),"")</f>
        <v/>
      </c>
      <c r="AU1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91" s="22"/>
      <c r="AY191" s="8" t="str">
        <f>meta_Columns[[#This Row],[Owning Table]]&amp;"."&amp;meta_Columns[[#This Row],[Excel Column - Label]]</f>
        <v>meta::Rules.ID</v>
      </c>
      <c r="AZ191" s="22" t="s">
        <v>0</v>
      </c>
      <c r="BA191" s="8" t="str">
        <f>IF(TRIM(meta_Columns[[#This Row],[Excel Column - Label Overwrite]])&lt;&gt;"",meta_Columns[[#This Row],[Excel Column - Label Overwrite]],meta_Columns[[#This Row],[Excel Column - Label from Property or Referenced Table]])</f>
        <v>ID</v>
      </c>
      <c r="BB191" s="43"/>
      <c r="BC191" s="44" t="str">
        <f>IF(meta_Columns[[#This Row],[Excel Column - Explicit Excel Formula]]="","",meta_Columns[[#This Row],[Excel Column - Explicit Excel Formula]])</f>
        <v/>
      </c>
      <c r="BD191" s="5"/>
      <c r="BE191" s="5"/>
    </row>
    <row r="192" spans="1:57">
      <c r="A192" s="10" t="s">
        <v>1845</v>
      </c>
      <c r="B192" s="5" t="s">
        <v>546</v>
      </c>
      <c r="C192" s="22" t="str">
        <f xml:space="preserve"> IF( TRIM( meta_Columns[[#This Row],[Kind:src]] ) = "", "",
        INDEX( meta_Classifiers[Display Qualified], MATCH( meta_Columns[[#This Row],[Kind:src]], meta_Classifiers[ID], 0 ) ) )</f>
        <v>ExcelColumn</v>
      </c>
      <c r="D192" s="44" t="str">
        <f>IF(meta_Columns[[#This Row],[Owning Table:src]]="","",INDEX(meta_Classifiers[Package],MATCH(meta_Columns[[#This Row],[Owning Table Instances Class]],meta_Classifiers[ID],0)))</f>
        <v>meta</v>
      </c>
      <c r="E192" s="43"/>
      <c r="F192" s="8" t="str">
        <f>INDEX(meta_Tables[Excel Table - Excel Name],MATCH(meta_Columns[[#This Row],[Owning Table:src]],meta_Tables[ID],0))</f>
        <v>meta_Rules</v>
      </c>
      <c r="G192" s="44" t="str">
        <f>INDEX(meta_Tables[Instances Class:src],MATCH(meta_Columns[[#This Row],[Owning Table:src]],meta_Tables[ID],0))</f>
        <v>_Rule</v>
      </c>
      <c r="H192" s="11" t="s">
        <v>1014</v>
      </c>
      <c r="I192" s="43" t="str">
        <f xml:space="preserve"> IF( TRIM( meta_Columns[[#This Row],[Owning Table:src]] ) = "", "",
        INDEX( meta_Tables[Display Qualified], MATCH( meta_Columns[[#This Row],[Owning Table:src]], meta_Tables[ID], 0 ) ) )</f>
        <v>meta::Rules</v>
      </c>
      <c r="K192" s="22" t="str">
        <f>IF(TRIM(meta_Columns[[#This Row],[Referenced Table:src]])="","",
    INDEX(meta_Tables[Display Qualified],MATCH(meta_Columns[[#This Row],[Referenced Table:src]],meta_Tables[ID],0)))</f>
        <v/>
      </c>
      <c r="L192" s="8"/>
      <c r="M192" s="22" t="str">
        <f xml:space="preserve"> IF( TRIM( meta_Columns[[#This Row],[Referenced Table Display and Select Column:src]] ) = "", "",
        INDEX( meta_Columns[Display Qualified], MATCH( meta_Columns[[#This Row],[Referenced Table Display and Select Column:src]], meta_Columns[ID], 0 ) ) )</f>
        <v/>
      </c>
      <c r="N192" s="8" t="str">
        <f>IF(meta_Columns[[#This Row],[Excel Column - Excel Formula]]="","x","")</f>
        <v>x</v>
      </c>
      <c r="O192" s="22"/>
      <c r="P192" s="8" t="str">
        <f>IF(meta_Columns[[#This Row],[Referenced Table:src]]="","",INDEX(meta_Tables[Instances Class],MATCH(meta_Columns[[#This Row],[Referenced Table:src]],meta_Tables[ID],0)))</f>
        <v/>
      </c>
      <c r="Q1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2" s="8" t="s">
        <v>247</v>
      </c>
      <c r="S192" s="22" t="str">
        <f xml:space="preserve"> IF( TRIM( meta_Columns[[#This Row],[Property:src]] ) = "", "",
        INDEX( meta_TypedModelElements[Display Qualified], MATCH( meta_Columns[[#This Row],[Property:src]], meta_TypedModelElements[ID], 0 ) ) )</f>
        <v>meta::Object.kind</v>
      </c>
      <c r="T192" s="22" t="s">
        <v>42</v>
      </c>
      <c r="U192" s="8" t="e">
        <f>INDEX(meta_Classifiers[Class - Generalization:src], MATCH(meta_Columns[[#This Row],[Generalization 5]],meta_Classifiers[ID],0))</f>
        <v>#N/A</v>
      </c>
      <c r="V192" s="8" t="e">
        <f>INDEX(meta_Classifiers[Class - Generalization:src], MATCH(meta_Columns[[#This Row],[Generalization 4]],meta_Classifiers[ID],0))</f>
        <v>#N/A</v>
      </c>
      <c r="W192" s="8" t="e">
        <f>INDEX(meta_Classifiers[Class - Generalization:src], MATCH(meta_Columns[[#This Row],[Generalization 3]],meta_Classifiers[ID],0))</f>
        <v>#N/A</v>
      </c>
      <c r="X192" s="8" t="str">
        <f>INDEX(meta_Classifiers[Class - Generalization:src], MATCH(meta_Columns[[#This Row],[Generalization 2]],meta_Classifiers[ID],0))</f>
        <v/>
      </c>
      <c r="Y192" s="8" t="str">
        <f>INDEX(meta_Classifiers[Class - Generalization:src], MATCH(meta_Columns[[#This Row],[Generalization 1]],meta_Classifiers[ID],0))</f>
        <v>_Object</v>
      </c>
      <c r="Z192" s="8" t="str">
        <f>INDEX(meta_Classifiers[Class - Generalization:src], MATCH(meta_Columns[[#This Row],[Owning Table Instances Class]],meta_Classifiers[ID],0))</f>
        <v>_NamedElement</v>
      </c>
      <c r="AA1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2" s="8" t="b">
        <f>_xlfn.IFNA(
INDEX(meta_Classifiers[Class - Generalization:src],MATCH(
INDEX(meta_Classifiers[Class - Generalization:src],MATCH(meta_Columns[[#This Row],[Property Owning Class]],meta_Classifiers[ID],0)),meta_Classifiers[ID],0))
=meta_Columns[[#This Row],[Owning Table Instances Class]],FALSE)</f>
        <v>0</v>
      </c>
      <c r="AG192" s="8" t="b">
        <f>_xlfn.IFNA(INDEX(meta_Classifiers[Class - Generalization:src],MATCH(meta_Columns[[#This Row],[Property Owning Class]],meta_Classifiers[ID],0))=meta_Columns[[#This Row],[Owning Table Instances Class]],FALSE)</f>
        <v>0</v>
      </c>
      <c r="AH1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2" s="8" t="str">
        <f>INDEX(meta_Classifiers[Name],MATCH(INDEX(meta_TypedModelElements[Property - Owning Class:src],MATCH(meta_Columns[[#This Row],[Property]],meta_TypedModelElements[ID],0)),meta_Classifiers[ID],0))</f>
        <v>Object</v>
      </c>
      <c r="AJ192" s="8" t="str">
        <f>INDEX(meta_TypedModelElements[Property - Owning Class:src],MATCH(meta_Columns[[#This Row],[Property]],meta_TypedModelElements[ID],0))</f>
        <v>_Object</v>
      </c>
      <c r="AK192" s="8" t="str">
        <f>INDEX(meta_TypedModelElements[Kind:src],MATCH(meta_Columns[[#This Row],[Property]],meta_TypedModelElements[ID],0))</f>
        <v>_Reference</v>
      </c>
      <c r="AL192" s="8" t="str">
        <f>INDEX(meta_TypedModelElements[Name or Type],MATCH(meta_Columns[[#This Row],[Property]],meta_TypedModelElements[ID],0))</f>
        <v>Kind</v>
      </c>
      <c r="AM192" s="8" t="str">
        <f>INDEX(meta_TypedModelElements[Property - Changeable],MATCH(meta_Columns[[#This Row],[Property]],meta_TypedModelElements[ID],0))</f>
        <v>x</v>
      </c>
      <c r="AN192" s="43">
        <v>2</v>
      </c>
      <c r="AO192" s="22">
        <v>2</v>
      </c>
      <c r="AP19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92" s="8" t="str">
        <f xml:space="preserve"> IF(meta_Columns[[#This Row],[Property Owning Class is Specialization of Instance Class]],meta_Columns[[#This Row],[Property Owning Class Name]]&amp;" - ","")</f>
        <v/>
      </c>
      <c r="AR19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2" s="8" t="str">
        <f>IFERROR(LEFT(meta_Columns[[#This Row],[Excel Column - Label Actual without Semantic Case]],FIND("-",
meta_Columns[[#This Row],[Excel Column - Label Actual without Semantic Case]])-2),"")</f>
        <v/>
      </c>
      <c r="AU1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92" s="22"/>
      <c r="AY192" s="8" t="str">
        <f>meta_Columns[[#This Row],[Owning Table]]&amp;"."&amp;meta_Columns[[#This Row],[Excel Column - Label]]</f>
        <v>meta::Rules.Kind:src</v>
      </c>
      <c r="AZ192" s="22" t="s">
        <v>230</v>
      </c>
      <c r="BA192" s="8" t="str">
        <f>IF(TRIM(meta_Columns[[#This Row],[Excel Column - Label Overwrite]])&lt;&gt;"",meta_Columns[[#This Row],[Excel Column - Label Overwrite]],meta_Columns[[#This Row],[Excel Column - Label from Property or Referenced Table]])</f>
        <v>Kind:src</v>
      </c>
      <c r="BB192" s="43"/>
      <c r="BC192" s="44" t="str">
        <f>IF(meta_Columns[[#This Row],[Excel Column - Explicit Excel Formula]]="","",meta_Columns[[#This Row],[Excel Column - Explicit Excel Formula]])</f>
        <v/>
      </c>
      <c r="BD192" s="5"/>
      <c r="BE192" s="5"/>
    </row>
    <row r="193" spans="1:57">
      <c r="A193" s="10" t="s">
        <v>1157</v>
      </c>
      <c r="B193" s="5" t="s">
        <v>546</v>
      </c>
      <c r="C193" s="22" t="str">
        <f xml:space="preserve"> IF( TRIM( meta_Columns[[#This Row],[Kind:src]] ) = "", "",
        INDEX( meta_Classifiers[Display Qualified], MATCH( meta_Columns[[#This Row],[Kind:src]], meta_Classifiers[ID], 0 ) ) )</f>
        <v>ExcelColumn</v>
      </c>
      <c r="D193" s="44" t="str">
        <f>IF(meta_Columns[[#This Row],[Owning Table:src]]="","",INDEX(meta_Classifiers[Package],MATCH(meta_Columns[[#This Row],[Owning Table Instances Class]],meta_Classifiers[ID],0)))</f>
        <v>meta</v>
      </c>
      <c r="E193" s="43"/>
      <c r="F193" s="8" t="str">
        <f>INDEX(meta_Tables[Excel Table - Excel Name],MATCH(meta_Columns[[#This Row],[Owning Table:src]],meta_Tables[ID],0))</f>
        <v>meta_Rules</v>
      </c>
      <c r="G193" s="44" t="str">
        <f>INDEX(meta_Tables[Instances Class:src],MATCH(meta_Columns[[#This Row],[Owning Table:src]],meta_Tables[ID],0))</f>
        <v>_Rule</v>
      </c>
      <c r="H193" s="11" t="s">
        <v>1014</v>
      </c>
      <c r="I193" s="43" t="str">
        <f xml:space="preserve"> IF( TRIM( meta_Columns[[#This Row],[Owning Table:src]] ) = "", "",
        INDEX( meta_Tables[Display Qualified], MATCH( meta_Columns[[#This Row],[Owning Table:src]], meta_Tables[ID], 0 ) ) )</f>
        <v>meta::Rules</v>
      </c>
      <c r="K193" s="22" t="str">
        <f>IF(TRIM(meta_Columns[[#This Row],[Referenced Table:src]])="","",
    INDEX(meta_Tables[Display Qualified],MATCH(meta_Columns[[#This Row],[Referenced Table:src]],meta_Tables[ID],0)))</f>
        <v/>
      </c>
      <c r="L193" s="8"/>
      <c r="M193" s="22" t="str">
        <f xml:space="preserve"> IF( TRIM( meta_Columns[[#This Row],[Referenced Table Display and Select Column:src]] ) = "", "",
        INDEX( meta_Columns[Display Qualified], MATCH( meta_Columns[[#This Row],[Referenced Table Display and Select Column:src]], meta_Columns[ID], 0 ) ) )</f>
        <v/>
      </c>
      <c r="N193" s="8" t="str">
        <f>IF(meta_Columns[[#This Row],[Excel Column - Excel Formula]]="","x","")</f>
        <v>x</v>
      </c>
      <c r="O193" s="22"/>
      <c r="P193" s="8" t="str">
        <f>IF(meta_Columns[[#This Row],[Referenced Table:src]]="","",INDEX(meta_Tables[Instances Class],MATCH(meta_Columns[[#This Row],[Referenced Table:src]],meta_Tables[ID],0)))</f>
        <v/>
      </c>
      <c r="Q1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3" s="8" t="s">
        <v>247</v>
      </c>
      <c r="S193" s="22" t="str">
        <f xml:space="preserve"> IF( TRIM( meta_Columns[[#This Row],[Property:src]] ) = "", "",
        INDEX( meta_TypedModelElements[Display Qualified], MATCH( meta_Columns[[#This Row],[Property:src]], meta_TypedModelElements[ID], 0 ) ) )</f>
        <v>meta::Object.kind</v>
      </c>
      <c r="T193" s="22"/>
      <c r="U193" s="8" t="e">
        <f>INDEX(meta_Classifiers[Class - Generalization:src], MATCH(meta_Columns[[#This Row],[Generalization 5]],meta_Classifiers[ID],0))</f>
        <v>#N/A</v>
      </c>
      <c r="V193" s="8" t="e">
        <f>INDEX(meta_Classifiers[Class - Generalization:src], MATCH(meta_Columns[[#This Row],[Generalization 4]],meta_Classifiers[ID],0))</f>
        <v>#N/A</v>
      </c>
      <c r="W193" s="8" t="e">
        <f>INDEX(meta_Classifiers[Class - Generalization:src], MATCH(meta_Columns[[#This Row],[Generalization 3]],meta_Classifiers[ID],0))</f>
        <v>#N/A</v>
      </c>
      <c r="X193" s="8" t="str">
        <f>INDEX(meta_Classifiers[Class - Generalization:src], MATCH(meta_Columns[[#This Row],[Generalization 2]],meta_Classifiers[ID],0))</f>
        <v/>
      </c>
      <c r="Y193" s="8" t="str">
        <f>INDEX(meta_Classifiers[Class - Generalization:src], MATCH(meta_Columns[[#This Row],[Generalization 1]],meta_Classifiers[ID],0))</f>
        <v>_Object</v>
      </c>
      <c r="Z193" s="8" t="str">
        <f>INDEX(meta_Classifiers[Class - Generalization:src], MATCH(meta_Columns[[#This Row],[Owning Table Instances Class]],meta_Classifiers[ID],0))</f>
        <v>_NamedElement</v>
      </c>
      <c r="AA1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3" s="8" t="b">
        <f>_xlfn.IFNA(
INDEX(meta_Classifiers[Class - Generalization:src],MATCH(
INDEX(meta_Classifiers[Class - Generalization:src],MATCH(meta_Columns[[#This Row],[Property Owning Class]],meta_Classifiers[ID],0)),meta_Classifiers[ID],0))
=meta_Columns[[#This Row],[Owning Table Instances Class]],FALSE)</f>
        <v>0</v>
      </c>
      <c r="AG193" s="8" t="b">
        <f>_xlfn.IFNA(INDEX(meta_Classifiers[Class - Generalization:src],MATCH(meta_Columns[[#This Row],[Property Owning Class]],meta_Classifiers[ID],0))=meta_Columns[[#This Row],[Owning Table Instances Class]],FALSE)</f>
        <v>0</v>
      </c>
      <c r="AH1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3" s="8" t="str">
        <f>INDEX(meta_Classifiers[Name],MATCH(INDEX(meta_TypedModelElements[Property - Owning Class:src],MATCH(meta_Columns[[#This Row],[Property]],meta_TypedModelElements[ID],0)),meta_Classifiers[ID],0))</f>
        <v>Object</v>
      </c>
      <c r="AJ193" s="8" t="str">
        <f>INDEX(meta_TypedModelElements[Property - Owning Class:src],MATCH(meta_Columns[[#This Row],[Property]],meta_TypedModelElements[ID],0))</f>
        <v>_Object</v>
      </c>
      <c r="AK193" s="8" t="str">
        <f>INDEX(meta_TypedModelElements[Kind:src],MATCH(meta_Columns[[#This Row],[Property]],meta_TypedModelElements[ID],0))</f>
        <v>_Reference</v>
      </c>
      <c r="AL193" s="8" t="str">
        <f>INDEX(meta_TypedModelElements[Name or Type],MATCH(meta_Columns[[#This Row],[Property]],meta_TypedModelElements[ID],0))</f>
        <v>Kind</v>
      </c>
      <c r="AM193" s="8" t="str">
        <f>INDEX(meta_TypedModelElements[Property - Changeable],MATCH(meta_Columns[[#This Row],[Property]],meta_TypedModelElements[ID],0))</f>
        <v>x</v>
      </c>
      <c r="AN193" s="43">
        <v>3</v>
      </c>
      <c r="AO193" s="22">
        <v>3</v>
      </c>
      <c r="AP1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93" s="8" t="str">
        <f xml:space="preserve"> IF(meta_Columns[[#This Row],[Property Owning Class is Specialization of Instance Class]],meta_Columns[[#This Row],[Property Owning Class Name]]&amp;" - ","")</f>
        <v/>
      </c>
      <c r="AR1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3" s="8" t="str">
        <f>IFERROR(LEFT(meta_Columns[[#This Row],[Excel Column - Label Actual without Semantic Case]],FIND("-",
meta_Columns[[#This Row],[Excel Column - Label Actual without Semantic Case]])-2),"")</f>
        <v/>
      </c>
      <c r="AU1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93" s="22"/>
      <c r="AY193" s="8" t="str">
        <f>meta_Columns[[#This Row],[Owning Table]]&amp;"."&amp;meta_Columns[[#This Row],[Excel Column - Label]]</f>
        <v>meta::Rules.Kind</v>
      </c>
      <c r="AZ193" s="22" t="s">
        <v>5</v>
      </c>
      <c r="BA193" s="8" t="str">
        <f>IF(TRIM(meta_Columns[[#This Row],[Excel Column - Label Overwrite]])&lt;&gt;"",meta_Columns[[#This Row],[Excel Column - Label Overwrite]],meta_Columns[[#This Row],[Excel Column - Label from Property or Referenced Table]])</f>
        <v>Kind</v>
      </c>
      <c r="BB193" s="43"/>
      <c r="BC193" s="44" t="str">
        <f>IF(meta_Columns[[#This Row],[Excel Column - Explicit Excel Formula]]="","",meta_Columns[[#This Row],[Excel Column - Explicit Excel Formula]])</f>
        <v/>
      </c>
      <c r="BD193" s="5" t="s">
        <v>1461</v>
      </c>
      <c r="BE193" s="5"/>
    </row>
    <row r="194" spans="1:57">
      <c r="A194" s="10" t="s">
        <v>1158</v>
      </c>
      <c r="B194" s="5" t="s">
        <v>546</v>
      </c>
      <c r="C194" s="22" t="str">
        <f xml:space="preserve"> IF( TRIM( meta_Columns[[#This Row],[Kind:src]] ) = "", "",
        INDEX( meta_Classifiers[Display Qualified], MATCH( meta_Columns[[#This Row],[Kind:src]], meta_Classifiers[ID], 0 ) ) )</f>
        <v>ExcelColumn</v>
      </c>
      <c r="D194" s="44" t="str">
        <f>IF(meta_Columns[[#This Row],[Owning Table:src]]="","",INDEX(meta_Classifiers[Package],MATCH(meta_Columns[[#This Row],[Owning Table Instances Class]],meta_Classifiers[ID],0)))</f>
        <v>meta</v>
      </c>
      <c r="E194" s="43"/>
      <c r="F194" s="8" t="str">
        <f>INDEX(meta_Tables[Excel Table - Excel Name],MATCH(meta_Columns[[#This Row],[Owning Table:src]],meta_Tables[ID],0))</f>
        <v>meta_Rules</v>
      </c>
      <c r="G194" s="44" t="str">
        <f>INDEX(meta_Tables[Instances Class:src],MATCH(meta_Columns[[#This Row],[Owning Table:src]],meta_Tables[ID],0))</f>
        <v>_Rule</v>
      </c>
      <c r="H194" s="11" t="s">
        <v>1014</v>
      </c>
      <c r="I194" s="43" t="str">
        <f xml:space="preserve"> IF( TRIM( meta_Columns[[#This Row],[Owning Table:src]] ) = "", "",
        INDEX( meta_Tables[Display Qualified], MATCH( meta_Columns[[#This Row],[Owning Table:src]], meta_Tables[ID], 0 ) ) )</f>
        <v>meta::Rules</v>
      </c>
      <c r="K194" s="22" t="str">
        <f>IF(TRIM(meta_Columns[[#This Row],[Referenced Table:src]])="","",
    INDEX(meta_Tables[Display Qualified],MATCH(meta_Columns[[#This Row],[Referenced Table:src]],meta_Tables[ID],0)))</f>
        <v/>
      </c>
      <c r="L194" s="8"/>
      <c r="M194" s="22" t="str">
        <f xml:space="preserve"> IF( TRIM( meta_Columns[[#This Row],[Referenced Table Display and Select Column:src]] ) = "", "",
        INDEX( meta_Columns[Display Qualified], MATCH( meta_Columns[[#This Row],[Referenced Table Display and Select Column:src]], meta_Columns[ID], 0 ) ) )</f>
        <v/>
      </c>
      <c r="N194" s="8" t="str">
        <f>IF(meta_Columns[[#This Row],[Excel Column - Excel Formula]]="","x","")</f>
        <v/>
      </c>
      <c r="O194" s="22"/>
      <c r="P194" s="8" t="str">
        <f>IF(meta_Columns[[#This Row],[Referenced Table:src]]="","",INDEX(meta_Tables[Instances Class],MATCH(meta_Columns[[#This Row],[Referenced Table:src]],meta_Tables[ID],0)))</f>
        <v/>
      </c>
      <c r="Q1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4" s="8" t="s">
        <v>248</v>
      </c>
      <c r="S194" s="22" t="str">
        <f xml:space="preserve"> IF( TRIM( meta_Columns[[#This Row],[Property:src]] ) = "", "",
        INDEX( meta_TypedModelElements[Display Qualified], MATCH( meta_Columns[[#This Row],[Property:src]], meta_TypedModelElements[ID], 0 ) ) )</f>
        <v>meta::Object.package</v>
      </c>
      <c r="T194" s="22"/>
      <c r="U194" s="8" t="e">
        <f>INDEX(meta_Classifiers[Class - Generalization:src], MATCH(meta_Columns[[#This Row],[Generalization 5]],meta_Classifiers[ID],0))</f>
        <v>#N/A</v>
      </c>
      <c r="V194" s="8" t="e">
        <f>INDEX(meta_Classifiers[Class - Generalization:src], MATCH(meta_Columns[[#This Row],[Generalization 4]],meta_Classifiers[ID],0))</f>
        <v>#N/A</v>
      </c>
      <c r="W194" s="8" t="e">
        <f>INDEX(meta_Classifiers[Class - Generalization:src], MATCH(meta_Columns[[#This Row],[Generalization 3]],meta_Classifiers[ID],0))</f>
        <v>#N/A</v>
      </c>
      <c r="X194" s="8" t="str">
        <f>INDEX(meta_Classifiers[Class - Generalization:src], MATCH(meta_Columns[[#This Row],[Generalization 2]],meta_Classifiers[ID],0))</f>
        <v/>
      </c>
      <c r="Y194" s="8" t="str">
        <f>INDEX(meta_Classifiers[Class - Generalization:src], MATCH(meta_Columns[[#This Row],[Generalization 1]],meta_Classifiers[ID],0))</f>
        <v>_Object</v>
      </c>
      <c r="Z194" s="8" t="str">
        <f>INDEX(meta_Classifiers[Class - Generalization:src], MATCH(meta_Columns[[#This Row],[Owning Table Instances Class]],meta_Classifiers[ID],0))</f>
        <v>_NamedElement</v>
      </c>
      <c r="AA1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4" s="8" t="b">
        <f>_xlfn.IFNA(
INDEX(meta_Classifiers[Class - Generalization:src],MATCH(
INDEX(meta_Classifiers[Class - Generalization:src],MATCH(meta_Columns[[#This Row],[Property Owning Class]],meta_Classifiers[ID],0)),meta_Classifiers[ID],0))
=meta_Columns[[#This Row],[Owning Table Instances Class]],FALSE)</f>
        <v>0</v>
      </c>
      <c r="AG194" s="8" t="b">
        <f>_xlfn.IFNA(INDEX(meta_Classifiers[Class - Generalization:src],MATCH(meta_Columns[[#This Row],[Property Owning Class]],meta_Classifiers[ID],0))=meta_Columns[[#This Row],[Owning Table Instances Class]],FALSE)</f>
        <v>0</v>
      </c>
      <c r="AH1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4" s="8" t="str">
        <f>INDEX(meta_Classifiers[Name],MATCH(INDEX(meta_TypedModelElements[Property - Owning Class:src],MATCH(meta_Columns[[#This Row],[Property]],meta_TypedModelElements[ID],0)),meta_Classifiers[ID],0))</f>
        <v>Object</v>
      </c>
      <c r="AJ194" s="8" t="str">
        <f>INDEX(meta_TypedModelElements[Property - Owning Class:src],MATCH(meta_Columns[[#This Row],[Property]],meta_TypedModelElements[ID],0))</f>
        <v>_Object</v>
      </c>
      <c r="AK194" s="8" t="str">
        <f>INDEX(meta_TypedModelElements[Kind:src],MATCH(meta_Columns[[#This Row],[Property]],meta_TypedModelElements[ID],0))</f>
        <v>_Attribute</v>
      </c>
      <c r="AL194" s="8" t="str">
        <f>INDEX(meta_TypedModelElements[Name or Type],MATCH(meta_Columns[[#This Row],[Property]],meta_TypedModelElements[ID],0))</f>
        <v>Package</v>
      </c>
      <c r="AM194" s="8" t="str">
        <f>INDEX(meta_TypedModelElements[Property - Changeable],MATCH(meta_Columns[[#This Row],[Property]],meta_TypedModelElements[ID],0))</f>
        <v>x</v>
      </c>
      <c r="AN194" s="43">
        <v>4</v>
      </c>
      <c r="AO194" s="22"/>
      <c r="AP19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94" s="8" t="str">
        <f xml:space="preserve"> IF(meta_Columns[[#This Row],[Property Owning Class is Specialization of Instance Class]],meta_Columns[[#This Row],[Property Owning Class Name]]&amp;" - ","")</f>
        <v/>
      </c>
      <c r="AR19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94" s="8" t="str">
        <f>IFERROR(LEFT(meta_Columns[[#This Row],[Excel Column - Label Actual without Semantic Case]],FIND("-",
meta_Columns[[#This Row],[Excel Column - Label Actual without Semantic Case]])-2),"")</f>
        <v/>
      </c>
      <c r="AU1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94" s="22"/>
      <c r="AY194" s="8" t="str">
        <f>meta_Columns[[#This Row],[Owning Table]]&amp;"."&amp;meta_Columns[[#This Row],[Excel Column - Label]]</f>
        <v>meta::Rules.Package</v>
      </c>
      <c r="AZ194" s="22" t="s">
        <v>120</v>
      </c>
      <c r="BA194" s="8" t="str">
        <f>IF(TRIM(meta_Columns[[#This Row],[Excel Column - Label Overwrite]])&lt;&gt;"",meta_Columns[[#This Row],[Excel Column - Label Overwrite]],meta_Columns[[#This Row],[Excel Column - Label from Property or Referenced Table]])</f>
        <v>Package</v>
      </c>
      <c r="BB194" s="43" t="s">
        <v>880</v>
      </c>
      <c r="BC194" s="44" t="str">
        <f>IF(meta_Columns[[#This Row],[Excel Column - Explicit Excel Formula]]="","",meta_Columns[[#This Row],[Excel Column - Explicit Excel Formula]])</f>
        <v>Formula:=IFNA(IF([@[Class:src]]="","util",INDEX(meta_Classifiers[Package],MATCH([@[Class:src]],meta_Classifiers[ID],0))),"")</v>
      </c>
      <c r="BD194" s="5"/>
      <c r="BE194" s="5"/>
    </row>
    <row r="195" spans="1:57">
      <c r="A195" s="10" t="s">
        <v>1159</v>
      </c>
      <c r="B195" s="5" t="s">
        <v>546</v>
      </c>
      <c r="C195" s="22" t="str">
        <f xml:space="preserve"> IF( TRIM( meta_Columns[[#This Row],[Kind:src]] ) = "", "",
        INDEX( meta_Classifiers[Display Qualified], MATCH( meta_Columns[[#This Row],[Kind:src]], meta_Classifiers[ID], 0 ) ) )</f>
        <v>ExcelColumn</v>
      </c>
      <c r="D195" s="44" t="str">
        <f>IF(meta_Columns[[#This Row],[Owning Table:src]]="","",INDEX(meta_Classifiers[Package],MATCH(meta_Columns[[#This Row],[Owning Table Instances Class]],meta_Classifiers[ID],0)))</f>
        <v>meta</v>
      </c>
      <c r="E195" s="43"/>
      <c r="F195" s="8" t="str">
        <f>INDEX(meta_Tables[Excel Table - Excel Name],MATCH(meta_Columns[[#This Row],[Owning Table:src]],meta_Tables[ID],0))</f>
        <v>meta_Rules</v>
      </c>
      <c r="G195" s="44" t="str">
        <f>INDEX(meta_Tables[Instances Class:src],MATCH(meta_Columns[[#This Row],[Owning Table:src]],meta_Tables[ID],0))</f>
        <v>_Rule</v>
      </c>
      <c r="H195" s="11" t="s">
        <v>1014</v>
      </c>
      <c r="I195" s="43" t="str">
        <f xml:space="preserve"> IF( TRIM( meta_Columns[[#This Row],[Owning Table:src]] ) = "", "",
        INDEX( meta_Tables[Display Qualified], MATCH( meta_Columns[[#This Row],[Owning Table:src]], meta_Tables[ID], 0 ) ) )</f>
        <v>meta::Rules</v>
      </c>
      <c r="K195" s="22" t="str">
        <f>IF(TRIM(meta_Columns[[#This Row],[Referenced Table:src]])="","",
    INDEX(meta_Tables[Display Qualified],MATCH(meta_Columns[[#This Row],[Referenced Table:src]],meta_Tables[ID],0)))</f>
        <v/>
      </c>
      <c r="L195" s="8"/>
      <c r="M195" s="22" t="str">
        <f xml:space="preserve"> IF( TRIM( meta_Columns[[#This Row],[Referenced Table Display and Select Column:src]] ) = "", "",
        INDEX( meta_Columns[Display Qualified], MATCH( meta_Columns[[#This Row],[Referenced Table Display and Select Column:src]], meta_Columns[ID], 0 ) ) )</f>
        <v/>
      </c>
      <c r="N195" s="8" t="str">
        <f>IF(meta_Columns[[#This Row],[Excel Column - Excel Formula]]="","x","")</f>
        <v>x</v>
      </c>
      <c r="O195" s="22"/>
      <c r="P195" s="8" t="str">
        <f>IF(meta_Columns[[#This Row],[Referenced Table:src]]="","",INDEX(meta_Tables[Instances Class],MATCH(meta_Columns[[#This Row],[Referenced Table:src]],meta_Tables[ID],0)))</f>
        <v/>
      </c>
      <c r="Q1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5" s="8" t="s">
        <v>460</v>
      </c>
      <c r="S195" s="22" t="str">
        <f xml:space="preserve"> IF( TRIM( meta_Columns[[#This Row],[Property:src]] ) = "", "",
        INDEX( meta_TypedModelElements[Display Qualified], MATCH( meta_Columns[[#This Row],[Property:src]], meta_TypedModelElements[ID], 0 ) ) )</f>
        <v>meta::Object.subPackage</v>
      </c>
      <c r="T195" s="22"/>
      <c r="U195" s="8" t="e">
        <f>INDEX(meta_Classifiers[Class - Generalization:src], MATCH(meta_Columns[[#This Row],[Generalization 5]],meta_Classifiers[ID],0))</f>
        <v>#N/A</v>
      </c>
      <c r="V195" s="8" t="e">
        <f>INDEX(meta_Classifiers[Class - Generalization:src], MATCH(meta_Columns[[#This Row],[Generalization 4]],meta_Classifiers[ID],0))</f>
        <v>#N/A</v>
      </c>
      <c r="W195" s="8" t="e">
        <f>INDEX(meta_Classifiers[Class - Generalization:src], MATCH(meta_Columns[[#This Row],[Generalization 3]],meta_Classifiers[ID],0))</f>
        <v>#N/A</v>
      </c>
      <c r="X195" s="8" t="str">
        <f>INDEX(meta_Classifiers[Class - Generalization:src], MATCH(meta_Columns[[#This Row],[Generalization 2]],meta_Classifiers[ID],0))</f>
        <v/>
      </c>
      <c r="Y195" s="8" t="str">
        <f>INDEX(meta_Classifiers[Class - Generalization:src], MATCH(meta_Columns[[#This Row],[Generalization 1]],meta_Classifiers[ID],0))</f>
        <v>_Object</v>
      </c>
      <c r="Z195" s="8" t="str">
        <f>INDEX(meta_Classifiers[Class - Generalization:src], MATCH(meta_Columns[[#This Row],[Owning Table Instances Class]],meta_Classifiers[ID],0))</f>
        <v>_NamedElement</v>
      </c>
      <c r="AA1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5" s="8" t="b">
        <f>_xlfn.IFNA(
INDEX(meta_Classifiers[Class - Generalization:src],MATCH(
INDEX(meta_Classifiers[Class - Generalization:src],MATCH(meta_Columns[[#This Row],[Property Owning Class]],meta_Classifiers[ID],0)),meta_Classifiers[ID],0))
=meta_Columns[[#This Row],[Owning Table Instances Class]],FALSE)</f>
        <v>0</v>
      </c>
      <c r="AG195" s="8" t="b">
        <f>_xlfn.IFNA(INDEX(meta_Classifiers[Class - Generalization:src],MATCH(meta_Columns[[#This Row],[Property Owning Class]],meta_Classifiers[ID],0))=meta_Columns[[#This Row],[Owning Table Instances Class]],FALSE)</f>
        <v>0</v>
      </c>
      <c r="AH1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5" s="8" t="str">
        <f>INDEX(meta_Classifiers[Name],MATCH(INDEX(meta_TypedModelElements[Property - Owning Class:src],MATCH(meta_Columns[[#This Row],[Property]],meta_TypedModelElements[ID],0)),meta_Classifiers[ID],0))</f>
        <v>Object</v>
      </c>
      <c r="AJ195" s="8" t="str">
        <f>INDEX(meta_TypedModelElements[Property - Owning Class:src],MATCH(meta_Columns[[#This Row],[Property]],meta_TypedModelElements[ID],0))</f>
        <v>_Object</v>
      </c>
      <c r="AK195" s="8" t="str">
        <f>INDEX(meta_TypedModelElements[Kind:src],MATCH(meta_Columns[[#This Row],[Property]],meta_TypedModelElements[ID],0))</f>
        <v>_Attribute</v>
      </c>
      <c r="AL195" s="8" t="str">
        <f>INDEX(meta_TypedModelElements[Name or Type],MATCH(meta_Columns[[#This Row],[Property]],meta_TypedModelElements[ID],0))</f>
        <v>Sub Package</v>
      </c>
      <c r="AM195" s="8" t="str">
        <f>INDEX(meta_TypedModelElements[Property - Changeable],MATCH(meta_Columns[[#This Row],[Property]],meta_TypedModelElements[ID],0))</f>
        <v>x</v>
      </c>
      <c r="AN195" s="43">
        <v>5</v>
      </c>
      <c r="AO195" s="22">
        <v>4</v>
      </c>
      <c r="AP19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95" s="8" t="str">
        <f xml:space="preserve"> IF(meta_Columns[[#This Row],[Property Owning Class is Specialization of Instance Class]],meta_Columns[[#This Row],[Property Owning Class Name]]&amp;" - ","")</f>
        <v/>
      </c>
      <c r="AR19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95" s="8" t="str">
        <f>IFERROR(LEFT(meta_Columns[[#This Row],[Excel Column - Label Actual without Semantic Case]],FIND("-",
meta_Columns[[#This Row],[Excel Column - Label Actual without Semantic Case]])-2),"")</f>
        <v/>
      </c>
      <c r="AU1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95" s="22"/>
      <c r="AY195" s="8" t="str">
        <f>meta_Columns[[#This Row],[Owning Table]]&amp;"."&amp;meta_Columns[[#This Row],[Excel Column - Label]]</f>
        <v>meta::Rules.Sub Package</v>
      </c>
      <c r="AZ195" s="22" t="s">
        <v>461</v>
      </c>
      <c r="BA195" s="8" t="str">
        <f>IF(TRIM(meta_Columns[[#This Row],[Excel Column - Label Overwrite]])&lt;&gt;"",meta_Columns[[#This Row],[Excel Column - Label Overwrite]],meta_Columns[[#This Row],[Excel Column - Label from Property or Referenced Table]])</f>
        <v>Sub Package</v>
      </c>
      <c r="BB195" s="43"/>
      <c r="BC195" s="44" t="str">
        <f>IF(meta_Columns[[#This Row],[Excel Column - Explicit Excel Formula]]="","",meta_Columns[[#This Row],[Excel Column - Explicit Excel Formula]])</f>
        <v/>
      </c>
      <c r="BD195" s="5"/>
      <c r="BE195" s="5"/>
    </row>
    <row r="196" spans="1:57">
      <c r="A196" s="10" t="s">
        <v>1160</v>
      </c>
      <c r="B196" s="5" t="s">
        <v>546</v>
      </c>
      <c r="C196" s="22" t="str">
        <f xml:space="preserve"> IF( TRIM( meta_Columns[[#This Row],[Kind:src]] ) = "", "",
        INDEX( meta_Classifiers[Display Qualified], MATCH( meta_Columns[[#This Row],[Kind:src]], meta_Classifiers[ID], 0 ) ) )</f>
        <v>ExcelColumn</v>
      </c>
      <c r="D196" s="44" t="str">
        <f>IF(meta_Columns[[#This Row],[Owning Table:src]]="","",INDEX(meta_Classifiers[Package],MATCH(meta_Columns[[#This Row],[Owning Table Instances Class]],meta_Classifiers[ID],0)))</f>
        <v>meta</v>
      </c>
      <c r="E196" s="43"/>
      <c r="F196" s="8" t="str">
        <f>INDEX(meta_Tables[Excel Table - Excel Name],MATCH(meta_Columns[[#This Row],[Owning Table:src]],meta_Tables[ID],0))</f>
        <v>meta_Rules</v>
      </c>
      <c r="G196" s="44" t="str">
        <f>INDEX(meta_Tables[Instances Class:src],MATCH(meta_Columns[[#This Row],[Owning Table:src]],meta_Tables[ID],0))</f>
        <v>_Rule</v>
      </c>
      <c r="H196" s="11" t="s">
        <v>1014</v>
      </c>
      <c r="I196" s="43" t="str">
        <f xml:space="preserve"> IF( TRIM( meta_Columns[[#This Row],[Owning Table:src]] ) = "", "",
        INDEX( meta_Tables[Display Qualified], MATCH( meta_Columns[[#This Row],[Owning Table:src]], meta_Tables[ID], 0 ) ) )</f>
        <v>meta::Rules</v>
      </c>
      <c r="K196" s="22" t="str">
        <f>IF(TRIM(meta_Columns[[#This Row],[Referenced Table:src]])="","",
    INDEX(meta_Tables[Display Qualified],MATCH(meta_Columns[[#This Row],[Referenced Table:src]],meta_Tables[ID],0)))</f>
        <v/>
      </c>
      <c r="L196" s="8"/>
      <c r="M196" s="22" t="str">
        <f xml:space="preserve"> IF( TRIM( meta_Columns[[#This Row],[Referenced Table Display and Select Column:src]] ) = "", "",
        INDEX( meta_Columns[Display Qualified], MATCH( meta_Columns[[#This Row],[Referenced Table Display and Select Column:src]], meta_Columns[ID], 0 ) ) )</f>
        <v/>
      </c>
      <c r="N196" s="8" t="str">
        <f>IF(meta_Columns[[#This Row],[Excel Column - Excel Formula]]="","x","")</f>
        <v/>
      </c>
      <c r="O196" s="22"/>
      <c r="P196" s="8" t="str">
        <f>IF(meta_Columns[[#This Row],[Referenced Table:src]]="","",INDEX(meta_Tables[Instances Class],MATCH(meta_Columns[[#This Row],[Referenced Table:src]],meta_Tables[ID],0)))</f>
        <v/>
      </c>
      <c r="Q1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6" s="8"/>
      <c r="S196" s="22" t="str">
        <f xml:space="preserve"> IF( TRIM( meta_Columns[[#This Row],[Property:src]] ) = "", "",
        INDEX( meta_TypedModelElements[Display Qualified], MATCH( meta_Columns[[#This Row],[Property:src]], meta_TypedModelElements[ID], 0 ) ) )</f>
        <v/>
      </c>
      <c r="T196" s="22"/>
      <c r="U196" s="8" t="e">
        <f>INDEX(meta_Classifiers[Class - Generalization:src], MATCH(meta_Columns[[#This Row],[Generalization 5]],meta_Classifiers[ID],0))</f>
        <v>#N/A</v>
      </c>
      <c r="V196" s="8" t="e">
        <f>INDEX(meta_Classifiers[Class - Generalization:src], MATCH(meta_Columns[[#This Row],[Generalization 4]],meta_Classifiers[ID],0))</f>
        <v>#N/A</v>
      </c>
      <c r="W196" s="8" t="e">
        <f>INDEX(meta_Classifiers[Class - Generalization:src], MATCH(meta_Columns[[#This Row],[Generalization 3]],meta_Classifiers[ID],0))</f>
        <v>#N/A</v>
      </c>
      <c r="X196" s="8" t="str">
        <f>INDEX(meta_Classifiers[Class - Generalization:src], MATCH(meta_Columns[[#This Row],[Generalization 2]],meta_Classifiers[ID],0))</f>
        <v/>
      </c>
      <c r="Y196" s="8" t="str">
        <f>INDEX(meta_Classifiers[Class - Generalization:src], MATCH(meta_Columns[[#This Row],[Generalization 1]],meta_Classifiers[ID],0))</f>
        <v>_Object</v>
      </c>
      <c r="Z196" s="8" t="str">
        <f>INDEX(meta_Classifiers[Class - Generalization:src], MATCH(meta_Columns[[#This Row],[Owning Table Instances Class]],meta_Classifiers[ID],0))</f>
        <v>_NamedElement</v>
      </c>
      <c r="AA1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6" s="8" t="b">
        <f>_xlfn.IFNA(
INDEX(meta_Classifiers[Class - Generalization:src],MATCH(
INDEX(meta_Classifiers[Class - Generalization:src],MATCH(meta_Columns[[#This Row],[Property Owning Class]],meta_Classifiers[ID],0)),meta_Classifiers[ID],0))
=meta_Columns[[#This Row],[Owning Table Instances Class]],FALSE)</f>
        <v>0</v>
      </c>
      <c r="AG196" s="8" t="b">
        <f>_xlfn.IFNA(INDEX(meta_Classifiers[Class - Generalization:src],MATCH(meta_Columns[[#This Row],[Property Owning Class]],meta_Classifiers[ID],0))=meta_Columns[[#This Row],[Owning Table Instances Class]],FALSE)</f>
        <v>0</v>
      </c>
      <c r="AH1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6" s="8" t="e">
        <f>INDEX(meta_Classifiers[Name],MATCH(INDEX(meta_TypedModelElements[Property - Owning Class:src],MATCH(meta_Columns[[#This Row],[Property]],meta_TypedModelElements[ID],0)),meta_Classifiers[ID],0))</f>
        <v>#N/A</v>
      </c>
      <c r="AJ196" s="8" t="e">
        <f>INDEX(meta_TypedModelElements[Property - Owning Class:src],MATCH(meta_Columns[[#This Row],[Property]],meta_TypedModelElements[ID],0))</f>
        <v>#N/A</v>
      </c>
      <c r="AK196" s="8" t="e">
        <f>INDEX(meta_TypedModelElements[Kind:src],MATCH(meta_Columns[[#This Row],[Property]],meta_TypedModelElements[ID],0))</f>
        <v>#N/A</v>
      </c>
      <c r="AL196" s="8" t="e">
        <f>INDEX(meta_TypedModelElements[Name or Type],MATCH(meta_Columns[[#This Row],[Property]],meta_TypedModelElements[ID],0))</f>
        <v>#N/A</v>
      </c>
      <c r="AM196" s="8" t="e">
        <f>INDEX(meta_TypedModelElements[Property - Changeable],MATCH(meta_Columns[[#This Row],[Property]],meta_TypedModelElements[ID],0))</f>
        <v>#N/A</v>
      </c>
      <c r="AN196" s="43">
        <v>6</v>
      </c>
      <c r="AO196" s="22"/>
      <c r="AP1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6" s="8" t="str">
        <f xml:space="preserve"> IF(meta_Columns[[#This Row],[Property Owning Class is Specialization of Instance Class]],meta_Columns[[#This Row],[Property Owning Class Name]]&amp;" - ","")</f>
        <v/>
      </c>
      <c r="AR1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6" s="8" t="str">
        <f>IFERROR(LEFT(meta_Columns[[#This Row],[Excel Column - Label Actual without Semantic Case]],FIND("-",
meta_Columns[[#This Row],[Excel Column - Label Actual without Semantic Case]])-2),"")</f>
        <v/>
      </c>
      <c r="AU1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6:display:q.</v>
      </c>
      <c r="AX196" s="22"/>
      <c r="AY196" s="8" t="str">
        <f>meta_Columns[[#This Row],[Owning Table]]&amp;"."&amp;meta_Columns[[#This Row],[Excel Column - Label]]</f>
        <v>meta::Rules.Super Class 6:display:q.</v>
      </c>
      <c r="AZ196" s="22" t="s">
        <v>284</v>
      </c>
      <c r="BA196" s="8" t="str">
        <f>IF(TRIM(meta_Columns[[#This Row],[Excel Column - Label Overwrite]])&lt;&gt;"",meta_Columns[[#This Row],[Excel Column - Label Overwrite]],meta_Columns[[#This Row],[Excel Column - Label from Property or Referenced Table]])</f>
        <v>Super Class 6:display:q.</v>
      </c>
      <c r="BB196" s="43" t="s">
        <v>958</v>
      </c>
      <c r="BC196" s="44" t="str">
        <f>IF(meta_Columns[[#This Row],[Excel Column - Explicit Excel Formula]]="","",meta_Columns[[#This Row],[Excel Column - Explicit Excel Formula]])</f>
        <v>Formula:=IFNA(INDEX(meta_Classifiers[Display Qualified],MATCH([@[Super Class 6]],meta_Classifiers[ID],0))&amp;".","")</v>
      </c>
      <c r="BD196" s="5"/>
      <c r="BE196" s="5"/>
    </row>
    <row r="197" spans="1:57">
      <c r="A197" s="10" t="s">
        <v>1161</v>
      </c>
      <c r="B197" s="5" t="s">
        <v>546</v>
      </c>
      <c r="C197" s="22" t="str">
        <f xml:space="preserve"> IF( TRIM( meta_Columns[[#This Row],[Kind:src]] ) = "", "",
        INDEX( meta_Classifiers[Display Qualified], MATCH( meta_Columns[[#This Row],[Kind:src]], meta_Classifiers[ID], 0 ) ) )</f>
        <v>ExcelColumn</v>
      </c>
      <c r="D197" s="44" t="str">
        <f>IF(meta_Columns[[#This Row],[Owning Table:src]]="","",INDEX(meta_Classifiers[Package],MATCH(meta_Columns[[#This Row],[Owning Table Instances Class]],meta_Classifiers[ID],0)))</f>
        <v>meta</v>
      </c>
      <c r="E197" s="43"/>
      <c r="F197" s="8" t="str">
        <f>INDEX(meta_Tables[Excel Table - Excel Name],MATCH(meta_Columns[[#This Row],[Owning Table:src]],meta_Tables[ID],0))</f>
        <v>meta_Rules</v>
      </c>
      <c r="G197" s="44" t="str">
        <f>INDEX(meta_Tables[Instances Class:src],MATCH(meta_Columns[[#This Row],[Owning Table:src]],meta_Tables[ID],0))</f>
        <v>_Rule</v>
      </c>
      <c r="H197" s="11" t="s">
        <v>1014</v>
      </c>
      <c r="I197" s="43" t="str">
        <f xml:space="preserve"> IF( TRIM( meta_Columns[[#This Row],[Owning Table:src]] ) = "", "",
        INDEX( meta_Tables[Display Qualified], MATCH( meta_Columns[[#This Row],[Owning Table:src]], meta_Tables[ID], 0 ) ) )</f>
        <v>meta::Rules</v>
      </c>
      <c r="K197" s="22" t="str">
        <f>IF(TRIM(meta_Columns[[#This Row],[Referenced Table:src]])="","",
    INDEX(meta_Tables[Display Qualified],MATCH(meta_Columns[[#This Row],[Referenced Table:src]],meta_Tables[ID],0)))</f>
        <v/>
      </c>
      <c r="L197" s="8"/>
      <c r="M197" s="22" t="str">
        <f xml:space="preserve"> IF( TRIM( meta_Columns[[#This Row],[Referenced Table Display and Select Column:src]] ) = "", "",
        INDEX( meta_Columns[Display Qualified], MATCH( meta_Columns[[#This Row],[Referenced Table Display and Select Column:src]], meta_Columns[ID], 0 ) ) )</f>
        <v/>
      </c>
      <c r="N197" s="8" t="str">
        <f>IF(meta_Columns[[#This Row],[Excel Column - Excel Formula]]="","x","")</f>
        <v/>
      </c>
      <c r="O197" s="22"/>
      <c r="P197" s="8" t="str">
        <f>IF(meta_Columns[[#This Row],[Referenced Table:src]]="","",INDEX(meta_Tables[Instances Class],MATCH(meta_Columns[[#This Row],[Referenced Table:src]],meta_Tables[ID],0)))</f>
        <v/>
      </c>
      <c r="Q1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7" s="8"/>
      <c r="S197" s="22" t="str">
        <f xml:space="preserve"> IF( TRIM( meta_Columns[[#This Row],[Property:src]] ) = "", "",
        INDEX( meta_TypedModelElements[Display Qualified], MATCH( meta_Columns[[#This Row],[Property:src]], meta_TypedModelElements[ID], 0 ) ) )</f>
        <v/>
      </c>
      <c r="T197" s="22"/>
      <c r="U197" s="8" t="e">
        <f>INDEX(meta_Classifiers[Class - Generalization:src], MATCH(meta_Columns[[#This Row],[Generalization 5]],meta_Classifiers[ID],0))</f>
        <v>#N/A</v>
      </c>
      <c r="V197" s="8" t="e">
        <f>INDEX(meta_Classifiers[Class - Generalization:src], MATCH(meta_Columns[[#This Row],[Generalization 4]],meta_Classifiers[ID],0))</f>
        <v>#N/A</v>
      </c>
      <c r="W197" s="8" t="e">
        <f>INDEX(meta_Classifiers[Class - Generalization:src], MATCH(meta_Columns[[#This Row],[Generalization 3]],meta_Classifiers[ID],0))</f>
        <v>#N/A</v>
      </c>
      <c r="X197" s="8" t="str">
        <f>INDEX(meta_Classifiers[Class - Generalization:src], MATCH(meta_Columns[[#This Row],[Generalization 2]],meta_Classifiers[ID],0))</f>
        <v/>
      </c>
      <c r="Y197" s="8" t="str">
        <f>INDEX(meta_Classifiers[Class - Generalization:src], MATCH(meta_Columns[[#This Row],[Generalization 1]],meta_Classifiers[ID],0))</f>
        <v>_Object</v>
      </c>
      <c r="Z197" s="8" t="str">
        <f>INDEX(meta_Classifiers[Class - Generalization:src], MATCH(meta_Columns[[#This Row],[Owning Table Instances Class]],meta_Classifiers[ID],0))</f>
        <v>_NamedElement</v>
      </c>
      <c r="AA1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7" s="8" t="b">
        <f>_xlfn.IFNA(
INDEX(meta_Classifiers[Class - Generalization:src],MATCH(
INDEX(meta_Classifiers[Class - Generalization:src],MATCH(meta_Columns[[#This Row],[Property Owning Class]],meta_Classifiers[ID],0)),meta_Classifiers[ID],0))
=meta_Columns[[#This Row],[Owning Table Instances Class]],FALSE)</f>
        <v>0</v>
      </c>
      <c r="AG197" s="8" t="b">
        <f>_xlfn.IFNA(INDEX(meta_Classifiers[Class - Generalization:src],MATCH(meta_Columns[[#This Row],[Property Owning Class]],meta_Classifiers[ID],0))=meta_Columns[[#This Row],[Owning Table Instances Class]],FALSE)</f>
        <v>0</v>
      </c>
      <c r="AH1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7" s="8" t="e">
        <f>INDEX(meta_Classifiers[Name],MATCH(INDEX(meta_TypedModelElements[Property - Owning Class:src],MATCH(meta_Columns[[#This Row],[Property]],meta_TypedModelElements[ID],0)),meta_Classifiers[ID],0))</f>
        <v>#N/A</v>
      </c>
      <c r="AJ197" s="8" t="e">
        <f>INDEX(meta_TypedModelElements[Property - Owning Class:src],MATCH(meta_Columns[[#This Row],[Property]],meta_TypedModelElements[ID],0))</f>
        <v>#N/A</v>
      </c>
      <c r="AK197" s="8" t="e">
        <f>INDEX(meta_TypedModelElements[Kind:src],MATCH(meta_Columns[[#This Row],[Property]],meta_TypedModelElements[ID],0))</f>
        <v>#N/A</v>
      </c>
      <c r="AL197" s="8" t="e">
        <f>INDEX(meta_TypedModelElements[Name or Type],MATCH(meta_Columns[[#This Row],[Property]],meta_TypedModelElements[ID],0))</f>
        <v>#N/A</v>
      </c>
      <c r="AM197" s="8" t="e">
        <f>INDEX(meta_TypedModelElements[Property - Changeable],MATCH(meta_Columns[[#This Row],[Property]],meta_TypedModelElements[ID],0))</f>
        <v>#N/A</v>
      </c>
      <c r="AN197" s="43">
        <v>7</v>
      </c>
      <c r="AO197" s="22"/>
      <c r="AP1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7" s="8" t="str">
        <f xml:space="preserve"> IF(meta_Columns[[#This Row],[Property Owning Class is Specialization of Instance Class]],meta_Columns[[#This Row],[Property Owning Class Name]]&amp;" - ","")</f>
        <v/>
      </c>
      <c r="AR1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7" s="8" t="str">
        <f>IFERROR(LEFT(meta_Columns[[#This Row],[Excel Column - Label Actual without Semantic Case]],FIND("-",
meta_Columns[[#This Row],[Excel Column - Label Actual without Semantic Case]])-2),"")</f>
        <v/>
      </c>
      <c r="AU1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v>
      </c>
      <c r="AX197" s="22"/>
      <c r="AY197" s="8" t="str">
        <f>meta_Columns[[#This Row],[Owning Table]]&amp;"."&amp;meta_Columns[[#This Row],[Excel Column - Label]]</f>
        <v>meta::Rules.Super Class 6</v>
      </c>
      <c r="AZ197" s="22" t="s">
        <v>244</v>
      </c>
      <c r="BA197" s="8" t="str">
        <f>IF(TRIM(meta_Columns[[#This Row],[Excel Column - Label Overwrite]])&lt;&gt;"",meta_Columns[[#This Row],[Excel Column - Label Overwrite]],meta_Columns[[#This Row],[Excel Column - Label from Property or Referenced Table]])</f>
        <v>Super Class 6</v>
      </c>
      <c r="BB197" s="43" t="s">
        <v>1529</v>
      </c>
      <c r="BC197" s="44" t="str">
        <f>IF(meta_Columns[[#This Row],[Excel Column - Explicit Excel Formula]]="","",meta_Columns[[#This Row],[Excel Column - Explicit Excel Formula]])</f>
        <v>Formula:=IFNA(INDEX(#REF!,MATCH([@[Super Class 5]],meta_Classifiers[ID],0)),0)</v>
      </c>
      <c r="BD197" s="5"/>
      <c r="BE197" s="5"/>
    </row>
    <row r="198" spans="1:57">
      <c r="A198" s="10" t="s">
        <v>1162</v>
      </c>
      <c r="B198" s="5" t="s">
        <v>546</v>
      </c>
      <c r="C198" s="22" t="str">
        <f xml:space="preserve"> IF( TRIM( meta_Columns[[#This Row],[Kind:src]] ) = "", "",
        INDEX( meta_Classifiers[Display Qualified], MATCH( meta_Columns[[#This Row],[Kind:src]], meta_Classifiers[ID], 0 ) ) )</f>
        <v>ExcelColumn</v>
      </c>
      <c r="D198" s="44" t="str">
        <f>IF(meta_Columns[[#This Row],[Owning Table:src]]="","",INDEX(meta_Classifiers[Package],MATCH(meta_Columns[[#This Row],[Owning Table Instances Class]],meta_Classifiers[ID],0)))</f>
        <v>meta</v>
      </c>
      <c r="E198" s="43"/>
      <c r="F198" s="8" t="str">
        <f>INDEX(meta_Tables[Excel Table - Excel Name],MATCH(meta_Columns[[#This Row],[Owning Table:src]],meta_Tables[ID],0))</f>
        <v>meta_Rules</v>
      </c>
      <c r="G198" s="44" t="str">
        <f>INDEX(meta_Tables[Instances Class:src],MATCH(meta_Columns[[#This Row],[Owning Table:src]],meta_Tables[ID],0))</f>
        <v>_Rule</v>
      </c>
      <c r="H198" s="11" t="s">
        <v>1014</v>
      </c>
      <c r="I198" s="43" t="str">
        <f xml:space="preserve"> IF( TRIM( meta_Columns[[#This Row],[Owning Table:src]] ) = "", "",
        INDEX( meta_Tables[Display Qualified], MATCH( meta_Columns[[#This Row],[Owning Table:src]], meta_Tables[ID], 0 ) ) )</f>
        <v>meta::Rules</v>
      </c>
      <c r="K198" s="22" t="str">
        <f>IF(TRIM(meta_Columns[[#This Row],[Referenced Table:src]])="","",
    INDEX(meta_Tables[Display Qualified],MATCH(meta_Columns[[#This Row],[Referenced Table:src]],meta_Tables[ID],0)))</f>
        <v/>
      </c>
      <c r="L198" s="8"/>
      <c r="M198" s="22" t="str">
        <f xml:space="preserve"> IF( TRIM( meta_Columns[[#This Row],[Referenced Table Display and Select Column:src]] ) = "", "",
        INDEX( meta_Columns[Display Qualified], MATCH( meta_Columns[[#This Row],[Referenced Table Display and Select Column:src]], meta_Columns[ID], 0 ) ) )</f>
        <v/>
      </c>
      <c r="N198" s="8" t="str">
        <f>IF(meta_Columns[[#This Row],[Excel Column - Excel Formula]]="","x","")</f>
        <v/>
      </c>
      <c r="O198" s="22"/>
      <c r="P198" s="8" t="str">
        <f>IF(meta_Columns[[#This Row],[Referenced Table:src]]="","",INDEX(meta_Tables[Instances Class],MATCH(meta_Columns[[#This Row],[Referenced Table:src]],meta_Tables[ID],0)))</f>
        <v/>
      </c>
      <c r="Q1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8" s="8"/>
      <c r="S198" s="22" t="str">
        <f xml:space="preserve"> IF( TRIM( meta_Columns[[#This Row],[Property:src]] ) = "", "",
        INDEX( meta_TypedModelElements[Display Qualified], MATCH( meta_Columns[[#This Row],[Property:src]], meta_TypedModelElements[ID], 0 ) ) )</f>
        <v/>
      </c>
      <c r="T198" s="22"/>
      <c r="U198" s="8" t="e">
        <f>INDEX(meta_Classifiers[Class - Generalization:src], MATCH(meta_Columns[[#This Row],[Generalization 5]],meta_Classifiers[ID],0))</f>
        <v>#N/A</v>
      </c>
      <c r="V198" s="8" t="e">
        <f>INDEX(meta_Classifiers[Class - Generalization:src], MATCH(meta_Columns[[#This Row],[Generalization 4]],meta_Classifiers[ID],0))</f>
        <v>#N/A</v>
      </c>
      <c r="W198" s="8" t="e">
        <f>INDEX(meta_Classifiers[Class - Generalization:src], MATCH(meta_Columns[[#This Row],[Generalization 3]],meta_Classifiers[ID],0))</f>
        <v>#N/A</v>
      </c>
      <c r="X198" s="8" t="str">
        <f>INDEX(meta_Classifiers[Class - Generalization:src], MATCH(meta_Columns[[#This Row],[Generalization 2]],meta_Classifiers[ID],0))</f>
        <v/>
      </c>
      <c r="Y198" s="8" t="str">
        <f>INDEX(meta_Classifiers[Class - Generalization:src], MATCH(meta_Columns[[#This Row],[Generalization 1]],meta_Classifiers[ID],0))</f>
        <v>_Object</v>
      </c>
      <c r="Z198" s="8" t="str">
        <f>INDEX(meta_Classifiers[Class - Generalization:src], MATCH(meta_Columns[[#This Row],[Owning Table Instances Class]],meta_Classifiers[ID],0))</f>
        <v>_NamedElement</v>
      </c>
      <c r="AA1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8" s="8" t="b">
        <f>_xlfn.IFNA(
INDEX(meta_Classifiers[Class - Generalization:src],MATCH(
INDEX(meta_Classifiers[Class - Generalization:src],MATCH(meta_Columns[[#This Row],[Property Owning Class]],meta_Classifiers[ID],0)),meta_Classifiers[ID],0))
=meta_Columns[[#This Row],[Owning Table Instances Class]],FALSE)</f>
        <v>0</v>
      </c>
      <c r="AG198" s="8" t="b">
        <f>_xlfn.IFNA(INDEX(meta_Classifiers[Class - Generalization:src],MATCH(meta_Columns[[#This Row],[Property Owning Class]],meta_Classifiers[ID],0))=meta_Columns[[#This Row],[Owning Table Instances Class]],FALSE)</f>
        <v>0</v>
      </c>
      <c r="AH1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8" s="8" t="e">
        <f>INDEX(meta_Classifiers[Name],MATCH(INDEX(meta_TypedModelElements[Property - Owning Class:src],MATCH(meta_Columns[[#This Row],[Property]],meta_TypedModelElements[ID],0)),meta_Classifiers[ID],0))</f>
        <v>#N/A</v>
      </c>
      <c r="AJ198" s="8" t="e">
        <f>INDEX(meta_TypedModelElements[Property - Owning Class:src],MATCH(meta_Columns[[#This Row],[Property]],meta_TypedModelElements[ID],0))</f>
        <v>#N/A</v>
      </c>
      <c r="AK198" s="8" t="e">
        <f>INDEX(meta_TypedModelElements[Kind:src],MATCH(meta_Columns[[#This Row],[Property]],meta_TypedModelElements[ID],0))</f>
        <v>#N/A</v>
      </c>
      <c r="AL198" s="8" t="e">
        <f>INDEX(meta_TypedModelElements[Name or Type],MATCH(meta_Columns[[#This Row],[Property]],meta_TypedModelElements[ID],0))</f>
        <v>#N/A</v>
      </c>
      <c r="AM198" s="8" t="e">
        <f>INDEX(meta_TypedModelElements[Property - Changeable],MATCH(meta_Columns[[#This Row],[Property]],meta_TypedModelElements[ID],0))</f>
        <v>#N/A</v>
      </c>
      <c r="AN198" s="43">
        <v>8</v>
      </c>
      <c r="AO198" s="22"/>
      <c r="AP1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8" s="8" t="str">
        <f xml:space="preserve"> IF(meta_Columns[[#This Row],[Property Owning Class is Specialization of Instance Class]],meta_Columns[[#This Row],[Property Owning Class Name]]&amp;" - ","")</f>
        <v/>
      </c>
      <c r="AR1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8" s="8" t="str">
        <f>IFERROR(LEFT(meta_Columns[[#This Row],[Excel Column - Label Actual without Semantic Case]],FIND("-",
meta_Columns[[#This Row],[Excel Column - Label Actual without Semantic Case]])-2),"")</f>
        <v/>
      </c>
      <c r="AU1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5:display:q.</v>
      </c>
      <c r="AX198" s="22"/>
      <c r="AY198" s="8" t="str">
        <f>meta_Columns[[#This Row],[Owning Table]]&amp;"."&amp;meta_Columns[[#This Row],[Excel Column - Label]]</f>
        <v>meta::Rules.Super Class 5:display:q.</v>
      </c>
      <c r="AZ198" s="22" t="s">
        <v>285</v>
      </c>
      <c r="BA198" s="8" t="str">
        <f>IF(TRIM(meta_Columns[[#This Row],[Excel Column - Label Overwrite]])&lt;&gt;"",meta_Columns[[#This Row],[Excel Column - Label Overwrite]],meta_Columns[[#This Row],[Excel Column - Label from Property or Referenced Table]])</f>
        <v>Super Class 5:display:q.</v>
      </c>
      <c r="BB198" s="43" t="s">
        <v>959</v>
      </c>
      <c r="BC198" s="44" t="str">
        <f>IF(meta_Columns[[#This Row],[Excel Column - Explicit Excel Formula]]="","",meta_Columns[[#This Row],[Excel Column - Explicit Excel Formula]])</f>
        <v>Formula:=IFNA(INDEX(meta_Classifiers[Display Qualified],MATCH([@[Super Class 5]],meta_Classifiers[ID],0))&amp;".","")</v>
      </c>
      <c r="BD198" s="5"/>
      <c r="BE198" s="5"/>
    </row>
    <row r="199" spans="1:57">
      <c r="A199" s="10" t="s">
        <v>1163</v>
      </c>
      <c r="B199" s="5" t="s">
        <v>546</v>
      </c>
      <c r="C199" s="22" t="str">
        <f xml:space="preserve"> IF( TRIM( meta_Columns[[#This Row],[Kind:src]] ) = "", "",
        INDEX( meta_Classifiers[Display Qualified], MATCH( meta_Columns[[#This Row],[Kind:src]], meta_Classifiers[ID], 0 ) ) )</f>
        <v>ExcelColumn</v>
      </c>
      <c r="D199" s="44" t="str">
        <f>IF(meta_Columns[[#This Row],[Owning Table:src]]="","",INDEX(meta_Classifiers[Package],MATCH(meta_Columns[[#This Row],[Owning Table Instances Class]],meta_Classifiers[ID],0)))</f>
        <v>meta</v>
      </c>
      <c r="E199" s="43"/>
      <c r="F199" s="8" t="str">
        <f>INDEX(meta_Tables[Excel Table - Excel Name],MATCH(meta_Columns[[#This Row],[Owning Table:src]],meta_Tables[ID],0))</f>
        <v>meta_Rules</v>
      </c>
      <c r="G199" s="44" t="str">
        <f>INDEX(meta_Tables[Instances Class:src],MATCH(meta_Columns[[#This Row],[Owning Table:src]],meta_Tables[ID],0))</f>
        <v>_Rule</v>
      </c>
      <c r="H199" s="11" t="s">
        <v>1014</v>
      </c>
      <c r="I199" s="43" t="str">
        <f xml:space="preserve"> IF( TRIM( meta_Columns[[#This Row],[Owning Table:src]] ) = "", "",
        INDEX( meta_Tables[Display Qualified], MATCH( meta_Columns[[#This Row],[Owning Table:src]], meta_Tables[ID], 0 ) ) )</f>
        <v>meta::Rules</v>
      </c>
      <c r="K199" s="22" t="str">
        <f>IF(TRIM(meta_Columns[[#This Row],[Referenced Table:src]])="","",
    INDEX(meta_Tables[Display Qualified],MATCH(meta_Columns[[#This Row],[Referenced Table:src]],meta_Tables[ID],0)))</f>
        <v/>
      </c>
      <c r="L199" s="8"/>
      <c r="M199" s="22" t="str">
        <f xml:space="preserve"> IF( TRIM( meta_Columns[[#This Row],[Referenced Table Display and Select Column:src]] ) = "", "",
        INDEX( meta_Columns[Display Qualified], MATCH( meta_Columns[[#This Row],[Referenced Table Display and Select Column:src]], meta_Columns[ID], 0 ) ) )</f>
        <v/>
      </c>
      <c r="N199" s="8" t="str">
        <f>IF(meta_Columns[[#This Row],[Excel Column - Excel Formula]]="","x","")</f>
        <v/>
      </c>
      <c r="O199" s="22"/>
      <c r="P199" s="8" t="str">
        <f>IF(meta_Columns[[#This Row],[Referenced Table:src]]="","",INDEX(meta_Tables[Instances Class],MATCH(meta_Columns[[#This Row],[Referenced Table:src]],meta_Tables[ID],0)))</f>
        <v/>
      </c>
      <c r="Q1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9" s="8"/>
      <c r="S199" s="22" t="str">
        <f xml:space="preserve"> IF( TRIM( meta_Columns[[#This Row],[Property:src]] ) = "", "",
        INDEX( meta_TypedModelElements[Display Qualified], MATCH( meta_Columns[[#This Row],[Property:src]], meta_TypedModelElements[ID], 0 ) ) )</f>
        <v/>
      </c>
      <c r="T199" s="22"/>
      <c r="U199" s="8" t="e">
        <f>INDEX(meta_Classifiers[Class - Generalization:src], MATCH(meta_Columns[[#This Row],[Generalization 5]],meta_Classifiers[ID],0))</f>
        <v>#N/A</v>
      </c>
      <c r="V199" s="8" t="e">
        <f>INDEX(meta_Classifiers[Class - Generalization:src], MATCH(meta_Columns[[#This Row],[Generalization 4]],meta_Classifiers[ID],0))</f>
        <v>#N/A</v>
      </c>
      <c r="W199" s="8" t="e">
        <f>INDEX(meta_Classifiers[Class - Generalization:src], MATCH(meta_Columns[[#This Row],[Generalization 3]],meta_Classifiers[ID],0))</f>
        <v>#N/A</v>
      </c>
      <c r="X199" s="8" t="str">
        <f>INDEX(meta_Classifiers[Class - Generalization:src], MATCH(meta_Columns[[#This Row],[Generalization 2]],meta_Classifiers[ID],0))</f>
        <v/>
      </c>
      <c r="Y199" s="8" t="str">
        <f>INDEX(meta_Classifiers[Class - Generalization:src], MATCH(meta_Columns[[#This Row],[Generalization 1]],meta_Classifiers[ID],0))</f>
        <v>_Object</v>
      </c>
      <c r="Z199" s="8" t="str">
        <f>INDEX(meta_Classifiers[Class - Generalization:src], MATCH(meta_Columns[[#This Row],[Owning Table Instances Class]],meta_Classifiers[ID],0))</f>
        <v>_NamedElement</v>
      </c>
      <c r="AA1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9" s="8" t="b">
        <f>_xlfn.IFNA(
INDEX(meta_Classifiers[Class - Generalization:src],MATCH(
INDEX(meta_Classifiers[Class - Generalization:src],MATCH(meta_Columns[[#This Row],[Property Owning Class]],meta_Classifiers[ID],0)),meta_Classifiers[ID],0))
=meta_Columns[[#This Row],[Owning Table Instances Class]],FALSE)</f>
        <v>0</v>
      </c>
      <c r="AG199" s="8" t="b">
        <f>_xlfn.IFNA(INDEX(meta_Classifiers[Class - Generalization:src],MATCH(meta_Columns[[#This Row],[Property Owning Class]],meta_Classifiers[ID],0))=meta_Columns[[#This Row],[Owning Table Instances Class]],FALSE)</f>
        <v>0</v>
      </c>
      <c r="AH1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9" s="8" t="e">
        <f>INDEX(meta_Classifiers[Name],MATCH(INDEX(meta_TypedModelElements[Property - Owning Class:src],MATCH(meta_Columns[[#This Row],[Property]],meta_TypedModelElements[ID],0)),meta_Classifiers[ID],0))</f>
        <v>#N/A</v>
      </c>
      <c r="AJ199" s="8" t="e">
        <f>INDEX(meta_TypedModelElements[Property - Owning Class:src],MATCH(meta_Columns[[#This Row],[Property]],meta_TypedModelElements[ID],0))</f>
        <v>#N/A</v>
      </c>
      <c r="AK199" s="8" t="e">
        <f>INDEX(meta_TypedModelElements[Kind:src],MATCH(meta_Columns[[#This Row],[Property]],meta_TypedModelElements[ID],0))</f>
        <v>#N/A</v>
      </c>
      <c r="AL199" s="8" t="e">
        <f>INDEX(meta_TypedModelElements[Name or Type],MATCH(meta_Columns[[#This Row],[Property]],meta_TypedModelElements[ID],0))</f>
        <v>#N/A</v>
      </c>
      <c r="AM199" s="8" t="e">
        <f>INDEX(meta_TypedModelElements[Property - Changeable],MATCH(meta_Columns[[#This Row],[Property]],meta_TypedModelElements[ID],0))</f>
        <v>#N/A</v>
      </c>
      <c r="AN199" s="43">
        <v>9</v>
      </c>
      <c r="AO199" s="22"/>
      <c r="AP1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9" s="8" t="str">
        <f xml:space="preserve"> IF(meta_Columns[[#This Row],[Property Owning Class is Specialization of Instance Class]],meta_Columns[[#This Row],[Property Owning Class Name]]&amp;" - ","")</f>
        <v/>
      </c>
      <c r="AR1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9" s="8" t="str">
        <f>IFERROR(LEFT(meta_Columns[[#This Row],[Excel Column - Label Actual without Semantic Case]],FIND("-",
meta_Columns[[#This Row],[Excel Column - Label Actual without Semantic Case]])-2),"")</f>
        <v/>
      </c>
      <c r="AU1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v>
      </c>
      <c r="AX199" s="22"/>
      <c r="AY199" s="8" t="str">
        <f>meta_Columns[[#This Row],[Owning Table]]&amp;"."&amp;meta_Columns[[#This Row],[Excel Column - Label]]</f>
        <v>meta::Rules.Super Class 5</v>
      </c>
      <c r="AZ199" s="22" t="s">
        <v>243</v>
      </c>
      <c r="BA199" s="8" t="str">
        <f>IF(TRIM(meta_Columns[[#This Row],[Excel Column - Label Overwrite]])&lt;&gt;"",meta_Columns[[#This Row],[Excel Column - Label Overwrite]],meta_Columns[[#This Row],[Excel Column - Label from Property or Referenced Table]])</f>
        <v>Super Class 5</v>
      </c>
      <c r="BB199" s="43" t="s">
        <v>1530</v>
      </c>
      <c r="BC199" s="44" t="str">
        <f>IF(meta_Columns[[#This Row],[Excel Column - Explicit Excel Formula]]="","",meta_Columns[[#This Row],[Excel Column - Explicit Excel Formula]])</f>
        <v>Formula:=IFNA(INDEX(#REF!,MATCH([@[Super Class 4]],meta_Classifiers[ID],0)),0)</v>
      </c>
      <c r="BD199" s="5"/>
      <c r="BE199" s="5"/>
    </row>
    <row r="200" spans="1:57">
      <c r="A200" s="10" t="s">
        <v>1164</v>
      </c>
      <c r="B200" s="5" t="s">
        <v>546</v>
      </c>
      <c r="C200" s="22" t="str">
        <f xml:space="preserve"> IF( TRIM( meta_Columns[[#This Row],[Kind:src]] ) = "", "",
        INDEX( meta_Classifiers[Display Qualified], MATCH( meta_Columns[[#This Row],[Kind:src]], meta_Classifiers[ID], 0 ) ) )</f>
        <v>ExcelColumn</v>
      </c>
      <c r="D200" s="44" t="str">
        <f>IF(meta_Columns[[#This Row],[Owning Table:src]]="","",INDEX(meta_Classifiers[Package],MATCH(meta_Columns[[#This Row],[Owning Table Instances Class]],meta_Classifiers[ID],0)))</f>
        <v>meta</v>
      </c>
      <c r="E200" s="43"/>
      <c r="F200" s="8" t="str">
        <f>INDEX(meta_Tables[Excel Table - Excel Name],MATCH(meta_Columns[[#This Row],[Owning Table:src]],meta_Tables[ID],0))</f>
        <v>meta_Rules</v>
      </c>
      <c r="G200" s="44" t="str">
        <f>INDEX(meta_Tables[Instances Class:src],MATCH(meta_Columns[[#This Row],[Owning Table:src]],meta_Tables[ID],0))</f>
        <v>_Rule</v>
      </c>
      <c r="H200" s="11" t="s">
        <v>1014</v>
      </c>
      <c r="I200" s="43" t="str">
        <f xml:space="preserve"> IF( TRIM( meta_Columns[[#This Row],[Owning Table:src]] ) = "", "",
        INDEX( meta_Tables[Display Qualified], MATCH( meta_Columns[[#This Row],[Owning Table:src]], meta_Tables[ID], 0 ) ) )</f>
        <v>meta::Rules</v>
      </c>
      <c r="K200" s="22" t="str">
        <f>IF(TRIM(meta_Columns[[#This Row],[Referenced Table:src]])="","",
    INDEX(meta_Tables[Display Qualified],MATCH(meta_Columns[[#This Row],[Referenced Table:src]],meta_Tables[ID],0)))</f>
        <v/>
      </c>
      <c r="L200" s="8"/>
      <c r="M200" s="22" t="str">
        <f xml:space="preserve"> IF( TRIM( meta_Columns[[#This Row],[Referenced Table Display and Select Column:src]] ) = "", "",
        INDEX( meta_Columns[Display Qualified], MATCH( meta_Columns[[#This Row],[Referenced Table Display and Select Column:src]], meta_Columns[ID], 0 ) ) )</f>
        <v/>
      </c>
      <c r="N200" s="8" t="str">
        <f>IF(meta_Columns[[#This Row],[Excel Column - Excel Formula]]="","x","")</f>
        <v/>
      </c>
      <c r="O200" s="22"/>
      <c r="P200" s="8" t="str">
        <f>IF(meta_Columns[[#This Row],[Referenced Table:src]]="","",INDEX(meta_Tables[Instances Class],MATCH(meta_Columns[[#This Row],[Referenced Table:src]],meta_Tables[ID],0)))</f>
        <v/>
      </c>
      <c r="Q2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0" s="8"/>
      <c r="S200" s="22" t="str">
        <f xml:space="preserve"> IF( TRIM( meta_Columns[[#This Row],[Property:src]] ) = "", "",
        INDEX( meta_TypedModelElements[Display Qualified], MATCH( meta_Columns[[#This Row],[Property:src]], meta_TypedModelElements[ID], 0 ) ) )</f>
        <v/>
      </c>
      <c r="T200" s="22"/>
      <c r="U200" s="8" t="e">
        <f>INDEX(meta_Classifiers[Class - Generalization:src], MATCH(meta_Columns[[#This Row],[Generalization 5]],meta_Classifiers[ID],0))</f>
        <v>#N/A</v>
      </c>
      <c r="V200" s="8" t="e">
        <f>INDEX(meta_Classifiers[Class - Generalization:src], MATCH(meta_Columns[[#This Row],[Generalization 4]],meta_Classifiers[ID],0))</f>
        <v>#N/A</v>
      </c>
      <c r="W200" s="8" t="e">
        <f>INDEX(meta_Classifiers[Class - Generalization:src], MATCH(meta_Columns[[#This Row],[Generalization 3]],meta_Classifiers[ID],0))</f>
        <v>#N/A</v>
      </c>
      <c r="X200" s="8" t="str">
        <f>INDEX(meta_Classifiers[Class - Generalization:src], MATCH(meta_Columns[[#This Row],[Generalization 2]],meta_Classifiers[ID],0))</f>
        <v/>
      </c>
      <c r="Y200" s="8" t="str">
        <f>INDEX(meta_Classifiers[Class - Generalization:src], MATCH(meta_Columns[[#This Row],[Generalization 1]],meta_Classifiers[ID],0))</f>
        <v>_Object</v>
      </c>
      <c r="Z200" s="8" t="str">
        <f>INDEX(meta_Classifiers[Class - Generalization:src], MATCH(meta_Columns[[#This Row],[Owning Table Instances Class]],meta_Classifiers[ID],0))</f>
        <v>_NamedElement</v>
      </c>
      <c r="AA2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0" s="8" t="b">
        <f>_xlfn.IFNA(
INDEX(meta_Classifiers[Class - Generalization:src],MATCH(
INDEX(meta_Classifiers[Class - Generalization:src],MATCH(meta_Columns[[#This Row],[Property Owning Class]],meta_Classifiers[ID],0)),meta_Classifiers[ID],0))
=meta_Columns[[#This Row],[Owning Table Instances Class]],FALSE)</f>
        <v>0</v>
      </c>
      <c r="AG200" s="8" t="b">
        <f>_xlfn.IFNA(INDEX(meta_Classifiers[Class - Generalization:src],MATCH(meta_Columns[[#This Row],[Property Owning Class]],meta_Classifiers[ID],0))=meta_Columns[[#This Row],[Owning Table Instances Class]],FALSE)</f>
        <v>0</v>
      </c>
      <c r="AH2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0" s="8" t="e">
        <f>INDEX(meta_Classifiers[Name],MATCH(INDEX(meta_TypedModelElements[Property - Owning Class:src],MATCH(meta_Columns[[#This Row],[Property]],meta_TypedModelElements[ID],0)),meta_Classifiers[ID],0))</f>
        <v>#N/A</v>
      </c>
      <c r="AJ200" s="8" t="e">
        <f>INDEX(meta_TypedModelElements[Property - Owning Class:src],MATCH(meta_Columns[[#This Row],[Property]],meta_TypedModelElements[ID],0))</f>
        <v>#N/A</v>
      </c>
      <c r="AK200" s="8" t="e">
        <f>INDEX(meta_TypedModelElements[Kind:src],MATCH(meta_Columns[[#This Row],[Property]],meta_TypedModelElements[ID],0))</f>
        <v>#N/A</v>
      </c>
      <c r="AL200" s="8" t="e">
        <f>INDEX(meta_TypedModelElements[Name or Type],MATCH(meta_Columns[[#This Row],[Property]],meta_TypedModelElements[ID],0))</f>
        <v>#N/A</v>
      </c>
      <c r="AM200" s="8" t="e">
        <f>INDEX(meta_TypedModelElements[Property - Changeable],MATCH(meta_Columns[[#This Row],[Property]],meta_TypedModelElements[ID],0))</f>
        <v>#N/A</v>
      </c>
      <c r="AN200" s="43">
        <v>10</v>
      </c>
      <c r="AO200" s="22"/>
      <c r="AP2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0" s="8" t="str">
        <f xml:space="preserve"> IF(meta_Columns[[#This Row],[Property Owning Class is Specialization of Instance Class]],meta_Columns[[#This Row],[Property Owning Class Name]]&amp;" - ","")</f>
        <v/>
      </c>
      <c r="AR2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0" s="8" t="str">
        <f>IFERROR(LEFT(meta_Columns[[#This Row],[Excel Column - Label Actual without Semantic Case]],FIND("-",
meta_Columns[[#This Row],[Excel Column - Label Actual without Semantic Case]])-2),"")</f>
        <v/>
      </c>
      <c r="AU2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4:display:q.</v>
      </c>
      <c r="AX200" s="22"/>
      <c r="AY200" s="8" t="str">
        <f>meta_Columns[[#This Row],[Owning Table]]&amp;"."&amp;meta_Columns[[#This Row],[Excel Column - Label]]</f>
        <v>meta::Rules.Super Class 4:display:q.</v>
      </c>
      <c r="AZ200" s="22" t="s">
        <v>286</v>
      </c>
      <c r="BA200" s="8" t="str">
        <f>IF(TRIM(meta_Columns[[#This Row],[Excel Column - Label Overwrite]])&lt;&gt;"",meta_Columns[[#This Row],[Excel Column - Label Overwrite]],meta_Columns[[#This Row],[Excel Column - Label from Property or Referenced Table]])</f>
        <v>Super Class 4:display:q.</v>
      </c>
      <c r="BB200" s="43" t="s">
        <v>960</v>
      </c>
      <c r="BC200" s="44" t="str">
        <f>IF(meta_Columns[[#This Row],[Excel Column - Explicit Excel Formula]]="","",meta_Columns[[#This Row],[Excel Column - Explicit Excel Formula]])</f>
        <v>Formula:=IFNA(INDEX(meta_Classifiers[Display Qualified],MATCH([@[Super Class 4]],meta_Classifiers[ID],0))&amp;".","")</v>
      </c>
      <c r="BD200" s="5"/>
      <c r="BE200" s="5"/>
    </row>
    <row r="201" spans="1:57">
      <c r="A201" s="10" t="s">
        <v>1165</v>
      </c>
      <c r="B201" s="5" t="s">
        <v>546</v>
      </c>
      <c r="C201" s="22" t="str">
        <f xml:space="preserve"> IF( TRIM( meta_Columns[[#This Row],[Kind:src]] ) = "", "",
        INDEX( meta_Classifiers[Display Qualified], MATCH( meta_Columns[[#This Row],[Kind:src]], meta_Classifiers[ID], 0 ) ) )</f>
        <v>ExcelColumn</v>
      </c>
      <c r="D201" s="44" t="str">
        <f>IF(meta_Columns[[#This Row],[Owning Table:src]]="","",INDEX(meta_Classifiers[Package],MATCH(meta_Columns[[#This Row],[Owning Table Instances Class]],meta_Classifiers[ID],0)))</f>
        <v>meta</v>
      </c>
      <c r="E201" s="43"/>
      <c r="F201" s="8" t="str">
        <f>INDEX(meta_Tables[Excel Table - Excel Name],MATCH(meta_Columns[[#This Row],[Owning Table:src]],meta_Tables[ID],0))</f>
        <v>meta_Rules</v>
      </c>
      <c r="G201" s="44" t="str">
        <f>INDEX(meta_Tables[Instances Class:src],MATCH(meta_Columns[[#This Row],[Owning Table:src]],meta_Tables[ID],0))</f>
        <v>_Rule</v>
      </c>
      <c r="H201" s="11" t="s">
        <v>1014</v>
      </c>
      <c r="I201" s="43" t="str">
        <f xml:space="preserve"> IF( TRIM( meta_Columns[[#This Row],[Owning Table:src]] ) = "", "",
        INDEX( meta_Tables[Display Qualified], MATCH( meta_Columns[[#This Row],[Owning Table:src]], meta_Tables[ID], 0 ) ) )</f>
        <v>meta::Rules</v>
      </c>
      <c r="K201" s="22" t="str">
        <f>IF(TRIM(meta_Columns[[#This Row],[Referenced Table:src]])="","",
    INDEX(meta_Tables[Display Qualified],MATCH(meta_Columns[[#This Row],[Referenced Table:src]],meta_Tables[ID],0)))</f>
        <v/>
      </c>
      <c r="L201" s="8"/>
      <c r="M201" s="22" t="str">
        <f xml:space="preserve"> IF( TRIM( meta_Columns[[#This Row],[Referenced Table Display and Select Column:src]] ) = "", "",
        INDEX( meta_Columns[Display Qualified], MATCH( meta_Columns[[#This Row],[Referenced Table Display and Select Column:src]], meta_Columns[ID], 0 ) ) )</f>
        <v/>
      </c>
      <c r="N201" s="8" t="str">
        <f>IF(meta_Columns[[#This Row],[Excel Column - Excel Formula]]="","x","")</f>
        <v/>
      </c>
      <c r="O201" s="22"/>
      <c r="P201" s="8" t="str">
        <f>IF(meta_Columns[[#This Row],[Referenced Table:src]]="","",INDEX(meta_Tables[Instances Class],MATCH(meta_Columns[[#This Row],[Referenced Table:src]],meta_Tables[ID],0)))</f>
        <v/>
      </c>
      <c r="Q2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1" s="8"/>
      <c r="S201" s="22" t="str">
        <f xml:space="preserve"> IF( TRIM( meta_Columns[[#This Row],[Property:src]] ) = "", "",
        INDEX( meta_TypedModelElements[Display Qualified], MATCH( meta_Columns[[#This Row],[Property:src]], meta_TypedModelElements[ID], 0 ) ) )</f>
        <v/>
      </c>
      <c r="T201" s="22"/>
      <c r="U201" s="8" t="e">
        <f>INDEX(meta_Classifiers[Class - Generalization:src], MATCH(meta_Columns[[#This Row],[Generalization 5]],meta_Classifiers[ID],0))</f>
        <v>#N/A</v>
      </c>
      <c r="V201" s="8" t="e">
        <f>INDEX(meta_Classifiers[Class - Generalization:src], MATCH(meta_Columns[[#This Row],[Generalization 4]],meta_Classifiers[ID],0))</f>
        <v>#N/A</v>
      </c>
      <c r="W201" s="8" t="e">
        <f>INDEX(meta_Classifiers[Class - Generalization:src], MATCH(meta_Columns[[#This Row],[Generalization 3]],meta_Classifiers[ID],0))</f>
        <v>#N/A</v>
      </c>
      <c r="X201" s="8" t="str">
        <f>INDEX(meta_Classifiers[Class - Generalization:src], MATCH(meta_Columns[[#This Row],[Generalization 2]],meta_Classifiers[ID],0))</f>
        <v/>
      </c>
      <c r="Y201" s="8" t="str">
        <f>INDEX(meta_Classifiers[Class - Generalization:src], MATCH(meta_Columns[[#This Row],[Generalization 1]],meta_Classifiers[ID],0))</f>
        <v>_Object</v>
      </c>
      <c r="Z201" s="8" t="str">
        <f>INDEX(meta_Classifiers[Class - Generalization:src], MATCH(meta_Columns[[#This Row],[Owning Table Instances Class]],meta_Classifiers[ID],0))</f>
        <v>_NamedElement</v>
      </c>
      <c r="AA2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1" s="8" t="b">
        <f>_xlfn.IFNA(
INDEX(meta_Classifiers[Class - Generalization:src],MATCH(
INDEX(meta_Classifiers[Class - Generalization:src],MATCH(meta_Columns[[#This Row],[Property Owning Class]],meta_Classifiers[ID],0)),meta_Classifiers[ID],0))
=meta_Columns[[#This Row],[Owning Table Instances Class]],FALSE)</f>
        <v>0</v>
      </c>
      <c r="AG201" s="8" t="b">
        <f>_xlfn.IFNA(INDEX(meta_Classifiers[Class - Generalization:src],MATCH(meta_Columns[[#This Row],[Property Owning Class]],meta_Classifiers[ID],0))=meta_Columns[[#This Row],[Owning Table Instances Class]],FALSE)</f>
        <v>0</v>
      </c>
      <c r="AH2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1" s="8" t="e">
        <f>INDEX(meta_Classifiers[Name],MATCH(INDEX(meta_TypedModelElements[Property - Owning Class:src],MATCH(meta_Columns[[#This Row],[Property]],meta_TypedModelElements[ID],0)),meta_Classifiers[ID],0))</f>
        <v>#N/A</v>
      </c>
      <c r="AJ201" s="8" t="e">
        <f>INDEX(meta_TypedModelElements[Property - Owning Class:src],MATCH(meta_Columns[[#This Row],[Property]],meta_TypedModelElements[ID],0))</f>
        <v>#N/A</v>
      </c>
      <c r="AK201" s="8" t="e">
        <f>INDEX(meta_TypedModelElements[Kind:src],MATCH(meta_Columns[[#This Row],[Property]],meta_TypedModelElements[ID],0))</f>
        <v>#N/A</v>
      </c>
      <c r="AL201" s="8" t="e">
        <f>INDEX(meta_TypedModelElements[Name or Type],MATCH(meta_Columns[[#This Row],[Property]],meta_TypedModelElements[ID],0))</f>
        <v>#N/A</v>
      </c>
      <c r="AM201" s="8" t="e">
        <f>INDEX(meta_TypedModelElements[Property - Changeable],MATCH(meta_Columns[[#This Row],[Property]],meta_TypedModelElements[ID],0))</f>
        <v>#N/A</v>
      </c>
      <c r="AN201" s="43">
        <v>11</v>
      </c>
      <c r="AO201" s="22"/>
      <c r="AP2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1" s="8" t="str">
        <f xml:space="preserve"> IF(meta_Columns[[#This Row],[Property Owning Class is Specialization of Instance Class]],meta_Columns[[#This Row],[Property Owning Class Name]]&amp;" - ","")</f>
        <v/>
      </c>
      <c r="AR2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1" s="8" t="str">
        <f>IFERROR(LEFT(meta_Columns[[#This Row],[Excel Column - Label Actual without Semantic Case]],FIND("-",
meta_Columns[[#This Row],[Excel Column - Label Actual without Semantic Case]])-2),"")</f>
        <v/>
      </c>
      <c r="AU2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v>
      </c>
      <c r="AX201" s="22"/>
      <c r="AY201" s="8" t="str">
        <f>meta_Columns[[#This Row],[Owning Table]]&amp;"."&amp;meta_Columns[[#This Row],[Excel Column - Label]]</f>
        <v>meta::Rules.Super Class 4</v>
      </c>
      <c r="AZ201" s="22" t="s">
        <v>241</v>
      </c>
      <c r="BA201" s="8" t="str">
        <f>IF(TRIM(meta_Columns[[#This Row],[Excel Column - Label Overwrite]])&lt;&gt;"",meta_Columns[[#This Row],[Excel Column - Label Overwrite]],meta_Columns[[#This Row],[Excel Column - Label from Property or Referenced Table]])</f>
        <v>Super Class 4</v>
      </c>
      <c r="BB201" s="43" t="s">
        <v>1531</v>
      </c>
      <c r="BC201" s="44" t="str">
        <f>IF(meta_Columns[[#This Row],[Excel Column - Explicit Excel Formula]]="","",meta_Columns[[#This Row],[Excel Column - Explicit Excel Formula]])</f>
        <v>Formula:=IFNA(INDEX(#REF!,MATCH([@[Super Class 3]],meta_Classifiers[ID],0)),0)</v>
      </c>
      <c r="BD201" s="5"/>
      <c r="BE201" s="5"/>
    </row>
    <row r="202" spans="1:57">
      <c r="A202" s="10" t="s">
        <v>1166</v>
      </c>
      <c r="B202" s="5" t="s">
        <v>546</v>
      </c>
      <c r="C202" s="22" t="str">
        <f xml:space="preserve"> IF( TRIM( meta_Columns[[#This Row],[Kind:src]] ) = "", "",
        INDEX( meta_Classifiers[Display Qualified], MATCH( meta_Columns[[#This Row],[Kind:src]], meta_Classifiers[ID], 0 ) ) )</f>
        <v>ExcelColumn</v>
      </c>
      <c r="D202" s="44" t="str">
        <f>IF(meta_Columns[[#This Row],[Owning Table:src]]="","",INDEX(meta_Classifiers[Package],MATCH(meta_Columns[[#This Row],[Owning Table Instances Class]],meta_Classifiers[ID],0)))</f>
        <v>meta</v>
      </c>
      <c r="E202" s="43"/>
      <c r="F202" s="8" t="str">
        <f>INDEX(meta_Tables[Excel Table - Excel Name],MATCH(meta_Columns[[#This Row],[Owning Table:src]],meta_Tables[ID],0))</f>
        <v>meta_Rules</v>
      </c>
      <c r="G202" s="44" t="str">
        <f>INDEX(meta_Tables[Instances Class:src],MATCH(meta_Columns[[#This Row],[Owning Table:src]],meta_Tables[ID],0))</f>
        <v>_Rule</v>
      </c>
      <c r="H202" s="11" t="s">
        <v>1014</v>
      </c>
      <c r="I202" s="43" t="str">
        <f xml:space="preserve"> IF( TRIM( meta_Columns[[#This Row],[Owning Table:src]] ) = "", "",
        INDEX( meta_Tables[Display Qualified], MATCH( meta_Columns[[#This Row],[Owning Table:src]], meta_Tables[ID], 0 ) ) )</f>
        <v>meta::Rules</v>
      </c>
      <c r="K202" s="22" t="str">
        <f>IF(TRIM(meta_Columns[[#This Row],[Referenced Table:src]])="","",
    INDEX(meta_Tables[Display Qualified],MATCH(meta_Columns[[#This Row],[Referenced Table:src]],meta_Tables[ID],0)))</f>
        <v/>
      </c>
      <c r="L202" s="8"/>
      <c r="M202" s="22" t="str">
        <f xml:space="preserve"> IF( TRIM( meta_Columns[[#This Row],[Referenced Table Display and Select Column:src]] ) = "", "",
        INDEX( meta_Columns[Display Qualified], MATCH( meta_Columns[[#This Row],[Referenced Table Display and Select Column:src]], meta_Columns[ID], 0 ) ) )</f>
        <v/>
      </c>
      <c r="N202" s="8" t="str">
        <f>IF(meta_Columns[[#This Row],[Excel Column - Excel Formula]]="","x","")</f>
        <v/>
      </c>
      <c r="O202" s="22"/>
      <c r="P202" s="8" t="str">
        <f>IF(meta_Columns[[#This Row],[Referenced Table:src]]="","",INDEX(meta_Tables[Instances Class],MATCH(meta_Columns[[#This Row],[Referenced Table:src]],meta_Tables[ID],0)))</f>
        <v/>
      </c>
      <c r="Q2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2" s="8"/>
      <c r="S202" s="22" t="str">
        <f xml:space="preserve"> IF( TRIM( meta_Columns[[#This Row],[Property:src]] ) = "", "",
        INDEX( meta_TypedModelElements[Display Qualified], MATCH( meta_Columns[[#This Row],[Property:src]], meta_TypedModelElements[ID], 0 ) ) )</f>
        <v/>
      </c>
      <c r="T202" s="22"/>
      <c r="U202" s="8" t="e">
        <f>INDEX(meta_Classifiers[Class - Generalization:src], MATCH(meta_Columns[[#This Row],[Generalization 5]],meta_Classifiers[ID],0))</f>
        <v>#N/A</v>
      </c>
      <c r="V202" s="8" t="e">
        <f>INDEX(meta_Classifiers[Class - Generalization:src], MATCH(meta_Columns[[#This Row],[Generalization 4]],meta_Classifiers[ID],0))</f>
        <v>#N/A</v>
      </c>
      <c r="W202" s="8" t="e">
        <f>INDEX(meta_Classifiers[Class - Generalization:src], MATCH(meta_Columns[[#This Row],[Generalization 3]],meta_Classifiers[ID],0))</f>
        <v>#N/A</v>
      </c>
      <c r="X202" s="8" t="str">
        <f>INDEX(meta_Classifiers[Class - Generalization:src], MATCH(meta_Columns[[#This Row],[Generalization 2]],meta_Classifiers[ID],0))</f>
        <v/>
      </c>
      <c r="Y202" s="8" t="str">
        <f>INDEX(meta_Classifiers[Class - Generalization:src], MATCH(meta_Columns[[#This Row],[Generalization 1]],meta_Classifiers[ID],0))</f>
        <v>_Object</v>
      </c>
      <c r="Z202" s="8" t="str">
        <f>INDEX(meta_Classifiers[Class - Generalization:src], MATCH(meta_Columns[[#This Row],[Owning Table Instances Class]],meta_Classifiers[ID],0))</f>
        <v>_NamedElement</v>
      </c>
      <c r="AA2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2" s="8" t="b">
        <f>_xlfn.IFNA(
INDEX(meta_Classifiers[Class - Generalization:src],MATCH(
INDEX(meta_Classifiers[Class - Generalization:src],MATCH(meta_Columns[[#This Row],[Property Owning Class]],meta_Classifiers[ID],0)),meta_Classifiers[ID],0))
=meta_Columns[[#This Row],[Owning Table Instances Class]],FALSE)</f>
        <v>0</v>
      </c>
      <c r="AG202" s="8" t="b">
        <f>_xlfn.IFNA(INDEX(meta_Classifiers[Class - Generalization:src],MATCH(meta_Columns[[#This Row],[Property Owning Class]],meta_Classifiers[ID],0))=meta_Columns[[#This Row],[Owning Table Instances Class]],FALSE)</f>
        <v>0</v>
      </c>
      <c r="AH2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2" s="8" t="e">
        <f>INDEX(meta_Classifiers[Name],MATCH(INDEX(meta_TypedModelElements[Property - Owning Class:src],MATCH(meta_Columns[[#This Row],[Property]],meta_TypedModelElements[ID],0)),meta_Classifiers[ID],0))</f>
        <v>#N/A</v>
      </c>
      <c r="AJ202" s="8" t="e">
        <f>INDEX(meta_TypedModelElements[Property - Owning Class:src],MATCH(meta_Columns[[#This Row],[Property]],meta_TypedModelElements[ID],0))</f>
        <v>#N/A</v>
      </c>
      <c r="AK202" s="8" t="e">
        <f>INDEX(meta_TypedModelElements[Kind:src],MATCH(meta_Columns[[#This Row],[Property]],meta_TypedModelElements[ID],0))</f>
        <v>#N/A</v>
      </c>
      <c r="AL202" s="8" t="e">
        <f>INDEX(meta_TypedModelElements[Name or Type],MATCH(meta_Columns[[#This Row],[Property]],meta_TypedModelElements[ID],0))</f>
        <v>#N/A</v>
      </c>
      <c r="AM202" s="8" t="e">
        <f>INDEX(meta_TypedModelElements[Property - Changeable],MATCH(meta_Columns[[#This Row],[Property]],meta_TypedModelElements[ID],0))</f>
        <v>#N/A</v>
      </c>
      <c r="AN202" s="43">
        <v>12</v>
      </c>
      <c r="AO202" s="22"/>
      <c r="AP2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2" s="8" t="str">
        <f xml:space="preserve"> IF(meta_Columns[[#This Row],[Property Owning Class is Specialization of Instance Class]],meta_Columns[[#This Row],[Property Owning Class Name]]&amp;" - ","")</f>
        <v/>
      </c>
      <c r="AR2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2" s="8" t="str">
        <f>IFERROR(LEFT(meta_Columns[[#This Row],[Excel Column - Label Actual without Semantic Case]],FIND("-",
meta_Columns[[#This Row],[Excel Column - Label Actual without Semantic Case]])-2),"")</f>
        <v/>
      </c>
      <c r="AU2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3:display:q.</v>
      </c>
      <c r="AX202" s="22"/>
      <c r="AY202" s="8" t="str">
        <f>meta_Columns[[#This Row],[Owning Table]]&amp;"."&amp;meta_Columns[[#This Row],[Excel Column - Label]]</f>
        <v>meta::Rules.Super Class 3:display:q.</v>
      </c>
      <c r="AZ202" s="22" t="s">
        <v>287</v>
      </c>
      <c r="BA202" s="8" t="str">
        <f>IF(TRIM(meta_Columns[[#This Row],[Excel Column - Label Overwrite]])&lt;&gt;"",meta_Columns[[#This Row],[Excel Column - Label Overwrite]],meta_Columns[[#This Row],[Excel Column - Label from Property or Referenced Table]])</f>
        <v>Super Class 3:display:q.</v>
      </c>
      <c r="BB202" s="43" t="s">
        <v>961</v>
      </c>
      <c r="BC202" s="44" t="str">
        <f>IF(meta_Columns[[#This Row],[Excel Column - Explicit Excel Formula]]="","",meta_Columns[[#This Row],[Excel Column - Explicit Excel Formula]])</f>
        <v>Formula:=IFNA(INDEX(meta_Classifiers[Display Qualified],MATCH([@[Super Class 3]],meta_Classifiers[ID],0))&amp;".","")</v>
      </c>
      <c r="BD202" s="5"/>
      <c r="BE202" s="5"/>
    </row>
    <row r="203" spans="1:57">
      <c r="A203" s="10" t="s">
        <v>1167</v>
      </c>
      <c r="B203" s="5" t="s">
        <v>546</v>
      </c>
      <c r="C203" s="22" t="str">
        <f xml:space="preserve"> IF( TRIM( meta_Columns[[#This Row],[Kind:src]] ) = "", "",
        INDEX( meta_Classifiers[Display Qualified], MATCH( meta_Columns[[#This Row],[Kind:src]], meta_Classifiers[ID], 0 ) ) )</f>
        <v>ExcelColumn</v>
      </c>
      <c r="D203" s="44" t="str">
        <f>IF(meta_Columns[[#This Row],[Owning Table:src]]="","",INDEX(meta_Classifiers[Package],MATCH(meta_Columns[[#This Row],[Owning Table Instances Class]],meta_Classifiers[ID],0)))</f>
        <v>meta</v>
      </c>
      <c r="E203" s="43"/>
      <c r="F203" s="8" t="str">
        <f>INDEX(meta_Tables[Excel Table - Excel Name],MATCH(meta_Columns[[#This Row],[Owning Table:src]],meta_Tables[ID],0))</f>
        <v>meta_Rules</v>
      </c>
      <c r="G203" s="44" t="str">
        <f>INDEX(meta_Tables[Instances Class:src],MATCH(meta_Columns[[#This Row],[Owning Table:src]],meta_Tables[ID],0))</f>
        <v>_Rule</v>
      </c>
      <c r="H203" s="11" t="s">
        <v>1014</v>
      </c>
      <c r="I203" s="43" t="str">
        <f xml:space="preserve"> IF( TRIM( meta_Columns[[#This Row],[Owning Table:src]] ) = "", "",
        INDEX( meta_Tables[Display Qualified], MATCH( meta_Columns[[#This Row],[Owning Table:src]], meta_Tables[ID], 0 ) ) )</f>
        <v>meta::Rules</v>
      </c>
      <c r="K203" s="22" t="str">
        <f>IF(TRIM(meta_Columns[[#This Row],[Referenced Table:src]])="","",
    INDEX(meta_Tables[Display Qualified],MATCH(meta_Columns[[#This Row],[Referenced Table:src]],meta_Tables[ID],0)))</f>
        <v/>
      </c>
      <c r="L203" s="8"/>
      <c r="M203" s="22" t="str">
        <f xml:space="preserve"> IF( TRIM( meta_Columns[[#This Row],[Referenced Table Display and Select Column:src]] ) = "", "",
        INDEX( meta_Columns[Display Qualified], MATCH( meta_Columns[[#This Row],[Referenced Table Display and Select Column:src]], meta_Columns[ID], 0 ) ) )</f>
        <v/>
      </c>
      <c r="N203" s="8" t="str">
        <f>IF(meta_Columns[[#This Row],[Excel Column - Excel Formula]]="","x","")</f>
        <v/>
      </c>
      <c r="O203" s="22"/>
      <c r="P203" s="8" t="str">
        <f>IF(meta_Columns[[#This Row],[Referenced Table:src]]="","",INDEX(meta_Tables[Instances Class],MATCH(meta_Columns[[#This Row],[Referenced Table:src]],meta_Tables[ID],0)))</f>
        <v/>
      </c>
      <c r="Q2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3" s="8"/>
      <c r="S203" s="22" t="str">
        <f xml:space="preserve"> IF( TRIM( meta_Columns[[#This Row],[Property:src]] ) = "", "",
        INDEX( meta_TypedModelElements[Display Qualified], MATCH( meta_Columns[[#This Row],[Property:src]], meta_TypedModelElements[ID], 0 ) ) )</f>
        <v/>
      </c>
      <c r="T203" s="22"/>
      <c r="U203" s="8" t="e">
        <f>INDEX(meta_Classifiers[Class - Generalization:src], MATCH(meta_Columns[[#This Row],[Generalization 5]],meta_Classifiers[ID],0))</f>
        <v>#N/A</v>
      </c>
      <c r="V203" s="8" t="e">
        <f>INDEX(meta_Classifiers[Class - Generalization:src], MATCH(meta_Columns[[#This Row],[Generalization 4]],meta_Classifiers[ID],0))</f>
        <v>#N/A</v>
      </c>
      <c r="W203" s="8" t="e">
        <f>INDEX(meta_Classifiers[Class - Generalization:src], MATCH(meta_Columns[[#This Row],[Generalization 3]],meta_Classifiers[ID],0))</f>
        <v>#N/A</v>
      </c>
      <c r="X203" s="8" t="str">
        <f>INDEX(meta_Classifiers[Class - Generalization:src], MATCH(meta_Columns[[#This Row],[Generalization 2]],meta_Classifiers[ID],0))</f>
        <v/>
      </c>
      <c r="Y203" s="8" t="str">
        <f>INDEX(meta_Classifiers[Class - Generalization:src], MATCH(meta_Columns[[#This Row],[Generalization 1]],meta_Classifiers[ID],0))</f>
        <v>_Object</v>
      </c>
      <c r="Z203" s="8" t="str">
        <f>INDEX(meta_Classifiers[Class - Generalization:src], MATCH(meta_Columns[[#This Row],[Owning Table Instances Class]],meta_Classifiers[ID],0))</f>
        <v>_NamedElement</v>
      </c>
      <c r="AA2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3" s="8" t="b">
        <f>_xlfn.IFNA(
INDEX(meta_Classifiers[Class - Generalization:src],MATCH(
INDEX(meta_Classifiers[Class - Generalization:src],MATCH(meta_Columns[[#This Row],[Property Owning Class]],meta_Classifiers[ID],0)),meta_Classifiers[ID],0))
=meta_Columns[[#This Row],[Owning Table Instances Class]],FALSE)</f>
        <v>0</v>
      </c>
      <c r="AG203" s="8" t="b">
        <f>_xlfn.IFNA(INDEX(meta_Classifiers[Class - Generalization:src],MATCH(meta_Columns[[#This Row],[Property Owning Class]],meta_Classifiers[ID],0))=meta_Columns[[#This Row],[Owning Table Instances Class]],FALSE)</f>
        <v>0</v>
      </c>
      <c r="AH2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3" s="8" t="e">
        <f>INDEX(meta_Classifiers[Name],MATCH(INDEX(meta_TypedModelElements[Property - Owning Class:src],MATCH(meta_Columns[[#This Row],[Property]],meta_TypedModelElements[ID],0)),meta_Classifiers[ID],0))</f>
        <v>#N/A</v>
      </c>
      <c r="AJ203" s="8" t="e">
        <f>INDEX(meta_TypedModelElements[Property - Owning Class:src],MATCH(meta_Columns[[#This Row],[Property]],meta_TypedModelElements[ID],0))</f>
        <v>#N/A</v>
      </c>
      <c r="AK203" s="8" t="e">
        <f>INDEX(meta_TypedModelElements[Kind:src],MATCH(meta_Columns[[#This Row],[Property]],meta_TypedModelElements[ID],0))</f>
        <v>#N/A</v>
      </c>
      <c r="AL203" s="8" t="e">
        <f>INDEX(meta_TypedModelElements[Name or Type],MATCH(meta_Columns[[#This Row],[Property]],meta_TypedModelElements[ID],0))</f>
        <v>#N/A</v>
      </c>
      <c r="AM203" s="8" t="e">
        <f>INDEX(meta_TypedModelElements[Property - Changeable],MATCH(meta_Columns[[#This Row],[Property]],meta_TypedModelElements[ID],0))</f>
        <v>#N/A</v>
      </c>
      <c r="AN203" s="43">
        <v>13</v>
      </c>
      <c r="AO203" s="22"/>
      <c r="AP2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3" s="8" t="str">
        <f xml:space="preserve"> IF(meta_Columns[[#This Row],[Property Owning Class is Specialization of Instance Class]],meta_Columns[[#This Row],[Property Owning Class Name]]&amp;" - ","")</f>
        <v/>
      </c>
      <c r="AR2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3" s="8" t="str">
        <f>IFERROR(LEFT(meta_Columns[[#This Row],[Excel Column - Label Actual without Semantic Case]],FIND("-",
meta_Columns[[#This Row],[Excel Column - Label Actual without Semantic Case]])-2),"")</f>
        <v/>
      </c>
      <c r="AU2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v>
      </c>
      <c r="AX203" s="22"/>
      <c r="AY203" s="8" t="str">
        <f>meta_Columns[[#This Row],[Owning Table]]&amp;"."&amp;meta_Columns[[#This Row],[Excel Column - Label]]</f>
        <v>meta::Rules.Super Class 3</v>
      </c>
      <c r="AZ203" s="22" t="s">
        <v>242</v>
      </c>
      <c r="BA203" s="8" t="str">
        <f>IF(TRIM(meta_Columns[[#This Row],[Excel Column - Label Overwrite]])&lt;&gt;"",meta_Columns[[#This Row],[Excel Column - Label Overwrite]],meta_Columns[[#This Row],[Excel Column - Label from Property or Referenced Table]])</f>
        <v>Super Class 3</v>
      </c>
      <c r="BB203" s="43" t="s">
        <v>1532</v>
      </c>
      <c r="BC203" s="44" t="str">
        <f>IF(meta_Columns[[#This Row],[Excel Column - Explicit Excel Formula]]="","",meta_Columns[[#This Row],[Excel Column - Explicit Excel Formula]])</f>
        <v>Formula:=IFNA(INDEX(#REF!,MATCH([@[Super Class 2]],meta_Classifiers[ID],0)),0)</v>
      </c>
      <c r="BD203" s="5"/>
      <c r="BE203" s="5"/>
    </row>
    <row r="204" spans="1:57">
      <c r="A204" s="10" t="s">
        <v>1168</v>
      </c>
      <c r="B204" s="5" t="s">
        <v>546</v>
      </c>
      <c r="C204" s="22" t="str">
        <f xml:space="preserve"> IF( TRIM( meta_Columns[[#This Row],[Kind:src]] ) = "", "",
        INDEX( meta_Classifiers[Display Qualified], MATCH( meta_Columns[[#This Row],[Kind:src]], meta_Classifiers[ID], 0 ) ) )</f>
        <v>ExcelColumn</v>
      </c>
      <c r="D204" s="44" t="str">
        <f>IF(meta_Columns[[#This Row],[Owning Table:src]]="","",INDEX(meta_Classifiers[Package],MATCH(meta_Columns[[#This Row],[Owning Table Instances Class]],meta_Classifiers[ID],0)))</f>
        <v>meta</v>
      </c>
      <c r="E204" s="43"/>
      <c r="F204" s="8" t="str">
        <f>INDEX(meta_Tables[Excel Table - Excel Name],MATCH(meta_Columns[[#This Row],[Owning Table:src]],meta_Tables[ID],0))</f>
        <v>meta_Rules</v>
      </c>
      <c r="G204" s="44" t="str">
        <f>INDEX(meta_Tables[Instances Class:src],MATCH(meta_Columns[[#This Row],[Owning Table:src]],meta_Tables[ID],0))</f>
        <v>_Rule</v>
      </c>
      <c r="H204" s="11" t="s">
        <v>1014</v>
      </c>
      <c r="I204" s="43" t="str">
        <f xml:space="preserve"> IF( TRIM( meta_Columns[[#This Row],[Owning Table:src]] ) = "", "",
        INDEX( meta_Tables[Display Qualified], MATCH( meta_Columns[[#This Row],[Owning Table:src]], meta_Tables[ID], 0 ) ) )</f>
        <v>meta::Rules</v>
      </c>
      <c r="K204" s="22" t="str">
        <f>IF(TRIM(meta_Columns[[#This Row],[Referenced Table:src]])="","",
    INDEX(meta_Tables[Display Qualified],MATCH(meta_Columns[[#This Row],[Referenced Table:src]],meta_Tables[ID],0)))</f>
        <v/>
      </c>
      <c r="L204" s="8"/>
      <c r="M204" s="22" t="str">
        <f xml:space="preserve"> IF( TRIM( meta_Columns[[#This Row],[Referenced Table Display and Select Column:src]] ) = "", "",
        INDEX( meta_Columns[Display Qualified], MATCH( meta_Columns[[#This Row],[Referenced Table Display and Select Column:src]], meta_Columns[ID], 0 ) ) )</f>
        <v/>
      </c>
      <c r="N204" s="8" t="str">
        <f>IF(meta_Columns[[#This Row],[Excel Column - Excel Formula]]="","x","")</f>
        <v/>
      </c>
      <c r="O204" s="22"/>
      <c r="P204" s="8" t="str">
        <f>IF(meta_Columns[[#This Row],[Referenced Table:src]]="","",INDEX(meta_Tables[Instances Class],MATCH(meta_Columns[[#This Row],[Referenced Table:src]],meta_Tables[ID],0)))</f>
        <v/>
      </c>
      <c r="Q2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4" s="8"/>
      <c r="S204" s="22" t="str">
        <f xml:space="preserve"> IF( TRIM( meta_Columns[[#This Row],[Property:src]] ) = "", "",
        INDEX( meta_TypedModelElements[Display Qualified], MATCH( meta_Columns[[#This Row],[Property:src]], meta_TypedModelElements[ID], 0 ) ) )</f>
        <v/>
      </c>
      <c r="T204" s="22"/>
      <c r="U204" s="8" t="e">
        <f>INDEX(meta_Classifiers[Class - Generalization:src], MATCH(meta_Columns[[#This Row],[Generalization 5]],meta_Classifiers[ID],0))</f>
        <v>#N/A</v>
      </c>
      <c r="V204" s="8" t="e">
        <f>INDEX(meta_Classifiers[Class - Generalization:src], MATCH(meta_Columns[[#This Row],[Generalization 4]],meta_Classifiers[ID],0))</f>
        <v>#N/A</v>
      </c>
      <c r="W204" s="8" t="e">
        <f>INDEX(meta_Classifiers[Class - Generalization:src], MATCH(meta_Columns[[#This Row],[Generalization 3]],meta_Classifiers[ID],0))</f>
        <v>#N/A</v>
      </c>
      <c r="X204" s="8" t="str">
        <f>INDEX(meta_Classifiers[Class - Generalization:src], MATCH(meta_Columns[[#This Row],[Generalization 2]],meta_Classifiers[ID],0))</f>
        <v/>
      </c>
      <c r="Y204" s="8" t="str">
        <f>INDEX(meta_Classifiers[Class - Generalization:src], MATCH(meta_Columns[[#This Row],[Generalization 1]],meta_Classifiers[ID],0))</f>
        <v>_Object</v>
      </c>
      <c r="Z204" s="8" t="str">
        <f>INDEX(meta_Classifiers[Class - Generalization:src], MATCH(meta_Columns[[#This Row],[Owning Table Instances Class]],meta_Classifiers[ID],0))</f>
        <v>_NamedElement</v>
      </c>
      <c r="AA2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4" s="8" t="b">
        <f>_xlfn.IFNA(
INDEX(meta_Classifiers[Class - Generalization:src],MATCH(
INDEX(meta_Classifiers[Class - Generalization:src],MATCH(meta_Columns[[#This Row],[Property Owning Class]],meta_Classifiers[ID],0)),meta_Classifiers[ID],0))
=meta_Columns[[#This Row],[Owning Table Instances Class]],FALSE)</f>
        <v>0</v>
      </c>
      <c r="AG204" s="8" t="b">
        <f>_xlfn.IFNA(INDEX(meta_Classifiers[Class - Generalization:src],MATCH(meta_Columns[[#This Row],[Property Owning Class]],meta_Classifiers[ID],0))=meta_Columns[[#This Row],[Owning Table Instances Class]],FALSE)</f>
        <v>0</v>
      </c>
      <c r="AH2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4" s="8" t="e">
        <f>INDEX(meta_Classifiers[Name],MATCH(INDEX(meta_TypedModelElements[Property - Owning Class:src],MATCH(meta_Columns[[#This Row],[Property]],meta_TypedModelElements[ID],0)),meta_Classifiers[ID],0))</f>
        <v>#N/A</v>
      </c>
      <c r="AJ204" s="8" t="e">
        <f>INDEX(meta_TypedModelElements[Property - Owning Class:src],MATCH(meta_Columns[[#This Row],[Property]],meta_TypedModelElements[ID],0))</f>
        <v>#N/A</v>
      </c>
      <c r="AK204" s="8" t="e">
        <f>INDEX(meta_TypedModelElements[Kind:src],MATCH(meta_Columns[[#This Row],[Property]],meta_TypedModelElements[ID],0))</f>
        <v>#N/A</v>
      </c>
      <c r="AL204" s="8" t="e">
        <f>INDEX(meta_TypedModelElements[Name or Type],MATCH(meta_Columns[[#This Row],[Property]],meta_TypedModelElements[ID],0))</f>
        <v>#N/A</v>
      </c>
      <c r="AM204" s="8" t="e">
        <f>INDEX(meta_TypedModelElements[Property - Changeable],MATCH(meta_Columns[[#This Row],[Property]],meta_TypedModelElements[ID],0))</f>
        <v>#N/A</v>
      </c>
      <c r="AN204" s="43">
        <v>14</v>
      </c>
      <c r="AO204" s="22"/>
      <c r="AP2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4" s="8" t="str">
        <f xml:space="preserve"> IF(meta_Columns[[#This Row],[Property Owning Class is Specialization of Instance Class]],meta_Columns[[#This Row],[Property Owning Class Name]]&amp;" - ","")</f>
        <v/>
      </c>
      <c r="AR2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4" s="8" t="str">
        <f>IFERROR(LEFT(meta_Columns[[#This Row],[Excel Column - Label Actual without Semantic Case]],FIND("-",
meta_Columns[[#This Row],[Excel Column - Label Actual without Semantic Case]])-2),"")</f>
        <v/>
      </c>
      <c r="AU2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2:display:q.</v>
      </c>
      <c r="AX204" s="22"/>
      <c r="AY204" s="8" t="str">
        <f>meta_Columns[[#This Row],[Owning Table]]&amp;"."&amp;meta_Columns[[#This Row],[Excel Column - Label]]</f>
        <v>meta::Rules.Super Class 2:display:q.</v>
      </c>
      <c r="AZ204" s="22" t="s">
        <v>282</v>
      </c>
      <c r="BA204" s="8" t="str">
        <f>IF(TRIM(meta_Columns[[#This Row],[Excel Column - Label Overwrite]])&lt;&gt;"",meta_Columns[[#This Row],[Excel Column - Label Overwrite]],meta_Columns[[#This Row],[Excel Column - Label from Property or Referenced Table]])</f>
        <v>Super Class 2:display:q.</v>
      </c>
      <c r="BB204" s="43" t="s">
        <v>962</v>
      </c>
      <c r="BC204" s="44" t="str">
        <f>IF(meta_Columns[[#This Row],[Excel Column - Explicit Excel Formula]]="","",meta_Columns[[#This Row],[Excel Column - Explicit Excel Formula]])</f>
        <v>Formula:=IFNA(INDEX(meta_Classifiers[Display Qualified],MATCH([@[Super Class 2]],meta_Classifiers[ID],0))&amp;".","")</v>
      </c>
      <c r="BD204" s="5"/>
      <c r="BE204" s="5"/>
    </row>
    <row r="205" spans="1:57">
      <c r="A205" s="10" t="s">
        <v>1169</v>
      </c>
      <c r="B205" s="5" t="s">
        <v>546</v>
      </c>
      <c r="C205" s="22" t="str">
        <f xml:space="preserve"> IF( TRIM( meta_Columns[[#This Row],[Kind:src]] ) = "", "",
        INDEX( meta_Classifiers[Display Qualified], MATCH( meta_Columns[[#This Row],[Kind:src]], meta_Classifiers[ID], 0 ) ) )</f>
        <v>ExcelColumn</v>
      </c>
      <c r="D205" s="44" t="str">
        <f>IF(meta_Columns[[#This Row],[Owning Table:src]]="","",INDEX(meta_Classifiers[Package],MATCH(meta_Columns[[#This Row],[Owning Table Instances Class]],meta_Classifiers[ID],0)))</f>
        <v>meta</v>
      </c>
      <c r="E205" s="43"/>
      <c r="F205" s="8" t="str">
        <f>INDEX(meta_Tables[Excel Table - Excel Name],MATCH(meta_Columns[[#This Row],[Owning Table:src]],meta_Tables[ID],0))</f>
        <v>meta_Rules</v>
      </c>
      <c r="G205" s="44" t="str">
        <f>INDEX(meta_Tables[Instances Class:src],MATCH(meta_Columns[[#This Row],[Owning Table:src]],meta_Tables[ID],0))</f>
        <v>_Rule</v>
      </c>
      <c r="H205" s="11" t="s">
        <v>1014</v>
      </c>
      <c r="I205" s="43" t="str">
        <f xml:space="preserve"> IF( TRIM( meta_Columns[[#This Row],[Owning Table:src]] ) = "", "",
        INDEX( meta_Tables[Display Qualified], MATCH( meta_Columns[[#This Row],[Owning Table:src]], meta_Tables[ID], 0 ) ) )</f>
        <v>meta::Rules</v>
      </c>
      <c r="K205" s="22" t="str">
        <f>IF(TRIM(meta_Columns[[#This Row],[Referenced Table:src]])="","",
    INDEX(meta_Tables[Display Qualified],MATCH(meta_Columns[[#This Row],[Referenced Table:src]],meta_Tables[ID],0)))</f>
        <v/>
      </c>
      <c r="L205" s="8"/>
      <c r="M205" s="22" t="str">
        <f xml:space="preserve"> IF( TRIM( meta_Columns[[#This Row],[Referenced Table Display and Select Column:src]] ) = "", "",
        INDEX( meta_Columns[Display Qualified], MATCH( meta_Columns[[#This Row],[Referenced Table Display and Select Column:src]], meta_Columns[ID], 0 ) ) )</f>
        <v/>
      </c>
      <c r="N205" s="8" t="str">
        <f>IF(meta_Columns[[#This Row],[Excel Column - Excel Formula]]="","x","")</f>
        <v/>
      </c>
      <c r="O205" s="22"/>
      <c r="P205" s="8" t="str">
        <f>IF(meta_Columns[[#This Row],[Referenced Table:src]]="","",INDEX(meta_Tables[Instances Class],MATCH(meta_Columns[[#This Row],[Referenced Table:src]],meta_Tables[ID],0)))</f>
        <v/>
      </c>
      <c r="Q2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5" s="8"/>
      <c r="S205" s="22" t="str">
        <f xml:space="preserve"> IF( TRIM( meta_Columns[[#This Row],[Property:src]] ) = "", "",
        INDEX( meta_TypedModelElements[Display Qualified], MATCH( meta_Columns[[#This Row],[Property:src]], meta_TypedModelElements[ID], 0 ) ) )</f>
        <v/>
      </c>
      <c r="T205" s="22"/>
      <c r="U205" s="8" t="e">
        <f>INDEX(meta_Classifiers[Class - Generalization:src], MATCH(meta_Columns[[#This Row],[Generalization 5]],meta_Classifiers[ID],0))</f>
        <v>#N/A</v>
      </c>
      <c r="V205" s="8" t="e">
        <f>INDEX(meta_Classifiers[Class - Generalization:src], MATCH(meta_Columns[[#This Row],[Generalization 4]],meta_Classifiers[ID],0))</f>
        <v>#N/A</v>
      </c>
      <c r="W205" s="8" t="e">
        <f>INDEX(meta_Classifiers[Class - Generalization:src], MATCH(meta_Columns[[#This Row],[Generalization 3]],meta_Classifiers[ID],0))</f>
        <v>#N/A</v>
      </c>
      <c r="X205" s="8" t="str">
        <f>INDEX(meta_Classifiers[Class - Generalization:src], MATCH(meta_Columns[[#This Row],[Generalization 2]],meta_Classifiers[ID],0))</f>
        <v/>
      </c>
      <c r="Y205" s="8" t="str">
        <f>INDEX(meta_Classifiers[Class - Generalization:src], MATCH(meta_Columns[[#This Row],[Generalization 1]],meta_Classifiers[ID],0))</f>
        <v>_Object</v>
      </c>
      <c r="Z205" s="8" t="str">
        <f>INDEX(meta_Classifiers[Class - Generalization:src], MATCH(meta_Columns[[#This Row],[Owning Table Instances Class]],meta_Classifiers[ID],0))</f>
        <v>_NamedElement</v>
      </c>
      <c r="AA2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5" s="8" t="b">
        <f>_xlfn.IFNA(
INDEX(meta_Classifiers[Class - Generalization:src],MATCH(
INDEX(meta_Classifiers[Class - Generalization:src],MATCH(meta_Columns[[#This Row],[Property Owning Class]],meta_Classifiers[ID],0)),meta_Classifiers[ID],0))
=meta_Columns[[#This Row],[Owning Table Instances Class]],FALSE)</f>
        <v>0</v>
      </c>
      <c r="AG205" s="8" t="b">
        <f>_xlfn.IFNA(INDEX(meta_Classifiers[Class - Generalization:src],MATCH(meta_Columns[[#This Row],[Property Owning Class]],meta_Classifiers[ID],0))=meta_Columns[[#This Row],[Owning Table Instances Class]],FALSE)</f>
        <v>0</v>
      </c>
      <c r="AH2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5" s="8" t="e">
        <f>INDEX(meta_Classifiers[Name],MATCH(INDEX(meta_TypedModelElements[Property - Owning Class:src],MATCH(meta_Columns[[#This Row],[Property]],meta_TypedModelElements[ID],0)),meta_Classifiers[ID],0))</f>
        <v>#N/A</v>
      </c>
      <c r="AJ205" s="8" t="e">
        <f>INDEX(meta_TypedModelElements[Property - Owning Class:src],MATCH(meta_Columns[[#This Row],[Property]],meta_TypedModelElements[ID],0))</f>
        <v>#N/A</v>
      </c>
      <c r="AK205" s="8" t="e">
        <f>INDEX(meta_TypedModelElements[Kind:src],MATCH(meta_Columns[[#This Row],[Property]],meta_TypedModelElements[ID],0))</f>
        <v>#N/A</v>
      </c>
      <c r="AL205" s="8" t="e">
        <f>INDEX(meta_TypedModelElements[Name or Type],MATCH(meta_Columns[[#This Row],[Property]],meta_TypedModelElements[ID],0))</f>
        <v>#N/A</v>
      </c>
      <c r="AM205" s="8" t="e">
        <f>INDEX(meta_TypedModelElements[Property - Changeable],MATCH(meta_Columns[[#This Row],[Property]],meta_TypedModelElements[ID],0))</f>
        <v>#N/A</v>
      </c>
      <c r="AN205" s="43">
        <v>15</v>
      </c>
      <c r="AO205" s="22"/>
      <c r="AP2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5" s="8" t="str">
        <f xml:space="preserve"> IF(meta_Columns[[#This Row],[Property Owning Class is Specialization of Instance Class]],meta_Columns[[#This Row],[Property Owning Class Name]]&amp;" - ","")</f>
        <v/>
      </c>
      <c r="AR2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5" s="8" t="str">
        <f>IFERROR(LEFT(meta_Columns[[#This Row],[Excel Column - Label Actual without Semantic Case]],FIND("-",
meta_Columns[[#This Row],[Excel Column - Label Actual without Semantic Case]])-2),"")</f>
        <v/>
      </c>
      <c r="AU2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v>
      </c>
      <c r="AX205" s="22"/>
      <c r="AY205" s="8" t="str">
        <f>meta_Columns[[#This Row],[Owning Table]]&amp;"."&amp;meta_Columns[[#This Row],[Excel Column - Label]]</f>
        <v>meta::Rules.Super Class 2</v>
      </c>
      <c r="AZ205" s="22" t="s">
        <v>240</v>
      </c>
      <c r="BA205" s="8" t="str">
        <f>IF(TRIM(meta_Columns[[#This Row],[Excel Column - Label Overwrite]])&lt;&gt;"",meta_Columns[[#This Row],[Excel Column - Label Overwrite]],meta_Columns[[#This Row],[Excel Column - Label from Property or Referenced Table]])</f>
        <v>Super Class 2</v>
      </c>
      <c r="BB205" s="43" t="s">
        <v>1533</v>
      </c>
      <c r="BC205" s="44" t="str">
        <f>IF(meta_Columns[[#This Row],[Excel Column - Explicit Excel Formula]]="","",meta_Columns[[#This Row],[Excel Column - Explicit Excel Formula]])</f>
        <v>Formula:=IFNA(INDEX(#REF!,MATCH([@[Super Class 1]],meta_Classifiers[ID],0)),0)</v>
      </c>
      <c r="BD205" s="5"/>
      <c r="BE205" s="5"/>
    </row>
    <row r="206" spans="1:57">
      <c r="A206" s="10" t="s">
        <v>1170</v>
      </c>
      <c r="B206" s="5" t="s">
        <v>546</v>
      </c>
      <c r="C206" s="22" t="str">
        <f xml:space="preserve"> IF( TRIM( meta_Columns[[#This Row],[Kind:src]] ) = "", "",
        INDEX( meta_Classifiers[Display Qualified], MATCH( meta_Columns[[#This Row],[Kind:src]], meta_Classifiers[ID], 0 ) ) )</f>
        <v>ExcelColumn</v>
      </c>
      <c r="D206" s="44" t="str">
        <f>IF(meta_Columns[[#This Row],[Owning Table:src]]="","",INDEX(meta_Classifiers[Package],MATCH(meta_Columns[[#This Row],[Owning Table Instances Class]],meta_Classifiers[ID],0)))</f>
        <v>meta</v>
      </c>
      <c r="E206" s="43"/>
      <c r="F206" s="8" t="str">
        <f>INDEX(meta_Tables[Excel Table - Excel Name],MATCH(meta_Columns[[#This Row],[Owning Table:src]],meta_Tables[ID],0))</f>
        <v>meta_Rules</v>
      </c>
      <c r="G206" s="44" t="str">
        <f>INDEX(meta_Tables[Instances Class:src],MATCH(meta_Columns[[#This Row],[Owning Table:src]],meta_Tables[ID],0))</f>
        <v>_Rule</v>
      </c>
      <c r="H206" s="11" t="s">
        <v>1014</v>
      </c>
      <c r="I206" s="43" t="str">
        <f xml:space="preserve"> IF( TRIM( meta_Columns[[#This Row],[Owning Table:src]] ) = "", "",
        INDEX( meta_Tables[Display Qualified], MATCH( meta_Columns[[#This Row],[Owning Table:src]], meta_Tables[ID], 0 ) ) )</f>
        <v>meta::Rules</v>
      </c>
      <c r="K206" s="22" t="str">
        <f>IF(TRIM(meta_Columns[[#This Row],[Referenced Table:src]])="","",
    INDEX(meta_Tables[Display Qualified],MATCH(meta_Columns[[#This Row],[Referenced Table:src]],meta_Tables[ID],0)))</f>
        <v/>
      </c>
      <c r="L206" s="8"/>
      <c r="M206" s="22" t="str">
        <f xml:space="preserve"> IF( TRIM( meta_Columns[[#This Row],[Referenced Table Display and Select Column:src]] ) = "", "",
        INDEX( meta_Columns[Display Qualified], MATCH( meta_Columns[[#This Row],[Referenced Table Display and Select Column:src]], meta_Columns[ID], 0 ) ) )</f>
        <v/>
      </c>
      <c r="N206" s="8" t="str">
        <f>IF(meta_Columns[[#This Row],[Excel Column - Excel Formula]]="","x","")</f>
        <v/>
      </c>
      <c r="O206" s="22"/>
      <c r="P206" s="8" t="str">
        <f>IF(meta_Columns[[#This Row],[Referenced Table:src]]="","",INDEX(meta_Tables[Instances Class],MATCH(meta_Columns[[#This Row],[Referenced Table:src]],meta_Tables[ID],0)))</f>
        <v/>
      </c>
      <c r="Q2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6" s="8"/>
      <c r="S206" s="22" t="str">
        <f xml:space="preserve"> IF( TRIM( meta_Columns[[#This Row],[Property:src]] ) = "", "",
        INDEX( meta_TypedModelElements[Display Qualified], MATCH( meta_Columns[[#This Row],[Property:src]], meta_TypedModelElements[ID], 0 ) ) )</f>
        <v/>
      </c>
      <c r="T206" s="22"/>
      <c r="U206" s="8" t="e">
        <f>INDEX(meta_Classifiers[Class - Generalization:src], MATCH(meta_Columns[[#This Row],[Generalization 5]],meta_Classifiers[ID],0))</f>
        <v>#N/A</v>
      </c>
      <c r="V206" s="8" t="e">
        <f>INDEX(meta_Classifiers[Class - Generalization:src], MATCH(meta_Columns[[#This Row],[Generalization 4]],meta_Classifiers[ID],0))</f>
        <v>#N/A</v>
      </c>
      <c r="W206" s="8" t="e">
        <f>INDEX(meta_Classifiers[Class - Generalization:src], MATCH(meta_Columns[[#This Row],[Generalization 3]],meta_Classifiers[ID],0))</f>
        <v>#N/A</v>
      </c>
      <c r="X206" s="8" t="str">
        <f>INDEX(meta_Classifiers[Class - Generalization:src], MATCH(meta_Columns[[#This Row],[Generalization 2]],meta_Classifiers[ID],0))</f>
        <v/>
      </c>
      <c r="Y206" s="8" t="str">
        <f>INDEX(meta_Classifiers[Class - Generalization:src], MATCH(meta_Columns[[#This Row],[Generalization 1]],meta_Classifiers[ID],0))</f>
        <v>_Object</v>
      </c>
      <c r="Z206" s="8" t="str">
        <f>INDEX(meta_Classifiers[Class - Generalization:src], MATCH(meta_Columns[[#This Row],[Owning Table Instances Class]],meta_Classifiers[ID],0))</f>
        <v>_NamedElement</v>
      </c>
      <c r="AA2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6" s="8" t="b">
        <f>_xlfn.IFNA(
INDEX(meta_Classifiers[Class - Generalization:src],MATCH(
INDEX(meta_Classifiers[Class - Generalization:src],MATCH(meta_Columns[[#This Row],[Property Owning Class]],meta_Classifiers[ID],0)),meta_Classifiers[ID],0))
=meta_Columns[[#This Row],[Owning Table Instances Class]],FALSE)</f>
        <v>0</v>
      </c>
      <c r="AG206" s="8" t="b">
        <f>_xlfn.IFNA(INDEX(meta_Classifiers[Class - Generalization:src],MATCH(meta_Columns[[#This Row],[Property Owning Class]],meta_Classifiers[ID],0))=meta_Columns[[#This Row],[Owning Table Instances Class]],FALSE)</f>
        <v>0</v>
      </c>
      <c r="AH2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6" s="8" t="e">
        <f>INDEX(meta_Classifiers[Name],MATCH(INDEX(meta_TypedModelElements[Property - Owning Class:src],MATCH(meta_Columns[[#This Row],[Property]],meta_TypedModelElements[ID],0)),meta_Classifiers[ID],0))</f>
        <v>#N/A</v>
      </c>
      <c r="AJ206" s="8" t="e">
        <f>INDEX(meta_TypedModelElements[Property - Owning Class:src],MATCH(meta_Columns[[#This Row],[Property]],meta_TypedModelElements[ID],0))</f>
        <v>#N/A</v>
      </c>
      <c r="AK206" s="8" t="e">
        <f>INDEX(meta_TypedModelElements[Kind:src],MATCH(meta_Columns[[#This Row],[Property]],meta_TypedModelElements[ID],0))</f>
        <v>#N/A</v>
      </c>
      <c r="AL206" s="8" t="e">
        <f>INDEX(meta_TypedModelElements[Name or Type],MATCH(meta_Columns[[#This Row],[Property]],meta_TypedModelElements[ID],0))</f>
        <v>#N/A</v>
      </c>
      <c r="AM206" s="8" t="e">
        <f>INDEX(meta_TypedModelElements[Property - Changeable],MATCH(meta_Columns[[#This Row],[Property]],meta_TypedModelElements[ID],0))</f>
        <v>#N/A</v>
      </c>
      <c r="AN206" s="43">
        <v>16</v>
      </c>
      <c r="AO206" s="22"/>
      <c r="AP2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6" s="8" t="str">
        <f xml:space="preserve"> IF(meta_Columns[[#This Row],[Property Owning Class is Specialization of Instance Class]],meta_Columns[[#This Row],[Property Owning Class Name]]&amp;" - ","")</f>
        <v/>
      </c>
      <c r="AR2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6" s="8" t="str">
        <f>IFERROR(LEFT(meta_Columns[[#This Row],[Excel Column - Label Actual without Semantic Case]],FIND("-",
meta_Columns[[#This Row],[Excel Column - Label Actual without Semantic Case]])-2),"")</f>
        <v/>
      </c>
      <c r="AU2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1:display:q.</v>
      </c>
      <c r="AX206" s="22"/>
      <c r="AY206" s="8" t="str">
        <f>meta_Columns[[#This Row],[Owning Table]]&amp;"."&amp;meta_Columns[[#This Row],[Excel Column - Label]]</f>
        <v>meta::Rules.Super Class 1:display:q.</v>
      </c>
      <c r="AZ206" s="22" t="s">
        <v>281</v>
      </c>
      <c r="BA206" s="8" t="str">
        <f>IF(TRIM(meta_Columns[[#This Row],[Excel Column - Label Overwrite]])&lt;&gt;"",meta_Columns[[#This Row],[Excel Column - Label Overwrite]],meta_Columns[[#This Row],[Excel Column - Label from Property or Referenced Table]])</f>
        <v>Super Class 1:display:q.</v>
      </c>
      <c r="BB206" s="43" t="s">
        <v>963</v>
      </c>
      <c r="BC206" s="44" t="str">
        <f>IF(meta_Columns[[#This Row],[Excel Column - Explicit Excel Formula]]="","",meta_Columns[[#This Row],[Excel Column - Explicit Excel Formula]])</f>
        <v>Formula:=IFNA(INDEX(meta_Classifiers[Display Qualified],MATCH([@[Super Class 1]],meta_Classifiers[ID],0))&amp;".","")</v>
      </c>
      <c r="BD206" s="5"/>
      <c r="BE206" s="5"/>
    </row>
    <row r="207" spans="1:57">
      <c r="A207" s="10" t="s">
        <v>1171</v>
      </c>
      <c r="B207" s="5" t="s">
        <v>546</v>
      </c>
      <c r="C207" s="22" t="str">
        <f xml:space="preserve"> IF( TRIM( meta_Columns[[#This Row],[Kind:src]] ) = "", "",
        INDEX( meta_Classifiers[Display Qualified], MATCH( meta_Columns[[#This Row],[Kind:src]], meta_Classifiers[ID], 0 ) ) )</f>
        <v>ExcelColumn</v>
      </c>
      <c r="D207" s="44" t="str">
        <f>IF(meta_Columns[[#This Row],[Owning Table:src]]="","",INDEX(meta_Classifiers[Package],MATCH(meta_Columns[[#This Row],[Owning Table Instances Class]],meta_Classifiers[ID],0)))</f>
        <v>meta</v>
      </c>
      <c r="E207" s="43"/>
      <c r="F207" s="8" t="str">
        <f>INDEX(meta_Tables[Excel Table - Excel Name],MATCH(meta_Columns[[#This Row],[Owning Table:src]],meta_Tables[ID],0))</f>
        <v>meta_Rules</v>
      </c>
      <c r="G207" s="44" t="str">
        <f>INDEX(meta_Tables[Instances Class:src],MATCH(meta_Columns[[#This Row],[Owning Table:src]],meta_Tables[ID],0))</f>
        <v>_Rule</v>
      </c>
      <c r="H207" s="11" t="s">
        <v>1014</v>
      </c>
      <c r="I207" s="43" t="str">
        <f xml:space="preserve"> IF( TRIM( meta_Columns[[#This Row],[Owning Table:src]] ) = "", "",
        INDEX( meta_Tables[Display Qualified], MATCH( meta_Columns[[#This Row],[Owning Table:src]], meta_Tables[ID], 0 ) ) )</f>
        <v>meta::Rules</v>
      </c>
      <c r="K207" s="22" t="str">
        <f>IF(TRIM(meta_Columns[[#This Row],[Referenced Table:src]])="","",
    INDEX(meta_Tables[Display Qualified],MATCH(meta_Columns[[#This Row],[Referenced Table:src]],meta_Tables[ID],0)))</f>
        <v/>
      </c>
      <c r="L207" s="8"/>
      <c r="M207" s="22" t="str">
        <f xml:space="preserve"> IF( TRIM( meta_Columns[[#This Row],[Referenced Table Display and Select Column:src]] ) = "", "",
        INDEX( meta_Columns[Display Qualified], MATCH( meta_Columns[[#This Row],[Referenced Table Display and Select Column:src]], meta_Columns[ID], 0 ) ) )</f>
        <v/>
      </c>
      <c r="N207" s="8" t="str">
        <f>IF(meta_Columns[[#This Row],[Excel Column - Excel Formula]]="","x","")</f>
        <v/>
      </c>
      <c r="O207" s="22"/>
      <c r="P207" s="8" t="str">
        <f>IF(meta_Columns[[#This Row],[Referenced Table:src]]="","",INDEX(meta_Tables[Instances Class],MATCH(meta_Columns[[#This Row],[Referenced Table:src]],meta_Tables[ID],0)))</f>
        <v/>
      </c>
      <c r="Q2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7" s="8"/>
      <c r="S207" s="22" t="str">
        <f xml:space="preserve"> IF( TRIM( meta_Columns[[#This Row],[Property:src]] ) = "", "",
        INDEX( meta_TypedModelElements[Display Qualified], MATCH( meta_Columns[[#This Row],[Property:src]], meta_TypedModelElements[ID], 0 ) ) )</f>
        <v/>
      </c>
      <c r="T207" s="22"/>
      <c r="U207" s="8" t="e">
        <f>INDEX(meta_Classifiers[Class - Generalization:src], MATCH(meta_Columns[[#This Row],[Generalization 5]],meta_Classifiers[ID],0))</f>
        <v>#N/A</v>
      </c>
      <c r="V207" s="8" t="e">
        <f>INDEX(meta_Classifiers[Class - Generalization:src], MATCH(meta_Columns[[#This Row],[Generalization 4]],meta_Classifiers[ID],0))</f>
        <v>#N/A</v>
      </c>
      <c r="W207" s="8" t="e">
        <f>INDEX(meta_Classifiers[Class - Generalization:src], MATCH(meta_Columns[[#This Row],[Generalization 3]],meta_Classifiers[ID],0))</f>
        <v>#N/A</v>
      </c>
      <c r="X207" s="8" t="str">
        <f>INDEX(meta_Classifiers[Class - Generalization:src], MATCH(meta_Columns[[#This Row],[Generalization 2]],meta_Classifiers[ID],0))</f>
        <v/>
      </c>
      <c r="Y207" s="8" t="str">
        <f>INDEX(meta_Classifiers[Class - Generalization:src], MATCH(meta_Columns[[#This Row],[Generalization 1]],meta_Classifiers[ID],0))</f>
        <v>_Object</v>
      </c>
      <c r="Z207" s="8" t="str">
        <f>INDEX(meta_Classifiers[Class - Generalization:src], MATCH(meta_Columns[[#This Row],[Owning Table Instances Class]],meta_Classifiers[ID],0))</f>
        <v>_NamedElement</v>
      </c>
      <c r="AA2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7" s="8" t="b">
        <f>_xlfn.IFNA(
INDEX(meta_Classifiers[Class - Generalization:src],MATCH(
INDEX(meta_Classifiers[Class - Generalization:src],MATCH(meta_Columns[[#This Row],[Property Owning Class]],meta_Classifiers[ID],0)),meta_Classifiers[ID],0))
=meta_Columns[[#This Row],[Owning Table Instances Class]],FALSE)</f>
        <v>0</v>
      </c>
      <c r="AG207" s="8" t="b">
        <f>_xlfn.IFNA(INDEX(meta_Classifiers[Class - Generalization:src],MATCH(meta_Columns[[#This Row],[Property Owning Class]],meta_Classifiers[ID],0))=meta_Columns[[#This Row],[Owning Table Instances Class]],FALSE)</f>
        <v>0</v>
      </c>
      <c r="AH2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7" s="8" t="e">
        <f>INDEX(meta_Classifiers[Name],MATCH(INDEX(meta_TypedModelElements[Property - Owning Class:src],MATCH(meta_Columns[[#This Row],[Property]],meta_TypedModelElements[ID],0)),meta_Classifiers[ID],0))</f>
        <v>#N/A</v>
      </c>
      <c r="AJ207" s="8" t="e">
        <f>INDEX(meta_TypedModelElements[Property - Owning Class:src],MATCH(meta_Columns[[#This Row],[Property]],meta_TypedModelElements[ID],0))</f>
        <v>#N/A</v>
      </c>
      <c r="AK207" s="8" t="e">
        <f>INDEX(meta_TypedModelElements[Kind:src],MATCH(meta_Columns[[#This Row],[Property]],meta_TypedModelElements[ID],0))</f>
        <v>#N/A</v>
      </c>
      <c r="AL207" s="8" t="e">
        <f>INDEX(meta_TypedModelElements[Name or Type],MATCH(meta_Columns[[#This Row],[Property]],meta_TypedModelElements[ID],0))</f>
        <v>#N/A</v>
      </c>
      <c r="AM207" s="8" t="e">
        <f>INDEX(meta_TypedModelElements[Property - Changeable],MATCH(meta_Columns[[#This Row],[Property]],meta_TypedModelElements[ID],0))</f>
        <v>#N/A</v>
      </c>
      <c r="AN207" s="43">
        <v>17</v>
      </c>
      <c r="AO207" s="22"/>
      <c r="AP2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7" s="8" t="str">
        <f xml:space="preserve"> IF(meta_Columns[[#This Row],[Property Owning Class is Specialization of Instance Class]],meta_Columns[[#This Row],[Property Owning Class Name]]&amp;" - ","")</f>
        <v/>
      </c>
      <c r="AR2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7" s="8" t="str">
        <f>IFERROR(LEFT(meta_Columns[[#This Row],[Excel Column - Label Actual without Semantic Case]],FIND("-",
meta_Columns[[#This Row],[Excel Column - Label Actual without Semantic Case]])-2),"")</f>
        <v/>
      </c>
      <c r="AU2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v>
      </c>
      <c r="AX207" s="22"/>
      <c r="AY207" s="8" t="str">
        <f>meta_Columns[[#This Row],[Owning Table]]&amp;"."&amp;meta_Columns[[#This Row],[Excel Column - Label]]</f>
        <v>meta::Rules.Super Class 1</v>
      </c>
      <c r="AZ207" s="22" t="s">
        <v>239</v>
      </c>
      <c r="BA207" s="8" t="str">
        <f>IF(TRIM(meta_Columns[[#This Row],[Excel Column - Label Overwrite]])&lt;&gt;"",meta_Columns[[#This Row],[Excel Column - Label Overwrite]],meta_Columns[[#This Row],[Excel Column - Label from Property or Referenced Table]])</f>
        <v>Super Class 1</v>
      </c>
      <c r="BB207" s="43" t="s">
        <v>1534</v>
      </c>
      <c r="BC207" s="44" t="str">
        <f>IF(meta_Columns[[#This Row],[Excel Column - Explicit Excel Formula]]="","",meta_Columns[[#This Row],[Excel Column - Explicit Excel Formula]])</f>
        <v>Formula:=IFNA(INDEX(#REF!,MATCH([@[Class:src]],meta_Classifiers[ID],0)),0)</v>
      </c>
      <c r="BD207" s="5"/>
      <c r="BE207" s="5"/>
    </row>
    <row r="208" spans="1:57">
      <c r="A208" s="10" t="s">
        <v>1172</v>
      </c>
      <c r="B208" s="5" t="s">
        <v>546</v>
      </c>
      <c r="C208" s="22" t="str">
        <f xml:space="preserve"> IF( TRIM( meta_Columns[[#This Row],[Kind:src]] ) = "", "",
        INDEX( meta_Classifiers[Display Qualified], MATCH( meta_Columns[[#This Row],[Kind:src]], meta_Classifiers[ID], 0 ) ) )</f>
        <v>ExcelColumn</v>
      </c>
      <c r="D208" s="44" t="str">
        <f>IF(meta_Columns[[#This Row],[Owning Table:src]]="","",INDEX(meta_Classifiers[Package],MATCH(meta_Columns[[#This Row],[Owning Table Instances Class]],meta_Classifiers[ID],0)))</f>
        <v>meta</v>
      </c>
      <c r="E208" s="43"/>
      <c r="F208" s="8" t="str">
        <f>INDEX(meta_Tables[Excel Table - Excel Name],MATCH(meta_Columns[[#This Row],[Owning Table:src]],meta_Tables[ID],0))</f>
        <v>meta_Rules</v>
      </c>
      <c r="G208" s="44" t="str">
        <f>INDEX(meta_Tables[Instances Class:src],MATCH(meta_Columns[[#This Row],[Owning Table:src]],meta_Tables[ID],0))</f>
        <v>_Rule</v>
      </c>
      <c r="H208" s="11" t="s">
        <v>1014</v>
      </c>
      <c r="I208" s="43" t="str">
        <f xml:space="preserve"> IF( TRIM( meta_Columns[[#This Row],[Owning Table:src]] ) = "", "",
        INDEX( meta_Tables[Display Qualified], MATCH( meta_Columns[[#This Row],[Owning Table:src]], meta_Tables[ID], 0 ) ) )</f>
        <v>meta::Rules</v>
      </c>
      <c r="K208" s="22" t="str">
        <f>IF(TRIM(meta_Columns[[#This Row],[Referenced Table:src]])="","",
    INDEX(meta_Tables[Display Qualified],MATCH(meta_Columns[[#This Row],[Referenced Table:src]],meta_Tables[ID],0)))</f>
        <v/>
      </c>
      <c r="L208" s="8"/>
      <c r="M208" s="22" t="str">
        <f xml:space="preserve"> IF( TRIM( meta_Columns[[#This Row],[Referenced Table Display and Select Column:src]] ) = "", "",
        INDEX( meta_Columns[Display Qualified], MATCH( meta_Columns[[#This Row],[Referenced Table Display and Select Column:src]], meta_Columns[ID], 0 ) ) )</f>
        <v/>
      </c>
      <c r="N208" s="8" t="str">
        <f>IF(meta_Columns[[#This Row],[Excel Column - Excel Formula]]="","x","")</f>
        <v/>
      </c>
      <c r="O208" s="22"/>
      <c r="P208" s="8" t="str">
        <f>IF(meta_Columns[[#This Row],[Referenced Table:src]]="","",INDEX(meta_Tables[Instances Class],MATCH(meta_Columns[[#This Row],[Referenced Table:src]],meta_Tables[ID],0)))</f>
        <v/>
      </c>
      <c r="Q2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8" s="8"/>
      <c r="S208" s="22" t="str">
        <f xml:space="preserve"> IF( TRIM( meta_Columns[[#This Row],[Property:src]] ) = "", "",
        INDEX( meta_TypedModelElements[Display Qualified], MATCH( meta_Columns[[#This Row],[Property:src]], meta_TypedModelElements[ID], 0 ) ) )</f>
        <v/>
      </c>
      <c r="T208" s="22"/>
      <c r="U208" s="8" t="e">
        <f>INDEX(meta_Classifiers[Class - Generalization:src], MATCH(meta_Columns[[#This Row],[Generalization 5]],meta_Classifiers[ID],0))</f>
        <v>#N/A</v>
      </c>
      <c r="V208" s="8" t="e">
        <f>INDEX(meta_Classifiers[Class - Generalization:src], MATCH(meta_Columns[[#This Row],[Generalization 4]],meta_Classifiers[ID],0))</f>
        <v>#N/A</v>
      </c>
      <c r="W208" s="8" t="e">
        <f>INDEX(meta_Classifiers[Class - Generalization:src], MATCH(meta_Columns[[#This Row],[Generalization 3]],meta_Classifiers[ID],0))</f>
        <v>#N/A</v>
      </c>
      <c r="X208" s="8" t="str">
        <f>INDEX(meta_Classifiers[Class - Generalization:src], MATCH(meta_Columns[[#This Row],[Generalization 2]],meta_Classifiers[ID],0))</f>
        <v/>
      </c>
      <c r="Y208" s="8" t="str">
        <f>INDEX(meta_Classifiers[Class - Generalization:src], MATCH(meta_Columns[[#This Row],[Generalization 1]],meta_Classifiers[ID],0))</f>
        <v>_Object</v>
      </c>
      <c r="Z208" s="8" t="str">
        <f>INDEX(meta_Classifiers[Class - Generalization:src], MATCH(meta_Columns[[#This Row],[Owning Table Instances Class]],meta_Classifiers[ID],0))</f>
        <v>_NamedElement</v>
      </c>
      <c r="AA2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8" s="8" t="b">
        <f>_xlfn.IFNA(
INDEX(meta_Classifiers[Class - Generalization:src],MATCH(
INDEX(meta_Classifiers[Class - Generalization:src],MATCH(meta_Columns[[#This Row],[Property Owning Class]],meta_Classifiers[ID],0)),meta_Classifiers[ID],0))
=meta_Columns[[#This Row],[Owning Table Instances Class]],FALSE)</f>
        <v>0</v>
      </c>
      <c r="AG208" s="8" t="b">
        <f>_xlfn.IFNA(INDEX(meta_Classifiers[Class - Generalization:src],MATCH(meta_Columns[[#This Row],[Property Owning Class]],meta_Classifiers[ID],0))=meta_Columns[[#This Row],[Owning Table Instances Class]],FALSE)</f>
        <v>0</v>
      </c>
      <c r="AH2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8" s="8" t="e">
        <f>INDEX(meta_Classifiers[Name],MATCH(INDEX(meta_TypedModelElements[Property - Owning Class:src],MATCH(meta_Columns[[#This Row],[Property]],meta_TypedModelElements[ID],0)),meta_Classifiers[ID],0))</f>
        <v>#N/A</v>
      </c>
      <c r="AJ208" s="8" t="e">
        <f>INDEX(meta_TypedModelElements[Property - Owning Class:src],MATCH(meta_Columns[[#This Row],[Property]],meta_TypedModelElements[ID],0))</f>
        <v>#N/A</v>
      </c>
      <c r="AK208" s="8" t="e">
        <f>INDEX(meta_TypedModelElements[Kind:src],MATCH(meta_Columns[[#This Row],[Property]],meta_TypedModelElements[ID],0))</f>
        <v>#N/A</v>
      </c>
      <c r="AL208" s="8" t="e">
        <f>INDEX(meta_TypedModelElements[Name or Type],MATCH(meta_Columns[[#This Row],[Property]],meta_TypedModelElements[ID],0))</f>
        <v>#N/A</v>
      </c>
      <c r="AM208" s="8" t="e">
        <f>INDEX(meta_TypedModelElements[Property - Changeable],MATCH(meta_Columns[[#This Row],[Property]],meta_TypedModelElements[ID],0))</f>
        <v>#N/A</v>
      </c>
      <c r="AN208" s="43">
        <v>18</v>
      </c>
      <c r="AO208" s="22"/>
      <c r="AP2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8" s="8" t="str">
        <f xml:space="preserve"> IF(meta_Columns[[#This Row],[Property Owning Class is Specialization of Instance Class]],meta_Columns[[#This Row],[Property Owning Class Name]]&amp;" - ","")</f>
        <v/>
      </c>
      <c r="AR2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8" s="8" t="str">
        <f>IFERROR(LEFT(meta_Columns[[#This Row],[Excel Column - Label Actual without Semantic Case]],FIND("-",
meta_Columns[[#This Row],[Excel Column - Label Actual without Semantic Case]])-2),"")</f>
        <v/>
      </c>
      <c r="AU2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Class:display:q.</v>
      </c>
      <c r="AX208" s="22"/>
      <c r="AY208" s="8" t="str">
        <f>meta_Columns[[#This Row],[Owning Table]]&amp;"."&amp;meta_Columns[[#This Row],[Excel Column - Label]]</f>
        <v>meta::Rules.Class:display:q.</v>
      </c>
      <c r="AZ208" s="22" t="s">
        <v>283</v>
      </c>
      <c r="BA208" s="8" t="str">
        <f>IF(TRIM(meta_Columns[[#This Row],[Excel Column - Label Overwrite]])&lt;&gt;"",meta_Columns[[#This Row],[Excel Column - Label Overwrite]],meta_Columns[[#This Row],[Excel Column - Label from Property or Referenced Table]])</f>
        <v>Class:display:q.</v>
      </c>
      <c r="BB208" s="43" t="s">
        <v>964</v>
      </c>
      <c r="BC208" s="44" t="str">
        <f>IF(meta_Columns[[#This Row],[Excel Column - Explicit Excel Formula]]="","",meta_Columns[[#This Row],[Excel Column - Explicit Excel Formula]])</f>
        <v>Formula:=INDEX(meta_Classifiers[Display Qualified],MATCH([@[Class:src]],meta_Classifiers[ID],0))&amp;"."</v>
      </c>
      <c r="BD208" s="5"/>
      <c r="BE208" s="5"/>
    </row>
    <row r="209" spans="1:57">
      <c r="A209" s="10" t="s">
        <v>1173</v>
      </c>
      <c r="B209" s="5" t="s">
        <v>546</v>
      </c>
      <c r="C209" s="22" t="str">
        <f xml:space="preserve"> IF( TRIM( meta_Columns[[#This Row],[Kind:src]] ) = "", "",
        INDEX( meta_Classifiers[Display Qualified], MATCH( meta_Columns[[#This Row],[Kind:src]], meta_Classifiers[ID], 0 ) ) )</f>
        <v>ExcelColumn</v>
      </c>
      <c r="D209" s="44" t="str">
        <f>IF(meta_Columns[[#This Row],[Owning Table:src]]="","",INDEX(meta_Classifiers[Package],MATCH(meta_Columns[[#This Row],[Owning Table Instances Class]],meta_Classifiers[ID],0)))</f>
        <v>meta</v>
      </c>
      <c r="E209" s="43"/>
      <c r="F209" s="8" t="str">
        <f>INDEX(meta_Tables[Excel Table - Excel Name],MATCH(meta_Columns[[#This Row],[Owning Table:src]],meta_Tables[ID],0))</f>
        <v>meta_Rules</v>
      </c>
      <c r="G209" s="44" t="str">
        <f>INDEX(meta_Tables[Instances Class:src],MATCH(meta_Columns[[#This Row],[Owning Table:src]],meta_Tables[ID],0))</f>
        <v>_Rule</v>
      </c>
      <c r="H209" s="11" t="s">
        <v>1014</v>
      </c>
      <c r="I209" s="43" t="str">
        <f xml:space="preserve"> IF( TRIM( meta_Columns[[#This Row],[Owning Table:src]] ) = "", "",
        INDEX( meta_Tables[Display Qualified], MATCH( meta_Columns[[#This Row],[Owning Table:src]], meta_Tables[ID], 0 ) ) )</f>
        <v>meta::Rules</v>
      </c>
      <c r="K209" s="22" t="str">
        <f>IF(TRIM(meta_Columns[[#This Row],[Referenced Table:src]])="","",
    INDEX(meta_Tables[Display Qualified],MATCH(meta_Columns[[#This Row],[Referenced Table:src]],meta_Tables[ID],0)))</f>
        <v/>
      </c>
      <c r="L209" s="8"/>
      <c r="M209" s="22"/>
      <c r="N209" s="8" t="str">
        <f>IF(meta_Columns[[#This Row],[Excel Column - Excel Formula]]="","x","")</f>
        <v>x</v>
      </c>
      <c r="O209" s="22"/>
      <c r="P209" s="8" t="str">
        <f>IF(meta_Columns[[#This Row],[Referenced Table:src]]="","",INDEX(meta_Tables[Instances Class],MATCH(meta_Columns[[#This Row],[Referenced Table:src]],meta_Tables[ID],0)))</f>
        <v/>
      </c>
      <c r="Q2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9" s="8"/>
      <c r="S209" s="22" t="str">
        <f xml:space="preserve"> IF( TRIM( meta_Columns[[#This Row],[Property:src]] ) = "", "",
        INDEX( meta_TypedModelElements[Display Qualified], MATCH( meta_Columns[[#This Row],[Property:src]], meta_TypedModelElements[ID], 0 ) ) )</f>
        <v/>
      </c>
      <c r="T209" s="22"/>
      <c r="U209" s="8" t="e">
        <f>INDEX(meta_Classifiers[Class - Generalization:src], MATCH(meta_Columns[[#This Row],[Generalization 5]],meta_Classifiers[ID],0))</f>
        <v>#N/A</v>
      </c>
      <c r="V209" s="8" t="e">
        <f>INDEX(meta_Classifiers[Class - Generalization:src], MATCH(meta_Columns[[#This Row],[Generalization 4]],meta_Classifiers[ID],0))</f>
        <v>#N/A</v>
      </c>
      <c r="W209" s="8" t="e">
        <f>INDEX(meta_Classifiers[Class - Generalization:src], MATCH(meta_Columns[[#This Row],[Generalization 3]],meta_Classifiers[ID],0))</f>
        <v>#N/A</v>
      </c>
      <c r="X209" s="8" t="str">
        <f>INDEX(meta_Classifiers[Class - Generalization:src], MATCH(meta_Columns[[#This Row],[Generalization 2]],meta_Classifiers[ID],0))</f>
        <v/>
      </c>
      <c r="Y209" s="8" t="str">
        <f>INDEX(meta_Classifiers[Class - Generalization:src], MATCH(meta_Columns[[#This Row],[Generalization 1]],meta_Classifiers[ID],0))</f>
        <v>_Object</v>
      </c>
      <c r="Z209" s="8" t="str">
        <f>INDEX(meta_Classifiers[Class - Generalization:src], MATCH(meta_Columns[[#This Row],[Owning Table Instances Class]],meta_Classifiers[ID],0))</f>
        <v>_NamedElement</v>
      </c>
      <c r="AA2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9" s="8" t="b">
        <f>_xlfn.IFNA(
INDEX(meta_Classifiers[Class - Generalization:src],MATCH(
INDEX(meta_Classifiers[Class - Generalization:src],MATCH(meta_Columns[[#This Row],[Property Owning Class]],meta_Classifiers[ID],0)),meta_Classifiers[ID],0))
=meta_Columns[[#This Row],[Owning Table Instances Class]],FALSE)</f>
        <v>0</v>
      </c>
      <c r="AG209" s="8" t="b">
        <f>_xlfn.IFNA(INDEX(meta_Classifiers[Class - Generalization:src],MATCH(meta_Columns[[#This Row],[Property Owning Class]],meta_Classifiers[ID],0))=meta_Columns[[#This Row],[Owning Table Instances Class]],FALSE)</f>
        <v>0</v>
      </c>
      <c r="AH2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9" s="8" t="e">
        <f>INDEX(meta_Classifiers[Name],MATCH(INDEX(meta_TypedModelElements[Property - Owning Class:src],MATCH(meta_Columns[[#This Row],[Property]],meta_TypedModelElements[ID],0)),meta_Classifiers[ID],0))</f>
        <v>#N/A</v>
      </c>
      <c r="AJ209" s="8" t="e">
        <f>INDEX(meta_TypedModelElements[Property - Owning Class:src],MATCH(meta_Columns[[#This Row],[Property]],meta_TypedModelElements[ID],0))</f>
        <v>#N/A</v>
      </c>
      <c r="AK209" s="8" t="e">
        <f>INDEX(meta_TypedModelElements[Kind:src],MATCH(meta_Columns[[#This Row],[Property]],meta_TypedModelElements[ID],0))</f>
        <v>#N/A</v>
      </c>
      <c r="AL209" s="8" t="e">
        <f>INDEX(meta_TypedModelElements[Name or Type],MATCH(meta_Columns[[#This Row],[Property]],meta_TypedModelElements[ID],0))</f>
        <v>#N/A</v>
      </c>
      <c r="AM209" s="8" t="e">
        <f>INDEX(meta_TypedModelElements[Property - Changeable],MATCH(meta_Columns[[#This Row],[Property]],meta_TypedModelElements[ID],0))</f>
        <v>#N/A</v>
      </c>
      <c r="AN209" s="43">
        <v>19</v>
      </c>
      <c r="AO209" s="22">
        <v>5</v>
      </c>
      <c r="AP2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9" s="8" t="str">
        <f xml:space="preserve"> IF(meta_Columns[[#This Row],[Property Owning Class is Specialization of Instance Class]],meta_Columns[[#This Row],[Property Owning Class Name]]&amp;" - ","")</f>
        <v/>
      </c>
      <c r="AR2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9" s="8" t="str">
        <f>IFERROR(LEFT(meta_Columns[[#This Row],[Excel Column - Label Actual without Semantic Case]],FIND("-",
meta_Columns[[#This Row],[Excel Column - Label Actual without Semantic Case]])-2),"")</f>
        <v/>
      </c>
      <c r="AU2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Class:src</v>
      </c>
      <c r="AX209" s="22"/>
      <c r="AY209" s="8" t="str">
        <f>meta_Columns[[#This Row],[Owning Table]]&amp;"."&amp;meta_Columns[[#This Row],[Excel Column - Label]]</f>
        <v>meta::Rules.Class:src</v>
      </c>
      <c r="AZ209" s="22" t="s">
        <v>147</v>
      </c>
      <c r="BA209" s="8" t="str">
        <f>IF(TRIM(meta_Columns[[#This Row],[Excel Column - Label Overwrite]])&lt;&gt;"",meta_Columns[[#This Row],[Excel Column - Label Overwrite]],meta_Columns[[#This Row],[Excel Column - Label from Property or Referenced Table]])</f>
        <v>Class:src</v>
      </c>
      <c r="BB209" s="43"/>
      <c r="BC209" s="44" t="str">
        <f>IF(meta_Columns[[#This Row],[Excel Column - Explicit Excel Formula]]="","",meta_Columns[[#This Row],[Excel Column - Explicit Excel Formula]])</f>
        <v/>
      </c>
      <c r="BD209" s="5"/>
      <c r="BE209" s="5"/>
    </row>
    <row r="210" spans="1:57">
      <c r="A210" s="10" t="s">
        <v>1174</v>
      </c>
      <c r="B210" s="5" t="s">
        <v>546</v>
      </c>
      <c r="C210" s="22" t="str">
        <f xml:space="preserve"> IF( TRIM( meta_Columns[[#This Row],[Kind:src]] ) = "", "",
        INDEX( meta_Classifiers[Display Qualified], MATCH( meta_Columns[[#This Row],[Kind:src]], meta_Classifiers[ID], 0 ) ) )</f>
        <v>ExcelColumn</v>
      </c>
      <c r="D210" s="44" t="str">
        <f>IF(meta_Columns[[#This Row],[Owning Table:src]]="","",INDEX(meta_Classifiers[Package],MATCH(meta_Columns[[#This Row],[Owning Table Instances Class]],meta_Classifiers[ID],0)))</f>
        <v>meta</v>
      </c>
      <c r="E210" s="43"/>
      <c r="F210" s="8" t="str">
        <f>INDEX(meta_Tables[Excel Table - Excel Name],MATCH(meta_Columns[[#This Row],[Owning Table:src]],meta_Tables[ID],0))</f>
        <v>meta_Rules</v>
      </c>
      <c r="G210" s="44" t="str">
        <f>INDEX(meta_Tables[Instances Class:src],MATCH(meta_Columns[[#This Row],[Owning Table:src]],meta_Tables[ID],0))</f>
        <v>_Rule</v>
      </c>
      <c r="H210" s="11" t="s">
        <v>1014</v>
      </c>
      <c r="I210" s="43" t="str">
        <f xml:space="preserve"> IF( TRIM( meta_Columns[[#This Row],[Owning Table:src]] ) = "", "",
        INDEX( meta_Tables[Display Qualified], MATCH( meta_Columns[[#This Row],[Owning Table:src]], meta_Tables[ID], 0 ) ) )</f>
        <v>meta::Rules</v>
      </c>
      <c r="K210" s="22" t="str">
        <f>IF(TRIM(meta_Columns[[#This Row],[Referenced Table:src]])="","",
    INDEX(meta_Tables[Display Qualified],MATCH(meta_Columns[[#This Row],[Referenced Table:src]],meta_Tables[ID],0)))</f>
        <v/>
      </c>
      <c r="L210" s="8"/>
      <c r="M210" s="22"/>
      <c r="N210" s="8" t="str">
        <f>IF(meta_Columns[[#This Row],[Excel Column - Excel Formula]]="","x","")</f>
        <v/>
      </c>
      <c r="O210" s="22"/>
      <c r="P210" s="8" t="str">
        <f>IF(meta_Columns[[#This Row],[Referenced Table:src]]="","",INDEX(meta_Tables[Instances Class],MATCH(meta_Columns[[#This Row],[Referenced Table:src]],meta_Tables[ID],0)))</f>
        <v/>
      </c>
      <c r="Q2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10" s="8"/>
      <c r="S210" s="22" t="str">
        <f xml:space="preserve"> IF( TRIM( meta_Columns[[#This Row],[Property:src]] ) = "", "",
        INDEX( meta_TypedModelElements[Display Qualified], MATCH( meta_Columns[[#This Row],[Property:src]], meta_TypedModelElements[ID], 0 ) ) )</f>
        <v/>
      </c>
      <c r="T210" s="22"/>
      <c r="U210" s="8" t="e">
        <f>INDEX(meta_Classifiers[Class - Generalization:src], MATCH(meta_Columns[[#This Row],[Generalization 5]],meta_Classifiers[ID],0))</f>
        <v>#N/A</v>
      </c>
      <c r="V210" s="8" t="e">
        <f>INDEX(meta_Classifiers[Class - Generalization:src], MATCH(meta_Columns[[#This Row],[Generalization 4]],meta_Classifiers[ID],0))</f>
        <v>#N/A</v>
      </c>
      <c r="W210" s="8" t="e">
        <f>INDEX(meta_Classifiers[Class - Generalization:src], MATCH(meta_Columns[[#This Row],[Generalization 3]],meta_Classifiers[ID],0))</f>
        <v>#N/A</v>
      </c>
      <c r="X210" s="8" t="str">
        <f>INDEX(meta_Classifiers[Class - Generalization:src], MATCH(meta_Columns[[#This Row],[Generalization 2]],meta_Classifiers[ID],0))</f>
        <v/>
      </c>
      <c r="Y210" s="8" t="str">
        <f>INDEX(meta_Classifiers[Class - Generalization:src], MATCH(meta_Columns[[#This Row],[Generalization 1]],meta_Classifiers[ID],0))</f>
        <v>_Object</v>
      </c>
      <c r="Z210" s="8" t="str">
        <f>INDEX(meta_Classifiers[Class - Generalization:src], MATCH(meta_Columns[[#This Row],[Owning Table Instances Class]],meta_Classifiers[ID],0))</f>
        <v>_NamedElement</v>
      </c>
      <c r="AA2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0" s="8" t="b">
        <f>_xlfn.IFNA(
INDEX(meta_Classifiers[Class - Generalization:src],MATCH(
INDEX(meta_Classifiers[Class - Generalization:src],MATCH(meta_Columns[[#This Row],[Property Owning Class]],meta_Classifiers[ID],0)),meta_Classifiers[ID],0))
=meta_Columns[[#This Row],[Owning Table Instances Class]],FALSE)</f>
        <v>0</v>
      </c>
      <c r="AG210" s="8" t="b">
        <f>_xlfn.IFNA(INDEX(meta_Classifiers[Class - Generalization:src],MATCH(meta_Columns[[#This Row],[Property Owning Class]],meta_Classifiers[ID],0))=meta_Columns[[#This Row],[Owning Table Instances Class]],FALSE)</f>
        <v>0</v>
      </c>
      <c r="AH2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0" s="8" t="e">
        <f>INDEX(meta_Classifiers[Name],MATCH(INDEX(meta_TypedModelElements[Property - Owning Class:src],MATCH(meta_Columns[[#This Row],[Property]],meta_TypedModelElements[ID],0)),meta_Classifiers[ID],0))</f>
        <v>#N/A</v>
      </c>
      <c r="AJ210" s="8" t="e">
        <f>INDEX(meta_TypedModelElements[Property - Owning Class:src],MATCH(meta_Columns[[#This Row],[Property]],meta_TypedModelElements[ID],0))</f>
        <v>#N/A</v>
      </c>
      <c r="AK210" s="8" t="e">
        <f>INDEX(meta_TypedModelElements[Kind:src],MATCH(meta_Columns[[#This Row],[Property]],meta_TypedModelElements[ID],0))</f>
        <v>#N/A</v>
      </c>
      <c r="AL210" s="8" t="e">
        <f>INDEX(meta_TypedModelElements[Name or Type],MATCH(meta_Columns[[#This Row],[Property]],meta_TypedModelElements[ID],0))</f>
        <v>#N/A</v>
      </c>
      <c r="AM210" s="8" t="e">
        <f>INDEX(meta_TypedModelElements[Property - Changeable],MATCH(meta_Columns[[#This Row],[Property]],meta_TypedModelElements[ID],0))</f>
        <v>#N/A</v>
      </c>
      <c r="AN210" s="43">
        <v>20</v>
      </c>
      <c r="AO210" s="22"/>
      <c r="AP2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0" s="8" t="str">
        <f xml:space="preserve"> IF(meta_Columns[[#This Row],[Property Owning Class is Specialization of Instance Class]],meta_Columns[[#This Row],[Property Owning Class Name]]&amp;" - ","")</f>
        <v/>
      </c>
      <c r="AR2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10" s="8" t="str">
        <f>IFERROR(LEFT(meta_Columns[[#This Row],[Excel Column - Label Actual without Semantic Case]],FIND("-",
meta_Columns[[#This Row],[Excel Column - Label Actual without Semantic Case]])-2),"")</f>
        <v/>
      </c>
      <c r="AU2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v>
      </c>
      <c r="AX210" s="22"/>
      <c r="AY210" s="8" t="str">
        <f>meta_Columns[[#This Row],[Owning Table]]&amp;"."&amp;meta_Columns[[#This Row],[Excel Column - Label]]</f>
        <v>meta::Rules.Class</v>
      </c>
      <c r="AZ210" s="22" t="s">
        <v>6</v>
      </c>
      <c r="BA210" s="8" t="str">
        <f>IF(TRIM(meta_Columns[[#This Row],[Excel Column - Label Overwrite]])&lt;&gt;"",meta_Columns[[#This Row],[Excel Column - Label Overwrite]],meta_Columns[[#This Row],[Excel Column - Label from Property or Referenced Table]])</f>
        <v>Class</v>
      </c>
      <c r="BB210" s="43" t="s">
        <v>881</v>
      </c>
      <c r="BC210" s="44" t="str">
        <f>IF(meta_Columns[[#This Row],[Excel Column - Explicit Excel Formula]]="","",meta_Columns[[#This Row],[Excel Column - Explicit Excel Formula]])</f>
        <v>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v>
      </c>
      <c r="BD210" s="5"/>
      <c r="BE210" s="5"/>
    </row>
    <row r="211" spans="1:57">
      <c r="A211" s="10" t="s">
        <v>1175</v>
      </c>
      <c r="B211" s="5" t="s">
        <v>546</v>
      </c>
      <c r="C211" s="22" t="str">
        <f xml:space="preserve"> IF( TRIM( meta_Columns[[#This Row],[Kind:src]] ) = "", "",
        INDEX( meta_Classifiers[Display Qualified], MATCH( meta_Columns[[#This Row],[Kind:src]], meta_Classifiers[ID], 0 ) ) )</f>
        <v>ExcelColumn</v>
      </c>
      <c r="D211" s="44" t="str">
        <f>IF(meta_Columns[[#This Row],[Owning Table:src]]="","",INDEX(meta_Classifiers[Package],MATCH(meta_Columns[[#This Row],[Owning Table Instances Class]],meta_Classifiers[ID],0)))</f>
        <v>meta</v>
      </c>
      <c r="E211" s="43"/>
      <c r="F211" s="8" t="str">
        <f>INDEX(meta_Tables[Excel Table - Excel Name],MATCH(meta_Columns[[#This Row],[Owning Table:src]],meta_Tables[ID],0))</f>
        <v>meta_Rules</v>
      </c>
      <c r="G211" s="44" t="str">
        <f>INDEX(meta_Tables[Instances Class:src],MATCH(meta_Columns[[#This Row],[Owning Table:src]],meta_Tables[ID],0))</f>
        <v>_Rule</v>
      </c>
      <c r="H211" s="11" t="s">
        <v>1014</v>
      </c>
      <c r="I211" s="43" t="str">
        <f xml:space="preserve"> IF( TRIM( meta_Columns[[#This Row],[Owning Table:src]] ) = "", "",
        INDEX( meta_Tables[Display Qualified], MATCH( meta_Columns[[#This Row],[Owning Table:src]], meta_Tables[ID], 0 ) ) )</f>
        <v>meta::Rules</v>
      </c>
      <c r="K211" s="22" t="str">
        <f>IF(TRIM(meta_Columns[[#This Row],[Referenced Table:src]])="","",
    INDEX(meta_Tables[Display Qualified],MATCH(meta_Columns[[#This Row],[Referenced Table:src]],meta_Tables[ID],0)))</f>
        <v/>
      </c>
      <c r="L211" s="8"/>
      <c r="M211" s="22"/>
      <c r="N211" s="8" t="str">
        <f>IF(meta_Columns[[#This Row],[Excel Column - Excel Formula]]="","x","")</f>
        <v/>
      </c>
      <c r="O211" s="22"/>
      <c r="P211" s="8" t="str">
        <f>IF(meta_Columns[[#This Row],[Referenced Table:src]]="","",INDEX(meta_Tables[Instances Class],MATCH(meta_Columns[[#This Row],[Referenced Table:src]],meta_Tables[ID],0)))</f>
        <v/>
      </c>
      <c r="Q2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meta::Rule.featureType</v>
      </c>
      <c r="R211" s="8"/>
      <c r="S211" s="22" t="str">
        <f xml:space="preserve"> IF( TRIM( meta_Columns[[#This Row],[Property:src]] ) = "", "",
        INDEX( meta_TypedModelElements[Display Qualified], MATCH( meta_Columns[[#This Row],[Property:src]], meta_TypedModelElements[ID], 0 ) ) )</f>
        <v/>
      </c>
      <c r="T211" s="22"/>
      <c r="U211" s="8" t="e">
        <f>INDEX(meta_Classifiers[Class - Generalization:src], MATCH(meta_Columns[[#This Row],[Generalization 5]],meta_Classifiers[ID],0))</f>
        <v>#N/A</v>
      </c>
      <c r="V211" s="8" t="e">
        <f>INDEX(meta_Classifiers[Class - Generalization:src], MATCH(meta_Columns[[#This Row],[Generalization 4]],meta_Classifiers[ID],0))</f>
        <v>#N/A</v>
      </c>
      <c r="W211" s="8" t="e">
        <f>INDEX(meta_Classifiers[Class - Generalization:src], MATCH(meta_Columns[[#This Row],[Generalization 3]],meta_Classifiers[ID],0))</f>
        <v>#N/A</v>
      </c>
      <c r="X211" s="8" t="str">
        <f>INDEX(meta_Classifiers[Class - Generalization:src], MATCH(meta_Columns[[#This Row],[Generalization 2]],meta_Classifiers[ID],0))</f>
        <v/>
      </c>
      <c r="Y211" s="8" t="str">
        <f>INDEX(meta_Classifiers[Class - Generalization:src], MATCH(meta_Columns[[#This Row],[Generalization 1]],meta_Classifiers[ID],0))</f>
        <v>_Object</v>
      </c>
      <c r="Z211" s="8" t="str">
        <f>INDEX(meta_Classifiers[Class - Generalization:src], MATCH(meta_Columns[[#This Row],[Owning Table Instances Class]],meta_Classifiers[ID],0))</f>
        <v>_NamedElement</v>
      </c>
      <c r="AA2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1" s="8" t="b">
        <f>_xlfn.IFNA(
INDEX(meta_Classifiers[Class - Generalization:src],MATCH(
INDEX(meta_Classifiers[Class - Generalization:src],MATCH(meta_Columns[[#This Row],[Property Owning Class]],meta_Classifiers[ID],0)),meta_Classifiers[ID],0))
=meta_Columns[[#This Row],[Owning Table Instances Class]],FALSE)</f>
        <v>0</v>
      </c>
      <c r="AG211" s="8" t="b">
        <f>_xlfn.IFNA(INDEX(meta_Classifiers[Class - Generalization:src],MATCH(meta_Columns[[#This Row],[Property Owning Class]],meta_Classifiers[ID],0))=meta_Columns[[#This Row],[Owning Table Instances Class]],FALSE)</f>
        <v>0</v>
      </c>
      <c r="AH2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1" s="8" t="e">
        <f>INDEX(meta_Classifiers[Name],MATCH(INDEX(meta_TypedModelElements[Property - Owning Class:src],MATCH(meta_Columns[[#This Row],[Property]],meta_TypedModelElements[ID],0)),meta_Classifiers[ID],0))</f>
        <v>#N/A</v>
      </c>
      <c r="AJ211" s="8" t="e">
        <f>INDEX(meta_TypedModelElements[Property - Owning Class:src],MATCH(meta_Columns[[#This Row],[Property]],meta_TypedModelElements[ID],0))</f>
        <v>#N/A</v>
      </c>
      <c r="AK211" s="8" t="e">
        <f>INDEX(meta_TypedModelElements[Kind:src],MATCH(meta_Columns[[#This Row],[Property]],meta_TypedModelElements[ID],0))</f>
        <v>#N/A</v>
      </c>
      <c r="AL211" s="8" t="e">
        <f>INDEX(meta_TypedModelElements[Name or Type],MATCH(meta_Columns[[#This Row],[Property]],meta_TypedModelElements[ID],0))</f>
        <v>#N/A</v>
      </c>
      <c r="AM211" s="8" t="e">
        <f>INDEX(meta_TypedModelElements[Property - Changeable],MATCH(meta_Columns[[#This Row],[Property]],meta_TypedModelElements[ID],0))</f>
        <v>#N/A</v>
      </c>
      <c r="AN211" s="43">
        <v>21</v>
      </c>
      <c r="AO211" s="22"/>
      <c r="AP2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1" s="8" t="str">
        <f xml:space="preserve"> IF(meta_Columns[[#This Row],[Property Owning Class is Specialization of Instance Class]],meta_Columns[[#This Row],[Property Owning Class Name]]&amp;" - ","")</f>
        <v/>
      </c>
      <c r="AR2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Type</v>
      </c>
      <c r="AT211" s="8" t="str">
        <f>IFERROR(LEFT(meta_Columns[[#This Row],[Excel Column - Label Actual without Semantic Case]],FIND("-",
meta_Columns[[#This Row],[Excel Column - Label Actual without Semantic Case]])-2),"")</f>
        <v/>
      </c>
      <c r="AU2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Type</v>
      </c>
      <c r="AV2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Type</v>
      </c>
      <c r="AX211" s="22"/>
      <c r="AY211" s="8" t="str">
        <f>meta_Columns[[#This Row],[Owning Table]]&amp;"."&amp;meta_Columns[[#This Row],[Excel Column - Label]]</f>
        <v>meta::Rules.Feature Type</v>
      </c>
      <c r="AZ211" s="22" t="s">
        <v>425</v>
      </c>
      <c r="BA211" s="8" t="str">
        <f>IF(TRIM(meta_Columns[[#This Row],[Excel Column - Label Overwrite]])&lt;&gt;"",meta_Columns[[#This Row],[Excel Column - Label Overwrite]],meta_Columns[[#This Row],[Excel Column - Label from Property or Referenced Table]])</f>
        <v>Feature Type</v>
      </c>
      <c r="BB211" s="43" t="s">
        <v>882</v>
      </c>
      <c r="BC211" s="44" t="str">
        <f>IF(meta_Columns[[#This Row],[Excel Column - Explicit Excel Formula]]="","",meta_Columns[[#This Row],[Excel Column - Explicit Excel Formula]])</f>
        <v>Formula:=IF(TRIM([@Feature])="","",INDEX(meta_TypedModelElements[Type Derived],MATCH([@[Feature:src]],meta_TypedModelElements[ID],0)))</v>
      </c>
      <c r="BD211" s="5"/>
      <c r="BE211" s="5"/>
    </row>
    <row r="212" spans="1:57">
      <c r="A212" s="10" t="s">
        <v>1176</v>
      </c>
      <c r="B212" s="5" t="s">
        <v>546</v>
      </c>
      <c r="C212" s="22" t="str">
        <f xml:space="preserve"> IF( TRIM( meta_Columns[[#This Row],[Kind:src]] ) = "", "",
        INDEX( meta_Classifiers[Display Qualified], MATCH( meta_Columns[[#This Row],[Kind:src]], meta_Classifiers[ID], 0 ) ) )</f>
        <v>ExcelColumn</v>
      </c>
      <c r="D212" s="44" t="str">
        <f>IF(meta_Columns[[#This Row],[Owning Table:src]]="","",INDEX(meta_Classifiers[Package],MATCH(meta_Columns[[#This Row],[Owning Table Instances Class]],meta_Classifiers[ID],0)))</f>
        <v>meta</v>
      </c>
      <c r="E212" s="43"/>
      <c r="F212" s="8" t="str">
        <f>INDEX(meta_Tables[Excel Table - Excel Name],MATCH(meta_Columns[[#This Row],[Owning Table:src]],meta_Tables[ID],0))</f>
        <v>meta_Rules</v>
      </c>
      <c r="G212" s="44" t="str">
        <f>INDEX(meta_Tables[Instances Class:src],MATCH(meta_Columns[[#This Row],[Owning Table:src]],meta_Tables[ID],0))</f>
        <v>_Rule</v>
      </c>
      <c r="H212" s="11" t="s">
        <v>1014</v>
      </c>
      <c r="I212" s="43" t="str">
        <f xml:space="preserve"> IF( TRIM( meta_Columns[[#This Row],[Owning Table:src]] ) = "", "",
        INDEX( meta_Tables[Display Qualified], MATCH( meta_Columns[[#This Row],[Owning Table:src]], meta_Tables[ID], 0 ) ) )</f>
        <v>meta::Rules</v>
      </c>
      <c r="K212" s="22" t="str">
        <f>IF(TRIM(meta_Columns[[#This Row],[Referenced Table:src]])="","",
    INDEX(meta_Tables[Display Qualified],MATCH(meta_Columns[[#This Row],[Referenced Table:src]],meta_Tables[ID],0)))</f>
        <v/>
      </c>
      <c r="L212" s="8"/>
      <c r="M212" s="22"/>
      <c r="N212" s="8" t="str">
        <f>IF(meta_Columns[[#This Row],[Excel Column - Excel Formula]]="","x","")</f>
        <v/>
      </c>
      <c r="O212" s="22"/>
      <c r="P212" s="8" t="str">
        <f>IF(meta_Columns[[#This Row],[Referenced Table:src]]="","",INDEX(meta_Tables[Instances Class],MATCH(meta_Columns[[#This Row],[Referenced Table:src]],meta_Tables[ID],0)))</f>
        <v/>
      </c>
      <c r="Q2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meta::Rule.featureBaseTypeKind</v>
      </c>
      <c r="R212" s="8"/>
      <c r="S212" s="22" t="str">
        <f xml:space="preserve"> IF( TRIM( meta_Columns[[#This Row],[Property:src]] ) = "", "",
        INDEX( meta_TypedModelElements[Display Qualified], MATCH( meta_Columns[[#This Row],[Property:src]], meta_TypedModelElements[ID], 0 ) ) )</f>
        <v/>
      </c>
      <c r="T212" s="22"/>
      <c r="U212" s="8" t="e">
        <f>INDEX(meta_Classifiers[Class - Generalization:src], MATCH(meta_Columns[[#This Row],[Generalization 5]],meta_Classifiers[ID],0))</f>
        <v>#N/A</v>
      </c>
      <c r="V212" s="8" t="e">
        <f>INDEX(meta_Classifiers[Class - Generalization:src], MATCH(meta_Columns[[#This Row],[Generalization 4]],meta_Classifiers[ID],0))</f>
        <v>#N/A</v>
      </c>
      <c r="W212" s="8" t="e">
        <f>INDEX(meta_Classifiers[Class - Generalization:src], MATCH(meta_Columns[[#This Row],[Generalization 3]],meta_Classifiers[ID],0))</f>
        <v>#N/A</v>
      </c>
      <c r="X212" s="8" t="str">
        <f>INDEX(meta_Classifiers[Class - Generalization:src], MATCH(meta_Columns[[#This Row],[Generalization 2]],meta_Classifiers[ID],0))</f>
        <v/>
      </c>
      <c r="Y212" s="8" t="str">
        <f>INDEX(meta_Classifiers[Class - Generalization:src], MATCH(meta_Columns[[#This Row],[Generalization 1]],meta_Classifiers[ID],0))</f>
        <v>_Object</v>
      </c>
      <c r="Z212" s="8" t="str">
        <f>INDEX(meta_Classifiers[Class - Generalization:src], MATCH(meta_Columns[[#This Row],[Owning Table Instances Class]],meta_Classifiers[ID],0))</f>
        <v>_NamedElement</v>
      </c>
      <c r="AA2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2" s="8" t="b">
        <f>_xlfn.IFNA(
INDEX(meta_Classifiers[Class - Generalization:src],MATCH(
INDEX(meta_Classifiers[Class - Generalization:src],MATCH(meta_Columns[[#This Row],[Property Owning Class]],meta_Classifiers[ID],0)),meta_Classifiers[ID],0))
=meta_Columns[[#This Row],[Owning Table Instances Class]],FALSE)</f>
        <v>0</v>
      </c>
      <c r="AG212" s="8" t="b">
        <f>_xlfn.IFNA(INDEX(meta_Classifiers[Class - Generalization:src],MATCH(meta_Columns[[#This Row],[Property Owning Class]],meta_Classifiers[ID],0))=meta_Columns[[#This Row],[Owning Table Instances Class]],FALSE)</f>
        <v>0</v>
      </c>
      <c r="AH2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2" s="8" t="e">
        <f>INDEX(meta_Classifiers[Name],MATCH(INDEX(meta_TypedModelElements[Property - Owning Class:src],MATCH(meta_Columns[[#This Row],[Property]],meta_TypedModelElements[ID],0)),meta_Classifiers[ID],0))</f>
        <v>#N/A</v>
      </c>
      <c r="AJ212" s="8" t="e">
        <f>INDEX(meta_TypedModelElements[Property - Owning Class:src],MATCH(meta_Columns[[#This Row],[Property]],meta_TypedModelElements[ID],0))</f>
        <v>#N/A</v>
      </c>
      <c r="AK212" s="8" t="e">
        <f>INDEX(meta_TypedModelElements[Kind:src],MATCH(meta_Columns[[#This Row],[Property]],meta_TypedModelElements[ID],0))</f>
        <v>#N/A</v>
      </c>
      <c r="AL212" s="8" t="e">
        <f>INDEX(meta_TypedModelElements[Name or Type],MATCH(meta_Columns[[#This Row],[Property]],meta_TypedModelElements[ID],0))</f>
        <v>#N/A</v>
      </c>
      <c r="AM212" s="8" t="e">
        <f>INDEX(meta_TypedModelElements[Property - Changeable],MATCH(meta_Columns[[#This Row],[Property]],meta_TypedModelElements[ID],0))</f>
        <v>#N/A</v>
      </c>
      <c r="AN212" s="43">
        <v>22</v>
      </c>
      <c r="AO212" s="22"/>
      <c r="AP2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2" s="8" t="str">
        <f xml:space="preserve"> IF(meta_Columns[[#This Row],[Property Owning Class is Specialization of Instance Class]],meta_Columns[[#This Row],[Property Owning Class Name]]&amp;" - ","")</f>
        <v/>
      </c>
      <c r="AR2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Base Type Kind</v>
      </c>
      <c r="AT212" s="8" t="str">
        <f>IFERROR(LEFT(meta_Columns[[#This Row],[Excel Column - Label Actual without Semantic Case]],FIND("-",
meta_Columns[[#This Row],[Excel Column - Label Actual without Semantic Case]])-2),"")</f>
        <v/>
      </c>
      <c r="AU2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Base Type Kind</v>
      </c>
      <c r="AV2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Base Type Kind</v>
      </c>
      <c r="AX212" s="22"/>
      <c r="AY212" s="8" t="str">
        <f>meta_Columns[[#This Row],[Owning Table]]&amp;"."&amp;meta_Columns[[#This Row],[Excel Column - Label]]</f>
        <v>meta::Rules.Feature Base Type Kind</v>
      </c>
      <c r="AZ212" s="22" t="s">
        <v>429</v>
      </c>
      <c r="BA212" s="8" t="str">
        <f>IF(TRIM(meta_Columns[[#This Row],[Excel Column - Label Overwrite]])&lt;&gt;"",meta_Columns[[#This Row],[Excel Column - Label Overwrite]],meta_Columns[[#This Row],[Excel Column - Label from Property or Referenced Table]])</f>
        <v>Feature Base Type Kind</v>
      </c>
      <c r="BB212" s="43" t="s">
        <v>883</v>
      </c>
      <c r="BC212" s="44" t="str">
        <f>IF(meta_Columns[[#This Row],[Excel Column - Explicit Excel Formula]]="","",meta_Columns[[#This Row],[Excel Column - Explicit Excel Formula]])</f>
        <v>Formula:=IF([@[Class:src]]="","_Datatype","_Class")</v>
      </c>
      <c r="BD212" s="5"/>
      <c r="BE212" s="5"/>
    </row>
    <row r="213" spans="1:57">
      <c r="A213" s="10" t="s">
        <v>1177</v>
      </c>
      <c r="B213" s="5" t="s">
        <v>546</v>
      </c>
      <c r="C213" s="22" t="str">
        <f xml:space="preserve"> IF( TRIM( meta_Columns[[#This Row],[Kind:src]] ) = "", "",
        INDEX( meta_Classifiers[Display Qualified], MATCH( meta_Columns[[#This Row],[Kind:src]], meta_Classifiers[ID], 0 ) ) )</f>
        <v>ExcelColumn</v>
      </c>
      <c r="D213" s="44" t="str">
        <f>IF(meta_Columns[[#This Row],[Owning Table:src]]="","",INDEX(meta_Classifiers[Package],MATCH(meta_Columns[[#This Row],[Owning Table Instances Class]],meta_Classifiers[ID],0)))</f>
        <v>meta</v>
      </c>
      <c r="E213" s="43"/>
      <c r="F213" s="8" t="str">
        <f>INDEX(meta_Tables[Excel Table - Excel Name],MATCH(meta_Columns[[#This Row],[Owning Table:src]],meta_Tables[ID],0))</f>
        <v>meta_Rules</v>
      </c>
      <c r="G213" s="44" t="str">
        <f>INDEX(meta_Tables[Instances Class:src],MATCH(meta_Columns[[#This Row],[Owning Table:src]],meta_Tables[ID],0))</f>
        <v>_Rule</v>
      </c>
      <c r="H213" s="11" t="s">
        <v>1014</v>
      </c>
      <c r="I213" s="43" t="str">
        <f xml:space="preserve"> IF( TRIM( meta_Columns[[#This Row],[Owning Table:src]] ) = "", "",
        INDEX( meta_Tables[Display Qualified], MATCH( meta_Columns[[#This Row],[Owning Table:src]], meta_Tables[ID], 0 ) ) )</f>
        <v>meta::Rules</v>
      </c>
      <c r="K213" s="22" t="str">
        <f>IF(TRIM(meta_Columns[[#This Row],[Referenced Table:src]])="","",
    INDEX(meta_Tables[Display Qualified],MATCH(meta_Columns[[#This Row],[Referenced Table:src]],meta_Tables[ID],0)))</f>
        <v/>
      </c>
      <c r="L213" s="8"/>
      <c r="M213" s="22"/>
      <c r="N213" s="8" t="str">
        <f>IF(meta_Columns[[#This Row],[Excel Column - Excel Formula]]="","x","")</f>
        <v>x</v>
      </c>
      <c r="O213" s="22"/>
      <c r="P213" s="8" t="str">
        <f>IF(meta_Columns[[#This Row],[Referenced Table:src]]="","",INDEX(meta_Tables[Instances Class],MATCH(meta_Columns[[#This Row],[Referenced Table:src]],meta_Tables[ID],0)))</f>
        <v/>
      </c>
      <c r="Q2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3" s="8"/>
      <c r="S213" s="22" t="str">
        <f xml:space="preserve"> IF( TRIM( meta_Columns[[#This Row],[Property:src]] ) = "", "",
        INDEX( meta_TypedModelElements[Display Qualified], MATCH( meta_Columns[[#This Row],[Property:src]], meta_TypedModelElements[ID], 0 ) ) )</f>
        <v/>
      </c>
      <c r="T213" s="22"/>
      <c r="U213" s="8" t="e">
        <f>INDEX(meta_Classifiers[Class - Generalization:src], MATCH(meta_Columns[[#This Row],[Generalization 5]],meta_Classifiers[ID],0))</f>
        <v>#N/A</v>
      </c>
      <c r="V213" s="8" t="e">
        <f>INDEX(meta_Classifiers[Class - Generalization:src], MATCH(meta_Columns[[#This Row],[Generalization 4]],meta_Classifiers[ID],0))</f>
        <v>#N/A</v>
      </c>
      <c r="W213" s="8" t="e">
        <f>INDEX(meta_Classifiers[Class - Generalization:src], MATCH(meta_Columns[[#This Row],[Generalization 3]],meta_Classifiers[ID],0))</f>
        <v>#N/A</v>
      </c>
      <c r="X213" s="8" t="str">
        <f>INDEX(meta_Classifiers[Class - Generalization:src], MATCH(meta_Columns[[#This Row],[Generalization 2]],meta_Classifiers[ID],0))</f>
        <v/>
      </c>
      <c r="Y213" s="8" t="str">
        <f>INDEX(meta_Classifiers[Class - Generalization:src], MATCH(meta_Columns[[#This Row],[Generalization 1]],meta_Classifiers[ID],0))</f>
        <v>_Object</v>
      </c>
      <c r="Z213" s="8" t="str">
        <f>INDEX(meta_Classifiers[Class - Generalization:src], MATCH(meta_Columns[[#This Row],[Owning Table Instances Class]],meta_Classifiers[ID],0))</f>
        <v>_NamedElement</v>
      </c>
      <c r="AA2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3" s="8" t="b">
        <f>_xlfn.IFNA(
INDEX(meta_Classifiers[Class - Generalization:src],MATCH(
INDEX(meta_Classifiers[Class - Generalization:src],MATCH(meta_Columns[[#This Row],[Property Owning Class]],meta_Classifiers[ID],0)),meta_Classifiers[ID],0))
=meta_Columns[[#This Row],[Owning Table Instances Class]],FALSE)</f>
        <v>0</v>
      </c>
      <c r="AG213" s="8" t="b">
        <f>_xlfn.IFNA(INDEX(meta_Classifiers[Class - Generalization:src],MATCH(meta_Columns[[#This Row],[Property Owning Class]],meta_Classifiers[ID],0))=meta_Columns[[#This Row],[Owning Table Instances Class]],FALSE)</f>
        <v>0</v>
      </c>
      <c r="AH2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3" s="8" t="e">
        <f>INDEX(meta_Classifiers[Name],MATCH(INDEX(meta_TypedModelElements[Property - Owning Class:src],MATCH(meta_Columns[[#This Row],[Property]],meta_TypedModelElements[ID],0)),meta_Classifiers[ID],0))</f>
        <v>#N/A</v>
      </c>
      <c r="AJ213" s="8" t="e">
        <f>INDEX(meta_TypedModelElements[Property - Owning Class:src],MATCH(meta_Columns[[#This Row],[Property]],meta_TypedModelElements[ID],0))</f>
        <v>#N/A</v>
      </c>
      <c r="AK213" s="8" t="e">
        <f>INDEX(meta_TypedModelElements[Kind:src],MATCH(meta_Columns[[#This Row],[Property]],meta_TypedModelElements[ID],0))</f>
        <v>#N/A</v>
      </c>
      <c r="AL213" s="8" t="e">
        <f>INDEX(meta_TypedModelElements[Name or Type],MATCH(meta_Columns[[#This Row],[Property]],meta_TypedModelElements[ID],0))</f>
        <v>#N/A</v>
      </c>
      <c r="AM213" s="8" t="e">
        <f>INDEX(meta_TypedModelElements[Property - Changeable],MATCH(meta_Columns[[#This Row],[Property]],meta_TypedModelElements[ID],0))</f>
        <v>#N/A</v>
      </c>
      <c r="AN213" s="43">
        <v>23</v>
      </c>
      <c r="AO213" s="22">
        <v>6</v>
      </c>
      <c r="AP2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3" s="8" t="str">
        <f xml:space="preserve"> IF(meta_Columns[[#This Row],[Property Owning Class is Specialization of Instance Class]],meta_Columns[[#This Row],[Property Owning Class Name]]&amp;" - ","")</f>
        <v/>
      </c>
      <c r="AR2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3" s="8" t="str">
        <f>IFERROR(LEFT(meta_Columns[[#This Row],[Excel Column - Label Actual without Semantic Case]],FIND("-",
meta_Columns[[#This Row],[Excel Column - Label Actual without Semantic Case]])-2),"")</f>
        <v/>
      </c>
      <c r="AU2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Feature:src</v>
      </c>
      <c r="AX213" s="22"/>
      <c r="AY213" s="8" t="str">
        <f>meta_Columns[[#This Row],[Owning Table]]&amp;"."&amp;meta_Columns[[#This Row],[Excel Column - Label]]</f>
        <v>meta::Rules.Feature:src</v>
      </c>
      <c r="AZ213" s="22" t="s">
        <v>421</v>
      </c>
      <c r="BA213" s="8" t="str">
        <f>IF(TRIM(meta_Columns[[#This Row],[Excel Column - Label Overwrite]])&lt;&gt;"",meta_Columns[[#This Row],[Excel Column - Label Overwrite]],meta_Columns[[#This Row],[Excel Column - Label from Property or Referenced Table]])</f>
        <v>Feature:src</v>
      </c>
      <c r="BB213" s="43"/>
      <c r="BC213" s="44" t="str">
        <f>IF(meta_Columns[[#This Row],[Excel Column - Explicit Excel Formula]]="","",meta_Columns[[#This Row],[Excel Column - Explicit Excel Formula]])</f>
        <v/>
      </c>
      <c r="BD213" s="5"/>
      <c r="BE213" s="5"/>
    </row>
    <row r="214" spans="1:57">
      <c r="A214" s="10" t="s">
        <v>1178</v>
      </c>
      <c r="B214" s="5" t="s">
        <v>546</v>
      </c>
      <c r="C214" s="22" t="str">
        <f xml:space="preserve"> IF( TRIM( meta_Columns[[#This Row],[Kind:src]] ) = "", "",
        INDEX( meta_Classifiers[Display Qualified], MATCH( meta_Columns[[#This Row],[Kind:src]], meta_Classifiers[ID], 0 ) ) )</f>
        <v>ExcelColumn</v>
      </c>
      <c r="D214" s="44" t="str">
        <f>IF(meta_Columns[[#This Row],[Owning Table:src]]="","",INDEX(meta_Classifiers[Package],MATCH(meta_Columns[[#This Row],[Owning Table Instances Class]],meta_Classifiers[ID],0)))</f>
        <v>meta</v>
      </c>
      <c r="E214" s="43"/>
      <c r="F214" s="8" t="str">
        <f>INDEX(meta_Tables[Excel Table - Excel Name],MATCH(meta_Columns[[#This Row],[Owning Table:src]],meta_Tables[ID],0))</f>
        <v>meta_Rules</v>
      </c>
      <c r="G214" s="44" t="str">
        <f>INDEX(meta_Tables[Instances Class:src],MATCH(meta_Columns[[#This Row],[Owning Table:src]],meta_Tables[ID],0))</f>
        <v>_Rule</v>
      </c>
      <c r="H214" s="11" t="s">
        <v>1014</v>
      </c>
      <c r="I214" s="43" t="str">
        <f xml:space="preserve"> IF( TRIM( meta_Columns[[#This Row],[Owning Table:src]] ) = "", "",
        INDEX( meta_Tables[Display Qualified], MATCH( meta_Columns[[#This Row],[Owning Table:src]], meta_Tables[ID], 0 ) ) )</f>
        <v>meta::Rules</v>
      </c>
      <c r="K214" s="22" t="str">
        <f>IF(TRIM(meta_Columns[[#This Row],[Referenced Table:src]])="","",
    INDEX(meta_Tables[Display Qualified],MATCH(meta_Columns[[#This Row],[Referenced Table:src]],meta_Tables[ID],0)))</f>
        <v/>
      </c>
      <c r="L214" s="8"/>
      <c r="M214" s="22"/>
      <c r="N214" s="8" t="str">
        <f>IF(meta_Columns[[#This Row],[Excel Column - Excel Formula]]="","x","")</f>
        <v/>
      </c>
      <c r="O214" s="22"/>
      <c r="P214" s="8" t="str">
        <f>IF(meta_Columns[[#This Row],[Referenced Table:src]]="","",INDEX(meta_Tables[Instances Class],MATCH(meta_Columns[[#This Row],[Referenced Table:src]],meta_Tables[ID],0)))</f>
        <v/>
      </c>
      <c r="Q2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4" s="8"/>
      <c r="S214" s="22" t="str">
        <f xml:space="preserve"> IF( TRIM( meta_Columns[[#This Row],[Property:src]] ) = "", "",
        INDEX( meta_TypedModelElements[Display Qualified], MATCH( meta_Columns[[#This Row],[Property:src]], meta_TypedModelElements[ID], 0 ) ) )</f>
        <v/>
      </c>
      <c r="T214" s="22"/>
      <c r="U214" s="8" t="e">
        <f>INDEX(meta_Classifiers[Class - Generalization:src], MATCH(meta_Columns[[#This Row],[Generalization 5]],meta_Classifiers[ID],0))</f>
        <v>#N/A</v>
      </c>
      <c r="V214" s="8" t="e">
        <f>INDEX(meta_Classifiers[Class - Generalization:src], MATCH(meta_Columns[[#This Row],[Generalization 4]],meta_Classifiers[ID],0))</f>
        <v>#N/A</v>
      </c>
      <c r="W214" s="8" t="e">
        <f>INDEX(meta_Classifiers[Class - Generalization:src], MATCH(meta_Columns[[#This Row],[Generalization 3]],meta_Classifiers[ID],0))</f>
        <v>#N/A</v>
      </c>
      <c r="X214" s="8" t="str">
        <f>INDEX(meta_Classifiers[Class - Generalization:src], MATCH(meta_Columns[[#This Row],[Generalization 2]],meta_Classifiers[ID],0))</f>
        <v/>
      </c>
      <c r="Y214" s="8" t="str">
        <f>INDEX(meta_Classifiers[Class - Generalization:src], MATCH(meta_Columns[[#This Row],[Generalization 1]],meta_Classifiers[ID],0))</f>
        <v>_Object</v>
      </c>
      <c r="Z214" s="8" t="str">
        <f>INDEX(meta_Classifiers[Class - Generalization:src], MATCH(meta_Columns[[#This Row],[Owning Table Instances Class]],meta_Classifiers[ID],0))</f>
        <v>_NamedElement</v>
      </c>
      <c r="AA2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4" s="8" t="b">
        <f>_xlfn.IFNA(
INDEX(meta_Classifiers[Class - Generalization:src],MATCH(
INDEX(meta_Classifiers[Class - Generalization:src],MATCH(meta_Columns[[#This Row],[Property Owning Class]],meta_Classifiers[ID],0)),meta_Classifiers[ID],0))
=meta_Columns[[#This Row],[Owning Table Instances Class]],FALSE)</f>
        <v>0</v>
      </c>
      <c r="AG214" s="8" t="b">
        <f>_xlfn.IFNA(INDEX(meta_Classifiers[Class - Generalization:src],MATCH(meta_Columns[[#This Row],[Property Owning Class]],meta_Classifiers[ID],0))=meta_Columns[[#This Row],[Owning Table Instances Class]],FALSE)</f>
        <v>0</v>
      </c>
      <c r="AH2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4" s="8" t="e">
        <f>INDEX(meta_Classifiers[Name],MATCH(INDEX(meta_TypedModelElements[Property - Owning Class:src],MATCH(meta_Columns[[#This Row],[Property]],meta_TypedModelElements[ID],0)),meta_Classifiers[ID],0))</f>
        <v>#N/A</v>
      </c>
      <c r="AJ214" s="8" t="e">
        <f>INDEX(meta_TypedModelElements[Property - Owning Class:src],MATCH(meta_Columns[[#This Row],[Property]],meta_TypedModelElements[ID],0))</f>
        <v>#N/A</v>
      </c>
      <c r="AK214" s="8" t="e">
        <f>INDEX(meta_TypedModelElements[Kind:src],MATCH(meta_Columns[[#This Row],[Property]],meta_TypedModelElements[ID],0))</f>
        <v>#N/A</v>
      </c>
      <c r="AL214" s="8" t="e">
        <f>INDEX(meta_TypedModelElements[Name or Type],MATCH(meta_Columns[[#This Row],[Property]],meta_TypedModelElements[ID],0))</f>
        <v>#N/A</v>
      </c>
      <c r="AM214" s="8" t="e">
        <f>INDEX(meta_TypedModelElements[Property - Changeable],MATCH(meta_Columns[[#This Row],[Property]],meta_TypedModelElements[ID],0))</f>
        <v>#N/A</v>
      </c>
      <c r="AN214" s="43">
        <v>24</v>
      </c>
      <c r="AO214" s="22"/>
      <c r="AP2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4" s="8" t="str">
        <f xml:space="preserve"> IF(meta_Columns[[#This Row],[Property Owning Class is Specialization of Instance Class]],meta_Columns[[#This Row],[Property Owning Class Name]]&amp;" - ","")</f>
        <v/>
      </c>
      <c r="AR2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4" s="8" t="str">
        <f>IFERROR(LEFT(meta_Columns[[#This Row],[Excel Column - Label Actual without Semantic Case]],FIND("-",
meta_Columns[[#This Row],[Excel Column - Label Actual without Semantic Case]])-2),"")</f>
        <v/>
      </c>
      <c r="AU2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v>
      </c>
      <c r="AX214" s="22"/>
      <c r="AY214" s="8" t="str">
        <f>meta_Columns[[#This Row],[Owning Table]]&amp;"."&amp;meta_Columns[[#This Row],[Excel Column - Label]]</f>
        <v>meta::Rules.Feature</v>
      </c>
      <c r="AZ214" s="22" t="s">
        <v>12</v>
      </c>
      <c r="BA214" s="8" t="str">
        <f>IF(TRIM(meta_Columns[[#This Row],[Excel Column - Label Overwrite]])&lt;&gt;"",meta_Columns[[#This Row],[Excel Column - Label Overwrite]],meta_Columns[[#This Row],[Excel Column - Label from Property or Referenced Table]])</f>
        <v>Feature</v>
      </c>
      <c r="BB214" s="43" t="s">
        <v>884</v>
      </c>
      <c r="BC214" s="44" t="str">
        <f>IF(meta_Columns[[#This Row],[Excel Column - Explicit Excel Formula]]="","",meta_Columns[[#This Row],[Excel Column - Explicit Excel Formula]])</f>
        <v>Formula:= IFNA( IF( TRIM( [@[Feature:src]] ) = "",
        "",
        INDEX( meta_TypedModelElements[Display without Class], MATCH( [@[Feature:src]], meta_TypedModelElements[ID], 0 ) )
 ), "")</v>
      </c>
      <c r="BD214" s="5"/>
      <c r="BE214" s="5"/>
    </row>
    <row r="215" spans="1:57">
      <c r="A215" s="10" t="s">
        <v>1179</v>
      </c>
      <c r="B215" s="5" t="s">
        <v>546</v>
      </c>
      <c r="C215" s="22" t="str">
        <f xml:space="preserve"> IF( TRIM( meta_Columns[[#This Row],[Kind:src]] ) = "", "",
        INDEX( meta_Classifiers[Display Qualified], MATCH( meta_Columns[[#This Row],[Kind:src]], meta_Classifiers[ID], 0 ) ) )</f>
        <v>ExcelColumn</v>
      </c>
      <c r="D215" s="44" t="str">
        <f>IF(meta_Columns[[#This Row],[Owning Table:src]]="","",INDEX(meta_Classifiers[Package],MATCH(meta_Columns[[#This Row],[Owning Table Instances Class]],meta_Classifiers[ID],0)))</f>
        <v>meta</v>
      </c>
      <c r="E215" s="43"/>
      <c r="F215" s="8" t="str">
        <f>INDEX(meta_Tables[Excel Table - Excel Name],MATCH(meta_Columns[[#This Row],[Owning Table:src]],meta_Tables[ID],0))</f>
        <v>meta_Rules</v>
      </c>
      <c r="G215" s="44" t="str">
        <f>INDEX(meta_Tables[Instances Class:src],MATCH(meta_Columns[[#This Row],[Owning Table:src]],meta_Tables[ID],0))</f>
        <v>_Rule</v>
      </c>
      <c r="H215" s="11" t="s">
        <v>1014</v>
      </c>
      <c r="I215" s="43" t="str">
        <f xml:space="preserve"> IF( TRIM( meta_Columns[[#This Row],[Owning Table:src]] ) = "", "",
        INDEX( meta_Tables[Display Qualified], MATCH( meta_Columns[[#This Row],[Owning Table:src]], meta_Tables[ID], 0 ) ) )</f>
        <v>meta::Rules</v>
      </c>
      <c r="K215" s="22" t="str">
        <f>IF(TRIM(meta_Columns[[#This Row],[Referenced Table:src]])="","",
    INDEX(meta_Tables[Display Qualified],MATCH(meta_Columns[[#This Row],[Referenced Table:src]],meta_Tables[ID],0)))</f>
        <v/>
      </c>
      <c r="L215" s="8"/>
      <c r="M215" s="22"/>
      <c r="N215" s="8" t="str">
        <f>IF(meta_Columns[[#This Row],[Excel Column - Excel Formula]]="","x","")</f>
        <v>x</v>
      </c>
      <c r="O215" s="22"/>
      <c r="P215" s="8" t="str">
        <f>IF(meta_Columns[[#This Row],[Referenced Table:src]]="","",INDEX(meta_Tables[Instances Class],MATCH(meta_Columns[[#This Row],[Referenced Table:src]],meta_Tables[ID],0)))</f>
        <v/>
      </c>
      <c r="Q2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meta::Rule.vBA_FunctionStep1</v>
      </c>
      <c r="R215" s="8"/>
      <c r="S215" s="22" t="str">
        <f xml:space="preserve"> IF( TRIM( meta_Columns[[#This Row],[Property:src]] ) = "", "",
        INDEX( meta_TypedModelElements[Display Qualified], MATCH( meta_Columns[[#This Row],[Property:src]], meta_TypedModelElements[ID], 0 ) ) )</f>
        <v/>
      </c>
      <c r="T215" s="22"/>
      <c r="U215" s="8" t="e">
        <f>INDEX(meta_Classifiers[Class - Generalization:src], MATCH(meta_Columns[[#This Row],[Generalization 5]],meta_Classifiers[ID],0))</f>
        <v>#N/A</v>
      </c>
      <c r="V215" s="8" t="e">
        <f>INDEX(meta_Classifiers[Class - Generalization:src], MATCH(meta_Columns[[#This Row],[Generalization 4]],meta_Classifiers[ID],0))</f>
        <v>#N/A</v>
      </c>
      <c r="W215" s="8" t="e">
        <f>INDEX(meta_Classifiers[Class - Generalization:src], MATCH(meta_Columns[[#This Row],[Generalization 3]],meta_Classifiers[ID],0))</f>
        <v>#N/A</v>
      </c>
      <c r="X215" s="8" t="str">
        <f>INDEX(meta_Classifiers[Class - Generalization:src], MATCH(meta_Columns[[#This Row],[Generalization 2]],meta_Classifiers[ID],0))</f>
        <v/>
      </c>
      <c r="Y215" s="8" t="str">
        <f>INDEX(meta_Classifiers[Class - Generalization:src], MATCH(meta_Columns[[#This Row],[Generalization 1]],meta_Classifiers[ID],0))</f>
        <v>_Object</v>
      </c>
      <c r="Z215" s="8" t="str">
        <f>INDEX(meta_Classifiers[Class - Generalization:src], MATCH(meta_Columns[[#This Row],[Owning Table Instances Class]],meta_Classifiers[ID],0))</f>
        <v>_NamedElement</v>
      </c>
      <c r="AA2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5" s="8" t="b">
        <f>_xlfn.IFNA(
INDEX(meta_Classifiers[Class - Generalization:src],MATCH(
INDEX(meta_Classifiers[Class - Generalization:src],MATCH(meta_Columns[[#This Row],[Property Owning Class]],meta_Classifiers[ID],0)),meta_Classifiers[ID],0))
=meta_Columns[[#This Row],[Owning Table Instances Class]],FALSE)</f>
        <v>0</v>
      </c>
      <c r="AG215" s="8" t="b">
        <f>_xlfn.IFNA(INDEX(meta_Classifiers[Class - Generalization:src],MATCH(meta_Columns[[#This Row],[Property Owning Class]],meta_Classifiers[ID],0))=meta_Columns[[#This Row],[Owning Table Instances Class]],FALSE)</f>
        <v>0</v>
      </c>
      <c r="AH2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5" s="8" t="e">
        <f>INDEX(meta_Classifiers[Name],MATCH(INDEX(meta_TypedModelElements[Property - Owning Class:src],MATCH(meta_Columns[[#This Row],[Property]],meta_TypedModelElements[ID],0)),meta_Classifiers[ID],0))</f>
        <v>#N/A</v>
      </c>
      <c r="AJ215" s="8" t="e">
        <f>INDEX(meta_TypedModelElements[Property - Owning Class:src],MATCH(meta_Columns[[#This Row],[Property]],meta_TypedModelElements[ID],0))</f>
        <v>#N/A</v>
      </c>
      <c r="AK215" s="8" t="e">
        <f>INDEX(meta_TypedModelElements[Kind:src],MATCH(meta_Columns[[#This Row],[Property]],meta_TypedModelElements[ID],0))</f>
        <v>#N/A</v>
      </c>
      <c r="AL215" s="8" t="e">
        <f>INDEX(meta_TypedModelElements[Name or Type],MATCH(meta_Columns[[#This Row],[Property]],meta_TypedModelElements[ID],0))</f>
        <v>#N/A</v>
      </c>
      <c r="AM215" s="8" t="e">
        <f>INDEX(meta_TypedModelElements[Property - Changeable],MATCH(meta_Columns[[#This Row],[Property]],meta_TypedModelElements[ID],0))</f>
        <v>#N/A</v>
      </c>
      <c r="AN215" s="43">
        <v>25</v>
      </c>
      <c r="AO215" s="22">
        <v>7</v>
      </c>
      <c r="AP2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5" s="8" t="str">
        <f xml:space="preserve"> IF(meta_Columns[[#This Row],[Property Owning Class is Specialization of Instance Class]],meta_Columns[[#This Row],[Property Owning Class Name]]&amp;" - ","")</f>
        <v/>
      </c>
      <c r="AR2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1</v>
      </c>
      <c r="AT215" s="8" t="str">
        <f>IFERROR(LEFT(meta_Columns[[#This Row],[Excel Column - Label Actual without Semantic Case]],FIND("-",
meta_Columns[[#This Row],[Excel Column - Label Actual without Semantic Case]])-2),"")</f>
        <v/>
      </c>
      <c r="AU2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1</v>
      </c>
      <c r="AV2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1</v>
      </c>
      <c r="AX215" s="22"/>
      <c r="AY215" s="8" t="str">
        <f>meta_Columns[[#This Row],[Owning Table]]&amp;"."&amp;meta_Columns[[#This Row],[Excel Column - Label]]</f>
        <v>meta::Rules.VBA Function Step 1</v>
      </c>
      <c r="AZ215" s="22" t="s">
        <v>813</v>
      </c>
      <c r="BA215" s="8" t="str">
        <f>IF(TRIM(meta_Columns[[#This Row],[Excel Column - Label Overwrite]])&lt;&gt;"",meta_Columns[[#This Row],[Excel Column - Label Overwrite]],meta_Columns[[#This Row],[Excel Column - Label from Property or Referenced Table]])</f>
        <v>VBA Function Step 1</v>
      </c>
      <c r="BB215" s="43"/>
      <c r="BC215" s="44" t="str">
        <f>IF(meta_Columns[[#This Row],[Excel Column - Explicit Excel Formula]]="","",meta_Columns[[#This Row],[Excel Column - Explicit Excel Formula]])</f>
        <v/>
      </c>
      <c r="BD215" s="5"/>
      <c r="BE215" s="5"/>
    </row>
    <row r="216" spans="1:57">
      <c r="A216" s="10" t="s">
        <v>1180</v>
      </c>
      <c r="B216" s="5" t="s">
        <v>546</v>
      </c>
      <c r="C216" s="22" t="str">
        <f xml:space="preserve"> IF( TRIM( meta_Columns[[#This Row],[Kind:src]] ) = "", "",
        INDEX( meta_Classifiers[Display Qualified], MATCH( meta_Columns[[#This Row],[Kind:src]], meta_Classifiers[ID], 0 ) ) )</f>
        <v>ExcelColumn</v>
      </c>
      <c r="D216" s="44" t="str">
        <f>IF(meta_Columns[[#This Row],[Owning Table:src]]="","",INDEX(meta_Classifiers[Package],MATCH(meta_Columns[[#This Row],[Owning Table Instances Class]],meta_Classifiers[ID],0)))</f>
        <v>meta</v>
      </c>
      <c r="E216" s="43"/>
      <c r="F216" s="8" t="str">
        <f>INDEX(meta_Tables[Excel Table - Excel Name],MATCH(meta_Columns[[#This Row],[Owning Table:src]],meta_Tables[ID],0))</f>
        <v>meta_Rules</v>
      </c>
      <c r="G216" s="44" t="str">
        <f>INDEX(meta_Tables[Instances Class:src],MATCH(meta_Columns[[#This Row],[Owning Table:src]],meta_Tables[ID],0))</f>
        <v>_Rule</v>
      </c>
      <c r="H216" s="11" t="s">
        <v>1014</v>
      </c>
      <c r="I216" s="43" t="str">
        <f xml:space="preserve"> IF( TRIM( meta_Columns[[#This Row],[Owning Table:src]] ) = "", "",
        INDEX( meta_Tables[Display Qualified], MATCH( meta_Columns[[#This Row],[Owning Table:src]], meta_Tables[ID], 0 ) ) )</f>
        <v>meta::Rules</v>
      </c>
      <c r="K216" s="22" t="str">
        <f>IF(TRIM(meta_Columns[[#This Row],[Referenced Table:src]])="","",
    INDEX(meta_Tables[Display Qualified],MATCH(meta_Columns[[#This Row],[Referenced Table:src]],meta_Tables[ID],0)))</f>
        <v/>
      </c>
      <c r="L216" s="8"/>
      <c r="M216" s="22"/>
      <c r="N216" s="8" t="str">
        <f>IF(meta_Columns[[#This Row],[Excel Column - Excel Formula]]="","x","")</f>
        <v>x</v>
      </c>
      <c r="O216" s="22"/>
      <c r="P216" s="8" t="str">
        <f>IF(meta_Columns[[#This Row],[Referenced Table:src]]="","",INDEX(meta_Tables[Instances Class],MATCH(meta_Columns[[#This Row],[Referenced Table:src]],meta_Tables[ID],0)))</f>
        <v/>
      </c>
      <c r="Q2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meta::Rule.vBA_FunctionStep2</v>
      </c>
      <c r="R216" s="8"/>
      <c r="S216" s="22" t="str">
        <f xml:space="preserve"> IF( TRIM( meta_Columns[[#This Row],[Property:src]] ) = "", "",
        INDEX( meta_TypedModelElements[Display Qualified], MATCH( meta_Columns[[#This Row],[Property:src]], meta_TypedModelElements[ID], 0 ) ) )</f>
        <v/>
      </c>
      <c r="T216" s="22"/>
      <c r="U216" s="8" t="e">
        <f>INDEX(meta_Classifiers[Class - Generalization:src], MATCH(meta_Columns[[#This Row],[Generalization 5]],meta_Classifiers[ID],0))</f>
        <v>#N/A</v>
      </c>
      <c r="V216" s="8" t="e">
        <f>INDEX(meta_Classifiers[Class - Generalization:src], MATCH(meta_Columns[[#This Row],[Generalization 4]],meta_Classifiers[ID],0))</f>
        <v>#N/A</v>
      </c>
      <c r="W216" s="8" t="e">
        <f>INDEX(meta_Classifiers[Class - Generalization:src], MATCH(meta_Columns[[#This Row],[Generalization 3]],meta_Classifiers[ID],0))</f>
        <v>#N/A</v>
      </c>
      <c r="X216" s="8" t="str">
        <f>INDEX(meta_Classifiers[Class - Generalization:src], MATCH(meta_Columns[[#This Row],[Generalization 2]],meta_Classifiers[ID],0))</f>
        <v/>
      </c>
      <c r="Y216" s="8" t="str">
        <f>INDEX(meta_Classifiers[Class - Generalization:src], MATCH(meta_Columns[[#This Row],[Generalization 1]],meta_Classifiers[ID],0))</f>
        <v>_Object</v>
      </c>
      <c r="Z216" s="8" t="str">
        <f>INDEX(meta_Classifiers[Class - Generalization:src], MATCH(meta_Columns[[#This Row],[Owning Table Instances Class]],meta_Classifiers[ID],0))</f>
        <v>_NamedElement</v>
      </c>
      <c r="AA2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6" s="8" t="b">
        <f>_xlfn.IFNA(
INDEX(meta_Classifiers[Class - Generalization:src],MATCH(
INDEX(meta_Classifiers[Class - Generalization:src],MATCH(meta_Columns[[#This Row],[Property Owning Class]],meta_Classifiers[ID],0)),meta_Classifiers[ID],0))
=meta_Columns[[#This Row],[Owning Table Instances Class]],FALSE)</f>
        <v>0</v>
      </c>
      <c r="AG216" s="8" t="b">
        <f>_xlfn.IFNA(INDEX(meta_Classifiers[Class - Generalization:src],MATCH(meta_Columns[[#This Row],[Property Owning Class]],meta_Classifiers[ID],0))=meta_Columns[[#This Row],[Owning Table Instances Class]],FALSE)</f>
        <v>0</v>
      </c>
      <c r="AH2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6" s="8" t="e">
        <f>INDEX(meta_Classifiers[Name],MATCH(INDEX(meta_TypedModelElements[Property - Owning Class:src],MATCH(meta_Columns[[#This Row],[Property]],meta_TypedModelElements[ID],0)),meta_Classifiers[ID],0))</f>
        <v>#N/A</v>
      </c>
      <c r="AJ216" s="8" t="e">
        <f>INDEX(meta_TypedModelElements[Property - Owning Class:src],MATCH(meta_Columns[[#This Row],[Property]],meta_TypedModelElements[ID],0))</f>
        <v>#N/A</v>
      </c>
      <c r="AK216" s="8" t="e">
        <f>INDEX(meta_TypedModelElements[Kind:src],MATCH(meta_Columns[[#This Row],[Property]],meta_TypedModelElements[ID],0))</f>
        <v>#N/A</v>
      </c>
      <c r="AL216" s="8" t="e">
        <f>INDEX(meta_TypedModelElements[Name or Type],MATCH(meta_Columns[[#This Row],[Property]],meta_TypedModelElements[ID],0))</f>
        <v>#N/A</v>
      </c>
      <c r="AM216" s="8" t="e">
        <f>INDEX(meta_TypedModelElements[Property - Changeable],MATCH(meta_Columns[[#This Row],[Property]],meta_TypedModelElements[ID],0))</f>
        <v>#N/A</v>
      </c>
      <c r="AN216" s="43">
        <v>26</v>
      </c>
      <c r="AO216" s="22">
        <v>8</v>
      </c>
      <c r="AP2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6" s="8" t="str">
        <f xml:space="preserve"> IF(meta_Columns[[#This Row],[Property Owning Class is Specialization of Instance Class]],meta_Columns[[#This Row],[Property Owning Class Name]]&amp;" - ","")</f>
        <v/>
      </c>
      <c r="AR2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2</v>
      </c>
      <c r="AT216" s="8" t="str">
        <f>IFERROR(LEFT(meta_Columns[[#This Row],[Excel Column - Label Actual without Semantic Case]],FIND("-",
meta_Columns[[#This Row],[Excel Column - Label Actual without Semantic Case]])-2),"")</f>
        <v/>
      </c>
      <c r="AU2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2</v>
      </c>
      <c r="AV2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2</v>
      </c>
      <c r="AX216" s="22"/>
      <c r="AY216" s="8" t="str">
        <f>meta_Columns[[#This Row],[Owning Table]]&amp;"."&amp;meta_Columns[[#This Row],[Excel Column - Label]]</f>
        <v>meta::Rules.VBA Function Step 2</v>
      </c>
      <c r="AZ216" s="22" t="s">
        <v>814</v>
      </c>
      <c r="BA216" s="8" t="str">
        <f>IF(TRIM(meta_Columns[[#This Row],[Excel Column - Label Overwrite]])&lt;&gt;"",meta_Columns[[#This Row],[Excel Column - Label Overwrite]],meta_Columns[[#This Row],[Excel Column - Label from Property or Referenced Table]])</f>
        <v>VBA Function Step 2</v>
      </c>
      <c r="BB216" s="43"/>
      <c r="BC216" s="44" t="str">
        <f>IF(meta_Columns[[#This Row],[Excel Column - Explicit Excel Formula]]="","",meta_Columns[[#This Row],[Excel Column - Explicit Excel Formula]])</f>
        <v/>
      </c>
      <c r="BD216" s="5"/>
      <c r="BE216" s="5"/>
    </row>
    <row r="217" spans="1:57">
      <c r="A217" s="10" t="s">
        <v>1181</v>
      </c>
      <c r="B217" s="5" t="s">
        <v>546</v>
      </c>
      <c r="C217" s="22" t="str">
        <f xml:space="preserve"> IF( TRIM( meta_Columns[[#This Row],[Kind:src]] ) = "", "",
        INDEX( meta_Classifiers[Display Qualified], MATCH( meta_Columns[[#This Row],[Kind:src]], meta_Classifiers[ID], 0 ) ) )</f>
        <v>ExcelColumn</v>
      </c>
      <c r="D217" s="44" t="str">
        <f>IF(meta_Columns[[#This Row],[Owning Table:src]]="","",INDEX(meta_Classifiers[Package],MATCH(meta_Columns[[#This Row],[Owning Table Instances Class]],meta_Classifiers[ID],0)))</f>
        <v>meta</v>
      </c>
      <c r="E217" s="43"/>
      <c r="F217" s="8" t="str">
        <f>INDEX(meta_Tables[Excel Table - Excel Name],MATCH(meta_Columns[[#This Row],[Owning Table:src]],meta_Tables[ID],0))</f>
        <v>meta_Rules</v>
      </c>
      <c r="G217" s="44" t="str">
        <f>INDEX(meta_Tables[Instances Class:src],MATCH(meta_Columns[[#This Row],[Owning Table:src]],meta_Tables[ID],0))</f>
        <v>_Rule</v>
      </c>
      <c r="H217" s="11" t="s">
        <v>1014</v>
      </c>
      <c r="I217" s="43" t="str">
        <f xml:space="preserve"> IF( TRIM( meta_Columns[[#This Row],[Owning Table:src]] ) = "", "",
        INDEX( meta_Tables[Display Qualified], MATCH( meta_Columns[[#This Row],[Owning Table:src]], meta_Tables[ID], 0 ) ) )</f>
        <v>meta::Rules</v>
      </c>
      <c r="K217" s="22" t="str">
        <f>IF(TRIM(meta_Columns[[#This Row],[Referenced Table:src]])="","",
    INDEX(meta_Tables[Display Qualified],MATCH(meta_Columns[[#This Row],[Referenced Table:src]],meta_Tables[ID],0)))</f>
        <v/>
      </c>
      <c r="L217" s="8"/>
      <c r="M217" s="22"/>
      <c r="N217" s="8" t="str">
        <f>IF(meta_Columns[[#This Row],[Excel Column - Excel Formula]]="","x","")</f>
        <v>x</v>
      </c>
      <c r="O217" s="22"/>
      <c r="P217" s="8" t="str">
        <f>IF(meta_Columns[[#This Row],[Referenced Table:src]]="","",INDEX(meta_Tables[Instances Class],MATCH(meta_Columns[[#This Row],[Referenced Table:src]],meta_Tables[ID],0)))</f>
        <v/>
      </c>
      <c r="Q2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meta::Rule.vBA_FunctionStep3</v>
      </c>
      <c r="R217" s="8"/>
      <c r="S217" s="22" t="str">
        <f xml:space="preserve"> IF( TRIM( meta_Columns[[#This Row],[Property:src]] ) = "", "",
        INDEX( meta_TypedModelElements[Display Qualified], MATCH( meta_Columns[[#This Row],[Property:src]], meta_TypedModelElements[ID], 0 ) ) )</f>
        <v/>
      </c>
      <c r="T217" s="22"/>
      <c r="U217" s="8" t="e">
        <f>INDEX(meta_Classifiers[Class - Generalization:src], MATCH(meta_Columns[[#This Row],[Generalization 5]],meta_Classifiers[ID],0))</f>
        <v>#N/A</v>
      </c>
      <c r="V217" s="8" t="e">
        <f>INDEX(meta_Classifiers[Class - Generalization:src], MATCH(meta_Columns[[#This Row],[Generalization 4]],meta_Classifiers[ID],0))</f>
        <v>#N/A</v>
      </c>
      <c r="W217" s="8" t="e">
        <f>INDEX(meta_Classifiers[Class - Generalization:src], MATCH(meta_Columns[[#This Row],[Generalization 3]],meta_Classifiers[ID],0))</f>
        <v>#N/A</v>
      </c>
      <c r="X217" s="8" t="str">
        <f>INDEX(meta_Classifiers[Class - Generalization:src], MATCH(meta_Columns[[#This Row],[Generalization 2]],meta_Classifiers[ID],0))</f>
        <v/>
      </c>
      <c r="Y217" s="8" t="str">
        <f>INDEX(meta_Classifiers[Class - Generalization:src], MATCH(meta_Columns[[#This Row],[Generalization 1]],meta_Classifiers[ID],0))</f>
        <v>_Object</v>
      </c>
      <c r="Z217" s="8" t="str">
        <f>INDEX(meta_Classifiers[Class - Generalization:src], MATCH(meta_Columns[[#This Row],[Owning Table Instances Class]],meta_Classifiers[ID],0))</f>
        <v>_NamedElement</v>
      </c>
      <c r="AA2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7" s="8" t="b">
        <f>_xlfn.IFNA(
INDEX(meta_Classifiers[Class - Generalization:src],MATCH(
INDEX(meta_Classifiers[Class - Generalization:src],MATCH(meta_Columns[[#This Row],[Property Owning Class]],meta_Classifiers[ID],0)),meta_Classifiers[ID],0))
=meta_Columns[[#This Row],[Owning Table Instances Class]],FALSE)</f>
        <v>0</v>
      </c>
      <c r="AG217" s="8" t="b">
        <f>_xlfn.IFNA(INDEX(meta_Classifiers[Class - Generalization:src],MATCH(meta_Columns[[#This Row],[Property Owning Class]],meta_Classifiers[ID],0))=meta_Columns[[#This Row],[Owning Table Instances Class]],FALSE)</f>
        <v>0</v>
      </c>
      <c r="AH2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7" s="8" t="e">
        <f>INDEX(meta_Classifiers[Name],MATCH(INDEX(meta_TypedModelElements[Property - Owning Class:src],MATCH(meta_Columns[[#This Row],[Property]],meta_TypedModelElements[ID],0)),meta_Classifiers[ID],0))</f>
        <v>#N/A</v>
      </c>
      <c r="AJ217" s="8" t="e">
        <f>INDEX(meta_TypedModelElements[Property - Owning Class:src],MATCH(meta_Columns[[#This Row],[Property]],meta_TypedModelElements[ID],0))</f>
        <v>#N/A</v>
      </c>
      <c r="AK217" s="8" t="e">
        <f>INDEX(meta_TypedModelElements[Kind:src],MATCH(meta_Columns[[#This Row],[Property]],meta_TypedModelElements[ID],0))</f>
        <v>#N/A</v>
      </c>
      <c r="AL217" s="8" t="e">
        <f>INDEX(meta_TypedModelElements[Name or Type],MATCH(meta_Columns[[#This Row],[Property]],meta_TypedModelElements[ID],0))</f>
        <v>#N/A</v>
      </c>
      <c r="AM217" s="8" t="e">
        <f>INDEX(meta_TypedModelElements[Property - Changeable],MATCH(meta_Columns[[#This Row],[Property]],meta_TypedModelElements[ID],0))</f>
        <v>#N/A</v>
      </c>
      <c r="AN217" s="43">
        <v>27</v>
      </c>
      <c r="AO217" s="22">
        <v>9</v>
      </c>
      <c r="AP2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7" s="8" t="str">
        <f xml:space="preserve"> IF(meta_Columns[[#This Row],[Property Owning Class is Specialization of Instance Class]],meta_Columns[[#This Row],[Property Owning Class Name]]&amp;" - ","")</f>
        <v/>
      </c>
      <c r="AR2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3</v>
      </c>
      <c r="AT217" s="8" t="str">
        <f>IFERROR(LEFT(meta_Columns[[#This Row],[Excel Column - Label Actual without Semantic Case]],FIND("-",
meta_Columns[[#This Row],[Excel Column - Label Actual without Semantic Case]])-2),"")</f>
        <v/>
      </c>
      <c r="AU2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3</v>
      </c>
      <c r="AV2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3</v>
      </c>
      <c r="AX217" s="22"/>
      <c r="AY217" s="8" t="str">
        <f>meta_Columns[[#This Row],[Owning Table]]&amp;"."&amp;meta_Columns[[#This Row],[Excel Column - Label]]</f>
        <v>meta::Rules.VBA Function Step 3</v>
      </c>
      <c r="AZ217" s="22" t="s">
        <v>815</v>
      </c>
      <c r="BA217" s="8" t="str">
        <f>IF(TRIM(meta_Columns[[#This Row],[Excel Column - Label Overwrite]])&lt;&gt;"",meta_Columns[[#This Row],[Excel Column - Label Overwrite]],meta_Columns[[#This Row],[Excel Column - Label from Property or Referenced Table]])</f>
        <v>VBA Function Step 3</v>
      </c>
      <c r="BB217" s="43"/>
      <c r="BC217" s="44" t="str">
        <f>IF(meta_Columns[[#This Row],[Excel Column - Explicit Excel Formula]]="","",meta_Columns[[#This Row],[Excel Column - Explicit Excel Formula]])</f>
        <v/>
      </c>
      <c r="BD217" s="5"/>
      <c r="BE217" s="5"/>
    </row>
    <row r="218" spans="1:57">
      <c r="A218" s="10" t="s">
        <v>1182</v>
      </c>
      <c r="B218" s="5" t="s">
        <v>546</v>
      </c>
      <c r="C218" s="22" t="str">
        <f xml:space="preserve"> IF( TRIM( meta_Columns[[#This Row],[Kind:src]] ) = "", "",
        INDEX( meta_Classifiers[Display Qualified], MATCH( meta_Columns[[#This Row],[Kind:src]], meta_Classifiers[ID], 0 ) ) )</f>
        <v>ExcelColumn</v>
      </c>
      <c r="D218" s="44" t="str">
        <f>IF(meta_Columns[[#This Row],[Owning Table:src]]="","",INDEX(meta_Classifiers[Package],MATCH(meta_Columns[[#This Row],[Owning Table Instances Class]],meta_Classifiers[ID],0)))</f>
        <v>meta</v>
      </c>
      <c r="E218" s="43"/>
      <c r="F218" s="8" t="str">
        <f>INDEX(meta_Tables[Excel Table - Excel Name],MATCH(meta_Columns[[#This Row],[Owning Table:src]],meta_Tables[ID],0))</f>
        <v>meta_Rules</v>
      </c>
      <c r="G218" s="44" t="str">
        <f>INDEX(meta_Tables[Instances Class:src],MATCH(meta_Columns[[#This Row],[Owning Table:src]],meta_Tables[ID],0))</f>
        <v>_Rule</v>
      </c>
      <c r="H218" s="11" t="s">
        <v>1014</v>
      </c>
      <c r="I218" s="43" t="str">
        <f xml:space="preserve"> IF( TRIM( meta_Columns[[#This Row],[Owning Table:src]] ) = "", "",
        INDEX( meta_Tables[Display Qualified], MATCH( meta_Columns[[#This Row],[Owning Table:src]], meta_Tables[ID], 0 ) ) )</f>
        <v>meta::Rules</v>
      </c>
      <c r="K218" s="22" t="str">
        <f>IF(TRIM(meta_Columns[[#This Row],[Referenced Table:src]])="","",
    INDEX(meta_Tables[Display Qualified],MATCH(meta_Columns[[#This Row],[Referenced Table:src]],meta_Tables[ID],0)))</f>
        <v/>
      </c>
      <c r="L218" s="8"/>
      <c r="M218" s="22"/>
      <c r="N218" s="8" t="str">
        <f>IF(meta_Columns[[#This Row],[Excel Column - Excel Formula]]="","x","")</f>
        <v>x</v>
      </c>
      <c r="O218" s="22"/>
      <c r="P218" s="8" t="str">
        <f>IF(meta_Columns[[#This Row],[Referenced Table:src]]="","",INDEX(meta_Tables[Instances Class],MATCH(meta_Columns[[#This Row],[Referenced Table:src]],meta_Tables[ID],0)))</f>
        <v/>
      </c>
      <c r="Q2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meta::Rule.doActionRuleDetails</v>
      </c>
      <c r="R218" s="8"/>
      <c r="S218" s="22" t="str">
        <f xml:space="preserve"> IF( TRIM( meta_Columns[[#This Row],[Property:src]] ) = "", "",
        INDEX( meta_TypedModelElements[Display Qualified], MATCH( meta_Columns[[#This Row],[Property:src]], meta_TypedModelElements[ID], 0 ) ) )</f>
        <v/>
      </c>
      <c r="T218" s="22"/>
      <c r="U218" s="8" t="e">
        <f>INDEX(meta_Classifiers[Class - Generalization:src], MATCH(meta_Columns[[#This Row],[Generalization 5]],meta_Classifiers[ID],0))</f>
        <v>#N/A</v>
      </c>
      <c r="V218" s="8" t="e">
        <f>INDEX(meta_Classifiers[Class - Generalization:src], MATCH(meta_Columns[[#This Row],[Generalization 4]],meta_Classifiers[ID],0))</f>
        <v>#N/A</v>
      </c>
      <c r="W218" s="8" t="e">
        <f>INDEX(meta_Classifiers[Class - Generalization:src], MATCH(meta_Columns[[#This Row],[Generalization 3]],meta_Classifiers[ID],0))</f>
        <v>#N/A</v>
      </c>
      <c r="X218" s="8" t="str">
        <f>INDEX(meta_Classifiers[Class - Generalization:src], MATCH(meta_Columns[[#This Row],[Generalization 2]],meta_Classifiers[ID],0))</f>
        <v/>
      </c>
      <c r="Y218" s="8" t="str">
        <f>INDEX(meta_Classifiers[Class - Generalization:src], MATCH(meta_Columns[[#This Row],[Generalization 1]],meta_Classifiers[ID],0))</f>
        <v>_Object</v>
      </c>
      <c r="Z218" s="8" t="str">
        <f>INDEX(meta_Classifiers[Class - Generalization:src], MATCH(meta_Columns[[#This Row],[Owning Table Instances Class]],meta_Classifiers[ID],0))</f>
        <v>_NamedElement</v>
      </c>
      <c r="AA2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8" s="8" t="b">
        <f>_xlfn.IFNA(
INDEX(meta_Classifiers[Class - Generalization:src],MATCH(
INDEX(meta_Classifiers[Class - Generalization:src],MATCH(meta_Columns[[#This Row],[Property Owning Class]],meta_Classifiers[ID],0)),meta_Classifiers[ID],0))
=meta_Columns[[#This Row],[Owning Table Instances Class]],FALSE)</f>
        <v>0</v>
      </c>
      <c r="AG218" s="8" t="b">
        <f>_xlfn.IFNA(INDEX(meta_Classifiers[Class - Generalization:src],MATCH(meta_Columns[[#This Row],[Property Owning Class]],meta_Classifiers[ID],0))=meta_Columns[[#This Row],[Owning Table Instances Class]],FALSE)</f>
        <v>0</v>
      </c>
      <c r="AH2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8" s="8" t="e">
        <f>INDEX(meta_Classifiers[Name],MATCH(INDEX(meta_TypedModelElements[Property - Owning Class:src],MATCH(meta_Columns[[#This Row],[Property]],meta_TypedModelElements[ID],0)),meta_Classifiers[ID],0))</f>
        <v>#N/A</v>
      </c>
      <c r="AJ218" s="8" t="e">
        <f>INDEX(meta_TypedModelElements[Property - Owning Class:src],MATCH(meta_Columns[[#This Row],[Property]],meta_TypedModelElements[ID],0))</f>
        <v>#N/A</v>
      </c>
      <c r="AK218" s="8" t="e">
        <f>INDEX(meta_TypedModelElements[Kind:src],MATCH(meta_Columns[[#This Row],[Property]],meta_TypedModelElements[ID],0))</f>
        <v>#N/A</v>
      </c>
      <c r="AL218" s="8" t="e">
        <f>INDEX(meta_TypedModelElements[Name or Type],MATCH(meta_Columns[[#This Row],[Property]],meta_TypedModelElements[ID],0))</f>
        <v>#N/A</v>
      </c>
      <c r="AM218" s="8" t="e">
        <f>INDEX(meta_TypedModelElements[Property - Changeable],MATCH(meta_Columns[[#This Row],[Property]],meta_TypedModelElements[ID],0))</f>
        <v>#N/A</v>
      </c>
      <c r="AN218" s="43">
        <v>28</v>
      </c>
      <c r="AO218" s="22">
        <v>10</v>
      </c>
      <c r="AP2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8" s="8" t="str">
        <f xml:space="preserve"> IF(meta_Columns[[#This Row],[Property Owning Class is Specialization of Instance Class]],meta_Columns[[#This Row],[Property Owning Class Name]]&amp;" - ","")</f>
        <v/>
      </c>
      <c r="AR2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Do Action Rule Details</v>
      </c>
      <c r="AT218" s="8" t="str">
        <f>IFERROR(LEFT(meta_Columns[[#This Row],[Excel Column - Label Actual without Semantic Case]],FIND("-",
meta_Columns[[#This Row],[Excel Column - Label Actual without Semantic Case]])-2),"")</f>
        <v/>
      </c>
      <c r="AU2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Do Action Rule Details</v>
      </c>
      <c r="AV2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Do Action Rule Details</v>
      </c>
      <c r="AX218" s="22"/>
      <c r="AY218" s="8" t="str">
        <f>meta_Columns[[#This Row],[Owning Table]]&amp;"."&amp;meta_Columns[[#This Row],[Excel Column - Label]]</f>
        <v>meta::Rules.Do Action Rule Details</v>
      </c>
      <c r="AZ218" s="22" t="s">
        <v>812</v>
      </c>
      <c r="BA218" s="8" t="str">
        <f>IF(TRIM(meta_Columns[[#This Row],[Excel Column - Label Overwrite]])&lt;&gt;"",meta_Columns[[#This Row],[Excel Column - Label Overwrite]],meta_Columns[[#This Row],[Excel Column - Label from Property or Referenced Table]])</f>
        <v>Do Action Rule Details</v>
      </c>
      <c r="BB218" s="43"/>
      <c r="BC218" s="44" t="str">
        <f>IF(meta_Columns[[#This Row],[Excel Column - Explicit Excel Formula]]="","",meta_Columns[[#This Row],[Excel Column - Explicit Excel Formula]])</f>
        <v/>
      </c>
      <c r="BD218" s="5"/>
      <c r="BE218" s="5"/>
    </row>
    <row r="219" spans="1:57">
      <c r="A219" s="10" t="s">
        <v>1183</v>
      </c>
      <c r="B219" s="5" t="s">
        <v>546</v>
      </c>
      <c r="C219" s="22" t="str">
        <f xml:space="preserve"> IF( TRIM( meta_Columns[[#This Row],[Kind:src]] ) = "", "",
        INDEX( meta_Classifiers[Display Qualified], MATCH( meta_Columns[[#This Row],[Kind:src]], meta_Classifiers[ID], 0 ) ) )</f>
        <v>ExcelColumn</v>
      </c>
      <c r="D219" s="44" t="str">
        <f>IF(meta_Columns[[#This Row],[Owning Table:src]]="","",INDEX(meta_Classifiers[Package],MATCH(meta_Columns[[#This Row],[Owning Table Instances Class]],meta_Classifiers[ID],0)))</f>
        <v>meta</v>
      </c>
      <c r="E219" s="43"/>
      <c r="F219" s="8" t="str">
        <f>INDEX(meta_Tables[Excel Table - Excel Name],MATCH(meta_Columns[[#This Row],[Owning Table:src]],meta_Tables[ID],0))</f>
        <v>meta_Rules</v>
      </c>
      <c r="G219" s="44" t="str">
        <f>INDEX(meta_Tables[Instances Class:src],MATCH(meta_Columns[[#This Row],[Owning Table:src]],meta_Tables[ID],0))</f>
        <v>_Rule</v>
      </c>
      <c r="H219" s="11" t="s">
        <v>1014</v>
      </c>
      <c r="I219" s="43" t="str">
        <f xml:space="preserve"> IF( TRIM( meta_Columns[[#This Row],[Owning Table:src]] ) = "", "",
        INDEX( meta_Tables[Display Qualified], MATCH( meta_Columns[[#This Row],[Owning Table:src]], meta_Tables[ID], 0 ) ) )</f>
        <v>meta::Rules</v>
      </c>
      <c r="K219" s="22" t="str">
        <f>IF(TRIM(meta_Columns[[#This Row],[Referenced Table:src]])="","",
    INDEX(meta_Tables[Display Qualified],MATCH(meta_Columns[[#This Row],[Referenced Table:src]],meta_Tables[ID],0)))</f>
        <v/>
      </c>
      <c r="L219" s="8"/>
      <c r="M219" s="22"/>
      <c r="N219" s="8" t="str">
        <f>IF(meta_Columns[[#This Row],[Excel Column - Excel Formula]]="","x","")</f>
        <v>x</v>
      </c>
      <c r="O219" s="22"/>
      <c r="P219" s="8" t="str">
        <f>IF(meta_Columns[[#This Row],[Referenced Table:src]]="","",INDEX(meta_Tables[Instances Class],MATCH(meta_Columns[[#This Row],[Referenced Table:src]],meta_Tables[ID],0)))</f>
        <v/>
      </c>
      <c r="Q2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v>
      </c>
      <c r="R219" s="8"/>
      <c r="S219" s="22" t="str">
        <f xml:space="preserve"> IF( TRIM( meta_Columns[[#This Row],[Property:src]] ) = "", "",
        INDEX( meta_TypedModelElements[Display Qualified], MATCH( meta_Columns[[#This Row],[Property:src]], meta_TypedModelElements[ID], 0 ) ) )</f>
        <v/>
      </c>
      <c r="T219" s="22"/>
      <c r="U219" s="8" t="e">
        <f>INDEX(meta_Classifiers[Class - Generalization:src], MATCH(meta_Columns[[#This Row],[Generalization 5]],meta_Classifiers[ID],0))</f>
        <v>#N/A</v>
      </c>
      <c r="V219" s="8" t="e">
        <f>INDEX(meta_Classifiers[Class - Generalization:src], MATCH(meta_Columns[[#This Row],[Generalization 4]],meta_Classifiers[ID],0))</f>
        <v>#N/A</v>
      </c>
      <c r="W219" s="8" t="e">
        <f>INDEX(meta_Classifiers[Class - Generalization:src], MATCH(meta_Columns[[#This Row],[Generalization 3]],meta_Classifiers[ID],0))</f>
        <v>#N/A</v>
      </c>
      <c r="X219" s="8" t="str">
        <f>INDEX(meta_Classifiers[Class - Generalization:src], MATCH(meta_Columns[[#This Row],[Generalization 2]],meta_Classifiers[ID],0))</f>
        <v/>
      </c>
      <c r="Y219" s="8" t="str">
        <f>INDEX(meta_Classifiers[Class - Generalization:src], MATCH(meta_Columns[[#This Row],[Generalization 1]],meta_Classifiers[ID],0))</f>
        <v>_Object</v>
      </c>
      <c r="Z219" s="8" t="str">
        <f>INDEX(meta_Classifiers[Class - Generalization:src], MATCH(meta_Columns[[#This Row],[Owning Table Instances Class]],meta_Classifiers[ID],0))</f>
        <v>_NamedElement</v>
      </c>
      <c r="AA2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9" s="8" t="b">
        <f>_xlfn.IFNA(
INDEX(meta_Classifiers[Class - Generalization:src],MATCH(
INDEX(meta_Classifiers[Class - Generalization:src],MATCH(meta_Columns[[#This Row],[Property Owning Class]],meta_Classifiers[ID],0)),meta_Classifiers[ID],0))
=meta_Columns[[#This Row],[Owning Table Instances Class]],FALSE)</f>
        <v>0</v>
      </c>
      <c r="AG219" s="8" t="b">
        <f>_xlfn.IFNA(INDEX(meta_Classifiers[Class - Generalization:src],MATCH(meta_Columns[[#This Row],[Property Owning Class]],meta_Classifiers[ID],0))=meta_Columns[[#This Row],[Owning Table Instances Class]],FALSE)</f>
        <v>0</v>
      </c>
      <c r="AH2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9" s="8" t="e">
        <f>INDEX(meta_Classifiers[Name],MATCH(INDEX(meta_TypedModelElements[Property - Owning Class:src],MATCH(meta_Columns[[#This Row],[Property]],meta_TypedModelElements[ID],0)),meta_Classifiers[ID],0))</f>
        <v>#N/A</v>
      </c>
      <c r="AJ219" s="8" t="e">
        <f>INDEX(meta_TypedModelElements[Property - Owning Class:src],MATCH(meta_Columns[[#This Row],[Property]],meta_TypedModelElements[ID],0))</f>
        <v>#N/A</v>
      </c>
      <c r="AK219" s="8" t="e">
        <f>INDEX(meta_TypedModelElements[Kind:src],MATCH(meta_Columns[[#This Row],[Property]],meta_TypedModelElements[ID],0))</f>
        <v>#N/A</v>
      </c>
      <c r="AL219" s="8" t="e">
        <f>INDEX(meta_TypedModelElements[Name or Type],MATCH(meta_Columns[[#This Row],[Property]],meta_TypedModelElements[ID],0))</f>
        <v>#N/A</v>
      </c>
      <c r="AM219" s="8" t="e">
        <f>INDEX(meta_TypedModelElements[Property - Changeable],MATCH(meta_Columns[[#This Row],[Property]],meta_TypedModelElements[ID],0))</f>
        <v>#N/A</v>
      </c>
      <c r="AN219" s="43">
        <v>29</v>
      </c>
      <c r="AO219" s="22">
        <v>11</v>
      </c>
      <c r="AP2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9" s="8" t="str">
        <f xml:space="preserve"> IF(meta_Columns[[#This Row],[Property Owning Class is Specialization of Instance Class]],meta_Columns[[#This Row],[Property Owning Class Name]]&amp;" - ","")</f>
        <v/>
      </c>
      <c r="AR2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v>
      </c>
      <c r="AT219" s="8" t="str">
        <f>IFERROR(LEFT(meta_Columns[[#This Row],[Excel Column - Label Actual without Semantic Case]],FIND("-",
meta_Columns[[#This Row],[Excel Column - Label Actual without Semantic Case]])-2),"")</f>
        <v/>
      </c>
      <c r="AU2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v>
      </c>
      <c r="AV2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v>
      </c>
      <c r="AX219" s="22"/>
      <c r="AY219" s="8" t="str">
        <f>meta_Columns[[#This Row],[Owning Table]]&amp;"."&amp;meta_Columns[[#This Row],[Excel Column - Label]]</f>
        <v>meta::Rules.Line</v>
      </c>
      <c r="AZ219" s="22" t="s">
        <v>31</v>
      </c>
      <c r="BA219" s="8" t="str">
        <f>IF(TRIM(meta_Columns[[#This Row],[Excel Column - Label Overwrite]])&lt;&gt;"",meta_Columns[[#This Row],[Excel Column - Label Overwrite]],meta_Columns[[#This Row],[Excel Column - Label from Property or Referenced Table]])</f>
        <v>Line</v>
      </c>
      <c r="BB219" s="43"/>
      <c r="BC219" s="44" t="str">
        <f>IF(meta_Columns[[#This Row],[Excel Column - Explicit Excel Formula]]="","",meta_Columns[[#This Row],[Excel Column - Explicit Excel Formula]])</f>
        <v/>
      </c>
      <c r="BD219" s="5"/>
      <c r="BE219" s="5"/>
    </row>
    <row r="220" spans="1:57">
      <c r="A220" s="10" t="s">
        <v>1184</v>
      </c>
      <c r="B220" s="5" t="s">
        <v>546</v>
      </c>
      <c r="C220" s="22" t="str">
        <f xml:space="preserve"> IF( TRIM( meta_Columns[[#This Row],[Kind:src]] ) = "", "",
        INDEX( meta_Classifiers[Display Qualified], MATCH( meta_Columns[[#This Row],[Kind:src]], meta_Classifiers[ID], 0 ) ) )</f>
        <v>ExcelColumn</v>
      </c>
      <c r="D220" s="44" t="str">
        <f>IF(meta_Columns[[#This Row],[Owning Table:src]]="","",INDEX(meta_Classifiers[Package],MATCH(meta_Columns[[#This Row],[Owning Table Instances Class]],meta_Classifiers[ID],0)))</f>
        <v>meta</v>
      </c>
      <c r="E220" s="43"/>
      <c r="F220" s="8" t="str">
        <f>INDEX(meta_Tables[Excel Table - Excel Name],MATCH(meta_Columns[[#This Row],[Owning Table:src]],meta_Tables[ID],0))</f>
        <v>meta_Rules</v>
      </c>
      <c r="G220" s="44" t="str">
        <f>INDEX(meta_Tables[Instances Class:src],MATCH(meta_Columns[[#This Row],[Owning Table:src]],meta_Tables[ID],0))</f>
        <v>_Rule</v>
      </c>
      <c r="H220" s="11" t="s">
        <v>1014</v>
      </c>
      <c r="I220" s="43" t="str">
        <f xml:space="preserve"> IF( TRIM( meta_Columns[[#This Row],[Owning Table:src]] ) = "", "",
        INDEX( meta_Tables[Display Qualified], MATCH( meta_Columns[[#This Row],[Owning Table:src]], meta_Tables[ID], 0 ) ) )</f>
        <v>meta::Rules</v>
      </c>
      <c r="K220" s="22" t="str">
        <f>IF(TRIM(meta_Columns[[#This Row],[Referenced Table:src]])="","",
    INDEX(meta_Tables[Display Qualified],MATCH(meta_Columns[[#This Row],[Referenced Table:src]],meta_Tables[ID],0)))</f>
        <v/>
      </c>
      <c r="L220" s="8"/>
      <c r="M220" s="22"/>
      <c r="N220" s="8" t="str">
        <f>IF(meta_Columns[[#This Row],[Excel Column - Excel Formula]]="","x","")</f>
        <v>x</v>
      </c>
      <c r="O220" s="22"/>
      <c r="P220" s="8" t="str">
        <f>IF(meta_Columns[[#This Row],[Referenced Table:src]]="","",INDEX(meta_Tables[Instances Class],MATCH(meta_Columns[[#This Row],[Referenced Table:src]],meta_Tables[ID],0)))</f>
        <v/>
      </c>
      <c r="Q2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0" s="8"/>
      <c r="S220" s="22" t="str">
        <f xml:space="preserve"> IF( TRIM( meta_Columns[[#This Row],[Property:src]] ) = "", "",
        INDEX( meta_TypedModelElements[Display Qualified], MATCH( meta_Columns[[#This Row],[Property:src]], meta_TypedModelElements[ID], 0 ) ) )</f>
        <v/>
      </c>
      <c r="T220" s="22"/>
      <c r="U220" s="8" t="e">
        <f>INDEX(meta_Classifiers[Class - Generalization:src], MATCH(meta_Columns[[#This Row],[Generalization 5]],meta_Classifiers[ID],0))</f>
        <v>#N/A</v>
      </c>
      <c r="V220" s="8" t="e">
        <f>INDEX(meta_Classifiers[Class - Generalization:src], MATCH(meta_Columns[[#This Row],[Generalization 4]],meta_Classifiers[ID],0))</f>
        <v>#N/A</v>
      </c>
      <c r="W220" s="8" t="e">
        <f>INDEX(meta_Classifiers[Class - Generalization:src], MATCH(meta_Columns[[#This Row],[Generalization 3]],meta_Classifiers[ID],0))</f>
        <v>#N/A</v>
      </c>
      <c r="X220" s="8" t="str">
        <f>INDEX(meta_Classifiers[Class - Generalization:src], MATCH(meta_Columns[[#This Row],[Generalization 2]],meta_Classifiers[ID],0))</f>
        <v/>
      </c>
      <c r="Y220" s="8" t="str">
        <f>INDEX(meta_Classifiers[Class - Generalization:src], MATCH(meta_Columns[[#This Row],[Generalization 1]],meta_Classifiers[ID],0))</f>
        <v>_Object</v>
      </c>
      <c r="Z220" s="8" t="str">
        <f>INDEX(meta_Classifiers[Class - Generalization:src], MATCH(meta_Columns[[#This Row],[Owning Table Instances Class]],meta_Classifiers[ID],0))</f>
        <v>_NamedElement</v>
      </c>
      <c r="AA2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0" s="8" t="b">
        <f>_xlfn.IFNA(
INDEX(meta_Classifiers[Class - Generalization:src],MATCH(
INDEX(meta_Classifiers[Class - Generalization:src],MATCH(meta_Columns[[#This Row],[Property Owning Class]],meta_Classifiers[ID],0)),meta_Classifiers[ID],0))
=meta_Columns[[#This Row],[Owning Table Instances Class]],FALSE)</f>
        <v>0</v>
      </c>
      <c r="AG220" s="8" t="b">
        <f>_xlfn.IFNA(INDEX(meta_Classifiers[Class - Generalization:src],MATCH(meta_Columns[[#This Row],[Property Owning Class]],meta_Classifiers[ID],0))=meta_Columns[[#This Row],[Owning Table Instances Class]],FALSE)</f>
        <v>0</v>
      </c>
      <c r="AH2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0" s="8" t="e">
        <f>INDEX(meta_Classifiers[Name],MATCH(INDEX(meta_TypedModelElements[Property - Owning Class:src],MATCH(meta_Columns[[#This Row],[Property]],meta_TypedModelElements[ID],0)),meta_Classifiers[ID],0))</f>
        <v>#N/A</v>
      </c>
      <c r="AJ220" s="8" t="e">
        <f>INDEX(meta_TypedModelElements[Property - Owning Class:src],MATCH(meta_Columns[[#This Row],[Property]],meta_TypedModelElements[ID],0))</f>
        <v>#N/A</v>
      </c>
      <c r="AK220" s="8" t="e">
        <f>INDEX(meta_TypedModelElements[Kind:src],MATCH(meta_Columns[[#This Row],[Property]],meta_TypedModelElements[ID],0))</f>
        <v>#N/A</v>
      </c>
      <c r="AL220" s="8" t="e">
        <f>INDEX(meta_TypedModelElements[Name or Type],MATCH(meta_Columns[[#This Row],[Property]],meta_TypedModelElements[ID],0))</f>
        <v>#N/A</v>
      </c>
      <c r="AM220" s="8" t="e">
        <f>INDEX(meta_TypedModelElements[Property - Changeable],MATCH(meta_Columns[[#This Row],[Property]],meta_TypedModelElements[ID],0))</f>
        <v>#N/A</v>
      </c>
      <c r="AN220" s="43">
        <v>30</v>
      </c>
      <c r="AO220" s="22">
        <v>12</v>
      </c>
      <c r="AP2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0" s="8" t="str">
        <f xml:space="preserve"> IF(meta_Columns[[#This Row],[Property Owning Class is Specialization of Instance Class]],meta_Columns[[#This Row],[Property Owning Class Name]]&amp;" - ","")</f>
        <v/>
      </c>
      <c r="AR2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0" s="8" t="str">
        <f>IFERROR(LEFT(meta_Columns[[#This Row],[Excel Column - Label Actual without Semantic Case]],FIND("-",
meta_Columns[[#This Row],[Excel Column - Label Actual without Semantic Case]])-2),"")</f>
        <v/>
      </c>
      <c r="AU2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v>
      </c>
      <c r="AX220" s="22"/>
      <c r="AY220" s="8" t="str">
        <f>meta_Columns[[#This Row],[Owning Table]]&amp;"."&amp;meta_Columns[[#This Row],[Excel Column - Label]]</f>
        <v>meta::Rules.Part:src</v>
      </c>
      <c r="AZ220" s="22" t="s">
        <v>132</v>
      </c>
      <c r="BA220" s="8" t="str">
        <f>IF(TRIM(meta_Columns[[#This Row],[Excel Column - Label Overwrite]])&lt;&gt;"",meta_Columns[[#This Row],[Excel Column - Label Overwrite]],meta_Columns[[#This Row],[Excel Column - Label from Property or Referenced Table]])</f>
        <v>Part:src</v>
      </c>
      <c r="BB220" s="43"/>
      <c r="BC220" s="44" t="str">
        <f>IF(meta_Columns[[#This Row],[Excel Column - Explicit Excel Formula]]="","",meta_Columns[[#This Row],[Excel Column - Explicit Excel Formula]])</f>
        <v/>
      </c>
      <c r="BD220" s="5"/>
      <c r="BE220" s="5"/>
    </row>
    <row r="221" spans="1:57">
      <c r="A221" s="10" t="s">
        <v>1185</v>
      </c>
      <c r="B221" s="5" t="s">
        <v>546</v>
      </c>
      <c r="C221" s="22" t="str">
        <f xml:space="preserve"> IF( TRIM( meta_Columns[[#This Row],[Kind:src]] ) = "", "",
        INDEX( meta_Classifiers[Display Qualified], MATCH( meta_Columns[[#This Row],[Kind:src]], meta_Classifiers[ID], 0 ) ) )</f>
        <v>ExcelColumn</v>
      </c>
      <c r="D221" s="44" t="str">
        <f>IF(meta_Columns[[#This Row],[Owning Table:src]]="","",INDEX(meta_Classifiers[Package],MATCH(meta_Columns[[#This Row],[Owning Table Instances Class]],meta_Classifiers[ID],0)))</f>
        <v>meta</v>
      </c>
      <c r="E221" s="43"/>
      <c r="F221" s="8" t="str">
        <f>INDEX(meta_Tables[Excel Table - Excel Name],MATCH(meta_Columns[[#This Row],[Owning Table:src]],meta_Tables[ID],0))</f>
        <v>meta_Rules</v>
      </c>
      <c r="G221" s="44" t="str">
        <f>INDEX(meta_Tables[Instances Class:src],MATCH(meta_Columns[[#This Row],[Owning Table:src]],meta_Tables[ID],0))</f>
        <v>_Rule</v>
      </c>
      <c r="H221" s="11" t="s">
        <v>1014</v>
      </c>
      <c r="I221" s="43" t="str">
        <f xml:space="preserve"> IF( TRIM( meta_Columns[[#This Row],[Owning Table:src]] ) = "", "",
        INDEX( meta_Tables[Display Qualified], MATCH( meta_Columns[[#This Row],[Owning Table:src]], meta_Tables[ID], 0 ) ) )</f>
        <v>meta::Rules</v>
      </c>
      <c r="K221" s="22" t="str">
        <f>IF(TRIM(meta_Columns[[#This Row],[Referenced Table:src]])="","",
    INDEX(meta_Tables[Display Qualified],MATCH(meta_Columns[[#This Row],[Referenced Table:src]],meta_Tables[ID],0)))</f>
        <v/>
      </c>
      <c r="L221" s="8"/>
      <c r="M221" s="22"/>
      <c r="N221" s="8" t="str">
        <f>IF(meta_Columns[[#This Row],[Excel Column - Excel Formula]]="","x","")</f>
        <v>x</v>
      </c>
      <c r="O221" s="22"/>
      <c r="P221" s="8" t="str">
        <f>IF(meta_Columns[[#This Row],[Referenced Table:src]]="","",INDEX(meta_Tables[Instances Class],MATCH(meta_Columns[[#This Row],[Referenced Table:src]],meta_Tables[ID],0)))</f>
        <v/>
      </c>
      <c r="Q2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1" s="8"/>
      <c r="S221" s="22" t="str">
        <f xml:space="preserve"> IF( TRIM( meta_Columns[[#This Row],[Property:src]] ) = "", "",
        INDEX( meta_TypedModelElements[Display Qualified], MATCH( meta_Columns[[#This Row],[Property:src]], meta_TypedModelElements[ID], 0 ) ) )</f>
        <v/>
      </c>
      <c r="T221" s="22"/>
      <c r="U221" s="8" t="e">
        <f>INDEX(meta_Classifiers[Class - Generalization:src], MATCH(meta_Columns[[#This Row],[Generalization 5]],meta_Classifiers[ID],0))</f>
        <v>#N/A</v>
      </c>
      <c r="V221" s="8" t="e">
        <f>INDEX(meta_Classifiers[Class - Generalization:src], MATCH(meta_Columns[[#This Row],[Generalization 4]],meta_Classifiers[ID],0))</f>
        <v>#N/A</v>
      </c>
      <c r="W221" s="8" t="e">
        <f>INDEX(meta_Classifiers[Class - Generalization:src], MATCH(meta_Columns[[#This Row],[Generalization 3]],meta_Classifiers[ID],0))</f>
        <v>#N/A</v>
      </c>
      <c r="X221" s="8" t="str">
        <f>INDEX(meta_Classifiers[Class - Generalization:src], MATCH(meta_Columns[[#This Row],[Generalization 2]],meta_Classifiers[ID],0))</f>
        <v/>
      </c>
      <c r="Y221" s="8" t="str">
        <f>INDEX(meta_Classifiers[Class - Generalization:src], MATCH(meta_Columns[[#This Row],[Generalization 1]],meta_Classifiers[ID],0))</f>
        <v>_Object</v>
      </c>
      <c r="Z221" s="8" t="str">
        <f>INDEX(meta_Classifiers[Class - Generalization:src], MATCH(meta_Columns[[#This Row],[Owning Table Instances Class]],meta_Classifiers[ID],0))</f>
        <v>_NamedElement</v>
      </c>
      <c r="AA2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1" s="8" t="b">
        <f>_xlfn.IFNA(
INDEX(meta_Classifiers[Class - Generalization:src],MATCH(
INDEX(meta_Classifiers[Class - Generalization:src],MATCH(meta_Columns[[#This Row],[Property Owning Class]],meta_Classifiers[ID],0)),meta_Classifiers[ID],0))
=meta_Columns[[#This Row],[Owning Table Instances Class]],FALSE)</f>
        <v>0</v>
      </c>
      <c r="AG221" s="8" t="b">
        <f>_xlfn.IFNA(INDEX(meta_Classifiers[Class - Generalization:src],MATCH(meta_Columns[[#This Row],[Property Owning Class]],meta_Classifiers[ID],0))=meta_Columns[[#This Row],[Owning Table Instances Class]],FALSE)</f>
        <v>0</v>
      </c>
      <c r="AH2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1" s="8" t="e">
        <f>INDEX(meta_Classifiers[Name],MATCH(INDEX(meta_TypedModelElements[Property - Owning Class:src],MATCH(meta_Columns[[#This Row],[Property]],meta_TypedModelElements[ID],0)),meta_Classifiers[ID],0))</f>
        <v>#N/A</v>
      </c>
      <c r="AJ221" s="8" t="e">
        <f>INDEX(meta_TypedModelElements[Property - Owning Class:src],MATCH(meta_Columns[[#This Row],[Property]],meta_TypedModelElements[ID],0))</f>
        <v>#N/A</v>
      </c>
      <c r="AK221" s="8" t="e">
        <f>INDEX(meta_TypedModelElements[Kind:src],MATCH(meta_Columns[[#This Row],[Property]],meta_TypedModelElements[ID],0))</f>
        <v>#N/A</v>
      </c>
      <c r="AL221" s="8" t="e">
        <f>INDEX(meta_TypedModelElements[Name or Type],MATCH(meta_Columns[[#This Row],[Property]],meta_TypedModelElements[ID],0))</f>
        <v>#N/A</v>
      </c>
      <c r="AM221" s="8" t="e">
        <f>INDEX(meta_TypedModelElements[Property - Changeable],MATCH(meta_Columns[[#This Row],[Property]],meta_TypedModelElements[ID],0))</f>
        <v>#N/A</v>
      </c>
      <c r="AN221" s="43">
        <v>31</v>
      </c>
      <c r="AO221" s="22">
        <v>13</v>
      </c>
      <c r="AP2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1" s="8" t="str">
        <f xml:space="preserve"> IF(meta_Columns[[#This Row],[Property Owning Class is Specialization of Instance Class]],meta_Columns[[#This Row],[Property Owning Class Name]]&amp;" - ","")</f>
        <v/>
      </c>
      <c r="AR2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1" s="8" t="str">
        <f>IFERROR(LEFT(meta_Columns[[#This Row],[Excel Column - Label Actual without Semantic Case]],FIND("-",
meta_Columns[[#This Row],[Excel Column - Label Actual without Semantic Case]])-2),"")</f>
        <v/>
      </c>
      <c r="AU2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displayedChoice</v>
      </c>
      <c r="AW2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Part:displayedChoice</v>
      </c>
      <c r="AX221" s="22"/>
      <c r="AY221" s="8" t="str">
        <f>meta_Columns[[#This Row],[Owning Table]]&amp;"."&amp;meta_Columns[[#This Row],[Excel Column - Label]]</f>
        <v>meta::Rules.Part:displayedChoice</v>
      </c>
      <c r="AZ221" s="22" t="s">
        <v>119</v>
      </c>
      <c r="BA221" s="8" t="str">
        <f>IF(TRIM(meta_Columns[[#This Row],[Excel Column - Label Overwrite]])&lt;&gt;"",meta_Columns[[#This Row],[Excel Column - Label Overwrite]],meta_Columns[[#This Row],[Excel Column - Label from Property or Referenced Table]])</f>
        <v>Part:displayedChoice</v>
      </c>
      <c r="BB221" s="43"/>
      <c r="BC221" s="44" t="str">
        <f>IF(meta_Columns[[#This Row],[Excel Column - Explicit Excel Formula]]="","",meta_Columns[[#This Row],[Excel Column - Explicit Excel Formula]])</f>
        <v/>
      </c>
      <c r="BD221" s="5"/>
      <c r="BE221" s="5"/>
    </row>
    <row r="222" spans="1:57">
      <c r="A222" s="10" t="s">
        <v>1186</v>
      </c>
      <c r="B222" s="5" t="s">
        <v>546</v>
      </c>
      <c r="C222" s="22" t="str">
        <f xml:space="preserve"> IF( TRIM( meta_Columns[[#This Row],[Kind:src]] ) = "", "",
        INDEX( meta_Classifiers[Display Qualified], MATCH( meta_Columns[[#This Row],[Kind:src]], meta_Classifiers[ID], 0 ) ) )</f>
        <v>ExcelColumn</v>
      </c>
      <c r="D222" s="44" t="str">
        <f>IF(meta_Columns[[#This Row],[Owning Table:src]]="","",INDEX(meta_Classifiers[Package],MATCH(meta_Columns[[#This Row],[Owning Table Instances Class]],meta_Classifiers[ID],0)))</f>
        <v>meta</v>
      </c>
      <c r="E222" s="43"/>
      <c r="F222" s="8" t="str">
        <f>INDEX(meta_Tables[Excel Table - Excel Name],MATCH(meta_Columns[[#This Row],[Owning Table:src]],meta_Tables[ID],0))</f>
        <v>meta_Rules</v>
      </c>
      <c r="G222" s="44" t="str">
        <f>INDEX(meta_Tables[Instances Class:src],MATCH(meta_Columns[[#This Row],[Owning Table:src]],meta_Tables[ID],0))</f>
        <v>_Rule</v>
      </c>
      <c r="H222" s="11" t="s">
        <v>1014</v>
      </c>
      <c r="I222" s="43" t="str">
        <f xml:space="preserve"> IF( TRIM( meta_Columns[[#This Row],[Owning Table:src]] ) = "", "",
        INDEX( meta_Tables[Display Qualified], MATCH( meta_Columns[[#This Row],[Owning Table:src]], meta_Tables[ID], 0 ) ) )</f>
        <v>meta::Rules</v>
      </c>
      <c r="K222" s="22" t="str">
        <f>IF(TRIM(meta_Columns[[#This Row],[Referenced Table:src]])="","",
    INDEX(meta_Tables[Display Qualified],MATCH(meta_Columns[[#This Row],[Referenced Table:src]],meta_Tables[ID],0)))</f>
        <v/>
      </c>
      <c r="L222" s="8"/>
      <c r="M222" s="22"/>
      <c r="N222" s="8" t="str">
        <f>IF(meta_Columns[[#This Row],[Excel Column - Excel Formula]]="","x","")</f>
        <v/>
      </c>
      <c r="O222" s="22"/>
      <c r="P222" s="8" t="str">
        <f>IF(meta_Columns[[#This Row],[Referenced Table:src]]="","",INDEX(meta_Tables[Instances Class],MATCH(meta_Columns[[#This Row],[Referenced Table:src]],meta_Tables[ID],0)))</f>
        <v/>
      </c>
      <c r="Q2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2" s="8"/>
      <c r="S222" s="22" t="str">
        <f xml:space="preserve"> IF( TRIM( meta_Columns[[#This Row],[Property:src]] ) = "", "",
        INDEX( meta_TypedModelElements[Display Qualified], MATCH( meta_Columns[[#This Row],[Property:src]], meta_TypedModelElements[ID], 0 ) ) )</f>
        <v/>
      </c>
      <c r="T222" s="22"/>
      <c r="U222" s="8" t="e">
        <f>INDEX(meta_Classifiers[Class - Generalization:src], MATCH(meta_Columns[[#This Row],[Generalization 5]],meta_Classifiers[ID],0))</f>
        <v>#N/A</v>
      </c>
      <c r="V222" s="8" t="e">
        <f>INDEX(meta_Classifiers[Class - Generalization:src], MATCH(meta_Columns[[#This Row],[Generalization 4]],meta_Classifiers[ID],0))</f>
        <v>#N/A</v>
      </c>
      <c r="W222" s="8" t="e">
        <f>INDEX(meta_Classifiers[Class - Generalization:src], MATCH(meta_Columns[[#This Row],[Generalization 3]],meta_Classifiers[ID],0))</f>
        <v>#N/A</v>
      </c>
      <c r="X222" s="8" t="str">
        <f>INDEX(meta_Classifiers[Class - Generalization:src], MATCH(meta_Columns[[#This Row],[Generalization 2]],meta_Classifiers[ID],0))</f>
        <v/>
      </c>
      <c r="Y222" s="8" t="str">
        <f>INDEX(meta_Classifiers[Class - Generalization:src], MATCH(meta_Columns[[#This Row],[Generalization 1]],meta_Classifiers[ID],0))</f>
        <v>_Object</v>
      </c>
      <c r="Z222" s="8" t="str">
        <f>INDEX(meta_Classifiers[Class - Generalization:src], MATCH(meta_Columns[[#This Row],[Owning Table Instances Class]],meta_Classifiers[ID],0))</f>
        <v>_NamedElement</v>
      </c>
      <c r="AA2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2" s="8" t="b">
        <f>_xlfn.IFNA(
INDEX(meta_Classifiers[Class - Generalization:src],MATCH(
INDEX(meta_Classifiers[Class - Generalization:src],MATCH(meta_Columns[[#This Row],[Property Owning Class]],meta_Classifiers[ID],0)),meta_Classifiers[ID],0))
=meta_Columns[[#This Row],[Owning Table Instances Class]],FALSE)</f>
        <v>0</v>
      </c>
      <c r="AG222" s="8" t="b">
        <f>_xlfn.IFNA(INDEX(meta_Classifiers[Class - Generalization:src],MATCH(meta_Columns[[#This Row],[Property Owning Class]],meta_Classifiers[ID],0))=meta_Columns[[#This Row],[Owning Table Instances Class]],FALSE)</f>
        <v>0</v>
      </c>
      <c r="AH2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2" s="8" t="e">
        <f>INDEX(meta_Classifiers[Name],MATCH(INDEX(meta_TypedModelElements[Property - Owning Class:src],MATCH(meta_Columns[[#This Row],[Property]],meta_TypedModelElements[ID],0)),meta_Classifiers[ID],0))</f>
        <v>#N/A</v>
      </c>
      <c r="AJ222" s="8" t="e">
        <f>INDEX(meta_TypedModelElements[Property - Owning Class:src],MATCH(meta_Columns[[#This Row],[Property]],meta_TypedModelElements[ID],0))</f>
        <v>#N/A</v>
      </c>
      <c r="AK222" s="8" t="e">
        <f>INDEX(meta_TypedModelElements[Kind:src],MATCH(meta_Columns[[#This Row],[Property]],meta_TypedModelElements[ID],0))</f>
        <v>#N/A</v>
      </c>
      <c r="AL222" s="8" t="e">
        <f>INDEX(meta_TypedModelElements[Name or Type],MATCH(meta_Columns[[#This Row],[Property]],meta_TypedModelElements[ID],0))</f>
        <v>#N/A</v>
      </c>
      <c r="AM222" s="8" t="e">
        <f>INDEX(meta_TypedModelElements[Property - Changeable],MATCH(meta_Columns[[#This Row],[Property]],meta_TypedModelElements[ID],0))</f>
        <v>#N/A</v>
      </c>
      <c r="AN222" s="43">
        <v>32</v>
      </c>
      <c r="AO222" s="22"/>
      <c r="AP2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2" s="8" t="str">
        <f xml:space="preserve"> IF(meta_Columns[[#This Row],[Property Owning Class is Specialization of Instance Class]],meta_Columns[[#This Row],[Property Owning Class Name]]&amp;" - ","")</f>
        <v/>
      </c>
      <c r="AR2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2" s="8" t="str">
        <f>IFERROR(LEFT(meta_Columns[[#This Row],[Excel Column - Label Actual without Semantic Case]],FIND("-",
meta_Columns[[#This Row],[Excel Column - Label Actual without Semantic Case]])-2),"")</f>
        <v/>
      </c>
      <c r="AU2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2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Part:q</v>
      </c>
      <c r="AX222" s="22"/>
      <c r="AY222" s="8" t="str">
        <f>meta_Columns[[#This Row],[Owning Table]]&amp;"."&amp;meta_Columns[[#This Row],[Excel Column - Label]]</f>
        <v>meta::Rules.Part:q</v>
      </c>
      <c r="AZ222" s="22" t="s">
        <v>133</v>
      </c>
      <c r="BA222" s="8" t="str">
        <f>IF(TRIM(meta_Columns[[#This Row],[Excel Column - Label Overwrite]])&lt;&gt;"",meta_Columns[[#This Row],[Excel Column - Label Overwrite]],meta_Columns[[#This Row],[Excel Column - Label from Property or Referenced Table]])</f>
        <v>Part:q</v>
      </c>
      <c r="BB222" s="43" t="s">
        <v>885</v>
      </c>
      <c r="BC222" s="44" t="str">
        <f>IF(meta_Columns[[#This Row],[Excel Column - Explicit Excel Formula]]="","",meta_Columns[[#This Row],[Excel Column - Explicit Excel Formula]])</f>
        <v>Formula:=IF(TRIM([@Part])="","",IF(
  TRIM([@Package])="",
          "",
          [@Package]&amp;"::")
&amp;[@Part])</v>
      </c>
      <c r="BD222" s="5"/>
      <c r="BE222" s="5"/>
    </row>
    <row r="223" spans="1:57">
      <c r="A223" s="10" t="s">
        <v>1187</v>
      </c>
      <c r="B223" s="5" t="s">
        <v>546</v>
      </c>
      <c r="C223" s="22" t="str">
        <f xml:space="preserve"> IF( TRIM( meta_Columns[[#This Row],[Kind:src]] ) = "", "",
        INDEX( meta_Classifiers[Display Qualified], MATCH( meta_Columns[[#This Row],[Kind:src]], meta_Classifiers[ID], 0 ) ) )</f>
        <v>ExcelColumn</v>
      </c>
      <c r="D223" s="44" t="str">
        <f>IF(meta_Columns[[#This Row],[Owning Table:src]]="","",INDEX(meta_Classifiers[Package],MATCH(meta_Columns[[#This Row],[Owning Table Instances Class]],meta_Classifiers[ID],0)))</f>
        <v>meta</v>
      </c>
      <c r="E223" s="43"/>
      <c r="F223" s="8" t="str">
        <f>INDEX(meta_Tables[Excel Table - Excel Name],MATCH(meta_Columns[[#This Row],[Owning Table:src]],meta_Tables[ID],0))</f>
        <v>meta_Rules</v>
      </c>
      <c r="G223" s="44" t="str">
        <f>INDEX(meta_Tables[Instances Class:src],MATCH(meta_Columns[[#This Row],[Owning Table:src]],meta_Tables[ID],0))</f>
        <v>_Rule</v>
      </c>
      <c r="H223" s="11" t="s">
        <v>1014</v>
      </c>
      <c r="I223" s="43" t="str">
        <f xml:space="preserve"> IF( TRIM( meta_Columns[[#This Row],[Owning Table:src]] ) = "", "",
        INDEX( meta_Tables[Display Qualified], MATCH( meta_Columns[[#This Row],[Owning Table:src]], meta_Tables[ID], 0 ) ) )</f>
        <v>meta::Rules</v>
      </c>
      <c r="K223" s="22" t="str">
        <f>IF(TRIM(meta_Columns[[#This Row],[Referenced Table:src]])="","",
    INDEX(meta_Tables[Display Qualified],MATCH(meta_Columns[[#This Row],[Referenced Table:src]],meta_Tables[ID],0)))</f>
        <v/>
      </c>
      <c r="L223" s="8"/>
      <c r="M223" s="22"/>
      <c r="N223" s="8" t="str">
        <f>IF(meta_Columns[[#This Row],[Excel Column - Excel Formula]]="","x","")</f>
        <v/>
      </c>
      <c r="O223" s="22"/>
      <c r="P223" s="8" t="str">
        <f>IF(meta_Columns[[#This Row],[Referenced Table:src]]="","",INDEX(meta_Tables[Instances Class],MATCH(meta_Columns[[#This Row],[Referenced Table:src]],meta_Tables[ID],0)))</f>
        <v/>
      </c>
      <c r="Q2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meta::Rule.lineAsText</v>
      </c>
      <c r="R223" s="8"/>
      <c r="S223" s="22" t="str">
        <f xml:space="preserve"> IF( TRIM( meta_Columns[[#This Row],[Property:src]] ) = "", "",
        INDEX( meta_TypedModelElements[Display Qualified], MATCH( meta_Columns[[#This Row],[Property:src]], meta_TypedModelElements[ID], 0 ) ) )</f>
        <v/>
      </c>
      <c r="T223" s="22"/>
      <c r="U223" s="8" t="e">
        <f>INDEX(meta_Classifiers[Class - Generalization:src], MATCH(meta_Columns[[#This Row],[Generalization 5]],meta_Classifiers[ID],0))</f>
        <v>#N/A</v>
      </c>
      <c r="V223" s="8" t="e">
        <f>INDEX(meta_Classifiers[Class - Generalization:src], MATCH(meta_Columns[[#This Row],[Generalization 4]],meta_Classifiers[ID],0))</f>
        <v>#N/A</v>
      </c>
      <c r="W223" s="8" t="e">
        <f>INDEX(meta_Classifiers[Class - Generalization:src], MATCH(meta_Columns[[#This Row],[Generalization 3]],meta_Classifiers[ID],0))</f>
        <v>#N/A</v>
      </c>
      <c r="X223" s="8" t="str">
        <f>INDEX(meta_Classifiers[Class - Generalization:src], MATCH(meta_Columns[[#This Row],[Generalization 2]],meta_Classifiers[ID],0))</f>
        <v/>
      </c>
      <c r="Y223" s="8" t="str">
        <f>INDEX(meta_Classifiers[Class - Generalization:src], MATCH(meta_Columns[[#This Row],[Generalization 1]],meta_Classifiers[ID],0))</f>
        <v>_Object</v>
      </c>
      <c r="Z223" s="8" t="str">
        <f>INDEX(meta_Classifiers[Class - Generalization:src], MATCH(meta_Columns[[#This Row],[Owning Table Instances Class]],meta_Classifiers[ID],0))</f>
        <v>_NamedElement</v>
      </c>
      <c r="AA2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3" s="8" t="b">
        <f>_xlfn.IFNA(
INDEX(meta_Classifiers[Class - Generalization:src],MATCH(
INDEX(meta_Classifiers[Class - Generalization:src],MATCH(meta_Columns[[#This Row],[Property Owning Class]],meta_Classifiers[ID],0)),meta_Classifiers[ID],0))
=meta_Columns[[#This Row],[Owning Table Instances Class]],FALSE)</f>
        <v>0</v>
      </c>
      <c r="AG223" s="8" t="b">
        <f>_xlfn.IFNA(INDEX(meta_Classifiers[Class - Generalization:src],MATCH(meta_Columns[[#This Row],[Property Owning Class]],meta_Classifiers[ID],0))=meta_Columns[[#This Row],[Owning Table Instances Class]],FALSE)</f>
        <v>0</v>
      </c>
      <c r="AH2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3" s="8" t="e">
        <f>INDEX(meta_Classifiers[Name],MATCH(INDEX(meta_TypedModelElements[Property - Owning Class:src],MATCH(meta_Columns[[#This Row],[Property]],meta_TypedModelElements[ID],0)),meta_Classifiers[ID],0))</f>
        <v>#N/A</v>
      </c>
      <c r="AJ223" s="8" t="e">
        <f>INDEX(meta_TypedModelElements[Property - Owning Class:src],MATCH(meta_Columns[[#This Row],[Property]],meta_TypedModelElements[ID],0))</f>
        <v>#N/A</v>
      </c>
      <c r="AK223" s="8" t="e">
        <f>INDEX(meta_TypedModelElements[Kind:src],MATCH(meta_Columns[[#This Row],[Property]],meta_TypedModelElements[ID],0))</f>
        <v>#N/A</v>
      </c>
      <c r="AL223" s="8" t="e">
        <f>INDEX(meta_TypedModelElements[Name or Type],MATCH(meta_Columns[[#This Row],[Property]],meta_TypedModelElements[ID],0))</f>
        <v>#N/A</v>
      </c>
      <c r="AM223" s="8" t="e">
        <f>INDEX(meta_TypedModelElements[Property - Changeable],MATCH(meta_Columns[[#This Row],[Property]],meta_TypedModelElements[ID],0))</f>
        <v>#N/A</v>
      </c>
      <c r="AN223" s="43">
        <v>33</v>
      </c>
      <c r="AO223" s="22"/>
      <c r="AP2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3" s="8" t="str">
        <f xml:space="preserve"> IF(meta_Columns[[#This Row],[Property Owning Class is Specialization of Instance Class]],meta_Columns[[#This Row],[Property Owning Class Name]]&amp;" - ","")</f>
        <v/>
      </c>
      <c r="AR2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 As Text</v>
      </c>
      <c r="AT223" s="8" t="str">
        <f>IFERROR(LEFT(meta_Columns[[#This Row],[Excel Column - Label Actual without Semantic Case]],FIND("-",
meta_Columns[[#This Row],[Excel Column - Label Actual without Semantic Case]])-2),"")</f>
        <v/>
      </c>
      <c r="AU2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 As Text</v>
      </c>
      <c r="AV2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 As Text</v>
      </c>
      <c r="AX223" s="22"/>
      <c r="AY223" s="8" t="str">
        <f>meta_Columns[[#This Row],[Owning Table]]&amp;"."&amp;meta_Columns[[#This Row],[Excel Column - Label]]</f>
        <v>meta::Rules.Line As Text</v>
      </c>
      <c r="AZ223" s="22" t="s">
        <v>386</v>
      </c>
      <c r="BA223" s="8" t="str">
        <f>IF(TRIM(meta_Columns[[#This Row],[Excel Column - Label Overwrite]])&lt;&gt;"",meta_Columns[[#This Row],[Excel Column - Label Overwrite]],meta_Columns[[#This Row],[Excel Column - Label from Property or Referenced Table]])</f>
        <v>Line As Text</v>
      </c>
      <c r="BB223" s="43" t="s">
        <v>886</v>
      </c>
      <c r="BC223" s="44" t="str">
        <f>IF(meta_Columns[[#This Row],[Excel Column - Explicit Excel Formula]]="","",meta_Columns[[#This Row],[Excel Column - Explicit Excel Formula]])</f>
        <v>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v>
      </c>
      <c r="BD223" s="5"/>
      <c r="BE223" s="5"/>
    </row>
    <row r="224" spans="1:57">
      <c r="A224" s="10" t="s">
        <v>1188</v>
      </c>
      <c r="B224" s="5" t="s">
        <v>546</v>
      </c>
      <c r="C224" s="22" t="str">
        <f xml:space="preserve"> IF( TRIM( meta_Columns[[#This Row],[Kind:src]] ) = "", "",
        INDEX( meta_Classifiers[Display Qualified], MATCH( meta_Columns[[#This Row],[Kind:src]], meta_Classifiers[ID], 0 ) ) )</f>
        <v>ExcelColumn</v>
      </c>
      <c r="D224" s="44" t="str">
        <f>IF(meta_Columns[[#This Row],[Owning Table:src]]="","",INDEX(meta_Classifiers[Package],MATCH(meta_Columns[[#This Row],[Owning Table Instances Class]],meta_Classifiers[ID],0)))</f>
        <v>meta</v>
      </c>
      <c r="E224" s="43"/>
      <c r="F224" s="8" t="str">
        <f>INDEX(meta_Tables[Excel Table - Excel Name],MATCH(meta_Columns[[#This Row],[Owning Table:src]],meta_Tables[ID],0))</f>
        <v>meta_Rules</v>
      </c>
      <c r="G224" s="44" t="str">
        <f>INDEX(meta_Tables[Instances Class:src],MATCH(meta_Columns[[#This Row],[Owning Table:src]],meta_Tables[ID],0))</f>
        <v>_Rule</v>
      </c>
      <c r="H224" s="11" t="s">
        <v>1014</v>
      </c>
      <c r="I224" s="43" t="str">
        <f xml:space="preserve"> IF( TRIM( meta_Columns[[#This Row],[Owning Table:src]] ) = "", "",
        INDEX( meta_Tables[Display Qualified], MATCH( meta_Columns[[#This Row],[Owning Table:src]], meta_Tables[ID], 0 ) ) )</f>
        <v>meta::Rules</v>
      </c>
      <c r="K224" s="22" t="str">
        <f>IF(TRIM(meta_Columns[[#This Row],[Referenced Table:src]])="","",
    INDEX(meta_Tables[Display Qualified],MATCH(meta_Columns[[#This Row],[Referenced Table:src]],meta_Tables[ID],0)))</f>
        <v/>
      </c>
      <c r="L224" s="8"/>
      <c r="M224" s="22"/>
      <c r="N224" s="8" t="str">
        <f>IF(meta_Columns[[#This Row],[Excel Column - Excel Formula]]="","x","")</f>
        <v>x</v>
      </c>
      <c r="O224" s="22"/>
      <c r="P224" s="8" t="str">
        <f>IF(meta_Columns[[#This Row],[Referenced Table:src]]="","",INDEX(meta_Tables[Instances Class],MATCH(meta_Columns[[#This Row],[Referenced Table:src]],meta_Tables[ID],0)))</f>
        <v/>
      </c>
      <c r="Q2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4" s="8"/>
      <c r="S224" s="22" t="str">
        <f xml:space="preserve"> IF( TRIM( meta_Columns[[#This Row],[Property:src]] ) = "", "",
        INDEX( meta_TypedModelElements[Display Qualified], MATCH( meta_Columns[[#This Row],[Property:src]], meta_TypedModelElements[ID], 0 ) ) )</f>
        <v/>
      </c>
      <c r="T224" s="22"/>
      <c r="U224" s="8" t="e">
        <f>INDEX(meta_Classifiers[Class - Generalization:src], MATCH(meta_Columns[[#This Row],[Generalization 5]],meta_Classifiers[ID],0))</f>
        <v>#N/A</v>
      </c>
      <c r="V224" s="8" t="e">
        <f>INDEX(meta_Classifiers[Class - Generalization:src], MATCH(meta_Columns[[#This Row],[Generalization 4]],meta_Classifiers[ID],0))</f>
        <v>#N/A</v>
      </c>
      <c r="W224" s="8" t="e">
        <f>INDEX(meta_Classifiers[Class - Generalization:src], MATCH(meta_Columns[[#This Row],[Generalization 3]],meta_Classifiers[ID],0))</f>
        <v>#N/A</v>
      </c>
      <c r="X224" s="8" t="str">
        <f>INDEX(meta_Classifiers[Class - Generalization:src], MATCH(meta_Columns[[#This Row],[Generalization 2]],meta_Classifiers[ID],0))</f>
        <v/>
      </c>
      <c r="Y224" s="8" t="str">
        <f>INDEX(meta_Classifiers[Class - Generalization:src], MATCH(meta_Columns[[#This Row],[Generalization 1]],meta_Classifiers[ID],0))</f>
        <v>_Object</v>
      </c>
      <c r="Z224" s="8" t="str">
        <f>INDEX(meta_Classifiers[Class - Generalization:src], MATCH(meta_Columns[[#This Row],[Owning Table Instances Class]],meta_Classifiers[ID],0))</f>
        <v>_NamedElement</v>
      </c>
      <c r="AA2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4" s="8" t="b">
        <f>_xlfn.IFNA(
INDEX(meta_Classifiers[Class - Generalization:src],MATCH(
INDEX(meta_Classifiers[Class - Generalization:src],MATCH(meta_Columns[[#This Row],[Property Owning Class]],meta_Classifiers[ID],0)),meta_Classifiers[ID],0))
=meta_Columns[[#This Row],[Owning Table Instances Class]],FALSE)</f>
        <v>0</v>
      </c>
      <c r="AG224" s="8" t="b">
        <f>_xlfn.IFNA(INDEX(meta_Classifiers[Class - Generalization:src],MATCH(meta_Columns[[#This Row],[Property Owning Class]],meta_Classifiers[ID],0))=meta_Columns[[#This Row],[Owning Table Instances Class]],FALSE)</f>
        <v>0</v>
      </c>
      <c r="AH2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4" s="8" t="e">
        <f>INDEX(meta_Classifiers[Name],MATCH(INDEX(meta_TypedModelElements[Property - Owning Class:src],MATCH(meta_Columns[[#This Row],[Property]],meta_TypedModelElements[ID],0)),meta_Classifiers[ID],0))</f>
        <v>#N/A</v>
      </c>
      <c r="AJ224" s="8" t="e">
        <f>INDEX(meta_TypedModelElements[Property - Owning Class:src],MATCH(meta_Columns[[#This Row],[Property]],meta_TypedModelElements[ID],0))</f>
        <v>#N/A</v>
      </c>
      <c r="AK224" s="8" t="e">
        <f>INDEX(meta_TypedModelElements[Kind:src],MATCH(meta_Columns[[#This Row],[Property]],meta_TypedModelElements[ID],0))</f>
        <v>#N/A</v>
      </c>
      <c r="AL224" s="8" t="e">
        <f>INDEX(meta_TypedModelElements[Name or Type],MATCH(meta_Columns[[#This Row],[Property]],meta_TypedModelElements[ID],0))</f>
        <v>#N/A</v>
      </c>
      <c r="AM224" s="8" t="e">
        <f>INDEX(meta_TypedModelElements[Property - Changeable],MATCH(meta_Columns[[#This Row],[Property]],meta_TypedModelElements[ID],0))</f>
        <v>#N/A</v>
      </c>
      <c r="AN224" s="43">
        <v>34</v>
      </c>
      <c r="AO224" s="22">
        <v>14</v>
      </c>
      <c r="AP2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4" s="8" t="str">
        <f xml:space="preserve"> IF(meta_Columns[[#This Row],[Property Owning Class is Specialization of Instance Class]],meta_Columns[[#This Row],[Property Owning Class Name]]&amp;" - ","")</f>
        <v/>
      </c>
      <c r="AR2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4" s="8" t="str">
        <f>IFERROR(LEFT(meta_Columns[[#This Row],[Excel Column - Label Actual without Semantic Case]],FIND("-",
meta_Columns[[#This Row],[Excel Column - Label Actual without Semantic Case]])-2),"")</f>
        <v/>
      </c>
      <c r="AU2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v>
      </c>
      <c r="AX224" s="22"/>
      <c r="AY224" s="8" t="str">
        <f>meta_Columns[[#This Row],[Owning Table]]&amp;"."&amp;meta_Columns[[#This Row],[Excel Column - Label]]</f>
        <v>meta::Rules.Part</v>
      </c>
      <c r="AZ224" s="22" t="s">
        <v>30</v>
      </c>
      <c r="BA224" s="8" t="str">
        <f>IF(TRIM(meta_Columns[[#This Row],[Excel Column - Label Overwrite]])&lt;&gt;"",meta_Columns[[#This Row],[Excel Column - Label Overwrite]],meta_Columns[[#This Row],[Excel Column - Label from Property or Referenced Table]])</f>
        <v>Part</v>
      </c>
      <c r="BB224" s="43"/>
      <c r="BC224" s="44" t="str">
        <f>IF(meta_Columns[[#This Row],[Excel Column - Explicit Excel Formula]]="","",meta_Columns[[#This Row],[Excel Column - Explicit Excel Formula]])</f>
        <v/>
      </c>
      <c r="BD224" s="5"/>
      <c r="BE224" s="5"/>
    </row>
    <row r="225" spans="1:57">
      <c r="A225" s="10" t="s">
        <v>1189</v>
      </c>
      <c r="B225" s="5" t="s">
        <v>546</v>
      </c>
      <c r="C225" s="22" t="str">
        <f xml:space="preserve"> IF( TRIM( meta_Columns[[#This Row],[Kind:src]] ) = "", "",
        INDEX( meta_Classifiers[Display Qualified], MATCH( meta_Columns[[#This Row],[Kind:src]], meta_Classifiers[ID], 0 ) ) )</f>
        <v>ExcelColumn</v>
      </c>
      <c r="D225" s="44" t="str">
        <f>IF(meta_Columns[[#This Row],[Owning Table:src]]="","",INDEX(meta_Classifiers[Package],MATCH(meta_Columns[[#This Row],[Owning Table Instances Class]],meta_Classifiers[ID],0)))</f>
        <v>meta</v>
      </c>
      <c r="E225" s="43"/>
      <c r="F225" s="8" t="str">
        <f>INDEX(meta_Tables[Excel Table - Excel Name],MATCH(meta_Columns[[#This Row],[Owning Table:src]],meta_Tables[ID],0))</f>
        <v>meta_Rules</v>
      </c>
      <c r="G225" s="44" t="str">
        <f>INDEX(meta_Tables[Instances Class:src],MATCH(meta_Columns[[#This Row],[Owning Table:src]],meta_Tables[ID],0))</f>
        <v>_Rule</v>
      </c>
      <c r="H225" s="11" t="s">
        <v>1014</v>
      </c>
      <c r="I225" s="43" t="str">
        <f xml:space="preserve"> IF( TRIM( meta_Columns[[#This Row],[Owning Table:src]] ) = "", "",
        INDEX( meta_Tables[Display Qualified], MATCH( meta_Columns[[#This Row],[Owning Table:src]], meta_Tables[ID], 0 ) ) )</f>
        <v>meta::Rules</v>
      </c>
      <c r="K225" s="22" t="str">
        <f>IF(TRIM(meta_Columns[[#This Row],[Referenced Table:src]])="","",
    INDEX(meta_Tables[Display Qualified],MATCH(meta_Columns[[#This Row],[Referenced Table:src]],meta_Tables[ID],0)))</f>
        <v/>
      </c>
      <c r="L225" s="8"/>
      <c r="M225" s="22"/>
      <c r="N225" s="8" t="str">
        <f>IF(meta_Columns[[#This Row],[Excel Column - Excel Formula]]="","x","")</f>
        <v>x</v>
      </c>
      <c r="O225" s="22"/>
      <c r="P225" s="8" t="str">
        <f>IF(meta_Columns[[#This Row],[Referenced Table:src]]="","",INDEX(meta_Tables[Instances Class],MATCH(meta_Columns[[#This Row],[Referenced Table:src]],meta_Tables[ID],0)))</f>
        <v/>
      </c>
      <c r="Q2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meta::Rule.ruleCode</v>
      </c>
      <c r="R225" s="8"/>
      <c r="S225" s="22" t="str">
        <f xml:space="preserve"> IF( TRIM( meta_Columns[[#This Row],[Property:src]] ) = "", "",
        INDEX( meta_TypedModelElements[Display Qualified], MATCH( meta_Columns[[#This Row],[Property:src]], meta_TypedModelElements[ID], 0 ) ) )</f>
        <v/>
      </c>
      <c r="T225" s="22"/>
      <c r="U225" s="8" t="e">
        <f>INDEX(meta_Classifiers[Class - Generalization:src], MATCH(meta_Columns[[#This Row],[Generalization 5]],meta_Classifiers[ID],0))</f>
        <v>#N/A</v>
      </c>
      <c r="V225" s="8" t="e">
        <f>INDEX(meta_Classifiers[Class - Generalization:src], MATCH(meta_Columns[[#This Row],[Generalization 4]],meta_Classifiers[ID],0))</f>
        <v>#N/A</v>
      </c>
      <c r="W225" s="8" t="e">
        <f>INDEX(meta_Classifiers[Class - Generalization:src], MATCH(meta_Columns[[#This Row],[Generalization 3]],meta_Classifiers[ID],0))</f>
        <v>#N/A</v>
      </c>
      <c r="X225" s="8" t="str">
        <f>INDEX(meta_Classifiers[Class - Generalization:src], MATCH(meta_Columns[[#This Row],[Generalization 2]],meta_Classifiers[ID],0))</f>
        <v/>
      </c>
      <c r="Y225" s="8" t="str">
        <f>INDEX(meta_Classifiers[Class - Generalization:src], MATCH(meta_Columns[[#This Row],[Generalization 1]],meta_Classifiers[ID],0))</f>
        <v>_Object</v>
      </c>
      <c r="Z225" s="8" t="str">
        <f>INDEX(meta_Classifiers[Class - Generalization:src], MATCH(meta_Columns[[#This Row],[Owning Table Instances Class]],meta_Classifiers[ID],0))</f>
        <v>_NamedElement</v>
      </c>
      <c r="AA2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5" s="8" t="b">
        <f>_xlfn.IFNA(
INDEX(meta_Classifiers[Class - Generalization:src],MATCH(
INDEX(meta_Classifiers[Class - Generalization:src],MATCH(meta_Columns[[#This Row],[Property Owning Class]],meta_Classifiers[ID],0)),meta_Classifiers[ID],0))
=meta_Columns[[#This Row],[Owning Table Instances Class]],FALSE)</f>
        <v>0</v>
      </c>
      <c r="AG225" s="8" t="b">
        <f>_xlfn.IFNA(INDEX(meta_Classifiers[Class - Generalization:src],MATCH(meta_Columns[[#This Row],[Property Owning Class]],meta_Classifiers[ID],0))=meta_Columns[[#This Row],[Owning Table Instances Class]],FALSE)</f>
        <v>0</v>
      </c>
      <c r="AH2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5" s="8" t="e">
        <f>INDEX(meta_Classifiers[Name],MATCH(INDEX(meta_TypedModelElements[Property - Owning Class:src],MATCH(meta_Columns[[#This Row],[Property]],meta_TypedModelElements[ID],0)),meta_Classifiers[ID],0))</f>
        <v>#N/A</v>
      </c>
      <c r="AJ225" s="8" t="e">
        <f>INDEX(meta_TypedModelElements[Property - Owning Class:src],MATCH(meta_Columns[[#This Row],[Property]],meta_TypedModelElements[ID],0))</f>
        <v>#N/A</v>
      </c>
      <c r="AK225" s="8" t="e">
        <f>INDEX(meta_TypedModelElements[Kind:src],MATCH(meta_Columns[[#This Row],[Property]],meta_TypedModelElements[ID],0))</f>
        <v>#N/A</v>
      </c>
      <c r="AL225" s="8" t="e">
        <f>INDEX(meta_TypedModelElements[Name or Type],MATCH(meta_Columns[[#This Row],[Property]],meta_TypedModelElements[ID],0))</f>
        <v>#N/A</v>
      </c>
      <c r="AM225" s="8" t="e">
        <f>INDEX(meta_TypedModelElements[Property - Changeable],MATCH(meta_Columns[[#This Row],[Property]],meta_TypedModelElements[ID],0))</f>
        <v>#N/A</v>
      </c>
      <c r="AN225" s="43">
        <v>35</v>
      </c>
      <c r="AO225" s="22">
        <v>15</v>
      </c>
      <c r="AP2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5" s="8" t="str">
        <f xml:space="preserve"> IF(meta_Columns[[#This Row],[Property Owning Class is Specialization of Instance Class]],meta_Columns[[#This Row],[Property Owning Class Name]]&amp;" - ","")</f>
        <v/>
      </c>
      <c r="AR2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Code</v>
      </c>
      <c r="AT225" s="8" t="str">
        <f>IFERROR(LEFT(meta_Columns[[#This Row],[Excel Column - Label Actual without Semantic Case]],FIND("-",
meta_Columns[[#This Row],[Excel Column - Label Actual without Semantic Case]])-2),"")</f>
        <v/>
      </c>
      <c r="AU2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Code</v>
      </c>
      <c r="AV2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Code</v>
      </c>
      <c r="AX225" s="22"/>
      <c r="AY225" s="8" t="str">
        <f>meta_Columns[[#This Row],[Owning Table]]&amp;"."&amp;meta_Columns[[#This Row],[Excel Column - Label]]</f>
        <v>meta::Rules.Rule Code</v>
      </c>
      <c r="AZ225" s="22" t="s">
        <v>449</v>
      </c>
      <c r="BA225" s="8" t="str">
        <f>IF(TRIM(meta_Columns[[#This Row],[Excel Column - Label Overwrite]])&lt;&gt;"",meta_Columns[[#This Row],[Excel Column - Label Overwrite]],meta_Columns[[#This Row],[Excel Column - Label from Property or Referenced Table]])</f>
        <v>Rule Code</v>
      </c>
      <c r="BB225" s="43"/>
      <c r="BC225" s="44" t="str">
        <f>IF(meta_Columns[[#This Row],[Excel Column - Explicit Excel Formula]]="","",meta_Columns[[#This Row],[Excel Column - Explicit Excel Formula]])</f>
        <v/>
      </c>
      <c r="BD225" s="5"/>
      <c r="BE225" s="5"/>
    </row>
    <row r="226" spans="1:57">
      <c r="A226" s="10" t="s">
        <v>1190</v>
      </c>
      <c r="B226" s="5" t="s">
        <v>546</v>
      </c>
      <c r="C226" s="22" t="str">
        <f xml:space="preserve"> IF( TRIM( meta_Columns[[#This Row],[Kind:src]] ) = "", "",
        INDEX( meta_Classifiers[Display Qualified], MATCH( meta_Columns[[#This Row],[Kind:src]], meta_Classifiers[ID], 0 ) ) )</f>
        <v>ExcelColumn</v>
      </c>
      <c r="D226" s="44" t="str">
        <f>IF(meta_Columns[[#This Row],[Owning Table:src]]="","",INDEX(meta_Classifiers[Package],MATCH(meta_Columns[[#This Row],[Owning Table Instances Class]],meta_Classifiers[ID],0)))</f>
        <v>meta</v>
      </c>
      <c r="E226" s="43"/>
      <c r="F226" s="8" t="str">
        <f>INDEX(meta_Tables[Excel Table - Excel Name],MATCH(meta_Columns[[#This Row],[Owning Table:src]],meta_Tables[ID],0))</f>
        <v>meta_Rules</v>
      </c>
      <c r="G226" s="44" t="str">
        <f>INDEX(meta_Tables[Instances Class:src],MATCH(meta_Columns[[#This Row],[Owning Table:src]],meta_Tables[ID],0))</f>
        <v>_Rule</v>
      </c>
      <c r="H226" s="11" t="s">
        <v>1014</v>
      </c>
      <c r="I226" s="43" t="str">
        <f xml:space="preserve"> IF( TRIM( meta_Columns[[#This Row],[Owning Table:src]] ) = "", "",
        INDEX( meta_Tables[Display Qualified], MATCH( meta_Columns[[#This Row],[Owning Table:src]], meta_Tables[ID], 0 ) ) )</f>
        <v>meta::Rules</v>
      </c>
      <c r="K226" s="22" t="str">
        <f>IF(TRIM(meta_Columns[[#This Row],[Referenced Table:src]])="","",
    INDEX(meta_Tables[Display Qualified],MATCH(meta_Columns[[#This Row],[Referenced Table:src]],meta_Tables[ID],0)))</f>
        <v/>
      </c>
      <c r="L226" s="8"/>
      <c r="M226" s="22"/>
      <c r="N226" s="8" t="str">
        <f>IF(meta_Columns[[#This Row],[Excel Column - Excel Formula]]="","x","")</f>
        <v/>
      </c>
      <c r="O226" s="22"/>
      <c r="P226" s="8" t="str">
        <f>IF(meta_Columns[[#This Row],[Referenced Table:src]]="","",INDEX(meta_Tables[Instances Class],MATCH(meta_Columns[[#This Row],[Referenced Table:src]],meta_Tables[ID],0)))</f>
        <v/>
      </c>
      <c r="Q2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meta::Rule.ruleBizID_WithoutLine</v>
      </c>
      <c r="R226" s="8"/>
      <c r="S226" s="22" t="str">
        <f xml:space="preserve"> IF( TRIM( meta_Columns[[#This Row],[Property:src]] ) = "", "",
        INDEX( meta_TypedModelElements[Display Qualified], MATCH( meta_Columns[[#This Row],[Property:src]], meta_TypedModelElements[ID], 0 ) ) )</f>
        <v/>
      </c>
      <c r="T226" s="22"/>
      <c r="U226" s="8" t="e">
        <f>INDEX(meta_Classifiers[Class - Generalization:src], MATCH(meta_Columns[[#This Row],[Generalization 5]],meta_Classifiers[ID],0))</f>
        <v>#N/A</v>
      </c>
      <c r="V226" s="8" t="e">
        <f>INDEX(meta_Classifiers[Class - Generalization:src], MATCH(meta_Columns[[#This Row],[Generalization 4]],meta_Classifiers[ID],0))</f>
        <v>#N/A</v>
      </c>
      <c r="W226" s="8" t="e">
        <f>INDEX(meta_Classifiers[Class - Generalization:src], MATCH(meta_Columns[[#This Row],[Generalization 3]],meta_Classifiers[ID],0))</f>
        <v>#N/A</v>
      </c>
      <c r="X226" s="8" t="str">
        <f>INDEX(meta_Classifiers[Class - Generalization:src], MATCH(meta_Columns[[#This Row],[Generalization 2]],meta_Classifiers[ID],0))</f>
        <v/>
      </c>
      <c r="Y226" s="8" t="str">
        <f>INDEX(meta_Classifiers[Class - Generalization:src], MATCH(meta_Columns[[#This Row],[Generalization 1]],meta_Classifiers[ID],0))</f>
        <v>_Object</v>
      </c>
      <c r="Z226" s="8" t="str">
        <f>INDEX(meta_Classifiers[Class - Generalization:src], MATCH(meta_Columns[[#This Row],[Owning Table Instances Class]],meta_Classifiers[ID],0))</f>
        <v>_NamedElement</v>
      </c>
      <c r="AA2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6" s="8" t="b">
        <f>_xlfn.IFNA(
INDEX(meta_Classifiers[Class - Generalization:src],MATCH(
INDEX(meta_Classifiers[Class - Generalization:src],MATCH(meta_Columns[[#This Row],[Property Owning Class]],meta_Classifiers[ID],0)),meta_Classifiers[ID],0))
=meta_Columns[[#This Row],[Owning Table Instances Class]],FALSE)</f>
        <v>0</v>
      </c>
      <c r="AG226" s="8" t="b">
        <f>_xlfn.IFNA(INDEX(meta_Classifiers[Class - Generalization:src],MATCH(meta_Columns[[#This Row],[Property Owning Class]],meta_Classifiers[ID],0))=meta_Columns[[#This Row],[Owning Table Instances Class]],FALSE)</f>
        <v>0</v>
      </c>
      <c r="AH2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6" s="8" t="e">
        <f>INDEX(meta_Classifiers[Name],MATCH(INDEX(meta_TypedModelElements[Property - Owning Class:src],MATCH(meta_Columns[[#This Row],[Property]],meta_TypedModelElements[ID],0)),meta_Classifiers[ID],0))</f>
        <v>#N/A</v>
      </c>
      <c r="AJ226" s="8" t="e">
        <f>INDEX(meta_TypedModelElements[Property - Owning Class:src],MATCH(meta_Columns[[#This Row],[Property]],meta_TypedModelElements[ID],0))</f>
        <v>#N/A</v>
      </c>
      <c r="AK226" s="8" t="e">
        <f>INDEX(meta_TypedModelElements[Kind:src],MATCH(meta_Columns[[#This Row],[Property]],meta_TypedModelElements[ID],0))</f>
        <v>#N/A</v>
      </c>
      <c r="AL226" s="8" t="e">
        <f>INDEX(meta_TypedModelElements[Name or Type],MATCH(meta_Columns[[#This Row],[Property]],meta_TypedModelElements[ID],0))</f>
        <v>#N/A</v>
      </c>
      <c r="AM226" s="8" t="e">
        <f>INDEX(meta_TypedModelElements[Property - Changeable],MATCH(meta_Columns[[#This Row],[Property]],meta_TypedModelElements[ID],0))</f>
        <v>#N/A</v>
      </c>
      <c r="AN226" s="43">
        <v>36</v>
      </c>
      <c r="AO226" s="22"/>
      <c r="AP2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6" s="8" t="str">
        <f xml:space="preserve"> IF(meta_Columns[[#This Row],[Property Owning Class is Specialization of Instance Class]],meta_Columns[[#This Row],[Property Owning Class Name]]&amp;" - ","")</f>
        <v/>
      </c>
      <c r="AR2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 Without Line</v>
      </c>
      <c r="AT226" s="8" t="str">
        <f>IFERROR(LEFT(meta_Columns[[#This Row],[Excel Column - Label Actual without Semantic Case]],FIND("-",
meta_Columns[[#This Row],[Excel Column - Label Actual without Semantic Case]])-2),"")</f>
        <v/>
      </c>
      <c r="AU2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 Without Line</v>
      </c>
      <c r="AV2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 Without Line</v>
      </c>
      <c r="AX226" s="22"/>
      <c r="AY226" s="8" t="str">
        <f>meta_Columns[[#This Row],[Owning Table]]&amp;"."&amp;meta_Columns[[#This Row],[Excel Column - Label]]</f>
        <v>meta::Rules.Rule Biz ID Without Line</v>
      </c>
      <c r="AZ226" s="22" t="s">
        <v>148</v>
      </c>
      <c r="BA226" s="8" t="str">
        <f>IF(TRIM(meta_Columns[[#This Row],[Excel Column - Label Overwrite]])&lt;&gt;"",meta_Columns[[#This Row],[Excel Column - Label Overwrite]],meta_Columns[[#This Row],[Excel Column - Label from Property or Referenced Table]])</f>
        <v>Rule Biz ID Without Line</v>
      </c>
      <c r="BB226" s="43" t="s">
        <v>887</v>
      </c>
      <c r="BC226" s="44" t="str">
        <f>IF(meta_Columns[[#This Row],[Excel Column - Explicit Excel Formula]]="","",meta_Columns[[#This Row],[Excel Column - Explicit Excel Formula]])</f>
        <v>Formula:=[@[Class:src]]&amp;"_"&amp;[@Feature]&amp;"_"&amp;[@Kind]</v>
      </c>
      <c r="BD226" s="5"/>
      <c r="BE226" s="5"/>
    </row>
    <row r="227" spans="1:57">
      <c r="A227" s="10" t="s">
        <v>1191</v>
      </c>
      <c r="B227" s="5" t="s">
        <v>546</v>
      </c>
      <c r="C227" s="22" t="str">
        <f xml:space="preserve"> IF( TRIM( meta_Columns[[#This Row],[Kind:src]] ) = "", "",
        INDEX( meta_Classifiers[Display Qualified], MATCH( meta_Columns[[#This Row],[Kind:src]], meta_Classifiers[ID], 0 ) ) )</f>
        <v>ExcelColumn</v>
      </c>
      <c r="D227" s="44" t="str">
        <f>IF(meta_Columns[[#This Row],[Owning Table:src]]="","",INDEX(meta_Classifiers[Package],MATCH(meta_Columns[[#This Row],[Owning Table Instances Class]],meta_Classifiers[ID],0)))</f>
        <v>meta</v>
      </c>
      <c r="E227" s="43"/>
      <c r="F227" s="8" t="str">
        <f>INDEX(meta_Tables[Excel Table - Excel Name],MATCH(meta_Columns[[#This Row],[Owning Table:src]],meta_Tables[ID],0))</f>
        <v>meta_Rules</v>
      </c>
      <c r="G227" s="44" t="str">
        <f>INDEX(meta_Tables[Instances Class:src],MATCH(meta_Columns[[#This Row],[Owning Table:src]],meta_Tables[ID],0))</f>
        <v>_Rule</v>
      </c>
      <c r="H227" s="11" t="s">
        <v>1014</v>
      </c>
      <c r="I227" s="43" t="str">
        <f xml:space="preserve"> IF( TRIM( meta_Columns[[#This Row],[Owning Table:src]] ) = "", "",
        INDEX( meta_Tables[Display Qualified], MATCH( meta_Columns[[#This Row],[Owning Table:src]], meta_Tables[ID], 0 ) ) )</f>
        <v>meta::Rules</v>
      </c>
      <c r="K227" s="22" t="str">
        <f>IF(TRIM(meta_Columns[[#This Row],[Referenced Table:src]])="","",
    INDEX(meta_Tables[Display Qualified],MATCH(meta_Columns[[#This Row],[Referenced Table:src]],meta_Tables[ID],0)))</f>
        <v/>
      </c>
      <c r="L227" s="8"/>
      <c r="M227" s="22"/>
      <c r="N227" s="8" t="str">
        <f>IF(meta_Columns[[#This Row],[Excel Column - Excel Formula]]="","x","")</f>
        <v/>
      </c>
      <c r="O227" s="22"/>
      <c r="P227" s="8" t="str">
        <f>IF(meta_Columns[[#This Row],[Referenced Table:src]]="","",INDEX(meta_Tables[Instances Class],MATCH(meta_Columns[[#This Row],[Referenced Table:src]],meta_Tables[ID],0)))</f>
        <v/>
      </c>
      <c r="Q2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v>
      </c>
      <c r="R227" s="8"/>
      <c r="S227" s="22" t="str">
        <f xml:space="preserve"> IF( TRIM( meta_Columns[[#This Row],[Property:src]] ) = "", "",
        INDEX( meta_TypedModelElements[Display Qualified], MATCH( meta_Columns[[#This Row],[Property:src]], meta_TypedModelElements[ID], 0 ) ) )</f>
        <v/>
      </c>
      <c r="T227" s="22"/>
      <c r="U227" s="8" t="e">
        <f>INDEX(meta_Classifiers[Class - Generalization:src], MATCH(meta_Columns[[#This Row],[Generalization 5]],meta_Classifiers[ID],0))</f>
        <v>#N/A</v>
      </c>
      <c r="V227" s="8" t="e">
        <f>INDEX(meta_Classifiers[Class - Generalization:src], MATCH(meta_Columns[[#This Row],[Generalization 4]],meta_Classifiers[ID],0))</f>
        <v>#N/A</v>
      </c>
      <c r="W227" s="8" t="e">
        <f>INDEX(meta_Classifiers[Class - Generalization:src], MATCH(meta_Columns[[#This Row],[Generalization 3]],meta_Classifiers[ID],0))</f>
        <v>#N/A</v>
      </c>
      <c r="X227" s="8" t="str">
        <f>INDEX(meta_Classifiers[Class - Generalization:src], MATCH(meta_Columns[[#This Row],[Generalization 2]],meta_Classifiers[ID],0))</f>
        <v/>
      </c>
      <c r="Y227" s="8" t="str">
        <f>INDEX(meta_Classifiers[Class - Generalization:src], MATCH(meta_Columns[[#This Row],[Generalization 1]],meta_Classifiers[ID],0))</f>
        <v>_Object</v>
      </c>
      <c r="Z227" s="8" t="str">
        <f>INDEX(meta_Classifiers[Class - Generalization:src], MATCH(meta_Columns[[#This Row],[Owning Table Instances Class]],meta_Classifiers[ID],0))</f>
        <v>_NamedElement</v>
      </c>
      <c r="AA2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7" s="8" t="b">
        <f>_xlfn.IFNA(
INDEX(meta_Classifiers[Class - Generalization:src],MATCH(
INDEX(meta_Classifiers[Class - Generalization:src],MATCH(meta_Columns[[#This Row],[Property Owning Class]],meta_Classifiers[ID],0)),meta_Classifiers[ID],0))
=meta_Columns[[#This Row],[Owning Table Instances Class]],FALSE)</f>
        <v>0</v>
      </c>
      <c r="AG227" s="8" t="b">
        <f>_xlfn.IFNA(INDEX(meta_Classifiers[Class - Generalization:src],MATCH(meta_Columns[[#This Row],[Property Owning Class]],meta_Classifiers[ID],0))=meta_Columns[[#This Row],[Owning Table Instances Class]],FALSE)</f>
        <v>0</v>
      </c>
      <c r="AH2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7" s="8" t="e">
        <f>INDEX(meta_Classifiers[Name],MATCH(INDEX(meta_TypedModelElements[Property - Owning Class:src],MATCH(meta_Columns[[#This Row],[Property]],meta_TypedModelElements[ID],0)),meta_Classifiers[ID],0))</f>
        <v>#N/A</v>
      </c>
      <c r="AJ227" s="8" t="e">
        <f>INDEX(meta_TypedModelElements[Property - Owning Class:src],MATCH(meta_Columns[[#This Row],[Property]],meta_TypedModelElements[ID],0))</f>
        <v>#N/A</v>
      </c>
      <c r="AK227" s="8" t="e">
        <f>INDEX(meta_TypedModelElements[Kind:src],MATCH(meta_Columns[[#This Row],[Property]],meta_TypedModelElements[ID],0))</f>
        <v>#N/A</v>
      </c>
      <c r="AL227" s="8" t="e">
        <f>INDEX(meta_TypedModelElements[Name or Type],MATCH(meta_Columns[[#This Row],[Property]],meta_TypedModelElements[ID],0))</f>
        <v>#N/A</v>
      </c>
      <c r="AM227" s="8" t="e">
        <f>INDEX(meta_TypedModelElements[Property - Changeable],MATCH(meta_Columns[[#This Row],[Property]],meta_TypedModelElements[ID],0))</f>
        <v>#N/A</v>
      </c>
      <c r="AN227" s="43">
        <v>37</v>
      </c>
      <c r="AO227" s="22"/>
      <c r="AP2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7" s="8" t="str">
        <f xml:space="preserve"> IF(meta_Columns[[#This Row],[Property Owning Class is Specialization of Instance Class]],meta_Columns[[#This Row],[Property Owning Class Name]]&amp;" - ","")</f>
        <v/>
      </c>
      <c r="AR2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v>
      </c>
      <c r="AT227" s="8" t="str">
        <f>IFERROR(LEFT(meta_Columns[[#This Row],[Excel Column - Label Actual without Semantic Case]],FIND("-",
meta_Columns[[#This Row],[Excel Column - Label Actual without Semantic Case]])-2),"")</f>
        <v/>
      </c>
      <c r="AU2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v>
      </c>
      <c r="AV2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v>
      </c>
      <c r="AX227" s="22"/>
      <c r="AY227" s="8" t="str">
        <f>meta_Columns[[#This Row],[Owning Table]]&amp;"."&amp;meta_Columns[[#This Row],[Excel Column - Label]]</f>
        <v>meta::Rules.Rule Biz ID</v>
      </c>
      <c r="AZ227" s="22" t="s">
        <v>149</v>
      </c>
      <c r="BA227" s="8" t="str">
        <f>IF(TRIM(meta_Columns[[#This Row],[Excel Column - Label Overwrite]])&lt;&gt;"",meta_Columns[[#This Row],[Excel Column - Label Overwrite]],meta_Columns[[#This Row],[Excel Column - Label from Property or Referenced Table]])</f>
        <v>Rule Biz ID</v>
      </c>
      <c r="BB227" s="43" t="s">
        <v>888</v>
      </c>
      <c r="BC227" s="44" t="str">
        <f>IF(meta_Columns[[#This Row],[Excel Column - Explicit Excel Formula]]="","",meta_Columns[[#This Row],[Excel Column - Explicit Excel Formula]])</f>
        <v>Formula:=[@[Rule Biz ID Without Line]]&amp;"_"&amp;[@Line]</v>
      </c>
      <c r="BD227" s="5"/>
      <c r="BE227" s="5"/>
    </row>
    <row r="228" spans="1:57">
      <c r="A228" s="10" t="s">
        <v>1192</v>
      </c>
      <c r="B228" s="5" t="s">
        <v>546</v>
      </c>
      <c r="C228" s="22" t="str">
        <f xml:space="preserve"> IF( TRIM( meta_Columns[[#This Row],[Kind:src]] ) = "", "",
        INDEX( meta_Classifiers[Display Qualified], MATCH( meta_Columns[[#This Row],[Kind:src]], meta_Classifiers[ID], 0 ) ) )</f>
        <v>ExcelColumn</v>
      </c>
      <c r="D228" s="44" t="str">
        <f>IF(meta_Columns[[#This Row],[Owning Table:src]]="","",INDEX(meta_Classifiers[Package],MATCH(meta_Columns[[#This Row],[Owning Table Instances Class]],meta_Classifiers[ID],0)))</f>
        <v>meta</v>
      </c>
      <c r="E228" s="43"/>
      <c r="F228" s="8" t="str">
        <f>INDEX(meta_Tables[Excel Table - Excel Name],MATCH(meta_Columns[[#This Row],[Owning Table:src]],meta_Tables[ID],0))</f>
        <v>meta_Rules</v>
      </c>
      <c r="G228" s="44" t="str">
        <f>INDEX(meta_Tables[Instances Class:src],MATCH(meta_Columns[[#This Row],[Owning Table:src]],meta_Tables[ID],0))</f>
        <v>_Rule</v>
      </c>
      <c r="H228" s="11" t="s">
        <v>1014</v>
      </c>
      <c r="I228" s="43" t="str">
        <f xml:space="preserve"> IF( TRIM( meta_Columns[[#This Row],[Owning Table:src]] ) = "", "",
        INDEX( meta_Tables[Display Qualified], MATCH( meta_Columns[[#This Row],[Owning Table:src]], meta_Tables[ID], 0 ) ) )</f>
        <v>meta::Rules</v>
      </c>
      <c r="K228" s="22" t="str">
        <f>IF(TRIM(meta_Columns[[#This Row],[Referenced Table:src]])="","",
    INDEX(meta_Tables[Display Qualified],MATCH(meta_Columns[[#This Row],[Referenced Table:src]],meta_Tables[ID],0)))</f>
        <v/>
      </c>
      <c r="L228" s="8"/>
      <c r="M228" s="22"/>
      <c r="N228" s="8" t="str">
        <f>IF(meta_Columns[[#This Row],[Excel Column - Excel Formula]]="","x","")</f>
        <v/>
      </c>
      <c r="O228" s="22"/>
      <c r="P228" s="8" t="str">
        <f>IF(meta_Columns[[#This Row],[Referenced Table:src]]="","",INDEX(meta_Tables[Instances Class],MATCH(meta_Columns[[#This Row],[Referenced Table:src]],meta_Tables[ID],0)))</f>
        <v/>
      </c>
      <c r="Q2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8" s="8"/>
      <c r="S228" s="22" t="str">
        <f xml:space="preserve"> IF( TRIM( meta_Columns[[#This Row],[Property:src]] ) = "", "",
        INDEX( meta_TypedModelElements[Display Qualified], MATCH( meta_Columns[[#This Row],[Property:src]], meta_TypedModelElements[ID], 0 ) ) )</f>
        <v/>
      </c>
      <c r="T228" s="22"/>
      <c r="U228" s="8" t="e">
        <f>INDEX(meta_Classifiers[Class - Generalization:src], MATCH(meta_Columns[[#This Row],[Generalization 5]],meta_Classifiers[ID],0))</f>
        <v>#N/A</v>
      </c>
      <c r="V228" s="8" t="e">
        <f>INDEX(meta_Classifiers[Class - Generalization:src], MATCH(meta_Columns[[#This Row],[Generalization 4]],meta_Classifiers[ID],0))</f>
        <v>#N/A</v>
      </c>
      <c r="W228" s="8" t="e">
        <f>INDEX(meta_Classifiers[Class - Generalization:src], MATCH(meta_Columns[[#This Row],[Generalization 3]],meta_Classifiers[ID],0))</f>
        <v>#N/A</v>
      </c>
      <c r="X228" s="8" t="str">
        <f>INDEX(meta_Classifiers[Class - Generalization:src], MATCH(meta_Columns[[#This Row],[Generalization 2]],meta_Classifiers[ID],0))</f>
        <v/>
      </c>
      <c r="Y228" s="8" t="str">
        <f>INDEX(meta_Classifiers[Class - Generalization:src], MATCH(meta_Columns[[#This Row],[Generalization 1]],meta_Classifiers[ID],0))</f>
        <v>_Object</v>
      </c>
      <c r="Z228" s="8" t="str">
        <f>INDEX(meta_Classifiers[Class - Generalization:src], MATCH(meta_Columns[[#This Row],[Owning Table Instances Class]],meta_Classifiers[ID],0))</f>
        <v>_NamedElement</v>
      </c>
      <c r="AA2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8" s="8" t="b">
        <f>_xlfn.IFNA(
INDEX(meta_Classifiers[Class - Generalization:src],MATCH(
INDEX(meta_Classifiers[Class - Generalization:src],MATCH(meta_Columns[[#This Row],[Property Owning Class]],meta_Classifiers[ID],0)),meta_Classifiers[ID],0))
=meta_Columns[[#This Row],[Owning Table Instances Class]],FALSE)</f>
        <v>0</v>
      </c>
      <c r="AG228" s="8" t="b">
        <f>_xlfn.IFNA(INDEX(meta_Classifiers[Class - Generalization:src],MATCH(meta_Columns[[#This Row],[Property Owning Class]],meta_Classifiers[ID],0))=meta_Columns[[#This Row],[Owning Table Instances Class]],FALSE)</f>
        <v>0</v>
      </c>
      <c r="AH2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8" s="8" t="e">
        <f>INDEX(meta_Classifiers[Name],MATCH(INDEX(meta_TypedModelElements[Property - Owning Class:src],MATCH(meta_Columns[[#This Row],[Property]],meta_TypedModelElements[ID],0)),meta_Classifiers[ID],0))</f>
        <v>#N/A</v>
      </c>
      <c r="AJ228" s="8" t="e">
        <f>INDEX(meta_TypedModelElements[Property - Owning Class:src],MATCH(meta_Columns[[#This Row],[Property]],meta_TypedModelElements[ID],0))</f>
        <v>#N/A</v>
      </c>
      <c r="AK228" s="8" t="e">
        <f>INDEX(meta_TypedModelElements[Kind:src],MATCH(meta_Columns[[#This Row],[Property]],meta_TypedModelElements[ID],0))</f>
        <v>#N/A</v>
      </c>
      <c r="AL228" s="8" t="e">
        <f>INDEX(meta_TypedModelElements[Name or Type],MATCH(meta_Columns[[#This Row],[Property]],meta_TypedModelElements[ID],0))</f>
        <v>#N/A</v>
      </c>
      <c r="AM228" s="8" t="e">
        <f>INDEX(meta_TypedModelElements[Property - Changeable],MATCH(meta_Columns[[#This Row],[Property]],meta_TypedModelElements[ID],0))</f>
        <v>#N/A</v>
      </c>
      <c r="AN228" s="43">
        <v>38</v>
      </c>
      <c r="AO228" s="22"/>
      <c r="AP2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8" s="8" t="str">
        <f xml:space="preserve"> IF(meta_Columns[[#This Row],[Property Owning Class is Specialization of Instance Class]],meta_Columns[[#This Row],[Property Owning Class Name]]&amp;" - ","")</f>
        <v/>
      </c>
      <c r="AR2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8" s="8" t="str">
        <f>IFERROR(LEFT(meta_Columns[[#This Row],[Excel Column - Label Actual without Semantic Case]],FIND("-",
meta_Columns[[#This Row],[Excel Column - Label Actual without Semantic Case]])-2),"")</f>
        <v/>
      </c>
      <c r="AU2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 At Line - 1</v>
      </c>
      <c r="AW2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 At Line - 1</v>
      </c>
      <c r="AX228" s="22"/>
      <c r="AY228" s="8" t="str">
        <f>meta_Columns[[#This Row],[Owning Table]]&amp;"."&amp;meta_Columns[[#This Row],[Excel Column - Label]]</f>
        <v>meta::Rules.Part:src At Line - 1</v>
      </c>
      <c r="AZ228" s="22" t="s">
        <v>150</v>
      </c>
      <c r="BA228" s="8" t="str">
        <f>IF(TRIM(meta_Columns[[#This Row],[Excel Column - Label Overwrite]])&lt;&gt;"",meta_Columns[[#This Row],[Excel Column - Label Overwrite]],meta_Columns[[#This Row],[Excel Column - Label from Property or Referenced Table]])</f>
        <v>Part:src At Line - 1</v>
      </c>
      <c r="BB228" s="43" t="s">
        <v>889</v>
      </c>
      <c r="BC228" s="44" t="str">
        <f>IF(meta_Columns[[#This Row],[Excel Column - Explicit Excel Formula]]="","",meta_Columns[[#This Row],[Excel Column - Explicit Excel Formula]])</f>
        <v>Formula:=IF([@[Line-1]]="","",INDEX([Part:src],MATCH([@[Rule Biz ID Without Line]]&amp;"_"&amp;[@[Line-1]],[Rule Biz ID],0)))</v>
      </c>
      <c r="BD228" s="5"/>
      <c r="BE228" s="5"/>
    </row>
    <row r="229" spans="1:57">
      <c r="A229" s="10" t="s">
        <v>1193</v>
      </c>
      <c r="B229" s="5" t="s">
        <v>546</v>
      </c>
      <c r="C229" s="22" t="str">
        <f xml:space="preserve"> IF( TRIM( meta_Columns[[#This Row],[Kind:src]] ) = "", "",
        INDEX( meta_Classifiers[Display Qualified], MATCH( meta_Columns[[#This Row],[Kind:src]], meta_Classifiers[ID], 0 ) ) )</f>
        <v>ExcelColumn</v>
      </c>
      <c r="D229" s="44" t="str">
        <f>IF(meta_Columns[[#This Row],[Owning Table:src]]="","",INDEX(meta_Classifiers[Package],MATCH(meta_Columns[[#This Row],[Owning Table Instances Class]],meta_Classifiers[ID],0)))</f>
        <v>meta</v>
      </c>
      <c r="E229" s="43"/>
      <c r="F229" s="8" t="str">
        <f>INDEX(meta_Tables[Excel Table - Excel Name],MATCH(meta_Columns[[#This Row],[Owning Table:src]],meta_Tables[ID],0))</f>
        <v>meta_Rules</v>
      </c>
      <c r="G229" s="44" t="str">
        <f>INDEX(meta_Tables[Instances Class:src],MATCH(meta_Columns[[#This Row],[Owning Table:src]],meta_Tables[ID],0))</f>
        <v>_Rule</v>
      </c>
      <c r="H229" s="11" t="s">
        <v>1014</v>
      </c>
      <c r="I229" s="43" t="str">
        <f xml:space="preserve"> IF( TRIM( meta_Columns[[#This Row],[Owning Table:src]] ) = "", "",
        INDEX( meta_Tables[Display Qualified], MATCH( meta_Columns[[#This Row],[Owning Table:src]], meta_Tables[ID], 0 ) ) )</f>
        <v>meta::Rules</v>
      </c>
      <c r="K229" s="22" t="str">
        <f>IF(TRIM(meta_Columns[[#This Row],[Referenced Table:src]])="","",
    INDEX(meta_Tables[Display Qualified],MATCH(meta_Columns[[#This Row],[Referenced Table:src]],meta_Tables[ID],0)))</f>
        <v/>
      </c>
      <c r="L229" s="8"/>
      <c r="M229" s="22"/>
      <c r="N229" s="8" t="str">
        <f>IF(meta_Columns[[#This Row],[Excel Column - Excel Formula]]="","x","")</f>
        <v/>
      </c>
      <c r="O229" s="22"/>
      <c r="P229" s="8" t="str">
        <f>IF(meta_Columns[[#This Row],[Referenced Table:src]]="","",INDEX(meta_Tables[Instances Class],MATCH(meta_Columns[[#This Row],[Referenced Table:src]],meta_Tables[ID],0)))</f>
        <v/>
      </c>
      <c r="Q2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29" s="8"/>
      <c r="S229" s="22" t="str">
        <f xml:space="preserve"> IF( TRIM( meta_Columns[[#This Row],[Property:src]] ) = "", "",
        INDEX( meta_TypedModelElements[Display Qualified], MATCH( meta_Columns[[#This Row],[Property:src]], meta_TypedModelElements[ID], 0 ) ) )</f>
        <v/>
      </c>
      <c r="T229" s="22"/>
      <c r="U229" s="8" t="e">
        <f>INDEX(meta_Classifiers[Class - Generalization:src], MATCH(meta_Columns[[#This Row],[Generalization 5]],meta_Classifiers[ID],0))</f>
        <v>#N/A</v>
      </c>
      <c r="V229" s="8" t="e">
        <f>INDEX(meta_Classifiers[Class - Generalization:src], MATCH(meta_Columns[[#This Row],[Generalization 4]],meta_Classifiers[ID],0))</f>
        <v>#N/A</v>
      </c>
      <c r="W229" s="8" t="e">
        <f>INDEX(meta_Classifiers[Class - Generalization:src], MATCH(meta_Columns[[#This Row],[Generalization 3]],meta_Classifiers[ID],0))</f>
        <v>#N/A</v>
      </c>
      <c r="X229" s="8" t="str">
        <f>INDEX(meta_Classifiers[Class - Generalization:src], MATCH(meta_Columns[[#This Row],[Generalization 2]],meta_Classifiers[ID],0))</f>
        <v/>
      </c>
      <c r="Y229" s="8" t="str">
        <f>INDEX(meta_Classifiers[Class - Generalization:src], MATCH(meta_Columns[[#This Row],[Generalization 1]],meta_Classifiers[ID],0))</f>
        <v>_Object</v>
      </c>
      <c r="Z229" s="8" t="str">
        <f>INDEX(meta_Classifiers[Class - Generalization:src], MATCH(meta_Columns[[#This Row],[Owning Table Instances Class]],meta_Classifiers[ID],0))</f>
        <v>_NamedElement</v>
      </c>
      <c r="AA2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9" s="8" t="b">
        <f>_xlfn.IFNA(
INDEX(meta_Classifiers[Class - Generalization:src],MATCH(
INDEX(meta_Classifiers[Class - Generalization:src],MATCH(meta_Columns[[#This Row],[Property Owning Class]],meta_Classifiers[ID],0)),meta_Classifiers[ID],0))
=meta_Columns[[#This Row],[Owning Table Instances Class]],FALSE)</f>
        <v>0</v>
      </c>
      <c r="AG229" s="8" t="b">
        <f>_xlfn.IFNA(INDEX(meta_Classifiers[Class - Generalization:src],MATCH(meta_Columns[[#This Row],[Property Owning Class]],meta_Classifiers[ID],0))=meta_Columns[[#This Row],[Owning Table Instances Class]],FALSE)</f>
        <v>0</v>
      </c>
      <c r="AH2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9" s="8" t="e">
        <f>INDEX(meta_Classifiers[Name],MATCH(INDEX(meta_TypedModelElements[Property - Owning Class:src],MATCH(meta_Columns[[#This Row],[Property]],meta_TypedModelElements[ID],0)),meta_Classifiers[ID],0))</f>
        <v>#N/A</v>
      </c>
      <c r="AJ229" s="8" t="e">
        <f>INDEX(meta_TypedModelElements[Property - Owning Class:src],MATCH(meta_Columns[[#This Row],[Property]],meta_TypedModelElements[ID],0))</f>
        <v>#N/A</v>
      </c>
      <c r="AK229" s="8" t="e">
        <f>INDEX(meta_TypedModelElements[Kind:src],MATCH(meta_Columns[[#This Row],[Property]],meta_TypedModelElements[ID],0))</f>
        <v>#N/A</v>
      </c>
      <c r="AL229" s="8" t="e">
        <f>INDEX(meta_TypedModelElements[Name or Type],MATCH(meta_Columns[[#This Row],[Property]],meta_TypedModelElements[ID],0))</f>
        <v>#N/A</v>
      </c>
      <c r="AM229" s="8" t="e">
        <f>INDEX(meta_TypedModelElements[Property - Changeable],MATCH(meta_Columns[[#This Row],[Property]],meta_TypedModelElements[ID],0))</f>
        <v>#N/A</v>
      </c>
      <c r="AN229" s="43">
        <v>39</v>
      </c>
      <c r="AO229" s="22"/>
      <c r="AP2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9" s="8" t="str">
        <f xml:space="preserve"> IF(meta_Columns[[#This Row],[Property Owning Class is Specialization of Instance Class]],meta_Columns[[#This Row],[Property Owning Class Name]]&amp;" - ","")</f>
        <v/>
      </c>
      <c r="AR2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1</v>
      </c>
      <c r="AT229" s="8" t="str">
        <f>IFERROR(LEFT(meta_Columns[[#This Row],[Excel Column - Label Actual without Semantic Case]],FIND("-",
meta_Columns[[#This Row],[Excel Column - Label Actual without Semantic Case]])-2),"")</f>
        <v>Lin</v>
      </c>
      <c r="AU2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Line-1</v>
      </c>
      <c r="AV2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Line-1</v>
      </c>
      <c r="AX229" s="22"/>
      <c r="AY229" s="8" t="str">
        <f>meta_Columns[[#This Row],[Owning Table]]&amp;"."&amp;meta_Columns[[#This Row],[Excel Column - Label]]</f>
        <v>meta::Rules.Line-1</v>
      </c>
      <c r="AZ229" s="22" t="s">
        <v>146</v>
      </c>
      <c r="BA229" s="8" t="str">
        <f>IF(TRIM(meta_Columns[[#This Row],[Excel Column - Label Overwrite]])&lt;&gt;"",meta_Columns[[#This Row],[Excel Column - Label Overwrite]],meta_Columns[[#This Row],[Excel Column - Label from Property or Referenced Table]])</f>
        <v>Line-1</v>
      </c>
      <c r="BB229" s="43" t="s">
        <v>890</v>
      </c>
      <c r="BC229" s="44" t="str">
        <f>IF(meta_Columns[[#This Row],[Excel Column - Explicit Excel Formula]]="","",meta_Columns[[#This Row],[Excel Column - Explicit Excel Formula]])</f>
        <v>Formula:=IF(TRIM([@Line])="","",IF([@Line]=1,"",[@Line]-1))</v>
      </c>
      <c r="BD229" s="5"/>
      <c r="BE229" s="5"/>
    </row>
    <row r="230" spans="1:57">
      <c r="A230" s="10" t="s">
        <v>1194</v>
      </c>
      <c r="B230" s="5" t="s">
        <v>546</v>
      </c>
      <c r="C230" s="22" t="str">
        <f xml:space="preserve"> IF( TRIM( meta_Columns[[#This Row],[Kind:src]] ) = "", "",
        INDEX( meta_Classifiers[Display Qualified], MATCH( meta_Columns[[#This Row],[Kind:src]], meta_Classifiers[ID], 0 ) ) )</f>
        <v>ExcelColumn</v>
      </c>
      <c r="D230" s="44" t="str">
        <f>IF(meta_Columns[[#This Row],[Owning Table:src]]="","",INDEX(meta_Classifiers[Package],MATCH(meta_Columns[[#This Row],[Owning Table Instances Class]],meta_Classifiers[ID],0)))</f>
        <v>meta</v>
      </c>
      <c r="E230" s="43"/>
      <c r="F230" s="8" t="str">
        <f>INDEX(meta_Tables[Excel Table - Excel Name],MATCH(meta_Columns[[#This Row],[Owning Table:src]],meta_Tables[ID],0))</f>
        <v>meta_Rules</v>
      </c>
      <c r="G230" s="44" t="str">
        <f>INDEX(meta_Tables[Instances Class:src],MATCH(meta_Columns[[#This Row],[Owning Table:src]],meta_Tables[ID],0))</f>
        <v>_Rule</v>
      </c>
      <c r="H230" s="11" t="s">
        <v>1014</v>
      </c>
      <c r="I230" s="43" t="str">
        <f xml:space="preserve"> IF( TRIM( meta_Columns[[#This Row],[Owning Table:src]] ) = "", "",
        INDEX( meta_Tables[Display Qualified], MATCH( meta_Columns[[#This Row],[Owning Table:src]], meta_Tables[ID], 0 ) ) )</f>
        <v>meta::Rules</v>
      </c>
      <c r="K230" s="22" t="str">
        <f>IF(TRIM(meta_Columns[[#This Row],[Referenced Table:src]])="","",
    INDEX(meta_Tables[Display Qualified],MATCH(meta_Columns[[#This Row],[Referenced Table:src]],meta_Tables[ID],0)))</f>
        <v/>
      </c>
      <c r="L230" s="8"/>
      <c r="M230" s="22"/>
      <c r="N230" s="8" t="str">
        <f>IF(meta_Columns[[#This Row],[Excel Column - Excel Formula]]="","x","")</f>
        <v/>
      </c>
      <c r="O230" s="22"/>
      <c r="P230" s="8" t="str">
        <f>IF(meta_Columns[[#This Row],[Referenced Table:src]]="","",INDEX(meta_Tables[Instances Class],MATCH(meta_Columns[[#This Row],[Referenced Table:src]],meta_Tables[ID],0)))</f>
        <v/>
      </c>
      <c r="Q2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meta::Rule.indent</v>
      </c>
      <c r="R230" s="8"/>
      <c r="S230" s="22" t="str">
        <f xml:space="preserve"> IF( TRIM( meta_Columns[[#This Row],[Property:src]] ) = "", "",
        INDEX( meta_TypedModelElements[Display Qualified], MATCH( meta_Columns[[#This Row],[Property:src]], meta_TypedModelElements[ID], 0 ) ) )</f>
        <v/>
      </c>
      <c r="T230" s="22"/>
      <c r="U230" s="8" t="e">
        <f>INDEX(meta_Classifiers[Class - Generalization:src], MATCH(meta_Columns[[#This Row],[Generalization 5]],meta_Classifiers[ID],0))</f>
        <v>#N/A</v>
      </c>
      <c r="V230" s="8" t="e">
        <f>INDEX(meta_Classifiers[Class - Generalization:src], MATCH(meta_Columns[[#This Row],[Generalization 4]],meta_Classifiers[ID],0))</f>
        <v>#N/A</v>
      </c>
      <c r="W230" s="8" t="e">
        <f>INDEX(meta_Classifiers[Class - Generalization:src], MATCH(meta_Columns[[#This Row],[Generalization 3]],meta_Classifiers[ID],0))</f>
        <v>#N/A</v>
      </c>
      <c r="X230" s="8" t="str">
        <f>INDEX(meta_Classifiers[Class - Generalization:src], MATCH(meta_Columns[[#This Row],[Generalization 2]],meta_Classifiers[ID],0))</f>
        <v/>
      </c>
      <c r="Y230" s="8" t="str">
        <f>INDEX(meta_Classifiers[Class - Generalization:src], MATCH(meta_Columns[[#This Row],[Generalization 1]],meta_Classifiers[ID],0))</f>
        <v>_Object</v>
      </c>
      <c r="Z230" s="8" t="str">
        <f>INDEX(meta_Classifiers[Class - Generalization:src], MATCH(meta_Columns[[#This Row],[Owning Table Instances Class]],meta_Classifiers[ID],0))</f>
        <v>_NamedElement</v>
      </c>
      <c r="AA2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0" s="8" t="b">
        <f>_xlfn.IFNA(
INDEX(meta_Classifiers[Class - Generalization:src],MATCH(
INDEX(meta_Classifiers[Class - Generalization:src],MATCH(meta_Columns[[#This Row],[Property Owning Class]],meta_Classifiers[ID],0)),meta_Classifiers[ID],0))
=meta_Columns[[#This Row],[Owning Table Instances Class]],FALSE)</f>
        <v>0</v>
      </c>
      <c r="AG230" s="8" t="b">
        <f>_xlfn.IFNA(INDEX(meta_Classifiers[Class - Generalization:src],MATCH(meta_Columns[[#This Row],[Property Owning Class]],meta_Classifiers[ID],0))=meta_Columns[[#This Row],[Owning Table Instances Class]],FALSE)</f>
        <v>0</v>
      </c>
      <c r="AH2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0" s="8" t="e">
        <f>INDEX(meta_Classifiers[Name],MATCH(INDEX(meta_TypedModelElements[Property - Owning Class:src],MATCH(meta_Columns[[#This Row],[Property]],meta_TypedModelElements[ID],0)),meta_Classifiers[ID],0))</f>
        <v>#N/A</v>
      </c>
      <c r="AJ230" s="8" t="e">
        <f>INDEX(meta_TypedModelElements[Property - Owning Class:src],MATCH(meta_Columns[[#This Row],[Property]],meta_TypedModelElements[ID],0))</f>
        <v>#N/A</v>
      </c>
      <c r="AK230" s="8" t="e">
        <f>INDEX(meta_TypedModelElements[Kind:src],MATCH(meta_Columns[[#This Row],[Property]],meta_TypedModelElements[ID],0))</f>
        <v>#N/A</v>
      </c>
      <c r="AL230" s="8" t="e">
        <f>INDEX(meta_TypedModelElements[Name or Type],MATCH(meta_Columns[[#This Row],[Property]],meta_TypedModelElements[ID],0))</f>
        <v>#N/A</v>
      </c>
      <c r="AM230" s="8" t="e">
        <f>INDEX(meta_TypedModelElements[Property - Changeable],MATCH(meta_Columns[[#This Row],[Property]],meta_TypedModelElements[ID],0))</f>
        <v>#N/A</v>
      </c>
      <c r="AN230" s="43">
        <v>40</v>
      </c>
      <c r="AO230" s="22"/>
      <c r="AP2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0" s="8" t="str">
        <f xml:space="preserve"> IF(meta_Columns[[#This Row],[Property Owning Class is Specialization of Instance Class]],meta_Columns[[#This Row],[Property Owning Class Name]]&amp;" - ","")</f>
        <v/>
      </c>
      <c r="AR2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Indent</v>
      </c>
      <c r="AT230" s="8" t="str">
        <f>IFERROR(LEFT(meta_Columns[[#This Row],[Excel Column - Label Actual without Semantic Case]],FIND("-",
meta_Columns[[#This Row],[Excel Column - Label Actual without Semantic Case]])-2),"")</f>
        <v/>
      </c>
      <c r="AU2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Indent</v>
      </c>
      <c r="AV2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Indent</v>
      </c>
      <c r="AX230" s="22"/>
      <c r="AY230" s="8" t="str">
        <f>meta_Columns[[#This Row],[Owning Table]]&amp;"."&amp;meta_Columns[[#This Row],[Excel Column - Label]]</f>
        <v>meta::Rules.Indent</v>
      </c>
      <c r="AZ230" s="22" t="s">
        <v>145</v>
      </c>
      <c r="BA230" s="8" t="str">
        <f>IF(TRIM(meta_Columns[[#This Row],[Excel Column - Label Overwrite]])&lt;&gt;"",meta_Columns[[#This Row],[Excel Column - Label Overwrite]],meta_Columns[[#This Row],[Excel Column - Label from Property or Referenced Table]])</f>
        <v>Indent</v>
      </c>
      <c r="BB230" s="43" t="s">
        <v>891</v>
      </c>
      <c r="BC230" s="44" t="str">
        <f>IF(meta_Columns[[#This Row],[Excel Column - Explicit Excel Formula]]="","",meta_Columns[[#This Row],[Excel Column - Explicit Excel Formula]])</f>
        <v>Formula:=IF(TRIM([@Line])="",0,IF([@Line]=1,0,
999))</v>
      </c>
      <c r="BD230" s="5"/>
      <c r="BE230" s="5"/>
    </row>
    <row r="231" spans="1:57">
      <c r="A231" s="10" t="s">
        <v>1195</v>
      </c>
      <c r="B231" s="5" t="s">
        <v>546</v>
      </c>
      <c r="C231" s="22" t="str">
        <f xml:space="preserve"> IF( TRIM( meta_Columns[[#This Row],[Kind:src]] ) = "", "",
        INDEX( meta_Classifiers[Display Qualified], MATCH( meta_Columns[[#This Row],[Kind:src]], meta_Classifiers[ID], 0 ) ) )</f>
        <v>ExcelColumn</v>
      </c>
      <c r="D231" s="44" t="str">
        <f>IF(meta_Columns[[#This Row],[Owning Table:src]]="","",INDEX(meta_Classifiers[Package],MATCH(meta_Columns[[#This Row],[Owning Table Instances Class]],meta_Classifiers[ID],0)))</f>
        <v>meta</v>
      </c>
      <c r="E231" s="43"/>
      <c r="F231" s="8" t="str">
        <f>INDEX(meta_Tables[Excel Table - Excel Name],MATCH(meta_Columns[[#This Row],[Owning Table:src]],meta_Tables[ID],0))</f>
        <v>meta_Rules</v>
      </c>
      <c r="G231" s="44" t="str">
        <f>INDEX(meta_Tables[Instances Class:src],MATCH(meta_Columns[[#This Row],[Owning Table:src]],meta_Tables[ID],0))</f>
        <v>_Rule</v>
      </c>
      <c r="H231" s="11" t="s">
        <v>1014</v>
      </c>
      <c r="I231" s="43" t="str">
        <f xml:space="preserve"> IF( TRIM( meta_Columns[[#This Row],[Owning Table:src]] ) = "", "",
        INDEX( meta_Tables[Display Qualified], MATCH( meta_Columns[[#This Row],[Owning Table:src]], meta_Tables[ID], 0 ) ) )</f>
        <v>meta::Rules</v>
      </c>
      <c r="K231" s="22" t="str">
        <f>IF(TRIM(meta_Columns[[#This Row],[Referenced Table:src]])="","",
    INDEX(meta_Tables[Display Qualified],MATCH(meta_Columns[[#This Row],[Referenced Table:src]],meta_Tables[ID],0)))</f>
        <v/>
      </c>
      <c r="L231" s="8"/>
      <c r="M231" s="22"/>
      <c r="N231" s="8" t="str">
        <f>IF(meta_Columns[[#This Row],[Excel Column - Excel Formula]]="","x","")</f>
        <v>x</v>
      </c>
      <c r="O231" s="22"/>
      <c r="P231" s="8" t="str">
        <f>IF(meta_Columns[[#This Row],[Referenced Table:src]]="","",INDEX(meta_Tables[Instances Class],MATCH(meta_Columns[[#This Row],[Referenced Table:src]],meta_Tables[ID],0)))</f>
        <v/>
      </c>
      <c r="Q2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meta::Rule.generation</v>
      </c>
      <c r="R231" s="8"/>
      <c r="S231" s="22" t="str">
        <f xml:space="preserve"> IF( TRIM( meta_Columns[[#This Row],[Property:src]] ) = "", "",
        INDEX( meta_TypedModelElements[Display Qualified], MATCH( meta_Columns[[#This Row],[Property:src]], meta_TypedModelElements[ID], 0 ) ) )</f>
        <v/>
      </c>
      <c r="T231" s="22"/>
      <c r="U231" s="8" t="e">
        <f>INDEX(meta_Classifiers[Class - Generalization:src], MATCH(meta_Columns[[#This Row],[Generalization 5]],meta_Classifiers[ID],0))</f>
        <v>#N/A</v>
      </c>
      <c r="V231" s="8" t="e">
        <f>INDEX(meta_Classifiers[Class - Generalization:src], MATCH(meta_Columns[[#This Row],[Generalization 4]],meta_Classifiers[ID],0))</f>
        <v>#N/A</v>
      </c>
      <c r="W231" s="8" t="e">
        <f>INDEX(meta_Classifiers[Class - Generalization:src], MATCH(meta_Columns[[#This Row],[Generalization 3]],meta_Classifiers[ID],0))</f>
        <v>#N/A</v>
      </c>
      <c r="X231" s="8" t="str">
        <f>INDEX(meta_Classifiers[Class - Generalization:src], MATCH(meta_Columns[[#This Row],[Generalization 2]],meta_Classifiers[ID],0))</f>
        <v/>
      </c>
      <c r="Y231" s="8" t="str">
        <f>INDEX(meta_Classifiers[Class - Generalization:src], MATCH(meta_Columns[[#This Row],[Generalization 1]],meta_Classifiers[ID],0))</f>
        <v>_Object</v>
      </c>
      <c r="Z231" s="8" t="str">
        <f>INDEX(meta_Classifiers[Class - Generalization:src], MATCH(meta_Columns[[#This Row],[Owning Table Instances Class]],meta_Classifiers[ID],0))</f>
        <v>_NamedElement</v>
      </c>
      <c r="AA2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1" s="8" t="b">
        <f>_xlfn.IFNA(
INDEX(meta_Classifiers[Class - Generalization:src],MATCH(
INDEX(meta_Classifiers[Class - Generalization:src],MATCH(meta_Columns[[#This Row],[Property Owning Class]],meta_Classifiers[ID],0)),meta_Classifiers[ID],0))
=meta_Columns[[#This Row],[Owning Table Instances Class]],FALSE)</f>
        <v>0</v>
      </c>
      <c r="AG231" s="8" t="b">
        <f>_xlfn.IFNA(INDEX(meta_Classifiers[Class - Generalization:src],MATCH(meta_Columns[[#This Row],[Property Owning Class]],meta_Classifiers[ID],0))=meta_Columns[[#This Row],[Owning Table Instances Class]],FALSE)</f>
        <v>0</v>
      </c>
      <c r="AH2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1" s="8" t="e">
        <f>INDEX(meta_Classifiers[Name],MATCH(INDEX(meta_TypedModelElements[Property - Owning Class:src],MATCH(meta_Columns[[#This Row],[Property]],meta_TypedModelElements[ID],0)),meta_Classifiers[ID],0))</f>
        <v>#N/A</v>
      </c>
      <c r="AJ231" s="8" t="e">
        <f>INDEX(meta_TypedModelElements[Property - Owning Class:src],MATCH(meta_Columns[[#This Row],[Property]],meta_TypedModelElements[ID],0))</f>
        <v>#N/A</v>
      </c>
      <c r="AK231" s="8" t="e">
        <f>INDEX(meta_TypedModelElements[Kind:src],MATCH(meta_Columns[[#This Row],[Property]],meta_TypedModelElements[ID],0))</f>
        <v>#N/A</v>
      </c>
      <c r="AL231" s="8" t="e">
        <f>INDEX(meta_TypedModelElements[Name or Type],MATCH(meta_Columns[[#This Row],[Property]],meta_TypedModelElements[ID],0))</f>
        <v>#N/A</v>
      </c>
      <c r="AM231" s="8" t="e">
        <f>INDEX(meta_TypedModelElements[Property - Changeable],MATCH(meta_Columns[[#This Row],[Property]],meta_TypedModelElements[ID],0))</f>
        <v>#N/A</v>
      </c>
      <c r="AN231" s="43">
        <v>41</v>
      </c>
      <c r="AO231" s="22">
        <v>16</v>
      </c>
      <c r="AP2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1" s="8" t="str">
        <f xml:space="preserve"> IF(meta_Columns[[#This Row],[Property Owning Class is Specialization of Instance Class]],meta_Columns[[#This Row],[Property Owning Class Name]]&amp;" - ","")</f>
        <v/>
      </c>
      <c r="AR2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Generation</v>
      </c>
      <c r="AT231" s="8" t="str">
        <f>IFERROR(LEFT(meta_Columns[[#This Row],[Excel Column - Label Actual without Semantic Case]],FIND("-",
meta_Columns[[#This Row],[Excel Column - Label Actual without Semantic Case]])-2),"")</f>
        <v/>
      </c>
      <c r="AU2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Generation</v>
      </c>
      <c r="AV2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Generation</v>
      </c>
      <c r="AX231" s="22"/>
      <c r="AY231" s="8" t="str">
        <f>meta_Columns[[#This Row],[Owning Table]]&amp;"."&amp;meta_Columns[[#This Row],[Excel Column - Label]]</f>
        <v>meta::Rules.Generation</v>
      </c>
      <c r="AZ231" s="22" t="s">
        <v>144</v>
      </c>
      <c r="BA231" s="8" t="str">
        <f>IF(TRIM(meta_Columns[[#This Row],[Excel Column - Label Overwrite]])&lt;&gt;"",meta_Columns[[#This Row],[Excel Column - Label Overwrite]],meta_Columns[[#This Row],[Excel Column - Label from Property or Referenced Table]])</f>
        <v>Generation</v>
      </c>
      <c r="BB231" s="43"/>
      <c r="BC231" s="44" t="str">
        <f>IF(meta_Columns[[#This Row],[Excel Column - Explicit Excel Formula]]="","",meta_Columns[[#This Row],[Excel Column - Explicit Excel Formula]])</f>
        <v/>
      </c>
      <c r="BD231" s="5"/>
      <c r="BE231" s="5"/>
    </row>
    <row r="232" spans="1:57">
      <c r="A232" s="10" t="s">
        <v>1196</v>
      </c>
      <c r="B232" s="5" t="s">
        <v>546</v>
      </c>
      <c r="C232" s="22" t="str">
        <f xml:space="preserve"> IF( TRIM( meta_Columns[[#This Row],[Kind:src]] ) = "", "",
        INDEX( meta_Classifiers[Display Qualified], MATCH( meta_Columns[[#This Row],[Kind:src]], meta_Classifiers[ID], 0 ) ) )</f>
        <v>ExcelColumn</v>
      </c>
      <c r="D232" s="44" t="str">
        <f>IF(meta_Columns[[#This Row],[Owning Table:src]]="","",INDEX(meta_Classifiers[Package],MATCH(meta_Columns[[#This Row],[Owning Table Instances Class]],meta_Classifiers[ID],0)))</f>
        <v>meta</v>
      </c>
      <c r="E232" s="43"/>
      <c r="F232" s="8" t="str">
        <f>INDEX(meta_Tables[Excel Table - Excel Name],MATCH(meta_Columns[[#This Row],[Owning Table:src]],meta_Tables[ID],0))</f>
        <v>meta_Rules</v>
      </c>
      <c r="G232" s="44" t="str">
        <f>INDEX(meta_Tables[Instances Class:src],MATCH(meta_Columns[[#This Row],[Owning Table:src]],meta_Tables[ID],0))</f>
        <v>_Rule</v>
      </c>
      <c r="H232" s="11" t="s">
        <v>1014</v>
      </c>
      <c r="I232" s="43" t="str">
        <f xml:space="preserve"> IF( TRIM( meta_Columns[[#This Row],[Owning Table:src]] ) = "", "",
        INDEX( meta_Tables[Display Qualified], MATCH( meta_Columns[[#This Row],[Owning Table:src]], meta_Tables[ID], 0 ) ) )</f>
        <v>meta::Rules</v>
      </c>
      <c r="K232" s="22" t="str">
        <f>IF(TRIM(meta_Columns[[#This Row],[Referenced Table:src]])="","",
    INDEX(meta_Tables[Display Qualified],MATCH(meta_Columns[[#This Row],[Referenced Table:src]],meta_Tables[ID],0)))</f>
        <v/>
      </c>
      <c r="L232" s="8"/>
      <c r="M232" s="22"/>
      <c r="N232" s="8" t="str">
        <f>IF(meta_Columns[[#This Row],[Excel Column - Excel Formula]]="","x","")</f>
        <v>x</v>
      </c>
      <c r="O232" s="22"/>
      <c r="P232" s="8" t="str">
        <f>IF(meta_Columns[[#This Row],[Referenced Table:src]]="","",INDEX(meta_Tables[Instances Class],MATCH(meta_Columns[[#This Row],[Referenced Table:src]],meta_Tables[ID],0)))</f>
        <v/>
      </c>
      <c r="Q2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meta::Rule.operator</v>
      </c>
      <c r="R232" s="8"/>
      <c r="S232" s="22" t="str">
        <f xml:space="preserve"> IF( TRIM( meta_Columns[[#This Row],[Property:src]] ) = "", "",
        INDEX( meta_TypedModelElements[Display Qualified], MATCH( meta_Columns[[#This Row],[Property:src]], meta_TypedModelElements[ID], 0 ) ) )</f>
        <v/>
      </c>
      <c r="T232" s="22"/>
      <c r="U232" s="8" t="e">
        <f>INDEX(meta_Classifiers[Class - Generalization:src], MATCH(meta_Columns[[#This Row],[Generalization 5]],meta_Classifiers[ID],0))</f>
        <v>#N/A</v>
      </c>
      <c r="V232" s="8" t="e">
        <f>INDEX(meta_Classifiers[Class - Generalization:src], MATCH(meta_Columns[[#This Row],[Generalization 4]],meta_Classifiers[ID],0))</f>
        <v>#N/A</v>
      </c>
      <c r="W232" s="8" t="e">
        <f>INDEX(meta_Classifiers[Class - Generalization:src], MATCH(meta_Columns[[#This Row],[Generalization 3]],meta_Classifiers[ID],0))</f>
        <v>#N/A</v>
      </c>
      <c r="X232" s="8" t="str">
        <f>INDEX(meta_Classifiers[Class - Generalization:src], MATCH(meta_Columns[[#This Row],[Generalization 2]],meta_Classifiers[ID],0))</f>
        <v/>
      </c>
      <c r="Y232" s="8" t="str">
        <f>INDEX(meta_Classifiers[Class - Generalization:src], MATCH(meta_Columns[[#This Row],[Generalization 1]],meta_Classifiers[ID],0))</f>
        <v>_Object</v>
      </c>
      <c r="Z232" s="8" t="str">
        <f>INDEX(meta_Classifiers[Class - Generalization:src], MATCH(meta_Columns[[#This Row],[Owning Table Instances Class]],meta_Classifiers[ID],0))</f>
        <v>_NamedElement</v>
      </c>
      <c r="AA2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2" s="8" t="b">
        <f>_xlfn.IFNA(
INDEX(meta_Classifiers[Class - Generalization:src],MATCH(
INDEX(meta_Classifiers[Class - Generalization:src],MATCH(meta_Columns[[#This Row],[Property Owning Class]],meta_Classifiers[ID],0)),meta_Classifiers[ID],0))
=meta_Columns[[#This Row],[Owning Table Instances Class]],FALSE)</f>
        <v>0</v>
      </c>
      <c r="AG232" s="8" t="b">
        <f>_xlfn.IFNA(INDEX(meta_Classifiers[Class - Generalization:src],MATCH(meta_Columns[[#This Row],[Property Owning Class]],meta_Classifiers[ID],0))=meta_Columns[[#This Row],[Owning Table Instances Class]],FALSE)</f>
        <v>0</v>
      </c>
      <c r="AH2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2" s="8" t="e">
        <f>INDEX(meta_Classifiers[Name],MATCH(INDEX(meta_TypedModelElements[Property - Owning Class:src],MATCH(meta_Columns[[#This Row],[Property]],meta_TypedModelElements[ID],0)),meta_Classifiers[ID],0))</f>
        <v>#N/A</v>
      </c>
      <c r="AJ232" s="8" t="e">
        <f>INDEX(meta_TypedModelElements[Property - Owning Class:src],MATCH(meta_Columns[[#This Row],[Property]],meta_TypedModelElements[ID],0))</f>
        <v>#N/A</v>
      </c>
      <c r="AK232" s="8" t="e">
        <f>INDEX(meta_TypedModelElements[Kind:src],MATCH(meta_Columns[[#This Row],[Property]],meta_TypedModelElements[ID],0))</f>
        <v>#N/A</v>
      </c>
      <c r="AL232" s="8" t="e">
        <f>INDEX(meta_TypedModelElements[Name or Type],MATCH(meta_Columns[[#This Row],[Property]],meta_TypedModelElements[ID],0))</f>
        <v>#N/A</v>
      </c>
      <c r="AM232" s="8" t="e">
        <f>INDEX(meta_TypedModelElements[Property - Changeable],MATCH(meta_Columns[[#This Row],[Property]],meta_TypedModelElements[ID],0))</f>
        <v>#N/A</v>
      </c>
      <c r="AN232" s="43">
        <v>42</v>
      </c>
      <c r="AO232" s="22">
        <v>17</v>
      </c>
      <c r="AP2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2" s="8" t="str">
        <f xml:space="preserve"> IF(meta_Columns[[#This Row],[Property Owning Class is Specialization of Instance Class]],meta_Columns[[#This Row],[Property Owning Class Name]]&amp;" - ","")</f>
        <v/>
      </c>
      <c r="AR2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Operator</v>
      </c>
      <c r="AT232" s="8" t="str">
        <f>IFERROR(LEFT(meta_Columns[[#This Row],[Excel Column - Label Actual without Semantic Case]],FIND("-",
meta_Columns[[#This Row],[Excel Column - Label Actual without Semantic Case]])-2),"")</f>
        <v/>
      </c>
      <c r="AU2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Operator</v>
      </c>
      <c r="AV2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Operator</v>
      </c>
      <c r="AX232" s="22"/>
      <c r="AY232" s="8" t="str">
        <f>meta_Columns[[#This Row],[Owning Table]]&amp;"."&amp;meta_Columns[[#This Row],[Excel Column - Label]]</f>
        <v>meta::Rules.Operator</v>
      </c>
      <c r="AZ232" s="22" t="s">
        <v>29</v>
      </c>
      <c r="BA232" s="8" t="str">
        <f>IF(TRIM(meta_Columns[[#This Row],[Excel Column - Label Overwrite]])&lt;&gt;"",meta_Columns[[#This Row],[Excel Column - Label Overwrite]],meta_Columns[[#This Row],[Excel Column - Label from Property or Referenced Table]])</f>
        <v>Operator</v>
      </c>
      <c r="BB232" s="43"/>
      <c r="BC232" s="44" t="str">
        <f>IF(meta_Columns[[#This Row],[Excel Column - Explicit Excel Formula]]="","",meta_Columns[[#This Row],[Excel Column - Explicit Excel Formula]])</f>
        <v/>
      </c>
      <c r="BD232" s="5"/>
      <c r="BE232" s="5"/>
    </row>
    <row r="233" spans="1:57">
      <c r="A233" s="10" t="s">
        <v>1197</v>
      </c>
      <c r="B233" s="5" t="s">
        <v>546</v>
      </c>
      <c r="C233" s="22" t="str">
        <f xml:space="preserve"> IF( TRIM( meta_Columns[[#This Row],[Kind:src]] ) = "", "",
        INDEX( meta_Classifiers[Display Qualified], MATCH( meta_Columns[[#This Row],[Kind:src]], meta_Classifiers[ID], 0 ) ) )</f>
        <v>ExcelColumn</v>
      </c>
      <c r="D233" s="44" t="str">
        <f>IF(meta_Columns[[#This Row],[Owning Table:src]]="","",INDEX(meta_Classifiers[Package],MATCH(meta_Columns[[#This Row],[Owning Table Instances Class]],meta_Classifiers[ID],0)))</f>
        <v>meta</v>
      </c>
      <c r="E233" s="43"/>
      <c r="F233" s="8" t="str">
        <f>INDEX(meta_Tables[Excel Table - Excel Name],MATCH(meta_Columns[[#This Row],[Owning Table:src]],meta_Tables[ID],0))</f>
        <v>meta_Rules</v>
      </c>
      <c r="G233" s="44" t="str">
        <f>INDEX(meta_Tables[Instances Class:src],MATCH(meta_Columns[[#This Row],[Owning Table:src]],meta_Tables[ID],0))</f>
        <v>_Rule</v>
      </c>
      <c r="H233" s="11" t="s">
        <v>1014</v>
      </c>
      <c r="I233" s="43" t="str">
        <f xml:space="preserve"> IF( TRIM( meta_Columns[[#This Row],[Owning Table:src]] ) = "", "",
        INDEX( meta_Tables[Display Qualified], MATCH( meta_Columns[[#This Row],[Owning Table:src]], meta_Tables[ID], 0 ) ) )</f>
        <v>meta::Rules</v>
      </c>
      <c r="K233" s="22" t="str">
        <f>IF(TRIM(meta_Columns[[#This Row],[Referenced Table:src]])="","",
    INDEX(meta_Tables[Display Qualified],MATCH(meta_Columns[[#This Row],[Referenced Table:src]],meta_Tables[ID],0)))</f>
        <v/>
      </c>
      <c r="L233" s="8"/>
      <c r="M233" s="22"/>
      <c r="N233" s="8" t="str">
        <f>IF(meta_Columns[[#This Row],[Excel Column - Excel Formula]]="","x","")</f>
        <v/>
      </c>
      <c r="O233" s="22"/>
      <c r="P233" s="8" t="str">
        <f>IF(meta_Columns[[#This Row],[Referenced Table:src]]="","",INDEX(meta_Tables[Instances Class],MATCH(meta_Columns[[#This Row],[Referenced Table:src]],meta_Tables[ID],0)))</f>
        <v/>
      </c>
      <c r="Q2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3" s="8"/>
      <c r="S233" s="22" t="str">
        <f xml:space="preserve"> IF( TRIM( meta_Columns[[#This Row],[Property:src]] ) = "", "",
        INDEX( meta_TypedModelElements[Display Qualified], MATCH( meta_Columns[[#This Row],[Property:src]], meta_TypedModelElements[ID], 0 ) ) )</f>
        <v/>
      </c>
      <c r="T233" s="22"/>
      <c r="U233" s="8" t="e">
        <f>INDEX(meta_Classifiers[Class - Generalization:src], MATCH(meta_Columns[[#This Row],[Generalization 5]],meta_Classifiers[ID],0))</f>
        <v>#N/A</v>
      </c>
      <c r="V233" s="8" t="e">
        <f>INDEX(meta_Classifiers[Class - Generalization:src], MATCH(meta_Columns[[#This Row],[Generalization 4]],meta_Classifiers[ID],0))</f>
        <v>#N/A</v>
      </c>
      <c r="W233" s="8" t="e">
        <f>INDEX(meta_Classifiers[Class - Generalization:src], MATCH(meta_Columns[[#This Row],[Generalization 3]],meta_Classifiers[ID],0))</f>
        <v>#N/A</v>
      </c>
      <c r="X233" s="8" t="str">
        <f>INDEX(meta_Classifiers[Class - Generalization:src], MATCH(meta_Columns[[#This Row],[Generalization 2]],meta_Classifiers[ID],0))</f>
        <v/>
      </c>
      <c r="Y233" s="8" t="str">
        <f>INDEX(meta_Classifiers[Class - Generalization:src], MATCH(meta_Columns[[#This Row],[Generalization 1]],meta_Classifiers[ID],0))</f>
        <v>_Object</v>
      </c>
      <c r="Z233" s="8" t="str">
        <f>INDEX(meta_Classifiers[Class - Generalization:src], MATCH(meta_Columns[[#This Row],[Owning Table Instances Class]],meta_Classifiers[ID],0))</f>
        <v>_NamedElement</v>
      </c>
      <c r="AA2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3" s="8" t="b">
        <f>_xlfn.IFNA(
INDEX(meta_Classifiers[Class - Generalization:src],MATCH(
INDEX(meta_Classifiers[Class - Generalization:src],MATCH(meta_Columns[[#This Row],[Property Owning Class]],meta_Classifiers[ID],0)),meta_Classifiers[ID],0))
=meta_Columns[[#This Row],[Owning Table Instances Class]],FALSE)</f>
        <v>0</v>
      </c>
      <c r="AG233" s="8" t="b">
        <f>_xlfn.IFNA(INDEX(meta_Classifiers[Class - Generalization:src],MATCH(meta_Columns[[#This Row],[Property Owning Class]],meta_Classifiers[ID],0))=meta_Columns[[#This Row],[Owning Table Instances Class]],FALSE)</f>
        <v>0</v>
      </c>
      <c r="AH2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3" s="8" t="e">
        <f>INDEX(meta_Classifiers[Name],MATCH(INDEX(meta_TypedModelElements[Property - Owning Class:src],MATCH(meta_Columns[[#This Row],[Property]],meta_TypedModelElements[ID],0)),meta_Classifiers[ID],0))</f>
        <v>#N/A</v>
      </c>
      <c r="AJ233" s="8" t="e">
        <f>INDEX(meta_TypedModelElements[Property - Owning Class:src],MATCH(meta_Columns[[#This Row],[Property]],meta_TypedModelElements[ID],0))</f>
        <v>#N/A</v>
      </c>
      <c r="AK233" s="8" t="e">
        <f>INDEX(meta_TypedModelElements[Kind:src],MATCH(meta_Columns[[#This Row],[Property]],meta_TypedModelElements[ID],0))</f>
        <v>#N/A</v>
      </c>
      <c r="AL233" s="8" t="e">
        <f>INDEX(meta_TypedModelElements[Name or Type],MATCH(meta_Columns[[#This Row],[Property]],meta_TypedModelElements[ID],0))</f>
        <v>#N/A</v>
      </c>
      <c r="AM233" s="8" t="e">
        <f>INDEX(meta_TypedModelElements[Property - Changeable],MATCH(meta_Columns[[#This Row],[Property]],meta_TypedModelElements[ID],0))</f>
        <v>#N/A</v>
      </c>
      <c r="AN233" s="43">
        <v>43</v>
      </c>
      <c r="AO233" s="22"/>
      <c r="AP2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3" s="8" t="str">
        <f xml:space="preserve"> IF(meta_Columns[[#This Row],[Property Owning Class is Specialization of Instance Class]],meta_Columns[[#This Row],[Property Owning Class Name]]&amp;" - ","")</f>
        <v/>
      </c>
      <c r="AR2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3" s="8" t="str">
        <f>IFERROR(LEFT(meta_Columns[[#This Row],[Excel Column - Label Actual without Semantic Case]],FIND("-",
meta_Columns[[#This Row],[Excel Column - Label Actual without Semantic Case]])-2),"")</f>
        <v/>
      </c>
      <c r="AU2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6:display:q.</v>
      </c>
      <c r="AX233" s="22"/>
      <c r="AY233" s="8" t="str">
        <f>meta_Columns[[#This Row],[Owning Table]]&amp;"."&amp;meta_Columns[[#This Row],[Excel Column - Label]]</f>
        <v>meta::Rules.Base Super Class 6:display:q.</v>
      </c>
      <c r="AZ233" s="22" t="s">
        <v>288</v>
      </c>
      <c r="BA233" s="8" t="str">
        <f>IF(TRIM(meta_Columns[[#This Row],[Excel Column - Label Overwrite]])&lt;&gt;"",meta_Columns[[#This Row],[Excel Column - Label Overwrite]],meta_Columns[[#This Row],[Excel Column - Label from Property or Referenced Table]])</f>
        <v>Base Super Class 6:display:q.</v>
      </c>
      <c r="BB233" s="43" t="s">
        <v>965</v>
      </c>
      <c r="BC233" s="44" t="str">
        <f>IF(meta_Columns[[#This Row],[Excel Column - Explicit Excel Formula]]="","",meta_Columns[[#This Row],[Excel Column - Explicit Excel Formula]])</f>
        <v>Formula:=IFNA(INDEX(meta_Classifiers[Display Qualified],MATCH([@[Base Super Class 6]],meta_Classifiers[ID],0))&amp;".","")</v>
      </c>
      <c r="BD233" s="5"/>
      <c r="BE233" s="5"/>
    </row>
    <row r="234" spans="1:57">
      <c r="A234" s="10" t="s">
        <v>1198</v>
      </c>
      <c r="B234" s="5" t="s">
        <v>546</v>
      </c>
      <c r="C234" s="22" t="str">
        <f xml:space="preserve"> IF( TRIM( meta_Columns[[#This Row],[Kind:src]] ) = "", "",
        INDEX( meta_Classifiers[Display Qualified], MATCH( meta_Columns[[#This Row],[Kind:src]], meta_Classifiers[ID], 0 ) ) )</f>
        <v>ExcelColumn</v>
      </c>
      <c r="D234" s="44" t="str">
        <f>IF(meta_Columns[[#This Row],[Owning Table:src]]="","",INDEX(meta_Classifiers[Package],MATCH(meta_Columns[[#This Row],[Owning Table Instances Class]],meta_Classifiers[ID],0)))</f>
        <v>meta</v>
      </c>
      <c r="E234" s="43"/>
      <c r="F234" s="8" t="str">
        <f>INDEX(meta_Tables[Excel Table - Excel Name],MATCH(meta_Columns[[#This Row],[Owning Table:src]],meta_Tables[ID],0))</f>
        <v>meta_Rules</v>
      </c>
      <c r="G234" s="44" t="str">
        <f>INDEX(meta_Tables[Instances Class:src],MATCH(meta_Columns[[#This Row],[Owning Table:src]],meta_Tables[ID],0))</f>
        <v>_Rule</v>
      </c>
      <c r="H234" s="11" t="s">
        <v>1014</v>
      </c>
      <c r="I234" s="43" t="str">
        <f xml:space="preserve"> IF( TRIM( meta_Columns[[#This Row],[Owning Table:src]] ) = "", "",
        INDEX( meta_Tables[Display Qualified], MATCH( meta_Columns[[#This Row],[Owning Table:src]], meta_Tables[ID], 0 ) ) )</f>
        <v>meta::Rules</v>
      </c>
      <c r="K234" s="22" t="str">
        <f>IF(TRIM(meta_Columns[[#This Row],[Referenced Table:src]])="","",
    INDEX(meta_Tables[Display Qualified],MATCH(meta_Columns[[#This Row],[Referenced Table:src]],meta_Tables[ID],0)))</f>
        <v/>
      </c>
      <c r="L234" s="8"/>
      <c r="M234" s="22"/>
      <c r="N234" s="8" t="str">
        <f>IF(meta_Columns[[#This Row],[Excel Column - Excel Formula]]="","x","")</f>
        <v/>
      </c>
      <c r="O234" s="22"/>
      <c r="P234" s="8" t="str">
        <f>IF(meta_Columns[[#This Row],[Referenced Table:src]]="","",INDEX(meta_Tables[Instances Class],MATCH(meta_Columns[[#This Row],[Referenced Table:src]],meta_Tables[ID],0)))</f>
        <v/>
      </c>
      <c r="Q2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4" s="8"/>
      <c r="S234" s="22" t="str">
        <f xml:space="preserve"> IF( TRIM( meta_Columns[[#This Row],[Property:src]] ) = "", "",
        INDEX( meta_TypedModelElements[Display Qualified], MATCH( meta_Columns[[#This Row],[Property:src]], meta_TypedModelElements[ID], 0 ) ) )</f>
        <v/>
      </c>
      <c r="T234" s="22"/>
      <c r="U234" s="8" t="e">
        <f>INDEX(meta_Classifiers[Class - Generalization:src], MATCH(meta_Columns[[#This Row],[Generalization 5]],meta_Classifiers[ID],0))</f>
        <v>#N/A</v>
      </c>
      <c r="V234" s="8" t="e">
        <f>INDEX(meta_Classifiers[Class - Generalization:src], MATCH(meta_Columns[[#This Row],[Generalization 4]],meta_Classifiers[ID],0))</f>
        <v>#N/A</v>
      </c>
      <c r="W234" s="8" t="e">
        <f>INDEX(meta_Classifiers[Class - Generalization:src], MATCH(meta_Columns[[#This Row],[Generalization 3]],meta_Classifiers[ID],0))</f>
        <v>#N/A</v>
      </c>
      <c r="X234" s="8" t="str">
        <f>INDEX(meta_Classifiers[Class - Generalization:src], MATCH(meta_Columns[[#This Row],[Generalization 2]],meta_Classifiers[ID],0))</f>
        <v/>
      </c>
      <c r="Y234" s="8" t="str">
        <f>INDEX(meta_Classifiers[Class - Generalization:src], MATCH(meta_Columns[[#This Row],[Generalization 1]],meta_Classifiers[ID],0))</f>
        <v>_Object</v>
      </c>
      <c r="Z234" s="8" t="str">
        <f>INDEX(meta_Classifiers[Class - Generalization:src], MATCH(meta_Columns[[#This Row],[Owning Table Instances Class]],meta_Classifiers[ID],0))</f>
        <v>_NamedElement</v>
      </c>
      <c r="AA2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4" s="8" t="b">
        <f>_xlfn.IFNA(
INDEX(meta_Classifiers[Class - Generalization:src],MATCH(
INDEX(meta_Classifiers[Class - Generalization:src],MATCH(meta_Columns[[#This Row],[Property Owning Class]],meta_Classifiers[ID],0)),meta_Classifiers[ID],0))
=meta_Columns[[#This Row],[Owning Table Instances Class]],FALSE)</f>
        <v>0</v>
      </c>
      <c r="AG234" s="8" t="b">
        <f>_xlfn.IFNA(INDEX(meta_Classifiers[Class - Generalization:src],MATCH(meta_Columns[[#This Row],[Property Owning Class]],meta_Classifiers[ID],0))=meta_Columns[[#This Row],[Owning Table Instances Class]],FALSE)</f>
        <v>0</v>
      </c>
      <c r="AH2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4" s="8" t="e">
        <f>INDEX(meta_Classifiers[Name],MATCH(INDEX(meta_TypedModelElements[Property - Owning Class:src],MATCH(meta_Columns[[#This Row],[Property]],meta_TypedModelElements[ID],0)),meta_Classifiers[ID],0))</f>
        <v>#N/A</v>
      </c>
      <c r="AJ234" s="8" t="e">
        <f>INDEX(meta_TypedModelElements[Property - Owning Class:src],MATCH(meta_Columns[[#This Row],[Property]],meta_TypedModelElements[ID],0))</f>
        <v>#N/A</v>
      </c>
      <c r="AK234" s="8" t="e">
        <f>INDEX(meta_TypedModelElements[Kind:src],MATCH(meta_Columns[[#This Row],[Property]],meta_TypedModelElements[ID],0))</f>
        <v>#N/A</v>
      </c>
      <c r="AL234" s="8" t="e">
        <f>INDEX(meta_TypedModelElements[Name or Type],MATCH(meta_Columns[[#This Row],[Property]],meta_TypedModelElements[ID],0))</f>
        <v>#N/A</v>
      </c>
      <c r="AM234" s="8" t="e">
        <f>INDEX(meta_TypedModelElements[Property - Changeable],MATCH(meta_Columns[[#This Row],[Property]],meta_TypedModelElements[ID],0))</f>
        <v>#N/A</v>
      </c>
      <c r="AN234" s="43">
        <v>44</v>
      </c>
      <c r="AO234" s="22"/>
      <c r="AP2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4" s="8" t="str">
        <f xml:space="preserve"> IF(meta_Columns[[#This Row],[Property Owning Class is Specialization of Instance Class]],meta_Columns[[#This Row],[Property Owning Class Name]]&amp;" - ","")</f>
        <v/>
      </c>
      <c r="AR2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4" s="8" t="str">
        <f>IFERROR(LEFT(meta_Columns[[#This Row],[Excel Column - Label Actual without Semantic Case]],FIND("-",
meta_Columns[[#This Row],[Excel Column - Label Actual without Semantic Case]])-2),"")</f>
        <v/>
      </c>
      <c r="AU2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v>
      </c>
      <c r="AX234" s="22"/>
      <c r="AY234" s="8" t="str">
        <f>meta_Columns[[#This Row],[Owning Table]]&amp;"."&amp;meta_Columns[[#This Row],[Excel Column - Label]]</f>
        <v>meta::Rules.Base Super Class 6</v>
      </c>
      <c r="AZ234" s="22" t="s">
        <v>289</v>
      </c>
      <c r="BA234" s="8" t="str">
        <f>IF(TRIM(meta_Columns[[#This Row],[Excel Column - Label Overwrite]])&lt;&gt;"",meta_Columns[[#This Row],[Excel Column - Label Overwrite]],meta_Columns[[#This Row],[Excel Column - Label from Property or Referenced Table]])</f>
        <v>Base Super Class 6</v>
      </c>
      <c r="BB234" s="43" t="s">
        <v>1535</v>
      </c>
      <c r="BC234" s="44" t="str">
        <f>IF(meta_Columns[[#This Row],[Excel Column - Explicit Excel Formula]]="","",meta_Columns[[#This Row],[Excel Column - Explicit Excel Formula]])</f>
        <v>Formula:=IFNA(INDEX(#REF!,MATCH([@[Base Super Class 5]],meta_Classifiers[ID],0)),0)</v>
      </c>
      <c r="BD234" s="5"/>
      <c r="BE234" s="5"/>
    </row>
    <row r="235" spans="1:57">
      <c r="A235" s="10" t="s">
        <v>1199</v>
      </c>
      <c r="B235" s="5" t="s">
        <v>546</v>
      </c>
      <c r="C235" s="22" t="str">
        <f xml:space="preserve"> IF( TRIM( meta_Columns[[#This Row],[Kind:src]] ) = "", "",
        INDEX( meta_Classifiers[Display Qualified], MATCH( meta_Columns[[#This Row],[Kind:src]], meta_Classifiers[ID], 0 ) ) )</f>
        <v>ExcelColumn</v>
      </c>
      <c r="D235" s="44" t="str">
        <f>IF(meta_Columns[[#This Row],[Owning Table:src]]="","",INDEX(meta_Classifiers[Package],MATCH(meta_Columns[[#This Row],[Owning Table Instances Class]],meta_Classifiers[ID],0)))</f>
        <v>meta</v>
      </c>
      <c r="E235" s="43"/>
      <c r="F235" s="8" t="str">
        <f>INDEX(meta_Tables[Excel Table - Excel Name],MATCH(meta_Columns[[#This Row],[Owning Table:src]],meta_Tables[ID],0))</f>
        <v>meta_Rules</v>
      </c>
      <c r="G235" s="44" t="str">
        <f>INDEX(meta_Tables[Instances Class:src],MATCH(meta_Columns[[#This Row],[Owning Table:src]],meta_Tables[ID],0))</f>
        <v>_Rule</v>
      </c>
      <c r="H235" s="11" t="s">
        <v>1014</v>
      </c>
      <c r="I235" s="43" t="str">
        <f xml:space="preserve"> IF( TRIM( meta_Columns[[#This Row],[Owning Table:src]] ) = "", "",
        INDEX( meta_Tables[Display Qualified], MATCH( meta_Columns[[#This Row],[Owning Table:src]], meta_Tables[ID], 0 ) ) )</f>
        <v>meta::Rules</v>
      </c>
      <c r="K235" s="22" t="str">
        <f>IF(TRIM(meta_Columns[[#This Row],[Referenced Table:src]])="","",
    INDEX(meta_Tables[Display Qualified],MATCH(meta_Columns[[#This Row],[Referenced Table:src]],meta_Tables[ID],0)))</f>
        <v/>
      </c>
      <c r="L235" s="8"/>
      <c r="M235" s="22"/>
      <c r="N235" s="8" t="str">
        <f>IF(meta_Columns[[#This Row],[Excel Column - Excel Formula]]="","x","")</f>
        <v/>
      </c>
      <c r="O235" s="22"/>
      <c r="P235" s="8" t="str">
        <f>IF(meta_Columns[[#This Row],[Referenced Table:src]]="","",INDEX(meta_Tables[Instances Class],MATCH(meta_Columns[[#This Row],[Referenced Table:src]],meta_Tables[ID],0)))</f>
        <v/>
      </c>
      <c r="Q2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5" s="8"/>
      <c r="S235" s="22" t="str">
        <f xml:space="preserve"> IF( TRIM( meta_Columns[[#This Row],[Property:src]] ) = "", "",
        INDEX( meta_TypedModelElements[Display Qualified], MATCH( meta_Columns[[#This Row],[Property:src]], meta_TypedModelElements[ID], 0 ) ) )</f>
        <v/>
      </c>
      <c r="T235" s="22"/>
      <c r="U235" s="8" t="e">
        <f>INDEX(meta_Classifiers[Class - Generalization:src], MATCH(meta_Columns[[#This Row],[Generalization 5]],meta_Classifiers[ID],0))</f>
        <v>#N/A</v>
      </c>
      <c r="V235" s="8" t="e">
        <f>INDEX(meta_Classifiers[Class - Generalization:src], MATCH(meta_Columns[[#This Row],[Generalization 4]],meta_Classifiers[ID],0))</f>
        <v>#N/A</v>
      </c>
      <c r="W235" s="8" t="e">
        <f>INDEX(meta_Classifiers[Class - Generalization:src], MATCH(meta_Columns[[#This Row],[Generalization 3]],meta_Classifiers[ID],0))</f>
        <v>#N/A</v>
      </c>
      <c r="X235" s="8" t="str">
        <f>INDEX(meta_Classifiers[Class - Generalization:src], MATCH(meta_Columns[[#This Row],[Generalization 2]],meta_Classifiers[ID],0))</f>
        <v/>
      </c>
      <c r="Y235" s="8" t="str">
        <f>INDEX(meta_Classifiers[Class - Generalization:src], MATCH(meta_Columns[[#This Row],[Generalization 1]],meta_Classifiers[ID],0))</f>
        <v>_Object</v>
      </c>
      <c r="Z235" s="8" t="str">
        <f>INDEX(meta_Classifiers[Class - Generalization:src], MATCH(meta_Columns[[#This Row],[Owning Table Instances Class]],meta_Classifiers[ID],0))</f>
        <v>_NamedElement</v>
      </c>
      <c r="AA2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5" s="8" t="b">
        <f>_xlfn.IFNA(
INDEX(meta_Classifiers[Class - Generalization:src],MATCH(
INDEX(meta_Classifiers[Class - Generalization:src],MATCH(meta_Columns[[#This Row],[Property Owning Class]],meta_Classifiers[ID],0)),meta_Classifiers[ID],0))
=meta_Columns[[#This Row],[Owning Table Instances Class]],FALSE)</f>
        <v>0</v>
      </c>
      <c r="AG235" s="8" t="b">
        <f>_xlfn.IFNA(INDEX(meta_Classifiers[Class - Generalization:src],MATCH(meta_Columns[[#This Row],[Property Owning Class]],meta_Classifiers[ID],0))=meta_Columns[[#This Row],[Owning Table Instances Class]],FALSE)</f>
        <v>0</v>
      </c>
      <c r="AH2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5" s="8" t="e">
        <f>INDEX(meta_Classifiers[Name],MATCH(INDEX(meta_TypedModelElements[Property - Owning Class:src],MATCH(meta_Columns[[#This Row],[Property]],meta_TypedModelElements[ID],0)),meta_Classifiers[ID],0))</f>
        <v>#N/A</v>
      </c>
      <c r="AJ235" s="8" t="e">
        <f>INDEX(meta_TypedModelElements[Property - Owning Class:src],MATCH(meta_Columns[[#This Row],[Property]],meta_TypedModelElements[ID],0))</f>
        <v>#N/A</v>
      </c>
      <c r="AK235" s="8" t="e">
        <f>INDEX(meta_TypedModelElements[Kind:src],MATCH(meta_Columns[[#This Row],[Property]],meta_TypedModelElements[ID],0))</f>
        <v>#N/A</v>
      </c>
      <c r="AL235" s="8" t="e">
        <f>INDEX(meta_TypedModelElements[Name or Type],MATCH(meta_Columns[[#This Row],[Property]],meta_TypedModelElements[ID],0))</f>
        <v>#N/A</v>
      </c>
      <c r="AM235" s="8" t="e">
        <f>INDEX(meta_TypedModelElements[Property - Changeable],MATCH(meta_Columns[[#This Row],[Property]],meta_TypedModelElements[ID],0))</f>
        <v>#N/A</v>
      </c>
      <c r="AN235" s="43">
        <v>45</v>
      </c>
      <c r="AO235" s="22"/>
      <c r="AP2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5" s="8" t="str">
        <f xml:space="preserve"> IF(meta_Columns[[#This Row],[Property Owning Class is Specialization of Instance Class]],meta_Columns[[#This Row],[Property Owning Class Name]]&amp;" - ","")</f>
        <v/>
      </c>
      <c r="AR2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5" s="8" t="str">
        <f>IFERROR(LEFT(meta_Columns[[#This Row],[Excel Column - Label Actual without Semantic Case]],FIND("-",
meta_Columns[[#This Row],[Excel Column - Label Actual without Semantic Case]])-2),"")</f>
        <v/>
      </c>
      <c r="AU2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5:display:q.</v>
      </c>
      <c r="AX235" s="22"/>
      <c r="AY235" s="8" t="str">
        <f>meta_Columns[[#This Row],[Owning Table]]&amp;"."&amp;meta_Columns[[#This Row],[Excel Column - Label]]</f>
        <v>meta::Rules.Base Super Class 5:display:q.</v>
      </c>
      <c r="AZ235" s="22" t="s">
        <v>290</v>
      </c>
      <c r="BA235" s="8" t="str">
        <f>IF(TRIM(meta_Columns[[#This Row],[Excel Column - Label Overwrite]])&lt;&gt;"",meta_Columns[[#This Row],[Excel Column - Label Overwrite]],meta_Columns[[#This Row],[Excel Column - Label from Property or Referenced Table]])</f>
        <v>Base Super Class 5:display:q.</v>
      </c>
      <c r="BB235" s="43" t="s">
        <v>966</v>
      </c>
      <c r="BC235" s="44" t="str">
        <f>IF(meta_Columns[[#This Row],[Excel Column - Explicit Excel Formula]]="","",meta_Columns[[#This Row],[Excel Column - Explicit Excel Formula]])</f>
        <v>Formula:=IFNA(INDEX(meta_Classifiers[Display Qualified],MATCH([@[Base Super Class 5]],meta_Classifiers[ID],0))&amp;".","")</v>
      </c>
      <c r="BD235" s="5"/>
      <c r="BE235" s="5"/>
    </row>
    <row r="236" spans="1:57">
      <c r="A236" s="10" t="s">
        <v>1200</v>
      </c>
      <c r="B236" s="5" t="s">
        <v>546</v>
      </c>
      <c r="C236" s="22" t="str">
        <f xml:space="preserve"> IF( TRIM( meta_Columns[[#This Row],[Kind:src]] ) = "", "",
        INDEX( meta_Classifiers[Display Qualified], MATCH( meta_Columns[[#This Row],[Kind:src]], meta_Classifiers[ID], 0 ) ) )</f>
        <v>ExcelColumn</v>
      </c>
      <c r="D236" s="44" t="str">
        <f>IF(meta_Columns[[#This Row],[Owning Table:src]]="","",INDEX(meta_Classifiers[Package],MATCH(meta_Columns[[#This Row],[Owning Table Instances Class]],meta_Classifiers[ID],0)))</f>
        <v>meta</v>
      </c>
      <c r="E236" s="43"/>
      <c r="F236" s="8" t="str">
        <f>INDEX(meta_Tables[Excel Table - Excel Name],MATCH(meta_Columns[[#This Row],[Owning Table:src]],meta_Tables[ID],0))</f>
        <v>meta_Rules</v>
      </c>
      <c r="G236" s="44" t="str">
        <f>INDEX(meta_Tables[Instances Class:src],MATCH(meta_Columns[[#This Row],[Owning Table:src]],meta_Tables[ID],0))</f>
        <v>_Rule</v>
      </c>
      <c r="H236" s="11" t="s">
        <v>1014</v>
      </c>
      <c r="I236" s="43" t="str">
        <f xml:space="preserve"> IF( TRIM( meta_Columns[[#This Row],[Owning Table:src]] ) = "", "",
        INDEX( meta_Tables[Display Qualified], MATCH( meta_Columns[[#This Row],[Owning Table:src]], meta_Tables[ID], 0 ) ) )</f>
        <v>meta::Rules</v>
      </c>
      <c r="K236" s="22" t="str">
        <f>IF(TRIM(meta_Columns[[#This Row],[Referenced Table:src]])="","",
    INDEX(meta_Tables[Display Qualified],MATCH(meta_Columns[[#This Row],[Referenced Table:src]],meta_Tables[ID],0)))</f>
        <v/>
      </c>
      <c r="L236" s="8"/>
      <c r="M236" s="22"/>
      <c r="N236" s="8" t="str">
        <f>IF(meta_Columns[[#This Row],[Excel Column - Excel Formula]]="","x","")</f>
        <v/>
      </c>
      <c r="O236" s="22"/>
      <c r="P236" s="8" t="str">
        <f>IF(meta_Columns[[#This Row],[Referenced Table:src]]="","",INDEX(meta_Tables[Instances Class],MATCH(meta_Columns[[#This Row],[Referenced Table:src]],meta_Tables[ID],0)))</f>
        <v/>
      </c>
      <c r="Q2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6" s="8"/>
      <c r="S236" s="22" t="str">
        <f xml:space="preserve"> IF( TRIM( meta_Columns[[#This Row],[Property:src]] ) = "", "",
        INDEX( meta_TypedModelElements[Display Qualified], MATCH( meta_Columns[[#This Row],[Property:src]], meta_TypedModelElements[ID], 0 ) ) )</f>
        <v/>
      </c>
      <c r="T236" s="22"/>
      <c r="U236" s="8" t="e">
        <f>INDEX(meta_Classifiers[Class - Generalization:src], MATCH(meta_Columns[[#This Row],[Generalization 5]],meta_Classifiers[ID],0))</f>
        <v>#N/A</v>
      </c>
      <c r="V236" s="8" t="e">
        <f>INDEX(meta_Classifiers[Class - Generalization:src], MATCH(meta_Columns[[#This Row],[Generalization 4]],meta_Classifiers[ID],0))</f>
        <v>#N/A</v>
      </c>
      <c r="W236" s="8" t="e">
        <f>INDEX(meta_Classifiers[Class - Generalization:src], MATCH(meta_Columns[[#This Row],[Generalization 3]],meta_Classifiers[ID],0))</f>
        <v>#N/A</v>
      </c>
      <c r="X236" s="8" t="str">
        <f>INDEX(meta_Classifiers[Class - Generalization:src], MATCH(meta_Columns[[#This Row],[Generalization 2]],meta_Classifiers[ID],0))</f>
        <v/>
      </c>
      <c r="Y236" s="8" t="str">
        <f>INDEX(meta_Classifiers[Class - Generalization:src], MATCH(meta_Columns[[#This Row],[Generalization 1]],meta_Classifiers[ID],0))</f>
        <v>_Object</v>
      </c>
      <c r="Z236" s="8" t="str">
        <f>INDEX(meta_Classifiers[Class - Generalization:src], MATCH(meta_Columns[[#This Row],[Owning Table Instances Class]],meta_Classifiers[ID],0))</f>
        <v>_NamedElement</v>
      </c>
      <c r="AA2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6" s="8" t="b">
        <f>_xlfn.IFNA(
INDEX(meta_Classifiers[Class - Generalization:src],MATCH(
INDEX(meta_Classifiers[Class - Generalization:src],MATCH(meta_Columns[[#This Row],[Property Owning Class]],meta_Classifiers[ID],0)),meta_Classifiers[ID],0))
=meta_Columns[[#This Row],[Owning Table Instances Class]],FALSE)</f>
        <v>0</v>
      </c>
      <c r="AG236" s="8" t="b">
        <f>_xlfn.IFNA(INDEX(meta_Classifiers[Class - Generalization:src],MATCH(meta_Columns[[#This Row],[Property Owning Class]],meta_Classifiers[ID],0))=meta_Columns[[#This Row],[Owning Table Instances Class]],FALSE)</f>
        <v>0</v>
      </c>
      <c r="AH2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6" s="8" t="e">
        <f>INDEX(meta_Classifiers[Name],MATCH(INDEX(meta_TypedModelElements[Property - Owning Class:src],MATCH(meta_Columns[[#This Row],[Property]],meta_TypedModelElements[ID],0)),meta_Classifiers[ID],0))</f>
        <v>#N/A</v>
      </c>
      <c r="AJ236" s="8" t="e">
        <f>INDEX(meta_TypedModelElements[Property - Owning Class:src],MATCH(meta_Columns[[#This Row],[Property]],meta_TypedModelElements[ID],0))</f>
        <v>#N/A</v>
      </c>
      <c r="AK236" s="8" t="e">
        <f>INDEX(meta_TypedModelElements[Kind:src],MATCH(meta_Columns[[#This Row],[Property]],meta_TypedModelElements[ID],0))</f>
        <v>#N/A</v>
      </c>
      <c r="AL236" s="8" t="e">
        <f>INDEX(meta_TypedModelElements[Name or Type],MATCH(meta_Columns[[#This Row],[Property]],meta_TypedModelElements[ID],0))</f>
        <v>#N/A</v>
      </c>
      <c r="AM236" s="8" t="e">
        <f>INDEX(meta_TypedModelElements[Property - Changeable],MATCH(meta_Columns[[#This Row],[Property]],meta_TypedModelElements[ID],0))</f>
        <v>#N/A</v>
      </c>
      <c r="AN236" s="43">
        <v>46</v>
      </c>
      <c r="AO236" s="22"/>
      <c r="AP2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6" s="8" t="str">
        <f xml:space="preserve"> IF(meta_Columns[[#This Row],[Property Owning Class is Specialization of Instance Class]],meta_Columns[[#This Row],[Property Owning Class Name]]&amp;" - ","")</f>
        <v/>
      </c>
      <c r="AR2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6" s="8" t="str">
        <f>IFERROR(LEFT(meta_Columns[[#This Row],[Excel Column - Label Actual without Semantic Case]],FIND("-",
meta_Columns[[#This Row],[Excel Column - Label Actual without Semantic Case]])-2),"")</f>
        <v/>
      </c>
      <c r="AU2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v>
      </c>
      <c r="AX236" s="22"/>
      <c r="AY236" s="8" t="str">
        <f>meta_Columns[[#This Row],[Owning Table]]&amp;"."&amp;meta_Columns[[#This Row],[Excel Column - Label]]</f>
        <v>meta::Rules.Base Super Class 5</v>
      </c>
      <c r="AZ236" s="22" t="s">
        <v>291</v>
      </c>
      <c r="BA236" s="8" t="str">
        <f>IF(TRIM(meta_Columns[[#This Row],[Excel Column - Label Overwrite]])&lt;&gt;"",meta_Columns[[#This Row],[Excel Column - Label Overwrite]],meta_Columns[[#This Row],[Excel Column - Label from Property or Referenced Table]])</f>
        <v>Base Super Class 5</v>
      </c>
      <c r="BB236" s="43" t="s">
        <v>1536</v>
      </c>
      <c r="BC236" s="44" t="str">
        <f>IF(meta_Columns[[#This Row],[Excel Column - Explicit Excel Formula]]="","",meta_Columns[[#This Row],[Excel Column - Explicit Excel Formula]])</f>
        <v>Formula:=IFNA(INDEX(#REF!,MATCH([@[Base Super Class 4]],meta_Classifiers[ID],0)),0)</v>
      </c>
      <c r="BD236" s="5"/>
      <c r="BE236" s="5"/>
    </row>
    <row r="237" spans="1:57">
      <c r="A237" s="10" t="s">
        <v>1201</v>
      </c>
      <c r="B237" s="5" t="s">
        <v>546</v>
      </c>
      <c r="C237" s="22" t="str">
        <f xml:space="preserve"> IF( TRIM( meta_Columns[[#This Row],[Kind:src]] ) = "", "",
        INDEX( meta_Classifiers[Display Qualified], MATCH( meta_Columns[[#This Row],[Kind:src]], meta_Classifiers[ID], 0 ) ) )</f>
        <v>ExcelColumn</v>
      </c>
      <c r="D237" s="44" t="str">
        <f>IF(meta_Columns[[#This Row],[Owning Table:src]]="","",INDEX(meta_Classifiers[Package],MATCH(meta_Columns[[#This Row],[Owning Table Instances Class]],meta_Classifiers[ID],0)))</f>
        <v>meta</v>
      </c>
      <c r="E237" s="43"/>
      <c r="F237" s="8" t="str">
        <f>INDEX(meta_Tables[Excel Table - Excel Name],MATCH(meta_Columns[[#This Row],[Owning Table:src]],meta_Tables[ID],0))</f>
        <v>meta_Rules</v>
      </c>
      <c r="G237" s="44" t="str">
        <f>INDEX(meta_Tables[Instances Class:src],MATCH(meta_Columns[[#This Row],[Owning Table:src]],meta_Tables[ID],0))</f>
        <v>_Rule</v>
      </c>
      <c r="H237" s="11" t="s">
        <v>1014</v>
      </c>
      <c r="I237" s="43" t="str">
        <f xml:space="preserve"> IF( TRIM( meta_Columns[[#This Row],[Owning Table:src]] ) = "", "",
        INDEX( meta_Tables[Display Qualified], MATCH( meta_Columns[[#This Row],[Owning Table:src]], meta_Tables[ID], 0 ) ) )</f>
        <v>meta::Rules</v>
      </c>
      <c r="K237" s="22" t="str">
        <f>IF(TRIM(meta_Columns[[#This Row],[Referenced Table:src]])="","",
    INDEX(meta_Tables[Display Qualified],MATCH(meta_Columns[[#This Row],[Referenced Table:src]],meta_Tables[ID],0)))</f>
        <v/>
      </c>
      <c r="L237" s="8"/>
      <c r="M237" s="22"/>
      <c r="N237" s="8" t="str">
        <f>IF(meta_Columns[[#This Row],[Excel Column - Excel Formula]]="","x","")</f>
        <v/>
      </c>
      <c r="O237" s="22"/>
      <c r="P237" s="8" t="str">
        <f>IF(meta_Columns[[#This Row],[Referenced Table:src]]="","",INDEX(meta_Tables[Instances Class],MATCH(meta_Columns[[#This Row],[Referenced Table:src]],meta_Tables[ID],0)))</f>
        <v/>
      </c>
      <c r="Q2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7" s="8"/>
      <c r="S237" s="22" t="str">
        <f xml:space="preserve"> IF( TRIM( meta_Columns[[#This Row],[Property:src]] ) = "", "",
        INDEX( meta_TypedModelElements[Display Qualified], MATCH( meta_Columns[[#This Row],[Property:src]], meta_TypedModelElements[ID], 0 ) ) )</f>
        <v/>
      </c>
      <c r="T237" s="22"/>
      <c r="U237" s="8" t="e">
        <f>INDEX(meta_Classifiers[Class - Generalization:src], MATCH(meta_Columns[[#This Row],[Generalization 5]],meta_Classifiers[ID],0))</f>
        <v>#N/A</v>
      </c>
      <c r="V237" s="8" t="e">
        <f>INDEX(meta_Classifiers[Class - Generalization:src], MATCH(meta_Columns[[#This Row],[Generalization 4]],meta_Classifiers[ID],0))</f>
        <v>#N/A</v>
      </c>
      <c r="W237" s="8" t="e">
        <f>INDEX(meta_Classifiers[Class - Generalization:src], MATCH(meta_Columns[[#This Row],[Generalization 3]],meta_Classifiers[ID],0))</f>
        <v>#N/A</v>
      </c>
      <c r="X237" s="8" t="str">
        <f>INDEX(meta_Classifiers[Class - Generalization:src], MATCH(meta_Columns[[#This Row],[Generalization 2]],meta_Classifiers[ID],0))</f>
        <v/>
      </c>
      <c r="Y237" s="8" t="str">
        <f>INDEX(meta_Classifiers[Class - Generalization:src], MATCH(meta_Columns[[#This Row],[Generalization 1]],meta_Classifiers[ID],0))</f>
        <v>_Object</v>
      </c>
      <c r="Z237" s="8" t="str">
        <f>INDEX(meta_Classifiers[Class - Generalization:src], MATCH(meta_Columns[[#This Row],[Owning Table Instances Class]],meta_Classifiers[ID],0))</f>
        <v>_NamedElement</v>
      </c>
      <c r="AA2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7" s="8" t="b">
        <f>_xlfn.IFNA(
INDEX(meta_Classifiers[Class - Generalization:src],MATCH(
INDEX(meta_Classifiers[Class - Generalization:src],MATCH(meta_Columns[[#This Row],[Property Owning Class]],meta_Classifiers[ID],0)),meta_Classifiers[ID],0))
=meta_Columns[[#This Row],[Owning Table Instances Class]],FALSE)</f>
        <v>0</v>
      </c>
      <c r="AG237" s="8" t="b">
        <f>_xlfn.IFNA(INDEX(meta_Classifiers[Class - Generalization:src],MATCH(meta_Columns[[#This Row],[Property Owning Class]],meta_Classifiers[ID],0))=meta_Columns[[#This Row],[Owning Table Instances Class]],FALSE)</f>
        <v>0</v>
      </c>
      <c r="AH2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7" s="8" t="e">
        <f>INDEX(meta_Classifiers[Name],MATCH(INDEX(meta_TypedModelElements[Property - Owning Class:src],MATCH(meta_Columns[[#This Row],[Property]],meta_TypedModelElements[ID],0)),meta_Classifiers[ID],0))</f>
        <v>#N/A</v>
      </c>
      <c r="AJ237" s="8" t="e">
        <f>INDEX(meta_TypedModelElements[Property - Owning Class:src],MATCH(meta_Columns[[#This Row],[Property]],meta_TypedModelElements[ID],0))</f>
        <v>#N/A</v>
      </c>
      <c r="AK237" s="8" t="e">
        <f>INDEX(meta_TypedModelElements[Kind:src],MATCH(meta_Columns[[#This Row],[Property]],meta_TypedModelElements[ID],0))</f>
        <v>#N/A</v>
      </c>
      <c r="AL237" s="8" t="e">
        <f>INDEX(meta_TypedModelElements[Name or Type],MATCH(meta_Columns[[#This Row],[Property]],meta_TypedModelElements[ID],0))</f>
        <v>#N/A</v>
      </c>
      <c r="AM237" s="8" t="e">
        <f>INDEX(meta_TypedModelElements[Property - Changeable],MATCH(meta_Columns[[#This Row],[Property]],meta_TypedModelElements[ID],0))</f>
        <v>#N/A</v>
      </c>
      <c r="AN237" s="43">
        <v>47</v>
      </c>
      <c r="AO237" s="22"/>
      <c r="AP2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7" s="8" t="str">
        <f xml:space="preserve"> IF(meta_Columns[[#This Row],[Property Owning Class is Specialization of Instance Class]],meta_Columns[[#This Row],[Property Owning Class Name]]&amp;" - ","")</f>
        <v/>
      </c>
      <c r="AR2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7" s="8" t="str">
        <f>IFERROR(LEFT(meta_Columns[[#This Row],[Excel Column - Label Actual without Semantic Case]],FIND("-",
meta_Columns[[#This Row],[Excel Column - Label Actual without Semantic Case]])-2),"")</f>
        <v/>
      </c>
      <c r="AU2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4:display:q.</v>
      </c>
      <c r="AX237" s="22"/>
      <c r="AY237" s="8" t="str">
        <f>meta_Columns[[#This Row],[Owning Table]]&amp;"."&amp;meta_Columns[[#This Row],[Excel Column - Label]]</f>
        <v>meta::Rules.Base Super Class 4:display:q.</v>
      </c>
      <c r="AZ237" s="22" t="s">
        <v>292</v>
      </c>
      <c r="BA237" s="8" t="str">
        <f>IF(TRIM(meta_Columns[[#This Row],[Excel Column - Label Overwrite]])&lt;&gt;"",meta_Columns[[#This Row],[Excel Column - Label Overwrite]],meta_Columns[[#This Row],[Excel Column - Label from Property or Referenced Table]])</f>
        <v>Base Super Class 4:display:q.</v>
      </c>
      <c r="BB237" s="43" t="s">
        <v>967</v>
      </c>
      <c r="BC237" s="44" t="str">
        <f>IF(meta_Columns[[#This Row],[Excel Column - Explicit Excel Formula]]="","",meta_Columns[[#This Row],[Excel Column - Explicit Excel Formula]])</f>
        <v>Formula:=IFNA(INDEX(meta_Classifiers[Display Qualified],MATCH([@[Base Super Class 4]],meta_Classifiers[ID],0))&amp;".","")</v>
      </c>
      <c r="BD237" s="5"/>
      <c r="BE237" s="5"/>
    </row>
    <row r="238" spans="1:57">
      <c r="A238" s="10" t="s">
        <v>1202</v>
      </c>
      <c r="B238" s="5" t="s">
        <v>546</v>
      </c>
      <c r="C238" s="22" t="str">
        <f xml:space="preserve"> IF( TRIM( meta_Columns[[#This Row],[Kind:src]] ) = "", "",
        INDEX( meta_Classifiers[Display Qualified], MATCH( meta_Columns[[#This Row],[Kind:src]], meta_Classifiers[ID], 0 ) ) )</f>
        <v>ExcelColumn</v>
      </c>
      <c r="D238" s="44" t="str">
        <f>IF(meta_Columns[[#This Row],[Owning Table:src]]="","",INDEX(meta_Classifiers[Package],MATCH(meta_Columns[[#This Row],[Owning Table Instances Class]],meta_Classifiers[ID],0)))</f>
        <v>meta</v>
      </c>
      <c r="E238" s="43"/>
      <c r="F238" s="8" t="str">
        <f>INDEX(meta_Tables[Excel Table - Excel Name],MATCH(meta_Columns[[#This Row],[Owning Table:src]],meta_Tables[ID],0))</f>
        <v>meta_Rules</v>
      </c>
      <c r="G238" s="44" t="str">
        <f>INDEX(meta_Tables[Instances Class:src],MATCH(meta_Columns[[#This Row],[Owning Table:src]],meta_Tables[ID],0))</f>
        <v>_Rule</v>
      </c>
      <c r="H238" s="11" t="s">
        <v>1014</v>
      </c>
      <c r="I238" s="43" t="str">
        <f xml:space="preserve"> IF( TRIM( meta_Columns[[#This Row],[Owning Table:src]] ) = "", "",
        INDEX( meta_Tables[Display Qualified], MATCH( meta_Columns[[#This Row],[Owning Table:src]], meta_Tables[ID], 0 ) ) )</f>
        <v>meta::Rules</v>
      </c>
      <c r="K238" s="22" t="str">
        <f>IF(TRIM(meta_Columns[[#This Row],[Referenced Table:src]])="","",
    INDEX(meta_Tables[Display Qualified],MATCH(meta_Columns[[#This Row],[Referenced Table:src]],meta_Tables[ID],0)))</f>
        <v/>
      </c>
      <c r="L238" s="8"/>
      <c r="M238" s="22"/>
      <c r="N238" s="8" t="str">
        <f>IF(meta_Columns[[#This Row],[Excel Column - Excel Formula]]="","x","")</f>
        <v/>
      </c>
      <c r="O238" s="22"/>
      <c r="P238" s="8" t="str">
        <f>IF(meta_Columns[[#This Row],[Referenced Table:src]]="","",INDEX(meta_Tables[Instances Class],MATCH(meta_Columns[[#This Row],[Referenced Table:src]],meta_Tables[ID],0)))</f>
        <v/>
      </c>
      <c r="Q2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8" s="8"/>
      <c r="S238" s="22" t="str">
        <f xml:space="preserve"> IF( TRIM( meta_Columns[[#This Row],[Property:src]] ) = "", "",
        INDEX( meta_TypedModelElements[Display Qualified], MATCH( meta_Columns[[#This Row],[Property:src]], meta_TypedModelElements[ID], 0 ) ) )</f>
        <v/>
      </c>
      <c r="T238" s="22"/>
      <c r="U238" s="8" t="e">
        <f>INDEX(meta_Classifiers[Class - Generalization:src], MATCH(meta_Columns[[#This Row],[Generalization 5]],meta_Classifiers[ID],0))</f>
        <v>#N/A</v>
      </c>
      <c r="V238" s="8" t="e">
        <f>INDEX(meta_Classifiers[Class - Generalization:src], MATCH(meta_Columns[[#This Row],[Generalization 4]],meta_Classifiers[ID],0))</f>
        <v>#N/A</v>
      </c>
      <c r="W238" s="8" t="e">
        <f>INDEX(meta_Classifiers[Class - Generalization:src], MATCH(meta_Columns[[#This Row],[Generalization 3]],meta_Classifiers[ID],0))</f>
        <v>#N/A</v>
      </c>
      <c r="X238" s="8" t="str">
        <f>INDEX(meta_Classifiers[Class - Generalization:src], MATCH(meta_Columns[[#This Row],[Generalization 2]],meta_Classifiers[ID],0))</f>
        <v/>
      </c>
      <c r="Y238" s="8" t="str">
        <f>INDEX(meta_Classifiers[Class - Generalization:src], MATCH(meta_Columns[[#This Row],[Generalization 1]],meta_Classifiers[ID],0))</f>
        <v>_Object</v>
      </c>
      <c r="Z238" s="8" t="str">
        <f>INDEX(meta_Classifiers[Class - Generalization:src], MATCH(meta_Columns[[#This Row],[Owning Table Instances Class]],meta_Classifiers[ID],0))</f>
        <v>_NamedElement</v>
      </c>
      <c r="AA2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8" s="8" t="b">
        <f>_xlfn.IFNA(
INDEX(meta_Classifiers[Class - Generalization:src],MATCH(
INDEX(meta_Classifiers[Class - Generalization:src],MATCH(meta_Columns[[#This Row],[Property Owning Class]],meta_Classifiers[ID],0)),meta_Classifiers[ID],0))
=meta_Columns[[#This Row],[Owning Table Instances Class]],FALSE)</f>
        <v>0</v>
      </c>
      <c r="AG238" s="8" t="b">
        <f>_xlfn.IFNA(INDEX(meta_Classifiers[Class - Generalization:src],MATCH(meta_Columns[[#This Row],[Property Owning Class]],meta_Classifiers[ID],0))=meta_Columns[[#This Row],[Owning Table Instances Class]],FALSE)</f>
        <v>0</v>
      </c>
      <c r="AH2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8" s="8" t="e">
        <f>INDEX(meta_Classifiers[Name],MATCH(INDEX(meta_TypedModelElements[Property - Owning Class:src],MATCH(meta_Columns[[#This Row],[Property]],meta_TypedModelElements[ID],0)),meta_Classifiers[ID],0))</f>
        <v>#N/A</v>
      </c>
      <c r="AJ238" s="8" t="e">
        <f>INDEX(meta_TypedModelElements[Property - Owning Class:src],MATCH(meta_Columns[[#This Row],[Property]],meta_TypedModelElements[ID],0))</f>
        <v>#N/A</v>
      </c>
      <c r="AK238" s="8" t="e">
        <f>INDEX(meta_TypedModelElements[Kind:src],MATCH(meta_Columns[[#This Row],[Property]],meta_TypedModelElements[ID],0))</f>
        <v>#N/A</v>
      </c>
      <c r="AL238" s="8" t="e">
        <f>INDEX(meta_TypedModelElements[Name or Type],MATCH(meta_Columns[[#This Row],[Property]],meta_TypedModelElements[ID],0))</f>
        <v>#N/A</v>
      </c>
      <c r="AM238" s="8" t="e">
        <f>INDEX(meta_TypedModelElements[Property - Changeable],MATCH(meta_Columns[[#This Row],[Property]],meta_TypedModelElements[ID],0))</f>
        <v>#N/A</v>
      </c>
      <c r="AN238" s="43">
        <v>48</v>
      </c>
      <c r="AO238" s="22"/>
      <c r="AP2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8" s="8" t="str">
        <f xml:space="preserve"> IF(meta_Columns[[#This Row],[Property Owning Class is Specialization of Instance Class]],meta_Columns[[#This Row],[Property Owning Class Name]]&amp;" - ","")</f>
        <v/>
      </c>
      <c r="AR2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8" s="8" t="str">
        <f>IFERROR(LEFT(meta_Columns[[#This Row],[Excel Column - Label Actual without Semantic Case]],FIND("-",
meta_Columns[[#This Row],[Excel Column - Label Actual without Semantic Case]])-2),"")</f>
        <v/>
      </c>
      <c r="AU2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v>
      </c>
      <c r="AX238" s="22"/>
      <c r="AY238" s="8" t="str">
        <f>meta_Columns[[#This Row],[Owning Table]]&amp;"."&amp;meta_Columns[[#This Row],[Excel Column - Label]]</f>
        <v>meta::Rules.Base Super Class 4</v>
      </c>
      <c r="AZ238" s="22" t="s">
        <v>293</v>
      </c>
      <c r="BA238" s="8" t="str">
        <f>IF(TRIM(meta_Columns[[#This Row],[Excel Column - Label Overwrite]])&lt;&gt;"",meta_Columns[[#This Row],[Excel Column - Label Overwrite]],meta_Columns[[#This Row],[Excel Column - Label from Property or Referenced Table]])</f>
        <v>Base Super Class 4</v>
      </c>
      <c r="BB238" s="43" t="s">
        <v>1537</v>
      </c>
      <c r="BC238" s="44" t="str">
        <f>IF(meta_Columns[[#This Row],[Excel Column - Explicit Excel Formula]]="","",meta_Columns[[#This Row],[Excel Column - Explicit Excel Formula]])</f>
        <v>Formula:=IFNA(INDEX(#REF!,MATCH([@[Base Super Class 3]],meta_Classifiers[ID],0)),0)</v>
      </c>
      <c r="BD238" s="5"/>
      <c r="BE238" s="5"/>
    </row>
    <row r="239" spans="1:57">
      <c r="A239" s="10" t="s">
        <v>1203</v>
      </c>
      <c r="B239" s="5" t="s">
        <v>546</v>
      </c>
      <c r="C239" s="22" t="str">
        <f xml:space="preserve"> IF( TRIM( meta_Columns[[#This Row],[Kind:src]] ) = "", "",
        INDEX( meta_Classifiers[Display Qualified], MATCH( meta_Columns[[#This Row],[Kind:src]], meta_Classifiers[ID], 0 ) ) )</f>
        <v>ExcelColumn</v>
      </c>
      <c r="D239" s="44" t="str">
        <f>IF(meta_Columns[[#This Row],[Owning Table:src]]="","",INDEX(meta_Classifiers[Package],MATCH(meta_Columns[[#This Row],[Owning Table Instances Class]],meta_Classifiers[ID],0)))</f>
        <v>meta</v>
      </c>
      <c r="E239" s="43"/>
      <c r="F239" s="8" t="str">
        <f>INDEX(meta_Tables[Excel Table - Excel Name],MATCH(meta_Columns[[#This Row],[Owning Table:src]],meta_Tables[ID],0))</f>
        <v>meta_Rules</v>
      </c>
      <c r="G239" s="44" t="str">
        <f>INDEX(meta_Tables[Instances Class:src],MATCH(meta_Columns[[#This Row],[Owning Table:src]],meta_Tables[ID],0))</f>
        <v>_Rule</v>
      </c>
      <c r="H239" s="11" t="s">
        <v>1014</v>
      </c>
      <c r="I239" s="43" t="str">
        <f xml:space="preserve"> IF( TRIM( meta_Columns[[#This Row],[Owning Table:src]] ) = "", "",
        INDEX( meta_Tables[Display Qualified], MATCH( meta_Columns[[#This Row],[Owning Table:src]], meta_Tables[ID], 0 ) ) )</f>
        <v>meta::Rules</v>
      </c>
      <c r="K239" s="22" t="str">
        <f>IF(TRIM(meta_Columns[[#This Row],[Referenced Table:src]])="","",
    INDEX(meta_Tables[Display Qualified],MATCH(meta_Columns[[#This Row],[Referenced Table:src]],meta_Tables[ID],0)))</f>
        <v/>
      </c>
      <c r="L239" s="8"/>
      <c r="M239" s="22"/>
      <c r="N239" s="8" t="str">
        <f>IF(meta_Columns[[#This Row],[Excel Column - Excel Formula]]="","x","")</f>
        <v/>
      </c>
      <c r="O239" s="22"/>
      <c r="P239" s="8" t="str">
        <f>IF(meta_Columns[[#This Row],[Referenced Table:src]]="","",INDEX(meta_Tables[Instances Class],MATCH(meta_Columns[[#This Row],[Referenced Table:src]],meta_Tables[ID],0)))</f>
        <v/>
      </c>
      <c r="Q2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39" s="8"/>
      <c r="S239" s="22" t="str">
        <f xml:space="preserve"> IF( TRIM( meta_Columns[[#This Row],[Property:src]] ) = "", "",
        INDEX( meta_TypedModelElements[Display Qualified], MATCH( meta_Columns[[#This Row],[Property:src]], meta_TypedModelElements[ID], 0 ) ) )</f>
        <v/>
      </c>
      <c r="T239" s="22"/>
      <c r="U239" s="8" t="e">
        <f>INDEX(meta_Classifiers[Class - Generalization:src], MATCH(meta_Columns[[#This Row],[Generalization 5]],meta_Classifiers[ID],0))</f>
        <v>#N/A</v>
      </c>
      <c r="V239" s="8" t="e">
        <f>INDEX(meta_Classifiers[Class - Generalization:src], MATCH(meta_Columns[[#This Row],[Generalization 4]],meta_Classifiers[ID],0))</f>
        <v>#N/A</v>
      </c>
      <c r="W239" s="8" t="e">
        <f>INDEX(meta_Classifiers[Class - Generalization:src], MATCH(meta_Columns[[#This Row],[Generalization 3]],meta_Classifiers[ID],0))</f>
        <v>#N/A</v>
      </c>
      <c r="X239" s="8" t="str">
        <f>INDEX(meta_Classifiers[Class - Generalization:src], MATCH(meta_Columns[[#This Row],[Generalization 2]],meta_Classifiers[ID],0))</f>
        <v/>
      </c>
      <c r="Y239" s="8" t="str">
        <f>INDEX(meta_Classifiers[Class - Generalization:src], MATCH(meta_Columns[[#This Row],[Generalization 1]],meta_Classifiers[ID],0))</f>
        <v>_Object</v>
      </c>
      <c r="Z239" s="8" t="str">
        <f>INDEX(meta_Classifiers[Class - Generalization:src], MATCH(meta_Columns[[#This Row],[Owning Table Instances Class]],meta_Classifiers[ID],0))</f>
        <v>_NamedElement</v>
      </c>
      <c r="AA2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9" s="8" t="b">
        <f>_xlfn.IFNA(
INDEX(meta_Classifiers[Class - Generalization:src],MATCH(
INDEX(meta_Classifiers[Class - Generalization:src],MATCH(meta_Columns[[#This Row],[Property Owning Class]],meta_Classifiers[ID],0)),meta_Classifiers[ID],0))
=meta_Columns[[#This Row],[Owning Table Instances Class]],FALSE)</f>
        <v>0</v>
      </c>
      <c r="AG239" s="8" t="b">
        <f>_xlfn.IFNA(INDEX(meta_Classifiers[Class - Generalization:src],MATCH(meta_Columns[[#This Row],[Property Owning Class]],meta_Classifiers[ID],0))=meta_Columns[[#This Row],[Owning Table Instances Class]],FALSE)</f>
        <v>0</v>
      </c>
      <c r="AH2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9" s="8" t="e">
        <f>INDEX(meta_Classifiers[Name],MATCH(INDEX(meta_TypedModelElements[Property - Owning Class:src],MATCH(meta_Columns[[#This Row],[Property]],meta_TypedModelElements[ID],0)),meta_Classifiers[ID],0))</f>
        <v>#N/A</v>
      </c>
      <c r="AJ239" s="8" t="e">
        <f>INDEX(meta_TypedModelElements[Property - Owning Class:src],MATCH(meta_Columns[[#This Row],[Property]],meta_TypedModelElements[ID],0))</f>
        <v>#N/A</v>
      </c>
      <c r="AK239" s="8" t="e">
        <f>INDEX(meta_TypedModelElements[Kind:src],MATCH(meta_Columns[[#This Row],[Property]],meta_TypedModelElements[ID],0))</f>
        <v>#N/A</v>
      </c>
      <c r="AL239" s="8" t="e">
        <f>INDEX(meta_TypedModelElements[Name or Type],MATCH(meta_Columns[[#This Row],[Property]],meta_TypedModelElements[ID],0))</f>
        <v>#N/A</v>
      </c>
      <c r="AM239" s="8" t="e">
        <f>INDEX(meta_TypedModelElements[Property - Changeable],MATCH(meta_Columns[[#This Row],[Property]],meta_TypedModelElements[ID],0))</f>
        <v>#N/A</v>
      </c>
      <c r="AN239" s="43">
        <v>49</v>
      </c>
      <c r="AO239" s="22"/>
      <c r="AP2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9" s="8" t="str">
        <f xml:space="preserve"> IF(meta_Columns[[#This Row],[Property Owning Class is Specialization of Instance Class]],meta_Columns[[#This Row],[Property Owning Class Name]]&amp;" - ","")</f>
        <v/>
      </c>
      <c r="AR2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39" s="8" t="str">
        <f>IFERROR(LEFT(meta_Columns[[#This Row],[Excel Column - Label Actual without Semantic Case]],FIND("-",
meta_Columns[[#This Row],[Excel Column - Label Actual without Semantic Case]])-2),"")</f>
        <v/>
      </c>
      <c r="AU2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3:display:q.</v>
      </c>
      <c r="AX239" s="22"/>
      <c r="AY239" s="8" t="str">
        <f>meta_Columns[[#This Row],[Owning Table]]&amp;"."&amp;meta_Columns[[#This Row],[Excel Column - Label]]</f>
        <v>meta::Rules.Base Super Class 3:display:q.</v>
      </c>
      <c r="AZ239" s="22" t="s">
        <v>294</v>
      </c>
      <c r="BA239" s="8" t="str">
        <f>IF(TRIM(meta_Columns[[#This Row],[Excel Column - Label Overwrite]])&lt;&gt;"",meta_Columns[[#This Row],[Excel Column - Label Overwrite]],meta_Columns[[#This Row],[Excel Column - Label from Property or Referenced Table]])</f>
        <v>Base Super Class 3:display:q.</v>
      </c>
      <c r="BB239" s="43" t="s">
        <v>968</v>
      </c>
      <c r="BC239" s="44" t="str">
        <f>IF(meta_Columns[[#This Row],[Excel Column - Explicit Excel Formula]]="","",meta_Columns[[#This Row],[Excel Column - Explicit Excel Formula]])</f>
        <v>Formula:=IFNA(INDEX(meta_Classifiers[Display Qualified],MATCH([@[Base Super Class 3]],meta_Classifiers[ID],0))&amp;".","")</v>
      </c>
      <c r="BD239" s="5"/>
      <c r="BE239" s="5"/>
    </row>
    <row r="240" spans="1:57">
      <c r="A240" s="10" t="s">
        <v>1204</v>
      </c>
      <c r="B240" s="5" t="s">
        <v>546</v>
      </c>
      <c r="C240" s="22" t="str">
        <f xml:space="preserve"> IF( TRIM( meta_Columns[[#This Row],[Kind:src]] ) = "", "",
        INDEX( meta_Classifiers[Display Qualified], MATCH( meta_Columns[[#This Row],[Kind:src]], meta_Classifiers[ID], 0 ) ) )</f>
        <v>ExcelColumn</v>
      </c>
      <c r="D240" s="44" t="str">
        <f>IF(meta_Columns[[#This Row],[Owning Table:src]]="","",INDEX(meta_Classifiers[Package],MATCH(meta_Columns[[#This Row],[Owning Table Instances Class]],meta_Classifiers[ID],0)))</f>
        <v>meta</v>
      </c>
      <c r="E240" s="43"/>
      <c r="F240" s="8" t="str">
        <f>INDEX(meta_Tables[Excel Table - Excel Name],MATCH(meta_Columns[[#This Row],[Owning Table:src]],meta_Tables[ID],0))</f>
        <v>meta_Rules</v>
      </c>
      <c r="G240" s="44" t="str">
        <f>INDEX(meta_Tables[Instances Class:src],MATCH(meta_Columns[[#This Row],[Owning Table:src]],meta_Tables[ID],0))</f>
        <v>_Rule</v>
      </c>
      <c r="H240" s="11" t="s">
        <v>1014</v>
      </c>
      <c r="I240" s="43" t="str">
        <f xml:space="preserve"> IF( TRIM( meta_Columns[[#This Row],[Owning Table:src]] ) = "", "",
        INDEX( meta_Tables[Display Qualified], MATCH( meta_Columns[[#This Row],[Owning Table:src]], meta_Tables[ID], 0 ) ) )</f>
        <v>meta::Rules</v>
      </c>
      <c r="K240" s="22" t="str">
        <f>IF(TRIM(meta_Columns[[#This Row],[Referenced Table:src]])="","",
    INDEX(meta_Tables[Display Qualified],MATCH(meta_Columns[[#This Row],[Referenced Table:src]],meta_Tables[ID],0)))</f>
        <v/>
      </c>
      <c r="L240" s="8"/>
      <c r="M240" s="22"/>
      <c r="N240" s="8" t="str">
        <f>IF(meta_Columns[[#This Row],[Excel Column - Excel Formula]]="","x","")</f>
        <v/>
      </c>
      <c r="O240" s="22"/>
      <c r="P240" s="8" t="str">
        <f>IF(meta_Columns[[#This Row],[Referenced Table:src]]="","",INDEX(meta_Tables[Instances Class],MATCH(meta_Columns[[#This Row],[Referenced Table:src]],meta_Tables[ID],0)))</f>
        <v/>
      </c>
      <c r="Q2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40" s="8"/>
      <c r="S240" s="22" t="str">
        <f xml:space="preserve"> IF( TRIM( meta_Columns[[#This Row],[Property:src]] ) = "", "",
        INDEX( meta_TypedModelElements[Display Qualified], MATCH( meta_Columns[[#This Row],[Property:src]], meta_TypedModelElements[ID], 0 ) ) )</f>
        <v/>
      </c>
      <c r="T240" s="22"/>
      <c r="U240" s="8" t="e">
        <f>INDEX(meta_Classifiers[Class - Generalization:src], MATCH(meta_Columns[[#This Row],[Generalization 5]],meta_Classifiers[ID],0))</f>
        <v>#N/A</v>
      </c>
      <c r="V240" s="8" t="e">
        <f>INDEX(meta_Classifiers[Class - Generalization:src], MATCH(meta_Columns[[#This Row],[Generalization 4]],meta_Classifiers[ID],0))</f>
        <v>#N/A</v>
      </c>
      <c r="W240" s="8" t="e">
        <f>INDEX(meta_Classifiers[Class - Generalization:src], MATCH(meta_Columns[[#This Row],[Generalization 3]],meta_Classifiers[ID],0))</f>
        <v>#N/A</v>
      </c>
      <c r="X240" s="8" t="str">
        <f>INDEX(meta_Classifiers[Class - Generalization:src], MATCH(meta_Columns[[#This Row],[Generalization 2]],meta_Classifiers[ID],0))</f>
        <v/>
      </c>
      <c r="Y240" s="8" t="str">
        <f>INDEX(meta_Classifiers[Class - Generalization:src], MATCH(meta_Columns[[#This Row],[Generalization 1]],meta_Classifiers[ID],0))</f>
        <v>_Object</v>
      </c>
      <c r="Z240" s="8" t="str">
        <f>INDEX(meta_Classifiers[Class - Generalization:src], MATCH(meta_Columns[[#This Row],[Owning Table Instances Class]],meta_Classifiers[ID],0))</f>
        <v>_NamedElement</v>
      </c>
      <c r="AA2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0" s="8" t="b">
        <f>_xlfn.IFNA(
INDEX(meta_Classifiers[Class - Generalization:src],MATCH(
INDEX(meta_Classifiers[Class - Generalization:src],MATCH(meta_Columns[[#This Row],[Property Owning Class]],meta_Classifiers[ID],0)),meta_Classifiers[ID],0))
=meta_Columns[[#This Row],[Owning Table Instances Class]],FALSE)</f>
        <v>0</v>
      </c>
      <c r="AG240" s="8" t="b">
        <f>_xlfn.IFNA(INDEX(meta_Classifiers[Class - Generalization:src],MATCH(meta_Columns[[#This Row],[Property Owning Class]],meta_Classifiers[ID],0))=meta_Columns[[#This Row],[Owning Table Instances Class]],FALSE)</f>
        <v>0</v>
      </c>
      <c r="AH2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0" s="8" t="e">
        <f>INDEX(meta_Classifiers[Name],MATCH(INDEX(meta_TypedModelElements[Property - Owning Class:src],MATCH(meta_Columns[[#This Row],[Property]],meta_TypedModelElements[ID],0)),meta_Classifiers[ID],0))</f>
        <v>#N/A</v>
      </c>
      <c r="AJ240" s="8" t="e">
        <f>INDEX(meta_TypedModelElements[Property - Owning Class:src],MATCH(meta_Columns[[#This Row],[Property]],meta_TypedModelElements[ID],0))</f>
        <v>#N/A</v>
      </c>
      <c r="AK240" s="8" t="e">
        <f>INDEX(meta_TypedModelElements[Kind:src],MATCH(meta_Columns[[#This Row],[Property]],meta_TypedModelElements[ID],0))</f>
        <v>#N/A</v>
      </c>
      <c r="AL240" s="8" t="e">
        <f>INDEX(meta_TypedModelElements[Name or Type],MATCH(meta_Columns[[#This Row],[Property]],meta_TypedModelElements[ID],0))</f>
        <v>#N/A</v>
      </c>
      <c r="AM240" s="8" t="e">
        <f>INDEX(meta_TypedModelElements[Property - Changeable],MATCH(meta_Columns[[#This Row],[Property]],meta_TypedModelElements[ID],0))</f>
        <v>#N/A</v>
      </c>
      <c r="AN240" s="43">
        <v>50</v>
      </c>
      <c r="AO240" s="22"/>
      <c r="AP2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0" s="8" t="str">
        <f xml:space="preserve"> IF(meta_Columns[[#This Row],[Property Owning Class is Specialization of Instance Class]],meta_Columns[[#This Row],[Property Owning Class Name]]&amp;" - ","")</f>
        <v/>
      </c>
      <c r="AR2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40" s="8" t="str">
        <f>IFERROR(LEFT(meta_Columns[[#This Row],[Excel Column - Label Actual without Semantic Case]],FIND("-",
meta_Columns[[#This Row],[Excel Column - Label Actual without Semantic Case]])-2),"")</f>
        <v/>
      </c>
      <c r="AU2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v>
      </c>
      <c r="AX240" s="22"/>
      <c r="AY240" s="8" t="str">
        <f>meta_Columns[[#This Row],[Owning Table]]&amp;"."&amp;meta_Columns[[#This Row],[Excel Column - Label]]</f>
        <v>meta::Rules.Base Super Class 3</v>
      </c>
      <c r="AZ240" s="22" t="s">
        <v>295</v>
      </c>
      <c r="BA240" s="8" t="str">
        <f>IF(TRIM(meta_Columns[[#This Row],[Excel Column - Label Overwrite]])&lt;&gt;"",meta_Columns[[#This Row],[Excel Column - Label Overwrite]],meta_Columns[[#This Row],[Excel Column - Label from Property or Referenced Table]])</f>
        <v>Base Super Class 3</v>
      </c>
      <c r="BB240" s="43" t="s">
        <v>1538</v>
      </c>
      <c r="BC240" s="44" t="str">
        <f>IF(meta_Columns[[#This Row],[Excel Column - Explicit Excel Formula]]="","",meta_Columns[[#This Row],[Excel Column - Explicit Excel Formula]])</f>
        <v>Formula:=IFNA(INDEX(#REF!,MATCH([@[Base Super Class 2]],meta_Classifiers[ID],0)),0)</v>
      </c>
      <c r="BD240" s="5"/>
      <c r="BE240" s="5"/>
    </row>
    <row r="241" spans="1:57">
      <c r="A241" s="10" t="s">
        <v>1205</v>
      </c>
      <c r="B241" s="5" t="s">
        <v>546</v>
      </c>
      <c r="C241" s="22" t="str">
        <f xml:space="preserve"> IF( TRIM( meta_Columns[[#This Row],[Kind:src]] ) = "", "",
        INDEX( meta_Classifiers[Display Qualified], MATCH( meta_Columns[[#This Row],[Kind:src]], meta_Classifiers[ID], 0 ) ) )</f>
        <v>ExcelColumn</v>
      </c>
      <c r="D241" s="44" t="str">
        <f>IF(meta_Columns[[#This Row],[Owning Table:src]]="","",INDEX(meta_Classifiers[Package],MATCH(meta_Columns[[#This Row],[Owning Table Instances Class]],meta_Classifiers[ID],0)))</f>
        <v>meta</v>
      </c>
      <c r="E241" s="43"/>
      <c r="F241" s="8" t="str">
        <f>INDEX(meta_Tables[Excel Table - Excel Name],MATCH(meta_Columns[[#This Row],[Owning Table:src]],meta_Tables[ID],0))</f>
        <v>meta_Rules</v>
      </c>
      <c r="G241" s="44" t="str">
        <f>INDEX(meta_Tables[Instances Class:src],MATCH(meta_Columns[[#This Row],[Owning Table:src]],meta_Tables[ID],0))</f>
        <v>_Rule</v>
      </c>
      <c r="H241" s="11" t="s">
        <v>1014</v>
      </c>
      <c r="I241" s="43" t="str">
        <f xml:space="preserve"> IF( TRIM( meta_Columns[[#This Row],[Owning Table:src]] ) = "", "",
        INDEX( meta_Tables[Display Qualified], MATCH( meta_Columns[[#This Row],[Owning Table:src]], meta_Tables[ID], 0 ) ) )</f>
        <v>meta::Rules</v>
      </c>
      <c r="K241" s="22" t="str">
        <f>IF(TRIM(meta_Columns[[#This Row],[Referenced Table:src]])="","",
    INDEX(meta_Tables[Display Qualified],MATCH(meta_Columns[[#This Row],[Referenced Table:src]],meta_Tables[ID],0)))</f>
        <v/>
      </c>
      <c r="L241" s="8"/>
      <c r="M241" s="22"/>
      <c r="N241" s="8" t="str">
        <f>IF(meta_Columns[[#This Row],[Excel Column - Excel Formula]]="","x","")</f>
        <v/>
      </c>
      <c r="O241" s="22"/>
      <c r="P241" s="8" t="str">
        <f>IF(meta_Columns[[#This Row],[Referenced Table:src]]="","",INDEX(meta_Tables[Instances Class],MATCH(meta_Columns[[#This Row],[Referenced Table:src]],meta_Tables[ID],0)))</f>
        <v/>
      </c>
      <c r="Q2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1" s="8"/>
      <c r="S241" s="22" t="str">
        <f xml:space="preserve"> IF( TRIM( meta_Columns[[#This Row],[Property:src]] ) = "", "",
        INDEX( meta_TypedModelElements[Display Qualified], MATCH( meta_Columns[[#This Row],[Property:src]], meta_TypedModelElements[ID], 0 ) ) )</f>
        <v/>
      </c>
      <c r="T241" s="22"/>
      <c r="U241" s="8" t="e">
        <f>INDEX(meta_Classifiers[Class - Generalization:src], MATCH(meta_Columns[[#This Row],[Generalization 5]],meta_Classifiers[ID],0))</f>
        <v>#N/A</v>
      </c>
      <c r="V241" s="8" t="e">
        <f>INDEX(meta_Classifiers[Class - Generalization:src], MATCH(meta_Columns[[#This Row],[Generalization 4]],meta_Classifiers[ID],0))</f>
        <v>#N/A</v>
      </c>
      <c r="W241" s="8" t="e">
        <f>INDEX(meta_Classifiers[Class - Generalization:src], MATCH(meta_Columns[[#This Row],[Generalization 3]],meta_Classifiers[ID],0))</f>
        <v>#N/A</v>
      </c>
      <c r="X241" s="8" t="str">
        <f>INDEX(meta_Classifiers[Class - Generalization:src], MATCH(meta_Columns[[#This Row],[Generalization 2]],meta_Classifiers[ID],0))</f>
        <v/>
      </c>
      <c r="Y241" s="8" t="str">
        <f>INDEX(meta_Classifiers[Class - Generalization:src], MATCH(meta_Columns[[#This Row],[Generalization 1]],meta_Classifiers[ID],0))</f>
        <v>_Object</v>
      </c>
      <c r="Z241" s="8" t="str">
        <f>INDEX(meta_Classifiers[Class - Generalization:src], MATCH(meta_Columns[[#This Row],[Owning Table Instances Class]],meta_Classifiers[ID],0))</f>
        <v>_NamedElement</v>
      </c>
      <c r="AA2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1" s="8" t="b">
        <f>_xlfn.IFNA(
INDEX(meta_Classifiers[Class - Generalization:src],MATCH(
INDEX(meta_Classifiers[Class - Generalization:src],MATCH(meta_Columns[[#This Row],[Property Owning Class]],meta_Classifiers[ID],0)),meta_Classifiers[ID],0))
=meta_Columns[[#This Row],[Owning Table Instances Class]],FALSE)</f>
        <v>0</v>
      </c>
      <c r="AG241" s="8" t="b">
        <f>_xlfn.IFNA(INDEX(meta_Classifiers[Class - Generalization:src],MATCH(meta_Columns[[#This Row],[Property Owning Class]],meta_Classifiers[ID],0))=meta_Columns[[#This Row],[Owning Table Instances Class]],FALSE)</f>
        <v>0</v>
      </c>
      <c r="AH2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1" s="8" t="e">
        <f>INDEX(meta_Classifiers[Name],MATCH(INDEX(meta_TypedModelElements[Property - Owning Class:src],MATCH(meta_Columns[[#This Row],[Property]],meta_TypedModelElements[ID],0)),meta_Classifiers[ID],0))</f>
        <v>#N/A</v>
      </c>
      <c r="AJ241" s="8" t="e">
        <f>INDEX(meta_TypedModelElements[Property - Owning Class:src],MATCH(meta_Columns[[#This Row],[Property]],meta_TypedModelElements[ID],0))</f>
        <v>#N/A</v>
      </c>
      <c r="AK241" s="8" t="e">
        <f>INDEX(meta_TypedModelElements[Kind:src],MATCH(meta_Columns[[#This Row],[Property]],meta_TypedModelElements[ID],0))</f>
        <v>#N/A</v>
      </c>
      <c r="AL241" s="8" t="e">
        <f>INDEX(meta_TypedModelElements[Name or Type],MATCH(meta_Columns[[#This Row],[Property]],meta_TypedModelElements[ID],0))</f>
        <v>#N/A</v>
      </c>
      <c r="AM241" s="8" t="e">
        <f>INDEX(meta_TypedModelElements[Property - Changeable],MATCH(meta_Columns[[#This Row],[Property]],meta_TypedModelElements[ID],0))</f>
        <v>#N/A</v>
      </c>
      <c r="AN241" s="43">
        <v>51</v>
      </c>
      <c r="AO241" s="22"/>
      <c r="AP2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1" s="8" t="str">
        <f xml:space="preserve"> IF(meta_Columns[[#This Row],[Property Owning Class is Specialization of Instance Class]],meta_Columns[[#This Row],[Property Owning Class Name]]&amp;" - ","")</f>
        <v/>
      </c>
      <c r="AR2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1" s="8" t="str">
        <f>IFERROR(LEFT(meta_Columns[[#This Row],[Excel Column - Label Actual without Semantic Case]],FIND("-",
meta_Columns[[#This Row],[Excel Column - Label Actual without Semantic Case]])-2),"")</f>
        <v/>
      </c>
      <c r="AU2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2:display:q.</v>
      </c>
      <c r="AX241" s="22"/>
      <c r="AY241" s="8" t="str">
        <f>meta_Columns[[#This Row],[Owning Table]]&amp;"."&amp;meta_Columns[[#This Row],[Excel Column - Label]]</f>
        <v>meta::Rules.Base Super Class 2:display:q.</v>
      </c>
      <c r="AZ241" s="22" t="s">
        <v>296</v>
      </c>
      <c r="BA241" s="8" t="str">
        <f>IF(TRIM(meta_Columns[[#This Row],[Excel Column - Label Overwrite]])&lt;&gt;"",meta_Columns[[#This Row],[Excel Column - Label Overwrite]],meta_Columns[[#This Row],[Excel Column - Label from Property or Referenced Table]])</f>
        <v>Base Super Class 2:display:q.</v>
      </c>
      <c r="BB241" s="43" t="s">
        <v>969</v>
      </c>
      <c r="BC241" s="44" t="str">
        <f>IF(meta_Columns[[#This Row],[Excel Column - Explicit Excel Formula]]="","",meta_Columns[[#This Row],[Excel Column - Explicit Excel Formula]])</f>
        <v>Formula:=IFNA(INDEX(meta_Classifiers[Display Qualified],MATCH([@[Base Super Class 2]],meta_Classifiers[ID],0))&amp;".","")</v>
      </c>
      <c r="BD241" s="5"/>
      <c r="BE241" s="5"/>
    </row>
    <row r="242" spans="1:57">
      <c r="A242" s="10" t="s">
        <v>1206</v>
      </c>
      <c r="B242" s="5" t="s">
        <v>546</v>
      </c>
      <c r="C242" s="22" t="str">
        <f xml:space="preserve"> IF( TRIM( meta_Columns[[#This Row],[Kind:src]] ) = "", "",
        INDEX( meta_Classifiers[Display Qualified], MATCH( meta_Columns[[#This Row],[Kind:src]], meta_Classifiers[ID], 0 ) ) )</f>
        <v>ExcelColumn</v>
      </c>
      <c r="D242" s="44" t="str">
        <f>IF(meta_Columns[[#This Row],[Owning Table:src]]="","",INDEX(meta_Classifiers[Package],MATCH(meta_Columns[[#This Row],[Owning Table Instances Class]],meta_Classifiers[ID],0)))</f>
        <v>meta</v>
      </c>
      <c r="E242" s="43"/>
      <c r="F242" s="8" t="str">
        <f>INDEX(meta_Tables[Excel Table - Excel Name],MATCH(meta_Columns[[#This Row],[Owning Table:src]],meta_Tables[ID],0))</f>
        <v>meta_Rules</v>
      </c>
      <c r="G242" s="44" t="str">
        <f>INDEX(meta_Tables[Instances Class:src],MATCH(meta_Columns[[#This Row],[Owning Table:src]],meta_Tables[ID],0))</f>
        <v>_Rule</v>
      </c>
      <c r="H242" s="11" t="s">
        <v>1014</v>
      </c>
      <c r="I242" s="43" t="str">
        <f xml:space="preserve"> IF( TRIM( meta_Columns[[#This Row],[Owning Table:src]] ) = "", "",
        INDEX( meta_Tables[Display Qualified], MATCH( meta_Columns[[#This Row],[Owning Table:src]], meta_Tables[ID], 0 ) ) )</f>
        <v>meta::Rules</v>
      </c>
      <c r="K242" s="22" t="str">
        <f>IF(TRIM(meta_Columns[[#This Row],[Referenced Table:src]])="","",
    INDEX(meta_Tables[Display Qualified],MATCH(meta_Columns[[#This Row],[Referenced Table:src]],meta_Tables[ID],0)))</f>
        <v/>
      </c>
      <c r="L242" s="8"/>
      <c r="M242" s="22"/>
      <c r="N242" s="8" t="str">
        <f>IF(meta_Columns[[#This Row],[Excel Column - Excel Formula]]="","x","")</f>
        <v/>
      </c>
      <c r="O242" s="22"/>
      <c r="P242" s="8" t="str">
        <f>IF(meta_Columns[[#This Row],[Referenced Table:src]]="","",INDEX(meta_Tables[Instances Class],MATCH(meta_Columns[[#This Row],[Referenced Table:src]],meta_Tables[ID],0)))</f>
        <v/>
      </c>
      <c r="Q2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2" s="8"/>
      <c r="S242" s="22" t="str">
        <f xml:space="preserve"> IF( TRIM( meta_Columns[[#This Row],[Property:src]] ) = "", "",
        INDEX( meta_TypedModelElements[Display Qualified], MATCH( meta_Columns[[#This Row],[Property:src]], meta_TypedModelElements[ID], 0 ) ) )</f>
        <v/>
      </c>
      <c r="T242" s="22"/>
      <c r="U242" s="8" t="e">
        <f>INDEX(meta_Classifiers[Class - Generalization:src], MATCH(meta_Columns[[#This Row],[Generalization 5]],meta_Classifiers[ID],0))</f>
        <v>#N/A</v>
      </c>
      <c r="V242" s="8" t="e">
        <f>INDEX(meta_Classifiers[Class - Generalization:src], MATCH(meta_Columns[[#This Row],[Generalization 4]],meta_Classifiers[ID],0))</f>
        <v>#N/A</v>
      </c>
      <c r="W242" s="8" t="e">
        <f>INDEX(meta_Classifiers[Class - Generalization:src], MATCH(meta_Columns[[#This Row],[Generalization 3]],meta_Classifiers[ID],0))</f>
        <v>#N/A</v>
      </c>
      <c r="X242" s="8" t="str">
        <f>INDEX(meta_Classifiers[Class - Generalization:src], MATCH(meta_Columns[[#This Row],[Generalization 2]],meta_Classifiers[ID],0))</f>
        <v/>
      </c>
      <c r="Y242" s="8" t="str">
        <f>INDEX(meta_Classifiers[Class - Generalization:src], MATCH(meta_Columns[[#This Row],[Generalization 1]],meta_Classifiers[ID],0))</f>
        <v>_Object</v>
      </c>
      <c r="Z242" s="8" t="str">
        <f>INDEX(meta_Classifiers[Class - Generalization:src], MATCH(meta_Columns[[#This Row],[Owning Table Instances Class]],meta_Classifiers[ID],0))</f>
        <v>_NamedElement</v>
      </c>
      <c r="AA2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2" s="8" t="b">
        <f>_xlfn.IFNA(
INDEX(meta_Classifiers[Class - Generalization:src],MATCH(
INDEX(meta_Classifiers[Class - Generalization:src],MATCH(meta_Columns[[#This Row],[Property Owning Class]],meta_Classifiers[ID],0)),meta_Classifiers[ID],0))
=meta_Columns[[#This Row],[Owning Table Instances Class]],FALSE)</f>
        <v>0</v>
      </c>
      <c r="AG242" s="8" t="b">
        <f>_xlfn.IFNA(INDEX(meta_Classifiers[Class - Generalization:src],MATCH(meta_Columns[[#This Row],[Property Owning Class]],meta_Classifiers[ID],0))=meta_Columns[[#This Row],[Owning Table Instances Class]],FALSE)</f>
        <v>0</v>
      </c>
      <c r="AH2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2" s="8" t="e">
        <f>INDEX(meta_Classifiers[Name],MATCH(INDEX(meta_TypedModelElements[Property - Owning Class:src],MATCH(meta_Columns[[#This Row],[Property]],meta_TypedModelElements[ID],0)),meta_Classifiers[ID],0))</f>
        <v>#N/A</v>
      </c>
      <c r="AJ242" s="8" t="e">
        <f>INDEX(meta_TypedModelElements[Property - Owning Class:src],MATCH(meta_Columns[[#This Row],[Property]],meta_TypedModelElements[ID],0))</f>
        <v>#N/A</v>
      </c>
      <c r="AK242" s="8" t="e">
        <f>INDEX(meta_TypedModelElements[Kind:src],MATCH(meta_Columns[[#This Row],[Property]],meta_TypedModelElements[ID],0))</f>
        <v>#N/A</v>
      </c>
      <c r="AL242" s="8" t="e">
        <f>INDEX(meta_TypedModelElements[Name or Type],MATCH(meta_Columns[[#This Row],[Property]],meta_TypedModelElements[ID],0))</f>
        <v>#N/A</v>
      </c>
      <c r="AM242" s="8" t="e">
        <f>INDEX(meta_TypedModelElements[Property - Changeable],MATCH(meta_Columns[[#This Row],[Property]],meta_TypedModelElements[ID],0))</f>
        <v>#N/A</v>
      </c>
      <c r="AN242" s="43">
        <v>52</v>
      </c>
      <c r="AO242" s="22"/>
      <c r="AP2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2" s="8" t="str">
        <f xml:space="preserve"> IF(meta_Columns[[#This Row],[Property Owning Class is Specialization of Instance Class]],meta_Columns[[#This Row],[Property Owning Class Name]]&amp;" - ","")</f>
        <v/>
      </c>
      <c r="AR2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2" s="8" t="str">
        <f>IFERROR(LEFT(meta_Columns[[#This Row],[Excel Column - Label Actual without Semantic Case]],FIND("-",
meta_Columns[[#This Row],[Excel Column - Label Actual without Semantic Case]])-2),"")</f>
        <v/>
      </c>
      <c r="AU2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v>
      </c>
      <c r="AX242" s="22"/>
      <c r="AY242" s="8" t="str">
        <f>meta_Columns[[#This Row],[Owning Table]]&amp;"."&amp;meta_Columns[[#This Row],[Excel Column - Label]]</f>
        <v>meta::Rules.Base Super Class 2</v>
      </c>
      <c r="AZ242" s="22" t="s">
        <v>297</v>
      </c>
      <c r="BA242" s="8" t="str">
        <f>IF(TRIM(meta_Columns[[#This Row],[Excel Column - Label Overwrite]])&lt;&gt;"",meta_Columns[[#This Row],[Excel Column - Label Overwrite]],meta_Columns[[#This Row],[Excel Column - Label from Property or Referenced Table]])</f>
        <v>Base Super Class 2</v>
      </c>
      <c r="BB242" s="43" t="s">
        <v>1539</v>
      </c>
      <c r="BC242" s="44" t="str">
        <f>IF(meta_Columns[[#This Row],[Excel Column - Explicit Excel Formula]]="","",meta_Columns[[#This Row],[Excel Column - Explicit Excel Formula]])</f>
        <v>Formula:=IFNA(INDEX(#REF!,MATCH([@[Base Super Class 1]],meta_Classifiers[ID],0)),0)</v>
      </c>
      <c r="BD242" s="5"/>
      <c r="BE242" s="5"/>
    </row>
    <row r="243" spans="1:57">
      <c r="A243" s="10" t="s">
        <v>1207</v>
      </c>
      <c r="B243" s="5" t="s">
        <v>546</v>
      </c>
      <c r="C243" s="22" t="str">
        <f xml:space="preserve"> IF( TRIM( meta_Columns[[#This Row],[Kind:src]] ) = "", "",
        INDEX( meta_Classifiers[Display Qualified], MATCH( meta_Columns[[#This Row],[Kind:src]], meta_Classifiers[ID], 0 ) ) )</f>
        <v>ExcelColumn</v>
      </c>
      <c r="D243" s="44" t="str">
        <f>IF(meta_Columns[[#This Row],[Owning Table:src]]="","",INDEX(meta_Classifiers[Package],MATCH(meta_Columns[[#This Row],[Owning Table Instances Class]],meta_Classifiers[ID],0)))</f>
        <v>meta</v>
      </c>
      <c r="E243" s="43"/>
      <c r="F243" s="8" t="str">
        <f>INDEX(meta_Tables[Excel Table - Excel Name],MATCH(meta_Columns[[#This Row],[Owning Table:src]],meta_Tables[ID],0))</f>
        <v>meta_Rules</v>
      </c>
      <c r="G243" s="44" t="str">
        <f>INDEX(meta_Tables[Instances Class:src],MATCH(meta_Columns[[#This Row],[Owning Table:src]],meta_Tables[ID],0))</f>
        <v>_Rule</v>
      </c>
      <c r="H243" s="11" t="s">
        <v>1014</v>
      </c>
      <c r="I243" s="43" t="str">
        <f xml:space="preserve"> IF( TRIM( meta_Columns[[#This Row],[Owning Table:src]] ) = "", "",
        INDEX( meta_Tables[Display Qualified], MATCH( meta_Columns[[#This Row],[Owning Table:src]], meta_Tables[ID], 0 ) ) )</f>
        <v>meta::Rules</v>
      </c>
      <c r="K243" s="22" t="str">
        <f>IF(TRIM(meta_Columns[[#This Row],[Referenced Table:src]])="","",
    INDEX(meta_Tables[Display Qualified],MATCH(meta_Columns[[#This Row],[Referenced Table:src]],meta_Tables[ID],0)))</f>
        <v/>
      </c>
      <c r="L243" s="8"/>
      <c r="M243" s="22"/>
      <c r="N243" s="8" t="str">
        <f>IF(meta_Columns[[#This Row],[Excel Column - Excel Formula]]="","x","")</f>
        <v/>
      </c>
      <c r="O243" s="22"/>
      <c r="P243" s="8" t="str">
        <f>IF(meta_Columns[[#This Row],[Referenced Table:src]]="","",INDEX(meta_Tables[Instances Class],MATCH(meta_Columns[[#This Row],[Referenced Table:src]],meta_Tables[ID],0)))</f>
        <v/>
      </c>
      <c r="Q2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3" s="8"/>
      <c r="S243" s="22" t="str">
        <f xml:space="preserve"> IF( TRIM( meta_Columns[[#This Row],[Property:src]] ) = "", "",
        INDEX( meta_TypedModelElements[Display Qualified], MATCH( meta_Columns[[#This Row],[Property:src]], meta_TypedModelElements[ID], 0 ) ) )</f>
        <v/>
      </c>
      <c r="T243" s="22"/>
      <c r="U243" s="8" t="e">
        <f>INDEX(meta_Classifiers[Class - Generalization:src], MATCH(meta_Columns[[#This Row],[Generalization 5]],meta_Classifiers[ID],0))</f>
        <v>#N/A</v>
      </c>
      <c r="V243" s="8" t="e">
        <f>INDEX(meta_Classifiers[Class - Generalization:src], MATCH(meta_Columns[[#This Row],[Generalization 4]],meta_Classifiers[ID],0))</f>
        <v>#N/A</v>
      </c>
      <c r="W243" s="8" t="e">
        <f>INDEX(meta_Classifiers[Class - Generalization:src], MATCH(meta_Columns[[#This Row],[Generalization 3]],meta_Classifiers[ID],0))</f>
        <v>#N/A</v>
      </c>
      <c r="X243" s="8" t="str">
        <f>INDEX(meta_Classifiers[Class - Generalization:src], MATCH(meta_Columns[[#This Row],[Generalization 2]],meta_Classifiers[ID],0))</f>
        <v/>
      </c>
      <c r="Y243" s="8" t="str">
        <f>INDEX(meta_Classifiers[Class - Generalization:src], MATCH(meta_Columns[[#This Row],[Generalization 1]],meta_Classifiers[ID],0))</f>
        <v>_Object</v>
      </c>
      <c r="Z243" s="8" t="str">
        <f>INDEX(meta_Classifiers[Class - Generalization:src], MATCH(meta_Columns[[#This Row],[Owning Table Instances Class]],meta_Classifiers[ID],0))</f>
        <v>_NamedElement</v>
      </c>
      <c r="AA2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3" s="8" t="b">
        <f>_xlfn.IFNA(
INDEX(meta_Classifiers[Class - Generalization:src],MATCH(
INDEX(meta_Classifiers[Class - Generalization:src],MATCH(meta_Columns[[#This Row],[Property Owning Class]],meta_Classifiers[ID],0)),meta_Classifiers[ID],0))
=meta_Columns[[#This Row],[Owning Table Instances Class]],FALSE)</f>
        <v>0</v>
      </c>
      <c r="AG243" s="8" t="b">
        <f>_xlfn.IFNA(INDEX(meta_Classifiers[Class - Generalization:src],MATCH(meta_Columns[[#This Row],[Property Owning Class]],meta_Classifiers[ID],0))=meta_Columns[[#This Row],[Owning Table Instances Class]],FALSE)</f>
        <v>0</v>
      </c>
      <c r="AH2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3" s="8" t="e">
        <f>INDEX(meta_Classifiers[Name],MATCH(INDEX(meta_TypedModelElements[Property - Owning Class:src],MATCH(meta_Columns[[#This Row],[Property]],meta_TypedModelElements[ID],0)),meta_Classifiers[ID],0))</f>
        <v>#N/A</v>
      </c>
      <c r="AJ243" s="8" t="e">
        <f>INDEX(meta_TypedModelElements[Property - Owning Class:src],MATCH(meta_Columns[[#This Row],[Property]],meta_TypedModelElements[ID],0))</f>
        <v>#N/A</v>
      </c>
      <c r="AK243" s="8" t="e">
        <f>INDEX(meta_TypedModelElements[Kind:src],MATCH(meta_Columns[[#This Row],[Property]],meta_TypedModelElements[ID],0))</f>
        <v>#N/A</v>
      </c>
      <c r="AL243" s="8" t="e">
        <f>INDEX(meta_TypedModelElements[Name or Type],MATCH(meta_Columns[[#This Row],[Property]],meta_TypedModelElements[ID],0))</f>
        <v>#N/A</v>
      </c>
      <c r="AM243" s="8" t="e">
        <f>INDEX(meta_TypedModelElements[Property - Changeable],MATCH(meta_Columns[[#This Row],[Property]],meta_TypedModelElements[ID],0))</f>
        <v>#N/A</v>
      </c>
      <c r="AN243" s="43">
        <v>53</v>
      </c>
      <c r="AO243" s="22"/>
      <c r="AP2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3" s="8" t="str">
        <f xml:space="preserve"> IF(meta_Columns[[#This Row],[Property Owning Class is Specialization of Instance Class]],meta_Columns[[#This Row],[Property Owning Class Name]]&amp;" - ","")</f>
        <v/>
      </c>
      <c r="AR2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3" s="8" t="str">
        <f>IFERROR(LEFT(meta_Columns[[#This Row],[Excel Column - Label Actual without Semantic Case]],FIND("-",
meta_Columns[[#This Row],[Excel Column - Label Actual without Semantic Case]])-2),"")</f>
        <v/>
      </c>
      <c r="AU2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1:display:q.</v>
      </c>
      <c r="AX243" s="22"/>
      <c r="AY243" s="8" t="str">
        <f>meta_Columns[[#This Row],[Owning Table]]&amp;"."&amp;meta_Columns[[#This Row],[Excel Column - Label]]</f>
        <v>meta::Rules.Base Super Class 1:display:q.</v>
      </c>
      <c r="AZ243" s="22" t="s">
        <v>298</v>
      </c>
      <c r="BA243" s="8" t="str">
        <f>IF(TRIM(meta_Columns[[#This Row],[Excel Column - Label Overwrite]])&lt;&gt;"",meta_Columns[[#This Row],[Excel Column - Label Overwrite]],meta_Columns[[#This Row],[Excel Column - Label from Property or Referenced Table]])</f>
        <v>Base Super Class 1:display:q.</v>
      </c>
      <c r="BB243" s="43" t="s">
        <v>970</v>
      </c>
      <c r="BC243" s="44" t="str">
        <f>IF(meta_Columns[[#This Row],[Excel Column - Explicit Excel Formula]]="","",meta_Columns[[#This Row],[Excel Column - Explicit Excel Formula]])</f>
        <v>Formula:=IFNA(INDEX(meta_Classifiers[Display Qualified],MATCH([@[Base Super Class 1]],meta_Classifiers[ID],0))&amp;".","")</v>
      </c>
      <c r="BD243" s="5"/>
      <c r="BE243" s="5"/>
    </row>
    <row r="244" spans="1:57">
      <c r="A244" s="10" t="s">
        <v>1208</v>
      </c>
      <c r="B244" s="5" t="s">
        <v>546</v>
      </c>
      <c r="C244" s="22" t="str">
        <f xml:space="preserve"> IF( TRIM( meta_Columns[[#This Row],[Kind:src]] ) = "", "",
        INDEX( meta_Classifiers[Display Qualified], MATCH( meta_Columns[[#This Row],[Kind:src]], meta_Classifiers[ID], 0 ) ) )</f>
        <v>ExcelColumn</v>
      </c>
      <c r="D244" s="44" t="str">
        <f>IF(meta_Columns[[#This Row],[Owning Table:src]]="","",INDEX(meta_Classifiers[Package],MATCH(meta_Columns[[#This Row],[Owning Table Instances Class]],meta_Classifiers[ID],0)))</f>
        <v>meta</v>
      </c>
      <c r="E244" s="43"/>
      <c r="F244" s="8" t="str">
        <f>INDEX(meta_Tables[Excel Table - Excel Name],MATCH(meta_Columns[[#This Row],[Owning Table:src]],meta_Tables[ID],0))</f>
        <v>meta_Rules</v>
      </c>
      <c r="G244" s="44" t="str">
        <f>INDEX(meta_Tables[Instances Class:src],MATCH(meta_Columns[[#This Row],[Owning Table:src]],meta_Tables[ID],0))</f>
        <v>_Rule</v>
      </c>
      <c r="H244" s="11" t="s">
        <v>1014</v>
      </c>
      <c r="I244" s="43" t="str">
        <f xml:space="preserve"> IF( TRIM( meta_Columns[[#This Row],[Owning Table:src]] ) = "", "",
        INDEX( meta_Tables[Display Qualified], MATCH( meta_Columns[[#This Row],[Owning Table:src]], meta_Tables[ID], 0 ) ) )</f>
        <v>meta::Rules</v>
      </c>
      <c r="K244" s="22" t="str">
        <f>IF(TRIM(meta_Columns[[#This Row],[Referenced Table:src]])="","",
    INDEX(meta_Tables[Display Qualified],MATCH(meta_Columns[[#This Row],[Referenced Table:src]],meta_Tables[ID],0)))</f>
        <v/>
      </c>
      <c r="L244" s="8"/>
      <c r="M244" s="22"/>
      <c r="N244" s="8" t="str">
        <f>IF(meta_Columns[[#This Row],[Excel Column - Excel Formula]]="","x","")</f>
        <v/>
      </c>
      <c r="O244" s="22"/>
      <c r="P244" s="8" t="str">
        <f>IF(meta_Columns[[#This Row],[Referenced Table:src]]="","",INDEX(meta_Tables[Instances Class],MATCH(meta_Columns[[#This Row],[Referenced Table:src]],meta_Tables[ID],0)))</f>
        <v/>
      </c>
      <c r="Q2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4" s="8"/>
      <c r="S244" s="22" t="str">
        <f xml:space="preserve"> IF( TRIM( meta_Columns[[#This Row],[Property:src]] ) = "", "",
        INDEX( meta_TypedModelElements[Display Qualified], MATCH( meta_Columns[[#This Row],[Property:src]], meta_TypedModelElements[ID], 0 ) ) )</f>
        <v/>
      </c>
      <c r="T244" s="22"/>
      <c r="U244" s="8" t="e">
        <f>INDEX(meta_Classifiers[Class - Generalization:src], MATCH(meta_Columns[[#This Row],[Generalization 5]],meta_Classifiers[ID],0))</f>
        <v>#N/A</v>
      </c>
      <c r="V244" s="8" t="e">
        <f>INDEX(meta_Classifiers[Class - Generalization:src], MATCH(meta_Columns[[#This Row],[Generalization 4]],meta_Classifiers[ID],0))</f>
        <v>#N/A</v>
      </c>
      <c r="W244" s="8" t="e">
        <f>INDEX(meta_Classifiers[Class - Generalization:src], MATCH(meta_Columns[[#This Row],[Generalization 3]],meta_Classifiers[ID],0))</f>
        <v>#N/A</v>
      </c>
      <c r="X244" s="8" t="str">
        <f>INDEX(meta_Classifiers[Class - Generalization:src], MATCH(meta_Columns[[#This Row],[Generalization 2]],meta_Classifiers[ID],0))</f>
        <v/>
      </c>
      <c r="Y244" s="8" t="str">
        <f>INDEX(meta_Classifiers[Class - Generalization:src], MATCH(meta_Columns[[#This Row],[Generalization 1]],meta_Classifiers[ID],0))</f>
        <v>_Object</v>
      </c>
      <c r="Z244" s="8" t="str">
        <f>INDEX(meta_Classifiers[Class - Generalization:src], MATCH(meta_Columns[[#This Row],[Owning Table Instances Class]],meta_Classifiers[ID],0))</f>
        <v>_NamedElement</v>
      </c>
      <c r="AA2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4" s="8" t="b">
        <f>_xlfn.IFNA(
INDEX(meta_Classifiers[Class - Generalization:src],MATCH(
INDEX(meta_Classifiers[Class - Generalization:src],MATCH(meta_Columns[[#This Row],[Property Owning Class]],meta_Classifiers[ID],0)),meta_Classifiers[ID],0))
=meta_Columns[[#This Row],[Owning Table Instances Class]],FALSE)</f>
        <v>0</v>
      </c>
      <c r="AG244" s="8" t="b">
        <f>_xlfn.IFNA(INDEX(meta_Classifiers[Class - Generalization:src],MATCH(meta_Columns[[#This Row],[Property Owning Class]],meta_Classifiers[ID],0))=meta_Columns[[#This Row],[Owning Table Instances Class]],FALSE)</f>
        <v>0</v>
      </c>
      <c r="AH2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4" s="8" t="e">
        <f>INDEX(meta_Classifiers[Name],MATCH(INDEX(meta_TypedModelElements[Property - Owning Class:src],MATCH(meta_Columns[[#This Row],[Property]],meta_TypedModelElements[ID],0)),meta_Classifiers[ID],0))</f>
        <v>#N/A</v>
      </c>
      <c r="AJ244" s="8" t="e">
        <f>INDEX(meta_TypedModelElements[Property - Owning Class:src],MATCH(meta_Columns[[#This Row],[Property]],meta_TypedModelElements[ID],0))</f>
        <v>#N/A</v>
      </c>
      <c r="AK244" s="8" t="e">
        <f>INDEX(meta_TypedModelElements[Kind:src],MATCH(meta_Columns[[#This Row],[Property]],meta_TypedModelElements[ID],0))</f>
        <v>#N/A</v>
      </c>
      <c r="AL244" s="8" t="e">
        <f>INDEX(meta_TypedModelElements[Name or Type],MATCH(meta_Columns[[#This Row],[Property]],meta_TypedModelElements[ID],0))</f>
        <v>#N/A</v>
      </c>
      <c r="AM244" s="8" t="e">
        <f>INDEX(meta_TypedModelElements[Property - Changeable],MATCH(meta_Columns[[#This Row],[Property]],meta_TypedModelElements[ID],0))</f>
        <v>#N/A</v>
      </c>
      <c r="AN244" s="43">
        <v>54</v>
      </c>
      <c r="AO244" s="22"/>
      <c r="AP2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4" s="8" t="str">
        <f xml:space="preserve"> IF(meta_Columns[[#This Row],[Property Owning Class is Specialization of Instance Class]],meta_Columns[[#This Row],[Property Owning Class Name]]&amp;" - ","")</f>
        <v/>
      </c>
      <c r="AR2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4" s="8" t="str">
        <f>IFERROR(LEFT(meta_Columns[[#This Row],[Excel Column - Label Actual without Semantic Case]],FIND("-",
meta_Columns[[#This Row],[Excel Column - Label Actual without Semantic Case]])-2),"")</f>
        <v/>
      </c>
      <c r="AU2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v>
      </c>
      <c r="AX244" s="22"/>
      <c r="AY244" s="8" t="str">
        <f>meta_Columns[[#This Row],[Owning Table]]&amp;"."&amp;meta_Columns[[#This Row],[Excel Column - Label]]</f>
        <v>meta::Rules.Base Super Class 1</v>
      </c>
      <c r="AZ244" s="22" t="s">
        <v>299</v>
      </c>
      <c r="BA244" s="8" t="str">
        <f>IF(TRIM(meta_Columns[[#This Row],[Excel Column - Label Overwrite]])&lt;&gt;"",meta_Columns[[#This Row],[Excel Column - Label Overwrite]],meta_Columns[[#This Row],[Excel Column - Label from Property or Referenced Table]])</f>
        <v>Base Super Class 1</v>
      </c>
      <c r="BB244" s="43" t="s">
        <v>1540</v>
      </c>
      <c r="BC244" s="44" t="str">
        <f>IF(meta_Columns[[#This Row],[Excel Column - Explicit Excel Formula]]="","",meta_Columns[[#This Row],[Excel Column - Explicit Excel Formula]])</f>
        <v>Formula:=IFNA(INDEX(#REF!,MATCH([@[Base Type]],meta_Classifiers[ID],0)),0)</v>
      </c>
      <c r="BD244" s="5"/>
      <c r="BE244" s="5"/>
    </row>
    <row r="245" spans="1:57">
      <c r="A245" s="10" t="s">
        <v>1209</v>
      </c>
      <c r="B245" s="5" t="s">
        <v>546</v>
      </c>
      <c r="C245" s="22" t="str">
        <f xml:space="preserve"> IF( TRIM( meta_Columns[[#This Row],[Kind:src]] ) = "", "",
        INDEX( meta_Classifiers[Display Qualified], MATCH( meta_Columns[[#This Row],[Kind:src]], meta_Classifiers[ID], 0 ) ) )</f>
        <v>ExcelColumn</v>
      </c>
      <c r="D245" s="44" t="str">
        <f>IF(meta_Columns[[#This Row],[Owning Table:src]]="","",INDEX(meta_Classifiers[Package],MATCH(meta_Columns[[#This Row],[Owning Table Instances Class]],meta_Classifiers[ID],0)))</f>
        <v>meta</v>
      </c>
      <c r="E245" s="43"/>
      <c r="F245" s="8" t="str">
        <f>INDEX(meta_Tables[Excel Table - Excel Name],MATCH(meta_Columns[[#This Row],[Owning Table:src]],meta_Tables[ID],0))</f>
        <v>meta_Rules</v>
      </c>
      <c r="G245" s="44" t="str">
        <f>INDEX(meta_Tables[Instances Class:src],MATCH(meta_Columns[[#This Row],[Owning Table:src]],meta_Tables[ID],0))</f>
        <v>_Rule</v>
      </c>
      <c r="H245" s="11" t="s">
        <v>1014</v>
      </c>
      <c r="I245" s="43" t="str">
        <f xml:space="preserve"> IF( TRIM( meta_Columns[[#This Row],[Owning Table:src]] ) = "", "",
        INDEX( meta_Tables[Display Qualified], MATCH( meta_Columns[[#This Row],[Owning Table:src]], meta_Tables[ID], 0 ) ) )</f>
        <v>meta::Rules</v>
      </c>
      <c r="K245" s="22" t="str">
        <f>IF(TRIM(meta_Columns[[#This Row],[Referenced Table:src]])="","",
    INDEX(meta_Tables[Display Qualified],MATCH(meta_Columns[[#This Row],[Referenced Table:src]],meta_Tables[ID],0)))</f>
        <v/>
      </c>
      <c r="L245" s="8"/>
      <c r="M245" s="22"/>
      <c r="N245" s="8" t="str">
        <f>IF(meta_Columns[[#This Row],[Excel Column - Excel Formula]]="","x","")</f>
        <v/>
      </c>
      <c r="O245" s="22"/>
      <c r="P245" s="8" t="str">
        <f>IF(meta_Columns[[#This Row],[Referenced Table:src]]="","",INDEX(meta_Tables[Instances Class],MATCH(meta_Columns[[#This Row],[Referenced Table:src]],meta_Tables[ID],0)))</f>
        <v/>
      </c>
      <c r="Q2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meta::Rule.baseClass</v>
      </c>
      <c r="R245" s="8"/>
      <c r="S245" s="22" t="str">
        <f xml:space="preserve"> IF( TRIM( meta_Columns[[#This Row],[Property:src]] ) = "", "",
        INDEX( meta_TypedModelElements[Display Qualified], MATCH( meta_Columns[[#This Row],[Property:src]], meta_TypedModelElements[ID], 0 ) ) )</f>
        <v/>
      </c>
      <c r="T245" s="22"/>
      <c r="U245" s="8" t="e">
        <f>INDEX(meta_Classifiers[Class - Generalization:src], MATCH(meta_Columns[[#This Row],[Generalization 5]],meta_Classifiers[ID],0))</f>
        <v>#N/A</v>
      </c>
      <c r="V245" s="8" t="e">
        <f>INDEX(meta_Classifiers[Class - Generalization:src], MATCH(meta_Columns[[#This Row],[Generalization 4]],meta_Classifiers[ID],0))</f>
        <v>#N/A</v>
      </c>
      <c r="W245" s="8" t="e">
        <f>INDEX(meta_Classifiers[Class - Generalization:src], MATCH(meta_Columns[[#This Row],[Generalization 3]],meta_Classifiers[ID],0))</f>
        <v>#N/A</v>
      </c>
      <c r="X245" s="8" t="str">
        <f>INDEX(meta_Classifiers[Class - Generalization:src], MATCH(meta_Columns[[#This Row],[Generalization 2]],meta_Classifiers[ID],0))</f>
        <v/>
      </c>
      <c r="Y245" s="8" t="str">
        <f>INDEX(meta_Classifiers[Class - Generalization:src], MATCH(meta_Columns[[#This Row],[Generalization 1]],meta_Classifiers[ID],0))</f>
        <v>_Object</v>
      </c>
      <c r="Z245" s="8" t="str">
        <f>INDEX(meta_Classifiers[Class - Generalization:src], MATCH(meta_Columns[[#This Row],[Owning Table Instances Class]],meta_Classifiers[ID],0))</f>
        <v>_NamedElement</v>
      </c>
      <c r="AA2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5" s="8" t="b">
        <f>_xlfn.IFNA(
INDEX(meta_Classifiers[Class - Generalization:src],MATCH(
INDEX(meta_Classifiers[Class - Generalization:src],MATCH(meta_Columns[[#This Row],[Property Owning Class]],meta_Classifiers[ID],0)),meta_Classifiers[ID],0))
=meta_Columns[[#This Row],[Owning Table Instances Class]],FALSE)</f>
        <v>0</v>
      </c>
      <c r="AG245" s="8" t="b">
        <f>_xlfn.IFNA(INDEX(meta_Classifiers[Class - Generalization:src],MATCH(meta_Columns[[#This Row],[Property Owning Class]],meta_Classifiers[ID],0))=meta_Columns[[#This Row],[Owning Table Instances Class]],FALSE)</f>
        <v>0</v>
      </c>
      <c r="AH2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5" s="8" t="e">
        <f>INDEX(meta_Classifiers[Name],MATCH(INDEX(meta_TypedModelElements[Property - Owning Class:src],MATCH(meta_Columns[[#This Row],[Property]],meta_TypedModelElements[ID],0)),meta_Classifiers[ID],0))</f>
        <v>#N/A</v>
      </c>
      <c r="AJ245" s="8" t="e">
        <f>INDEX(meta_TypedModelElements[Property - Owning Class:src],MATCH(meta_Columns[[#This Row],[Property]],meta_TypedModelElements[ID],0))</f>
        <v>#N/A</v>
      </c>
      <c r="AK245" s="8" t="e">
        <f>INDEX(meta_TypedModelElements[Kind:src],MATCH(meta_Columns[[#This Row],[Property]],meta_TypedModelElements[ID],0))</f>
        <v>#N/A</v>
      </c>
      <c r="AL245" s="8" t="e">
        <f>INDEX(meta_TypedModelElements[Name or Type],MATCH(meta_Columns[[#This Row],[Property]],meta_TypedModelElements[ID],0))</f>
        <v>#N/A</v>
      </c>
      <c r="AM245" s="8" t="e">
        <f>INDEX(meta_TypedModelElements[Property - Changeable],MATCH(meta_Columns[[#This Row],[Property]],meta_TypedModelElements[ID],0))</f>
        <v>#N/A</v>
      </c>
      <c r="AN245" s="43">
        <v>55</v>
      </c>
      <c r="AO245" s="22"/>
      <c r="AP2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5" s="8" t="str">
        <f xml:space="preserve"> IF(meta_Columns[[#This Row],[Property Owning Class is Specialization of Instance Class]],meta_Columns[[#This Row],[Property Owning Class Name]]&amp;" - ","")</f>
        <v/>
      </c>
      <c r="AR2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Class</v>
      </c>
      <c r="AT245" s="8" t="str">
        <f>IFERROR(LEFT(meta_Columns[[#This Row],[Excel Column - Label Actual without Semantic Case]],FIND("-",
meta_Columns[[#This Row],[Excel Column - Label Actual without Semantic Case]])-2),"")</f>
        <v/>
      </c>
      <c r="AU2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Class</v>
      </c>
      <c r="AV2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Class:display:q.</v>
      </c>
      <c r="AX245" s="22"/>
      <c r="AY245" s="8" t="str">
        <f>meta_Columns[[#This Row],[Owning Table]]&amp;"."&amp;meta_Columns[[#This Row],[Excel Column - Label]]</f>
        <v>meta::Rules.Base Class:display:q.</v>
      </c>
      <c r="AZ245" s="22" t="s">
        <v>300</v>
      </c>
      <c r="BA245" s="8" t="str">
        <f>IF(TRIM(meta_Columns[[#This Row],[Excel Column - Label Overwrite]])&lt;&gt;"",meta_Columns[[#This Row],[Excel Column - Label Overwrite]],meta_Columns[[#This Row],[Excel Column - Label from Property or Referenced Table]])</f>
        <v>Base Class:display:q.</v>
      </c>
      <c r="BB245" s="43" t="s">
        <v>971</v>
      </c>
      <c r="BC245" s="44" t="str">
        <f>IF(meta_Columns[[#This Row],[Excel Column - Explicit Excel Formula]]="","",meta_Columns[[#This Row],[Excel Column - Explicit Excel Formula]])</f>
        <v>Formula:=INDEX(meta_Classifiers[Display Qualified],MATCH([@[Base Type]],meta_Classifiers[ID],0))&amp;"."</v>
      </c>
      <c r="BD245" s="5"/>
      <c r="BE245" s="5"/>
    </row>
    <row r="246" spans="1:57">
      <c r="A246" s="10" t="s">
        <v>1210</v>
      </c>
      <c r="B246" s="5" t="s">
        <v>546</v>
      </c>
      <c r="C246" s="22" t="str">
        <f xml:space="preserve"> IF( TRIM( meta_Columns[[#This Row],[Kind:src]] ) = "", "",
        INDEX( meta_Classifiers[Display Qualified], MATCH( meta_Columns[[#This Row],[Kind:src]], meta_Classifiers[ID], 0 ) ) )</f>
        <v>ExcelColumn</v>
      </c>
      <c r="D246" s="44" t="str">
        <f>IF(meta_Columns[[#This Row],[Owning Table:src]]="","",INDEX(meta_Classifiers[Package],MATCH(meta_Columns[[#This Row],[Owning Table Instances Class]],meta_Classifiers[ID],0)))</f>
        <v>meta</v>
      </c>
      <c r="E246" s="43"/>
      <c r="F246" s="8" t="str">
        <f>INDEX(meta_Tables[Excel Table - Excel Name],MATCH(meta_Columns[[#This Row],[Owning Table:src]],meta_Tables[ID],0))</f>
        <v>meta_Rules</v>
      </c>
      <c r="G246" s="44" t="str">
        <f>INDEX(meta_Tables[Instances Class:src],MATCH(meta_Columns[[#This Row],[Owning Table:src]],meta_Tables[ID],0))</f>
        <v>_Rule</v>
      </c>
      <c r="H246" s="11" t="s">
        <v>1014</v>
      </c>
      <c r="I246" s="43" t="str">
        <f xml:space="preserve"> IF( TRIM( meta_Columns[[#This Row],[Owning Table:src]] ) = "", "",
        INDEX( meta_Tables[Display Qualified], MATCH( meta_Columns[[#This Row],[Owning Table:src]], meta_Tables[ID], 0 ) ) )</f>
        <v>meta::Rules</v>
      </c>
      <c r="K246" s="22" t="str">
        <f>IF(TRIM(meta_Columns[[#This Row],[Referenced Table:src]])="","",
    INDEX(meta_Tables[Display Qualified],MATCH(meta_Columns[[#This Row],[Referenced Table:src]],meta_Tables[ID],0)))</f>
        <v/>
      </c>
      <c r="L246" s="8"/>
      <c r="M246" s="22"/>
      <c r="N246" s="8" t="str">
        <f>IF(meta_Columns[[#This Row],[Excel Column - Excel Formula]]="","x","")</f>
        <v/>
      </c>
      <c r="O246" s="22"/>
      <c r="P246" s="8" t="str">
        <f>IF(meta_Columns[[#This Row],[Referenced Table:src]]="","",INDEX(meta_Tables[Instances Class],MATCH(meta_Columns[[#This Row],[Referenced Table:src]],meta_Tables[ID],0)))</f>
        <v/>
      </c>
      <c r="Q2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meta::Rule.baseTypeKind</v>
      </c>
      <c r="R246" s="8"/>
      <c r="S246" s="22" t="str">
        <f xml:space="preserve"> IF( TRIM( meta_Columns[[#This Row],[Property:src]] ) = "", "",
        INDEX( meta_TypedModelElements[Display Qualified], MATCH( meta_Columns[[#This Row],[Property:src]], meta_TypedModelElements[ID], 0 ) ) )</f>
        <v/>
      </c>
      <c r="T246" s="22"/>
      <c r="U246" s="8" t="e">
        <f>INDEX(meta_Classifiers[Class - Generalization:src], MATCH(meta_Columns[[#This Row],[Generalization 5]],meta_Classifiers[ID],0))</f>
        <v>#N/A</v>
      </c>
      <c r="V246" s="8" t="e">
        <f>INDEX(meta_Classifiers[Class - Generalization:src], MATCH(meta_Columns[[#This Row],[Generalization 4]],meta_Classifiers[ID],0))</f>
        <v>#N/A</v>
      </c>
      <c r="W246" s="8" t="e">
        <f>INDEX(meta_Classifiers[Class - Generalization:src], MATCH(meta_Columns[[#This Row],[Generalization 3]],meta_Classifiers[ID],0))</f>
        <v>#N/A</v>
      </c>
      <c r="X246" s="8" t="str">
        <f>INDEX(meta_Classifiers[Class - Generalization:src], MATCH(meta_Columns[[#This Row],[Generalization 2]],meta_Classifiers[ID],0))</f>
        <v/>
      </c>
      <c r="Y246" s="8" t="str">
        <f>INDEX(meta_Classifiers[Class - Generalization:src], MATCH(meta_Columns[[#This Row],[Generalization 1]],meta_Classifiers[ID],0))</f>
        <v>_Object</v>
      </c>
      <c r="Z246" s="8" t="str">
        <f>INDEX(meta_Classifiers[Class - Generalization:src], MATCH(meta_Columns[[#This Row],[Owning Table Instances Class]],meta_Classifiers[ID],0))</f>
        <v>_NamedElement</v>
      </c>
      <c r="AA2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6" s="8" t="b">
        <f>_xlfn.IFNA(
INDEX(meta_Classifiers[Class - Generalization:src],MATCH(
INDEX(meta_Classifiers[Class - Generalization:src],MATCH(meta_Columns[[#This Row],[Property Owning Class]],meta_Classifiers[ID],0)),meta_Classifiers[ID],0))
=meta_Columns[[#This Row],[Owning Table Instances Class]],FALSE)</f>
        <v>0</v>
      </c>
      <c r="AG246" s="8" t="b">
        <f>_xlfn.IFNA(INDEX(meta_Classifiers[Class - Generalization:src],MATCH(meta_Columns[[#This Row],[Property Owning Class]],meta_Classifiers[ID],0))=meta_Columns[[#This Row],[Owning Table Instances Class]],FALSE)</f>
        <v>0</v>
      </c>
      <c r="AH2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6" s="8" t="e">
        <f>INDEX(meta_Classifiers[Name],MATCH(INDEX(meta_TypedModelElements[Property - Owning Class:src],MATCH(meta_Columns[[#This Row],[Property]],meta_TypedModelElements[ID],0)),meta_Classifiers[ID],0))</f>
        <v>#N/A</v>
      </c>
      <c r="AJ246" s="8" t="e">
        <f>INDEX(meta_TypedModelElements[Property - Owning Class:src],MATCH(meta_Columns[[#This Row],[Property]],meta_TypedModelElements[ID],0))</f>
        <v>#N/A</v>
      </c>
      <c r="AK246" s="8" t="e">
        <f>INDEX(meta_TypedModelElements[Kind:src],MATCH(meta_Columns[[#This Row],[Property]],meta_TypedModelElements[ID],0))</f>
        <v>#N/A</v>
      </c>
      <c r="AL246" s="8" t="e">
        <f>INDEX(meta_TypedModelElements[Name or Type],MATCH(meta_Columns[[#This Row],[Property]],meta_TypedModelElements[ID],0))</f>
        <v>#N/A</v>
      </c>
      <c r="AM246" s="8" t="e">
        <f>INDEX(meta_TypedModelElements[Property - Changeable],MATCH(meta_Columns[[#This Row],[Property]],meta_TypedModelElements[ID],0))</f>
        <v>#N/A</v>
      </c>
      <c r="AN246" s="43">
        <v>56</v>
      </c>
      <c r="AO246" s="22"/>
      <c r="AP2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6" s="8" t="str">
        <f xml:space="preserve"> IF(meta_Columns[[#This Row],[Property Owning Class is Specialization of Instance Class]],meta_Columns[[#This Row],[Property Owning Class Name]]&amp;" - ","")</f>
        <v/>
      </c>
      <c r="AR2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 Kind</v>
      </c>
      <c r="AT246" s="8" t="str">
        <f>IFERROR(LEFT(meta_Columns[[#This Row],[Excel Column - Label Actual without Semantic Case]],FIND("-",
meta_Columns[[#This Row],[Excel Column - Label Actual without Semantic Case]])-2),"")</f>
        <v/>
      </c>
      <c r="AU2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 Kind</v>
      </c>
      <c r="AV2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 Kind</v>
      </c>
      <c r="AX246" s="22"/>
      <c r="AY246" s="8" t="str">
        <f>meta_Columns[[#This Row],[Owning Table]]&amp;"."&amp;meta_Columns[[#This Row],[Excel Column - Label]]</f>
        <v>meta::Rules.Base Type Kind</v>
      </c>
      <c r="AZ246" s="22" t="s">
        <v>428</v>
      </c>
      <c r="BA246" s="8" t="str">
        <f>IF(TRIM(meta_Columns[[#This Row],[Excel Column - Label Overwrite]])&lt;&gt;"",meta_Columns[[#This Row],[Excel Column - Label Overwrite]],meta_Columns[[#This Row],[Excel Column - Label from Property or Referenced Table]])</f>
        <v>Base Type Kind</v>
      </c>
      <c r="BB246" s="43" t="s">
        <v>1541</v>
      </c>
      <c r="BC246" s="44" t="str">
        <f>IF(meta_Columns[[#This Row],[Excel Column - Explicit Excel Formula]]="","",meta_Columns[[#This Row],[Excel Column - Explicit Excel Formula]])</f>
        <v>Formula:=INDEX(#REF!,MATCH([@[Base Type]],meta_Classifiers[ID],0))</v>
      </c>
      <c r="BD246" s="5"/>
      <c r="BE246" s="5"/>
    </row>
    <row r="247" spans="1:57">
      <c r="A247" s="10" t="s">
        <v>1211</v>
      </c>
      <c r="B247" s="5" t="s">
        <v>546</v>
      </c>
      <c r="C247" s="22" t="str">
        <f xml:space="preserve"> IF( TRIM( meta_Columns[[#This Row],[Kind:src]] ) = "", "",
        INDEX( meta_Classifiers[Display Qualified], MATCH( meta_Columns[[#This Row],[Kind:src]], meta_Classifiers[ID], 0 ) ) )</f>
        <v>ExcelColumn</v>
      </c>
      <c r="D247" s="44" t="str">
        <f>IF(meta_Columns[[#This Row],[Owning Table:src]]="","",INDEX(meta_Classifiers[Package],MATCH(meta_Columns[[#This Row],[Owning Table Instances Class]],meta_Classifiers[ID],0)))</f>
        <v>meta</v>
      </c>
      <c r="E247" s="43"/>
      <c r="F247" s="8" t="str">
        <f>INDEX(meta_Tables[Excel Table - Excel Name],MATCH(meta_Columns[[#This Row],[Owning Table:src]],meta_Tables[ID],0))</f>
        <v>meta_Rules</v>
      </c>
      <c r="G247" s="44" t="str">
        <f>INDEX(meta_Tables[Instances Class:src],MATCH(meta_Columns[[#This Row],[Owning Table:src]],meta_Tables[ID],0))</f>
        <v>_Rule</v>
      </c>
      <c r="H247" s="11" t="s">
        <v>1014</v>
      </c>
      <c r="I247" s="43" t="str">
        <f xml:space="preserve"> IF( TRIM( meta_Columns[[#This Row],[Owning Table:src]] ) = "", "",
        INDEX( meta_Tables[Display Qualified], MATCH( meta_Columns[[#This Row],[Owning Table:src]], meta_Tables[ID], 0 ) ) )</f>
        <v>meta::Rules</v>
      </c>
      <c r="K247" s="22" t="str">
        <f>IF(TRIM(meta_Columns[[#This Row],[Referenced Table:src]])="","",
    INDEX(meta_Tables[Display Qualified],MATCH(meta_Columns[[#This Row],[Referenced Table:src]],meta_Tables[ID],0)))</f>
        <v/>
      </c>
      <c r="L247" s="8"/>
      <c r="M247" s="22"/>
      <c r="N247" s="8" t="str">
        <f>IF(meta_Columns[[#This Row],[Excel Column - Excel Formula]]="","x","")</f>
        <v/>
      </c>
      <c r="O247" s="22"/>
      <c r="P247" s="8" t="str">
        <f>IF(meta_Columns[[#This Row],[Referenced Table:src]]="","",INDEX(meta_Tables[Instances Class],MATCH(meta_Columns[[#This Row],[Referenced Table:src]],meta_Tables[ID],0)))</f>
        <v/>
      </c>
      <c r="Q2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v>
      </c>
      <c r="R247" s="8"/>
      <c r="S247" s="22" t="str">
        <f xml:space="preserve"> IF( TRIM( meta_Columns[[#This Row],[Property:src]] ) = "", "",
        INDEX( meta_TypedModelElements[Display Qualified], MATCH( meta_Columns[[#This Row],[Property:src]], meta_TypedModelElements[ID], 0 ) ) )</f>
        <v/>
      </c>
      <c r="T247" s="22"/>
      <c r="U247" s="8" t="e">
        <f>INDEX(meta_Classifiers[Class - Generalization:src], MATCH(meta_Columns[[#This Row],[Generalization 5]],meta_Classifiers[ID],0))</f>
        <v>#N/A</v>
      </c>
      <c r="V247" s="8" t="e">
        <f>INDEX(meta_Classifiers[Class - Generalization:src], MATCH(meta_Columns[[#This Row],[Generalization 4]],meta_Classifiers[ID],0))</f>
        <v>#N/A</v>
      </c>
      <c r="W247" s="8" t="e">
        <f>INDEX(meta_Classifiers[Class - Generalization:src], MATCH(meta_Columns[[#This Row],[Generalization 3]],meta_Classifiers[ID],0))</f>
        <v>#N/A</v>
      </c>
      <c r="X247" s="8" t="str">
        <f>INDEX(meta_Classifiers[Class - Generalization:src], MATCH(meta_Columns[[#This Row],[Generalization 2]],meta_Classifiers[ID],0))</f>
        <v/>
      </c>
      <c r="Y247" s="8" t="str">
        <f>INDEX(meta_Classifiers[Class - Generalization:src], MATCH(meta_Columns[[#This Row],[Generalization 1]],meta_Classifiers[ID],0))</f>
        <v>_Object</v>
      </c>
      <c r="Z247" s="8" t="str">
        <f>INDEX(meta_Classifiers[Class - Generalization:src], MATCH(meta_Columns[[#This Row],[Owning Table Instances Class]],meta_Classifiers[ID],0))</f>
        <v>_NamedElement</v>
      </c>
      <c r="AA2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7" s="8" t="b">
        <f>_xlfn.IFNA(
INDEX(meta_Classifiers[Class - Generalization:src],MATCH(
INDEX(meta_Classifiers[Class - Generalization:src],MATCH(meta_Columns[[#This Row],[Property Owning Class]],meta_Classifiers[ID],0)),meta_Classifiers[ID],0))
=meta_Columns[[#This Row],[Owning Table Instances Class]],FALSE)</f>
        <v>0</v>
      </c>
      <c r="AG247" s="8" t="b">
        <f>_xlfn.IFNA(INDEX(meta_Classifiers[Class - Generalization:src],MATCH(meta_Columns[[#This Row],[Property Owning Class]],meta_Classifiers[ID],0))=meta_Columns[[#This Row],[Owning Table Instances Class]],FALSE)</f>
        <v>0</v>
      </c>
      <c r="AH2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7" s="8" t="e">
        <f>INDEX(meta_Classifiers[Name],MATCH(INDEX(meta_TypedModelElements[Property - Owning Class:src],MATCH(meta_Columns[[#This Row],[Property]],meta_TypedModelElements[ID],0)),meta_Classifiers[ID],0))</f>
        <v>#N/A</v>
      </c>
      <c r="AJ247" s="8" t="e">
        <f>INDEX(meta_TypedModelElements[Property - Owning Class:src],MATCH(meta_Columns[[#This Row],[Property]],meta_TypedModelElements[ID],0))</f>
        <v>#N/A</v>
      </c>
      <c r="AK247" s="8" t="e">
        <f>INDEX(meta_TypedModelElements[Kind:src],MATCH(meta_Columns[[#This Row],[Property]],meta_TypedModelElements[ID],0))</f>
        <v>#N/A</v>
      </c>
      <c r="AL247" s="8" t="e">
        <f>INDEX(meta_TypedModelElements[Name or Type],MATCH(meta_Columns[[#This Row],[Property]],meta_TypedModelElements[ID],0))</f>
        <v>#N/A</v>
      </c>
      <c r="AM247" s="8" t="e">
        <f>INDEX(meta_TypedModelElements[Property - Changeable],MATCH(meta_Columns[[#This Row],[Property]],meta_TypedModelElements[ID],0))</f>
        <v>#N/A</v>
      </c>
      <c r="AN247" s="43">
        <v>57</v>
      </c>
      <c r="AO247" s="22"/>
      <c r="AP2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7" s="8" t="str">
        <f xml:space="preserve"> IF(meta_Columns[[#This Row],[Property Owning Class is Specialization of Instance Class]],meta_Columns[[#This Row],[Property Owning Class Name]]&amp;" - ","")</f>
        <v/>
      </c>
      <c r="AR2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v>
      </c>
      <c r="AT247" s="8" t="str">
        <f>IFERROR(LEFT(meta_Columns[[#This Row],[Excel Column - Label Actual without Semantic Case]],FIND("-",
meta_Columns[[#This Row],[Excel Column - Label Actual without Semantic Case]])-2),"")</f>
        <v/>
      </c>
      <c r="AU2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v>
      </c>
      <c r="AV2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v>
      </c>
      <c r="AX247" s="22"/>
      <c r="AY247" s="8" t="str">
        <f>meta_Columns[[#This Row],[Owning Table]]&amp;"."&amp;meta_Columns[[#This Row],[Excel Column - Label]]</f>
        <v>meta::Rules.Base Type</v>
      </c>
      <c r="AZ247" s="22" t="s">
        <v>424</v>
      </c>
      <c r="BA247" s="8" t="str">
        <f>IF(TRIM(meta_Columns[[#This Row],[Excel Column - Label Overwrite]])&lt;&gt;"",meta_Columns[[#This Row],[Excel Column - Label Overwrite]],meta_Columns[[#This Row],[Excel Column - Label from Property or Referenced Table]])</f>
        <v>Base Type</v>
      </c>
      <c r="BB247" s="43" t="s">
        <v>892</v>
      </c>
      <c r="BC247" s="44" t="str">
        <f>IF(meta_Columns[[#This Row],[Excel Column - Explicit Excel Formula]]="","",meta_Columns[[#This Row],[Excel Column - Explicit Excel Formula]])</f>
        <v>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v>
      </c>
      <c r="BD247" s="5"/>
      <c r="BE247" s="5"/>
    </row>
    <row r="248" spans="1:57">
      <c r="A248" s="10" t="s">
        <v>1212</v>
      </c>
      <c r="B248" s="5" t="s">
        <v>546</v>
      </c>
      <c r="C248" s="22" t="str">
        <f xml:space="preserve"> IF( TRIM( meta_Columns[[#This Row],[Kind:src]] ) = "", "",
        INDEX( meta_Classifiers[Display Qualified], MATCH( meta_Columns[[#This Row],[Kind:src]], meta_Classifiers[ID], 0 ) ) )</f>
        <v>ExcelColumn</v>
      </c>
      <c r="D248" s="44" t="str">
        <f>IF(meta_Columns[[#This Row],[Owning Table:src]]="","",INDEX(meta_Classifiers[Package],MATCH(meta_Columns[[#This Row],[Owning Table Instances Class]],meta_Classifiers[ID],0)))</f>
        <v>meta</v>
      </c>
      <c r="E248" s="43"/>
      <c r="F248" s="8" t="str">
        <f>INDEX(meta_Tables[Excel Table - Excel Name],MATCH(meta_Columns[[#This Row],[Owning Table:src]],meta_Tables[ID],0))</f>
        <v>meta_Rules</v>
      </c>
      <c r="G248" s="44" t="str">
        <f>INDEX(meta_Tables[Instances Class:src],MATCH(meta_Columns[[#This Row],[Owning Table:src]],meta_Tables[ID],0))</f>
        <v>_Rule</v>
      </c>
      <c r="H248" s="11" t="s">
        <v>1014</v>
      </c>
      <c r="I248" s="43" t="str">
        <f xml:space="preserve"> IF( TRIM( meta_Columns[[#This Row],[Owning Table:src]] ) = "", "",
        INDEX( meta_Tables[Display Qualified], MATCH( meta_Columns[[#This Row],[Owning Table:src]], meta_Tables[ID], 0 ) ) )</f>
        <v>meta::Rules</v>
      </c>
      <c r="K248" s="22" t="str">
        <f>IF(TRIM(meta_Columns[[#This Row],[Referenced Table:src]])="","",
    INDEX(meta_Tables[Display Qualified],MATCH(meta_Columns[[#This Row],[Referenced Table:src]],meta_Tables[ID],0)))</f>
        <v/>
      </c>
      <c r="L248" s="8"/>
      <c r="M248" s="22"/>
      <c r="N248" s="8" t="str">
        <f>IF(meta_Columns[[#This Row],[Excel Column - Excel Formula]]="","x","")</f>
        <v/>
      </c>
      <c r="O248" s="22"/>
      <c r="P248" s="8" t="str">
        <f>IF(meta_Columns[[#This Row],[Referenced Table:src]]="","",INDEX(meta_Tables[Instances Class],MATCH(meta_Columns[[#This Row],[Referenced Table:src]],meta_Tables[ID],0)))</f>
        <v/>
      </c>
      <c r="Q2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meta::Rule.baseAsParameter</v>
      </c>
      <c r="R248" s="8"/>
      <c r="S248" s="22" t="str">
        <f xml:space="preserve"> IF( TRIM( meta_Columns[[#This Row],[Property:src]] ) = "", "",
        INDEX( meta_TypedModelElements[Display Qualified], MATCH( meta_Columns[[#This Row],[Property:src]], meta_TypedModelElements[ID], 0 ) ) )</f>
        <v/>
      </c>
      <c r="T248" s="22"/>
      <c r="U248" s="8" t="e">
        <f>INDEX(meta_Classifiers[Class - Generalization:src], MATCH(meta_Columns[[#This Row],[Generalization 5]],meta_Classifiers[ID],0))</f>
        <v>#N/A</v>
      </c>
      <c r="V248" s="8" t="e">
        <f>INDEX(meta_Classifiers[Class - Generalization:src], MATCH(meta_Columns[[#This Row],[Generalization 4]],meta_Classifiers[ID],0))</f>
        <v>#N/A</v>
      </c>
      <c r="W248" s="8" t="e">
        <f>INDEX(meta_Classifiers[Class - Generalization:src], MATCH(meta_Columns[[#This Row],[Generalization 3]],meta_Classifiers[ID],0))</f>
        <v>#N/A</v>
      </c>
      <c r="X248" s="8" t="str">
        <f>INDEX(meta_Classifiers[Class - Generalization:src], MATCH(meta_Columns[[#This Row],[Generalization 2]],meta_Classifiers[ID],0))</f>
        <v/>
      </c>
      <c r="Y248" s="8" t="str">
        <f>INDEX(meta_Classifiers[Class - Generalization:src], MATCH(meta_Columns[[#This Row],[Generalization 1]],meta_Classifiers[ID],0))</f>
        <v>_Object</v>
      </c>
      <c r="Z248" s="8" t="str">
        <f>INDEX(meta_Classifiers[Class - Generalization:src], MATCH(meta_Columns[[#This Row],[Owning Table Instances Class]],meta_Classifiers[ID],0))</f>
        <v>_NamedElement</v>
      </c>
      <c r="AA2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8" s="8" t="b">
        <f>_xlfn.IFNA(
INDEX(meta_Classifiers[Class - Generalization:src],MATCH(
INDEX(meta_Classifiers[Class - Generalization:src],MATCH(meta_Columns[[#This Row],[Property Owning Class]],meta_Classifiers[ID],0)),meta_Classifiers[ID],0))
=meta_Columns[[#This Row],[Owning Table Instances Class]],FALSE)</f>
        <v>0</v>
      </c>
      <c r="AG248" s="8" t="b">
        <f>_xlfn.IFNA(INDEX(meta_Classifiers[Class - Generalization:src],MATCH(meta_Columns[[#This Row],[Property Owning Class]],meta_Classifiers[ID],0))=meta_Columns[[#This Row],[Owning Table Instances Class]],FALSE)</f>
        <v>0</v>
      </c>
      <c r="AH2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8" s="8" t="e">
        <f>INDEX(meta_Classifiers[Name],MATCH(INDEX(meta_TypedModelElements[Property - Owning Class:src],MATCH(meta_Columns[[#This Row],[Property]],meta_TypedModelElements[ID],0)),meta_Classifiers[ID],0))</f>
        <v>#N/A</v>
      </c>
      <c r="AJ248" s="8" t="e">
        <f>INDEX(meta_TypedModelElements[Property - Owning Class:src],MATCH(meta_Columns[[#This Row],[Property]],meta_TypedModelElements[ID],0))</f>
        <v>#N/A</v>
      </c>
      <c r="AK248" s="8" t="e">
        <f>INDEX(meta_TypedModelElements[Kind:src],MATCH(meta_Columns[[#This Row],[Property]],meta_TypedModelElements[ID],0))</f>
        <v>#N/A</v>
      </c>
      <c r="AL248" s="8" t="e">
        <f>INDEX(meta_TypedModelElements[Name or Type],MATCH(meta_Columns[[#This Row],[Property]],meta_TypedModelElements[ID],0))</f>
        <v>#N/A</v>
      </c>
      <c r="AM248" s="8" t="e">
        <f>INDEX(meta_TypedModelElements[Property - Changeable],MATCH(meta_Columns[[#This Row],[Property]],meta_TypedModelElements[ID],0))</f>
        <v>#N/A</v>
      </c>
      <c r="AN248" s="43">
        <v>58</v>
      </c>
      <c r="AO248" s="22"/>
      <c r="AP2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8" s="8" t="str">
        <f xml:space="preserve"> IF(meta_Columns[[#This Row],[Property Owning Class is Specialization of Instance Class]],meta_Columns[[#This Row],[Property Owning Class Name]]&amp;" - ","")</f>
        <v/>
      </c>
      <c r="AR2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as Parameter</v>
      </c>
      <c r="AT248" s="8" t="str">
        <f>IFERROR(LEFT(meta_Columns[[#This Row],[Excel Column - Label Actual without Semantic Case]],FIND("-",
meta_Columns[[#This Row],[Excel Column - Label Actual without Semantic Case]])-2),"")</f>
        <v/>
      </c>
      <c r="AU2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as Parameter</v>
      </c>
      <c r="AV2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as Parameter</v>
      </c>
      <c r="AX248" s="22"/>
      <c r="AY248" s="8" t="str">
        <f>meta_Columns[[#This Row],[Owning Table]]&amp;"."&amp;meta_Columns[[#This Row],[Excel Column - Label]]</f>
        <v>meta::Rules.Base as Parameter</v>
      </c>
      <c r="AZ248" s="22" t="s">
        <v>426</v>
      </c>
      <c r="BA248" s="8" t="str">
        <f>IF(TRIM(meta_Columns[[#This Row],[Excel Column - Label Overwrite]])&lt;&gt;"",meta_Columns[[#This Row],[Excel Column - Label Overwrite]],meta_Columns[[#This Row],[Excel Column - Label from Property or Referenced Table]])</f>
        <v>Base as Parameter</v>
      </c>
      <c r="BB248" s="43" t="s">
        <v>893</v>
      </c>
      <c r="BC248" s="44" t="str">
        <f>IF(meta_Columns[[#This Row],[Excel Column - Explicit Excel Formula]]="","",meta_Columns[[#This Row],[Excel Column - Explicit Excel Formula]])</f>
        <v>Formula:=IFNA(INDEX(meta_TypedModelElements[ID],MATCH([@[Feature:src]]&amp;"."&amp;[@Base],meta_TypedModelElements[ID],0)),"")</v>
      </c>
      <c r="BD248" s="5"/>
      <c r="BE248" s="5"/>
    </row>
    <row r="249" spans="1:57">
      <c r="A249" s="10" t="s">
        <v>1213</v>
      </c>
      <c r="B249" s="5" t="s">
        <v>546</v>
      </c>
      <c r="C249" s="22" t="str">
        <f xml:space="preserve"> IF( TRIM( meta_Columns[[#This Row],[Kind:src]] ) = "", "",
        INDEX( meta_Classifiers[Display Qualified], MATCH( meta_Columns[[#This Row],[Kind:src]], meta_Classifiers[ID], 0 ) ) )</f>
        <v>ExcelColumn</v>
      </c>
      <c r="D249" s="44" t="str">
        <f>IF(meta_Columns[[#This Row],[Owning Table:src]]="","",INDEX(meta_Classifiers[Package],MATCH(meta_Columns[[#This Row],[Owning Table Instances Class]],meta_Classifiers[ID],0)))</f>
        <v>meta</v>
      </c>
      <c r="E249" s="43"/>
      <c r="F249" s="8" t="str">
        <f>INDEX(meta_Tables[Excel Table - Excel Name],MATCH(meta_Columns[[#This Row],[Owning Table:src]],meta_Tables[ID],0))</f>
        <v>meta_Rules</v>
      </c>
      <c r="G249" s="44" t="str">
        <f>INDEX(meta_Tables[Instances Class:src],MATCH(meta_Columns[[#This Row],[Owning Table:src]],meta_Tables[ID],0))</f>
        <v>_Rule</v>
      </c>
      <c r="H249" s="11" t="s">
        <v>1014</v>
      </c>
      <c r="I249" s="43" t="str">
        <f xml:space="preserve"> IF( TRIM( meta_Columns[[#This Row],[Owning Table:src]] ) = "", "",
        INDEX( meta_Tables[Display Qualified], MATCH( meta_Columns[[#This Row],[Owning Table:src]], meta_Tables[ID], 0 ) ) )</f>
        <v>meta::Rules</v>
      </c>
      <c r="K249" s="22" t="str">
        <f>IF(TRIM(meta_Columns[[#This Row],[Referenced Table:src]])="","",
    INDEX(meta_Tables[Display Qualified],MATCH(meta_Columns[[#This Row],[Referenced Table:src]],meta_Tables[ID],0)))</f>
        <v/>
      </c>
      <c r="L249" s="8"/>
      <c r="M249" s="22"/>
      <c r="N249" s="8" t="str">
        <f>IF(meta_Columns[[#This Row],[Excel Column - Excel Formula]]="","x","")</f>
        <v>x</v>
      </c>
      <c r="O249" s="22"/>
      <c r="P249" s="8" t="str">
        <f>IF(meta_Columns[[#This Row],[Referenced Table:src]]="","",INDEX(meta_Tables[Instances Class],MATCH(meta_Columns[[#This Row],[Referenced Table:src]],meta_Tables[ID],0)))</f>
        <v/>
      </c>
      <c r="Q2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v>
      </c>
      <c r="R249" s="8"/>
      <c r="S249" s="22" t="str">
        <f xml:space="preserve"> IF( TRIM( meta_Columns[[#This Row],[Property:src]] ) = "", "",
        INDEX( meta_TypedModelElements[Display Qualified], MATCH( meta_Columns[[#This Row],[Property:src]], meta_TypedModelElements[ID], 0 ) ) )</f>
        <v/>
      </c>
      <c r="T249" s="22"/>
      <c r="U249" s="8" t="e">
        <f>INDEX(meta_Classifiers[Class - Generalization:src], MATCH(meta_Columns[[#This Row],[Generalization 5]],meta_Classifiers[ID],0))</f>
        <v>#N/A</v>
      </c>
      <c r="V249" s="8" t="e">
        <f>INDEX(meta_Classifiers[Class - Generalization:src], MATCH(meta_Columns[[#This Row],[Generalization 4]],meta_Classifiers[ID],0))</f>
        <v>#N/A</v>
      </c>
      <c r="W249" s="8" t="e">
        <f>INDEX(meta_Classifiers[Class - Generalization:src], MATCH(meta_Columns[[#This Row],[Generalization 3]],meta_Classifiers[ID],0))</f>
        <v>#N/A</v>
      </c>
      <c r="X249" s="8" t="str">
        <f>INDEX(meta_Classifiers[Class - Generalization:src], MATCH(meta_Columns[[#This Row],[Generalization 2]],meta_Classifiers[ID],0))</f>
        <v/>
      </c>
      <c r="Y249" s="8" t="str">
        <f>INDEX(meta_Classifiers[Class - Generalization:src], MATCH(meta_Columns[[#This Row],[Generalization 1]],meta_Classifiers[ID],0))</f>
        <v>_Object</v>
      </c>
      <c r="Z249" s="8" t="str">
        <f>INDEX(meta_Classifiers[Class - Generalization:src], MATCH(meta_Columns[[#This Row],[Owning Table Instances Class]],meta_Classifiers[ID],0))</f>
        <v>_NamedElement</v>
      </c>
      <c r="AA2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9" s="8" t="b">
        <f>_xlfn.IFNA(
INDEX(meta_Classifiers[Class - Generalization:src],MATCH(
INDEX(meta_Classifiers[Class - Generalization:src],MATCH(meta_Columns[[#This Row],[Property Owning Class]],meta_Classifiers[ID],0)),meta_Classifiers[ID],0))
=meta_Columns[[#This Row],[Owning Table Instances Class]],FALSE)</f>
        <v>0</v>
      </c>
      <c r="AG249" s="8" t="b">
        <f>_xlfn.IFNA(INDEX(meta_Classifiers[Class - Generalization:src],MATCH(meta_Columns[[#This Row],[Property Owning Class]],meta_Classifiers[ID],0))=meta_Columns[[#This Row],[Owning Table Instances Class]],FALSE)</f>
        <v>0</v>
      </c>
      <c r="AH2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9" s="8" t="e">
        <f>INDEX(meta_Classifiers[Name],MATCH(INDEX(meta_TypedModelElements[Property - Owning Class:src],MATCH(meta_Columns[[#This Row],[Property]],meta_TypedModelElements[ID],0)),meta_Classifiers[ID],0))</f>
        <v>#N/A</v>
      </c>
      <c r="AJ249" s="8" t="e">
        <f>INDEX(meta_TypedModelElements[Property - Owning Class:src],MATCH(meta_Columns[[#This Row],[Property]],meta_TypedModelElements[ID],0))</f>
        <v>#N/A</v>
      </c>
      <c r="AK249" s="8" t="e">
        <f>INDEX(meta_TypedModelElements[Kind:src],MATCH(meta_Columns[[#This Row],[Property]],meta_TypedModelElements[ID],0))</f>
        <v>#N/A</v>
      </c>
      <c r="AL249" s="8" t="e">
        <f>INDEX(meta_TypedModelElements[Name or Type],MATCH(meta_Columns[[#This Row],[Property]],meta_TypedModelElements[ID],0))</f>
        <v>#N/A</v>
      </c>
      <c r="AM249" s="8" t="e">
        <f>INDEX(meta_TypedModelElements[Property - Changeable],MATCH(meta_Columns[[#This Row],[Property]],meta_TypedModelElements[ID],0))</f>
        <v>#N/A</v>
      </c>
      <c r="AN249" s="43">
        <v>59</v>
      </c>
      <c r="AO249" s="22">
        <v>18</v>
      </c>
      <c r="AP2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9" s="8" t="str">
        <f xml:space="preserve"> IF(meta_Columns[[#This Row],[Property Owning Class is Specialization of Instance Class]],meta_Columns[[#This Row],[Property Owning Class Name]]&amp;" - ","")</f>
        <v/>
      </c>
      <c r="AR2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v>
      </c>
      <c r="AT249" s="8" t="str">
        <f>IFERROR(LEFT(meta_Columns[[#This Row],[Excel Column - Label Actual without Semantic Case]],FIND("-",
meta_Columns[[#This Row],[Excel Column - Label Actual without Semantic Case]])-2),"")</f>
        <v/>
      </c>
      <c r="AU2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v>
      </c>
      <c r="AV2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v>
      </c>
      <c r="AX249" s="22"/>
      <c r="AY249" s="8" t="str">
        <f>meta_Columns[[#This Row],[Owning Table]]&amp;"."&amp;meta_Columns[[#This Row],[Excel Column - Label]]</f>
        <v>meta::Rules.Base</v>
      </c>
      <c r="AZ249" s="22" t="s">
        <v>23</v>
      </c>
      <c r="BA249" s="8" t="str">
        <f>IF(TRIM(meta_Columns[[#This Row],[Excel Column - Label Overwrite]])&lt;&gt;"",meta_Columns[[#This Row],[Excel Column - Label Overwrite]],meta_Columns[[#This Row],[Excel Column - Label from Property or Referenced Table]])</f>
        <v>Base</v>
      </c>
      <c r="BB249" s="43"/>
      <c r="BC249" s="44" t="str">
        <f>IF(meta_Columns[[#This Row],[Excel Column - Explicit Excel Formula]]="","",meta_Columns[[#This Row],[Excel Column - Explicit Excel Formula]])</f>
        <v/>
      </c>
      <c r="BD249" s="5"/>
      <c r="BE249" s="5"/>
    </row>
    <row r="250" spans="1:57">
      <c r="A250" s="10" t="s">
        <v>1214</v>
      </c>
      <c r="B250" s="5" t="s">
        <v>546</v>
      </c>
      <c r="C250" s="22" t="str">
        <f xml:space="preserve"> IF( TRIM( meta_Columns[[#This Row],[Kind:src]] ) = "", "",
        INDEX( meta_Classifiers[Display Qualified], MATCH( meta_Columns[[#This Row],[Kind:src]], meta_Classifiers[ID], 0 ) ) )</f>
        <v>ExcelColumn</v>
      </c>
      <c r="D250" s="44" t="str">
        <f>IF(meta_Columns[[#This Row],[Owning Table:src]]="","",INDEX(meta_Classifiers[Package],MATCH(meta_Columns[[#This Row],[Owning Table Instances Class]],meta_Classifiers[ID],0)))</f>
        <v>meta</v>
      </c>
      <c r="E250" s="43"/>
      <c r="F250" s="8" t="str">
        <f>INDEX(meta_Tables[Excel Table - Excel Name],MATCH(meta_Columns[[#This Row],[Owning Table:src]],meta_Tables[ID],0))</f>
        <v>meta_Rules</v>
      </c>
      <c r="G250" s="44" t="str">
        <f>INDEX(meta_Tables[Instances Class:src],MATCH(meta_Columns[[#This Row],[Owning Table:src]],meta_Tables[ID],0))</f>
        <v>_Rule</v>
      </c>
      <c r="H250" s="11" t="s">
        <v>1014</v>
      </c>
      <c r="I250" s="43" t="str">
        <f xml:space="preserve"> IF( TRIM( meta_Columns[[#This Row],[Owning Table:src]] ) = "", "",
        INDEX( meta_Tables[Display Qualified], MATCH( meta_Columns[[#This Row],[Owning Table:src]], meta_Tables[ID], 0 ) ) )</f>
        <v>meta::Rules</v>
      </c>
      <c r="K250" s="22" t="str">
        <f>IF(TRIM(meta_Columns[[#This Row],[Referenced Table:src]])="","",
    INDEX(meta_Tables[Display Qualified],MATCH(meta_Columns[[#This Row],[Referenced Table:src]],meta_Tables[ID],0)))</f>
        <v/>
      </c>
      <c r="L250" s="8"/>
      <c r="M250" s="22"/>
      <c r="N250" s="8" t="str">
        <f>IF(meta_Columns[[#This Row],[Excel Column - Excel Formula]]="","x","")</f>
        <v>x</v>
      </c>
      <c r="O250" s="22"/>
      <c r="P250" s="8" t="str">
        <f>IF(meta_Columns[[#This Row],[Referenced Table:src]]="","",INDEX(meta_Tables[Instances Class],MATCH(meta_Columns[[#This Row],[Referenced Table:src]],meta_Tables[ID],0)))</f>
        <v/>
      </c>
      <c r="Q2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0" s="8"/>
      <c r="S250" s="22" t="str">
        <f xml:space="preserve"> IF( TRIM( meta_Columns[[#This Row],[Property:src]] ) = "", "",
        INDEX( meta_TypedModelElements[Display Qualified], MATCH( meta_Columns[[#This Row],[Property:src]], meta_TypedModelElements[ID], 0 ) ) )</f>
        <v/>
      </c>
      <c r="T250" s="22"/>
      <c r="U250" s="8" t="e">
        <f>INDEX(meta_Classifiers[Class - Generalization:src], MATCH(meta_Columns[[#This Row],[Generalization 5]],meta_Classifiers[ID],0))</f>
        <v>#N/A</v>
      </c>
      <c r="V250" s="8" t="e">
        <f>INDEX(meta_Classifiers[Class - Generalization:src], MATCH(meta_Columns[[#This Row],[Generalization 4]],meta_Classifiers[ID],0))</f>
        <v>#N/A</v>
      </c>
      <c r="W250" s="8" t="e">
        <f>INDEX(meta_Classifiers[Class - Generalization:src], MATCH(meta_Columns[[#This Row],[Generalization 3]],meta_Classifiers[ID],0))</f>
        <v>#N/A</v>
      </c>
      <c r="X250" s="8" t="str">
        <f>INDEX(meta_Classifiers[Class - Generalization:src], MATCH(meta_Columns[[#This Row],[Generalization 2]],meta_Classifiers[ID],0))</f>
        <v/>
      </c>
      <c r="Y250" s="8" t="str">
        <f>INDEX(meta_Classifiers[Class - Generalization:src], MATCH(meta_Columns[[#This Row],[Generalization 1]],meta_Classifiers[ID],0))</f>
        <v>_Object</v>
      </c>
      <c r="Z250" s="8" t="str">
        <f>INDEX(meta_Classifiers[Class - Generalization:src], MATCH(meta_Columns[[#This Row],[Owning Table Instances Class]],meta_Classifiers[ID],0))</f>
        <v>_NamedElement</v>
      </c>
      <c r="AA2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0" s="8" t="b">
        <f>_xlfn.IFNA(
INDEX(meta_Classifiers[Class - Generalization:src],MATCH(
INDEX(meta_Classifiers[Class - Generalization:src],MATCH(meta_Columns[[#This Row],[Property Owning Class]],meta_Classifiers[ID],0)),meta_Classifiers[ID],0))
=meta_Columns[[#This Row],[Owning Table Instances Class]],FALSE)</f>
        <v>0</v>
      </c>
      <c r="AG250" s="8" t="b">
        <f>_xlfn.IFNA(INDEX(meta_Classifiers[Class - Generalization:src],MATCH(meta_Columns[[#This Row],[Property Owning Class]],meta_Classifiers[ID],0))=meta_Columns[[#This Row],[Owning Table Instances Class]],FALSE)</f>
        <v>0</v>
      </c>
      <c r="AH2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0" s="8" t="e">
        <f>INDEX(meta_Classifiers[Name],MATCH(INDEX(meta_TypedModelElements[Property - Owning Class:src],MATCH(meta_Columns[[#This Row],[Property]],meta_TypedModelElements[ID],0)),meta_Classifiers[ID],0))</f>
        <v>#N/A</v>
      </c>
      <c r="AJ250" s="8" t="e">
        <f>INDEX(meta_TypedModelElements[Property - Owning Class:src],MATCH(meta_Columns[[#This Row],[Property]],meta_TypedModelElements[ID],0))</f>
        <v>#N/A</v>
      </c>
      <c r="AK250" s="8" t="e">
        <f>INDEX(meta_TypedModelElements[Kind:src],MATCH(meta_Columns[[#This Row],[Property]],meta_TypedModelElements[ID],0))</f>
        <v>#N/A</v>
      </c>
      <c r="AL250" s="8" t="e">
        <f>INDEX(meta_TypedModelElements[Name or Type],MATCH(meta_Columns[[#This Row],[Property]],meta_TypedModelElements[ID],0))</f>
        <v>#N/A</v>
      </c>
      <c r="AM250" s="8" t="e">
        <f>INDEX(meta_TypedModelElements[Property - Changeable],MATCH(meta_Columns[[#This Row],[Property]],meta_TypedModelElements[ID],0))</f>
        <v>#N/A</v>
      </c>
      <c r="AN250" s="43">
        <v>60</v>
      </c>
      <c r="AO250" s="22">
        <v>19</v>
      </c>
      <c r="AP2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0" s="8" t="str">
        <f xml:space="preserve"> IF(meta_Columns[[#This Row],[Property Owning Class is Specialization of Instance Class]],meta_Columns[[#This Row],[Property Owning Class Name]]&amp;" - ","")</f>
        <v/>
      </c>
      <c r="AR2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0" s="8" t="str">
        <f>IFERROR(LEFT(meta_Columns[[#This Row],[Excel Column - Label Actual without Semantic Case]],FIND("-",
meta_Columns[[#This Row],[Excel Column - Label Actual without Semantic Case]])-2),"")</f>
        <v/>
      </c>
      <c r="AU2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1:src</v>
      </c>
      <c r="AX250" s="22"/>
      <c r="AY250" s="8" t="str">
        <f>meta_Columns[[#This Row],[Owning Table]]&amp;"."&amp;meta_Columns[[#This Row],[Excel Column - Label]]</f>
        <v>meta::Rules.Property 1:src</v>
      </c>
      <c r="AZ250" s="22" t="s">
        <v>301</v>
      </c>
      <c r="BA250" s="8" t="str">
        <f>IF(TRIM(meta_Columns[[#This Row],[Excel Column - Label Overwrite]])&lt;&gt;"",meta_Columns[[#This Row],[Excel Column - Label Overwrite]],meta_Columns[[#This Row],[Excel Column - Label from Property or Referenced Table]])</f>
        <v>Property 1:src</v>
      </c>
      <c r="BB250" s="43"/>
      <c r="BC250" s="44" t="str">
        <f>IF(meta_Columns[[#This Row],[Excel Column - Explicit Excel Formula]]="","",meta_Columns[[#This Row],[Excel Column - Explicit Excel Formula]])</f>
        <v/>
      </c>
      <c r="BD250" s="5"/>
      <c r="BE250" s="5"/>
    </row>
    <row r="251" spans="1:57">
      <c r="A251" s="10" t="s">
        <v>1215</v>
      </c>
      <c r="B251" s="5" t="s">
        <v>546</v>
      </c>
      <c r="C251" s="22" t="str">
        <f xml:space="preserve"> IF( TRIM( meta_Columns[[#This Row],[Kind:src]] ) = "", "",
        INDEX( meta_Classifiers[Display Qualified], MATCH( meta_Columns[[#This Row],[Kind:src]], meta_Classifiers[ID], 0 ) ) )</f>
        <v>ExcelColumn</v>
      </c>
      <c r="D251" s="44" t="str">
        <f>IF(meta_Columns[[#This Row],[Owning Table:src]]="","",INDEX(meta_Classifiers[Package],MATCH(meta_Columns[[#This Row],[Owning Table Instances Class]],meta_Classifiers[ID],0)))</f>
        <v>meta</v>
      </c>
      <c r="E251" s="43"/>
      <c r="F251" s="8" t="str">
        <f>INDEX(meta_Tables[Excel Table - Excel Name],MATCH(meta_Columns[[#This Row],[Owning Table:src]],meta_Tables[ID],0))</f>
        <v>meta_Rules</v>
      </c>
      <c r="G251" s="44" t="str">
        <f>INDEX(meta_Tables[Instances Class:src],MATCH(meta_Columns[[#This Row],[Owning Table:src]],meta_Tables[ID],0))</f>
        <v>_Rule</v>
      </c>
      <c r="H251" s="11" t="s">
        <v>1014</v>
      </c>
      <c r="I251" s="43" t="str">
        <f xml:space="preserve"> IF( TRIM( meta_Columns[[#This Row],[Owning Table:src]] ) = "", "",
        INDEX( meta_Tables[Display Qualified], MATCH( meta_Columns[[#This Row],[Owning Table:src]], meta_Tables[ID], 0 ) ) )</f>
        <v>meta::Rules</v>
      </c>
      <c r="K251" s="22" t="str">
        <f>IF(TRIM(meta_Columns[[#This Row],[Referenced Table:src]])="","",
    INDEX(meta_Tables[Display Qualified],MATCH(meta_Columns[[#This Row],[Referenced Table:src]],meta_Tables[ID],0)))</f>
        <v/>
      </c>
      <c r="L251" s="8"/>
      <c r="M251" s="22"/>
      <c r="N251" s="8" t="str">
        <f>IF(meta_Columns[[#This Row],[Excel Column - Excel Formula]]="","x","")</f>
        <v/>
      </c>
      <c r="O251" s="22"/>
      <c r="P251" s="8" t="str">
        <f>IF(meta_Columns[[#This Row],[Referenced Table:src]]="","",INDEX(meta_Tables[Instances Class],MATCH(meta_Columns[[#This Row],[Referenced Table:src]],meta_Tables[ID],0)))</f>
        <v/>
      </c>
      <c r="Q2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1" s="8"/>
      <c r="S251" s="22" t="str">
        <f xml:space="preserve"> IF( TRIM( meta_Columns[[#This Row],[Property:src]] ) = "", "",
        INDEX( meta_TypedModelElements[Display Qualified], MATCH( meta_Columns[[#This Row],[Property:src]], meta_TypedModelElements[ID], 0 ) ) )</f>
        <v/>
      </c>
      <c r="T251" s="22"/>
      <c r="U251" s="8" t="e">
        <f>INDEX(meta_Classifiers[Class - Generalization:src], MATCH(meta_Columns[[#This Row],[Generalization 5]],meta_Classifiers[ID],0))</f>
        <v>#N/A</v>
      </c>
      <c r="V251" s="8" t="e">
        <f>INDEX(meta_Classifiers[Class - Generalization:src], MATCH(meta_Columns[[#This Row],[Generalization 4]],meta_Classifiers[ID],0))</f>
        <v>#N/A</v>
      </c>
      <c r="W251" s="8" t="e">
        <f>INDEX(meta_Classifiers[Class - Generalization:src], MATCH(meta_Columns[[#This Row],[Generalization 3]],meta_Classifiers[ID],0))</f>
        <v>#N/A</v>
      </c>
      <c r="X251" s="8" t="str">
        <f>INDEX(meta_Classifiers[Class - Generalization:src], MATCH(meta_Columns[[#This Row],[Generalization 2]],meta_Classifiers[ID],0))</f>
        <v/>
      </c>
      <c r="Y251" s="8" t="str">
        <f>INDEX(meta_Classifiers[Class - Generalization:src], MATCH(meta_Columns[[#This Row],[Generalization 1]],meta_Classifiers[ID],0))</f>
        <v>_Object</v>
      </c>
      <c r="Z251" s="8" t="str">
        <f>INDEX(meta_Classifiers[Class - Generalization:src], MATCH(meta_Columns[[#This Row],[Owning Table Instances Class]],meta_Classifiers[ID],0))</f>
        <v>_NamedElement</v>
      </c>
      <c r="AA2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1" s="8" t="b">
        <f>_xlfn.IFNA(
INDEX(meta_Classifiers[Class - Generalization:src],MATCH(
INDEX(meta_Classifiers[Class - Generalization:src],MATCH(meta_Columns[[#This Row],[Property Owning Class]],meta_Classifiers[ID],0)),meta_Classifiers[ID],0))
=meta_Columns[[#This Row],[Owning Table Instances Class]],FALSE)</f>
        <v>0</v>
      </c>
      <c r="AG251" s="8" t="b">
        <f>_xlfn.IFNA(INDEX(meta_Classifiers[Class - Generalization:src],MATCH(meta_Columns[[#This Row],[Property Owning Class]],meta_Classifiers[ID],0))=meta_Columns[[#This Row],[Owning Table Instances Class]],FALSE)</f>
        <v>0</v>
      </c>
      <c r="AH2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1" s="8" t="e">
        <f>INDEX(meta_Classifiers[Name],MATCH(INDEX(meta_TypedModelElements[Property - Owning Class:src],MATCH(meta_Columns[[#This Row],[Property]],meta_TypedModelElements[ID],0)),meta_Classifiers[ID],0))</f>
        <v>#N/A</v>
      </c>
      <c r="AJ251" s="8" t="e">
        <f>INDEX(meta_TypedModelElements[Property - Owning Class:src],MATCH(meta_Columns[[#This Row],[Property]],meta_TypedModelElements[ID],0))</f>
        <v>#N/A</v>
      </c>
      <c r="AK251" s="8" t="e">
        <f>INDEX(meta_TypedModelElements[Kind:src],MATCH(meta_Columns[[#This Row],[Property]],meta_TypedModelElements[ID],0))</f>
        <v>#N/A</v>
      </c>
      <c r="AL251" s="8" t="e">
        <f>INDEX(meta_TypedModelElements[Name or Type],MATCH(meta_Columns[[#This Row],[Property]],meta_TypedModelElements[ID],0))</f>
        <v>#N/A</v>
      </c>
      <c r="AM251" s="8" t="e">
        <f>INDEX(meta_TypedModelElements[Property - Changeable],MATCH(meta_Columns[[#This Row],[Property]],meta_TypedModelElements[ID],0))</f>
        <v>#N/A</v>
      </c>
      <c r="AN251" s="43">
        <v>61</v>
      </c>
      <c r="AO251" s="22"/>
      <c r="AP2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1" s="8" t="str">
        <f xml:space="preserve"> IF(meta_Columns[[#This Row],[Property Owning Class is Specialization of Instance Class]],meta_Columns[[#This Row],[Property Owning Class Name]]&amp;" - ","")</f>
        <v/>
      </c>
      <c r="AR2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1" s="8" t="str">
        <f>IFERROR(LEFT(meta_Columns[[#This Row],[Excel Column - Label Actual without Semantic Case]],FIND("-",
meta_Columns[[#This Row],[Excel Column - Label Actual without Semantic Case]])-2),"")</f>
        <v/>
      </c>
      <c r="AU2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v>
      </c>
      <c r="AX251" s="22"/>
      <c r="AY251" s="8" t="str">
        <f>meta_Columns[[#This Row],[Owning Table]]&amp;"."&amp;meta_Columns[[#This Row],[Excel Column - Label]]</f>
        <v>meta::Rules.Property 1</v>
      </c>
      <c r="AZ251" s="22" t="s">
        <v>24</v>
      </c>
      <c r="BA251" s="8" t="str">
        <f>IF(TRIM(meta_Columns[[#This Row],[Excel Column - Label Overwrite]])&lt;&gt;"",meta_Columns[[#This Row],[Excel Column - Label Overwrite]],meta_Columns[[#This Row],[Excel Column - Label from Property or Referenced Table]])</f>
        <v>Property 1</v>
      </c>
      <c r="BB251" s="43" t="s">
        <v>894</v>
      </c>
      <c r="BC251" s="44" t="str">
        <f>IF(meta_Columns[[#This Row],[Excel Column - Explicit Excel Formula]]="","",meta_Columns[[#This Row],[Excel Column - Explicit Excel Formula]])</f>
        <v>Formula:= IFNA( IF( TRIM( [@[Property 1:src]] ) = "",
        "",
        INDEX( meta_TypedModelElements[Display without Class], MATCH( [@[Property 1:src]], meta_TypedModelElements[ID], 0 ) )
 ), "")</v>
      </c>
      <c r="BD251" s="5"/>
      <c r="BE251" s="5"/>
    </row>
    <row r="252" spans="1:57">
      <c r="A252" s="10" t="s">
        <v>1216</v>
      </c>
      <c r="B252" s="5" t="s">
        <v>546</v>
      </c>
      <c r="C252" s="22" t="str">
        <f xml:space="preserve"> IF( TRIM( meta_Columns[[#This Row],[Kind:src]] ) = "", "",
        INDEX( meta_Classifiers[Display Qualified], MATCH( meta_Columns[[#This Row],[Kind:src]], meta_Classifiers[ID], 0 ) ) )</f>
        <v>ExcelColumn</v>
      </c>
      <c r="D252" s="44" t="str">
        <f>IF(meta_Columns[[#This Row],[Owning Table:src]]="","",INDEX(meta_Classifiers[Package],MATCH(meta_Columns[[#This Row],[Owning Table Instances Class]],meta_Classifiers[ID],0)))</f>
        <v>meta</v>
      </c>
      <c r="E252" s="43"/>
      <c r="F252" s="8" t="str">
        <f>INDEX(meta_Tables[Excel Table - Excel Name],MATCH(meta_Columns[[#This Row],[Owning Table:src]],meta_Tables[ID],0))</f>
        <v>meta_Rules</v>
      </c>
      <c r="G252" s="44" t="str">
        <f>INDEX(meta_Tables[Instances Class:src],MATCH(meta_Columns[[#This Row],[Owning Table:src]],meta_Tables[ID],0))</f>
        <v>_Rule</v>
      </c>
      <c r="H252" s="11" t="s">
        <v>1014</v>
      </c>
      <c r="I252" s="43" t="str">
        <f xml:space="preserve"> IF( TRIM( meta_Columns[[#This Row],[Owning Table:src]] ) = "", "",
        INDEX( meta_Tables[Display Qualified], MATCH( meta_Columns[[#This Row],[Owning Table:src]], meta_Tables[ID], 0 ) ) )</f>
        <v>meta::Rules</v>
      </c>
      <c r="K252" s="22" t="str">
        <f>IF(TRIM(meta_Columns[[#This Row],[Referenced Table:src]])="","",
    INDEX(meta_Tables[Display Qualified],MATCH(meta_Columns[[#This Row],[Referenced Table:src]],meta_Tables[ID],0)))</f>
        <v/>
      </c>
      <c r="L252" s="8"/>
      <c r="M252" s="22"/>
      <c r="N252" s="8" t="str">
        <f>IF(meta_Columns[[#This Row],[Excel Column - Excel Formula]]="","x","")</f>
        <v/>
      </c>
      <c r="O252" s="22"/>
      <c r="P252" s="8" t="str">
        <f>IF(meta_Columns[[#This Row],[Referenced Table:src]]="","",INDEX(meta_Tables[Instances Class],MATCH(meta_Columns[[#This Row],[Referenced Table:src]],meta_Tables[ID],0)))</f>
        <v/>
      </c>
      <c r="Q2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2" s="8"/>
      <c r="S252" s="22" t="str">
        <f xml:space="preserve"> IF( TRIM( meta_Columns[[#This Row],[Property:src]] ) = "", "",
        INDEX( meta_TypedModelElements[Display Qualified], MATCH( meta_Columns[[#This Row],[Property:src]], meta_TypedModelElements[ID], 0 ) ) )</f>
        <v/>
      </c>
      <c r="T252" s="22"/>
      <c r="U252" s="8" t="e">
        <f>INDEX(meta_Classifiers[Class - Generalization:src], MATCH(meta_Columns[[#This Row],[Generalization 5]],meta_Classifiers[ID],0))</f>
        <v>#N/A</v>
      </c>
      <c r="V252" s="8" t="e">
        <f>INDEX(meta_Classifiers[Class - Generalization:src], MATCH(meta_Columns[[#This Row],[Generalization 4]],meta_Classifiers[ID],0))</f>
        <v>#N/A</v>
      </c>
      <c r="W252" s="8" t="e">
        <f>INDEX(meta_Classifiers[Class - Generalization:src], MATCH(meta_Columns[[#This Row],[Generalization 3]],meta_Classifiers[ID],0))</f>
        <v>#N/A</v>
      </c>
      <c r="X252" s="8" t="str">
        <f>INDEX(meta_Classifiers[Class - Generalization:src], MATCH(meta_Columns[[#This Row],[Generalization 2]],meta_Classifiers[ID],0))</f>
        <v/>
      </c>
      <c r="Y252" s="8" t="str">
        <f>INDEX(meta_Classifiers[Class - Generalization:src], MATCH(meta_Columns[[#This Row],[Generalization 1]],meta_Classifiers[ID],0))</f>
        <v>_Object</v>
      </c>
      <c r="Z252" s="8" t="str">
        <f>INDEX(meta_Classifiers[Class - Generalization:src], MATCH(meta_Columns[[#This Row],[Owning Table Instances Class]],meta_Classifiers[ID],0))</f>
        <v>_NamedElement</v>
      </c>
      <c r="AA2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2" s="8" t="b">
        <f>_xlfn.IFNA(
INDEX(meta_Classifiers[Class - Generalization:src],MATCH(
INDEX(meta_Classifiers[Class - Generalization:src],MATCH(meta_Columns[[#This Row],[Property Owning Class]],meta_Classifiers[ID],0)),meta_Classifiers[ID],0))
=meta_Columns[[#This Row],[Owning Table Instances Class]],FALSE)</f>
        <v>0</v>
      </c>
      <c r="AG252" s="8" t="b">
        <f>_xlfn.IFNA(INDEX(meta_Classifiers[Class - Generalization:src],MATCH(meta_Columns[[#This Row],[Property Owning Class]],meta_Classifiers[ID],0))=meta_Columns[[#This Row],[Owning Table Instances Class]],FALSE)</f>
        <v>0</v>
      </c>
      <c r="AH2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2" s="8" t="e">
        <f>INDEX(meta_Classifiers[Name],MATCH(INDEX(meta_TypedModelElements[Property - Owning Class:src],MATCH(meta_Columns[[#This Row],[Property]],meta_TypedModelElements[ID],0)),meta_Classifiers[ID],0))</f>
        <v>#N/A</v>
      </c>
      <c r="AJ252" s="8" t="e">
        <f>INDEX(meta_TypedModelElements[Property - Owning Class:src],MATCH(meta_Columns[[#This Row],[Property]],meta_TypedModelElements[ID],0))</f>
        <v>#N/A</v>
      </c>
      <c r="AK252" s="8" t="e">
        <f>INDEX(meta_TypedModelElements[Kind:src],MATCH(meta_Columns[[#This Row],[Property]],meta_TypedModelElements[ID],0))</f>
        <v>#N/A</v>
      </c>
      <c r="AL252" s="8" t="e">
        <f>INDEX(meta_TypedModelElements[Name or Type],MATCH(meta_Columns[[#This Row],[Property]],meta_TypedModelElements[ID],0))</f>
        <v>#N/A</v>
      </c>
      <c r="AM252" s="8" t="e">
        <f>INDEX(meta_TypedModelElements[Property - Changeable],MATCH(meta_Columns[[#This Row],[Property]],meta_TypedModelElements[ID],0))</f>
        <v>#N/A</v>
      </c>
      <c r="AN252" s="43">
        <v>62</v>
      </c>
      <c r="AO252" s="22"/>
      <c r="AP2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2" s="8" t="str">
        <f xml:space="preserve"> IF(meta_Columns[[#This Row],[Property Owning Class is Specialization of Instance Class]],meta_Columns[[#This Row],[Property Owning Class Name]]&amp;" - ","")</f>
        <v/>
      </c>
      <c r="AR2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2" s="8" t="str">
        <f>IFERROR(LEFT(meta_Columns[[#This Row],[Excel Column - Label Actual without Semantic Case]],FIND("-",
meta_Columns[[#This Row],[Excel Column - Label Actual without Semantic Case]])-2),"")</f>
        <v/>
      </c>
      <c r="AU2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6:display:q.</v>
      </c>
      <c r="AX252" s="22"/>
      <c r="AY252" s="8" t="str">
        <f>meta_Columns[[#This Row],[Owning Table]]&amp;"."&amp;meta_Columns[[#This Row],[Excel Column - Label]]</f>
        <v>meta::Rules.Property 1 Super Class 6:display:q.</v>
      </c>
      <c r="AZ252" s="22" t="s">
        <v>336</v>
      </c>
      <c r="BA252" s="8" t="str">
        <f>IF(TRIM(meta_Columns[[#This Row],[Excel Column - Label Overwrite]])&lt;&gt;"",meta_Columns[[#This Row],[Excel Column - Label Overwrite]],meta_Columns[[#This Row],[Excel Column - Label from Property or Referenced Table]])</f>
        <v>Property 1 Super Class 6:display:q.</v>
      </c>
      <c r="BB252" s="43" t="s">
        <v>972</v>
      </c>
      <c r="BC252" s="44" t="str">
        <f>IF(meta_Columns[[#This Row],[Excel Column - Explicit Excel Formula]]="","",meta_Columns[[#This Row],[Excel Column - Explicit Excel Formula]])</f>
        <v>Formula:=IFNA(INDEX(meta_Classifiers[Display Qualified],MATCH([@[Property 1 Super Class 6]],meta_Classifiers[ID],0))&amp;".","")</v>
      </c>
      <c r="BD252" s="5"/>
      <c r="BE252" s="5"/>
    </row>
    <row r="253" spans="1:57">
      <c r="A253" s="10" t="s">
        <v>1217</v>
      </c>
      <c r="B253" s="5" t="s">
        <v>546</v>
      </c>
      <c r="C253" s="22" t="str">
        <f xml:space="preserve"> IF( TRIM( meta_Columns[[#This Row],[Kind:src]] ) = "", "",
        INDEX( meta_Classifiers[Display Qualified], MATCH( meta_Columns[[#This Row],[Kind:src]], meta_Classifiers[ID], 0 ) ) )</f>
        <v>ExcelColumn</v>
      </c>
      <c r="D253" s="44" t="str">
        <f>IF(meta_Columns[[#This Row],[Owning Table:src]]="","",INDEX(meta_Classifiers[Package],MATCH(meta_Columns[[#This Row],[Owning Table Instances Class]],meta_Classifiers[ID],0)))</f>
        <v>meta</v>
      </c>
      <c r="E253" s="43"/>
      <c r="F253" s="8" t="str">
        <f>INDEX(meta_Tables[Excel Table - Excel Name],MATCH(meta_Columns[[#This Row],[Owning Table:src]],meta_Tables[ID],0))</f>
        <v>meta_Rules</v>
      </c>
      <c r="G253" s="44" t="str">
        <f>INDEX(meta_Tables[Instances Class:src],MATCH(meta_Columns[[#This Row],[Owning Table:src]],meta_Tables[ID],0))</f>
        <v>_Rule</v>
      </c>
      <c r="H253" s="11" t="s">
        <v>1014</v>
      </c>
      <c r="I253" s="43" t="str">
        <f xml:space="preserve"> IF( TRIM( meta_Columns[[#This Row],[Owning Table:src]] ) = "", "",
        INDEX( meta_Tables[Display Qualified], MATCH( meta_Columns[[#This Row],[Owning Table:src]], meta_Tables[ID], 0 ) ) )</f>
        <v>meta::Rules</v>
      </c>
      <c r="K253" s="22" t="str">
        <f>IF(TRIM(meta_Columns[[#This Row],[Referenced Table:src]])="","",
    INDEX(meta_Tables[Display Qualified],MATCH(meta_Columns[[#This Row],[Referenced Table:src]],meta_Tables[ID],0)))</f>
        <v/>
      </c>
      <c r="L253" s="8"/>
      <c r="M253" s="22"/>
      <c r="N253" s="8" t="str">
        <f>IF(meta_Columns[[#This Row],[Excel Column - Excel Formula]]="","x","")</f>
        <v/>
      </c>
      <c r="O253" s="22"/>
      <c r="P253" s="8" t="str">
        <f>IF(meta_Columns[[#This Row],[Referenced Table:src]]="","",INDEX(meta_Tables[Instances Class],MATCH(meta_Columns[[#This Row],[Referenced Table:src]],meta_Tables[ID],0)))</f>
        <v/>
      </c>
      <c r="Q2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3" s="8"/>
      <c r="S253" s="22" t="str">
        <f xml:space="preserve"> IF( TRIM( meta_Columns[[#This Row],[Property:src]] ) = "", "",
        INDEX( meta_TypedModelElements[Display Qualified], MATCH( meta_Columns[[#This Row],[Property:src]], meta_TypedModelElements[ID], 0 ) ) )</f>
        <v/>
      </c>
      <c r="T253" s="22"/>
      <c r="U253" s="8" t="e">
        <f>INDEX(meta_Classifiers[Class - Generalization:src], MATCH(meta_Columns[[#This Row],[Generalization 5]],meta_Classifiers[ID],0))</f>
        <v>#N/A</v>
      </c>
      <c r="V253" s="8" t="e">
        <f>INDEX(meta_Classifiers[Class - Generalization:src], MATCH(meta_Columns[[#This Row],[Generalization 4]],meta_Classifiers[ID],0))</f>
        <v>#N/A</v>
      </c>
      <c r="W253" s="8" t="e">
        <f>INDEX(meta_Classifiers[Class - Generalization:src], MATCH(meta_Columns[[#This Row],[Generalization 3]],meta_Classifiers[ID],0))</f>
        <v>#N/A</v>
      </c>
      <c r="X253" s="8" t="str">
        <f>INDEX(meta_Classifiers[Class - Generalization:src], MATCH(meta_Columns[[#This Row],[Generalization 2]],meta_Classifiers[ID],0))</f>
        <v/>
      </c>
      <c r="Y253" s="8" t="str">
        <f>INDEX(meta_Classifiers[Class - Generalization:src], MATCH(meta_Columns[[#This Row],[Generalization 1]],meta_Classifiers[ID],0))</f>
        <v>_Object</v>
      </c>
      <c r="Z253" s="8" t="str">
        <f>INDEX(meta_Classifiers[Class - Generalization:src], MATCH(meta_Columns[[#This Row],[Owning Table Instances Class]],meta_Classifiers[ID],0))</f>
        <v>_NamedElement</v>
      </c>
      <c r="AA2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3" s="8" t="b">
        <f>_xlfn.IFNA(
INDEX(meta_Classifiers[Class - Generalization:src],MATCH(
INDEX(meta_Classifiers[Class - Generalization:src],MATCH(meta_Columns[[#This Row],[Property Owning Class]],meta_Classifiers[ID],0)),meta_Classifiers[ID],0))
=meta_Columns[[#This Row],[Owning Table Instances Class]],FALSE)</f>
        <v>0</v>
      </c>
      <c r="AG253" s="8" t="b">
        <f>_xlfn.IFNA(INDEX(meta_Classifiers[Class - Generalization:src],MATCH(meta_Columns[[#This Row],[Property Owning Class]],meta_Classifiers[ID],0))=meta_Columns[[#This Row],[Owning Table Instances Class]],FALSE)</f>
        <v>0</v>
      </c>
      <c r="AH2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3" s="8" t="e">
        <f>INDEX(meta_Classifiers[Name],MATCH(INDEX(meta_TypedModelElements[Property - Owning Class:src],MATCH(meta_Columns[[#This Row],[Property]],meta_TypedModelElements[ID],0)),meta_Classifiers[ID],0))</f>
        <v>#N/A</v>
      </c>
      <c r="AJ253" s="8" t="e">
        <f>INDEX(meta_TypedModelElements[Property - Owning Class:src],MATCH(meta_Columns[[#This Row],[Property]],meta_TypedModelElements[ID],0))</f>
        <v>#N/A</v>
      </c>
      <c r="AK253" s="8" t="e">
        <f>INDEX(meta_TypedModelElements[Kind:src],MATCH(meta_Columns[[#This Row],[Property]],meta_TypedModelElements[ID],0))</f>
        <v>#N/A</v>
      </c>
      <c r="AL253" s="8" t="e">
        <f>INDEX(meta_TypedModelElements[Name or Type],MATCH(meta_Columns[[#This Row],[Property]],meta_TypedModelElements[ID],0))</f>
        <v>#N/A</v>
      </c>
      <c r="AM253" s="8" t="e">
        <f>INDEX(meta_TypedModelElements[Property - Changeable],MATCH(meta_Columns[[#This Row],[Property]],meta_TypedModelElements[ID],0))</f>
        <v>#N/A</v>
      </c>
      <c r="AN253" s="43">
        <v>63</v>
      </c>
      <c r="AO253" s="22"/>
      <c r="AP25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3" s="8" t="str">
        <f xml:space="preserve"> IF(meta_Columns[[#This Row],[Property Owning Class is Specialization of Instance Class]],meta_Columns[[#This Row],[Property Owning Class Name]]&amp;" - ","")</f>
        <v/>
      </c>
      <c r="AR2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3" s="8" t="str">
        <f>IFERROR(LEFT(meta_Columns[[#This Row],[Excel Column - Label Actual without Semantic Case]],FIND("-",
meta_Columns[[#This Row],[Excel Column - Label Actual without Semantic Case]])-2),"")</f>
        <v/>
      </c>
      <c r="AU2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v>
      </c>
      <c r="AX253" s="22"/>
      <c r="AY253" s="8" t="str">
        <f>meta_Columns[[#This Row],[Owning Table]]&amp;"."&amp;meta_Columns[[#This Row],[Excel Column - Label]]</f>
        <v>meta::Rules.Property 1 Super Class 6</v>
      </c>
      <c r="AZ253" s="22" t="s">
        <v>337</v>
      </c>
      <c r="BA253" s="8" t="str">
        <f>IF(TRIM(meta_Columns[[#This Row],[Excel Column - Label Overwrite]])&lt;&gt;"",meta_Columns[[#This Row],[Excel Column - Label Overwrite]],meta_Columns[[#This Row],[Excel Column - Label from Property or Referenced Table]])</f>
        <v>Property 1 Super Class 6</v>
      </c>
      <c r="BB253" s="43" t="s">
        <v>1542</v>
      </c>
      <c r="BC253" s="44" t="str">
        <f>IF(meta_Columns[[#This Row],[Excel Column - Explicit Excel Formula]]="","",meta_Columns[[#This Row],[Excel Column - Explicit Excel Formula]])</f>
        <v>Formula:=IFNA(INDEX(#REF!,MATCH([@[Property 1 Super Class 5]],meta_Classifiers[ID],0)),0)</v>
      </c>
      <c r="BD253" s="5"/>
      <c r="BE253" s="5"/>
    </row>
    <row r="254" spans="1:57">
      <c r="A254" s="10" t="s">
        <v>1218</v>
      </c>
      <c r="B254" s="5" t="s">
        <v>546</v>
      </c>
      <c r="C254" s="22" t="str">
        <f xml:space="preserve"> IF( TRIM( meta_Columns[[#This Row],[Kind:src]] ) = "", "",
        INDEX( meta_Classifiers[Display Qualified], MATCH( meta_Columns[[#This Row],[Kind:src]], meta_Classifiers[ID], 0 ) ) )</f>
        <v>ExcelColumn</v>
      </c>
      <c r="D254" s="44" t="str">
        <f>IF(meta_Columns[[#This Row],[Owning Table:src]]="","",INDEX(meta_Classifiers[Package],MATCH(meta_Columns[[#This Row],[Owning Table Instances Class]],meta_Classifiers[ID],0)))</f>
        <v>meta</v>
      </c>
      <c r="E254" s="43"/>
      <c r="F254" s="8" t="str">
        <f>INDEX(meta_Tables[Excel Table - Excel Name],MATCH(meta_Columns[[#This Row],[Owning Table:src]],meta_Tables[ID],0))</f>
        <v>meta_Rules</v>
      </c>
      <c r="G254" s="44" t="str">
        <f>INDEX(meta_Tables[Instances Class:src],MATCH(meta_Columns[[#This Row],[Owning Table:src]],meta_Tables[ID],0))</f>
        <v>_Rule</v>
      </c>
      <c r="H254" s="11" t="s">
        <v>1014</v>
      </c>
      <c r="I254" s="43" t="str">
        <f xml:space="preserve"> IF( TRIM( meta_Columns[[#This Row],[Owning Table:src]] ) = "", "",
        INDEX( meta_Tables[Display Qualified], MATCH( meta_Columns[[#This Row],[Owning Table:src]], meta_Tables[ID], 0 ) ) )</f>
        <v>meta::Rules</v>
      </c>
      <c r="K254" s="22" t="str">
        <f>IF(TRIM(meta_Columns[[#This Row],[Referenced Table:src]])="","",
    INDEX(meta_Tables[Display Qualified],MATCH(meta_Columns[[#This Row],[Referenced Table:src]],meta_Tables[ID],0)))</f>
        <v/>
      </c>
      <c r="L254" s="8"/>
      <c r="M254" s="22"/>
      <c r="N254" s="8" t="str">
        <f>IF(meta_Columns[[#This Row],[Excel Column - Excel Formula]]="","x","")</f>
        <v/>
      </c>
      <c r="O254" s="22"/>
      <c r="P254" s="8" t="str">
        <f>IF(meta_Columns[[#This Row],[Referenced Table:src]]="","",INDEX(meta_Tables[Instances Class],MATCH(meta_Columns[[#This Row],[Referenced Table:src]],meta_Tables[ID],0)))</f>
        <v/>
      </c>
      <c r="Q2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4" s="8"/>
      <c r="S254" s="22" t="str">
        <f xml:space="preserve"> IF( TRIM( meta_Columns[[#This Row],[Property:src]] ) = "", "",
        INDEX( meta_TypedModelElements[Display Qualified], MATCH( meta_Columns[[#This Row],[Property:src]], meta_TypedModelElements[ID], 0 ) ) )</f>
        <v/>
      </c>
      <c r="T254" s="22"/>
      <c r="U254" s="8" t="e">
        <f>INDEX(meta_Classifiers[Class - Generalization:src], MATCH(meta_Columns[[#This Row],[Generalization 5]],meta_Classifiers[ID],0))</f>
        <v>#N/A</v>
      </c>
      <c r="V254" s="8" t="e">
        <f>INDEX(meta_Classifiers[Class - Generalization:src], MATCH(meta_Columns[[#This Row],[Generalization 4]],meta_Classifiers[ID],0))</f>
        <v>#N/A</v>
      </c>
      <c r="W254" s="8" t="e">
        <f>INDEX(meta_Classifiers[Class - Generalization:src], MATCH(meta_Columns[[#This Row],[Generalization 3]],meta_Classifiers[ID],0))</f>
        <v>#N/A</v>
      </c>
      <c r="X254" s="8" t="str">
        <f>INDEX(meta_Classifiers[Class - Generalization:src], MATCH(meta_Columns[[#This Row],[Generalization 2]],meta_Classifiers[ID],0))</f>
        <v/>
      </c>
      <c r="Y254" s="8" t="str">
        <f>INDEX(meta_Classifiers[Class - Generalization:src], MATCH(meta_Columns[[#This Row],[Generalization 1]],meta_Classifiers[ID],0))</f>
        <v>_Object</v>
      </c>
      <c r="Z254" s="8" t="str">
        <f>INDEX(meta_Classifiers[Class - Generalization:src], MATCH(meta_Columns[[#This Row],[Owning Table Instances Class]],meta_Classifiers[ID],0))</f>
        <v>_NamedElement</v>
      </c>
      <c r="AA2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4" s="8" t="b">
        <f>_xlfn.IFNA(
INDEX(meta_Classifiers[Class - Generalization:src],MATCH(
INDEX(meta_Classifiers[Class - Generalization:src],MATCH(meta_Columns[[#This Row],[Property Owning Class]],meta_Classifiers[ID],0)),meta_Classifiers[ID],0))
=meta_Columns[[#This Row],[Owning Table Instances Class]],FALSE)</f>
        <v>0</v>
      </c>
      <c r="AG254" s="8" t="b">
        <f>_xlfn.IFNA(INDEX(meta_Classifiers[Class - Generalization:src],MATCH(meta_Columns[[#This Row],[Property Owning Class]],meta_Classifiers[ID],0))=meta_Columns[[#This Row],[Owning Table Instances Class]],FALSE)</f>
        <v>0</v>
      </c>
      <c r="AH2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4" s="8" t="e">
        <f>INDEX(meta_Classifiers[Name],MATCH(INDEX(meta_TypedModelElements[Property - Owning Class:src],MATCH(meta_Columns[[#This Row],[Property]],meta_TypedModelElements[ID],0)),meta_Classifiers[ID],0))</f>
        <v>#N/A</v>
      </c>
      <c r="AJ254" s="8" t="e">
        <f>INDEX(meta_TypedModelElements[Property - Owning Class:src],MATCH(meta_Columns[[#This Row],[Property]],meta_TypedModelElements[ID],0))</f>
        <v>#N/A</v>
      </c>
      <c r="AK254" s="8" t="e">
        <f>INDEX(meta_TypedModelElements[Kind:src],MATCH(meta_Columns[[#This Row],[Property]],meta_TypedModelElements[ID],0))</f>
        <v>#N/A</v>
      </c>
      <c r="AL254" s="8" t="e">
        <f>INDEX(meta_TypedModelElements[Name or Type],MATCH(meta_Columns[[#This Row],[Property]],meta_TypedModelElements[ID],0))</f>
        <v>#N/A</v>
      </c>
      <c r="AM254" s="8" t="e">
        <f>INDEX(meta_TypedModelElements[Property - Changeable],MATCH(meta_Columns[[#This Row],[Property]],meta_TypedModelElements[ID],0))</f>
        <v>#N/A</v>
      </c>
      <c r="AN254" s="43">
        <v>64</v>
      </c>
      <c r="AO254" s="22"/>
      <c r="AP2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4" s="8" t="str">
        <f xml:space="preserve"> IF(meta_Columns[[#This Row],[Property Owning Class is Specialization of Instance Class]],meta_Columns[[#This Row],[Property Owning Class Name]]&amp;" - ","")</f>
        <v/>
      </c>
      <c r="AR2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4" s="8" t="str">
        <f>IFERROR(LEFT(meta_Columns[[#This Row],[Excel Column - Label Actual without Semantic Case]],FIND("-",
meta_Columns[[#This Row],[Excel Column - Label Actual without Semantic Case]])-2),"")</f>
        <v/>
      </c>
      <c r="AU2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5:display:q.</v>
      </c>
      <c r="AX254" s="22"/>
      <c r="AY254" s="8" t="str">
        <f>meta_Columns[[#This Row],[Owning Table]]&amp;"."&amp;meta_Columns[[#This Row],[Excel Column - Label]]</f>
        <v>meta::Rules.Property 1 Super Class 5:display:q.</v>
      </c>
      <c r="AZ254" s="22" t="s">
        <v>338</v>
      </c>
      <c r="BA254" s="8" t="str">
        <f>IF(TRIM(meta_Columns[[#This Row],[Excel Column - Label Overwrite]])&lt;&gt;"",meta_Columns[[#This Row],[Excel Column - Label Overwrite]],meta_Columns[[#This Row],[Excel Column - Label from Property or Referenced Table]])</f>
        <v>Property 1 Super Class 5:display:q.</v>
      </c>
      <c r="BB254" s="43" t="s">
        <v>973</v>
      </c>
      <c r="BC254" s="44" t="str">
        <f>IF(meta_Columns[[#This Row],[Excel Column - Explicit Excel Formula]]="","",meta_Columns[[#This Row],[Excel Column - Explicit Excel Formula]])</f>
        <v>Formula:=IFNA(INDEX(meta_Classifiers[Display Qualified],MATCH([@[Property 1 Super Class 5]],meta_Classifiers[ID],0))&amp;".","")</v>
      </c>
      <c r="BD254" s="5"/>
      <c r="BE254" s="5"/>
    </row>
    <row r="255" spans="1:57">
      <c r="A255" s="10" t="s">
        <v>1219</v>
      </c>
      <c r="B255" s="5" t="s">
        <v>546</v>
      </c>
      <c r="C255" s="22" t="str">
        <f xml:space="preserve"> IF( TRIM( meta_Columns[[#This Row],[Kind:src]] ) = "", "",
        INDEX( meta_Classifiers[Display Qualified], MATCH( meta_Columns[[#This Row],[Kind:src]], meta_Classifiers[ID], 0 ) ) )</f>
        <v>ExcelColumn</v>
      </c>
      <c r="D255" s="44" t="str">
        <f>IF(meta_Columns[[#This Row],[Owning Table:src]]="","",INDEX(meta_Classifiers[Package],MATCH(meta_Columns[[#This Row],[Owning Table Instances Class]],meta_Classifiers[ID],0)))</f>
        <v>meta</v>
      </c>
      <c r="E255" s="43"/>
      <c r="F255" s="8" t="str">
        <f>INDEX(meta_Tables[Excel Table - Excel Name],MATCH(meta_Columns[[#This Row],[Owning Table:src]],meta_Tables[ID],0))</f>
        <v>meta_Rules</v>
      </c>
      <c r="G255" s="44" t="str">
        <f>INDEX(meta_Tables[Instances Class:src],MATCH(meta_Columns[[#This Row],[Owning Table:src]],meta_Tables[ID],0))</f>
        <v>_Rule</v>
      </c>
      <c r="H255" s="11" t="s">
        <v>1014</v>
      </c>
      <c r="I255" s="43" t="str">
        <f xml:space="preserve"> IF( TRIM( meta_Columns[[#This Row],[Owning Table:src]] ) = "", "",
        INDEX( meta_Tables[Display Qualified], MATCH( meta_Columns[[#This Row],[Owning Table:src]], meta_Tables[ID], 0 ) ) )</f>
        <v>meta::Rules</v>
      </c>
      <c r="K255" s="22" t="str">
        <f>IF(TRIM(meta_Columns[[#This Row],[Referenced Table:src]])="","",
    INDEX(meta_Tables[Display Qualified],MATCH(meta_Columns[[#This Row],[Referenced Table:src]],meta_Tables[ID],0)))</f>
        <v/>
      </c>
      <c r="L255" s="8"/>
      <c r="M255" s="22"/>
      <c r="N255" s="8" t="str">
        <f>IF(meta_Columns[[#This Row],[Excel Column - Excel Formula]]="","x","")</f>
        <v/>
      </c>
      <c r="O255" s="22"/>
      <c r="P255" s="8" t="str">
        <f>IF(meta_Columns[[#This Row],[Referenced Table:src]]="","",INDEX(meta_Tables[Instances Class],MATCH(meta_Columns[[#This Row],[Referenced Table:src]],meta_Tables[ID],0)))</f>
        <v/>
      </c>
      <c r="Q2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5" s="8"/>
      <c r="S255" s="22" t="str">
        <f xml:space="preserve"> IF( TRIM( meta_Columns[[#This Row],[Property:src]] ) = "", "",
        INDEX( meta_TypedModelElements[Display Qualified], MATCH( meta_Columns[[#This Row],[Property:src]], meta_TypedModelElements[ID], 0 ) ) )</f>
        <v/>
      </c>
      <c r="T255" s="22"/>
      <c r="U255" s="8" t="e">
        <f>INDEX(meta_Classifiers[Class - Generalization:src], MATCH(meta_Columns[[#This Row],[Generalization 5]],meta_Classifiers[ID],0))</f>
        <v>#N/A</v>
      </c>
      <c r="V255" s="8" t="e">
        <f>INDEX(meta_Classifiers[Class - Generalization:src], MATCH(meta_Columns[[#This Row],[Generalization 4]],meta_Classifiers[ID],0))</f>
        <v>#N/A</v>
      </c>
      <c r="W255" s="8" t="e">
        <f>INDEX(meta_Classifiers[Class - Generalization:src], MATCH(meta_Columns[[#This Row],[Generalization 3]],meta_Classifiers[ID],0))</f>
        <v>#N/A</v>
      </c>
      <c r="X255" s="8" t="str">
        <f>INDEX(meta_Classifiers[Class - Generalization:src], MATCH(meta_Columns[[#This Row],[Generalization 2]],meta_Classifiers[ID],0))</f>
        <v/>
      </c>
      <c r="Y255" s="8" t="str">
        <f>INDEX(meta_Classifiers[Class - Generalization:src], MATCH(meta_Columns[[#This Row],[Generalization 1]],meta_Classifiers[ID],0))</f>
        <v>_Object</v>
      </c>
      <c r="Z255" s="8" t="str">
        <f>INDEX(meta_Classifiers[Class - Generalization:src], MATCH(meta_Columns[[#This Row],[Owning Table Instances Class]],meta_Classifiers[ID],0))</f>
        <v>_NamedElement</v>
      </c>
      <c r="AA2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5" s="8" t="b">
        <f>_xlfn.IFNA(
INDEX(meta_Classifiers[Class - Generalization:src],MATCH(
INDEX(meta_Classifiers[Class - Generalization:src],MATCH(meta_Columns[[#This Row],[Property Owning Class]],meta_Classifiers[ID],0)),meta_Classifiers[ID],0))
=meta_Columns[[#This Row],[Owning Table Instances Class]],FALSE)</f>
        <v>0</v>
      </c>
      <c r="AG255" s="8" t="b">
        <f>_xlfn.IFNA(INDEX(meta_Classifiers[Class - Generalization:src],MATCH(meta_Columns[[#This Row],[Property Owning Class]],meta_Classifiers[ID],0))=meta_Columns[[#This Row],[Owning Table Instances Class]],FALSE)</f>
        <v>0</v>
      </c>
      <c r="AH2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5" s="8" t="e">
        <f>INDEX(meta_Classifiers[Name],MATCH(INDEX(meta_TypedModelElements[Property - Owning Class:src],MATCH(meta_Columns[[#This Row],[Property]],meta_TypedModelElements[ID],0)),meta_Classifiers[ID],0))</f>
        <v>#N/A</v>
      </c>
      <c r="AJ255" s="8" t="e">
        <f>INDEX(meta_TypedModelElements[Property - Owning Class:src],MATCH(meta_Columns[[#This Row],[Property]],meta_TypedModelElements[ID],0))</f>
        <v>#N/A</v>
      </c>
      <c r="AK255" s="8" t="e">
        <f>INDEX(meta_TypedModelElements[Kind:src],MATCH(meta_Columns[[#This Row],[Property]],meta_TypedModelElements[ID],0))</f>
        <v>#N/A</v>
      </c>
      <c r="AL255" s="8" t="e">
        <f>INDEX(meta_TypedModelElements[Name or Type],MATCH(meta_Columns[[#This Row],[Property]],meta_TypedModelElements[ID],0))</f>
        <v>#N/A</v>
      </c>
      <c r="AM255" s="8" t="e">
        <f>INDEX(meta_TypedModelElements[Property - Changeable],MATCH(meta_Columns[[#This Row],[Property]],meta_TypedModelElements[ID],0))</f>
        <v>#N/A</v>
      </c>
      <c r="AN255" s="43">
        <v>65</v>
      </c>
      <c r="AO255" s="22"/>
      <c r="AP2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5" s="8" t="str">
        <f xml:space="preserve"> IF(meta_Columns[[#This Row],[Property Owning Class is Specialization of Instance Class]],meta_Columns[[#This Row],[Property Owning Class Name]]&amp;" - ","")</f>
        <v/>
      </c>
      <c r="AR2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5" s="8" t="str">
        <f>IFERROR(LEFT(meta_Columns[[#This Row],[Excel Column - Label Actual without Semantic Case]],FIND("-",
meta_Columns[[#This Row],[Excel Column - Label Actual without Semantic Case]])-2),"")</f>
        <v/>
      </c>
      <c r="AU2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v>
      </c>
      <c r="AX255" s="22"/>
      <c r="AY255" s="8" t="str">
        <f>meta_Columns[[#This Row],[Owning Table]]&amp;"."&amp;meta_Columns[[#This Row],[Excel Column - Label]]</f>
        <v>meta::Rules.Property 1 Super Class 5</v>
      </c>
      <c r="AZ255" s="22" t="s">
        <v>339</v>
      </c>
      <c r="BA255" s="8" t="str">
        <f>IF(TRIM(meta_Columns[[#This Row],[Excel Column - Label Overwrite]])&lt;&gt;"",meta_Columns[[#This Row],[Excel Column - Label Overwrite]],meta_Columns[[#This Row],[Excel Column - Label from Property or Referenced Table]])</f>
        <v>Property 1 Super Class 5</v>
      </c>
      <c r="BB255" s="43" t="s">
        <v>1543</v>
      </c>
      <c r="BC255" s="44" t="str">
        <f>IF(meta_Columns[[#This Row],[Excel Column - Explicit Excel Formula]]="","",meta_Columns[[#This Row],[Excel Column - Explicit Excel Formula]])</f>
        <v>Formula:=IFNA(INDEX(#REF!,MATCH([@[Property 1 Super Class 4]],meta_Classifiers[ID],0)),0)</v>
      </c>
      <c r="BD255" s="5"/>
      <c r="BE255" s="5"/>
    </row>
    <row r="256" spans="1:57">
      <c r="A256" s="10" t="s">
        <v>1220</v>
      </c>
      <c r="B256" s="5" t="s">
        <v>546</v>
      </c>
      <c r="C256" s="22" t="str">
        <f xml:space="preserve"> IF( TRIM( meta_Columns[[#This Row],[Kind:src]] ) = "", "",
        INDEX( meta_Classifiers[Display Qualified], MATCH( meta_Columns[[#This Row],[Kind:src]], meta_Classifiers[ID], 0 ) ) )</f>
        <v>ExcelColumn</v>
      </c>
      <c r="D256" s="44" t="str">
        <f>IF(meta_Columns[[#This Row],[Owning Table:src]]="","",INDEX(meta_Classifiers[Package],MATCH(meta_Columns[[#This Row],[Owning Table Instances Class]],meta_Classifiers[ID],0)))</f>
        <v>meta</v>
      </c>
      <c r="E256" s="43"/>
      <c r="F256" s="8" t="str">
        <f>INDEX(meta_Tables[Excel Table - Excel Name],MATCH(meta_Columns[[#This Row],[Owning Table:src]],meta_Tables[ID],0))</f>
        <v>meta_Rules</v>
      </c>
      <c r="G256" s="44" t="str">
        <f>INDEX(meta_Tables[Instances Class:src],MATCH(meta_Columns[[#This Row],[Owning Table:src]],meta_Tables[ID],0))</f>
        <v>_Rule</v>
      </c>
      <c r="H256" s="11" t="s">
        <v>1014</v>
      </c>
      <c r="I256" s="43" t="str">
        <f xml:space="preserve"> IF( TRIM( meta_Columns[[#This Row],[Owning Table:src]] ) = "", "",
        INDEX( meta_Tables[Display Qualified], MATCH( meta_Columns[[#This Row],[Owning Table:src]], meta_Tables[ID], 0 ) ) )</f>
        <v>meta::Rules</v>
      </c>
      <c r="K256" s="22" t="str">
        <f>IF(TRIM(meta_Columns[[#This Row],[Referenced Table:src]])="","",
    INDEX(meta_Tables[Display Qualified],MATCH(meta_Columns[[#This Row],[Referenced Table:src]],meta_Tables[ID],0)))</f>
        <v/>
      </c>
      <c r="L256" s="8"/>
      <c r="M256" s="22"/>
      <c r="N256" s="8" t="str">
        <f>IF(meta_Columns[[#This Row],[Excel Column - Excel Formula]]="","x","")</f>
        <v/>
      </c>
      <c r="O256" s="22"/>
      <c r="P256" s="8" t="str">
        <f>IF(meta_Columns[[#This Row],[Referenced Table:src]]="","",INDEX(meta_Tables[Instances Class],MATCH(meta_Columns[[#This Row],[Referenced Table:src]],meta_Tables[ID],0)))</f>
        <v/>
      </c>
      <c r="Q2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6" s="8"/>
      <c r="S256" s="22" t="str">
        <f xml:space="preserve"> IF( TRIM( meta_Columns[[#This Row],[Property:src]] ) = "", "",
        INDEX( meta_TypedModelElements[Display Qualified], MATCH( meta_Columns[[#This Row],[Property:src]], meta_TypedModelElements[ID], 0 ) ) )</f>
        <v/>
      </c>
      <c r="T256" s="22"/>
      <c r="U256" s="8" t="e">
        <f>INDEX(meta_Classifiers[Class - Generalization:src], MATCH(meta_Columns[[#This Row],[Generalization 5]],meta_Classifiers[ID],0))</f>
        <v>#N/A</v>
      </c>
      <c r="V256" s="8" t="e">
        <f>INDEX(meta_Classifiers[Class - Generalization:src], MATCH(meta_Columns[[#This Row],[Generalization 4]],meta_Classifiers[ID],0))</f>
        <v>#N/A</v>
      </c>
      <c r="W256" s="8" t="e">
        <f>INDEX(meta_Classifiers[Class - Generalization:src], MATCH(meta_Columns[[#This Row],[Generalization 3]],meta_Classifiers[ID],0))</f>
        <v>#N/A</v>
      </c>
      <c r="X256" s="8" t="str">
        <f>INDEX(meta_Classifiers[Class - Generalization:src], MATCH(meta_Columns[[#This Row],[Generalization 2]],meta_Classifiers[ID],0))</f>
        <v/>
      </c>
      <c r="Y256" s="8" t="str">
        <f>INDEX(meta_Classifiers[Class - Generalization:src], MATCH(meta_Columns[[#This Row],[Generalization 1]],meta_Classifiers[ID],0))</f>
        <v>_Object</v>
      </c>
      <c r="Z256" s="8" t="str">
        <f>INDEX(meta_Classifiers[Class - Generalization:src], MATCH(meta_Columns[[#This Row],[Owning Table Instances Class]],meta_Classifiers[ID],0))</f>
        <v>_NamedElement</v>
      </c>
      <c r="AA2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6" s="8" t="b">
        <f>_xlfn.IFNA(
INDEX(meta_Classifiers[Class - Generalization:src],MATCH(
INDEX(meta_Classifiers[Class - Generalization:src],MATCH(meta_Columns[[#This Row],[Property Owning Class]],meta_Classifiers[ID],0)),meta_Classifiers[ID],0))
=meta_Columns[[#This Row],[Owning Table Instances Class]],FALSE)</f>
        <v>0</v>
      </c>
      <c r="AG256" s="8" t="b">
        <f>_xlfn.IFNA(INDEX(meta_Classifiers[Class - Generalization:src],MATCH(meta_Columns[[#This Row],[Property Owning Class]],meta_Classifiers[ID],0))=meta_Columns[[#This Row],[Owning Table Instances Class]],FALSE)</f>
        <v>0</v>
      </c>
      <c r="AH2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6" s="8" t="e">
        <f>INDEX(meta_Classifiers[Name],MATCH(INDEX(meta_TypedModelElements[Property - Owning Class:src],MATCH(meta_Columns[[#This Row],[Property]],meta_TypedModelElements[ID],0)),meta_Classifiers[ID],0))</f>
        <v>#N/A</v>
      </c>
      <c r="AJ256" s="8" t="e">
        <f>INDEX(meta_TypedModelElements[Property - Owning Class:src],MATCH(meta_Columns[[#This Row],[Property]],meta_TypedModelElements[ID],0))</f>
        <v>#N/A</v>
      </c>
      <c r="AK256" s="8" t="e">
        <f>INDEX(meta_TypedModelElements[Kind:src],MATCH(meta_Columns[[#This Row],[Property]],meta_TypedModelElements[ID],0))</f>
        <v>#N/A</v>
      </c>
      <c r="AL256" s="8" t="e">
        <f>INDEX(meta_TypedModelElements[Name or Type],MATCH(meta_Columns[[#This Row],[Property]],meta_TypedModelElements[ID],0))</f>
        <v>#N/A</v>
      </c>
      <c r="AM256" s="8" t="e">
        <f>INDEX(meta_TypedModelElements[Property - Changeable],MATCH(meta_Columns[[#This Row],[Property]],meta_TypedModelElements[ID],0))</f>
        <v>#N/A</v>
      </c>
      <c r="AN256" s="43">
        <v>66</v>
      </c>
      <c r="AO256" s="22"/>
      <c r="AP2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6" s="8" t="str">
        <f xml:space="preserve"> IF(meta_Columns[[#This Row],[Property Owning Class is Specialization of Instance Class]],meta_Columns[[#This Row],[Property Owning Class Name]]&amp;" - ","")</f>
        <v/>
      </c>
      <c r="AR2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6" s="8" t="str">
        <f>IFERROR(LEFT(meta_Columns[[#This Row],[Excel Column - Label Actual without Semantic Case]],FIND("-",
meta_Columns[[#This Row],[Excel Column - Label Actual without Semantic Case]])-2),"")</f>
        <v/>
      </c>
      <c r="AU2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4:display:q.</v>
      </c>
      <c r="AX256" s="22"/>
      <c r="AY256" s="8" t="str">
        <f>meta_Columns[[#This Row],[Owning Table]]&amp;"."&amp;meta_Columns[[#This Row],[Excel Column - Label]]</f>
        <v>meta::Rules.Property 1 Super Class 4:display:q.</v>
      </c>
      <c r="AZ256" s="22" t="s">
        <v>340</v>
      </c>
      <c r="BA256" s="8" t="str">
        <f>IF(TRIM(meta_Columns[[#This Row],[Excel Column - Label Overwrite]])&lt;&gt;"",meta_Columns[[#This Row],[Excel Column - Label Overwrite]],meta_Columns[[#This Row],[Excel Column - Label from Property or Referenced Table]])</f>
        <v>Property 1 Super Class 4:display:q.</v>
      </c>
      <c r="BB256" s="43" t="s">
        <v>974</v>
      </c>
      <c r="BC256" s="44" t="str">
        <f>IF(meta_Columns[[#This Row],[Excel Column - Explicit Excel Formula]]="","",meta_Columns[[#This Row],[Excel Column - Explicit Excel Formula]])</f>
        <v>Formula:=IFNA(INDEX(meta_Classifiers[Display Qualified],MATCH([@[Property 1 Super Class 4]],meta_Classifiers[ID],0))&amp;".","")</v>
      </c>
      <c r="BD256" s="5"/>
      <c r="BE256" s="5"/>
    </row>
    <row r="257" spans="1:57">
      <c r="A257" s="10" t="s">
        <v>1221</v>
      </c>
      <c r="B257" s="5" t="s">
        <v>546</v>
      </c>
      <c r="C257" s="22" t="str">
        <f xml:space="preserve"> IF( TRIM( meta_Columns[[#This Row],[Kind:src]] ) = "", "",
        INDEX( meta_Classifiers[Display Qualified], MATCH( meta_Columns[[#This Row],[Kind:src]], meta_Classifiers[ID], 0 ) ) )</f>
        <v>ExcelColumn</v>
      </c>
      <c r="D257" s="44" t="str">
        <f>IF(meta_Columns[[#This Row],[Owning Table:src]]="","",INDEX(meta_Classifiers[Package],MATCH(meta_Columns[[#This Row],[Owning Table Instances Class]],meta_Classifiers[ID],0)))</f>
        <v>meta</v>
      </c>
      <c r="E257" s="43"/>
      <c r="F257" s="8" t="str">
        <f>INDEX(meta_Tables[Excel Table - Excel Name],MATCH(meta_Columns[[#This Row],[Owning Table:src]],meta_Tables[ID],0))</f>
        <v>meta_Rules</v>
      </c>
      <c r="G257" s="44" t="str">
        <f>INDEX(meta_Tables[Instances Class:src],MATCH(meta_Columns[[#This Row],[Owning Table:src]],meta_Tables[ID],0))</f>
        <v>_Rule</v>
      </c>
      <c r="H257" s="11" t="s">
        <v>1014</v>
      </c>
      <c r="I257" s="43" t="str">
        <f xml:space="preserve"> IF( TRIM( meta_Columns[[#This Row],[Owning Table:src]] ) = "", "",
        INDEX( meta_Tables[Display Qualified], MATCH( meta_Columns[[#This Row],[Owning Table:src]], meta_Tables[ID], 0 ) ) )</f>
        <v>meta::Rules</v>
      </c>
      <c r="K257" s="22" t="str">
        <f>IF(TRIM(meta_Columns[[#This Row],[Referenced Table:src]])="","",
    INDEX(meta_Tables[Display Qualified],MATCH(meta_Columns[[#This Row],[Referenced Table:src]],meta_Tables[ID],0)))</f>
        <v/>
      </c>
      <c r="L257" s="8"/>
      <c r="M257" s="22"/>
      <c r="N257" s="8" t="str">
        <f>IF(meta_Columns[[#This Row],[Excel Column - Excel Formula]]="","x","")</f>
        <v/>
      </c>
      <c r="O257" s="22"/>
      <c r="P257" s="8" t="str">
        <f>IF(meta_Columns[[#This Row],[Referenced Table:src]]="","",INDEX(meta_Tables[Instances Class],MATCH(meta_Columns[[#This Row],[Referenced Table:src]],meta_Tables[ID],0)))</f>
        <v/>
      </c>
      <c r="Q2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7" s="8"/>
      <c r="S257" s="22" t="str">
        <f xml:space="preserve"> IF( TRIM( meta_Columns[[#This Row],[Property:src]] ) = "", "",
        INDEX( meta_TypedModelElements[Display Qualified], MATCH( meta_Columns[[#This Row],[Property:src]], meta_TypedModelElements[ID], 0 ) ) )</f>
        <v/>
      </c>
      <c r="T257" s="22"/>
      <c r="U257" s="8" t="e">
        <f>INDEX(meta_Classifiers[Class - Generalization:src], MATCH(meta_Columns[[#This Row],[Generalization 5]],meta_Classifiers[ID],0))</f>
        <v>#N/A</v>
      </c>
      <c r="V257" s="8" t="e">
        <f>INDEX(meta_Classifiers[Class - Generalization:src], MATCH(meta_Columns[[#This Row],[Generalization 4]],meta_Classifiers[ID],0))</f>
        <v>#N/A</v>
      </c>
      <c r="W257" s="8" t="e">
        <f>INDEX(meta_Classifiers[Class - Generalization:src], MATCH(meta_Columns[[#This Row],[Generalization 3]],meta_Classifiers[ID],0))</f>
        <v>#N/A</v>
      </c>
      <c r="X257" s="8" t="str">
        <f>INDEX(meta_Classifiers[Class - Generalization:src], MATCH(meta_Columns[[#This Row],[Generalization 2]],meta_Classifiers[ID],0))</f>
        <v/>
      </c>
      <c r="Y257" s="8" t="str">
        <f>INDEX(meta_Classifiers[Class - Generalization:src], MATCH(meta_Columns[[#This Row],[Generalization 1]],meta_Classifiers[ID],0))</f>
        <v>_Object</v>
      </c>
      <c r="Z257" s="8" t="str">
        <f>INDEX(meta_Classifiers[Class - Generalization:src], MATCH(meta_Columns[[#This Row],[Owning Table Instances Class]],meta_Classifiers[ID],0))</f>
        <v>_NamedElement</v>
      </c>
      <c r="AA2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7" s="8" t="b">
        <f>_xlfn.IFNA(
INDEX(meta_Classifiers[Class - Generalization:src],MATCH(
INDEX(meta_Classifiers[Class - Generalization:src],MATCH(meta_Columns[[#This Row],[Property Owning Class]],meta_Classifiers[ID],0)),meta_Classifiers[ID],0))
=meta_Columns[[#This Row],[Owning Table Instances Class]],FALSE)</f>
        <v>0</v>
      </c>
      <c r="AG257" s="8" t="b">
        <f>_xlfn.IFNA(INDEX(meta_Classifiers[Class - Generalization:src],MATCH(meta_Columns[[#This Row],[Property Owning Class]],meta_Classifiers[ID],0))=meta_Columns[[#This Row],[Owning Table Instances Class]],FALSE)</f>
        <v>0</v>
      </c>
      <c r="AH2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7" s="8" t="e">
        <f>INDEX(meta_Classifiers[Name],MATCH(INDEX(meta_TypedModelElements[Property - Owning Class:src],MATCH(meta_Columns[[#This Row],[Property]],meta_TypedModelElements[ID],0)),meta_Classifiers[ID],0))</f>
        <v>#N/A</v>
      </c>
      <c r="AJ257" s="8" t="e">
        <f>INDEX(meta_TypedModelElements[Property - Owning Class:src],MATCH(meta_Columns[[#This Row],[Property]],meta_TypedModelElements[ID],0))</f>
        <v>#N/A</v>
      </c>
      <c r="AK257" s="8" t="e">
        <f>INDEX(meta_TypedModelElements[Kind:src],MATCH(meta_Columns[[#This Row],[Property]],meta_TypedModelElements[ID],0))</f>
        <v>#N/A</v>
      </c>
      <c r="AL257" s="8" t="e">
        <f>INDEX(meta_TypedModelElements[Name or Type],MATCH(meta_Columns[[#This Row],[Property]],meta_TypedModelElements[ID],0))</f>
        <v>#N/A</v>
      </c>
      <c r="AM257" s="8" t="e">
        <f>INDEX(meta_TypedModelElements[Property - Changeable],MATCH(meta_Columns[[#This Row],[Property]],meta_TypedModelElements[ID],0))</f>
        <v>#N/A</v>
      </c>
      <c r="AN257" s="43">
        <v>67</v>
      </c>
      <c r="AO257" s="22"/>
      <c r="AP2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7" s="8" t="str">
        <f xml:space="preserve"> IF(meta_Columns[[#This Row],[Property Owning Class is Specialization of Instance Class]],meta_Columns[[#This Row],[Property Owning Class Name]]&amp;" - ","")</f>
        <v/>
      </c>
      <c r="AR2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7" s="8" t="str">
        <f>IFERROR(LEFT(meta_Columns[[#This Row],[Excel Column - Label Actual without Semantic Case]],FIND("-",
meta_Columns[[#This Row],[Excel Column - Label Actual without Semantic Case]])-2),"")</f>
        <v/>
      </c>
      <c r="AU2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v>
      </c>
      <c r="AX257" s="22"/>
      <c r="AY257" s="8" t="str">
        <f>meta_Columns[[#This Row],[Owning Table]]&amp;"."&amp;meta_Columns[[#This Row],[Excel Column - Label]]</f>
        <v>meta::Rules.Property 1 Super Class 4</v>
      </c>
      <c r="AZ257" s="22" t="s">
        <v>341</v>
      </c>
      <c r="BA257" s="8" t="str">
        <f>IF(TRIM(meta_Columns[[#This Row],[Excel Column - Label Overwrite]])&lt;&gt;"",meta_Columns[[#This Row],[Excel Column - Label Overwrite]],meta_Columns[[#This Row],[Excel Column - Label from Property or Referenced Table]])</f>
        <v>Property 1 Super Class 4</v>
      </c>
      <c r="BB257" s="43" t="s">
        <v>1544</v>
      </c>
      <c r="BC257" s="44" t="str">
        <f>IF(meta_Columns[[#This Row],[Excel Column - Explicit Excel Formula]]="","",meta_Columns[[#This Row],[Excel Column - Explicit Excel Formula]])</f>
        <v>Formula:=IFNA(INDEX(#REF!,MATCH([@[Property 1 Super Class 3]],meta_Classifiers[ID],0)),0)</v>
      </c>
      <c r="BD257" s="5"/>
      <c r="BE257" s="5"/>
    </row>
    <row r="258" spans="1:57">
      <c r="A258" s="10" t="s">
        <v>1222</v>
      </c>
      <c r="B258" s="5" t="s">
        <v>546</v>
      </c>
      <c r="C258" s="22" t="str">
        <f xml:space="preserve"> IF( TRIM( meta_Columns[[#This Row],[Kind:src]] ) = "", "",
        INDEX( meta_Classifiers[Display Qualified], MATCH( meta_Columns[[#This Row],[Kind:src]], meta_Classifiers[ID], 0 ) ) )</f>
        <v>ExcelColumn</v>
      </c>
      <c r="D258" s="44" t="str">
        <f>IF(meta_Columns[[#This Row],[Owning Table:src]]="","",INDEX(meta_Classifiers[Package],MATCH(meta_Columns[[#This Row],[Owning Table Instances Class]],meta_Classifiers[ID],0)))</f>
        <v>meta</v>
      </c>
      <c r="E258" s="43"/>
      <c r="F258" s="44" t="str">
        <f>INDEX(meta_Tables[Excel Table - Excel Name],MATCH(meta_Columns[[#This Row],[Owning Table:src]],meta_Tables[ID],0))</f>
        <v>meta_Rules</v>
      </c>
      <c r="G258" s="44" t="str">
        <f>INDEX(meta_Tables[Instances Class:src],MATCH(meta_Columns[[#This Row],[Owning Table:src]],meta_Tables[ID],0))</f>
        <v>_Rule</v>
      </c>
      <c r="H258" s="11" t="s">
        <v>1014</v>
      </c>
      <c r="I258" s="43" t="str">
        <f xml:space="preserve"> IF( TRIM( meta_Columns[[#This Row],[Owning Table:src]] ) = "", "",
        INDEX( meta_Tables[Display Qualified], MATCH( meta_Columns[[#This Row],[Owning Table:src]], meta_Tables[ID], 0 ) ) )</f>
        <v>meta::Rules</v>
      </c>
      <c r="K258" s="22" t="str">
        <f>IF(TRIM(meta_Columns[[#This Row],[Referenced Table:src]])="","",
    INDEX(meta_Tables[Display Qualified],MATCH(meta_Columns[[#This Row],[Referenced Table:src]],meta_Tables[ID],0)))</f>
        <v/>
      </c>
      <c r="L258" s="8"/>
      <c r="M258" s="22"/>
      <c r="N258" s="8" t="str">
        <f>IF(meta_Columns[[#This Row],[Excel Column - Excel Formula]]="","x","")</f>
        <v/>
      </c>
      <c r="O258" s="22"/>
      <c r="P258" s="8" t="str">
        <f>IF(meta_Columns[[#This Row],[Referenced Table:src]]="","",INDEX(meta_Tables[Instances Class],MATCH(meta_Columns[[#This Row],[Referenced Table:src]],meta_Tables[ID],0)))</f>
        <v/>
      </c>
      <c r="Q2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8" s="8"/>
      <c r="S258" s="22" t="str">
        <f xml:space="preserve"> IF( TRIM( meta_Columns[[#This Row],[Property:src]] ) = "", "",
        INDEX( meta_TypedModelElements[Display Qualified], MATCH( meta_Columns[[#This Row],[Property:src]], meta_TypedModelElements[ID], 0 ) ) )</f>
        <v/>
      </c>
      <c r="T258" s="22"/>
      <c r="U258" s="8" t="e">
        <f>INDEX(meta_Classifiers[Class - Generalization:src], MATCH(meta_Columns[[#This Row],[Generalization 5]],meta_Classifiers[ID],0))</f>
        <v>#N/A</v>
      </c>
      <c r="V258" s="8" t="e">
        <f>INDEX(meta_Classifiers[Class - Generalization:src], MATCH(meta_Columns[[#This Row],[Generalization 4]],meta_Classifiers[ID],0))</f>
        <v>#N/A</v>
      </c>
      <c r="W258" s="8" t="e">
        <f>INDEX(meta_Classifiers[Class - Generalization:src], MATCH(meta_Columns[[#This Row],[Generalization 3]],meta_Classifiers[ID],0))</f>
        <v>#N/A</v>
      </c>
      <c r="X258" s="8" t="str">
        <f>INDEX(meta_Classifiers[Class - Generalization:src], MATCH(meta_Columns[[#This Row],[Generalization 2]],meta_Classifiers[ID],0))</f>
        <v/>
      </c>
      <c r="Y258" s="8" t="str">
        <f>INDEX(meta_Classifiers[Class - Generalization:src], MATCH(meta_Columns[[#This Row],[Generalization 1]],meta_Classifiers[ID],0))</f>
        <v>_Object</v>
      </c>
      <c r="Z258" s="8" t="str">
        <f>INDEX(meta_Classifiers[Class - Generalization:src], MATCH(meta_Columns[[#This Row],[Owning Table Instances Class]],meta_Classifiers[ID],0))</f>
        <v>_NamedElement</v>
      </c>
      <c r="AA2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8" s="8" t="b">
        <f>_xlfn.IFNA(
INDEX(meta_Classifiers[Class - Generalization:src],MATCH(
INDEX(meta_Classifiers[Class - Generalization:src],MATCH(meta_Columns[[#This Row],[Property Owning Class]],meta_Classifiers[ID],0)),meta_Classifiers[ID],0))
=meta_Columns[[#This Row],[Owning Table Instances Class]],FALSE)</f>
        <v>0</v>
      </c>
      <c r="AG258" s="8" t="b">
        <f>_xlfn.IFNA(INDEX(meta_Classifiers[Class - Generalization:src],MATCH(meta_Columns[[#This Row],[Property Owning Class]],meta_Classifiers[ID],0))=meta_Columns[[#This Row],[Owning Table Instances Class]],FALSE)</f>
        <v>0</v>
      </c>
      <c r="AH2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8" s="8" t="e">
        <f>INDEX(meta_Classifiers[Name],MATCH(INDEX(meta_TypedModelElements[Property - Owning Class:src],MATCH(meta_Columns[[#This Row],[Property]],meta_TypedModelElements[ID],0)),meta_Classifiers[ID],0))</f>
        <v>#N/A</v>
      </c>
      <c r="AJ258" s="8" t="e">
        <f>INDEX(meta_TypedModelElements[Property - Owning Class:src],MATCH(meta_Columns[[#This Row],[Property]],meta_TypedModelElements[ID],0))</f>
        <v>#N/A</v>
      </c>
      <c r="AK258" s="8" t="e">
        <f>INDEX(meta_TypedModelElements[Kind:src],MATCH(meta_Columns[[#This Row],[Property]],meta_TypedModelElements[ID],0))</f>
        <v>#N/A</v>
      </c>
      <c r="AL258" s="8" t="e">
        <f>INDEX(meta_TypedModelElements[Name or Type],MATCH(meta_Columns[[#This Row],[Property]],meta_TypedModelElements[ID],0))</f>
        <v>#N/A</v>
      </c>
      <c r="AM258" s="8" t="e">
        <f>INDEX(meta_TypedModelElements[Property - Changeable],MATCH(meta_Columns[[#This Row],[Property]],meta_TypedModelElements[ID],0))</f>
        <v>#N/A</v>
      </c>
      <c r="AN258" s="43">
        <v>68</v>
      </c>
      <c r="AO258" s="22"/>
      <c r="AP2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8" s="8" t="str">
        <f xml:space="preserve"> IF(meta_Columns[[#This Row],[Property Owning Class is Specialization of Instance Class]],meta_Columns[[#This Row],[Property Owning Class Name]]&amp;" - ","")</f>
        <v/>
      </c>
      <c r="AR2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8" s="8" t="str">
        <f>IFERROR(LEFT(meta_Columns[[#This Row],[Excel Column - Label Actual without Semantic Case]],FIND("-",
meta_Columns[[#This Row],[Excel Column - Label Actual without Semantic Case]])-2),"")</f>
        <v/>
      </c>
      <c r="AU2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3:display:q.</v>
      </c>
      <c r="AX258" s="22"/>
      <c r="AY258" s="8" t="str">
        <f>meta_Columns[[#This Row],[Owning Table]]&amp;"."&amp;meta_Columns[[#This Row],[Excel Column - Label]]</f>
        <v>meta::Rules.Property 1 Super Class 3:display:q.</v>
      </c>
      <c r="AZ258" s="43" t="s">
        <v>342</v>
      </c>
      <c r="BA258" s="44" t="str">
        <f>IF(TRIM(meta_Columns[[#This Row],[Excel Column - Label Overwrite]])&lt;&gt;"",meta_Columns[[#This Row],[Excel Column - Label Overwrite]],meta_Columns[[#This Row],[Excel Column - Label from Property or Referenced Table]])</f>
        <v>Property 1 Super Class 3:display:q.</v>
      </c>
      <c r="BB258" s="43" t="s">
        <v>975</v>
      </c>
      <c r="BC258" s="44" t="str">
        <f>IF(meta_Columns[[#This Row],[Excel Column - Explicit Excel Formula]]="","",meta_Columns[[#This Row],[Excel Column - Explicit Excel Formula]])</f>
        <v>Formula:=IFNA(INDEX(meta_Classifiers[Display Qualified],MATCH([@[Property 1 Super Class 3]],meta_Classifiers[ID],0))&amp;".","")</v>
      </c>
      <c r="BD258" s="5"/>
      <c r="BE258" s="5"/>
    </row>
    <row r="259" spans="1:57">
      <c r="A259" s="10" t="s">
        <v>1223</v>
      </c>
      <c r="B259" s="5" t="s">
        <v>546</v>
      </c>
      <c r="C259" s="22" t="str">
        <f xml:space="preserve"> IF( TRIM( meta_Columns[[#This Row],[Kind:src]] ) = "", "",
        INDEX( meta_Classifiers[Display Qualified], MATCH( meta_Columns[[#This Row],[Kind:src]], meta_Classifiers[ID], 0 ) ) )</f>
        <v>ExcelColumn</v>
      </c>
      <c r="D259" s="44" t="str">
        <f>IF(meta_Columns[[#This Row],[Owning Table:src]]="","",INDEX(meta_Classifiers[Package],MATCH(meta_Columns[[#This Row],[Owning Table Instances Class]],meta_Classifiers[ID],0)))</f>
        <v>meta</v>
      </c>
      <c r="E259" s="43"/>
      <c r="F259" s="44" t="str">
        <f>INDEX(meta_Tables[Excel Table - Excel Name],MATCH(meta_Columns[[#This Row],[Owning Table:src]],meta_Tables[ID],0))</f>
        <v>meta_Rules</v>
      </c>
      <c r="G259" s="44" t="str">
        <f>INDEX(meta_Tables[Instances Class:src],MATCH(meta_Columns[[#This Row],[Owning Table:src]],meta_Tables[ID],0))</f>
        <v>_Rule</v>
      </c>
      <c r="H259" s="11" t="s">
        <v>1014</v>
      </c>
      <c r="I259" s="43" t="str">
        <f xml:space="preserve"> IF( TRIM( meta_Columns[[#This Row],[Owning Table:src]] ) = "", "",
        INDEX( meta_Tables[Display Qualified], MATCH( meta_Columns[[#This Row],[Owning Table:src]], meta_Tables[ID], 0 ) ) )</f>
        <v>meta::Rules</v>
      </c>
      <c r="K259" s="22" t="str">
        <f>IF(TRIM(meta_Columns[[#This Row],[Referenced Table:src]])="","",
    INDEX(meta_Tables[Display Qualified],MATCH(meta_Columns[[#This Row],[Referenced Table:src]],meta_Tables[ID],0)))</f>
        <v/>
      </c>
      <c r="L259" s="8"/>
      <c r="M259" s="22"/>
      <c r="N259" s="8" t="str">
        <f>IF(meta_Columns[[#This Row],[Excel Column - Excel Formula]]="","x","")</f>
        <v/>
      </c>
      <c r="O259" s="22"/>
      <c r="P259" s="8" t="str">
        <f>IF(meta_Columns[[#This Row],[Referenced Table:src]]="","",INDEX(meta_Tables[Instances Class],MATCH(meta_Columns[[#This Row],[Referenced Table:src]],meta_Tables[ID],0)))</f>
        <v/>
      </c>
      <c r="Q2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9" s="8"/>
      <c r="S259" s="22" t="str">
        <f xml:space="preserve"> IF( TRIM( meta_Columns[[#This Row],[Property:src]] ) = "", "",
        INDEX( meta_TypedModelElements[Display Qualified], MATCH( meta_Columns[[#This Row],[Property:src]], meta_TypedModelElements[ID], 0 ) ) )</f>
        <v/>
      </c>
      <c r="T259" s="22"/>
      <c r="U259" s="8" t="e">
        <f>INDEX(meta_Classifiers[Class - Generalization:src], MATCH(meta_Columns[[#This Row],[Generalization 5]],meta_Classifiers[ID],0))</f>
        <v>#N/A</v>
      </c>
      <c r="V259" s="8" t="e">
        <f>INDEX(meta_Classifiers[Class - Generalization:src], MATCH(meta_Columns[[#This Row],[Generalization 4]],meta_Classifiers[ID],0))</f>
        <v>#N/A</v>
      </c>
      <c r="W259" s="8" t="e">
        <f>INDEX(meta_Classifiers[Class - Generalization:src], MATCH(meta_Columns[[#This Row],[Generalization 3]],meta_Classifiers[ID],0))</f>
        <v>#N/A</v>
      </c>
      <c r="X259" s="8" t="str">
        <f>INDEX(meta_Classifiers[Class - Generalization:src], MATCH(meta_Columns[[#This Row],[Generalization 2]],meta_Classifiers[ID],0))</f>
        <v/>
      </c>
      <c r="Y259" s="8" t="str">
        <f>INDEX(meta_Classifiers[Class - Generalization:src], MATCH(meta_Columns[[#This Row],[Generalization 1]],meta_Classifiers[ID],0))</f>
        <v>_Object</v>
      </c>
      <c r="Z259" s="8" t="str">
        <f>INDEX(meta_Classifiers[Class - Generalization:src], MATCH(meta_Columns[[#This Row],[Owning Table Instances Class]],meta_Classifiers[ID],0))</f>
        <v>_NamedElement</v>
      </c>
      <c r="AA2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9" s="8" t="b">
        <f>_xlfn.IFNA(
INDEX(meta_Classifiers[Class - Generalization:src],MATCH(
INDEX(meta_Classifiers[Class - Generalization:src],MATCH(meta_Columns[[#This Row],[Property Owning Class]],meta_Classifiers[ID],0)),meta_Classifiers[ID],0))
=meta_Columns[[#This Row],[Owning Table Instances Class]],FALSE)</f>
        <v>0</v>
      </c>
      <c r="AG259" s="8" t="b">
        <f>_xlfn.IFNA(INDEX(meta_Classifiers[Class - Generalization:src],MATCH(meta_Columns[[#This Row],[Property Owning Class]],meta_Classifiers[ID],0))=meta_Columns[[#This Row],[Owning Table Instances Class]],FALSE)</f>
        <v>0</v>
      </c>
      <c r="AH2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9" s="8" t="e">
        <f>INDEX(meta_Classifiers[Name],MATCH(INDEX(meta_TypedModelElements[Property - Owning Class:src],MATCH(meta_Columns[[#This Row],[Property]],meta_TypedModelElements[ID],0)),meta_Classifiers[ID],0))</f>
        <v>#N/A</v>
      </c>
      <c r="AJ259" s="8" t="e">
        <f>INDEX(meta_TypedModelElements[Property - Owning Class:src],MATCH(meta_Columns[[#This Row],[Property]],meta_TypedModelElements[ID],0))</f>
        <v>#N/A</v>
      </c>
      <c r="AK259" s="8" t="e">
        <f>INDEX(meta_TypedModelElements[Kind:src],MATCH(meta_Columns[[#This Row],[Property]],meta_TypedModelElements[ID],0))</f>
        <v>#N/A</v>
      </c>
      <c r="AL259" s="8" t="e">
        <f>INDEX(meta_TypedModelElements[Name or Type],MATCH(meta_Columns[[#This Row],[Property]],meta_TypedModelElements[ID],0))</f>
        <v>#N/A</v>
      </c>
      <c r="AM259" s="8" t="e">
        <f>INDEX(meta_TypedModelElements[Property - Changeable],MATCH(meta_Columns[[#This Row],[Property]],meta_TypedModelElements[ID],0))</f>
        <v>#N/A</v>
      </c>
      <c r="AN259" s="43">
        <v>69</v>
      </c>
      <c r="AO259" s="22"/>
      <c r="AP2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9" s="8" t="str">
        <f xml:space="preserve"> IF(meta_Columns[[#This Row],[Property Owning Class is Specialization of Instance Class]],meta_Columns[[#This Row],[Property Owning Class Name]]&amp;" - ","")</f>
        <v/>
      </c>
      <c r="AR2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9" s="8" t="str">
        <f>IFERROR(LEFT(meta_Columns[[#This Row],[Excel Column - Label Actual without Semantic Case]],FIND("-",
meta_Columns[[#This Row],[Excel Column - Label Actual without Semantic Case]])-2),"")</f>
        <v/>
      </c>
      <c r="AU2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v>
      </c>
      <c r="AX259" s="22"/>
      <c r="AY259" s="8" t="str">
        <f>meta_Columns[[#This Row],[Owning Table]]&amp;"."&amp;meta_Columns[[#This Row],[Excel Column - Label]]</f>
        <v>meta::Rules.Property 1 Super Class 3</v>
      </c>
      <c r="AZ259" s="43" t="s">
        <v>343</v>
      </c>
      <c r="BA259" s="44" t="str">
        <f>IF(TRIM(meta_Columns[[#This Row],[Excel Column - Label Overwrite]])&lt;&gt;"",meta_Columns[[#This Row],[Excel Column - Label Overwrite]],meta_Columns[[#This Row],[Excel Column - Label from Property or Referenced Table]])</f>
        <v>Property 1 Super Class 3</v>
      </c>
      <c r="BB259" s="43" t="s">
        <v>1545</v>
      </c>
      <c r="BC259" s="44" t="str">
        <f>IF(meta_Columns[[#This Row],[Excel Column - Explicit Excel Formula]]="","",meta_Columns[[#This Row],[Excel Column - Explicit Excel Formula]])</f>
        <v>Formula:=IFNA(INDEX(#REF!,MATCH([@[Property 1 Super Class 2]],meta_Classifiers[ID],0)),0)</v>
      </c>
      <c r="BD259" s="5"/>
      <c r="BE259" s="5"/>
    </row>
    <row r="260" spans="1:57">
      <c r="A260" s="10" t="s">
        <v>1224</v>
      </c>
      <c r="B260" s="5" t="s">
        <v>546</v>
      </c>
      <c r="C260" s="22" t="str">
        <f xml:space="preserve"> IF( TRIM( meta_Columns[[#This Row],[Kind:src]] ) = "", "",
        INDEX( meta_Classifiers[Display Qualified], MATCH( meta_Columns[[#This Row],[Kind:src]], meta_Classifiers[ID], 0 ) ) )</f>
        <v>ExcelColumn</v>
      </c>
      <c r="D260" s="44" t="str">
        <f>IF(meta_Columns[[#This Row],[Owning Table:src]]="","",INDEX(meta_Classifiers[Package],MATCH(meta_Columns[[#This Row],[Owning Table Instances Class]],meta_Classifiers[ID],0)))</f>
        <v>meta</v>
      </c>
      <c r="E260" s="43"/>
      <c r="F260" s="44" t="str">
        <f>INDEX(meta_Tables[Excel Table - Excel Name],MATCH(meta_Columns[[#This Row],[Owning Table:src]],meta_Tables[ID],0))</f>
        <v>meta_Rules</v>
      </c>
      <c r="G260" s="44" t="str">
        <f>INDEX(meta_Tables[Instances Class:src],MATCH(meta_Columns[[#This Row],[Owning Table:src]],meta_Tables[ID],0))</f>
        <v>_Rule</v>
      </c>
      <c r="H260" s="11" t="s">
        <v>1014</v>
      </c>
      <c r="I260" s="43" t="str">
        <f xml:space="preserve"> IF( TRIM( meta_Columns[[#This Row],[Owning Table:src]] ) = "", "",
        INDEX( meta_Tables[Display Qualified], MATCH( meta_Columns[[#This Row],[Owning Table:src]], meta_Tables[ID], 0 ) ) )</f>
        <v>meta::Rules</v>
      </c>
      <c r="K260" s="22" t="str">
        <f>IF(TRIM(meta_Columns[[#This Row],[Referenced Table:src]])="","",
    INDEX(meta_Tables[Display Qualified],MATCH(meta_Columns[[#This Row],[Referenced Table:src]],meta_Tables[ID],0)))</f>
        <v/>
      </c>
      <c r="L260" s="8"/>
      <c r="M260" s="22"/>
      <c r="N260" s="8" t="str">
        <f>IF(meta_Columns[[#This Row],[Excel Column - Excel Formula]]="","x","")</f>
        <v/>
      </c>
      <c r="O260" s="22"/>
      <c r="P260" s="8" t="str">
        <f>IF(meta_Columns[[#This Row],[Referenced Table:src]]="","",INDEX(meta_Tables[Instances Class],MATCH(meta_Columns[[#This Row],[Referenced Table:src]],meta_Tables[ID],0)))</f>
        <v/>
      </c>
      <c r="Q2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0" s="8"/>
      <c r="S260" s="22" t="str">
        <f xml:space="preserve"> IF( TRIM( meta_Columns[[#This Row],[Property:src]] ) = "", "",
        INDEX( meta_TypedModelElements[Display Qualified], MATCH( meta_Columns[[#This Row],[Property:src]], meta_TypedModelElements[ID], 0 ) ) )</f>
        <v/>
      </c>
      <c r="T260" s="22"/>
      <c r="U260" s="8" t="e">
        <f>INDEX(meta_Classifiers[Class - Generalization:src], MATCH(meta_Columns[[#This Row],[Generalization 5]],meta_Classifiers[ID],0))</f>
        <v>#N/A</v>
      </c>
      <c r="V260" s="8" t="e">
        <f>INDEX(meta_Classifiers[Class - Generalization:src], MATCH(meta_Columns[[#This Row],[Generalization 4]],meta_Classifiers[ID],0))</f>
        <v>#N/A</v>
      </c>
      <c r="W260" s="8" t="e">
        <f>INDEX(meta_Classifiers[Class - Generalization:src], MATCH(meta_Columns[[#This Row],[Generalization 3]],meta_Classifiers[ID],0))</f>
        <v>#N/A</v>
      </c>
      <c r="X260" s="8" t="str">
        <f>INDEX(meta_Classifiers[Class - Generalization:src], MATCH(meta_Columns[[#This Row],[Generalization 2]],meta_Classifiers[ID],0))</f>
        <v/>
      </c>
      <c r="Y260" s="8" t="str">
        <f>INDEX(meta_Classifiers[Class - Generalization:src], MATCH(meta_Columns[[#This Row],[Generalization 1]],meta_Classifiers[ID],0))</f>
        <v>_Object</v>
      </c>
      <c r="Z260" s="8" t="str">
        <f>INDEX(meta_Classifiers[Class - Generalization:src], MATCH(meta_Columns[[#This Row],[Owning Table Instances Class]],meta_Classifiers[ID],0))</f>
        <v>_NamedElement</v>
      </c>
      <c r="AA2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0" s="8" t="b">
        <f>_xlfn.IFNA(
INDEX(meta_Classifiers[Class - Generalization:src],MATCH(
INDEX(meta_Classifiers[Class - Generalization:src],MATCH(meta_Columns[[#This Row],[Property Owning Class]],meta_Classifiers[ID],0)),meta_Classifiers[ID],0))
=meta_Columns[[#This Row],[Owning Table Instances Class]],FALSE)</f>
        <v>0</v>
      </c>
      <c r="AG260" s="8" t="b">
        <f>_xlfn.IFNA(INDEX(meta_Classifiers[Class - Generalization:src],MATCH(meta_Columns[[#This Row],[Property Owning Class]],meta_Classifiers[ID],0))=meta_Columns[[#This Row],[Owning Table Instances Class]],FALSE)</f>
        <v>0</v>
      </c>
      <c r="AH2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0" s="8" t="e">
        <f>INDEX(meta_Classifiers[Name],MATCH(INDEX(meta_TypedModelElements[Property - Owning Class:src],MATCH(meta_Columns[[#This Row],[Property]],meta_TypedModelElements[ID],0)),meta_Classifiers[ID],0))</f>
        <v>#N/A</v>
      </c>
      <c r="AJ260" s="8" t="e">
        <f>INDEX(meta_TypedModelElements[Property - Owning Class:src],MATCH(meta_Columns[[#This Row],[Property]],meta_TypedModelElements[ID],0))</f>
        <v>#N/A</v>
      </c>
      <c r="AK260" s="8" t="e">
        <f>INDEX(meta_TypedModelElements[Kind:src],MATCH(meta_Columns[[#This Row],[Property]],meta_TypedModelElements[ID],0))</f>
        <v>#N/A</v>
      </c>
      <c r="AL260" s="8" t="e">
        <f>INDEX(meta_TypedModelElements[Name or Type],MATCH(meta_Columns[[#This Row],[Property]],meta_TypedModelElements[ID],0))</f>
        <v>#N/A</v>
      </c>
      <c r="AM260" s="8" t="e">
        <f>INDEX(meta_TypedModelElements[Property - Changeable],MATCH(meta_Columns[[#This Row],[Property]],meta_TypedModelElements[ID],0))</f>
        <v>#N/A</v>
      </c>
      <c r="AN260" s="43">
        <v>70</v>
      </c>
      <c r="AO260" s="22"/>
      <c r="AP2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0" s="8" t="str">
        <f xml:space="preserve"> IF(meta_Columns[[#This Row],[Property Owning Class is Specialization of Instance Class]],meta_Columns[[#This Row],[Property Owning Class Name]]&amp;" - ","")</f>
        <v/>
      </c>
      <c r="AR2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0" s="8" t="str">
        <f>IFERROR(LEFT(meta_Columns[[#This Row],[Excel Column - Label Actual without Semantic Case]],FIND("-",
meta_Columns[[#This Row],[Excel Column - Label Actual without Semantic Case]])-2),"")</f>
        <v/>
      </c>
      <c r="AU2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2:display:q.</v>
      </c>
      <c r="AX260" s="22"/>
      <c r="AY260" s="8" t="str">
        <f>meta_Columns[[#This Row],[Owning Table]]&amp;"."&amp;meta_Columns[[#This Row],[Excel Column - Label]]</f>
        <v>meta::Rules.Property 1 Super Class 2:display:q.</v>
      </c>
      <c r="AZ260" s="43" t="s">
        <v>344</v>
      </c>
      <c r="BA260" s="44" t="str">
        <f>IF(TRIM(meta_Columns[[#This Row],[Excel Column - Label Overwrite]])&lt;&gt;"",meta_Columns[[#This Row],[Excel Column - Label Overwrite]],meta_Columns[[#This Row],[Excel Column - Label from Property or Referenced Table]])</f>
        <v>Property 1 Super Class 2:display:q.</v>
      </c>
      <c r="BB260" s="43" t="s">
        <v>976</v>
      </c>
      <c r="BC260" s="44" t="str">
        <f>IF(meta_Columns[[#This Row],[Excel Column - Explicit Excel Formula]]="","",meta_Columns[[#This Row],[Excel Column - Explicit Excel Formula]])</f>
        <v>Formula:=IFNA(INDEX(meta_Classifiers[Display Qualified],MATCH([@[Property 1 Super Class 2]],meta_Classifiers[ID],0))&amp;".","")</v>
      </c>
      <c r="BD260" s="5"/>
      <c r="BE260" s="5"/>
    </row>
    <row r="261" spans="1:57">
      <c r="A261" s="10" t="s">
        <v>1225</v>
      </c>
      <c r="B261" s="5" t="s">
        <v>546</v>
      </c>
      <c r="C261" s="22" t="str">
        <f xml:space="preserve"> IF( TRIM( meta_Columns[[#This Row],[Kind:src]] ) = "", "",
        INDEX( meta_Classifiers[Display Qualified], MATCH( meta_Columns[[#This Row],[Kind:src]], meta_Classifiers[ID], 0 ) ) )</f>
        <v>ExcelColumn</v>
      </c>
      <c r="D261" s="44" t="str">
        <f>IF(meta_Columns[[#This Row],[Owning Table:src]]="","",INDEX(meta_Classifiers[Package],MATCH(meta_Columns[[#This Row],[Owning Table Instances Class]],meta_Classifiers[ID],0)))</f>
        <v>meta</v>
      </c>
      <c r="E261" s="43"/>
      <c r="F261" s="44" t="str">
        <f>INDEX(meta_Tables[Excel Table - Excel Name],MATCH(meta_Columns[[#This Row],[Owning Table:src]],meta_Tables[ID],0))</f>
        <v>meta_Rules</v>
      </c>
      <c r="G261" s="44" t="str">
        <f>INDEX(meta_Tables[Instances Class:src],MATCH(meta_Columns[[#This Row],[Owning Table:src]],meta_Tables[ID],0))</f>
        <v>_Rule</v>
      </c>
      <c r="H261" s="11" t="s">
        <v>1014</v>
      </c>
      <c r="I261" s="43" t="str">
        <f xml:space="preserve"> IF( TRIM( meta_Columns[[#This Row],[Owning Table:src]] ) = "", "",
        INDEX( meta_Tables[Display Qualified], MATCH( meta_Columns[[#This Row],[Owning Table:src]], meta_Tables[ID], 0 ) ) )</f>
        <v>meta::Rules</v>
      </c>
      <c r="K261" s="22" t="str">
        <f>IF(TRIM(meta_Columns[[#This Row],[Referenced Table:src]])="","",
    INDEX(meta_Tables[Display Qualified],MATCH(meta_Columns[[#This Row],[Referenced Table:src]],meta_Tables[ID],0)))</f>
        <v/>
      </c>
      <c r="L261" s="8"/>
      <c r="M261" s="22"/>
      <c r="N261" s="8" t="str">
        <f>IF(meta_Columns[[#This Row],[Excel Column - Excel Formula]]="","x","")</f>
        <v/>
      </c>
      <c r="O261" s="22"/>
      <c r="P261" s="8" t="str">
        <f>IF(meta_Columns[[#This Row],[Referenced Table:src]]="","",INDEX(meta_Tables[Instances Class],MATCH(meta_Columns[[#This Row],[Referenced Table:src]],meta_Tables[ID],0)))</f>
        <v/>
      </c>
      <c r="Q2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1" s="8"/>
      <c r="S261" s="22" t="str">
        <f xml:space="preserve"> IF( TRIM( meta_Columns[[#This Row],[Property:src]] ) = "", "",
        INDEX( meta_TypedModelElements[Display Qualified], MATCH( meta_Columns[[#This Row],[Property:src]], meta_TypedModelElements[ID], 0 ) ) )</f>
        <v/>
      </c>
      <c r="T261" s="22"/>
      <c r="U261" s="8" t="e">
        <f>INDEX(meta_Classifiers[Class - Generalization:src], MATCH(meta_Columns[[#This Row],[Generalization 5]],meta_Classifiers[ID],0))</f>
        <v>#N/A</v>
      </c>
      <c r="V261" s="8" t="e">
        <f>INDEX(meta_Classifiers[Class - Generalization:src], MATCH(meta_Columns[[#This Row],[Generalization 4]],meta_Classifiers[ID],0))</f>
        <v>#N/A</v>
      </c>
      <c r="W261" s="8" t="e">
        <f>INDEX(meta_Classifiers[Class - Generalization:src], MATCH(meta_Columns[[#This Row],[Generalization 3]],meta_Classifiers[ID],0))</f>
        <v>#N/A</v>
      </c>
      <c r="X261" s="8" t="str">
        <f>INDEX(meta_Classifiers[Class - Generalization:src], MATCH(meta_Columns[[#This Row],[Generalization 2]],meta_Classifiers[ID],0))</f>
        <v/>
      </c>
      <c r="Y261" s="8" t="str">
        <f>INDEX(meta_Classifiers[Class - Generalization:src], MATCH(meta_Columns[[#This Row],[Generalization 1]],meta_Classifiers[ID],0))</f>
        <v>_Object</v>
      </c>
      <c r="Z261" s="8" t="str">
        <f>INDEX(meta_Classifiers[Class - Generalization:src], MATCH(meta_Columns[[#This Row],[Owning Table Instances Class]],meta_Classifiers[ID],0))</f>
        <v>_NamedElement</v>
      </c>
      <c r="AA2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1" s="8" t="b">
        <f>_xlfn.IFNA(
INDEX(meta_Classifiers[Class - Generalization:src],MATCH(
INDEX(meta_Classifiers[Class - Generalization:src],MATCH(meta_Columns[[#This Row],[Property Owning Class]],meta_Classifiers[ID],0)),meta_Classifiers[ID],0))
=meta_Columns[[#This Row],[Owning Table Instances Class]],FALSE)</f>
        <v>0</v>
      </c>
      <c r="AG261" s="8" t="b">
        <f>_xlfn.IFNA(INDEX(meta_Classifiers[Class - Generalization:src],MATCH(meta_Columns[[#This Row],[Property Owning Class]],meta_Classifiers[ID],0))=meta_Columns[[#This Row],[Owning Table Instances Class]],FALSE)</f>
        <v>0</v>
      </c>
      <c r="AH2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1" s="8" t="e">
        <f>INDEX(meta_Classifiers[Name],MATCH(INDEX(meta_TypedModelElements[Property - Owning Class:src],MATCH(meta_Columns[[#This Row],[Property]],meta_TypedModelElements[ID],0)),meta_Classifiers[ID],0))</f>
        <v>#N/A</v>
      </c>
      <c r="AJ261" s="8" t="e">
        <f>INDEX(meta_TypedModelElements[Property - Owning Class:src],MATCH(meta_Columns[[#This Row],[Property]],meta_TypedModelElements[ID],0))</f>
        <v>#N/A</v>
      </c>
      <c r="AK261" s="8" t="e">
        <f>INDEX(meta_TypedModelElements[Kind:src],MATCH(meta_Columns[[#This Row],[Property]],meta_TypedModelElements[ID],0))</f>
        <v>#N/A</v>
      </c>
      <c r="AL261" s="8" t="e">
        <f>INDEX(meta_TypedModelElements[Name or Type],MATCH(meta_Columns[[#This Row],[Property]],meta_TypedModelElements[ID],0))</f>
        <v>#N/A</v>
      </c>
      <c r="AM261" s="8" t="e">
        <f>INDEX(meta_TypedModelElements[Property - Changeable],MATCH(meta_Columns[[#This Row],[Property]],meta_TypedModelElements[ID],0))</f>
        <v>#N/A</v>
      </c>
      <c r="AN261" s="43">
        <v>71</v>
      </c>
      <c r="AO261" s="22"/>
      <c r="AP2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1" s="8" t="str">
        <f xml:space="preserve"> IF(meta_Columns[[#This Row],[Property Owning Class is Specialization of Instance Class]],meta_Columns[[#This Row],[Property Owning Class Name]]&amp;" - ","")</f>
        <v/>
      </c>
      <c r="AR2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1" s="8" t="str">
        <f>IFERROR(LEFT(meta_Columns[[#This Row],[Excel Column - Label Actual without Semantic Case]],FIND("-",
meta_Columns[[#This Row],[Excel Column - Label Actual without Semantic Case]])-2),"")</f>
        <v/>
      </c>
      <c r="AU2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v>
      </c>
      <c r="AX261" s="22"/>
      <c r="AY261" s="8" t="str">
        <f>meta_Columns[[#This Row],[Owning Table]]&amp;"."&amp;meta_Columns[[#This Row],[Excel Column - Label]]</f>
        <v>meta::Rules.Property 1 Super Class 2</v>
      </c>
      <c r="AZ261" s="43" t="s">
        <v>345</v>
      </c>
      <c r="BA261" s="44" t="str">
        <f>IF(TRIM(meta_Columns[[#This Row],[Excel Column - Label Overwrite]])&lt;&gt;"",meta_Columns[[#This Row],[Excel Column - Label Overwrite]],meta_Columns[[#This Row],[Excel Column - Label from Property or Referenced Table]])</f>
        <v>Property 1 Super Class 2</v>
      </c>
      <c r="BB261" s="43" t="s">
        <v>1546</v>
      </c>
      <c r="BC261" s="44" t="str">
        <f>IF(meta_Columns[[#This Row],[Excel Column - Explicit Excel Formula]]="","",meta_Columns[[#This Row],[Excel Column - Explicit Excel Formula]])</f>
        <v>Formula:=IFNA(INDEX(#REF!,MATCH([@[Property 1 Super Class 1]],meta_Classifiers[ID],0)),0)</v>
      </c>
      <c r="BD261" s="5"/>
      <c r="BE261" s="5"/>
    </row>
    <row r="262" spans="1:57">
      <c r="A262" s="10" t="s">
        <v>1226</v>
      </c>
      <c r="B262" s="5" t="s">
        <v>546</v>
      </c>
      <c r="C262" s="22" t="str">
        <f xml:space="preserve"> IF( TRIM( meta_Columns[[#This Row],[Kind:src]] ) = "", "",
        INDEX( meta_Classifiers[Display Qualified], MATCH( meta_Columns[[#This Row],[Kind:src]], meta_Classifiers[ID], 0 ) ) )</f>
        <v>ExcelColumn</v>
      </c>
      <c r="D262" s="44" t="str">
        <f>IF(meta_Columns[[#This Row],[Owning Table:src]]="","",INDEX(meta_Classifiers[Package],MATCH(meta_Columns[[#This Row],[Owning Table Instances Class]],meta_Classifiers[ID],0)))</f>
        <v>meta</v>
      </c>
      <c r="E262" s="43"/>
      <c r="F262" s="44" t="str">
        <f>INDEX(meta_Tables[Excel Table - Excel Name],MATCH(meta_Columns[[#This Row],[Owning Table:src]],meta_Tables[ID],0))</f>
        <v>meta_Rules</v>
      </c>
      <c r="G262" s="44" t="str">
        <f>INDEX(meta_Tables[Instances Class:src],MATCH(meta_Columns[[#This Row],[Owning Table:src]],meta_Tables[ID],0))</f>
        <v>_Rule</v>
      </c>
      <c r="H262" s="11" t="s">
        <v>1014</v>
      </c>
      <c r="I262" s="43" t="str">
        <f xml:space="preserve"> IF( TRIM( meta_Columns[[#This Row],[Owning Table:src]] ) = "", "",
        INDEX( meta_Tables[Display Qualified], MATCH( meta_Columns[[#This Row],[Owning Table:src]], meta_Tables[ID], 0 ) ) )</f>
        <v>meta::Rules</v>
      </c>
      <c r="K262" s="22" t="str">
        <f>IF(TRIM(meta_Columns[[#This Row],[Referenced Table:src]])="","",
    INDEX(meta_Tables[Display Qualified],MATCH(meta_Columns[[#This Row],[Referenced Table:src]],meta_Tables[ID],0)))</f>
        <v/>
      </c>
      <c r="L262" s="8"/>
      <c r="M262" s="22"/>
      <c r="N262" s="8" t="str">
        <f>IF(meta_Columns[[#This Row],[Excel Column - Excel Formula]]="","x","")</f>
        <v/>
      </c>
      <c r="O262" s="22"/>
      <c r="P262" s="8" t="str">
        <f>IF(meta_Columns[[#This Row],[Referenced Table:src]]="","",INDEX(meta_Tables[Instances Class],MATCH(meta_Columns[[#This Row],[Referenced Table:src]],meta_Tables[ID],0)))</f>
        <v/>
      </c>
      <c r="Q2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2" s="8"/>
      <c r="S262" s="22" t="str">
        <f xml:space="preserve"> IF( TRIM( meta_Columns[[#This Row],[Property:src]] ) = "", "",
        INDEX( meta_TypedModelElements[Display Qualified], MATCH( meta_Columns[[#This Row],[Property:src]], meta_TypedModelElements[ID], 0 ) ) )</f>
        <v/>
      </c>
      <c r="T262" s="22"/>
      <c r="U262" s="8" t="e">
        <f>INDEX(meta_Classifiers[Class - Generalization:src], MATCH(meta_Columns[[#This Row],[Generalization 5]],meta_Classifiers[ID],0))</f>
        <v>#N/A</v>
      </c>
      <c r="V262" s="8" t="e">
        <f>INDEX(meta_Classifiers[Class - Generalization:src], MATCH(meta_Columns[[#This Row],[Generalization 4]],meta_Classifiers[ID],0))</f>
        <v>#N/A</v>
      </c>
      <c r="W262" s="8" t="e">
        <f>INDEX(meta_Classifiers[Class - Generalization:src], MATCH(meta_Columns[[#This Row],[Generalization 3]],meta_Classifiers[ID],0))</f>
        <v>#N/A</v>
      </c>
      <c r="X262" s="8" t="str">
        <f>INDEX(meta_Classifiers[Class - Generalization:src], MATCH(meta_Columns[[#This Row],[Generalization 2]],meta_Classifiers[ID],0))</f>
        <v/>
      </c>
      <c r="Y262" s="8" t="str">
        <f>INDEX(meta_Classifiers[Class - Generalization:src], MATCH(meta_Columns[[#This Row],[Generalization 1]],meta_Classifiers[ID],0))</f>
        <v>_Object</v>
      </c>
      <c r="Z262" s="8" t="str">
        <f>INDEX(meta_Classifiers[Class - Generalization:src], MATCH(meta_Columns[[#This Row],[Owning Table Instances Class]],meta_Classifiers[ID],0))</f>
        <v>_NamedElement</v>
      </c>
      <c r="AA2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2" s="8" t="b">
        <f>_xlfn.IFNA(
INDEX(meta_Classifiers[Class - Generalization:src],MATCH(
INDEX(meta_Classifiers[Class - Generalization:src],MATCH(meta_Columns[[#This Row],[Property Owning Class]],meta_Classifiers[ID],0)),meta_Classifiers[ID],0))
=meta_Columns[[#This Row],[Owning Table Instances Class]],FALSE)</f>
        <v>0</v>
      </c>
      <c r="AG262" s="8" t="b">
        <f>_xlfn.IFNA(INDEX(meta_Classifiers[Class - Generalization:src],MATCH(meta_Columns[[#This Row],[Property Owning Class]],meta_Classifiers[ID],0))=meta_Columns[[#This Row],[Owning Table Instances Class]],FALSE)</f>
        <v>0</v>
      </c>
      <c r="AH2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2" s="8" t="e">
        <f>INDEX(meta_Classifiers[Name],MATCH(INDEX(meta_TypedModelElements[Property - Owning Class:src],MATCH(meta_Columns[[#This Row],[Property]],meta_TypedModelElements[ID],0)),meta_Classifiers[ID],0))</f>
        <v>#N/A</v>
      </c>
      <c r="AJ262" s="8" t="e">
        <f>INDEX(meta_TypedModelElements[Property - Owning Class:src],MATCH(meta_Columns[[#This Row],[Property]],meta_TypedModelElements[ID],0))</f>
        <v>#N/A</v>
      </c>
      <c r="AK262" s="8" t="e">
        <f>INDEX(meta_TypedModelElements[Kind:src],MATCH(meta_Columns[[#This Row],[Property]],meta_TypedModelElements[ID],0))</f>
        <v>#N/A</v>
      </c>
      <c r="AL262" s="8" t="e">
        <f>INDEX(meta_TypedModelElements[Name or Type],MATCH(meta_Columns[[#This Row],[Property]],meta_TypedModelElements[ID],0))</f>
        <v>#N/A</v>
      </c>
      <c r="AM262" s="8" t="e">
        <f>INDEX(meta_TypedModelElements[Property - Changeable],MATCH(meta_Columns[[#This Row],[Property]],meta_TypedModelElements[ID],0))</f>
        <v>#N/A</v>
      </c>
      <c r="AN262" s="43">
        <v>72</v>
      </c>
      <c r="AO262" s="22"/>
      <c r="AP2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2" s="8" t="str">
        <f xml:space="preserve"> IF(meta_Columns[[#This Row],[Property Owning Class is Specialization of Instance Class]],meta_Columns[[#This Row],[Property Owning Class Name]]&amp;" - ","")</f>
        <v/>
      </c>
      <c r="AR2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2" s="8" t="str">
        <f>IFERROR(LEFT(meta_Columns[[#This Row],[Excel Column - Label Actual without Semantic Case]],FIND("-",
meta_Columns[[#This Row],[Excel Column - Label Actual without Semantic Case]])-2),"")</f>
        <v/>
      </c>
      <c r="AU2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1:display:q.</v>
      </c>
      <c r="AX262" s="22"/>
      <c r="AY262" s="8" t="str">
        <f>meta_Columns[[#This Row],[Owning Table]]&amp;"."&amp;meta_Columns[[#This Row],[Excel Column - Label]]</f>
        <v>meta::Rules.Property 1 Super Class 1:display:q.</v>
      </c>
      <c r="AZ262" s="43" t="s">
        <v>346</v>
      </c>
      <c r="BA262" s="44" t="str">
        <f>IF(TRIM(meta_Columns[[#This Row],[Excel Column - Label Overwrite]])&lt;&gt;"",meta_Columns[[#This Row],[Excel Column - Label Overwrite]],meta_Columns[[#This Row],[Excel Column - Label from Property or Referenced Table]])</f>
        <v>Property 1 Super Class 1:display:q.</v>
      </c>
      <c r="BB262" s="43" t="s">
        <v>977</v>
      </c>
      <c r="BC262" s="44" t="str">
        <f>IF(meta_Columns[[#This Row],[Excel Column - Explicit Excel Formula]]="","",meta_Columns[[#This Row],[Excel Column - Explicit Excel Formula]])</f>
        <v>Formula:=IFNA(INDEX(meta_Classifiers[Display Qualified],MATCH([@[Property 1 Super Class 1]],meta_Classifiers[ID],0))&amp;".","")</v>
      </c>
      <c r="BD262" s="5"/>
      <c r="BE262" s="5"/>
    </row>
    <row r="263" spans="1:57">
      <c r="A263" s="10" t="s">
        <v>1227</v>
      </c>
      <c r="B263" s="5" t="s">
        <v>546</v>
      </c>
      <c r="C263" s="22" t="str">
        <f xml:space="preserve"> IF( TRIM( meta_Columns[[#This Row],[Kind:src]] ) = "", "",
        INDEX( meta_Classifiers[Display Qualified], MATCH( meta_Columns[[#This Row],[Kind:src]], meta_Classifiers[ID], 0 ) ) )</f>
        <v>ExcelColumn</v>
      </c>
      <c r="D263" s="44" t="str">
        <f>IF(meta_Columns[[#This Row],[Owning Table:src]]="","",INDEX(meta_Classifiers[Package],MATCH(meta_Columns[[#This Row],[Owning Table Instances Class]],meta_Classifiers[ID],0)))</f>
        <v>meta</v>
      </c>
      <c r="E263" s="43"/>
      <c r="F263" s="44" t="str">
        <f>INDEX(meta_Tables[Excel Table - Excel Name],MATCH(meta_Columns[[#This Row],[Owning Table:src]],meta_Tables[ID],0))</f>
        <v>meta_Rules</v>
      </c>
      <c r="G263" s="44" t="str">
        <f>INDEX(meta_Tables[Instances Class:src],MATCH(meta_Columns[[#This Row],[Owning Table:src]],meta_Tables[ID],0))</f>
        <v>_Rule</v>
      </c>
      <c r="H263" s="11" t="s">
        <v>1014</v>
      </c>
      <c r="I263" s="43" t="str">
        <f xml:space="preserve"> IF( TRIM( meta_Columns[[#This Row],[Owning Table:src]] ) = "", "",
        INDEX( meta_Tables[Display Qualified], MATCH( meta_Columns[[#This Row],[Owning Table:src]], meta_Tables[ID], 0 ) ) )</f>
        <v>meta::Rules</v>
      </c>
      <c r="K263" s="22" t="str">
        <f>IF(TRIM(meta_Columns[[#This Row],[Referenced Table:src]])="","",
    INDEX(meta_Tables[Display Qualified],MATCH(meta_Columns[[#This Row],[Referenced Table:src]],meta_Tables[ID],0)))</f>
        <v/>
      </c>
      <c r="L263" s="8"/>
      <c r="M263" s="22"/>
      <c r="N263" s="8" t="str">
        <f>IF(meta_Columns[[#This Row],[Excel Column - Excel Formula]]="","x","")</f>
        <v/>
      </c>
      <c r="O263" s="22"/>
      <c r="P263" s="8" t="str">
        <f>IF(meta_Columns[[#This Row],[Referenced Table:src]]="","",INDEX(meta_Tables[Instances Class],MATCH(meta_Columns[[#This Row],[Referenced Table:src]],meta_Tables[ID],0)))</f>
        <v/>
      </c>
      <c r="Q2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3" s="8"/>
      <c r="S263" s="22" t="str">
        <f xml:space="preserve"> IF( TRIM( meta_Columns[[#This Row],[Property:src]] ) = "", "",
        INDEX( meta_TypedModelElements[Display Qualified], MATCH( meta_Columns[[#This Row],[Property:src]], meta_TypedModelElements[ID], 0 ) ) )</f>
        <v/>
      </c>
      <c r="T263" s="22"/>
      <c r="U263" s="8" t="e">
        <f>INDEX(meta_Classifiers[Class - Generalization:src], MATCH(meta_Columns[[#This Row],[Generalization 5]],meta_Classifiers[ID],0))</f>
        <v>#N/A</v>
      </c>
      <c r="V263" s="8" t="e">
        <f>INDEX(meta_Classifiers[Class - Generalization:src], MATCH(meta_Columns[[#This Row],[Generalization 4]],meta_Classifiers[ID],0))</f>
        <v>#N/A</v>
      </c>
      <c r="W263" s="8" t="e">
        <f>INDEX(meta_Classifiers[Class - Generalization:src], MATCH(meta_Columns[[#This Row],[Generalization 3]],meta_Classifiers[ID],0))</f>
        <v>#N/A</v>
      </c>
      <c r="X263" s="8" t="str">
        <f>INDEX(meta_Classifiers[Class - Generalization:src], MATCH(meta_Columns[[#This Row],[Generalization 2]],meta_Classifiers[ID],0))</f>
        <v/>
      </c>
      <c r="Y263" s="8" t="str">
        <f>INDEX(meta_Classifiers[Class - Generalization:src], MATCH(meta_Columns[[#This Row],[Generalization 1]],meta_Classifiers[ID],0))</f>
        <v>_Object</v>
      </c>
      <c r="Z263" s="8" t="str">
        <f>INDEX(meta_Classifiers[Class - Generalization:src], MATCH(meta_Columns[[#This Row],[Owning Table Instances Class]],meta_Classifiers[ID],0))</f>
        <v>_NamedElement</v>
      </c>
      <c r="AA2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3" s="8" t="b">
        <f>_xlfn.IFNA(
INDEX(meta_Classifiers[Class - Generalization:src],MATCH(
INDEX(meta_Classifiers[Class - Generalization:src],MATCH(meta_Columns[[#This Row],[Property Owning Class]],meta_Classifiers[ID],0)),meta_Classifiers[ID],0))
=meta_Columns[[#This Row],[Owning Table Instances Class]],FALSE)</f>
        <v>0</v>
      </c>
      <c r="AG263" s="8" t="b">
        <f>_xlfn.IFNA(INDEX(meta_Classifiers[Class - Generalization:src],MATCH(meta_Columns[[#This Row],[Property Owning Class]],meta_Classifiers[ID],0))=meta_Columns[[#This Row],[Owning Table Instances Class]],FALSE)</f>
        <v>0</v>
      </c>
      <c r="AH2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3" s="8" t="e">
        <f>INDEX(meta_Classifiers[Name],MATCH(INDEX(meta_TypedModelElements[Property - Owning Class:src],MATCH(meta_Columns[[#This Row],[Property]],meta_TypedModelElements[ID],0)),meta_Classifiers[ID],0))</f>
        <v>#N/A</v>
      </c>
      <c r="AJ263" s="8" t="e">
        <f>INDEX(meta_TypedModelElements[Property - Owning Class:src],MATCH(meta_Columns[[#This Row],[Property]],meta_TypedModelElements[ID],0))</f>
        <v>#N/A</v>
      </c>
      <c r="AK263" s="8" t="e">
        <f>INDEX(meta_TypedModelElements[Kind:src],MATCH(meta_Columns[[#This Row],[Property]],meta_TypedModelElements[ID],0))</f>
        <v>#N/A</v>
      </c>
      <c r="AL263" s="8" t="e">
        <f>INDEX(meta_TypedModelElements[Name or Type],MATCH(meta_Columns[[#This Row],[Property]],meta_TypedModelElements[ID],0))</f>
        <v>#N/A</v>
      </c>
      <c r="AM263" s="8" t="e">
        <f>INDEX(meta_TypedModelElements[Property - Changeable],MATCH(meta_Columns[[#This Row],[Property]],meta_TypedModelElements[ID],0))</f>
        <v>#N/A</v>
      </c>
      <c r="AN263" s="43">
        <v>73</v>
      </c>
      <c r="AO263" s="22"/>
      <c r="AP2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3" s="8" t="str">
        <f xml:space="preserve"> IF(meta_Columns[[#This Row],[Property Owning Class is Specialization of Instance Class]],meta_Columns[[#This Row],[Property Owning Class Name]]&amp;" - ","")</f>
        <v/>
      </c>
      <c r="AR2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3" s="8" t="str">
        <f>IFERROR(LEFT(meta_Columns[[#This Row],[Excel Column - Label Actual without Semantic Case]],FIND("-",
meta_Columns[[#This Row],[Excel Column - Label Actual without Semantic Case]])-2),"")</f>
        <v/>
      </c>
      <c r="AU2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v>
      </c>
      <c r="AX263" s="22"/>
      <c r="AY263" s="8" t="str">
        <f>meta_Columns[[#This Row],[Owning Table]]&amp;"."&amp;meta_Columns[[#This Row],[Excel Column - Label]]</f>
        <v>meta::Rules.Property 1 Super Class 1</v>
      </c>
      <c r="AZ263" s="43" t="s">
        <v>347</v>
      </c>
      <c r="BA263" s="44" t="str">
        <f>IF(TRIM(meta_Columns[[#This Row],[Excel Column - Label Overwrite]])&lt;&gt;"",meta_Columns[[#This Row],[Excel Column - Label Overwrite]],meta_Columns[[#This Row],[Excel Column - Label from Property or Referenced Table]])</f>
        <v>Property 1 Super Class 1</v>
      </c>
      <c r="BB263" s="43" t="s">
        <v>1547</v>
      </c>
      <c r="BC263" s="44" t="str">
        <f>IF(meta_Columns[[#This Row],[Excel Column - Explicit Excel Formula]]="","",meta_Columns[[#This Row],[Excel Column - Explicit Excel Formula]])</f>
        <v>Formula:=IFNA(INDEX(#REF!,MATCH([@[Property 1 Type]],meta_Classifiers[ID],0)),0)</v>
      </c>
      <c r="BD263" s="5"/>
      <c r="BE263" s="5"/>
    </row>
    <row r="264" spans="1:57">
      <c r="A264" s="10" t="s">
        <v>1228</v>
      </c>
      <c r="B264" s="5" t="s">
        <v>546</v>
      </c>
      <c r="C264" s="22" t="str">
        <f xml:space="preserve"> IF( TRIM( meta_Columns[[#This Row],[Kind:src]] ) = "", "",
        INDEX( meta_Classifiers[Display Qualified], MATCH( meta_Columns[[#This Row],[Kind:src]], meta_Classifiers[ID], 0 ) ) )</f>
        <v>ExcelColumn</v>
      </c>
      <c r="D264" s="44" t="str">
        <f>IF(meta_Columns[[#This Row],[Owning Table:src]]="","",INDEX(meta_Classifiers[Package],MATCH(meta_Columns[[#This Row],[Owning Table Instances Class]],meta_Classifiers[ID],0)))</f>
        <v>meta</v>
      </c>
      <c r="E264" s="43"/>
      <c r="F264" s="44" t="str">
        <f>INDEX(meta_Tables[Excel Table - Excel Name],MATCH(meta_Columns[[#This Row],[Owning Table:src]],meta_Tables[ID],0))</f>
        <v>meta_Rules</v>
      </c>
      <c r="G264" s="44" t="str">
        <f>INDEX(meta_Tables[Instances Class:src],MATCH(meta_Columns[[#This Row],[Owning Table:src]],meta_Tables[ID],0))</f>
        <v>_Rule</v>
      </c>
      <c r="H264" s="11" t="s">
        <v>1014</v>
      </c>
      <c r="I264" s="43" t="str">
        <f xml:space="preserve"> IF( TRIM( meta_Columns[[#This Row],[Owning Table:src]] ) = "", "",
        INDEX( meta_Tables[Display Qualified], MATCH( meta_Columns[[#This Row],[Owning Table:src]], meta_Tables[ID], 0 ) ) )</f>
        <v>meta::Rules</v>
      </c>
      <c r="K264" s="22" t="str">
        <f>IF(TRIM(meta_Columns[[#This Row],[Referenced Table:src]])="","",
    INDEX(meta_Tables[Display Qualified],MATCH(meta_Columns[[#This Row],[Referenced Table:src]],meta_Tables[ID],0)))</f>
        <v/>
      </c>
      <c r="L264" s="8"/>
      <c r="M264" s="22"/>
      <c r="N264" s="8" t="str">
        <f>IF(meta_Columns[[#This Row],[Excel Column - Excel Formula]]="","x","")</f>
        <v/>
      </c>
      <c r="O264" s="22"/>
      <c r="P264" s="8" t="str">
        <f>IF(meta_Columns[[#This Row],[Referenced Table:src]]="","",INDEX(meta_Tables[Instances Class],MATCH(meta_Columns[[#This Row],[Referenced Table:src]],meta_Tables[ID],0)))</f>
        <v/>
      </c>
      <c r="Q2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meta::Rule.property1Class</v>
      </c>
      <c r="R264" s="8"/>
      <c r="S264" s="22" t="str">
        <f xml:space="preserve"> IF( TRIM( meta_Columns[[#This Row],[Property:src]] ) = "", "",
        INDEX( meta_TypedModelElements[Display Qualified], MATCH( meta_Columns[[#This Row],[Property:src]], meta_TypedModelElements[ID], 0 ) ) )</f>
        <v/>
      </c>
      <c r="T264" s="22"/>
      <c r="U264" s="8" t="e">
        <f>INDEX(meta_Classifiers[Class - Generalization:src], MATCH(meta_Columns[[#This Row],[Generalization 5]],meta_Classifiers[ID],0))</f>
        <v>#N/A</v>
      </c>
      <c r="V264" s="8" t="e">
        <f>INDEX(meta_Classifiers[Class - Generalization:src], MATCH(meta_Columns[[#This Row],[Generalization 4]],meta_Classifiers[ID],0))</f>
        <v>#N/A</v>
      </c>
      <c r="W264" s="8" t="e">
        <f>INDEX(meta_Classifiers[Class - Generalization:src], MATCH(meta_Columns[[#This Row],[Generalization 3]],meta_Classifiers[ID],0))</f>
        <v>#N/A</v>
      </c>
      <c r="X264" s="8" t="str">
        <f>INDEX(meta_Classifiers[Class - Generalization:src], MATCH(meta_Columns[[#This Row],[Generalization 2]],meta_Classifiers[ID],0))</f>
        <v/>
      </c>
      <c r="Y264" s="8" t="str">
        <f>INDEX(meta_Classifiers[Class - Generalization:src], MATCH(meta_Columns[[#This Row],[Generalization 1]],meta_Classifiers[ID],0))</f>
        <v>_Object</v>
      </c>
      <c r="Z264" s="8" t="str">
        <f>INDEX(meta_Classifiers[Class - Generalization:src], MATCH(meta_Columns[[#This Row],[Owning Table Instances Class]],meta_Classifiers[ID],0))</f>
        <v>_NamedElement</v>
      </c>
      <c r="AA2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4" s="8" t="b">
        <f>_xlfn.IFNA(
INDEX(meta_Classifiers[Class - Generalization:src],MATCH(
INDEX(meta_Classifiers[Class - Generalization:src],MATCH(meta_Columns[[#This Row],[Property Owning Class]],meta_Classifiers[ID],0)),meta_Classifiers[ID],0))
=meta_Columns[[#This Row],[Owning Table Instances Class]],FALSE)</f>
        <v>0</v>
      </c>
      <c r="AG264" s="8" t="b">
        <f>_xlfn.IFNA(INDEX(meta_Classifiers[Class - Generalization:src],MATCH(meta_Columns[[#This Row],[Property Owning Class]],meta_Classifiers[ID],0))=meta_Columns[[#This Row],[Owning Table Instances Class]],FALSE)</f>
        <v>0</v>
      </c>
      <c r="AH2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4" s="8" t="e">
        <f>INDEX(meta_Classifiers[Name],MATCH(INDEX(meta_TypedModelElements[Property - Owning Class:src],MATCH(meta_Columns[[#This Row],[Property]],meta_TypedModelElements[ID],0)),meta_Classifiers[ID],0))</f>
        <v>#N/A</v>
      </c>
      <c r="AJ264" s="8" t="e">
        <f>INDEX(meta_TypedModelElements[Property - Owning Class:src],MATCH(meta_Columns[[#This Row],[Property]],meta_TypedModelElements[ID],0))</f>
        <v>#N/A</v>
      </c>
      <c r="AK264" s="8" t="e">
        <f>INDEX(meta_TypedModelElements[Kind:src],MATCH(meta_Columns[[#This Row],[Property]],meta_TypedModelElements[ID],0))</f>
        <v>#N/A</v>
      </c>
      <c r="AL264" s="8" t="e">
        <f>INDEX(meta_TypedModelElements[Name or Type],MATCH(meta_Columns[[#This Row],[Property]],meta_TypedModelElements[ID],0))</f>
        <v>#N/A</v>
      </c>
      <c r="AM264" s="8" t="e">
        <f>INDEX(meta_TypedModelElements[Property - Changeable],MATCH(meta_Columns[[#This Row],[Property]],meta_TypedModelElements[ID],0))</f>
        <v>#N/A</v>
      </c>
      <c r="AN264" s="43">
        <v>74</v>
      </c>
      <c r="AO264" s="22"/>
      <c r="AP2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4" s="8" t="str">
        <f xml:space="preserve"> IF(meta_Columns[[#This Row],[Property Owning Class is Specialization of Instance Class]],meta_Columns[[#This Row],[Property Owning Class Name]]&amp;" - ","")</f>
        <v/>
      </c>
      <c r="AR2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Class</v>
      </c>
      <c r="AT264" s="8" t="str">
        <f>IFERROR(LEFT(meta_Columns[[#This Row],[Excel Column - Label Actual without Semantic Case]],FIND("-",
meta_Columns[[#This Row],[Excel Column - Label Actual without Semantic Case]])-2),"")</f>
        <v/>
      </c>
      <c r="AU2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Class</v>
      </c>
      <c r="AV2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Class:display:q.</v>
      </c>
      <c r="AX264" s="22"/>
      <c r="AY264" s="8" t="str">
        <f>meta_Columns[[#This Row],[Owning Table]]&amp;"."&amp;meta_Columns[[#This Row],[Excel Column - Label]]</f>
        <v>meta::Rules.Property 1 Class:display:q.</v>
      </c>
      <c r="AZ264" s="43" t="s">
        <v>348</v>
      </c>
      <c r="BA264" s="44" t="str">
        <f>IF(TRIM(meta_Columns[[#This Row],[Excel Column - Label Overwrite]])&lt;&gt;"",meta_Columns[[#This Row],[Excel Column - Label Overwrite]],meta_Columns[[#This Row],[Excel Column - Label from Property or Referenced Table]])</f>
        <v>Property 1 Class:display:q.</v>
      </c>
      <c r="BB264" s="43" t="s">
        <v>978</v>
      </c>
      <c r="BC264" s="44" t="str">
        <f>IF(meta_Columns[[#This Row],[Excel Column - Explicit Excel Formula]]="","",meta_Columns[[#This Row],[Excel Column - Explicit Excel Formula]])</f>
        <v>Formula:=IFNA(INDEX(meta_Classifiers[Display Qualified],MATCH([@[Property 1 Type]],meta_Classifiers[ID],0))&amp;".",0)</v>
      </c>
      <c r="BD264" s="5"/>
      <c r="BE264" s="5"/>
    </row>
    <row r="265" spans="1:57">
      <c r="A265" s="10" t="s">
        <v>1229</v>
      </c>
      <c r="B265" s="5" t="s">
        <v>546</v>
      </c>
      <c r="C265" s="22" t="str">
        <f xml:space="preserve"> IF( TRIM( meta_Columns[[#This Row],[Kind:src]] ) = "", "",
        INDEX( meta_Classifiers[Display Qualified], MATCH( meta_Columns[[#This Row],[Kind:src]], meta_Classifiers[ID], 0 ) ) )</f>
        <v>ExcelColumn</v>
      </c>
      <c r="D265" s="44" t="str">
        <f>IF(meta_Columns[[#This Row],[Owning Table:src]]="","",INDEX(meta_Classifiers[Package],MATCH(meta_Columns[[#This Row],[Owning Table Instances Class]],meta_Classifiers[ID],0)))</f>
        <v>meta</v>
      </c>
      <c r="E265" s="43"/>
      <c r="F265" s="44" t="str">
        <f>INDEX(meta_Tables[Excel Table - Excel Name],MATCH(meta_Columns[[#This Row],[Owning Table:src]],meta_Tables[ID],0))</f>
        <v>meta_Rules</v>
      </c>
      <c r="G265" s="44" t="str">
        <f>INDEX(meta_Tables[Instances Class:src],MATCH(meta_Columns[[#This Row],[Owning Table:src]],meta_Tables[ID],0))</f>
        <v>_Rule</v>
      </c>
      <c r="H265" s="11" t="s">
        <v>1014</v>
      </c>
      <c r="I265" s="43" t="str">
        <f xml:space="preserve"> IF( TRIM( meta_Columns[[#This Row],[Owning Table:src]] ) = "", "",
        INDEX( meta_Tables[Display Qualified], MATCH( meta_Columns[[#This Row],[Owning Table:src]], meta_Tables[ID], 0 ) ) )</f>
        <v>meta::Rules</v>
      </c>
      <c r="K265" s="22" t="str">
        <f>IF(TRIM(meta_Columns[[#This Row],[Referenced Table:src]])="","",
    INDEX(meta_Tables[Display Qualified],MATCH(meta_Columns[[#This Row],[Referenced Table:src]],meta_Tables[ID],0)))</f>
        <v/>
      </c>
      <c r="L265" s="8"/>
      <c r="M265" s="22"/>
      <c r="N265" s="8" t="str">
        <f>IF(meta_Columns[[#This Row],[Excel Column - Excel Formula]]="","x","")</f>
        <v/>
      </c>
      <c r="O265" s="22"/>
      <c r="P265" s="8" t="str">
        <f>IF(meta_Columns[[#This Row],[Referenced Table:src]]="","",INDEX(meta_Tables[Instances Class],MATCH(meta_Columns[[#This Row],[Referenced Table:src]],meta_Tables[ID],0)))</f>
        <v/>
      </c>
      <c r="Q2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meta::Rule.property1TypeKind</v>
      </c>
      <c r="R265" s="8"/>
      <c r="S265" s="22" t="str">
        <f xml:space="preserve"> IF( TRIM( meta_Columns[[#This Row],[Property:src]] ) = "", "",
        INDEX( meta_TypedModelElements[Display Qualified], MATCH( meta_Columns[[#This Row],[Property:src]], meta_TypedModelElements[ID], 0 ) ) )</f>
        <v/>
      </c>
      <c r="T265" s="22"/>
      <c r="U265" s="8" t="e">
        <f>INDEX(meta_Classifiers[Class - Generalization:src], MATCH(meta_Columns[[#This Row],[Generalization 5]],meta_Classifiers[ID],0))</f>
        <v>#N/A</v>
      </c>
      <c r="V265" s="8" t="e">
        <f>INDEX(meta_Classifiers[Class - Generalization:src], MATCH(meta_Columns[[#This Row],[Generalization 4]],meta_Classifiers[ID],0))</f>
        <v>#N/A</v>
      </c>
      <c r="W265" s="8" t="e">
        <f>INDEX(meta_Classifiers[Class - Generalization:src], MATCH(meta_Columns[[#This Row],[Generalization 3]],meta_Classifiers[ID],0))</f>
        <v>#N/A</v>
      </c>
      <c r="X265" s="8" t="str">
        <f>INDEX(meta_Classifiers[Class - Generalization:src], MATCH(meta_Columns[[#This Row],[Generalization 2]],meta_Classifiers[ID],0))</f>
        <v/>
      </c>
      <c r="Y265" s="8" t="str">
        <f>INDEX(meta_Classifiers[Class - Generalization:src], MATCH(meta_Columns[[#This Row],[Generalization 1]],meta_Classifiers[ID],0))</f>
        <v>_Object</v>
      </c>
      <c r="Z265" s="8" t="str">
        <f>INDEX(meta_Classifiers[Class - Generalization:src], MATCH(meta_Columns[[#This Row],[Owning Table Instances Class]],meta_Classifiers[ID],0))</f>
        <v>_NamedElement</v>
      </c>
      <c r="AA2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5" s="8" t="b">
        <f>_xlfn.IFNA(
INDEX(meta_Classifiers[Class - Generalization:src],MATCH(
INDEX(meta_Classifiers[Class - Generalization:src],MATCH(meta_Columns[[#This Row],[Property Owning Class]],meta_Classifiers[ID],0)),meta_Classifiers[ID],0))
=meta_Columns[[#This Row],[Owning Table Instances Class]],FALSE)</f>
        <v>0</v>
      </c>
      <c r="AG265" s="8" t="b">
        <f>_xlfn.IFNA(INDEX(meta_Classifiers[Class - Generalization:src],MATCH(meta_Columns[[#This Row],[Property Owning Class]],meta_Classifiers[ID],0))=meta_Columns[[#This Row],[Owning Table Instances Class]],FALSE)</f>
        <v>0</v>
      </c>
      <c r="AH2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5" s="8" t="e">
        <f>INDEX(meta_Classifiers[Name],MATCH(INDEX(meta_TypedModelElements[Property - Owning Class:src],MATCH(meta_Columns[[#This Row],[Property]],meta_TypedModelElements[ID],0)),meta_Classifiers[ID],0))</f>
        <v>#N/A</v>
      </c>
      <c r="AJ265" s="8" t="e">
        <f>INDEX(meta_TypedModelElements[Property - Owning Class:src],MATCH(meta_Columns[[#This Row],[Property]],meta_TypedModelElements[ID],0))</f>
        <v>#N/A</v>
      </c>
      <c r="AK265" s="8" t="e">
        <f>INDEX(meta_TypedModelElements[Kind:src],MATCH(meta_Columns[[#This Row],[Property]],meta_TypedModelElements[ID],0))</f>
        <v>#N/A</v>
      </c>
      <c r="AL265" s="8" t="e">
        <f>INDEX(meta_TypedModelElements[Name or Type],MATCH(meta_Columns[[#This Row],[Property]],meta_TypedModelElements[ID],0))</f>
        <v>#N/A</v>
      </c>
      <c r="AM265" s="8" t="e">
        <f>INDEX(meta_TypedModelElements[Property - Changeable],MATCH(meta_Columns[[#This Row],[Property]],meta_TypedModelElements[ID],0))</f>
        <v>#N/A</v>
      </c>
      <c r="AN265" s="43">
        <v>75</v>
      </c>
      <c r="AO265" s="22"/>
      <c r="AP26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5" s="8" t="str">
        <f xml:space="preserve"> IF(meta_Columns[[#This Row],[Property Owning Class is Specialization of Instance Class]],meta_Columns[[#This Row],[Property Owning Class Name]]&amp;" - ","")</f>
        <v/>
      </c>
      <c r="AR26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 Kind</v>
      </c>
      <c r="AT265" s="8" t="str">
        <f>IFERROR(LEFT(meta_Columns[[#This Row],[Excel Column - Label Actual without Semantic Case]],FIND("-",
meta_Columns[[#This Row],[Excel Column - Label Actual without Semantic Case]])-2),"")</f>
        <v/>
      </c>
      <c r="AU2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 Kind</v>
      </c>
      <c r="AV2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 Kind</v>
      </c>
      <c r="AX265" s="22"/>
      <c r="AY265" s="8" t="str">
        <f>meta_Columns[[#This Row],[Owning Table]]&amp;"."&amp;meta_Columns[[#This Row],[Excel Column - Label]]</f>
        <v>meta::Rules.Property 1 Type Kind</v>
      </c>
      <c r="AZ265" s="43" t="s">
        <v>431</v>
      </c>
      <c r="BA265" s="44" t="str">
        <f>IF(TRIM(meta_Columns[[#This Row],[Excel Column - Label Overwrite]])&lt;&gt;"",meta_Columns[[#This Row],[Excel Column - Label Overwrite]],meta_Columns[[#This Row],[Excel Column - Label from Property or Referenced Table]])</f>
        <v>Property 1 Type Kind</v>
      </c>
      <c r="BB265" s="43" t="s">
        <v>1548</v>
      </c>
      <c r="BC265" s="44" t="str">
        <f>IF(meta_Columns[[#This Row],[Excel Column - Explicit Excel Formula]]="","",meta_Columns[[#This Row],[Excel Column - Explicit Excel Formula]])</f>
        <v>Formula:=IF([@[Property 1 Type]]="","",INDEX(#REF!,MATCH([@[Property 1 Type]],meta_Classifiers[ID],0)))</v>
      </c>
      <c r="BD265" s="5"/>
      <c r="BE265" s="5"/>
    </row>
    <row r="266" spans="1:57">
      <c r="A266" s="10" t="s">
        <v>1230</v>
      </c>
      <c r="B266" s="5" t="s">
        <v>546</v>
      </c>
      <c r="C266" s="22" t="str">
        <f xml:space="preserve"> IF( TRIM( meta_Columns[[#This Row],[Kind:src]] ) = "", "",
        INDEX( meta_Classifiers[Display Qualified], MATCH( meta_Columns[[#This Row],[Kind:src]], meta_Classifiers[ID], 0 ) ) )</f>
        <v>ExcelColumn</v>
      </c>
      <c r="D266" s="44" t="str">
        <f>IF(meta_Columns[[#This Row],[Owning Table:src]]="","",INDEX(meta_Classifiers[Package],MATCH(meta_Columns[[#This Row],[Owning Table Instances Class]],meta_Classifiers[ID],0)))</f>
        <v>meta</v>
      </c>
      <c r="E266" s="43"/>
      <c r="F266" s="44" t="str">
        <f>INDEX(meta_Tables[Excel Table - Excel Name],MATCH(meta_Columns[[#This Row],[Owning Table:src]],meta_Tables[ID],0))</f>
        <v>meta_Rules</v>
      </c>
      <c r="G266" s="44" t="str">
        <f>INDEX(meta_Tables[Instances Class:src],MATCH(meta_Columns[[#This Row],[Owning Table:src]],meta_Tables[ID],0))</f>
        <v>_Rule</v>
      </c>
      <c r="H266" s="11" t="s">
        <v>1014</v>
      </c>
      <c r="I266" s="43" t="str">
        <f xml:space="preserve"> IF( TRIM( meta_Columns[[#This Row],[Owning Table:src]] ) = "", "",
        INDEX( meta_Tables[Display Qualified], MATCH( meta_Columns[[#This Row],[Owning Table:src]], meta_Tables[ID], 0 ) ) )</f>
        <v>meta::Rules</v>
      </c>
      <c r="K266" s="22" t="str">
        <f>IF(TRIM(meta_Columns[[#This Row],[Referenced Table:src]])="","",
    INDEX(meta_Tables[Display Qualified],MATCH(meta_Columns[[#This Row],[Referenced Table:src]],meta_Tables[ID],0)))</f>
        <v/>
      </c>
      <c r="L266" s="8"/>
      <c r="M266" s="22"/>
      <c r="N266" s="8" t="str">
        <f>IF(meta_Columns[[#This Row],[Excel Column - Excel Formula]]="","x","")</f>
        <v/>
      </c>
      <c r="O266" s="22"/>
      <c r="P266" s="8" t="str">
        <f>IF(meta_Columns[[#This Row],[Referenced Table:src]]="","",INDEX(meta_Tables[Instances Class],MATCH(meta_Columns[[#This Row],[Referenced Table:src]],meta_Tables[ID],0)))</f>
        <v/>
      </c>
      <c r="Q2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v>
      </c>
      <c r="R266" s="8"/>
      <c r="S266" s="22" t="str">
        <f xml:space="preserve"> IF( TRIM( meta_Columns[[#This Row],[Property:src]] ) = "", "",
        INDEX( meta_TypedModelElements[Display Qualified], MATCH( meta_Columns[[#This Row],[Property:src]], meta_TypedModelElements[ID], 0 ) ) )</f>
        <v/>
      </c>
      <c r="T266" s="22"/>
      <c r="U266" s="8" t="e">
        <f>INDEX(meta_Classifiers[Class - Generalization:src], MATCH(meta_Columns[[#This Row],[Generalization 5]],meta_Classifiers[ID],0))</f>
        <v>#N/A</v>
      </c>
      <c r="V266" s="8" t="e">
        <f>INDEX(meta_Classifiers[Class - Generalization:src], MATCH(meta_Columns[[#This Row],[Generalization 4]],meta_Classifiers[ID],0))</f>
        <v>#N/A</v>
      </c>
      <c r="W266" s="8" t="e">
        <f>INDEX(meta_Classifiers[Class - Generalization:src], MATCH(meta_Columns[[#This Row],[Generalization 3]],meta_Classifiers[ID],0))</f>
        <v>#N/A</v>
      </c>
      <c r="X266" s="8" t="str">
        <f>INDEX(meta_Classifiers[Class - Generalization:src], MATCH(meta_Columns[[#This Row],[Generalization 2]],meta_Classifiers[ID],0))</f>
        <v/>
      </c>
      <c r="Y266" s="8" t="str">
        <f>INDEX(meta_Classifiers[Class - Generalization:src], MATCH(meta_Columns[[#This Row],[Generalization 1]],meta_Classifiers[ID],0))</f>
        <v>_Object</v>
      </c>
      <c r="Z266" s="8" t="str">
        <f>INDEX(meta_Classifiers[Class - Generalization:src], MATCH(meta_Columns[[#This Row],[Owning Table Instances Class]],meta_Classifiers[ID],0))</f>
        <v>_NamedElement</v>
      </c>
      <c r="AA2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6" s="8" t="b">
        <f>_xlfn.IFNA(
INDEX(meta_Classifiers[Class - Generalization:src],MATCH(
INDEX(meta_Classifiers[Class - Generalization:src],MATCH(meta_Columns[[#This Row],[Property Owning Class]],meta_Classifiers[ID],0)),meta_Classifiers[ID],0))
=meta_Columns[[#This Row],[Owning Table Instances Class]],FALSE)</f>
        <v>0</v>
      </c>
      <c r="AG266" s="8" t="b">
        <f>_xlfn.IFNA(INDEX(meta_Classifiers[Class - Generalization:src],MATCH(meta_Columns[[#This Row],[Property Owning Class]],meta_Classifiers[ID],0))=meta_Columns[[#This Row],[Owning Table Instances Class]],FALSE)</f>
        <v>0</v>
      </c>
      <c r="AH2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6" s="8" t="e">
        <f>INDEX(meta_Classifiers[Name],MATCH(INDEX(meta_TypedModelElements[Property - Owning Class:src],MATCH(meta_Columns[[#This Row],[Property]],meta_TypedModelElements[ID],0)),meta_Classifiers[ID],0))</f>
        <v>#N/A</v>
      </c>
      <c r="AJ266" s="8" t="e">
        <f>INDEX(meta_TypedModelElements[Property - Owning Class:src],MATCH(meta_Columns[[#This Row],[Property]],meta_TypedModelElements[ID],0))</f>
        <v>#N/A</v>
      </c>
      <c r="AK266" s="8" t="e">
        <f>INDEX(meta_TypedModelElements[Kind:src],MATCH(meta_Columns[[#This Row],[Property]],meta_TypedModelElements[ID],0))</f>
        <v>#N/A</v>
      </c>
      <c r="AL266" s="8" t="e">
        <f>INDEX(meta_TypedModelElements[Name or Type],MATCH(meta_Columns[[#This Row],[Property]],meta_TypedModelElements[ID],0))</f>
        <v>#N/A</v>
      </c>
      <c r="AM266" s="8" t="e">
        <f>INDEX(meta_TypedModelElements[Property - Changeable],MATCH(meta_Columns[[#This Row],[Property]],meta_TypedModelElements[ID],0))</f>
        <v>#N/A</v>
      </c>
      <c r="AN266" s="43">
        <v>76</v>
      </c>
      <c r="AO266" s="22"/>
      <c r="AP2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6" s="8" t="str">
        <f xml:space="preserve"> IF(meta_Columns[[#This Row],[Property Owning Class is Specialization of Instance Class]],meta_Columns[[#This Row],[Property Owning Class Name]]&amp;" - ","")</f>
        <v/>
      </c>
      <c r="AR2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v>
      </c>
      <c r="AT266" s="8" t="str">
        <f>IFERROR(LEFT(meta_Columns[[#This Row],[Excel Column - Label Actual without Semantic Case]],FIND("-",
meta_Columns[[#This Row],[Excel Column - Label Actual without Semantic Case]])-2),"")</f>
        <v/>
      </c>
      <c r="AU2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v>
      </c>
      <c r="AV2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v>
      </c>
      <c r="AX266" s="22"/>
      <c r="AY266" s="8" t="str">
        <f>meta_Columns[[#This Row],[Owning Table]]&amp;"."&amp;meta_Columns[[#This Row],[Excel Column - Label]]</f>
        <v>meta::Rules.Property 1 Type</v>
      </c>
      <c r="AZ266" s="43" t="s">
        <v>430</v>
      </c>
      <c r="BA266" s="44" t="str">
        <f>IF(TRIM(meta_Columns[[#This Row],[Excel Column - Label Overwrite]])&lt;&gt;"",meta_Columns[[#This Row],[Excel Column - Label Overwrite]],meta_Columns[[#This Row],[Excel Column - Label from Property or Referenced Table]])</f>
        <v>Property 1 Type</v>
      </c>
      <c r="BB266" s="43" t="s">
        <v>1429</v>
      </c>
      <c r="BC266" s="44" t="str">
        <f>IF(meta_Columns[[#This Row],[Excel Column - Explicit Excel Formula]]="","",meta_Columns[[#This Row],[Excel Column - Explicit Excel Formula]])</f>
        <v>Formula:=IF([@[Property 1:src]]="","",INDEX(meta_TypedModelElements[Type:src],MATCH([@[Property 1:src]],meta_TypedModelElements[ID],0)))</v>
      </c>
      <c r="BD266" s="5"/>
      <c r="BE266" s="5"/>
    </row>
    <row r="267" spans="1:57">
      <c r="A267" s="10" t="s">
        <v>1231</v>
      </c>
      <c r="B267" s="5" t="s">
        <v>546</v>
      </c>
      <c r="C267" s="22" t="str">
        <f xml:space="preserve"> IF( TRIM( meta_Columns[[#This Row],[Kind:src]] ) = "", "",
        INDEX( meta_Classifiers[Display Qualified], MATCH( meta_Columns[[#This Row],[Kind:src]], meta_Classifiers[ID], 0 ) ) )</f>
        <v>ExcelColumn</v>
      </c>
      <c r="D267" s="44" t="str">
        <f>IF(meta_Columns[[#This Row],[Owning Table:src]]="","",INDEX(meta_Classifiers[Package],MATCH(meta_Columns[[#This Row],[Owning Table Instances Class]],meta_Classifiers[ID],0)))</f>
        <v>meta</v>
      </c>
      <c r="E267" s="43"/>
      <c r="F267" s="44" t="str">
        <f>INDEX(meta_Tables[Excel Table - Excel Name],MATCH(meta_Columns[[#This Row],[Owning Table:src]],meta_Tables[ID],0))</f>
        <v>meta_Rules</v>
      </c>
      <c r="G267" s="44" t="str">
        <f>INDEX(meta_Tables[Instances Class:src],MATCH(meta_Columns[[#This Row],[Owning Table:src]],meta_Tables[ID],0))</f>
        <v>_Rule</v>
      </c>
      <c r="H267" s="11" t="s">
        <v>1014</v>
      </c>
      <c r="I267" s="43" t="str">
        <f xml:space="preserve"> IF( TRIM( meta_Columns[[#This Row],[Owning Table:src]] ) = "", "",
        INDEX( meta_Tables[Display Qualified], MATCH( meta_Columns[[#This Row],[Owning Table:src]], meta_Tables[ID], 0 ) ) )</f>
        <v>meta::Rules</v>
      </c>
      <c r="K267" s="22" t="str">
        <f>IF(TRIM(meta_Columns[[#This Row],[Referenced Table:src]])="","",
    INDEX(meta_Tables[Display Qualified],MATCH(meta_Columns[[#This Row],[Referenced Table:src]],meta_Tables[ID],0)))</f>
        <v/>
      </c>
      <c r="L267" s="8"/>
      <c r="M267" s="22"/>
      <c r="N267" s="8" t="str">
        <f>IF(meta_Columns[[#This Row],[Excel Column - Excel Formula]]="","x","")</f>
        <v>x</v>
      </c>
      <c r="O267" s="22"/>
      <c r="P267" s="8" t="str">
        <f>IF(meta_Columns[[#This Row],[Referenced Table:src]]="","",INDEX(meta_Tables[Instances Class],MATCH(meta_Columns[[#This Row],[Referenced Table:src]],meta_Tables[ID],0)))</f>
        <v/>
      </c>
      <c r="Q2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7" s="8"/>
      <c r="S267" s="22" t="str">
        <f xml:space="preserve"> IF( TRIM( meta_Columns[[#This Row],[Property:src]] ) = "", "",
        INDEX( meta_TypedModelElements[Display Qualified], MATCH( meta_Columns[[#This Row],[Property:src]], meta_TypedModelElements[ID], 0 ) ) )</f>
        <v/>
      </c>
      <c r="T267" s="22"/>
      <c r="U267" s="8" t="e">
        <f>INDEX(meta_Classifiers[Class - Generalization:src], MATCH(meta_Columns[[#This Row],[Generalization 5]],meta_Classifiers[ID],0))</f>
        <v>#N/A</v>
      </c>
      <c r="V267" s="8" t="e">
        <f>INDEX(meta_Classifiers[Class - Generalization:src], MATCH(meta_Columns[[#This Row],[Generalization 4]],meta_Classifiers[ID],0))</f>
        <v>#N/A</v>
      </c>
      <c r="W267" s="8" t="e">
        <f>INDEX(meta_Classifiers[Class - Generalization:src], MATCH(meta_Columns[[#This Row],[Generalization 3]],meta_Classifiers[ID],0))</f>
        <v>#N/A</v>
      </c>
      <c r="X267" s="8" t="str">
        <f>INDEX(meta_Classifiers[Class - Generalization:src], MATCH(meta_Columns[[#This Row],[Generalization 2]],meta_Classifiers[ID],0))</f>
        <v/>
      </c>
      <c r="Y267" s="8" t="str">
        <f>INDEX(meta_Classifiers[Class - Generalization:src], MATCH(meta_Columns[[#This Row],[Generalization 1]],meta_Classifiers[ID],0))</f>
        <v>_Object</v>
      </c>
      <c r="Z267" s="8" t="str">
        <f>INDEX(meta_Classifiers[Class - Generalization:src], MATCH(meta_Columns[[#This Row],[Owning Table Instances Class]],meta_Classifiers[ID],0))</f>
        <v>_NamedElement</v>
      </c>
      <c r="AA2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7" s="8" t="b">
        <f>_xlfn.IFNA(
INDEX(meta_Classifiers[Class - Generalization:src],MATCH(
INDEX(meta_Classifiers[Class - Generalization:src],MATCH(meta_Columns[[#This Row],[Property Owning Class]],meta_Classifiers[ID],0)),meta_Classifiers[ID],0))
=meta_Columns[[#This Row],[Owning Table Instances Class]],FALSE)</f>
        <v>0</v>
      </c>
      <c r="AG267" s="8" t="b">
        <f>_xlfn.IFNA(INDEX(meta_Classifiers[Class - Generalization:src],MATCH(meta_Columns[[#This Row],[Property Owning Class]],meta_Classifiers[ID],0))=meta_Columns[[#This Row],[Owning Table Instances Class]],FALSE)</f>
        <v>0</v>
      </c>
      <c r="AH2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7" s="8" t="e">
        <f>INDEX(meta_Classifiers[Name],MATCH(INDEX(meta_TypedModelElements[Property - Owning Class:src],MATCH(meta_Columns[[#This Row],[Property]],meta_TypedModelElements[ID],0)),meta_Classifiers[ID],0))</f>
        <v>#N/A</v>
      </c>
      <c r="AJ267" s="8" t="e">
        <f>INDEX(meta_TypedModelElements[Property - Owning Class:src],MATCH(meta_Columns[[#This Row],[Property]],meta_TypedModelElements[ID],0))</f>
        <v>#N/A</v>
      </c>
      <c r="AK267" s="8" t="e">
        <f>INDEX(meta_TypedModelElements[Kind:src],MATCH(meta_Columns[[#This Row],[Property]],meta_TypedModelElements[ID],0))</f>
        <v>#N/A</v>
      </c>
      <c r="AL267" s="8" t="e">
        <f>INDEX(meta_TypedModelElements[Name or Type],MATCH(meta_Columns[[#This Row],[Property]],meta_TypedModelElements[ID],0))</f>
        <v>#N/A</v>
      </c>
      <c r="AM267" s="8" t="e">
        <f>INDEX(meta_TypedModelElements[Property - Changeable],MATCH(meta_Columns[[#This Row],[Property]],meta_TypedModelElements[ID],0))</f>
        <v>#N/A</v>
      </c>
      <c r="AN267" s="43">
        <v>77</v>
      </c>
      <c r="AO267" s="22">
        <v>20</v>
      </c>
      <c r="AP2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7" s="8" t="str">
        <f xml:space="preserve"> IF(meta_Columns[[#This Row],[Property Owning Class is Specialization of Instance Class]],meta_Columns[[#This Row],[Property Owning Class Name]]&amp;" - ","")</f>
        <v/>
      </c>
      <c r="AR2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7" s="8" t="str">
        <f>IFERROR(LEFT(meta_Columns[[#This Row],[Excel Column - Label Actual without Semantic Case]],FIND("-",
meta_Columns[[#This Row],[Excel Column - Label Actual without Semantic Case]])-2),"")</f>
        <v/>
      </c>
      <c r="AU2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2:src</v>
      </c>
      <c r="AX267" s="22"/>
      <c r="AY267" s="8" t="str">
        <f>meta_Columns[[#This Row],[Owning Table]]&amp;"."&amp;meta_Columns[[#This Row],[Excel Column - Label]]</f>
        <v>meta::Rules.Property 2:src</v>
      </c>
      <c r="AZ267" s="43" t="s">
        <v>335</v>
      </c>
      <c r="BA267" s="44" t="str">
        <f>IF(TRIM(meta_Columns[[#This Row],[Excel Column - Label Overwrite]])&lt;&gt;"",meta_Columns[[#This Row],[Excel Column - Label Overwrite]],meta_Columns[[#This Row],[Excel Column - Label from Property or Referenced Table]])</f>
        <v>Property 2:src</v>
      </c>
      <c r="BB267" s="43"/>
      <c r="BC267" s="44" t="str">
        <f>IF(meta_Columns[[#This Row],[Excel Column - Explicit Excel Formula]]="","",meta_Columns[[#This Row],[Excel Column - Explicit Excel Formula]])</f>
        <v/>
      </c>
      <c r="BD267" s="5"/>
      <c r="BE267" s="5"/>
    </row>
    <row r="268" spans="1:57">
      <c r="A268" s="10" t="s">
        <v>1232</v>
      </c>
      <c r="B268" s="5" t="s">
        <v>546</v>
      </c>
      <c r="C268" s="22" t="str">
        <f xml:space="preserve"> IF( TRIM( meta_Columns[[#This Row],[Kind:src]] ) = "", "",
        INDEX( meta_Classifiers[Display Qualified], MATCH( meta_Columns[[#This Row],[Kind:src]], meta_Classifiers[ID], 0 ) ) )</f>
        <v>ExcelColumn</v>
      </c>
      <c r="D268" s="44" t="str">
        <f>IF(meta_Columns[[#This Row],[Owning Table:src]]="","",INDEX(meta_Classifiers[Package],MATCH(meta_Columns[[#This Row],[Owning Table Instances Class]],meta_Classifiers[ID],0)))</f>
        <v>meta</v>
      </c>
      <c r="E268" s="43"/>
      <c r="F268" s="44" t="str">
        <f>INDEX(meta_Tables[Excel Table - Excel Name],MATCH(meta_Columns[[#This Row],[Owning Table:src]],meta_Tables[ID],0))</f>
        <v>meta_Rules</v>
      </c>
      <c r="G268" s="44" t="str">
        <f>INDEX(meta_Tables[Instances Class:src],MATCH(meta_Columns[[#This Row],[Owning Table:src]],meta_Tables[ID],0))</f>
        <v>_Rule</v>
      </c>
      <c r="H268" s="11" t="s">
        <v>1014</v>
      </c>
      <c r="I268" s="43" t="str">
        <f xml:space="preserve"> IF( TRIM( meta_Columns[[#This Row],[Owning Table:src]] ) = "", "",
        INDEX( meta_Tables[Display Qualified], MATCH( meta_Columns[[#This Row],[Owning Table:src]], meta_Tables[ID], 0 ) ) )</f>
        <v>meta::Rules</v>
      </c>
      <c r="K268" s="22" t="str">
        <f>IF(TRIM(meta_Columns[[#This Row],[Referenced Table:src]])="","",
    INDEX(meta_Tables[Display Qualified],MATCH(meta_Columns[[#This Row],[Referenced Table:src]],meta_Tables[ID],0)))</f>
        <v/>
      </c>
      <c r="L268" s="8"/>
      <c r="M268" s="22"/>
      <c r="N268" s="8" t="str">
        <f>IF(meta_Columns[[#This Row],[Excel Column - Excel Formula]]="","x","")</f>
        <v/>
      </c>
      <c r="O268" s="22"/>
      <c r="P268" s="8" t="str">
        <f>IF(meta_Columns[[#This Row],[Referenced Table:src]]="","",INDEX(meta_Tables[Instances Class],MATCH(meta_Columns[[#This Row],[Referenced Table:src]],meta_Tables[ID],0)))</f>
        <v/>
      </c>
      <c r="Q2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8" s="8"/>
      <c r="S268" s="22" t="str">
        <f xml:space="preserve"> IF( TRIM( meta_Columns[[#This Row],[Property:src]] ) = "", "",
        INDEX( meta_TypedModelElements[Display Qualified], MATCH( meta_Columns[[#This Row],[Property:src]], meta_TypedModelElements[ID], 0 ) ) )</f>
        <v/>
      </c>
      <c r="T268" s="22"/>
      <c r="U268" s="8" t="e">
        <f>INDEX(meta_Classifiers[Class - Generalization:src], MATCH(meta_Columns[[#This Row],[Generalization 5]],meta_Classifiers[ID],0))</f>
        <v>#N/A</v>
      </c>
      <c r="V268" s="8" t="e">
        <f>INDEX(meta_Classifiers[Class - Generalization:src], MATCH(meta_Columns[[#This Row],[Generalization 4]],meta_Classifiers[ID],0))</f>
        <v>#N/A</v>
      </c>
      <c r="W268" s="8" t="e">
        <f>INDEX(meta_Classifiers[Class - Generalization:src], MATCH(meta_Columns[[#This Row],[Generalization 3]],meta_Classifiers[ID],0))</f>
        <v>#N/A</v>
      </c>
      <c r="X268" s="8" t="str">
        <f>INDEX(meta_Classifiers[Class - Generalization:src], MATCH(meta_Columns[[#This Row],[Generalization 2]],meta_Classifiers[ID],0))</f>
        <v/>
      </c>
      <c r="Y268" s="8" t="str">
        <f>INDEX(meta_Classifiers[Class - Generalization:src], MATCH(meta_Columns[[#This Row],[Generalization 1]],meta_Classifiers[ID],0))</f>
        <v>_Object</v>
      </c>
      <c r="Z268" s="8" t="str">
        <f>INDEX(meta_Classifiers[Class - Generalization:src], MATCH(meta_Columns[[#This Row],[Owning Table Instances Class]],meta_Classifiers[ID],0))</f>
        <v>_NamedElement</v>
      </c>
      <c r="AA2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8" s="8" t="b">
        <f>_xlfn.IFNA(
INDEX(meta_Classifiers[Class - Generalization:src],MATCH(
INDEX(meta_Classifiers[Class - Generalization:src],MATCH(meta_Columns[[#This Row],[Property Owning Class]],meta_Classifiers[ID],0)),meta_Classifiers[ID],0))
=meta_Columns[[#This Row],[Owning Table Instances Class]],FALSE)</f>
        <v>0</v>
      </c>
      <c r="AG268" s="8" t="b">
        <f>_xlfn.IFNA(INDEX(meta_Classifiers[Class - Generalization:src],MATCH(meta_Columns[[#This Row],[Property Owning Class]],meta_Classifiers[ID],0))=meta_Columns[[#This Row],[Owning Table Instances Class]],FALSE)</f>
        <v>0</v>
      </c>
      <c r="AH2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8" s="8" t="e">
        <f>INDEX(meta_Classifiers[Name],MATCH(INDEX(meta_TypedModelElements[Property - Owning Class:src],MATCH(meta_Columns[[#This Row],[Property]],meta_TypedModelElements[ID],0)),meta_Classifiers[ID],0))</f>
        <v>#N/A</v>
      </c>
      <c r="AJ268" s="8" t="e">
        <f>INDEX(meta_TypedModelElements[Property - Owning Class:src],MATCH(meta_Columns[[#This Row],[Property]],meta_TypedModelElements[ID],0))</f>
        <v>#N/A</v>
      </c>
      <c r="AK268" s="8" t="e">
        <f>INDEX(meta_TypedModelElements[Kind:src],MATCH(meta_Columns[[#This Row],[Property]],meta_TypedModelElements[ID],0))</f>
        <v>#N/A</v>
      </c>
      <c r="AL268" s="8" t="e">
        <f>INDEX(meta_TypedModelElements[Name or Type],MATCH(meta_Columns[[#This Row],[Property]],meta_TypedModelElements[ID],0))</f>
        <v>#N/A</v>
      </c>
      <c r="AM268" s="8" t="e">
        <f>INDEX(meta_TypedModelElements[Property - Changeable],MATCH(meta_Columns[[#This Row],[Property]],meta_TypedModelElements[ID],0))</f>
        <v>#N/A</v>
      </c>
      <c r="AN268" s="43">
        <v>78</v>
      </c>
      <c r="AO268" s="22"/>
      <c r="AP2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8" s="8" t="str">
        <f xml:space="preserve"> IF(meta_Columns[[#This Row],[Property Owning Class is Specialization of Instance Class]],meta_Columns[[#This Row],[Property Owning Class Name]]&amp;" - ","")</f>
        <v/>
      </c>
      <c r="AR2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8" s="8" t="str">
        <f>IFERROR(LEFT(meta_Columns[[#This Row],[Excel Column - Label Actual without Semantic Case]],FIND("-",
meta_Columns[[#This Row],[Excel Column - Label Actual without Semantic Case]])-2),"")</f>
        <v/>
      </c>
      <c r="AU2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v>
      </c>
      <c r="AX268" s="22"/>
      <c r="AY268" s="8" t="str">
        <f>meta_Columns[[#This Row],[Owning Table]]&amp;"."&amp;meta_Columns[[#This Row],[Excel Column - Label]]</f>
        <v>meta::Rules.Property 2</v>
      </c>
      <c r="AZ268" s="43" t="s">
        <v>25</v>
      </c>
      <c r="BA268" s="44" t="str">
        <f>IF(TRIM(meta_Columns[[#This Row],[Excel Column - Label Overwrite]])&lt;&gt;"",meta_Columns[[#This Row],[Excel Column - Label Overwrite]],meta_Columns[[#This Row],[Excel Column - Label from Property or Referenced Table]])</f>
        <v>Property 2</v>
      </c>
      <c r="BB268" s="43" t="s">
        <v>895</v>
      </c>
      <c r="BC268" s="44" t="str">
        <f>IF(meta_Columns[[#This Row],[Excel Column - Explicit Excel Formula]]="","",meta_Columns[[#This Row],[Excel Column - Explicit Excel Formula]])</f>
        <v>Formula:= IFNA( IF( TRIM( [@[Property 2:src]] ) = "",
        "",
        INDEX( meta_TypedModelElements[Display without Class], MATCH( [@[Property 2:src]], meta_TypedModelElements[ID], 0 ) )
 ), "")</v>
      </c>
      <c r="BD268" s="5"/>
      <c r="BE268" s="5"/>
    </row>
    <row r="269" spans="1:57">
      <c r="A269" s="10" t="s">
        <v>1233</v>
      </c>
      <c r="B269" s="5" t="s">
        <v>546</v>
      </c>
      <c r="C269" s="22" t="str">
        <f xml:space="preserve"> IF( TRIM( meta_Columns[[#This Row],[Kind:src]] ) = "", "",
        INDEX( meta_Classifiers[Display Qualified], MATCH( meta_Columns[[#This Row],[Kind:src]], meta_Classifiers[ID], 0 ) ) )</f>
        <v>ExcelColumn</v>
      </c>
      <c r="D269" s="44" t="str">
        <f>IF(meta_Columns[[#This Row],[Owning Table:src]]="","",INDEX(meta_Classifiers[Package],MATCH(meta_Columns[[#This Row],[Owning Table Instances Class]],meta_Classifiers[ID],0)))</f>
        <v>meta</v>
      </c>
      <c r="E269" s="43"/>
      <c r="F269" s="44" t="str">
        <f>INDEX(meta_Tables[Excel Table - Excel Name],MATCH(meta_Columns[[#This Row],[Owning Table:src]],meta_Tables[ID],0))</f>
        <v>meta_Rules</v>
      </c>
      <c r="G269" s="44" t="str">
        <f>INDEX(meta_Tables[Instances Class:src],MATCH(meta_Columns[[#This Row],[Owning Table:src]],meta_Tables[ID],0))</f>
        <v>_Rule</v>
      </c>
      <c r="H269" s="11" t="s">
        <v>1014</v>
      </c>
      <c r="I269" s="43" t="str">
        <f xml:space="preserve"> IF( TRIM( meta_Columns[[#This Row],[Owning Table:src]] ) = "", "",
        INDEX( meta_Tables[Display Qualified], MATCH( meta_Columns[[#This Row],[Owning Table:src]], meta_Tables[ID], 0 ) ) )</f>
        <v>meta::Rules</v>
      </c>
      <c r="K269" s="22" t="str">
        <f>IF(TRIM(meta_Columns[[#This Row],[Referenced Table:src]])="","",
    INDEX(meta_Tables[Display Qualified],MATCH(meta_Columns[[#This Row],[Referenced Table:src]],meta_Tables[ID],0)))</f>
        <v/>
      </c>
      <c r="L269" s="8"/>
      <c r="M269" s="22"/>
      <c r="N269" s="8" t="str">
        <f>IF(meta_Columns[[#This Row],[Excel Column - Excel Formula]]="","x","")</f>
        <v>x</v>
      </c>
      <c r="O269" s="22"/>
      <c r="P269" s="8" t="str">
        <f>IF(meta_Columns[[#This Row],[Referenced Table:src]]="","",INDEX(meta_Tables[Instances Class],MATCH(meta_Columns[[#This Row],[Referenced Table:src]],meta_Tables[ID],0)))</f>
        <v/>
      </c>
      <c r="Q2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69" s="8"/>
      <c r="S269" s="22" t="str">
        <f xml:space="preserve"> IF( TRIM( meta_Columns[[#This Row],[Property:src]] ) = "", "",
        INDEX( meta_TypedModelElements[Display Qualified], MATCH( meta_Columns[[#This Row],[Property:src]], meta_TypedModelElements[ID], 0 ) ) )</f>
        <v/>
      </c>
      <c r="T269" s="22"/>
      <c r="U269" s="8" t="e">
        <f>INDEX(meta_Classifiers[Class - Generalization:src], MATCH(meta_Columns[[#This Row],[Generalization 5]],meta_Classifiers[ID],0))</f>
        <v>#N/A</v>
      </c>
      <c r="V269" s="8" t="e">
        <f>INDEX(meta_Classifiers[Class - Generalization:src], MATCH(meta_Columns[[#This Row],[Generalization 4]],meta_Classifiers[ID],0))</f>
        <v>#N/A</v>
      </c>
      <c r="W269" s="8" t="e">
        <f>INDEX(meta_Classifiers[Class - Generalization:src], MATCH(meta_Columns[[#This Row],[Generalization 3]],meta_Classifiers[ID],0))</f>
        <v>#N/A</v>
      </c>
      <c r="X269" s="8" t="str">
        <f>INDEX(meta_Classifiers[Class - Generalization:src], MATCH(meta_Columns[[#This Row],[Generalization 2]],meta_Classifiers[ID],0))</f>
        <v/>
      </c>
      <c r="Y269" s="8" t="str">
        <f>INDEX(meta_Classifiers[Class - Generalization:src], MATCH(meta_Columns[[#This Row],[Generalization 1]],meta_Classifiers[ID],0))</f>
        <v>_Object</v>
      </c>
      <c r="Z269" s="8" t="str">
        <f>INDEX(meta_Classifiers[Class - Generalization:src], MATCH(meta_Columns[[#This Row],[Owning Table Instances Class]],meta_Classifiers[ID],0))</f>
        <v>_NamedElement</v>
      </c>
      <c r="AA2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9" s="8" t="b">
        <f>_xlfn.IFNA(
INDEX(meta_Classifiers[Class - Generalization:src],MATCH(
INDEX(meta_Classifiers[Class - Generalization:src],MATCH(meta_Columns[[#This Row],[Property Owning Class]],meta_Classifiers[ID],0)),meta_Classifiers[ID],0))
=meta_Columns[[#This Row],[Owning Table Instances Class]],FALSE)</f>
        <v>0</v>
      </c>
      <c r="AG269" s="8" t="b">
        <f>_xlfn.IFNA(INDEX(meta_Classifiers[Class - Generalization:src],MATCH(meta_Columns[[#This Row],[Property Owning Class]],meta_Classifiers[ID],0))=meta_Columns[[#This Row],[Owning Table Instances Class]],FALSE)</f>
        <v>0</v>
      </c>
      <c r="AH2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9" s="8" t="e">
        <f>INDEX(meta_Classifiers[Name],MATCH(INDEX(meta_TypedModelElements[Property - Owning Class:src],MATCH(meta_Columns[[#This Row],[Property]],meta_TypedModelElements[ID],0)),meta_Classifiers[ID],0))</f>
        <v>#N/A</v>
      </c>
      <c r="AJ269" s="8" t="e">
        <f>INDEX(meta_TypedModelElements[Property - Owning Class:src],MATCH(meta_Columns[[#This Row],[Property]],meta_TypedModelElements[ID],0))</f>
        <v>#N/A</v>
      </c>
      <c r="AK269" s="8" t="e">
        <f>INDEX(meta_TypedModelElements[Kind:src],MATCH(meta_Columns[[#This Row],[Property]],meta_TypedModelElements[ID],0))</f>
        <v>#N/A</v>
      </c>
      <c r="AL269" s="8" t="e">
        <f>INDEX(meta_TypedModelElements[Name or Type],MATCH(meta_Columns[[#This Row],[Property]],meta_TypedModelElements[ID],0))</f>
        <v>#N/A</v>
      </c>
      <c r="AM269" s="8" t="e">
        <f>INDEX(meta_TypedModelElements[Property - Changeable],MATCH(meta_Columns[[#This Row],[Property]],meta_TypedModelElements[ID],0))</f>
        <v>#N/A</v>
      </c>
      <c r="AN269" s="43">
        <v>79</v>
      </c>
      <c r="AO269" s="22">
        <v>21</v>
      </c>
      <c r="AP2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9" s="8" t="str">
        <f xml:space="preserve"> IF(meta_Columns[[#This Row],[Property Owning Class is Specialization of Instance Class]],meta_Columns[[#This Row],[Property Owning Class Name]]&amp;" - ","")</f>
        <v/>
      </c>
      <c r="AR2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69" s="8" t="str">
        <f>IFERROR(LEFT(meta_Columns[[#This Row],[Excel Column - Label Actual without Semantic Case]],FIND("-",
meta_Columns[[#This Row],[Excel Column - Label Actual without Semantic Case]])-2),"")</f>
        <v/>
      </c>
      <c r="AU2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Cast:src</v>
      </c>
      <c r="AX269" s="22"/>
      <c r="AY269" s="8" t="str">
        <f>meta_Columns[[#This Row],[Owning Table]]&amp;"."&amp;meta_Columns[[#This Row],[Excel Column - Label]]</f>
        <v>meta::Rules.Cast:src</v>
      </c>
      <c r="AZ269" s="43" t="s">
        <v>334</v>
      </c>
      <c r="BA269" s="44" t="str">
        <f>IF(TRIM(meta_Columns[[#This Row],[Excel Column - Label Overwrite]])&lt;&gt;"",meta_Columns[[#This Row],[Excel Column - Label Overwrite]],meta_Columns[[#This Row],[Excel Column - Label from Property or Referenced Table]])</f>
        <v>Cast:src</v>
      </c>
      <c r="BB269" s="43"/>
      <c r="BC269" s="44" t="str">
        <f>IF(meta_Columns[[#This Row],[Excel Column - Explicit Excel Formula]]="","",meta_Columns[[#This Row],[Excel Column - Explicit Excel Formula]])</f>
        <v/>
      </c>
      <c r="BD269" s="5"/>
      <c r="BE269" s="5"/>
    </row>
    <row r="270" spans="1:57">
      <c r="A270" s="10" t="s">
        <v>1234</v>
      </c>
      <c r="B270" s="5" t="s">
        <v>546</v>
      </c>
      <c r="C270" s="22" t="str">
        <f xml:space="preserve"> IF( TRIM( meta_Columns[[#This Row],[Kind:src]] ) = "", "",
        INDEX( meta_Classifiers[Display Qualified], MATCH( meta_Columns[[#This Row],[Kind:src]], meta_Classifiers[ID], 0 ) ) )</f>
        <v>ExcelColumn</v>
      </c>
      <c r="D270" s="44" t="str">
        <f>IF(meta_Columns[[#This Row],[Owning Table:src]]="","",INDEX(meta_Classifiers[Package],MATCH(meta_Columns[[#This Row],[Owning Table Instances Class]],meta_Classifiers[ID],0)))</f>
        <v>meta</v>
      </c>
      <c r="E270" s="43"/>
      <c r="F270" s="44" t="str">
        <f>INDEX(meta_Tables[Excel Table - Excel Name],MATCH(meta_Columns[[#This Row],[Owning Table:src]],meta_Tables[ID],0))</f>
        <v>meta_Rules</v>
      </c>
      <c r="G270" s="44" t="str">
        <f>INDEX(meta_Tables[Instances Class:src],MATCH(meta_Columns[[#This Row],[Owning Table:src]],meta_Tables[ID],0))</f>
        <v>_Rule</v>
      </c>
      <c r="H270" s="11" t="s">
        <v>1014</v>
      </c>
      <c r="I270" s="43" t="str">
        <f xml:space="preserve"> IF( TRIM( meta_Columns[[#This Row],[Owning Table:src]] ) = "", "",
        INDEX( meta_Tables[Display Qualified], MATCH( meta_Columns[[#This Row],[Owning Table:src]], meta_Tables[ID], 0 ) ) )</f>
        <v>meta::Rules</v>
      </c>
      <c r="K270" s="22" t="str">
        <f>IF(TRIM(meta_Columns[[#This Row],[Referenced Table:src]])="","",
    INDEX(meta_Tables[Display Qualified],MATCH(meta_Columns[[#This Row],[Referenced Table:src]],meta_Tables[ID],0)))</f>
        <v/>
      </c>
      <c r="L270" s="8"/>
      <c r="M270" s="22"/>
      <c r="N270" s="8" t="str">
        <f>IF(meta_Columns[[#This Row],[Excel Column - Excel Formula]]="","x","")</f>
        <v/>
      </c>
      <c r="O270" s="22"/>
      <c r="P270" s="8" t="str">
        <f>IF(meta_Columns[[#This Row],[Referenced Table:src]]="","",INDEX(meta_Tables[Instances Class],MATCH(meta_Columns[[#This Row],[Referenced Table:src]],meta_Tables[ID],0)))</f>
        <v/>
      </c>
      <c r="Q2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70" s="8"/>
      <c r="S270" s="22" t="str">
        <f xml:space="preserve"> IF( TRIM( meta_Columns[[#This Row],[Property:src]] ) = "", "",
        INDEX( meta_TypedModelElements[Display Qualified], MATCH( meta_Columns[[#This Row],[Property:src]], meta_TypedModelElements[ID], 0 ) ) )</f>
        <v/>
      </c>
      <c r="T270" s="22"/>
      <c r="U270" s="8" t="e">
        <f>INDEX(meta_Classifiers[Class - Generalization:src], MATCH(meta_Columns[[#This Row],[Generalization 5]],meta_Classifiers[ID],0))</f>
        <v>#N/A</v>
      </c>
      <c r="V270" s="8" t="e">
        <f>INDEX(meta_Classifiers[Class - Generalization:src], MATCH(meta_Columns[[#This Row],[Generalization 4]],meta_Classifiers[ID],0))</f>
        <v>#N/A</v>
      </c>
      <c r="W270" s="8" t="e">
        <f>INDEX(meta_Classifiers[Class - Generalization:src], MATCH(meta_Columns[[#This Row],[Generalization 3]],meta_Classifiers[ID],0))</f>
        <v>#N/A</v>
      </c>
      <c r="X270" s="8" t="str">
        <f>INDEX(meta_Classifiers[Class - Generalization:src], MATCH(meta_Columns[[#This Row],[Generalization 2]],meta_Classifiers[ID],0))</f>
        <v/>
      </c>
      <c r="Y270" s="8" t="str">
        <f>INDEX(meta_Classifiers[Class - Generalization:src], MATCH(meta_Columns[[#This Row],[Generalization 1]],meta_Classifiers[ID],0))</f>
        <v>_Object</v>
      </c>
      <c r="Z270" s="8" t="str">
        <f>INDEX(meta_Classifiers[Class - Generalization:src], MATCH(meta_Columns[[#This Row],[Owning Table Instances Class]],meta_Classifiers[ID],0))</f>
        <v>_NamedElement</v>
      </c>
      <c r="AA2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0" s="8" t="b">
        <f>_xlfn.IFNA(
INDEX(meta_Classifiers[Class - Generalization:src],MATCH(
INDEX(meta_Classifiers[Class - Generalization:src],MATCH(meta_Columns[[#This Row],[Property Owning Class]],meta_Classifiers[ID],0)),meta_Classifiers[ID],0))
=meta_Columns[[#This Row],[Owning Table Instances Class]],FALSE)</f>
        <v>0</v>
      </c>
      <c r="AG270" s="8" t="b">
        <f>_xlfn.IFNA(INDEX(meta_Classifiers[Class - Generalization:src],MATCH(meta_Columns[[#This Row],[Property Owning Class]],meta_Classifiers[ID],0))=meta_Columns[[#This Row],[Owning Table Instances Class]],FALSE)</f>
        <v>0</v>
      </c>
      <c r="AH2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0" s="8" t="e">
        <f>INDEX(meta_Classifiers[Name],MATCH(INDEX(meta_TypedModelElements[Property - Owning Class:src],MATCH(meta_Columns[[#This Row],[Property]],meta_TypedModelElements[ID],0)),meta_Classifiers[ID],0))</f>
        <v>#N/A</v>
      </c>
      <c r="AJ270" s="8" t="e">
        <f>INDEX(meta_TypedModelElements[Property - Owning Class:src],MATCH(meta_Columns[[#This Row],[Property]],meta_TypedModelElements[ID],0))</f>
        <v>#N/A</v>
      </c>
      <c r="AK270" s="8" t="e">
        <f>INDEX(meta_TypedModelElements[Kind:src],MATCH(meta_Columns[[#This Row],[Property]],meta_TypedModelElements[ID],0))</f>
        <v>#N/A</v>
      </c>
      <c r="AL270" s="8" t="e">
        <f>INDEX(meta_TypedModelElements[Name or Type],MATCH(meta_Columns[[#This Row],[Property]],meta_TypedModelElements[ID],0))</f>
        <v>#N/A</v>
      </c>
      <c r="AM270" s="8" t="e">
        <f>INDEX(meta_TypedModelElements[Property - Changeable],MATCH(meta_Columns[[#This Row],[Property]],meta_TypedModelElements[ID],0))</f>
        <v>#N/A</v>
      </c>
      <c r="AN270" s="43">
        <v>80</v>
      </c>
      <c r="AO270" s="22"/>
      <c r="AP2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0" s="8" t="str">
        <f xml:space="preserve"> IF(meta_Columns[[#This Row],[Property Owning Class is Specialization of Instance Class]],meta_Columns[[#This Row],[Property Owning Class Name]]&amp;" - ","")</f>
        <v/>
      </c>
      <c r="AR2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70" s="8" t="str">
        <f>IFERROR(LEFT(meta_Columns[[#This Row],[Excel Column - Label Actual without Semantic Case]],FIND("-",
meta_Columns[[#This Row],[Excel Column - Label Actual without Semantic Case]])-2),"")</f>
        <v/>
      </c>
      <c r="AU2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v>
      </c>
      <c r="AX270" s="22"/>
      <c r="AY270" s="8" t="str">
        <f>meta_Columns[[#This Row],[Owning Table]]&amp;"."&amp;meta_Columns[[#This Row],[Excel Column - Label]]</f>
        <v>meta::Rules.Cast</v>
      </c>
      <c r="AZ270" s="43" t="s">
        <v>26</v>
      </c>
      <c r="BA270" s="44" t="str">
        <f>IF(TRIM(meta_Columns[[#This Row],[Excel Column - Label Overwrite]])&lt;&gt;"",meta_Columns[[#This Row],[Excel Column - Label Overwrite]],meta_Columns[[#This Row],[Excel Column - Label from Property or Referenced Table]])</f>
        <v>Cast</v>
      </c>
      <c r="BB270" s="43" t="s">
        <v>896</v>
      </c>
      <c r="BC270" s="44" t="str">
        <f>IF(meta_Columns[[#This Row],[Excel Column - Explicit Excel Formula]]="","",meta_Columns[[#This Row],[Excel Column - Explicit Excel Formula]])</f>
        <v>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BD270" s="5"/>
      <c r="BE270" s="5"/>
    </row>
    <row r="271" spans="1:57">
      <c r="A271" s="10" t="s">
        <v>1235</v>
      </c>
      <c r="B271" s="5" t="s">
        <v>546</v>
      </c>
      <c r="C271" s="22" t="str">
        <f xml:space="preserve"> IF( TRIM( meta_Columns[[#This Row],[Kind:src]] ) = "", "",
        INDEX( meta_Classifiers[Display Qualified], MATCH( meta_Columns[[#This Row],[Kind:src]], meta_Classifiers[ID], 0 ) ) )</f>
        <v>ExcelColumn</v>
      </c>
      <c r="D271" s="44" t="str">
        <f>IF(meta_Columns[[#This Row],[Owning Table:src]]="","",INDEX(meta_Classifiers[Package],MATCH(meta_Columns[[#This Row],[Owning Table Instances Class]],meta_Classifiers[ID],0)))</f>
        <v>meta</v>
      </c>
      <c r="E271" s="43"/>
      <c r="F271" s="44" t="str">
        <f>INDEX(meta_Tables[Excel Table - Excel Name],MATCH(meta_Columns[[#This Row],[Owning Table:src]],meta_Tables[ID],0))</f>
        <v>meta_Rules</v>
      </c>
      <c r="G271" s="44" t="str">
        <f>INDEX(meta_Tables[Instances Class:src],MATCH(meta_Columns[[#This Row],[Owning Table:src]],meta_Tables[ID],0))</f>
        <v>_Rule</v>
      </c>
      <c r="H271" s="11" t="s">
        <v>1014</v>
      </c>
      <c r="I271" s="43" t="str">
        <f xml:space="preserve"> IF( TRIM( meta_Columns[[#This Row],[Owning Table:src]] ) = "", "",
        INDEX( meta_Tables[Display Qualified], MATCH( meta_Columns[[#This Row],[Owning Table:src]], meta_Tables[ID], 0 ) ) )</f>
        <v>meta::Rules</v>
      </c>
      <c r="K271" s="22" t="str">
        <f>IF(TRIM(meta_Columns[[#This Row],[Referenced Table:src]])="","",
    INDEX(meta_Tables[Display Qualified],MATCH(meta_Columns[[#This Row],[Referenced Table:src]],meta_Tables[ID],0)))</f>
        <v/>
      </c>
      <c r="L271" s="8"/>
      <c r="M271" s="22"/>
      <c r="N271" s="8" t="str">
        <f>IF(meta_Columns[[#This Row],[Excel Column - Excel Formula]]="","x","")</f>
        <v/>
      </c>
      <c r="O271" s="22"/>
      <c r="P271" s="8" t="str">
        <f>IF(meta_Columns[[#This Row],[Referenced Table:src]]="","",INDEX(meta_Tables[Instances Class],MATCH(meta_Columns[[#This Row],[Referenced Table:src]],meta_Tables[ID],0)))</f>
        <v/>
      </c>
      <c r="Q2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1" s="8"/>
      <c r="S271" s="22" t="str">
        <f xml:space="preserve"> IF( TRIM( meta_Columns[[#This Row],[Property:src]] ) = "", "",
        INDEX( meta_TypedModelElements[Display Qualified], MATCH( meta_Columns[[#This Row],[Property:src]], meta_TypedModelElements[ID], 0 ) ) )</f>
        <v/>
      </c>
      <c r="T271" s="22"/>
      <c r="U271" s="8" t="e">
        <f>INDEX(meta_Classifiers[Class - Generalization:src], MATCH(meta_Columns[[#This Row],[Generalization 5]],meta_Classifiers[ID],0))</f>
        <v>#N/A</v>
      </c>
      <c r="V271" s="8" t="e">
        <f>INDEX(meta_Classifiers[Class - Generalization:src], MATCH(meta_Columns[[#This Row],[Generalization 4]],meta_Classifiers[ID],0))</f>
        <v>#N/A</v>
      </c>
      <c r="W271" s="8" t="e">
        <f>INDEX(meta_Classifiers[Class - Generalization:src], MATCH(meta_Columns[[#This Row],[Generalization 3]],meta_Classifiers[ID],0))</f>
        <v>#N/A</v>
      </c>
      <c r="X271" s="8" t="str">
        <f>INDEX(meta_Classifiers[Class - Generalization:src], MATCH(meta_Columns[[#This Row],[Generalization 2]],meta_Classifiers[ID],0))</f>
        <v/>
      </c>
      <c r="Y271" s="8" t="str">
        <f>INDEX(meta_Classifiers[Class - Generalization:src], MATCH(meta_Columns[[#This Row],[Generalization 1]],meta_Classifiers[ID],0))</f>
        <v>_Object</v>
      </c>
      <c r="Z271" s="8" t="str">
        <f>INDEX(meta_Classifiers[Class - Generalization:src], MATCH(meta_Columns[[#This Row],[Owning Table Instances Class]],meta_Classifiers[ID],0))</f>
        <v>_NamedElement</v>
      </c>
      <c r="AA2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1" s="8" t="b">
        <f>_xlfn.IFNA(
INDEX(meta_Classifiers[Class - Generalization:src],MATCH(
INDEX(meta_Classifiers[Class - Generalization:src],MATCH(meta_Columns[[#This Row],[Property Owning Class]],meta_Classifiers[ID],0)),meta_Classifiers[ID],0))
=meta_Columns[[#This Row],[Owning Table Instances Class]],FALSE)</f>
        <v>0</v>
      </c>
      <c r="AG271" s="8" t="b">
        <f>_xlfn.IFNA(INDEX(meta_Classifiers[Class - Generalization:src],MATCH(meta_Columns[[#This Row],[Property Owning Class]],meta_Classifiers[ID],0))=meta_Columns[[#This Row],[Owning Table Instances Class]],FALSE)</f>
        <v>0</v>
      </c>
      <c r="AH2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1" s="8" t="e">
        <f>INDEX(meta_Classifiers[Name],MATCH(INDEX(meta_TypedModelElements[Property - Owning Class:src],MATCH(meta_Columns[[#This Row],[Property]],meta_TypedModelElements[ID],0)),meta_Classifiers[ID],0))</f>
        <v>#N/A</v>
      </c>
      <c r="AJ271" s="8" t="e">
        <f>INDEX(meta_TypedModelElements[Property - Owning Class:src],MATCH(meta_Columns[[#This Row],[Property]],meta_TypedModelElements[ID],0))</f>
        <v>#N/A</v>
      </c>
      <c r="AK271" s="8" t="e">
        <f>INDEX(meta_TypedModelElements[Kind:src],MATCH(meta_Columns[[#This Row],[Property]],meta_TypedModelElements[ID],0))</f>
        <v>#N/A</v>
      </c>
      <c r="AL271" s="8" t="e">
        <f>INDEX(meta_TypedModelElements[Name or Type],MATCH(meta_Columns[[#This Row],[Property]],meta_TypedModelElements[ID],0))</f>
        <v>#N/A</v>
      </c>
      <c r="AM271" s="8" t="e">
        <f>INDEX(meta_TypedModelElements[Property - Changeable],MATCH(meta_Columns[[#This Row],[Property]],meta_TypedModelElements[ID],0))</f>
        <v>#N/A</v>
      </c>
      <c r="AN271" s="43">
        <v>81</v>
      </c>
      <c r="AO271" s="22"/>
      <c r="AP2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1" s="8" t="str">
        <f xml:space="preserve"> IF(meta_Columns[[#This Row],[Property Owning Class is Specialization of Instance Class]],meta_Columns[[#This Row],[Property Owning Class Name]]&amp;" - ","")</f>
        <v/>
      </c>
      <c r="AR2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1" s="8" t="str">
        <f>IFERROR(LEFT(meta_Columns[[#This Row],[Excel Column - Label Actual without Semantic Case]],FIND("-",
meta_Columns[[#This Row],[Excel Column - Label Actual without Semantic Case]])-2),"")</f>
        <v/>
      </c>
      <c r="AU2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6:display:q.</v>
      </c>
      <c r="AX271" s="22"/>
      <c r="AY271" s="8" t="str">
        <f>meta_Columns[[#This Row],[Owning Table]]&amp;"."&amp;meta_Columns[[#This Row],[Excel Column - Label]]</f>
        <v>meta::Rules.Property 2 Super Class 6:display:q.</v>
      </c>
      <c r="AZ271" s="43" t="s">
        <v>373</v>
      </c>
      <c r="BA271" s="44" t="str">
        <f>IF(TRIM(meta_Columns[[#This Row],[Excel Column - Label Overwrite]])&lt;&gt;"",meta_Columns[[#This Row],[Excel Column - Label Overwrite]],meta_Columns[[#This Row],[Excel Column - Label from Property or Referenced Table]])</f>
        <v>Property 2 Super Class 6:display:q.</v>
      </c>
      <c r="BB271" s="43" t="s">
        <v>979</v>
      </c>
      <c r="BC271" s="44" t="str">
        <f>IF(meta_Columns[[#This Row],[Excel Column - Explicit Excel Formula]]="","",meta_Columns[[#This Row],[Excel Column - Explicit Excel Formula]])</f>
        <v>Formula:=IFNA(INDEX(meta_Classifiers[Display Qualified],MATCH([@[Property 2 Super Class 6]],meta_Classifiers[ID],0))&amp;".","")</v>
      </c>
      <c r="BD271" s="5"/>
      <c r="BE271" s="5"/>
    </row>
    <row r="272" spans="1:57">
      <c r="A272" s="10" t="s">
        <v>1236</v>
      </c>
      <c r="B272" s="5" t="s">
        <v>546</v>
      </c>
      <c r="C272" s="22" t="str">
        <f xml:space="preserve"> IF( TRIM( meta_Columns[[#This Row],[Kind:src]] ) = "", "",
        INDEX( meta_Classifiers[Display Qualified], MATCH( meta_Columns[[#This Row],[Kind:src]], meta_Classifiers[ID], 0 ) ) )</f>
        <v>ExcelColumn</v>
      </c>
      <c r="D272" s="44" t="str">
        <f>IF(meta_Columns[[#This Row],[Owning Table:src]]="","",INDEX(meta_Classifiers[Package],MATCH(meta_Columns[[#This Row],[Owning Table Instances Class]],meta_Classifiers[ID],0)))</f>
        <v>meta</v>
      </c>
      <c r="E272" s="43"/>
      <c r="F272" s="44" t="str">
        <f>INDEX(meta_Tables[Excel Table - Excel Name],MATCH(meta_Columns[[#This Row],[Owning Table:src]],meta_Tables[ID],0))</f>
        <v>meta_Rules</v>
      </c>
      <c r="G272" s="44" t="str">
        <f>INDEX(meta_Tables[Instances Class:src],MATCH(meta_Columns[[#This Row],[Owning Table:src]],meta_Tables[ID],0))</f>
        <v>_Rule</v>
      </c>
      <c r="H272" s="11" t="s">
        <v>1014</v>
      </c>
      <c r="I272" s="43" t="str">
        <f xml:space="preserve"> IF( TRIM( meta_Columns[[#This Row],[Owning Table:src]] ) = "", "",
        INDEX( meta_Tables[Display Qualified], MATCH( meta_Columns[[#This Row],[Owning Table:src]], meta_Tables[ID], 0 ) ) )</f>
        <v>meta::Rules</v>
      </c>
      <c r="K272" s="22" t="str">
        <f>IF(TRIM(meta_Columns[[#This Row],[Referenced Table:src]])="","",
    INDEX(meta_Tables[Display Qualified],MATCH(meta_Columns[[#This Row],[Referenced Table:src]],meta_Tables[ID],0)))</f>
        <v/>
      </c>
      <c r="L272" s="8"/>
      <c r="M272" s="22"/>
      <c r="N272" s="8" t="str">
        <f>IF(meta_Columns[[#This Row],[Excel Column - Excel Formula]]="","x","")</f>
        <v/>
      </c>
      <c r="O272" s="22"/>
      <c r="P272" s="8" t="str">
        <f>IF(meta_Columns[[#This Row],[Referenced Table:src]]="","",INDEX(meta_Tables[Instances Class],MATCH(meta_Columns[[#This Row],[Referenced Table:src]],meta_Tables[ID],0)))</f>
        <v/>
      </c>
      <c r="Q2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2" s="8"/>
      <c r="S272" s="22" t="str">
        <f xml:space="preserve"> IF( TRIM( meta_Columns[[#This Row],[Property:src]] ) = "", "",
        INDEX( meta_TypedModelElements[Display Qualified], MATCH( meta_Columns[[#This Row],[Property:src]], meta_TypedModelElements[ID], 0 ) ) )</f>
        <v/>
      </c>
      <c r="T272" s="22"/>
      <c r="U272" s="8" t="e">
        <f>INDEX(meta_Classifiers[Class - Generalization:src], MATCH(meta_Columns[[#This Row],[Generalization 5]],meta_Classifiers[ID],0))</f>
        <v>#N/A</v>
      </c>
      <c r="V272" s="8" t="e">
        <f>INDEX(meta_Classifiers[Class - Generalization:src], MATCH(meta_Columns[[#This Row],[Generalization 4]],meta_Classifiers[ID],0))</f>
        <v>#N/A</v>
      </c>
      <c r="W272" s="8" t="e">
        <f>INDEX(meta_Classifiers[Class - Generalization:src], MATCH(meta_Columns[[#This Row],[Generalization 3]],meta_Classifiers[ID],0))</f>
        <v>#N/A</v>
      </c>
      <c r="X272" s="8" t="str">
        <f>INDEX(meta_Classifiers[Class - Generalization:src], MATCH(meta_Columns[[#This Row],[Generalization 2]],meta_Classifiers[ID],0))</f>
        <v/>
      </c>
      <c r="Y272" s="8" t="str">
        <f>INDEX(meta_Classifiers[Class - Generalization:src], MATCH(meta_Columns[[#This Row],[Generalization 1]],meta_Classifiers[ID],0))</f>
        <v>_Object</v>
      </c>
      <c r="Z272" s="8" t="str">
        <f>INDEX(meta_Classifiers[Class - Generalization:src], MATCH(meta_Columns[[#This Row],[Owning Table Instances Class]],meta_Classifiers[ID],0))</f>
        <v>_NamedElement</v>
      </c>
      <c r="AA2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2" s="8" t="b">
        <f>_xlfn.IFNA(
INDEX(meta_Classifiers[Class - Generalization:src],MATCH(
INDEX(meta_Classifiers[Class - Generalization:src],MATCH(meta_Columns[[#This Row],[Property Owning Class]],meta_Classifiers[ID],0)),meta_Classifiers[ID],0))
=meta_Columns[[#This Row],[Owning Table Instances Class]],FALSE)</f>
        <v>0</v>
      </c>
      <c r="AG272" s="8" t="b">
        <f>_xlfn.IFNA(INDEX(meta_Classifiers[Class - Generalization:src],MATCH(meta_Columns[[#This Row],[Property Owning Class]],meta_Classifiers[ID],0))=meta_Columns[[#This Row],[Owning Table Instances Class]],FALSE)</f>
        <v>0</v>
      </c>
      <c r="AH2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2" s="8" t="e">
        <f>INDEX(meta_Classifiers[Name],MATCH(INDEX(meta_TypedModelElements[Property - Owning Class:src],MATCH(meta_Columns[[#This Row],[Property]],meta_TypedModelElements[ID],0)),meta_Classifiers[ID],0))</f>
        <v>#N/A</v>
      </c>
      <c r="AJ272" s="8" t="e">
        <f>INDEX(meta_TypedModelElements[Property - Owning Class:src],MATCH(meta_Columns[[#This Row],[Property]],meta_TypedModelElements[ID],0))</f>
        <v>#N/A</v>
      </c>
      <c r="AK272" s="8" t="e">
        <f>INDEX(meta_TypedModelElements[Kind:src],MATCH(meta_Columns[[#This Row],[Property]],meta_TypedModelElements[ID],0))</f>
        <v>#N/A</v>
      </c>
      <c r="AL272" s="8" t="e">
        <f>INDEX(meta_TypedModelElements[Name or Type],MATCH(meta_Columns[[#This Row],[Property]],meta_TypedModelElements[ID],0))</f>
        <v>#N/A</v>
      </c>
      <c r="AM272" s="8" t="e">
        <f>INDEX(meta_TypedModelElements[Property - Changeable],MATCH(meta_Columns[[#This Row],[Property]],meta_TypedModelElements[ID],0))</f>
        <v>#N/A</v>
      </c>
      <c r="AN272" s="43">
        <v>82</v>
      </c>
      <c r="AO272" s="22"/>
      <c r="AP2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2" s="8" t="str">
        <f xml:space="preserve"> IF(meta_Columns[[#This Row],[Property Owning Class is Specialization of Instance Class]],meta_Columns[[#This Row],[Property Owning Class Name]]&amp;" - ","")</f>
        <v/>
      </c>
      <c r="AR2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2" s="8" t="str">
        <f>IFERROR(LEFT(meta_Columns[[#This Row],[Excel Column - Label Actual without Semantic Case]],FIND("-",
meta_Columns[[#This Row],[Excel Column - Label Actual without Semantic Case]])-2),"")</f>
        <v/>
      </c>
      <c r="AU2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v>
      </c>
      <c r="AX272" s="22"/>
      <c r="AY272" s="8" t="str">
        <f>meta_Columns[[#This Row],[Owning Table]]&amp;"."&amp;meta_Columns[[#This Row],[Excel Column - Label]]</f>
        <v>meta::Rules.Property 2 Super Class 6</v>
      </c>
      <c r="AZ272" s="43" t="s">
        <v>374</v>
      </c>
      <c r="BA272" s="44" t="str">
        <f>IF(TRIM(meta_Columns[[#This Row],[Excel Column - Label Overwrite]])&lt;&gt;"",meta_Columns[[#This Row],[Excel Column - Label Overwrite]],meta_Columns[[#This Row],[Excel Column - Label from Property or Referenced Table]])</f>
        <v>Property 2 Super Class 6</v>
      </c>
      <c r="BB272" s="43" t="s">
        <v>1549</v>
      </c>
      <c r="BC272" s="44" t="str">
        <f>IF(meta_Columns[[#This Row],[Excel Column - Explicit Excel Formula]]="","",meta_Columns[[#This Row],[Excel Column - Explicit Excel Formula]])</f>
        <v>Formula:=IFNA(INDEX(#REF!,MATCH([@[Property 2 Super Class 5]],meta_Classifiers[ID],0)),0)</v>
      </c>
      <c r="BD272" s="5"/>
      <c r="BE272" s="5"/>
    </row>
    <row r="273" spans="1:57">
      <c r="A273" s="10" t="s">
        <v>1237</v>
      </c>
      <c r="B273" s="5" t="s">
        <v>546</v>
      </c>
      <c r="C273" s="22" t="str">
        <f xml:space="preserve"> IF( TRIM( meta_Columns[[#This Row],[Kind:src]] ) = "", "",
        INDEX( meta_Classifiers[Display Qualified], MATCH( meta_Columns[[#This Row],[Kind:src]], meta_Classifiers[ID], 0 ) ) )</f>
        <v>ExcelColumn</v>
      </c>
      <c r="D273" s="44" t="str">
        <f>IF(meta_Columns[[#This Row],[Owning Table:src]]="","",INDEX(meta_Classifiers[Package],MATCH(meta_Columns[[#This Row],[Owning Table Instances Class]],meta_Classifiers[ID],0)))</f>
        <v>meta</v>
      </c>
      <c r="E273" s="43"/>
      <c r="F273" s="44" t="str">
        <f>INDEX(meta_Tables[Excel Table - Excel Name],MATCH(meta_Columns[[#This Row],[Owning Table:src]],meta_Tables[ID],0))</f>
        <v>meta_Rules</v>
      </c>
      <c r="G273" s="44" t="str">
        <f>INDEX(meta_Tables[Instances Class:src],MATCH(meta_Columns[[#This Row],[Owning Table:src]],meta_Tables[ID],0))</f>
        <v>_Rule</v>
      </c>
      <c r="H273" s="11" t="s">
        <v>1014</v>
      </c>
      <c r="I273" s="43" t="str">
        <f xml:space="preserve"> IF( TRIM( meta_Columns[[#This Row],[Owning Table:src]] ) = "", "",
        INDEX( meta_Tables[Display Qualified], MATCH( meta_Columns[[#This Row],[Owning Table:src]], meta_Tables[ID], 0 ) ) )</f>
        <v>meta::Rules</v>
      </c>
      <c r="K273" s="22" t="str">
        <f>IF(TRIM(meta_Columns[[#This Row],[Referenced Table:src]])="","",
    INDEX(meta_Tables[Display Qualified],MATCH(meta_Columns[[#This Row],[Referenced Table:src]],meta_Tables[ID],0)))</f>
        <v/>
      </c>
      <c r="L273" s="8"/>
      <c r="M273" s="22"/>
      <c r="N273" s="8" t="str">
        <f>IF(meta_Columns[[#This Row],[Excel Column - Excel Formula]]="","x","")</f>
        <v/>
      </c>
      <c r="O273" s="22"/>
      <c r="P273" s="8" t="str">
        <f>IF(meta_Columns[[#This Row],[Referenced Table:src]]="","",INDEX(meta_Tables[Instances Class],MATCH(meta_Columns[[#This Row],[Referenced Table:src]],meta_Tables[ID],0)))</f>
        <v/>
      </c>
      <c r="Q2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3" s="8"/>
      <c r="S273" s="22" t="str">
        <f xml:space="preserve"> IF( TRIM( meta_Columns[[#This Row],[Property:src]] ) = "", "",
        INDEX( meta_TypedModelElements[Display Qualified], MATCH( meta_Columns[[#This Row],[Property:src]], meta_TypedModelElements[ID], 0 ) ) )</f>
        <v/>
      </c>
      <c r="T273" s="22"/>
      <c r="U273" s="8" t="e">
        <f>INDEX(meta_Classifiers[Class - Generalization:src], MATCH(meta_Columns[[#This Row],[Generalization 5]],meta_Classifiers[ID],0))</f>
        <v>#N/A</v>
      </c>
      <c r="V273" s="8" t="e">
        <f>INDEX(meta_Classifiers[Class - Generalization:src], MATCH(meta_Columns[[#This Row],[Generalization 4]],meta_Classifiers[ID],0))</f>
        <v>#N/A</v>
      </c>
      <c r="W273" s="8" t="e">
        <f>INDEX(meta_Classifiers[Class - Generalization:src], MATCH(meta_Columns[[#This Row],[Generalization 3]],meta_Classifiers[ID],0))</f>
        <v>#N/A</v>
      </c>
      <c r="X273" s="8" t="str">
        <f>INDEX(meta_Classifiers[Class - Generalization:src], MATCH(meta_Columns[[#This Row],[Generalization 2]],meta_Classifiers[ID],0))</f>
        <v/>
      </c>
      <c r="Y273" s="8" t="str">
        <f>INDEX(meta_Classifiers[Class - Generalization:src], MATCH(meta_Columns[[#This Row],[Generalization 1]],meta_Classifiers[ID],0))</f>
        <v>_Object</v>
      </c>
      <c r="Z273" s="8" t="str">
        <f>INDEX(meta_Classifiers[Class - Generalization:src], MATCH(meta_Columns[[#This Row],[Owning Table Instances Class]],meta_Classifiers[ID],0))</f>
        <v>_NamedElement</v>
      </c>
      <c r="AA2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3" s="8" t="b">
        <f>_xlfn.IFNA(
INDEX(meta_Classifiers[Class - Generalization:src],MATCH(
INDEX(meta_Classifiers[Class - Generalization:src],MATCH(meta_Columns[[#This Row],[Property Owning Class]],meta_Classifiers[ID],0)),meta_Classifiers[ID],0))
=meta_Columns[[#This Row],[Owning Table Instances Class]],FALSE)</f>
        <v>0</v>
      </c>
      <c r="AG273" s="8" t="b">
        <f>_xlfn.IFNA(INDEX(meta_Classifiers[Class - Generalization:src],MATCH(meta_Columns[[#This Row],[Property Owning Class]],meta_Classifiers[ID],0))=meta_Columns[[#This Row],[Owning Table Instances Class]],FALSE)</f>
        <v>0</v>
      </c>
      <c r="AH2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3" s="8" t="e">
        <f>INDEX(meta_Classifiers[Name],MATCH(INDEX(meta_TypedModelElements[Property - Owning Class:src],MATCH(meta_Columns[[#This Row],[Property]],meta_TypedModelElements[ID],0)),meta_Classifiers[ID],0))</f>
        <v>#N/A</v>
      </c>
      <c r="AJ273" s="8" t="e">
        <f>INDEX(meta_TypedModelElements[Property - Owning Class:src],MATCH(meta_Columns[[#This Row],[Property]],meta_TypedModelElements[ID],0))</f>
        <v>#N/A</v>
      </c>
      <c r="AK273" s="8" t="e">
        <f>INDEX(meta_TypedModelElements[Kind:src],MATCH(meta_Columns[[#This Row],[Property]],meta_TypedModelElements[ID],0))</f>
        <v>#N/A</v>
      </c>
      <c r="AL273" s="8" t="e">
        <f>INDEX(meta_TypedModelElements[Name or Type],MATCH(meta_Columns[[#This Row],[Property]],meta_TypedModelElements[ID],0))</f>
        <v>#N/A</v>
      </c>
      <c r="AM273" s="8" t="e">
        <f>INDEX(meta_TypedModelElements[Property - Changeable],MATCH(meta_Columns[[#This Row],[Property]],meta_TypedModelElements[ID],0))</f>
        <v>#N/A</v>
      </c>
      <c r="AN273" s="43">
        <v>83</v>
      </c>
      <c r="AO273" s="22"/>
      <c r="AP2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3" s="8" t="str">
        <f xml:space="preserve"> IF(meta_Columns[[#This Row],[Property Owning Class is Specialization of Instance Class]],meta_Columns[[#This Row],[Property Owning Class Name]]&amp;" - ","")</f>
        <v/>
      </c>
      <c r="AR2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3" s="8" t="str">
        <f>IFERROR(LEFT(meta_Columns[[#This Row],[Excel Column - Label Actual without Semantic Case]],FIND("-",
meta_Columns[[#This Row],[Excel Column - Label Actual without Semantic Case]])-2),"")</f>
        <v/>
      </c>
      <c r="AU2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5:display:q.</v>
      </c>
      <c r="AX273" s="22"/>
      <c r="AY273" s="8" t="str">
        <f>meta_Columns[[#This Row],[Owning Table]]&amp;"."&amp;meta_Columns[[#This Row],[Excel Column - Label]]</f>
        <v>meta::Rules.Property 2 Super Class 5:display:q.</v>
      </c>
      <c r="AZ273" s="43" t="s">
        <v>375</v>
      </c>
      <c r="BA273" s="44" t="str">
        <f>IF(TRIM(meta_Columns[[#This Row],[Excel Column - Label Overwrite]])&lt;&gt;"",meta_Columns[[#This Row],[Excel Column - Label Overwrite]],meta_Columns[[#This Row],[Excel Column - Label from Property or Referenced Table]])</f>
        <v>Property 2 Super Class 5:display:q.</v>
      </c>
      <c r="BB273" s="43" t="s">
        <v>980</v>
      </c>
      <c r="BC273" s="44" t="str">
        <f>IF(meta_Columns[[#This Row],[Excel Column - Explicit Excel Formula]]="","",meta_Columns[[#This Row],[Excel Column - Explicit Excel Formula]])</f>
        <v>Formula:=IFNA(INDEX(meta_Classifiers[Display Qualified],MATCH([@[Property 2 Super Class 5]],meta_Classifiers[ID],0))&amp;".","")</v>
      </c>
      <c r="BD273" s="5"/>
      <c r="BE273" s="5"/>
    </row>
    <row r="274" spans="1:57">
      <c r="A274" s="10" t="s">
        <v>1238</v>
      </c>
      <c r="B274" s="5" t="s">
        <v>546</v>
      </c>
      <c r="C274" s="22" t="str">
        <f xml:space="preserve"> IF( TRIM( meta_Columns[[#This Row],[Kind:src]] ) = "", "",
        INDEX( meta_Classifiers[Display Qualified], MATCH( meta_Columns[[#This Row],[Kind:src]], meta_Classifiers[ID], 0 ) ) )</f>
        <v>ExcelColumn</v>
      </c>
      <c r="D274" s="44" t="str">
        <f>IF(meta_Columns[[#This Row],[Owning Table:src]]="","",INDEX(meta_Classifiers[Package],MATCH(meta_Columns[[#This Row],[Owning Table Instances Class]],meta_Classifiers[ID],0)))</f>
        <v>meta</v>
      </c>
      <c r="E274" s="43"/>
      <c r="F274" s="44" t="str">
        <f>INDEX(meta_Tables[Excel Table - Excel Name],MATCH(meta_Columns[[#This Row],[Owning Table:src]],meta_Tables[ID],0))</f>
        <v>meta_Rules</v>
      </c>
      <c r="G274" s="44" t="str">
        <f>INDEX(meta_Tables[Instances Class:src],MATCH(meta_Columns[[#This Row],[Owning Table:src]],meta_Tables[ID],0))</f>
        <v>_Rule</v>
      </c>
      <c r="H274" s="11" t="s">
        <v>1014</v>
      </c>
      <c r="I274" s="43" t="str">
        <f xml:space="preserve"> IF( TRIM( meta_Columns[[#This Row],[Owning Table:src]] ) = "", "",
        INDEX( meta_Tables[Display Qualified], MATCH( meta_Columns[[#This Row],[Owning Table:src]], meta_Tables[ID], 0 ) ) )</f>
        <v>meta::Rules</v>
      </c>
      <c r="K274" s="22" t="str">
        <f>IF(TRIM(meta_Columns[[#This Row],[Referenced Table:src]])="","",
    INDEX(meta_Tables[Display Qualified],MATCH(meta_Columns[[#This Row],[Referenced Table:src]],meta_Tables[ID],0)))</f>
        <v/>
      </c>
      <c r="L274" s="8"/>
      <c r="M274" s="22"/>
      <c r="N274" s="8" t="str">
        <f>IF(meta_Columns[[#This Row],[Excel Column - Excel Formula]]="","x","")</f>
        <v/>
      </c>
      <c r="O274" s="22"/>
      <c r="P274" s="8" t="str">
        <f>IF(meta_Columns[[#This Row],[Referenced Table:src]]="","",INDEX(meta_Tables[Instances Class],MATCH(meta_Columns[[#This Row],[Referenced Table:src]],meta_Tables[ID],0)))</f>
        <v/>
      </c>
      <c r="Q2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4" s="8"/>
      <c r="S274" s="22" t="str">
        <f xml:space="preserve"> IF( TRIM( meta_Columns[[#This Row],[Property:src]] ) = "", "",
        INDEX( meta_TypedModelElements[Display Qualified], MATCH( meta_Columns[[#This Row],[Property:src]], meta_TypedModelElements[ID], 0 ) ) )</f>
        <v/>
      </c>
      <c r="T274" s="22"/>
      <c r="U274" s="8" t="e">
        <f>INDEX(meta_Classifiers[Class - Generalization:src], MATCH(meta_Columns[[#This Row],[Generalization 5]],meta_Classifiers[ID],0))</f>
        <v>#N/A</v>
      </c>
      <c r="V274" s="8" t="e">
        <f>INDEX(meta_Classifiers[Class - Generalization:src], MATCH(meta_Columns[[#This Row],[Generalization 4]],meta_Classifiers[ID],0))</f>
        <v>#N/A</v>
      </c>
      <c r="W274" s="8" t="e">
        <f>INDEX(meta_Classifiers[Class - Generalization:src], MATCH(meta_Columns[[#This Row],[Generalization 3]],meta_Classifiers[ID],0))</f>
        <v>#N/A</v>
      </c>
      <c r="X274" s="8" t="str">
        <f>INDEX(meta_Classifiers[Class - Generalization:src], MATCH(meta_Columns[[#This Row],[Generalization 2]],meta_Classifiers[ID],0))</f>
        <v/>
      </c>
      <c r="Y274" s="8" t="str">
        <f>INDEX(meta_Classifiers[Class - Generalization:src], MATCH(meta_Columns[[#This Row],[Generalization 1]],meta_Classifiers[ID],0))</f>
        <v>_Object</v>
      </c>
      <c r="Z274" s="8" t="str">
        <f>INDEX(meta_Classifiers[Class - Generalization:src], MATCH(meta_Columns[[#This Row],[Owning Table Instances Class]],meta_Classifiers[ID],0))</f>
        <v>_NamedElement</v>
      </c>
      <c r="AA2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4" s="8" t="b">
        <f>_xlfn.IFNA(
INDEX(meta_Classifiers[Class - Generalization:src],MATCH(
INDEX(meta_Classifiers[Class - Generalization:src],MATCH(meta_Columns[[#This Row],[Property Owning Class]],meta_Classifiers[ID],0)),meta_Classifiers[ID],0))
=meta_Columns[[#This Row],[Owning Table Instances Class]],FALSE)</f>
        <v>0</v>
      </c>
      <c r="AG274" s="8" t="b">
        <f>_xlfn.IFNA(INDEX(meta_Classifiers[Class - Generalization:src],MATCH(meta_Columns[[#This Row],[Property Owning Class]],meta_Classifiers[ID],0))=meta_Columns[[#This Row],[Owning Table Instances Class]],FALSE)</f>
        <v>0</v>
      </c>
      <c r="AH2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4" s="8" t="e">
        <f>INDEX(meta_Classifiers[Name],MATCH(INDEX(meta_TypedModelElements[Property - Owning Class:src],MATCH(meta_Columns[[#This Row],[Property]],meta_TypedModelElements[ID],0)),meta_Classifiers[ID],0))</f>
        <v>#N/A</v>
      </c>
      <c r="AJ274" s="8" t="e">
        <f>INDEX(meta_TypedModelElements[Property - Owning Class:src],MATCH(meta_Columns[[#This Row],[Property]],meta_TypedModelElements[ID],0))</f>
        <v>#N/A</v>
      </c>
      <c r="AK274" s="8" t="e">
        <f>INDEX(meta_TypedModelElements[Kind:src],MATCH(meta_Columns[[#This Row],[Property]],meta_TypedModelElements[ID],0))</f>
        <v>#N/A</v>
      </c>
      <c r="AL274" s="8" t="e">
        <f>INDEX(meta_TypedModelElements[Name or Type],MATCH(meta_Columns[[#This Row],[Property]],meta_TypedModelElements[ID],0))</f>
        <v>#N/A</v>
      </c>
      <c r="AM274" s="8" t="e">
        <f>INDEX(meta_TypedModelElements[Property - Changeable],MATCH(meta_Columns[[#This Row],[Property]],meta_TypedModelElements[ID],0))</f>
        <v>#N/A</v>
      </c>
      <c r="AN274" s="43">
        <v>84</v>
      </c>
      <c r="AO274" s="22"/>
      <c r="AP2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4" s="8" t="str">
        <f xml:space="preserve"> IF(meta_Columns[[#This Row],[Property Owning Class is Specialization of Instance Class]],meta_Columns[[#This Row],[Property Owning Class Name]]&amp;" - ","")</f>
        <v/>
      </c>
      <c r="AR2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4" s="8" t="str">
        <f>IFERROR(LEFT(meta_Columns[[#This Row],[Excel Column - Label Actual without Semantic Case]],FIND("-",
meta_Columns[[#This Row],[Excel Column - Label Actual without Semantic Case]])-2),"")</f>
        <v/>
      </c>
      <c r="AU2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v>
      </c>
      <c r="AX274" s="22"/>
      <c r="AY274" s="8" t="str">
        <f>meta_Columns[[#This Row],[Owning Table]]&amp;"."&amp;meta_Columns[[#This Row],[Excel Column - Label]]</f>
        <v>meta::Rules.Property 2 Super Class 5</v>
      </c>
      <c r="AZ274" s="43" t="s">
        <v>376</v>
      </c>
      <c r="BA274" s="44" t="str">
        <f>IF(TRIM(meta_Columns[[#This Row],[Excel Column - Label Overwrite]])&lt;&gt;"",meta_Columns[[#This Row],[Excel Column - Label Overwrite]],meta_Columns[[#This Row],[Excel Column - Label from Property or Referenced Table]])</f>
        <v>Property 2 Super Class 5</v>
      </c>
      <c r="BB274" s="43" t="s">
        <v>1550</v>
      </c>
      <c r="BC274" s="44" t="str">
        <f>IF(meta_Columns[[#This Row],[Excel Column - Explicit Excel Formula]]="","",meta_Columns[[#This Row],[Excel Column - Explicit Excel Formula]])</f>
        <v>Formula:=IFNA(INDEX(#REF!,MATCH([@[Property 2 Super Class 4]],meta_Classifiers[ID],0)),0)</v>
      </c>
      <c r="BD274" s="5"/>
      <c r="BE274" s="5"/>
    </row>
    <row r="275" spans="1:57">
      <c r="A275" s="10" t="s">
        <v>1239</v>
      </c>
      <c r="B275" s="5" t="s">
        <v>546</v>
      </c>
      <c r="C275" s="22" t="str">
        <f xml:space="preserve"> IF( TRIM( meta_Columns[[#This Row],[Kind:src]] ) = "", "",
        INDEX( meta_Classifiers[Display Qualified], MATCH( meta_Columns[[#This Row],[Kind:src]], meta_Classifiers[ID], 0 ) ) )</f>
        <v>ExcelColumn</v>
      </c>
      <c r="D275" s="44" t="str">
        <f>IF(meta_Columns[[#This Row],[Owning Table:src]]="","",INDEX(meta_Classifiers[Package],MATCH(meta_Columns[[#This Row],[Owning Table Instances Class]],meta_Classifiers[ID],0)))</f>
        <v>meta</v>
      </c>
      <c r="E275" s="43"/>
      <c r="F275" s="44" t="str">
        <f>INDEX(meta_Tables[Excel Table - Excel Name],MATCH(meta_Columns[[#This Row],[Owning Table:src]],meta_Tables[ID],0))</f>
        <v>meta_Rules</v>
      </c>
      <c r="G275" s="44" t="str">
        <f>INDEX(meta_Tables[Instances Class:src],MATCH(meta_Columns[[#This Row],[Owning Table:src]],meta_Tables[ID],0))</f>
        <v>_Rule</v>
      </c>
      <c r="H275" s="11" t="s">
        <v>1014</v>
      </c>
      <c r="I275" s="43" t="str">
        <f xml:space="preserve"> IF( TRIM( meta_Columns[[#This Row],[Owning Table:src]] ) = "", "",
        INDEX( meta_Tables[Display Qualified], MATCH( meta_Columns[[#This Row],[Owning Table:src]], meta_Tables[ID], 0 ) ) )</f>
        <v>meta::Rules</v>
      </c>
      <c r="K275" s="22" t="str">
        <f>IF(TRIM(meta_Columns[[#This Row],[Referenced Table:src]])="","",
    INDEX(meta_Tables[Display Qualified],MATCH(meta_Columns[[#This Row],[Referenced Table:src]],meta_Tables[ID],0)))</f>
        <v/>
      </c>
      <c r="L275" s="8"/>
      <c r="M275" s="22"/>
      <c r="N275" s="8" t="str">
        <f>IF(meta_Columns[[#This Row],[Excel Column - Excel Formula]]="","x","")</f>
        <v/>
      </c>
      <c r="O275" s="22"/>
      <c r="P275" s="8" t="str">
        <f>IF(meta_Columns[[#This Row],[Referenced Table:src]]="","",INDEX(meta_Tables[Instances Class],MATCH(meta_Columns[[#This Row],[Referenced Table:src]],meta_Tables[ID],0)))</f>
        <v/>
      </c>
      <c r="Q2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5" s="8"/>
      <c r="S275" s="22" t="str">
        <f xml:space="preserve"> IF( TRIM( meta_Columns[[#This Row],[Property:src]] ) = "", "",
        INDEX( meta_TypedModelElements[Display Qualified], MATCH( meta_Columns[[#This Row],[Property:src]], meta_TypedModelElements[ID], 0 ) ) )</f>
        <v/>
      </c>
      <c r="T275" s="22"/>
      <c r="U275" s="8" t="e">
        <f>INDEX(meta_Classifiers[Class - Generalization:src], MATCH(meta_Columns[[#This Row],[Generalization 5]],meta_Classifiers[ID],0))</f>
        <v>#N/A</v>
      </c>
      <c r="V275" s="8" t="e">
        <f>INDEX(meta_Classifiers[Class - Generalization:src], MATCH(meta_Columns[[#This Row],[Generalization 4]],meta_Classifiers[ID],0))</f>
        <v>#N/A</v>
      </c>
      <c r="W275" s="8" t="e">
        <f>INDEX(meta_Classifiers[Class - Generalization:src], MATCH(meta_Columns[[#This Row],[Generalization 3]],meta_Classifiers[ID],0))</f>
        <v>#N/A</v>
      </c>
      <c r="X275" s="8" t="str">
        <f>INDEX(meta_Classifiers[Class - Generalization:src], MATCH(meta_Columns[[#This Row],[Generalization 2]],meta_Classifiers[ID],0))</f>
        <v/>
      </c>
      <c r="Y275" s="8" t="str">
        <f>INDEX(meta_Classifiers[Class - Generalization:src], MATCH(meta_Columns[[#This Row],[Generalization 1]],meta_Classifiers[ID],0))</f>
        <v>_Object</v>
      </c>
      <c r="Z275" s="8" t="str">
        <f>INDEX(meta_Classifiers[Class - Generalization:src], MATCH(meta_Columns[[#This Row],[Owning Table Instances Class]],meta_Classifiers[ID],0))</f>
        <v>_NamedElement</v>
      </c>
      <c r="AA2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5" s="8" t="b">
        <f>_xlfn.IFNA(
INDEX(meta_Classifiers[Class - Generalization:src],MATCH(
INDEX(meta_Classifiers[Class - Generalization:src],MATCH(meta_Columns[[#This Row],[Property Owning Class]],meta_Classifiers[ID],0)),meta_Classifiers[ID],0))
=meta_Columns[[#This Row],[Owning Table Instances Class]],FALSE)</f>
        <v>0</v>
      </c>
      <c r="AG275" s="8" t="b">
        <f>_xlfn.IFNA(INDEX(meta_Classifiers[Class - Generalization:src],MATCH(meta_Columns[[#This Row],[Property Owning Class]],meta_Classifiers[ID],0))=meta_Columns[[#This Row],[Owning Table Instances Class]],FALSE)</f>
        <v>0</v>
      </c>
      <c r="AH2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5" s="8" t="e">
        <f>INDEX(meta_Classifiers[Name],MATCH(INDEX(meta_TypedModelElements[Property - Owning Class:src],MATCH(meta_Columns[[#This Row],[Property]],meta_TypedModelElements[ID],0)),meta_Classifiers[ID],0))</f>
        <v>#N/A</v>
      </c>
      <c r="AJ275" s="8" t="e">
        <f>INDEX(meta_TypedModelElements[Property - Owning Class:src],MATCH(meta_Columns[[#This Row],[Property]],meta_TypedModelElements[ID],0))</f>
        <v>#N/A</v>
      </c>
      <c r="AK275" s="8" t="e">
        <f>INDEX(meta_TypedModelElements[Kind:src],MATCH(meta_Columns[[#This Row],[Property]],meta_TypedModelElements[ID],0))</f>
        <v>#N/A</v>
      </c>
      <c r="AL275" s="8" t="e">
        <f>INDEX(meta_TypedModelElements[Name or Type],MATCH(meta_Columns[[#This Row],[Property]],meta_TypedModelElements[ID],0))</f>
        <v>#N/A</v>
      </c>
      <c r="AM275" s="8" t="e">
        <f>INDEX(meta_TypedModelElements[Property - Changeable],MATCH(meta_Columns[[#This Row],[Property]],meta_TypedModelElements[ID],0))</f>
        <v>#N/A</v>
      </c>
      <c r="AN275" s="43">
        <v>85</v>
      </c>
      <c r="AO275" s="22"/>
      <c r="AP2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5" s="8" t="str">
        <f xml:space="preserve"> IF(meta_Columns[[#This Row],[Property Owning Class is Specialization of Instance Class]],meta_Columns[[#This Row],[Property Owning Class Name]]&amp;" - ","")</f>
        <v/>
      </c>
      <c r="AR2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5" s="8" t="str">
        <f>IFERROR(LEFT(meta_Columns[[#This Row],[Excel Column - Label Actual without Semantic Case]],FIND("-",
meta_Columns[[#This Row],[Excel Column - Label Actual without Semantic Case]])-2),"")</f>
        <v/>
      </c>
      <c r="AU2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4:display:q.</v>
      </c>
      <c r="AX275" s="22"/>
      <c r="AY275" s="8" t="str">
        <f>meta_Columns[[#This Row],[Owning Table]]&amp;"."&amp;meta_Columns[[#This Row],[Excel Column - Label]]</f>
        <v>meta::Rules.Property 2 Super Class 4:display:q.</v>
      </c>
      <c r="AZ275" s="43" t="s">
        <v>377</v>
      </c>
      <c r="BA275" s="44" t="str">
        <f>IF(TRIM(meta_Columns[[#This Row],[Excel Column - Label Overwrite]])&lt;&gt;"",meta_Columns[[#This Row],[Excel Column - Label Overwrite]],meta_Columns[[#This Row],[Excel Column - Label from Property or Referenced Table]])</f>
        <v>Property 2 Super Class 4:display:q.</v>
      </c>
      <c r="BB275" s="43" t="s">
        <v>981</v>
      </c>
      <c r="BC275" s="44" t="str">
        <f>IF(meta_Columns[[#This Row],[Excel Column - Explicit Excel Formula]]="","",meta_Columns[[#This Row],[Excel Column - Explicit Excel Formula]])</f>
        <v>Formula:=IFNA(INDEX(meta_Classifiers[Display Qualified],MATCH([@[Property 2 Super Class 4]],meta_Classifiers[ID],0))&amp;".","")</v>
      </c>
      <c r="BD275" s="5"/>
      <c r="BE275" s="5"/>
    </row>
    <row r="276" spans="1:57">
      <c r="A276" s="10" t="s">
        <v>1240</v>
      </c>
      <c r="B276" s="5" t="s">
        <v>546</v>
      </c>
      <c r="C276" s="22" t="str">
        <f xml:space="preserve"> IF( TRIM( meta_Columns[[#This Row],[Kind:src]] ) = "", "",
        INDEX( meta_Classifiers[Display Qualified], MATCH( meta_Columns[[#This Row],[Kind:src]], meta_Classifiers[ID], 0 ) ) )</f>
        <v>ExcelColumn</v>
      </c>
      <c r="D276" s="44" t="str">
        <f>IF(meta_Columns[[#This Row],[Owning Table:src]]="","",INDEX(meta_Classifiers[Package],MATCH(meta_Columns[[#This Row],[Owning Table Instances Class]],meta_Classifiers[ID],0)))</f>
        <v>meta</v>
      </c>
      <c r="E276" s="43"/>
      <c r="F276" s="44" t="str">
        <f>INDEX(meta_Tables[Excel Table - Excel Name],MATCH(meta_Columns[[#This Row],[Owning Table:src]],meta_Tables[ID],0))</f>
        <v>meta_Rules</v>
      </c>
      <c r="G276" s="44" t="str">
        <f>INDEX(meta_Tables[Instances Class:src],MATCH(meta_Columns[[#This Row],[Owning Table:src]],meta_Tables[ID],0))</f>
        <v>_Rule</v>
      </c>
      <c r="H276" s="11" t="s">
        <v>1014</v>
      </c>
      <c r="I276" s="43" t="str">
        <f xml:space="preserve"> IF( TRIM( meta_Columns[[#This Row],[Owning Table:src]] ) = "", "",
        INDEX( meta_Tables[Display Qualified], MATCH( meta_Columns[[#This Row],[Owning Table:src]], meta_Tables[ID], 0 ) ) )</f>
        <v>meta::Rules</v>
      </c>
      <c r="K276" s="22" t="str">
        <f>IF(TRIM(meta_Columns[[#This Row],[Referenced Table:src]])="","",
    INDEX(meta_Tables[Display Qualified],MATCH(meta_Columns[[#This Row],[Referenced Table:src]],meta_Tables[ID],0)))</f>
        <v/>
      </c>
      <c r="L276" s="8"/>
      <c r="M276" s="22"/>
      <c r="N276" s="8" t="str">
        <f>IF(meta_Columns[[#This Row],[Excel Column - Excel Formula]]="","x","")</f>
        <v/>
      </c>
      <c r="O276" s="22"/>
      <c r="P276" s="8" t="str">
        <f>IF(meta_Columns[[#This Row],[Referenced Table:src]]="","",INDEX(meta_Tables[Instances Class],MATCH(meta_Columns[[#This Row],[Referenced Table:src]],meta_Tables[ID],0)))</f>
        <v/>
      </c>
      <c r="Q2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6" s="8"/>
      <c r="S276" s="22" t="str">
        <f xml:space="preserve"> IF( TRIM( meta_Columns[[#This Row],[Property:src]] ) = "", "",
        INDEX( meta_TypedModelElements[Display Qualified], MATCH( meta_Columns[[#This Row],[Property:src]], meta_TypedModelElements[ID], 0 ) ) )</f>
        <v/>
      </c>
      <c r="T276" s="22"/>
      <c r="U276" s="8" t="e">
        <f>INDEX(meta_Classifiers[Class - Generalization:src], MATCH(meta_Columns[[#This Row],[Generalization 5]],meta_Classifiers[ID],0))</f>
        <v>#N/A</v>
      </c>
      <c r="V276" s="8" t="e">
        <f>INDEX(meta_Classifiers[Class - Generalization:src], MATCH(meta_Columns[[#This Row],[Generalization 4]],meta_Classifiers[ID],0))</f>
        <v>#N/A</v>
      </c>
      <c r="W276" s="8" t="e">
        <f>INDEX(meta_Classifiers[Class - Generalization:src], MATCH(meta_Columns[[#This Row],[Generalization 3]],meta_Classifiers[ID],0))</f>
        <v>#N/A</v>
      </c>
      <c r="X276" s="8" t="str">
        <f>INDEX(meta_Classifiers[Class - Generalization:src], MATCH(meta_Columns[[#This Row],[Generalization 2]],meta_Classifiers[ID],0))</f>
        <v/>
      </c>
      <c r="Y276" s="8" t="str">
        <f>INDEX(meta_Classifiers[Class - Generalization:src], MATCH(meta_Columns[[#This Row],[Generalization 1]],meta_Classifiers[ID],0))</f>
        <v>_Object</v>
      </c>
      <c r="Z276" s="8" t="str">
        <f>INDEX(meta_Classifiers[Class - Generalization:src], MATCH(meta_Columns[[#This Row],[Owning Table Instances Class]],meta_Classifiers[ID],0))</f>
        <v>_NamedElement</v>
      </c>
      <c r="AA2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6" s="8" t="b">
        <f>_xlfn.IFNA(
INDEX(meta_Classifiers[Class - Generalization:src],MATCH(
INDEX(meta_Classifiers[Class - Generalization:src],MATCH(meta_Columns[[#This Row],[Property Owning Class]],meta_Classifiers[ID],0)),meta_Classifiers[ID],0))
=meta_Columns[[#This Row],[Owning Table Instances Class]],FALSE)</f>
        <v>0</v>
      </c>
      <c r="AG276" s="8" t="b">
        <f>_xlfn.IFNA(INDEX(meta_Classifiers[Class - Generalization:src],MATCH(meta_Columns[[#This Row],[Property Owning Class]],meta_Classifiers[ID],0))=meta_Columns[[#This Row],[Owning Table Instances Class]],FALSE)</f>
        <v>0</v>
      </c>
      <c r="AH2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6" s="8" t="e">
        <f>INDEX(meta_Classifiers[Name],MATCH(INDEX(meta_TypedModelElements[Property - Owning Class:src],MATCH(meta_Columns[[#This Row],[Property]],meta_TypedModelElements[ID],0)),meta_Classifiers[ID],0))</f>
        <v>#N/A</v>
      </c>
      <c r="AJ276" s="8" t="e">
        <f>INDEX(meta_TypedModelElements[Property - Owning Class:src],MATCH(meta_Columns[[#This Row],[Property]],meta_TypedModelElements[ID],0))</f>
        <v>#N/A</v>
      </c>
      <c r="AK276" s="8" t="e">
        <f>INDEX(meta_TypedModelElements[Kind:src],MATCH(meta_Columns[[#This Row],[Property]],meta_TypedModelElements[ID],0))</f>
        <v>#N/A</v>
      </c>
      <c r="AL276" s="8" t="e">
        <f>INDEX(meta_TypedModelElements[Name or Type],MATCH(meta_Columns[[#This Row],[Property]],meta_TypedModelElements[ID],0))</f>
        <v>#N/A</v>
      </c>
      <c r="AM276" s="8" t="e">
        <f>INDEX(meta_TypedModelElements[Property - Changeable],MATCH(meta_Columns[[#This Row],[Property]],meta_TypedModelElements[ID],0))</f>
        <v>#N/A</v>
      </c>
      <c r="AN276" s="43">
        <v>86</v>
      </c>
      <c r="AO276" s="22"/>
      <c r="AP2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6" s="8" t="str">
        <f xml:space="preserve"> IF(meta_Columns[[#This Row],[Property Owning Class is Specialization of Instance Class]],meta_Columns[[#This Row],[Property Owning Class Name]]&amp;" - ","")</f>
        <v/>
      </c>
      <c r="AR2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6" s="8" t="str">
        <f>IFERROR(LEFT(meta_Columns[[#This Row],[Excel Column - Label Actual without Semantic Case]],FIND("-",
meta_Columns[[#This Row],[Excel Column - Label Actual without Semantic Case]])-2),"")</f>
        <v/>
      </c>
      <c r="AU2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v>
      </c>
      <c r="AX276" s="22"/>
      <c r="AY276" s="8" t="str">
        <f>meta_Columns[[#This Row],[Owning Table]]&amp;"."&amp;meta_Columns[[#This Row],[Excel Column - Label]]</f>
        <v>meta::Rules.Property 2 Super Class 4</v>
      </c>
      <c r="AZ276" s="43" t="s">
        <v>378</v>
      </c>
      <c r="BA276" s="44" t="str">
        <f>IF(TRIM(meta_Columns[[#This Row],[Excel Column - Label Overwrite]])&lt;&gt;"",meta_Columns[[#This Row],[Excel Column - Label Overwrite]],meta_Columns[[#This Row],[Excel Column - Label from Property or Referenced Table]])</f>
        <v>Property 2 Super Class 4</v>
      </c>
      <c r="BB276" s="43" t="s">
        <v>1551</v>
      </c>
      <c r="BC276" s="44" t="str">
        <f>IF(meta_Columns[[#This Row],[Excel Column - Explicit Excel Formula]]="","",meta_Columns[[#This Row],[Excel Column - Explicit Excel Formula]])</f>
        <v>Formula:=IFNA(INDEX(#REF!,MATCH([@[Property 2 Super Class 3]],meta_Classifiers[ID],0)),0)</v>
      </c>
      <c r="BD276" s="5"/>
      <c r="BE276" s="5"/>
    </row>
    <row r="277" spans="1:57">
      <c r="A277" s="10" t="s">
        <v>1241</v>
      </c>
      <c r="B277" s="5" t="s">
        <v>546</v>
      </c>
      <c r="C277" s="22" t="str">
        <f xml:space="preserve"> IF( TRIM( meta_Columns[[#This Row],[Kind:src]] ) = "", "",
        INDEX( meta_Classifiers[Display Qualified], MATCH( meta_Columns[[#This Row],[Kind:src]], meta_Classifiers[ID], 0 ) ) )</f>
        <v>ExcelColumn</v>
      </c>
      <c r="D277" s="44" t="str">
        <f>IF(meta_Columns[[#This Row],[Owning Table:src]]="","",INDEX(meta_Classifiers[Package],MATCH(meta_Columns[[#This Row],[Owning Table Instances Class]],meta_Classifiers[ID],0)))</f>
        <v>meta</v>
      </c>
      <c r="E277" s="43"/>
      <c r="F277" s="44" t="str">
        <f>INDEX(meta_Tables[Excel Table - Excel Name],MATCH(meta_Columns[[#This Row],[Owning Table:src]],meta_Tables[ID],0))</f>
        <v>meta_Rules</v>
      </c>
      <c r="G277" s="44" t="str">
        <f>INDEX(meta_Tables[Instances Class:src],MATCH(meta_Columns[[#This Row],[Owning Table:src]],meta_Tables[ID],0))</f>
        <v>_Rule</v>
      </c>
      <c r="H277" s="11" t="s">
        <v>1014</v>
      </c>
      <c r="I277" s="43" t="str">
        <f xml:space="preserve"> IF( TRIM( meta_Columns[[#This Row],[Owning Table:src]] ) = "", "",
        INDEX( meta_Tables[Display Qualified], MATCH( meta_Columns[[#This Row],[Owning Table:src]], meta_Tables[ID], 0 ) ) )</f>
        <v>meta::Rules</v>
      </c>
      <c r="K277" s="22" t="str">
        <f>IF(TRIM(meta_Columns[[#This Row],[Referenced Table:src]])="","",
    INDEX(meta_Tables[Display Qualified],MATCH(meta_Columns[[#This Row],[Referenced Table:src]],meta_Tables[ID],0)))</f>
        <v/>
      </c>
      <c r="L277" s="8"/>
      <c r="M277" s="22"/>
      <c r="N277" s="8" t="str">
        <f>IF(meta_Columns[[#This Row],[Excel Column - Excel Formula]]="","x","")</f>
        <v/>
      </c>
      <c r="O277" s="22"/>
      <c r="P277" s="8" t="str">
        <f>IF(meta_Columns[[#This Row],[Referenced Table:src]]="","",INDEX(meta_Tables[Instances Class],MATCH(meta_Columns[[#This Row],[Referenced Table:src]],meta_Tables[ID],0)))</f>
        <v/>
      </c>
      <c r="Q2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7" s="8"/>
      <c r="S277" s="22" t="str">
        <f xml:space="preserve"> IF( TRIM( meta_Columns[[#This Row],[Property:src]] ) = "", "",
        INDEX( meta_TypedModelElements[Display Qualified], MATCH( meta_Columns[[#This Row],[Property:src]], meta_TypedModelElements[ID], 0 ) ) )</f>
        <v/>
      </c>
      <c r="T277" s="22"/>
      <c r="U277" s="8" t="e">
        <f>INDEX(meta_Classifiers[Class - Generalization:src], MATCH(meta_Columns[[#This Row],[Generalization 5]],meta_Classifiers[ID],0))</f>
        <v>#N/A</v>
      </c>
      <c r="V277" s="8" t="e">
        <f>INDEX(meta_Classifiers[Class - Generalization:src], MATCH(meta_Columns[[#This Row],[Generalization 4]],meta_Classifiers[ID],0))</f>
        <v>#N/A</v>
      </c>
      <c r="W277" s="8" t="e">
        <f>INDEX(meta_Classifiers[Class - Generalization:src], MATCH(meta_Columns[[#This Row],[Generalization 3]],meta_Classifiers[ID],0))</f>
        <v>#N/A</v>
      </c>
      <c r="X277" s="8" t="str">
        <f>INDEX(meta_Classifiers[Class - Generalization:src], MATCH(meta_Columns[[#This Row],[Generalization 2]],meta_Classifiers[ID],0))</f>
        <v/>
      </c>
      <c r="Y277" s="8" t="str">
        <f>INDEX(meta_Classifiers[Class - Generalization:src], MATCH(meta_Columns[[#This Row],[Generalization 1]],meta_Classifiers[ID],0))</f>
        <v>_Object</v>
      </c>
      <c r="Z277" s="8" t="str">
        <f>INDEX(meta_Classifiers[Class - Generalization:src], MATCH(meta_Columns[[#This Row],[Owning Table Instances Class]],meta_Classifiers[ID],0))</f>
        <v>_NamedElement</v>
      </c>
      <c r="AA2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7" s="8" t="b">
        <f>_xlfn.IFNA(
INDEX(meta_Classifiers[Class - Generalization:src],MATCH(
INDEX(meta_Classifiers[Class - Generalization:src],MATCH(meta_Columns[[#This Row],[Property Owning Class]],meta_Classifiers[ID],0)),meta_Classifiers[ID],0))
=meta_Columns[[#This Row],[Owning Table Instances Class]],FALSE)</f>
        <v>0</v>
      </c>
      <c r="AG277" s="8" t="b">
        <f>_xlfn.IFNA(INDEX(meta_Classifiers[Class - Generalization:src],MATCH(meta_Columns[[#This Row],[Property Owning Class]],meta_Classifiers[ID],0))=meta_Columns[[#This Row],[Owning Table Instances Class]],FALSE)</f>
        <v>0</v>
      </c>
      <c r="AH2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7" s="8" t="e">
        <f>INDEX(meta_Classifiers[Name],MATCH(INDEX(meta_TypedModelElements[Property - Owning Class:src],MATCH(meta_Columns[[#This Row],[Property]],meta_TypedModelElements[ID],0)),meta_Classifiers[ID],0))</f>
        <v>#N/A</v>
      </c>
      <c r="AJ277" s="8" t="e">
        <f>INDEX(meta_TypedModelElements[Property - Owning Class:src],MATCH(meta_Columns[[#This Row],[Property]],meta_TypedModelElements[ID],0))</f>
        <v>#N/A</v>
      </c>
      <c r="AK277" s="8" t="e">
        <f>INDEX(meta_TypedModelElements[Kind:src],MATCH(meta_Columns[[#This Row],[Property]],meta_TypedModelElements[ID],0))</f>
        <v>#N/A</v>
      </c>
      <c r="AL277" s="8" t="e">
        <f>INDEX(meta_TypedModelElements[Name or Type],MATCH(meta_Columns[[#This Row],[Property]],meta_TypedModelElements[ID],0))</f>
        <v>#N/A</v>
      </c>
      <c r="AM277" s="8" t="e">
        <f>INDEX(meta_TypedModelElements[Property - Changeable],MATCH(meta_Columns[[#This Row],[Property]],meta_TypedModelElements[ID],0))</f>
        <v>#N/A</v>
      </c>
      <c r="AN277" s="43">
        <v>87</v>
      </c>
      <c r="AO277" s="22"/>
      <c r="AP2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7" s="8" t="str">
        <f xml:space="preserve"> IF(meta_Columns[[#This Row],[Property Owning Class is Specialization of Instance Class]],meta_Columns[[#This Row],[Property Owning Class Name]]&amp;" - ","")</f>
        <v/>
      </c>
      <c r="AR2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7" s="8" t="str">
        <f>IFERROR(LEFT(meta_Columns[[#This Row],[Excel Column - Label Actual without Semantic Case]],FIND("-",
meta_Columns[[#This Row],[Excel Column - Label Actual without Semantic Case]])-2),"")</f>
        <v/>
      </c>
      <c r="AU2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3:display:q.</v>
      </c>
      <c r="AX277" s="22"/>
      <c r="AY277" s="8" t="str">
        <f>meta_Columns[[#This Row],[Owning Table]]&amp;"."&amp;meta_Columns[[#This Row],[Excel Column - Label]]</f>
        <v>meta::Rules.Property 2 Super Class 3:display:q.</v>
      </c>
      <c r="AZ277" s="43" t="s">
        <v>379</v>
      </c>
      <c r="BA277" s="44" t="str">
        <f>IF(TRIM(meta_Columns[[#This Row],[Excel Column - Label Overwrite]])&lt;&gt;"",meta_Columns[[#This Row],[Excel Column - Label Overwrite]],meta_Columns[[#This Row],[Excel Column - Label from Property or Referenced Table]])</f>
        <v>Property 2 Super Class 3:display:q.</v>
      </c>
      <c r="BB277" s="43" t="s">
        <v>982</v>
      </c>
      <c r="BC277" s="44" t="str">
        <f>IF(meta_Columns[[#This Row],[Excel Column - Explicit Excel Formula]]="","",meta_Columns[[#This Row],[Excel Column - Explicit Excel Formula]])</f>
        <v>Formula:=IFNA(INDEX(meta_Classifiers[Display Qualified],MATCH([@[Property 2 Super Class 3]],meta_Classifiers[ID],0))&amp;".","")</v>
      </c>
      <c r="BD277" s="5"/>
      <c r="BE277" s="5"/>
    </row>
    <row r="278" spans="1:57">
      <c r="A278" s="10" t="s">
        <v>1242</v>
      </c>
      <c r="B278" s="5" t="s">
        <v>546</v>
      </c>
      <c r="C278" s="22" t="str">
        <f xml:space="preserve"> IF( TRIM( meta_Columns[[#This Row],[Kind:src]] ) = "", "",
        INDEX( meta_Classifiers[Display Qualified], MATCH( meta_Columns[[#This Row],[Kind:src]], meta_Classifiers[ID], 0 ) ) )</f>
        <v>ExcelColumn</v>
      </c>
      <c r="D278" s="44" t="str">
        <f>IF(meta_Columns[[#This Row],[Owning Table:src]]="","",INDEX(meta_Classifiers[Package],MATCH(meta_Columns[[#This Row],[Owning Table Instances Class]],meta_Classifiers[ID],0)))</f>
        <v>meta</v>
      </c>
      <c r="E278" s="43"/>
      <c r="F278" s="44" t="str">
        <f>INDEX(meta_Tables[Excel Table - Excel Name],MATCH(meta_Columns[[#This Row],[Owning Table:src]],meta_Tables[ID],0))</f>
        <v>meta_Rules</v>
      </c>
      <c r="G278" s="44" t="str">
        <f>INDEX(meta_Tables[Instances Class:src],MATCH(meta_Columns[[#This Row],[Owning Table:src]],meta_Tables[ID],0))</f>
        <v>_Rule</v>
      </c>
      <c r="H278" s="11" t="s">
        <v>1014</v>
      </c>
      <c r="I278" s="43" t="str">
        <f xml:space="preserve"> IF( TRIM( meta_Columns[[#This Row],[Owning Table:src]] ) = "", "",
        INDEX( meta_Tables[Display Qualified], MATCH( meta_Columns[[#This Row],[Owning Table:src]], meta_Tables[ID], 0 ) ) )</f>
        <v>meta::Rules</v>
      </c>
      <c r="K278" s="22" t="str">
        <f>IF(TRIM(meta_Columns[[#This Row],[Referenced Table:src]])="","",
    INDEX(meta_Tables[Display Qualified],MATCH(meta_Columns[[#This Row],[Referenced Table:src]],meta_Tables[ID],0)))</f>
        <v/>
      </c>
      <c r="L278" s="8"/>
      <c r="M278" s="22"/>
      <c r="N278" s="8" t="str">
        <f>IF(meta_Columns[[#This Row],[Excel Column - Excel Formula]]="","x","")</f>
        <v/>
      </c>
      <c r="O278" s="22"/>
      <c r="P278" s="8" t="str">
        <f>IF(meta_Columns[[#This Row],[Referenced Table:src]]="","",INDEX(meta_Tables[Instances Class],MATCH(meta_Columns[[#This Row],[Referenced Table:src]],meta_Tables[ID],0)))</f>
        <v/>
      </c>
      <c r="Q2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8" s="8"/>
      <c r="S278" s="22" t="str">
        <f xml:space="preserve"> IF( TRIM( meta_Columns[[#This Row],[Property:src]] ) = "", "",
        INDEX( meta_TypedModelElements[Display Qualified], MATCH( meta_Columns[[#This Row],[Property:src]], meta_TypedModelElements[ID], 0 ) ) )</f>
        <v/>
      </c>
      <c r="T278" s="22"/>
      <c r="U278" s="8" t="e">
        <f>INDEX(meta_Classifiers[Class - Generalization:src], MATCH(meta_Columns[[#This Row],[Generalization 5]],meta_Classifiers[ID],0))</f>
        <v>#N/A</v>
      </c>
      <c r="V278" s="8" t="e">
        <f>INDEX(meta_Classifiers[Class - Generalization:src], MATCH(meta_Columns[[#This Row],[Generalization 4]],meta_Classifiers[ID],0))</f>
        <v>#N/A</v>
      </c>
      <c r="W278" s="8" t="e">
        <f>INDEX(meta_Classifiers[Class - Generalization:src], MATCH(meta_Columns[[#This Row],[Generalization 3]],meta_Classifiers[ID],0))</f>
        <v>#N/A</v>
      </c>
      <c r="X278" s="8" t="str">
        <f>INDEX(meta_Classifiers[Class - Generalization:src], MATCH(meta_Columns[[#This Row],[Generalization 2]],meta_Classifiers[ID],0))</f>
        <v/>
      </c>
      <c r="Y278" s="8" t="str">
        <f>INDEX(meta_Classifiers[Class - Generalization:src], MATCH(meta_Columns[[#This Row],[Generalization 1]],meta_Classifiers[ID],0))</f>
        <v>_Object</v>
      </c>
      <c r="Z278" s="8" t="str">
        <f>INDEX(meta_Classifiers[Class - Generalization:src], MATCH(meta_Columns[[#This Row],[Owning Table Instances Class]],meta_Classifiers[ID],0))</f>
        <v>_NamedElement</v>
      </c>
      <c r="AA2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8" s="8" t="b">
        <f>_xlfn.IFNA(
INDEX(meta_Classifiers[Class - Generalization:src],MATCH(
INDEX(meta_Classifiers[Class - Generalization:src],MATCH(meta_Columns[[#This Row],[Property Owning Class]],meta_Classifiers[ID],0)),meta_Classifiers[ID],0))
=meta_Columns[[#This Row],[Owning Table Instances Class]],FALSE)</f>
        <v>0</v>
      </c>
      <c r="AG278" s="8" t="b">
        <f>_xlfn.IFNA(INDEX(meta_Classifiers[Class - Generalization:src],MATCH(meta_Columns[[#This Row],[Property Owning Class]],meta_Classifiers[ID],0))=meta_Columns[[#This Row],[Owning Table Instances Class]],FALSE)</f>
        <v>0</v>
      </c>
      <c r="AH2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8" s="8" t="e">
        <f>INDEX(meta_Classifiers[Name],MATCH(INDEX(meta_TypedModelElements[Property - Owning Class:src],MATCH(meta_Columns[[#This Row],[Property]],meta_TypedModelElements[ID],0)),meta_Classifiers[ID],0))</f>
        <v>#N/A</v>
      </c>
      <c r="AJ278" s="8" t="e">
        <f>INDEX(meta_TypedModelElements[Property - Owning Class:src],MATCH(meta_Columns[[#This Row],[Property]],meta_TypedModelElements[ID],0))</f>
        <v>#N/A</v>
      </c>
      <c r="AK278" s="8" t="e">
        <f>INDEX(meta_TypedModelElements[Kind:src],MATCH(meta_Columns[[#This Row],[Property]],meta_TypedModelElements[ID],0))</f>
        <v>#N/A</v>
      </c>
      <c r="AL278" s="8" t="e">
        <f>INDEX(meta_TypedModelElements[Name or Type],MATCH(meta_Columns[[#This Row],[Property]],meta_TypedModelElements[ID],0))</f>
        <v>#N/A</v>
      </c>
      <c r="AM278" s="8" t="e">
        <f>INDEX(meta_TypedModelElements[Property - Changeable],MATCH(meta_Columns[[#This Row],[Property]],meta_TypedModelElements[ID],0))</f>
        <v>#N/A</v>
      </c>
      <c r="AN278" s="43">
        <v>88</v>
      </c>
      <c r="AO278" s="22"/>
      <c r="AP2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8" s="8" t="str">
        <f xml:space="preserve"> IF(meta_Columns[[#This Row],[Property Owning Class is Specialization of Instance Class]],meta_Columns[[#This Row],[Property Owning Class Name]]&amp;" - ","")</f>
        <v/>
      </c>
      <c r="AR2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8" s="8" t="str">
        <f>IFERROR(LEFT(meta_Columns[[#This Row],[Excel Column - Label Actual without Semantic Case]],FIND("-",
meta_Columns[[#This Row],[Excel Column - Label Actual without Semantic Case]])-2),"")</f>
        <v/>
      </c>
      <c r="AU2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v>
      </c>
      <c r="AX278" s="22"/>
      <c r="AY278" s="8" t="str">
        <f>meta_Columns[[#This Row],[Owning Table]]&amp;"."&amp;meta_Columns[[#This Row],[Excel Column - Label]]</f>
        <v>meta::Rules.Property 2 Super Class 3</v>
      </c>
      <c r="AZ278" s="43" t="s">
        <v>380</v>
      </c>
      <c r="BA278" s="44" t="str">
        <f>IF(TRIM(meta_Columns[[#This Row],[Excel Column - Label Overwrite]])&lt;&gt;"",meta_Columns[[#This Row],[Excel Column - Label Overwrite]],meta_Columns[[#This Row],[Excel Column - Label from Property or Referenced Table]])</f>
        <v>Property 2 Super Class 3</v>
      </c>
      <c r="BB278" s="43" t="s">
        <v>1552</v>
      </c>
      <c r="BC278" s="44" t="str">
        <f>IF(meta_Columns[[#This Row],[Excel Column - Explicit Excel Formula]]="","",meta_Columns[[#This Row],[Excel Column - Explicit Excel Formula]])</f>
        <v>Formula:=IFNA(INDEX(#REF!,MATCH([@[Property 2 Super Class 2]],meta_Classifiers[ID],0)),0)</v>
      </c>
      <c r="BD278" s="5"/>
      <c r="BE278" s="5"/>
    </row>
    <row r="279" spans="1:57">
      <c r="A279" s="10" t="s">
        <v>1243</v>
      </c>
      <c r="B279" s="5" t="s">
        <v>546</v>
      </c>
      <c r="C279" s="22" t="str">
        <f xml:space="preserve"> IF( TRIM( meta_Columns[[#This Row],[Kind:src]] ) = "", "",
        INDEX( meta_Classifiers[Display Qualified], MATCH( meta_Columns[[#This Row],[Kind:src]], meta_Classifiers[ID], 0 ) ) )</f>
        <v>ExcelColumn</v>
      </c>
      <c r="D279" s="44" t="str">
        <f>IF(meta_Columns[[#This Row],[Owning Table:src]]="","",INDEX(meta_Classifiers[Package],MATCH(meta_Columns[[#This Row],[Owning Table Instances Class]],meta_Classifiers[ID],0)))</f>
        <v>meta</v>
      </c>
      <c r="E279" s="43"/>
      <c r="F279" s="44" t="str">
        <f>INDEX(meta_Tables[Excel Table - Excel Name],MATCH(meta_Columns[[#This Row],[Owning Table:src]],meta_Tables[ID],0))</f>
        <v>meta_Rules</v>
      </c>
      <c r="G279" s="44" t="str">
        <f>INDEX(meta_Tables[Instances Class:src],MATCH(meta_Columns[[#This Row],[Owning Table:src]],meta_Tables[ID],0))</f>
        <v>_Rule</v>
      </c>
      <c r="H279" s="11" t="s">
        <v>1014</v>
      </c>
      <c r="I279" s="43" t="str">
        <f xml:space="preserve"> IF( TRIM( meta_Columns[[#This Row],[Owning Table:src]] ) = "", "",
        INDEX( meta_Tables[Display Qualified], MATCH( meta_Columns[[#This Row],[Owning Table:src]], meta_Tables[ID], 0 ) ) )</f>
        <v>meta::Rules</v>
      </c>
      <c r="K279" s="22" t="str">
        <f>IF(TRIM(meta_Columns[[#This Row],[Referenced Table:src]])="","",
    INDEX(meta_Tables[Display Qualified],MATCH(meta_Columns[[#This Row],[Referenced Table:src]],meta_Tables[ID],0)))</f>
        <v/>
      </c>
      <c r="L279" s="8"/>
      <c r="M279" s="22"/>
      <c r="N279" s="8" t="str">
        <f>IF(meta_Columns[[#This Row],[Excel Column - Excel Formula]]="","x","")</f>
        <v/>
      </c>
      <c r="O279" s="22"/>
      <c r="P279" s="8" t="str">
        <f>IF(meta_Columns[[#This Row],[Referenced Table:src]]="","",INDEX(meta_Tables[Instances Class],MATCH(meta_Columns[[#This Row],[Referenced Table:src]],meta_Tables[ID],0)))</f>
        <v/>
      </c>
      <c r="Q2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79" s="8"/>
      <c r="S279" s="22" t="str">
        <f xml:space="preserve"> IF( TRIM( meta_Columns[[#This Row],[Property:src]] ) = "", "",
        INDEX( meta_TypedModelElements[Display Qualified], MATCH( meta_Columns[[#This Row],[Property:src]], meta_TypedModelElements[ID], 0 ) ) )</f>
        <v/>
      </c>
      <c r="T279" s="22"/>
      <c r="U279" s="8" t="e">
        <f>INDEX(meta_Classifiers[Class - Generalization:src], MATCH(meta_Columns[[#This Row],[Generalization 5]],meta_Classifiers[ID],0))</f>
        <v>#N/A</v>
      </c>
      <c r="V279" s="8" t="e">
        <f>INDEX(meta_Classifiers[Class - Generalization:src], MATCH(meta_Columns[[#This Row],[Generalization 4]],meta_Classifiers[ID],0))</f>
        <v>#N/A</v>
      </c>
      <c r="W279" s="8" t="e">
        <f>INDEX(meta_Classifiers[Class - Generalization:src], MATCH(meta_Columns[[#This Row],[Generalization 3]],meta_Classifiers[ID],0))</f>
        <v>#N/A</v>
      </c>
      <c r="X279" s="8" t="str">
        <f>INDEX(meta_Classifiers[Class - Generalization:src], MATCH(meta_Columns[[#This Row],[Generalization 2]],meta_Classifiers[ID],0))</f>
        <v/>
      </c>
      <c r="Y279" s="8" t="str">
        <f>INDEX(meta_Classifiers[Class - Generalization:src], MATCH(meta_Columns[[#This Row],[Generalization 1]],meta_Classifiers[ID],0))</f>
        <v>_Object</v>
      </c>
      <c r="Z279" s="8" t="str">
        <f>INDEX(meta_Classifiers[Class - Generalization:src], MATCH(meta_Columns[[#This Row],[Owning Table Instances Class]],meta_Classifiers[ID],0))</f>
        <v>_NamedElement</v>
      </c>
      <c r="AA2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9" s="8" t="b">
        <f>_xlfn.IFNA(
INDEX(meta_Classifiers[Class - Generalization:src],MATCH(
INDEX(meta_Classifiers[Class - Generalization:src],MATCH(meta_Columns[[#This Row],[Property Owning Class]],meta_Classifiers[ID],0)),meta_Classifiers[ID],0))
=meta_Columns[[#This Row],[Owning Table Instances Class]],FALSE)</f>
        <v>0</v>
      </c>
      <c r="AG279" s="8" t="b">
        <f>_xlfn.IFNA(INDEX(meta_Classifiers[Class - Generalization:src],MATCH(meta_Columns[[#This Row],[Property Owning Class]],meta_Classifiers[ID],0))=meta_Columns[[#This Row],[Owning Table Instances Class]],FALSE)</f>
        <v>0</v>
      </c>
      <c r="AH2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9" s="8" t="e">
        <f>INDEX(meta_Classifiers[Name],MATCH(INDEX(meta_TypedModelElements[Property - Owning Class:src],MATCH(meta_Columns[[#This Row],[Property]],meta_TypedModelElements[ID],0)),meta_Classifiers[ID],0))</f>
        <v>#N/A</v>
      </c>
      <c r="AJ279" s="8" t="e">
        <f>INDEX(meta_TypedModelElements[Property - Owning Class:src],MATCH(meta_Columns[[#This Row],[Property]],meta_TypedModelElements[ID],0))</f>
        <v>#N/A</v>
      </c>
      <c r="AK279" s="8" t="e">
        <f>INDEX(meta_TypedModelElements[Kind:src],MATCH(meta_Columns[[#This Row],[Property]],meta_TypedModelElements[ID],0))</f>
        <v>#N/A</v>
      </c>
      <c r="AL279" s="8" t="e">
        <f>INDEX(meta_TypedModelElements[Name or Type],MATCH(meta_Columns[[#This Row],[Property]],meta_TypedModelElements[ID],0))</f>
        <v>#N/A</v>
      </c>
      <c r="AM279" s="8" t="e">
        <f>INDEX(meta_TypedModelElements[Property - Changeable],MATCH(meta_Columns[[#This Row],[Property]],meta_TypedModelElements[ID],0))</f>
        <v>#N/A</v>
      </c>
      <c r="AN279" s="43">
        <v>89</v>
      </c>
      <c r="AO279" s="22"/>
      <c r="AP2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9" s="8" t="str">
        <f xml:space="preserve"> IF(meta_Columns[[#This Row],[Property Owning Class is Specialization of Instance Class]],meta_Columns[[#This Row],[Property Owning Class Name]]&amp;" - ","")</f>
        <v/>
      </c>
      <c r="AR2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79" s="8" t="str">
        <f>IFERROR(LEFT(meta_Columns[[#This Row],[Excel Column - Label Actual without Semantic Case]],FIND("-",
meta_Columns[[#This Row],[Excel Column - Label Actual without Semantic Case]])-2),"")</f>
        <v/>
      </c>
      <c r="AU2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2:display:q.</v>
      </c>
      <c r="AX279" s="22"/>
      <c r="AY279" s="8" t="str">
        <f>meta_Columns[[#This Row],[Owning Table]]&amp;"."&amp;meta_Columns[[#This Row],[Excel Column - Label]]</f>
        <v>meta::Rules.Property 2 Super Class 2:display:q.</v>
      </c>
      <c r="AZ279" s="43" t="s">
        <v>381</v>
      </c>
      <c r="BA279" s="44" t="str">
        <f>IF(TRIM(meta_Columns[[#This Row],[Excel Column - Label Overwrite]])&lt;&gt;"",meta_Columns[[#This Row],[Excel Column - Label Overwrite]],meta_Columns[[#This Row],[Excel Column - Label from Property or Referenced Table]])</f>
        <v>Property 2 Super Class 2:display:q.</v>
      </c>
      <c r="BB279" s="43" t="s">
        <v>983</v>
      </c>
      <c r="BC279" s="44" t="str">
        <f>IF(meta_Columns[[#This Row],[Excel Column - Explicit Excel Formula]]="","",meta_Columns[[#This Row],[Excel Column - Explicit Excel Formula]])</f>
        <v>Formula:=IFNA(INDEX(meta_Classifiers[Display Qualified],MATCH([@[Property 2 Super Class 2]],meta_Classifiers[ID],0))&amp;".","")</v>
      </c>
      <c r="BD279" s="5"/>
      <c r="BE279" s="5"/>
    </row>
    <row r="280" spans="1:57">
      <c r="A280" s="10" t="s">
        <v>1244</v>
      </c>
      <c r="B280" s="5" t="s">
        <v>546</v>
      </c>
      <c r="C280" s="22" t="str">
        <f xml:space="preserve"> IF( TRIM( meta_Columns[[#This Row],[Kind:src]] ) = "", "",
        INDEX( meta_Classifiers[Display Qualified], MATCH( meta_Columns[[#This Row],[Kind:src]], meta_Classifiers[ID], 0 ) ) )</f>
        <v>ExcelColumn</v>
      </c>
      <c r="D280" s="44" t="str">
        <f>IF(meta_Columns[[#This Row],[Owning Table:src]]="","",INDEX(meta_Classifiers[Package],MATCH(meta_Columns[[#This Row],[Owning Table Instances Class]],meta_Classifiers[ID],0)))</f>
        <v>meta</v>
      </c>
      <c r="E280" s="43"/>
      <c r="F280" s="44" t="str">
        <f>INDEX(meta_Tables[Excel Table - Excel Name],MATCH(meta_Columns[[#This Row],[Owning Table:src]],meta_Tables[ID],0))</f>
        <v>meta_Rules</v>
      </c>
      <c r="G280" s="44" t="str">
        <f>INDEX(meta_Tables[Instances Class:src],MATCH(meta_Columns[[#This Row],[Owning Table:src]],meta_Tables[ID],0))</f>
        <v>_Rule</v>
      </c>
      <c r="H280" s="11" t="s">
        <v>1014</v>
      </c>
      <c r="I280" s="43" t="str">
        <f xml:space="preserve"> IF( TRIM( meta_Columns[[#This Row],[Owning Table:src]] ) = "", "",
        INDEX( meta_Tables[Display Qualified], MATCH( meta_Columns[[#This Row],[Owning Table:src]], meta_Tables[ID], 0 ) ) )</f>
        <v>meta::Rules</v>
      </c>
      <c r="K280" s="22" t="str">
        <f>IF(TRIM(meta_Columns[[#This Row],[Referenced Table:src]])="","",
    INDEX(meta_Tables[Display Qualified],MATCH(meta_Columns[[#This Row],[Referenced Table:src]],meta_Tables[ID],0)))</f>
        <v/>
      </c>
      <c r="L280" s="8"/>
      <c r="M280" s="22"/>
      <c r="N280" s="8" t="str">
        <f>IF(meta_Columns[[#This Row],[Excel Column - Excel Formula]]="","x","")</f>
        <v/>
      </c>
      <c r="O280" s="22"/>
      <c r="P280" s="8" t="str">
        <f>IF(meta_Columns[[#This Row],[Referenced Table:src]]="","",INDEX(meta_Tables[Instances Class],MATCH(meta_Columns[[#This Row],[Referenced Table:src]],meta_Tables[ID],0)))</f>
        <v/>
      </c>
      <c r="Q2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80" s="8"/>
      <c r="S280" s="22" t="str">
        <f xml:space="preserve"> IF( TRIM( meta_Columns[[#This Row],[Property:src]] ) = "", "",
        INDEX( meta_TypedModelElements[Display Qualified], MATCH( meta_Columns[[#This Row],[Property:src]], meta_TypedModelElements[ID], 0 ) ) )</f>
        <v/>
      </c>
      <c r="T280" s="22"/>
      <c r="U280" s="8" t="e">
        <f>INDEX(meta_Classifiers[Class - Generalization:src], MATCH(meta_Columns[[#This Row],[Generalization 5]],meta_Classifiers[ID],0))</f>
        <v>#N/A</v>
      </c>
      <c r="V280" s="8" t="e">
        <f>INDEX(meta_Classifiers[Class - Generalization:src], MATCH(meta_Columns[[#This Row],[Generalization 4]],meta_Classifiers[ID],0))</f>
        <v>#N/A</v>
      </c>
      <c r="W280" s="8" t="e">
        <f>INDEX(meta_Classifiers[Class - Generalization:src], MATCH(meta_Columns[[#This Row],[Generalization 3]],meta_Classifiers[ID],0))</f>
        <v>#N/A</v>
      </c>
      <c r="X280" s="8" t="str">
        <f>INDEX(meta_Classifiers[Class - Generalization:src], MATCH(meta_Columns[[#This Row],[Generalization 2]],meta_Classifiers[ID],0))</f>
        <v/>
      </c>
      <c r="Y280" s="8" t="str">
        <f>INDEX(meta_Classifiers[Class - Generalization:src], MATCH(meta_Columns[[#This Row],[Generalization 1]],meta_Classifiers[ID],0))</f>
        <v>_Object</v>
      </c>
      <c r="Z280" s="8" t="str">
        <f>INDEX(meta_Classifiers[Class - Generalization:src], MATCH(meta_Columns[[#This Row],[Owning Table Instances Class]],meta_Classifiers[ID],0))</f>
        <v>_NamedElement</v>
      </c>
      <c r="AA2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0" s="8" t="b">
        <f>_xlfn.IFNA(
INDEX(meta_Classifiers[Class - Generalization:src],MATCH(
INDEX(meta_Classifiers[Class - Generalization:src],MATCH(meta_Columns[[#This Row],[Property Owning Class]],meta_Classifiers[ID],0)),meta_Classifiers[ID],0))
=meta_Columns[[#This Row],[Owning Table Instances Class]],FALSE)</f>
        <v>0</v>
      </c>
      <c r="AG280" s="8" t="b">
        <f>_xlfn.IFNA(INDEX(meta_Classifiers[Class - Generalization:src],MATCH(meta_Columns[[#This Row],[Property Owning Class]],meta_Classifiers[ID],0))=meta_Columns[[#This Row],[Owning Table Instances Class]],FALSE)</f>
        <v>0</v>
      </c>
      <c r="AH2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0" s="8" t="e">
        <f>INDEX(meta_Classifiers[Name],MATCH(INDEX(meta_TypedModelElements[Property - Owning Class:src],MATCH(meta_Columns[[#This Row],[Property]],meta_TypedModelElements[ID],0)),meta_Classifiers[ID],0))</f>
        <v>#N/A</v>
      </c>
      <c r="AJ280" s="8" t="e">
        <f>INDEX(meta_TypedModelElements[Property - Owning Class:src],MATCH(meta_Columns[[#This Row],[Property]],meta_TypedModelElements[ID],0))</f>
        <v>#N/A</v>
      </c>
      <c r="AK280" s="8" t="e">
        <f>INDEX(meta_TypedModelElements[Kind:src],MATCH(meta_Columns[[#This Row],[Property]],meta_TypedModelElements[ID],0))</f>
        <v>#N/A</v>
      </c>
      <c r="AL280" s="8" t="e">
        <f>INDEX(meta_TypedModelElements[Name or Type],MATCH(meta_Columns[[#This Row],[Property]],meta_TypedModelElements[ID],0))</f>
        <v>#N/A</v>
      </c>
      <c r="AM280" s="8" t="e">
        <f>INDEX(meta_TypedModelElements[Property - Changeable],MATCH(meta_Columns[[#This Row],[Property]],meta_TypedModelElements[ID],0))</f>
        <v>#N/A</v>
      </c>
      <c r="AN280" s="43">
        <v>90</v>
      </c>
      <c r="AO280" s="22"/>
      <c r="AP2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0" s="8" t="str">
        <f xml:space="preserve"> IF(meta_Columns[[#This Row],[Property Owning Class is Specialization of Instance Class]],meta_Columns[[#This Row],[Property Owning Class Name]]&amp;" - ","")</f>
        <v/>
      </c>
      <c r="AR2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80" s="8" t="str">
        <f>IFERROR(LEFT(meta_Columns[[#This Row],[Excel Column - Label Actual without Semantic Case]],FIND("-",
meta_Columns[[#This Row],[Excel Column - Label Actual without Semantic Case]])-2),"")</f>
        <v/>
      </c>
      <c r="AU2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v>
      </c>
      <c r="AX280" s="22"/>
      <c r="AY280" s="8" t="str">
        <f>meta_Columns[[#This Row],[Owning Table]]&amp;"."&amp;meta_Columns[[#This Row],[Excel Column - Label]]</f>
        <v>meta::Rules.Property 2 Super Class 2</v>
      </c>
      <c r="AZ280" s="43" t="s">
        <v>382</v>
      </c>
      <c r="BA280" s="44" t="str">
        <f>IF(TRIM(meta_Columns[[#This Row],[Excel Column - Label Overwrite]])&lt;&gt;"",meta_Columns[[#This Row],[Excel Column - Label Overwrite]],meta_Columns[[#This Row],[Excel Column - Label from Property or Referenced Table]])</f>
        <v>Property 2 Super Class 2</v>
      </c>
      <c r="BB280" s="43" t="s">
        <v>1553</v>
      </c>
      <c r="BC280" s="44" t="str">
        <f>IF(meta_Columns[[#This Row],[Excel Column - Explicit Excel Formula]]="","",meta_Columns[[#This Row],[Excel Column - Explicit Excel Formula]])</f>
        <v>Formula:=IFNA(INDEX(#REF!,MATCH([@[Property 2 Super Class 1]],meta_Classifiers[ID],0)),0)</v>
      </c>
      <c r="BD280" s="5"/>
      <c r="BE280" s="5"/>
    </row>
    <row r="281" spans="1:57">
      <c r="A281" s="10" t="s">
        <v>1245</v>
      </c>
      <c r="B281" s="5" t="s">
        <v>546</v>
      </c>
      <c r="C281" s="22" t="str">
        <f xml:space="preserve"> IF( TRIM( meta_Columns[[#This Row],[Kind:src]] ) = "", "",
        INDEX( meta_Classifiers[Display Qualified], MATCH( meta_Columns[[#This Row],[Kind:src]], meta_Classifiers[ID], 0 ) ) )</f>
        <v>ExcelColumn</v>
      </c>
      <c r="D281" s="44" t="str">
        <f>IF(meta_Columns[[#This Row],[Owning Table:src]]="","",INDEX(meta_Classifiers[Package],MATCH(meta_Columns[[#This Row],[Owning Table Instances Class]],meta_Classifiers[ID],0)))</f>
        <v>meta</v>
      </c>
      <c r="E281" s="43"/>
      <c r="F281" s="44" t="str">
        <f>INDEX(meta_Tables[Excel Table - Excel Name],MATCH(meta_Columns[[#This Row],[Owning Table:src]],meta_Tables[ID],0))</f>
        <v>meta_Rules</v>
      </c>
      <c r="G281" s="44" t="str">
        <f>INDEX(meta_Tables[Instances Class:src],MATCH(meta_Columns[[#This Row],[Owning Table:src]],meta_Tables[ID],0))</f>
        <v>_Rule</v>
      </c>
      <c r="H281" s="11" t="s">
        <v>1014</v>
      </c>
      <c r="I281" s="43" t="str">
        <f xml:space="preserve"> IF( TRIM( meta_Columns[[#This Row],[Owning Table:src]] ) = "", "",
        INDEX( meta_Tables[Display Qualified], MATCH( meta_Columns[[#This Row],[Owning Table:src]], meta_Tables[ID], 0 ) ) )</f>
        <v>meta::Rules</v>
      </c>
      <c r="K281" s="22" t="str">
        <f>IF(TRIM(meta_Columns[[#This Row],[Referenced Table:src]])="","",
    INDEX(meta_Tables[Display Qualified],MATCH(meta_Columns[[#This Row],[Referenced Table:src]],meta_Tables[ID],0)))</f>
        <v/>
      </c>
      <c r="L281" s="8"/>
      <c r="M281" s="22"/>
      <c r="N281" s="8" t="str">
        <f>IF(meta_Columns[[#This Row],[Excel Column - Excel Formula]]="","x","")</f>
        <v/>
      </c>
      <c r="O281" s="22"/>
      <c r="P281" s="8" t="str">
        <f>IF(meta_Columns[[#This Row],[Referenced Table:src]]="","",INDEX(meta_Tables[Instances Class],MATCH(meta_Columns[[#This Row],[Referenced Table:src]],meta_Tables[ID],0)))</f>
        <v/>
      </c>
      <c r="Q2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1" s="8"/>
      <c r="S281" s="22" t="str">
        <f xml:space="preserve"> IF( TRIM( meta_Columns[[#This Row],[Property:src]] ) = "", "",
        INDEX( meta_TypedModelElements[Display Qualified], MATCH( meta_Columns[[#This Row],[Property:src]], meta_TypedModelElements[ID], 0 ) ) )</f>
        <v/>
      </c>
      <c r="T281" s="22"/>
      <c r="U281" s="8" t="e">
        <f>INDEX(meta_Classifiers[Class - Generalization:src], MATCH(meta_Columns[[#This Row],[Generalization 5]],meta_Classifiers[ID],0))</f>
        <v>#N/A</v>
      </c>
      <c r="V281" s="8" t="e">
        <f>INDEX(meta_Classifiers[Class - Generalization:src], MATCH(meta_Columns[[#This Row],[Generalization 4]],meta_Classifiers[ID],0))</f>
        <v>#N/A</v>
      </c>
      <c r="W281" s="8" t="e">
        <f>INDEX(meta_Classifiers[Class - Generalization:src], MATCH(meta_Columns[[#This Row],[Generalization 3]],meta_Classifiers[ID],0))</f>
        <v>#N/A</v>
      </c>
      <c r="X281" s="8" t="str">
        <f>INDEX(meta_Classifiers[Class - Generalization:src], MATCH(meta_Columns[[#This Row],[Generalization 2]],meta_Classifiers[ID],0))</f>
        <v/>
      </c>
      <c r="Y281" s="8" t="str">
        <f>INDEX(meta_Classifiers[Class - Generalization:src], MATCH(meta_Columns[[#This Row],[Generalization 1]],meta_Classifiers[ID],0))</f>
        <v>_Object</v>
      </c>
      <c r="Z281" s="8" t="str">
        <f>INDEX(meta_Classifiers[Class - Generalization:src], MATCH(meta_Columns[[#This Row],[Owning Table Instances Class]],meta_Classifiers[ID],0))</f>
        <v>_NamedElement</v>
      </c>
      <c r="AA2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1" s="8" t="b">
        <f>_xlfn.IFNA(
INDEX(meta_Classifiers[Class - Generalization:src],MATCH(
INDEX(meta_Classifiers[Class - Generalization:src],MATCH(meta_Columns[[#This Row],[Property Owning Class]],meta_Classifiers[ID],0)),meta_Classifiers[ID],0))
=meta_Columns[[#This Row],[Owning Table Instances Class]],FALSE)</f>
        <v>0</v>
      </c>
      <c r="AG281" s="8" t="b">
        <f>_xlfn.IFNA(INDEX(meta_Classifiers[Class - Generalization:src],MATCH(meta_Columns[[#This Row],[Property Owning Class]],meta_Classifiers[ID],0))=meta_Columns[[#This Row],[Owning Table Instances Class]],FALSE)</f>
        <v>0</v>
      </c>
      <c r="AH2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1" s="8" t="e">
        <f>INDEX(meta_Classifiers[Name],MATCH(INDEX(meta_TypedModelElements[Property - Owning Class:src],MATCH(meta_Columns[[#This Row],[Property]],meta_TypedModelElements[ID],0)),meta_Classifiers[ID],0))</f>
        <v>#N/A</v>
      </c>
      <c r="AJ281" s="8" t="e">
        <f>INDEX(meta_TypedModelElements[Property - Owning Class:src],MATCH(meta_Columns[[#This Row],[Property]],meta_TypedModelElements[ID],0))</f>
        <v>#N/A</v>
      </c>
      <c r="AK281" s="8" t="e">
        <f>INDEX(meta_TypedModelElements[Kind:src],MATCH(meta_Columns[[#This Row],[Property]],meta_TypedModelElements[ID],0))</f>
        <v>#N/A</v>
      </c>
      <c r="AL281" s="8" t="e">
        <f>INDEX(meta_TypedModelElements[Name or Type],MATCH(meta_Columns[[#This Row],[Property]],meta_TypedModelElements[ID],0))</f>
        <v>#N/A</v>
      </c>
      <c r="AM281" s="8" t="e">
        <f>INDEX(meta_TypedModelElements[Property - Changeable],MATCH(meta_Columns[[#This Row],[Property]],meta_TypedModelElements[ID],0))</f>
        <v>#N/A</v>
      </c>
      <c r="AN281" s="43">
        <v>91</v>
      </c>
      <c r="AO281" s="22"/>
      <c r="AP2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1" s="8" t="str">
        <f xml:space="preserve"> IF(meta_Columns[[#This Row],[Property Owning Class is Specialization of Instance Class]],meta_Columns[[#This Row],[Property Owning Class Name]]&amp;" - ","")</f>
        <v/>
      </c>
      <c r="AR2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1" s="8" t="str">
        <f>IFERROR(LEFT(meta_Columns[[#This Row],[Excel Column - Label Actual without Semantic Case]],FIND("-",
meta_Columns[[#This Row],[Excel Column - Label Actual without Semantic Case]])-2),"")</f>
        <v/>
      </c>
      <c r="AU2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1:display:q.</v>
      </c>
      <c r="AX281" s="22"/>
      <c r="AY281" s="8" t="str">
        <f>meta_Columns[[#This Row],[Owning Table]]&amp;"."&amp;meta_Columns[[#This Row],[Excel Column - Label]]</f>
        <v>meta::Rules.Property 2 Super Class 1:display:q.</v>
      </c>
      <c r="AZ281" s="43" t="s">
        <v>383</v>
      </c>
      <c r="BA281" s="44" t="str">
        <f>IF(TRIM(meta_Columns[[#This Row],[Excel Column - Label Overwrite]])&lt;&gt;"",meta_Columns[[#This Row],[Excel Column - Label Overwrite]],meta_Columns[[#This Row],[Excel Column - Label from Property or Referenced Table]])</f>
        <v>Property 2 Super Class 1:display:q.</v>
      </c>
      <c r="BB281" s="43" t="s">
        <v>984</v>
      </c>
      <c r="BC281" s="44" t="str">
        <f>IF(meta_Columns[[#This Row],[Excel Column - Explicit Excel Formula]]="","",meta_Columns[[#This Row],[Excel Column - Explicit Excel Formula]])</f>
        <v>Formula:=IFNA(INDEX(meta_Classifiers[Display Qualified],MATCH([@[Property 2 Super Class 1]],meta_Classifiers[ID],0))&amp;".","")</v>
      </c>
      <c r="BD281" s="5"/>
      <c r="BE281" s="5"/>
    </row>
    <row r="282" spans="1:57">
      <c r="A282" s="10" t="s">
        <v>1246</v>
      </c>
      <c r="B282" s="5" t="s">
        <v>546</v>
      </c>
      <c r="C282" s="22" t="str">
        <f xml:space="preserve"> IF( TRIM( meta_Columns[[#This Row],[Kind:src]] ) = "", "",
        INDEX( meta_Classifiers[Display Qualified], MATCH( meta_Columns[[#This Row],[Kind:src]], meta_Classifiers[ID], 0 ) ) )</f>
        <v>ExcelColumn</v>
      </c>
      <c r="D282" s="44" t="str">
        <f>IF(meta_Columns[[#This Row],[Owning Table:src]]="","",INDEX(meta_Classifiers[Package],MATCH(meta_Columns[[#This Row],[Owning Table Instances Class]],meta_Classifiers[ID],0)))</f>
        <v>meta</v>
      </c>
      <c r="E282" s="43"/>
      <c r="F282" s="44" t="str">
        <f>INDEX(meta_Tables[Excel Table - Excel Name],MATCH(meta_Columns[[#This Row],[Owning Table:src]],meta_Tables[ID],0))</f>
        <v>meta_Rules</v>
      </c>
      <c r="G282" s="44" t="str">
        <f>INDEX(meta_Tables[Instances Class:src],MATCH(meta_Columns[[#This Row],[Owning Table:src]],meta_Tables[ID],0))</f>
        <v>_Rule</v>
      </c>
      <c r="H282" s="11" t="s">
        <v>1014</v>
      </c>
      <c r="I282" s="43" t="str">
        <f xml:space="preserve"> IF( TRIM( meta_Columns[[#This Row],[Owning Table:src]] ) = "", "",
        INDEX( meta_Tables[Display Qualified], MATCH( meta_Columns[[#This Row],[Owning Table:src]], meta_Tables[ID], 0 ) ) )</f>
        <v>meta::Rules</v>
      </c>
      <c r="K282" s="22" t="str">
        <f>IF(TRIM(meta_Columns[[#This Row],[Referenced Table:src]])="","",
    INDEX(meta_Tables[Display Qualified],MATCH(meta_Columns[[#This Row],[Referenced Table:src]],meta_Tables[ID],0)))</f>
        <v/>
      </c>
      <c r="L282" s="8"/>
      <c r="M282" s="22"/>
      <c r="N282" s="8" t="str">
        <f>IF(meta_Columns[[#This Row],[Excel Column - Excel Formula]]="","x","")</f>
        <v/>
      </c>
      <c r="O282" s="22"/>
      <c r="P282" s="8" t="str">
        <f>IF(meta_Columns[[#This Row],[Referenced Table:src]]="","",INDEX(meta_Tables[Instances Class],MATCH(meta_Columns[[#This Row],[Referenced Table:src]],meta_Tables[ID],0)))</f>
        <v/>
      </c>
      <c r="Q2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2" s="8"/>
      <c r="S282" s="22" t="str">
        <f xml:space="preserve"> IF( TRIM( meta_Columns[[#This Row],[Property:src]] ) = "", "",
        INDEX( meta_TypedModelElements[Display Qualified], MATCH( meta_Columns[[#This Row],[Property:src]], meta_TypedModelElements[ID], 0 ) ) )</f>
        <v/>
      </c>
      <c r="T282" s="22"/>
      <c r="U282" s="8" t="e">
        <f>INDEX(meta_Classifiers[Class - Generalization:src], MATCH(meta_Columns[[#This Row],[Generalization 5]],meta_Classifiers[ID],0))</f>
        <v>#N/A</v>
      </c>
      <c r="V282" s="8" t="e">
        <f>INDEX(meta_Classifiers[Class - Generalization:src], MATCH(meta_Columns[[#This Row],[Generalization 4]],meta_Classifiers[ID],0))</f>
        <v>#N/A</v>
      </c>
      <c r="W282" s="8" t="e">
        <f>INDEX(meta_Classifiers[Class - Generalization:src], MATCH(meta_Columns[[#This Row],[Generalization 3]],meta_Classifiers[ID],0))</f>
        <v>#N/A</v>
      </c>
      <c r="X282" s="8" t="str">
        <f>INDEX(meta_Classifiers[Class - Generalization:src], MATCH(meta_Columns[[#This Row],[Generalization 2]],meta_Classifiers[ID],0))</f>
        <v/>
      </c>
      <c r="Y282" s="8" t="str">
        <f>INDEX(meta_Classifiers[Class - Generalization:src], MATCH(meta_Columns[[#This Row],[Generalization 1]],meta_Classifiers[ID],0))</f>
        <v>_Object</v>
      </c>
      <c r="Z282" s="8" t="str">
        <f>INDEX(meta_Classifiers[Class - Generalization:src], MATCH(meta_Columns[[#This Row],[Owning Table Instances Class]],meta_Classifiers[ID],0))</f>
        <v>_NamedElement</v>
      </c>
      <c r="AA2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2" s="8" t="b">
        <f>_xlfn.IFNA(
INDEX(meta_Classifiers[Class - Generalization:src],MATCH(
INDEX(meta_Classifiers[Class - Generalization:src],MATCH(meta_Columns[[#This Row],[Property Owning Class]],meta_Classifiers[ID],0)),meta_Classifiers[ID],0))
=meta_Columns[[#This Row],[Owning Table Instances Class]],FALSE)</f>
        <v>0</v>
      </c>
      <c r="AG282" s="8" t="b">
        <f>_xlfn.IFNA(INDEX(meta_Classifiers[Class - Generalization:src],MATCH(meta_Columns[[#This Row],[Property Owning Class]],meta_Classifiers[ID],0))=meta_Columns[[#This Row],[Owning Table Instances Class]],FALSE)</f>
        <v>0</v>
      </c>
      <c r="AH2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2" s="8" t="e">
        <f>INDEX(meta_Classifiers[Name],MATCH(INDEX(meta_TypedModelElements[Property - Owning Class:src],MATCH(meta_Columns[[#This Row],[Property]],meta_TypedModelElements[ID],0)),meta_Classifiers[ID],0))</f>
        <v>#N/A</v>
      </c>
      <c r="AJ282" s="8" t="e">
        <f>INDEX(meta_TypedModelElements[Property - Owning Class:src],MATCH(meta_Columns[[#This Row],[Property]],meta_TypedModelElements[ID],0))</f>
        <v>#N/A</v>
      </c>
      <c r="AK282" s="8" t="e">
        <f>INDEX(meta_TypedModelElements[Kind:src],MATCH(meta_Columns[[#This Row],[Property]],meta_TypedModelElements[ID],0))</f>
        <v>#N/A</v>
      </c>
      <c r="AL282" s="8" t="e">
        <f>INDEX(meta_TypedModelElements[Name or Type],MATCH(meta_Columns[[#This Row],[Property]],meta_TypedModelElements[ID],0))</f>
        <v>#N/A</v>
      </c>
      <c r="AM282" s="8" t="e">
        <f>INDEX(meta_TypedModelElements[Property - Changeable],MATCH(meta_Columns[[#This Row],[Property]],meta_TypedModelElements[ID],0))</f>
        <v>#N/A</v>
      </c>
      <c r="AN282" s="43">
        <v>92</v>
      </c>
      <c r="AO282" s="22"/>
      <c r="AP2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2" s="8" t="str">
        <f xml:space="preserve"> IF(meta_Columns[[#This Row],[Property Owning Class is Specialization of Instance Class]],meta_Columns[[#This Row],[Property Owning Class Name]]&amp;" - ","")</f>
        <v/>
      </c>
      <c r="AR2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2" s="8" t="str">
        <f>IFERROR(LEFT(meta_Columns[[#This Row],[Excel Column - Label Actual without Semantic Case]],FIND("-",
meta_Columns[[#This Row],[Excel Column - Label Actual without Semantic Case]])-2),"")</f>
        <v/>
      </c>
      <c r="AU2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v>
      </c>
      <c r="AX282" s="22"/>
      <c r="AY282" s="8" t="str">
        <f>meta_Columns[[#This Row],[Owning Table]]&amp;"."&amp;meta_Columns[[#This Row],[Excel Column - Label]]</f>
        <v>meta::Rules.Property 2 Super Class 1</v>
      </c>
      <c r="AZ282" s="43" t="s">
        <v>384</v>
      </c>
      <c r="BA282" s="44" t="str">
        <f>IF(TRIM(meta_Columns[[#This Row],[Excel Column - Label Overwrite]])&lt;&gt;"",meta_Columns[[#This Row],[Excel Column - Label Overwrite]],meta_Columns[[#This Row],[Excel Column - Label from Property or Referenced Table]])</f>
        <v>Property 2 Super Class 1</v>
      </c>
      <c r="BB282" s="43" t="s">
        <v>1554</v>
      </c>
      <c r="BC282" s="44" t="str">
        <f>IF(meta_Columns[[#This Row],[Excel Column - Explicit Excel Formula]]="","",meta_Columns[[#This Row],[Excel Column - Explicit Excel Formula]])</f>
        <v>Formula:=IFNA(INDEX(#REF!,MATCH([@[Property 2 or Cast Type]],meta_Classifiers[ID],0)),0)</v>
      </c>
      <c r="BD282" s="5"/>
      <c r="BE282" s="5"/>
    </row>
    <row r="283" spans="1:57">
      <c r="A283" s="10" t="s">
        <v>1247</v>
      </c>
      <c r="B283" s="5" t="s">
        <v>546</v>
      </c>
      <c r="C283" s="22" t="str">
        <f xml:space="preserve"> IF( TRIM( meta_Columns[[#This Row],[Kind:src]] ) = "", "",
        INDEX( meta_Classifiers[Display Qualified], MATCH( meta_Columns[[#This Row],[Kind:src]], meta_Classifiers[ID], 0 ) ) )</f>
        <v>ExcelColumn</v>
      </c>
      <c r="D283" s="44" t="str">
        <f>IF(meta_Columns[[#This Row],[Owning Table:src]]="","",INDEX(meta_Classifiers[Package],MATCH(meta_Columns[[#This Row],[Owning Table Instances Class]],meta_Classifiers[ID],0)))</f>
        <v>meta</v>
      </c>
      <c r="E283" s="43"/>
      <c r="F283" s="44" t="str">
        <f>INDEX(meta_Tables[Excel Table - Excel Name],MATCH(meta_Columns[[#This Row],[Owning Table:src]],meta_Tables[ID],0))</f>
        <v>meta_Rules</v>
      </c>
      <c r="G283" s="44" t="str">
        <f>INDEX(meta_Tables[Instances Class:src],MATCH(meta_Columns[[#This Row],[Owning Table:src]],meta_Tables[ID],0))</f>
        <v>_Rule</v>
      </c>
      <c r="H283" s="11" t="s">
        <v>1014</v>
      </c>
      <c r="I283" s="43" t="str">
        <f xml:space="preserve"> IF( TRIM( meta_Columns[[#This Row],[Owning Table:src]] ) = "", "",
        INDEX( meta_Tables[Display Qualified], MATCH( meta_Columns[[#This Row],[Owning Table:src]], meta_Tables[ID], 0 ) ) )</f>
        <v>meta::Rules</v>
      </c>
      <c r="K283" s="22" t="str">
        <f>IF(TRIM(meta_Columns[[#This Row],[Referenced Table:src]])="","",
    INDEX(meta_Tables[Display Qualified],MATCH(meta_Columns[[#This Row],[Referenced Table:src]],meta_Tables[ID],0)))</f>
        <v/>
      </c>
      <c r="L283" s="8"/>
      <c r="M283" s="22"/>
      <c r="N283" s="8" t="str">
        <f>IF(meta_Columns[[#This Row],[Excel Column - Excel Formula]]="","x","")</f>
        <v/>
      </c>
      <c r="O283" s="22"/>
      <c r="P283" s="8" t="str">
        <f>IF(meta_Columns[[#This Row],[Referenced Table:src]]="","",INDEX(meta_Tables[Instances Class],MATCH(meta_Columns[[#This Row],[Referenced Table:src]],meta_Tables[ID],0)))</f>
        <v/>
      </c>
      <c r="Q2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meta::Rule.property2Class</v>
      </c>
      <c r="R283" s="8"/>
      <c r="S283" s="22" t="str">
        <f xml:space="preserve"> IF( TRIM( meta_Columns[[#This Row],[Property:src]] ) = "", "",
        INDEX( meta_TypedModelElements[Display Qualified], MATCH( meta_Columns[[#This Row],[Property:src]], meta_TypedModelElements[ID], 0 ) ) )</f>
        <v/>
      </c>
      <c r="T283" s="22"/>
      <c r="U283" s="8" t="e">
        <f>INDEX(meta_Classifiers[Class - Generalization:src], MATCH(meta_Columns[[#This Row],[Generalization 5]],meta_Classifiers[ID],0))</f>
        <v>#N/A</v>
      </c>
      <c r="V283" s="8" t="e">
        <f>INDEX(meta_Classifiers[Class - Generalization:src], MATCH(meta_Columns[[#This Row],[Generalization 4]],meta_Classifiers[ID],0))</f>
        <v>#N/A</v>
      </c>
      <c r="W283" s="8" t="e">
        <f>INDEX(meta_Classifiers[Class - Generalization:src], MATCH(meta_Columns[[#This Row],[Generalization 3]],meta_Classifiers[ID],0))</f>
        <v>#N/A</v>
      </c>
      <c r="X283" s="8" t="str">
        <f>INDEX(meta_Classifiers[Class - Generalization:src], MATCH(meta_Columns[[#This Row],[Generalization 2]],meta_Classifiers[ID],0))</f>
        <v/>
      </c>
      <c r="Y283" s="8" t="str">
        <f>INDEX(meta_Classifiers[Class - Generalization:src], MATCH(meta_Columns[[#This Row],[Generalization 1]],meta_Classifiers[ID],0))</f>
        <v>_Object</v>
      </c>
      <c r="Z283" s="8" t="str">
        <f>INDEX(meta_Classifiers[Class - Generalization:src], MATCH(meta_Columns[[#This Row],[Owning Table Instances Class]],meta_Classifiers[ID],0))</f>
        <v>_NamedElement</v>
      </c>
      <c r="AA2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3" s="8" t="b">
        <f>_xlfn.IFNA(
INDEX(meta_Classifiers[Class - Generalization:src],MATCH(
INDEX(meta_Classifiers[Class - Generalization:src],MATCH(meta_Columns[[#This Row],[Property Owning Class]],meta_Classifiers[ID],0)),meta_Classifiers[ID],0))
=meta_Columns[[#This Row],[Owning Table Instances Class]],FALSE)</f>
        <v>0</v>
      </c>
      <c r="AG283" s="8" t="b">
        <f>_xlfn.IFNA(INDEX(meta_Classifiers[Class - Generalization:src],MATCH(meta_Columns[[#This Row],[Property Owning Class]],meta_Classifiers[ID],0))=meta_Columns[[#This Row],[Owning Table Instances Class]],FALSE)</f>
        <v>0</v>
      </c>
      <c r="AH2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3" s="8" t="e">
        <f>INDEX(meta_Classifiers[Name],MATCH(INDEX(meta_TypedModelElements[Property - Owning Class:src],MATCH(meta_Columns[[#This Row],[Property]],meta_TypedModelElements[ID],0)),meta_Classifiers[ID],0))</f>
        <v>#N/A</v>
      </c>
      <c r="AJ283" s="8" t="e">
        <f>INDEX(meta_TypedModelElements[Property - Owning Class:src],MATCH(meta_Columns[[#This Row],[Property]],meta_TypedModelElements[ID],0))</f>
        <v>#N/A</v>
      </c>
      <c r="AK283" s="8" t="e">
        <f>INDEX(meta_TypedModelElements[Kind:src],MATCH(meta_Columns[[#This Row],[Property]],meta_TypedModelElements[ID],0))</f>
        <v>#N/A</v>
      </c>
      <c r="AL283" s="8" t="e">
        <f>INDEX(meta_TypedModelElements[Name or Type],MATCH(meta_Columns[[#This Row],[Property]],meta_TypedModelElements[ID],0))</f>
        <v>#N/A</v>
      </c>
      <c r="AM283" s="8" t="e">
        <f>INDEX(meta_TypedModelElements[Property - Changeable],MATCH(meta_Columns[[#This Row],[Property]],meta_TypedModelElements[ID],0))</f>
        <v>#N/A</v>
      </c>
      <c r="AN283" s="43">
        <v>93</v>
      </c>
      <c r="AO283" s="22"/>
      <c r="AP2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3" s="8" t="str">
        <f xml:space="preserve"> IF(meta_Columns[[#This Row],[Property Owning Class is Specialization of Instance Class]],meta_Columns[[#This Row],[Property Owning Class Name]]&amp;" - ","")</f>
        <v/>
      </c>
      <c r="AR2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Class</v>
      </c>
      <c r="AT283" s="8" t="str">
        <f>IFERROR(LEFT(meta_Columns[[#This Row],[Excel Column - Label Actual without Semantic Case]],FIND("-",
meta_Columns[[#This Row],[Excel Column - Label Actual without Semantic Case]])-2),"")</f>
        <v/>
      </c>
      <c r="AU2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Class</v>
      </c>
      <c r="AV2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Class:display:q.</v>
      </c>
      <c r="AX283" s="22"/>
      <c r="AY283" s="8" t="str">
        <f>meta_Columns[[#This Row],[Owning Table]]&amp;"."&amp;meta_Columns[[#This Row],[Excel Column - Label]]</f>
        <v>meta::Rules.Property 2 Class:display:q.</v>
      </c>
      <c r="AZ283" s="43" t="s">
        <v>385</v>
      </c>
      <c r="BA283" s="44" t="str">
        <f>IF(TRIM(meta_Columns[[#This Row],[Excel Column - Label Overwrite]])&lt;&gt;"",meta_Columns[[#This Row],[Excel Column - Label Overwrite]],meta_Columns[[#This Row],[Excel Column - Label from Property or Referenced Table]])</f>
        <v>Property 2 Class:display:q.</v>
      </c>
      <c r="BB283" s="43" t="s">
        <v>985</v>
      </c>
      <c r="BC283" s="44" t="str">
        <f>IF(meta_Columns[[#This Row],[Excel Column - Explicit Excel Formula]]="","",meta_Columns[[#This Row],[Excel Column - Explicit Excel Formula]])</f>
        <v>Formula:=IFNA(INDEX(meta_Classifiers[Display Qualified],MATCH([@[Property 2 or Cast Type]],meta_Classifiers[ID],0))&amp;".",0)</v>
      </c>
      <c r="BD283" s="5"/>
      <c r="BE283" s="5"/>
    </row>
    <row r="284" spans="1:57">
      <c r="A284" s="10" t="s">
        <v>1248</v>
      </c>
      <c r="B284" s="5" t="s">
        <v>546</v>
      </c>
      <c r="C284" s="22" t="str">
        <f xml:space="preserve"> IF( TRIM( meta_Columns[[#This Row],[Kind:src]] ) = "", "",
        INDEX( meta_Classifiers[Display Qualified], MATCH( meta_Columns[[#This Row],[Kind:src]], meta_Classifiers[ID], 0 ) ) )</f>
        <v>ExcelColumn</v>
      </c>
      <c r="D284" s="44" t="str">
        <f>IF(meta_Columns[[#This Row],[Owning Table:src]]="","",INDEX(meta_Classifiers[Package],MATCH(meta_Columns[[#This Row],[Owning Table Instances Class]],meta_Classifiers[ID],0)))</f>
        <v>meta</v>
      </c>
      <c r="E284" s="43"/>
      <c r="F284" s="44" t="str">
        <f>INDEX(meta_Tables[Excel Table - Excel Name],MATCH(meta_Columns[[#This Row],[Owning Table:src]],meta_Tables[ID],0))</f>
        <v>meta_Rules</v>
      </c>
      <c r="G284" s="44" t="str">
        <f>INDEX(meta_Tables[Instances Class:src],MATCH(meta_Columns[[#This Row],[Owning Table:src]],meta_Tables[ID],0))</f>
        <v>_Rule</v>
      </c>
      <c r="H284" s="11" t="s">
        <v>1014</v>
      </c>
      <c r="I284" s="43" t="str">
        <f xml:space="preserve"> IF( TRIM( meta_Columns[[#This Row],[Owning Table:src]] ) = "", "",
        INDEX( meta_Tables[Display Qualified], MATCH( meta_Columns[[#This Row],[Owning Table:src]], meta_Tables[ID], 0 ) ) )</f>
        <v>meta::Rules</v>
      </c>
      <c r="K284" s="22" t="str">
        <f>IF(TRIM(meta_Columns[[#This Row],[Referenced Table:src]])="","",
    INDEX(meta_Tables[Display Qualified],MATCH(meta_Columns[[#This Row],[Referenced Table:src]],meta_Tables[ID],0)))</f>
        <v/>
      </c>
      <c r="L284" s="8"/>
      <c r="M284" s="22"/>
      <c r="N284" s="8" t="str">
        <f>IF(meta_Columns[[#This Row],[Excel Column - Excel Formula]]="","x","")</f>
        <v/>
      </c>
      <c r="O284" s="22"/>
      <c r="P284" s="8" t="str">
        <f>IF(meta_Columns[[#This Row],[Referenced Table:src]]="","",INDEX(meta_Tables[Instances Class],MATCH(meta_Columns[[#This Row],[Referenced Table:src]],meta_Tables[ID],0)))</f>
        <v/>
      </c>
      <c r="Q2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meta::Rule.property2OrCastTypeKind</v>
      </c>
      <c r="R284" s="8"/>
      <c r="S284" s="22" t="str">
        <f xml:space="preserve"> IF( TRIM( meta_Columns[[#This Row],[Property:src]] ) = "", "",
        INDEX( meta_TypedModelElements[Display Qualified], MATCH( meta_Columns[[#This Row],[Property:src]], meta_TypedModelElements[ID], 0 ) ) )</f>
        <v/>
      </c>
      <c r="T284" s="22"/>
      <c r="U284" s="8" t="e">
        <f>INDEX(meta_Classifiers[Class - Generalization:src], MATCH(meta_Columns[[#This Row],[Generalization 5]],meta_Classifiers[ID],0))</f>
        <v>#N/A</v>
      </c>
      <c r="V284" s="8" t="e">
        <f>INDEX(meta_Classifiers[Class - Generalization:src], MATCH(meta_Columns[[#This Row],[Generalization 4]],meta_Classifiers[ID],0))</f>
        <v>#N/A</v>
      </c>
      <c r="W284" s="8" t="e">
        <f>INDEX(meta_Classifiers[Class - Generalization:src], MATCH(meta_Columns[[#This Row],[Generalization 3]],meta_Classifiers[ID],0))</f>
        <v>#N/A</v>
      </c>
      <c r="X284" s="8" t="str">
        <f>INDEX(meta_Classifiers[Class - Generalization:src], MATCH(meta_Columns[[#This Row],[Generalization 2]],meta_Classifiers[ID],0))</f>
        <v/>
      </c>
      <c r="Y284" s="8" t="str">
        <f>INDEX(meta_Classifiers[Class - Generalization:src], MATCH(meta_Columns[[#This Row],[Generalization 1]],meta_Classifiers[ID],0))</f>
        <v>_Object</v>
      </c>
      <c r="Z284" s="8" t="str">
        <f>INDEX(meta_Classifiers[Class - Generalization:src], MATCH(meta_Columns[[#This Row],[Owning Table Instances Class]],meta_Classifiers[ID],0))</f>
        <v>_NamedElement</v>
      </c>
      <c r="AA2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4" s="8" t="b">
        <f>_xlfn.IFNA(
INDEX(meta_Classifiers[Class - Generalization:src],MATCH(
INDEX(meta_Classifiers[Class - Generalization:src],MATCH(meta_Columns[[#This Row],[Property Owning Class]],meta_Classifiers[ID],0)),meta_Classifiers[ID],0))
=meta_Columns[[#This Row],[Owning Table Instances Class]],FALSE)</f>
        <v>0</v>
      </c>
      <c r="AG284" s="8" t="b">
        <f>_xlfn.IFNA(INDEX(meta_Classifiers[Class - Generalization:src],MATCH(meta_Columns[[#This Row],[Property Owning Class]],meta_Classifiers[ID],0))=meta_Columns[[#This Row],[Owning Table Instances Class]],FALSE)</f>
        <v>0</v>
      </c>
      <c r="AH2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4" s="8" t="e">
        <f>INDEX(meta_Classifiers[Name],MATCH(INDEX(meta_TypedModelElements[Property - Owning Class:src],MATCH(meta_Columns[[#This Row],[Property]],meta_TypedModelElements[ID],0)),meta_Classifiers[ID],0))</f>
        <v>#N/A</v>
      </c>
      <c r="AJ284" s="8" t="e">
        <f>INDEX(meta_TypedModelElements[Property - Owning Class:src],MATCH(meta_Columns[[#This Row],[Property]],meta_TypedModelElements[ID],0))</f>
        <v>#N/A</v>
      </c>
      <c r="AK284" s="8" t="e">
        <f>INDEX(meta_TypedModelElements[Kind:src],MATCH(meta_Columns[[#This Row],[Property]],meta_TypedModelElements[ID],0))</f>
        <v>#N/A</v>
      </c>
      <c r="AL284" s="8" t="e">
        <f>INDEX(meta_TypedModelElements[Name or Type],MATCH(meta_Columns[[#This Row],[Property]],meta_TypedModelElements[ID],0))</f>
        <v>#N/A</v>
      </c>
      <c r="AM284" s="8" t="e">
        <f>INDEX(meta_TypedModelElements[Property - Changeable],MATCH(meta_Columns[[#This Row],[Property]],meta_TypedModelElements[ID],0))</f>
        <v>#N/A</v>
      </c>
      <c r="AN284" s="43">
        <v>94</v>
      </c>
      <c r="AO284" s="22"/>
      <c r="AP2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4" s="8" t="str">
        <f xml:space="preserve"> IF(meta_Columns[[#This Row],[Property Owning Class is Specialization of Instance Class]],meta_Columns[[#This Row],[Property Owning Class Name]]&amp;" - ","")</f>
        <v/>
      </c>
      <c r="AR2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 Kind</v>
      </c>
      <c r="AT284" s="8" t="str">
        <f>IFERROR(LEFT(meta_Columns[[#This Row],[Excel Column - Label Actual without Semantic Case]],FIND("-",
meta_Columns[[#This Row],[Excel Column - Label Actual without Semantic Case]])-2),"")</f>
        <v/>
      </c>
      <c r="AU2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 Kind</v>
      </c>
      <c r="AV2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 Kind</v>
      </c>
      <c r="AX284" s="22"/>
      <c r="AY284" s="8" t="str">
        <f>meta_Columns[[#This Row],[Owning Table]]&amp;"."&amp;meta_Columns[[#This Row],[Excel Column - Label]]</f>
        <v>meta::Rules.Property 2 or Cast Type Kind</v>
      </c>
      <c r="AZ284" s="43" t="s">
        <v>433</v>
      </c>
      <c r="BA284" s="44" t="str">
        <f>IF(TRIM(meta_Columns[[#This Row],[Excel Column - Label Overwrite]])&lt;&gt;"",meta_Columns[[#This Row],[Excel Column - Label Overwrite]],meta_Columns[[#This Row],[Excel Column - Label from Property or Referenced Table]])</f>
        <v>Property 2 or Cast Type Kind</v>
      </c>
      <c r="BB284" s="43" t="s">
        <v>1555</v>
      </c>
      <c r="BC284" s="44" t="str">
        <f>IF(meta_Columns[[#This Row],[Excel Column - Explicit Excel Formula]]="","",meta_Columns[[#This Row],[Excel Column - Explicit Excel Formula]])</f>
        <v>Formula:=IF([@[Property 2 or Cast Type]]="","",INDEX(#REF!,MATCH([@[Property 2 or Cast Type]],meta_Classifiers[ID],0)))</v>
      </c>
      <c r="BD284" s="5"/>
      <c r="BE284" s="5"/>
    </row>
    <row r="285" spans="1:57">
      <c r="A285" s="10" t="s">
        <v>1249</v>
      </c>
      <c r="B285" s="5" t="s">
        <v>546</v>
      </c>
      <c r="C285" s="22" t="str">
        <f xml:space="preserve"> IF( TRIM( meta_Columns[[#This Row],[Kind:src]] ) = "", "",
        INDEX( meta_Classifiers[Display Qualified], MATCH( meta_Columns[[#This Row],[Kind:src]], meta_Classifiers[ID], 0 ) ) )</f>
        <v>ExcelColumn</v>
      </c>
      <c r="D285" s="44" t="str">
        <f>IF(meta_Columns[[#This Row],[Owning Table:src]]="","",INDEX(meta_Classifiers[Package],MATCH(meta_Columns[[#This Row],[Owning Table Instances Class]],meta_Classifiers[ID],0)))</f>
        <v>meta</v>
      </c>
      <c r="E285" s="43"/>
      <c r="F285" s="44" t="str">
        <f>INDEX(meta_Tables[Excel Table - Excel Name],MATCH(meta_Columns[[#This Row],[Owning Table:src]],meta_Tables[ID],0))</f>
        <v>meta_Rules</v>
      </c>
      <c r="G285" s="44" t="str">
        <f>INDEX(meta_Tables[Instances Class:src],MATCH(meta_Columns[[#This Row],[Owning Table:src]],meta_Tables[ID],0))</f>
        <v>_Rule</v>
      </c>
      <c r="H285" s="5" t="s">
        <v>1014</v>
      </c>
      <c r="I285" s="43" t="str">
        <f xml:space="preserve"> IF( TRIM( meta_Columns[[#This Row],[Owning Table:src]] ) = "", "",
        INDEX( meta_Tables[Display Qualified], MATCH( meta_Columns[[#This Row],[Owning Table:src]], meta_Tables[ID], 0 ) ) )</f>
        <v>meta::Rules</v>
      </c>
      <c r="K285" s="22" t="str">
        <f>IF(TRIM(meta_Columns[[#This Row],[Referenced Table:src]])="","",
    INDEX(meta_Tables[Display Qualified],MATCH(meta_Columns[[#This Row],[Referenced Table:src]],meta_Tables[ID],0)))</f>
        <v/>
      </c>
      <c r="L285" s="8"/>
      <c r="M285" s="22"/>
      <c r="N285" s="8" t="str">
        <f>IF(meta_Columns[[#This Row],[Excel Column - Excel Formula]]="","x","")</f>
        <v/>
      </c>
      <c r="O285" s="22"/>
      <c r="P285" s="8" t="str">
        <f>IF(meta_Columns[[#This Row],[Referenced Table:src]]="","",INDEX(meta_Tables[Instances Class],MATCH(meta_Columns[[#This Row],[Referenced Table:src]],meta_Tables[ID],0)))</f>
        <v/>
      </c>
      <c r="Q2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v>
      </c>
      <c r="R285" s="8"/>
      <c r="S285" s="22" t="str">
        <f xml:space="preserve"> IF( TRIM( meta_Columns[[#This Row],[Property:src]] ) = "", "",
        INDEX( meta_TypedModelElements[Display Qualified], MATCH( meta_Columns[[#This Row],[Property:src]], meta_TypedModelElements[ID], 0 ) ) )</f>
        <v/>
      </c>
      <c r="T285" s="22"/>
      <c r="U285" s="8" t="e">
        <f>INDEX(meta_Classifiers[Class - Generalization:src], MATCH(meta_Columns[[#This Row],[Generalization 5]],meta_Classifiers[ID],0))</f>
        <v>#N/A</v>
      </c>
      <c r="V285" s="8" t="e">
        <f>INDEX(meta_Classifiers[Class - Generalization:src], MATCH(meta_Columns[[#This Row],[Generalization 4]],meta_Classifiers[ID],0))</f>
        <v>#N/A</v>
      </c>
      <c r="W285" s="8" t="e">
        <f>INDEX(meta_Classifiers[Class - Generalization:src], MATCH(meta_Columns[[#This Row],[Generalization 3]],meta_Classifiers[ID],0))</f>
        <v>#N/A</v>
      </c>
      <c r="X285" s="8" t="str">
        <f>INDEX(meta_Classifiers[Class - Generalization:src], MATCH(meta_Columns[[#This Row],[Generalization 2]],meta_Classifiers[ID],0))</f>
        <v/>
      </c>
      <c r="Y285" s="8" t="str">
        <f>INDEX(meta_Classifiers[Class - Generalization:src], MATCH(meta_Columns[[#This Row],[Generalization 1]],meta_Classifiers[ID],0))</f>
        <v>_Object</v>
      </c>
      <c r="Z285" s="8" t="str">
        <f>INDEX(meta_Classifiers[Class - Generalization:src], MATCH(meta_Columns[[#This Row],[Owning Table Instances Class]],meta_Classifiers[ID],0))</f>
        <v>_NamedElement</v>
      </c>
      <c r="AA2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5" s="8" t="b">
        <f>_xlfn.IFNA(
INDEX(meta_Classifiers[Class - Generalization:src],MATCH(
INDEX(meta_Classifiers[Class - Generalization:src],MATCH(meta_Columns[[#This Row],[Property Owning Class]],meta_Classifiers[ID],0)),meta_Classifiers[ID],0))
=meta_Columns[[#This Row],[Owning Table Instances Class]],FALSE)</f>
        <v>0</v>
      </c>
      <c r="AG285" s="8" t="b">
        <f>_xlfn.IFNA(INDEX(meta_Classifiers[Class - Generalization:src],MATCH(meta_Columns[[#This Row],[Property Owning Class]],meta_Classifiers[ID],0))=meta_Columns[[#This Row],[Owning Table Instances Class]],FALSE)</f>
        <v>0</v>
      </c>
      <c r="AH2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5" s="8" t="e">
        <f>INDEX(meta_Classifiers[Name],MATCH(INDEX(meta_TypedModelElements[Property - Owning Class:src],MATCH(meta_Columns[[#This Row],[Property]],meta_TypedModelElements[ID],0)),meta_Classifiers[ID],0))</f>
        <v>#N/A</v>
      </c>
      <c r="AJ285" s="8" t="e">
        <f>INDEX(meta_TypedModelElements[Property - Owning Class:src],MATCH(meta_Columns[[#This Row],[Property]],meta_TypedModelElements[ID],0))</f>
        <v>#N/A</v>
      </c>
      <c r="AK285" s="8" t="e">
        <f>INDEX(meta_TypedModelElements[Kind:src],MATCH(meta_Columns[[#This Row],[Property]],meta_TypedModelElements[ID],0))</f>
        <v>#N/A</v>
      </c>
      <c r="AL285" s="8" t="e">
        <f>INDEX(meta_TypedModelElements[Name or Type],MATCH(meta_Columns[[#This Row],[Property]],meta_TypedModelElements[ID],0))</f>
        <v>#N/A</v>
      </c>
      <c r="AM285" s="8" t="e">
        <f>INDEX(meta_TypedModelElements[Property - Changeable],MATCH(meta_Columns[[#This Row],[Property]],meta_TypedModelElements[ID],0))</f>
        <v>#N/A</v>
      </c>
      <c r="AN285" s="43">
        <v>95</v>
      </c>
      <c r="AO285" s="22"/>
      <c r="AP2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5" s="8" t="str">
        <f xml:space="preserve"> IF(meta_Columns[[#This Row],[Property Owning Class is Specialization of Instance Class]],meta_Columns[[#This Row],[Property Owning Class Name]]&amp;" - ","")</f>
        <v/>
      </c>
      <c r="AR2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v>
      </c>
      <c r="AT285" s="8" t="str">
        <f>IFERROR(LEFT(meta_Columns[[#This Row],[Excel Column - Label Actual without Semantic Case]],FIND("-",
meta_Columns[[#This Row],[Excel Column - Label Actual without Semantic Case]])-2),"")</f>
        <v/>
      </c>
      <c r="AU2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v>
      </c>
      <c r="AV2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v>
      </c>
      <c r="AX285" s="22"/>
      <c r="AY285" s="8" t="str">
        <f>meta_Columns[[#This Row],[Owning Table]]&amp;"."&amp;meta_Columns[[#This Row],[Excel Column - Label]]</f>
        <v>meta::Rules.Property 2 or Cast Type</v>
      </c>
      <c r="AZ285" s="43" t="s">
        <v>432</v>
      </c>
      <c r="BA285" s="44" t="str">
        <f>IF(TRIM(meta_Columns[[#This Row],[Excel Column - Label Overwrite]])&lt;&gt;"",meta_Columns[[#This Row],[Excel Column - Label Overwrite]],meta_Columns[[#This Row],[Excel Column - Label from Property or Referenced Table]])</f>
        <v>Property 2 or Cast Type</v>
      </c>
      <c r="BB285" s="43" t="s">
        <v>1430</v>
      </c>
      <c r="BC285" s="8" t="str">
        <f>IF(meta_Columns[[#This Row],[Excel Column - Explicit Excel Formula]]="","",meta_Columns[[#This Row],[Excel Column - Explicit Excel Formula]])</f>
        <v>Formula:=IF([@[Cast:src]]&lt;&gt;"",[@[Cast:src]],IF([@[Property 2:src]]="","",INDEX(meta_TypedModelElements[Type:src],MATCH([@[Property 2:src]],meta_TypedModelElements[ID],0))))</v>
      </c>
      <c r="BD285" s="5"/>
      <c r="BE285" s="5"/>
    </row>
    <row r="286" spans="1:57">
      <c r="A286" s="10" t="s">
        <v>1250</v>
      </c>
      <c r="B286" s="5" t="s">
        <v>546</v>
      </c>
      <c r="C286" s="22" t="str">
        <f xml:space="preserve"> IF( TRIM( meta_Columns[[#This Row],[Kind:src]] ) = "", "",
        INDEX( meta_Classifiers[Display Qualified], MATCH( meta_Columns[[#This Row],[Kind:src]], meta_Classifiers[ID], 0 ) ) )</f>
        <v>ExcelColumn</v>
      </c>
      <c r="D286" s="44" t="str">
        <f>IF(meta_Columns[[#This Row],[Owning Table:src]]="","",INDEX(meta_Classifiers[Package],MATCH(meta_Columns[[#This Row],[Owning Table Instances Class]],meta_Classifiers[ID],0)))</f>
        <v>meta</v>
      </c>
      <c r="E286" s="43"/>
      <c r="F286" s="44" t="str">
        <f>INDEX(meta_Tables[Excel Table - Excel Name],MATCH(meta_Columns[[#This Row],[Owning Table:src]],meta_Tables[ID],0))</f>
        <v>meta_Rules</v>
      </c>
      <c r="G286" s="44" t="str">
        <f>INDEX(meta_Tables[Instances Class:src],MATCH(meta_Columns[[#This Row],[Owning Table:src]],meta_Tables[ID],0))</f>
        <v>_Rule</v>
      </c>
      <c r="H286" s="5" t="s">
        <v>1014</v>
      </c>
      <c r="I286" s="43" t="str">
        <f xml:space="preserve"> IF( TRIM( meta_Columns[[#This Row],[Owning Table:src]] ) = "", "",
        INDEX( meta_Tables[Display Qualified], MATCH( meta_Columns[[#This Row],[Owning Table:src]], meta_Tables[ID], 0 ) ) )</f>
        <v>meta::Rules</v>
      </c>
      <c r="K286" s="22" t="str">
        <f>IF(TRIM(meta_Columns[[#This Row],[Referenced Table:src]])="","",
    INDEX(meta_Tables[Display Qualified],MATCH(meta_Columns[[#This Row],[Referenced Table:src]],meta_Tables[ID],0)))</f>
        <v/>
      </c>
      <c r="L286" s="8"/>
      <c r="M286" s="22"/>
      <c r="N286" s="8" t="str">
        <f>IF(meta_Columns[[#This Row],[Excel Column - Excel Formula]]="","x","")</f>
        <v>x</v>
      </c>
      <c r="O286" s="22"/>
      <c r="P286" s="8" t="str">
        <f>IF(meta_Columns[[#This Row],[Referenced Table:src]]="","",INDEX(meta_Tables[Instances Class],MATCH(meta_Columns[[#This Row],[Referenced Table:src]],meta_Tables[ID],0)))</f>
        <v/>
      </c>
      <c r="Q2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6" s="8"/>
      <c r="S286" s="22" t="str">
        <f xml:space="preserve"> IF( TRIM( meta_Columns[[#This Row],[Property:src]] ) = "", "",
        INDEX( meta_TypedModelElements[Display Qualified], MATCH( meta_Columns[[#This Row],[Property:src]], meta_TypedModelElements[ID], 0 ) ) )</f>
        <v/>
      </c>
      <c r="T286" s="22"/>
      <c r="U286" s="8" t="e">
        <f>INDEX(meta_Classifiers[Class - Generalization:src], MATCH(meta_Columns[[#This Row],[Generalization 5]],meta_Classifiers[ID],0))</f>
        <v>#N/A</v>
      </c>
      <c r="V286" s="8" t="e">
        <f>INDEX(meta_Classifiers[Class - Generalization:src], MATCH(meta_Columns[[#This Row],[Generalization 4]],meta_Classifiers[ID],0))</f>
        <v>#N/A</v>
      </c>
      <c r="W286" s="8" t="e">
        <f>INDEX(meta_Classifiers[Class - Generalization:src], MATCH(meta_Columns[[#This Row],[Generalization 3]],meta_Classifiers[ID],0))</f>
        <v>#N/A</v>
      </c>
      <c r="X286" s="8" t="str">
        <f>INDEX(meta_Classifiers[Class - Generalization:src], MATCH(meta_Columns[[#This Row],[Generalization 2]],meta_Classifiers[ID],0))</f>
        <v/>
      </c>
      <c r="Y286" s="8" t="str">
        <f>INDEX(meta_Classifiers[Class - Generalization:src], MATCH(meta_Columns[[#This Row],[Generalization 1]],meta_Classifiers[ID],0))</f>
        <v>_Object</v>
      </c>
      <c r="Z286" s="8" t="str">
        <f>INDEX(meta_Classifiers[Class - Generalization:src], MATCH(meta_Columns[[#This Row],[Owning Table Instances Class]],meta_Classifiers[ID],0))</f>
        <v>_NamedElement</v>
      </c>
      <c r="AA2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6" s="8" t="b">
        <f>_xlfn.IFNA(
INDEX(meta_Classifiers[Class - Generalization:src],MATCH(
INDEX(meta_Classifiers[Class - Generalization:src],MATCH(meta_Columns[[#This Row],[Property Owning Class]],meta_Classifiers[ID],0)),meta_Classifiers[ID],0))
=meta_Columns[[#This Row],[Owning Table Instances Class]],FALSE)</f>
        <v>0</v>
      </c>
      <c r="AG286" s="8" t="b">
        <f>_xlfn.IFNA(INDEX(meta_Classifiers[Class - Generalization:src],MATCH(meta_Columns[[#This Row],[Property Owning Class]],meta_Classifiers[ID],0))=meta_Columns[[#This Row],[Owning Table Instances Class]],FALSE)</f>
        <v>0</v>
      </c>
      <c r="AH2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6" s="8" t="e">
        <f>INDEX(meta_Classifiers[Name],MATCH(INDEX(meta_TypedModelElements[Property - Owning Class:src],MATCH(meta_Columns[[#This Row],[Property]],meta_TypedModelElements[ID],0)),meta_Classifiers[ID],0))</f>
        <v>#N/A</v>
      </c>
      <c r="AJ286" s="8" t="e">
        <f>INDEX(meta_TypedModelElements[Property - Owning Class:src],MATCH(meta_Columns[[#This Row],[Property]],meta_TypedModelElements[ID],0))</f>
        <v>#N/A</v>
      </c>
      <c r="AK286" s="8" t="e">
        <f>INDEX(meta_TypedModelElements[Kind:src],MATCH(meta_Columns[[#This Row],[Property]],meta_TypedModelElements[ID],0))</f>
        <v>#N/A</v>
      </c>
      <c r="AL286" s="8" t="e">
        <f>INDEX(meta_TypedModelElements[Name or Type],MATCH(meta_Columns[[#This Row],[Property]],meta_TypedModelElements[ID],0))</f>
        <v>#N/A</v>
      </c>
      <c r="AM286" s="8" t="e">
        <f>INDEX(meta_TypedModelElements[Property - Changeable],MATCH(meta_Columns[[#This Row],[Property]],meta_TypedModelElements[ID],0))</f>
        <v>#N/A</v>
      </c>
      <c r="AN286" s="43">
        <v>96</v>
      </c>
      <c r="AO286" s="22">
        <v>22</v>
      </c>
      <c r="AP2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6" s="8" t="str">
        <f xml:space="preserve"> IF(meta_Columns[[#This Row],[Property Owning Class is Specialization of Instance Class]],meta_Columns[[#This Row],[Property Owning Class Name]]&amp;" - ","")</f>
        <v/>
      </c>
      <c r="AR2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6" s="8" t="str">
        <f>IFERROR(LEFT(meta_Columns[[#This Row],[Excel Column - Label Actual without Semantic Case]],FIND("-",
meta_Columns[[#This Row],[Excel Column - Label Actual without Semantic Case]])-2),"")</f>
        <v/>
      </c>
      <c r="AU2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3:src</v>
      </c>
      <c r="AX286" s="22"/>
      <c r="AY286" s="8" t="str">
        <f>meta_Columns[[#This Row],[Owning Table]]&amp;"."&amp;meta_Columns[[#This Row],[Excel Column - Label]]</f>
        <v>meta::Rules.Property 3:src</v>
      </c>
      <c r="AZ286" s="43" t="s">
        <v>372</v>
      </c>
      <c r="BA286" s="44" t="str">
        <f>IF(TRIM(meta_Columns[[#This Row],[Excel Column - Label Overwrite]])&lt;&gt;"",meta_Columns[[#This Row],[Excel Column - Label Overwrite]],meta_Columns[[#This Row],[Excel Column - Label from Property or Referenced Table]])</f>
        <v>Property 3:src</v>
      </c>
      <c r="BB286" s="43"/>
      <c r="BC286" s="8" t="str">
        <f>IF(meta_Columns[[#This Row],[Excel Column - Explicit Excel Formula]]="","",meta_Columns[[#This Row],[Excel Column - Explicit Excel Formula]])</f>
        <v/>
      </c>
      <c r="BD286" s="5"/>
      <c r="BE286" s="5"/>
    </row>
    <row r="287" spans="1:57">
      <c r="A287" s="10" t="s">
        <v>1251</v>
      </c>
      <c r="B287" s="5" t="s">
        <v>546</v>
      </c>
      <c r="C287" s="22" t="str">
        <f xml:space="preserve"> IF( TRIM( meta_Columns[[#This Row],[Kind:src]] ) = "", "",
        INDEX( meta_Classifiers[Display Qualified], MATCH( meta_Columns[[#This Row],[Kind:src]], meta_Classifiers[ID], 0 ) ) )</f>
        <v>ExcelColumn</v>
      </c>
      <c r="D287" s="44" t="str">
        <f>IF(meta_Columns[[#This Row],[Owning Table:src]]="","",INDEX(meta_Classifiers[Package],MATCH(meta_Columns[[#This Row],[Owning Table Instances Class]],meta_Classifiers[ID],0)))</f>
        <v>meta</v>
      </c>
      <c r="E287" s="43"/>
      <c r="F287" s="44" t="str">
        <f>INDEX(meta_Tables[Excel Table - Excel Name],MATCH(meta_Columns[[#This Row],[Owning Table:src]],meta_Tables[ID],0))</f>
        <v>meta_Rules</v>
      </c>
      <c r="G287" s="44" t="str">
        <f>INDEX(meta_Tables[Instances Class:src],MATCH(meta_Columns[[#This Row],[Owning Table:src]],meta_Tables[ID],0))</f>
        <v>_Rule</v>
      </c>
      <c r="H287" s="5" t="s">
        <v>1014</v>
      </c>
      <c r="I287" s="43" t="str">
        <f xml:space="preserve"> IF( TRIM( meta_Columns[[#This Row],[Owning Table:src]] ) = "", "",
        INDEX( meta_Tables[Display Qualified], MATCH( meta_Columns[[#This Row],[Owning Table:src]], meta_Tables[ID], 0 ) ) )</f>
        <v>meta::Rules</v>
      </c>
      <c r="K287" s="22" t="str">
        <f>IF(TRIM(meta_Columns[[#This Row],[Referenced Table:src]])="","",
    INDEX(meta_Tables[Display Qualified],MATCH(meta_Columns[[#This Row],[Referenced Table:src]],meta_Tables[ID],0)))</f>
        <v/>
      </c>
      <c r="L287" s="8"/>
      <c r="M287" s="22"/>
      <c r="N287" s="8" t="str">
        <f>IF(meta_Columns[[#This Row],[Excel Column - Excel Formula]]="","x","")</f>
        <v/>
      </c>
      <c r="O287" s="22"/>
      <c r="P287" s="8" t="str">
        <f>IF(meta_Columns[[#This Row],[Referenced Table:src]]="","",INDEX(meta_Tables[Instances Class],MATCH(meta_Columns[[#This Row],[Referenced Table:src]],meta_Tables[ID],0)))</f>
        <v/>
      </c>
      <c r="Q2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7" s="8"/>
      <c r="S287" s="22" t="str">
        <f xml:space="preserve"> IF( TRIM( meta_Columns[[#This Row],[Property:src]] ) = "", "",
        INDEX( meta_TypedModelElements[Display Qualified], MATCH( meta_Columns[[#This Row],[Property:src]], meta_TypedModelElements[ID], 0 ) ) )</f>
        <v/>
      </c>
      <c r="T287" s="22"/>
      <c r="U287" s="8" t="e">
        <f>INDEX(meta_Classifiers[Class - Generalization:src], MATCH(meta_Columns[[#This Row],[Generalization 5]],meta_Classifiers[ID],0))</f>
        <v>#N/A</v>
      </c>
      <c r="V287" s="8" t="e">
        <f>INDEX(meta_Classifiers[Class - Generalization:src], MATCH(meta_Columns[[#This Row],[Generalization 4]],meta_Classifiers[ID],0))</f>
        <v>#N/A</v>
      </c>
      <c r="W287" s="8" t="e">
        <f>INDEX(meta_Classifiers[Class - Generalization:src], MATCH(meta_Columns[[#This Row],[Generalization 3]],meta_Classifiers[ID],0))</f>
        <v>#N/A</v>
      </c>
      <c r="X287" s="8" t="str">
        <f>INDEX(meta_Classifiers[Class - Generalization:src], MATCH(meta_Columns[[#This Row],[Generalization 2]],meta_Classifiers[ID],0))</f>
        <v/>
      </c>
      <c r="Y287" s="8" t="str">
        <f>INDEX(meta_Classifiers[Class - Generalization:src], MATCH(meta_Columns[[#This Row],[Generalization 1]],meta_Classifiers[ID],0))</f>
        <v>_Object</v>
      </c>
      <c r="Z287" s="8" t="str">
        <f>INDEX(meta_Classifiers[Class - Generalization:src], MATCH(meta_Columns[[#This Row],[Owning Table Instances Class]],meta_Classifiers[ID],0))</f>
        <v>_NamedElement</v>
      </c>
      <c r="AA2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7" s="8" t="b">
        <f>_xlfn.IFNA(
INDEX(meta_Classifiers[Class - Generalization:src],MATCH(
INDEX(meta_Classifiers[Class - Generalization:src],MATCH(meta_Columns[[#This Row],[Property Owning Class]],meta_Classifiers[ID],0)),meta_Classifiers[ID],0))
=meta_Columns[[#This Row],[Owning Table Instances Class]],FALSE)</f>
        <v>0</v>
      </c>
      <c r="AG287" s="8" t="b">
        <f>_xlfn.IFNA(INDEX(meta_Classifiers[Class - Generalization:src],MATCH(meta_Columns[[#This Row],[Property Owning Class]],meta_Classifiers[ID],0))=meta_Columns[[#This Row],[Owning Table Instances Class]],FALSE)</f>
        <v>0</v>
      </c>
      <c r="AH2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7" s="8" t="e">
        <f>INDEX(meta_Classifiers[Name],MATCH(INDEX(meta_TypedModelElements[Property - Owning Class:src],MATCH(meta_Columns[[#This Row],[Property]],meta_TypedModelElements[ID],0)),meta_Classifiers[ID],0))</f>
        <v>#N/A</v>
      </c>
      <c r="AJ287" s="8" t="e">
        <f>INDEX(meta_TypedModelElements[Property - Owning Class:src],MATCH(meta_Columns[[#This Row],[Property]],meta_TypedModelElements[ID],0))</f>
        <v>#N/A</v>
      </c>
      <c r="AK287" s="8" t="e">
        <f>INDEX(meta_TypedModelElements[Kind:src],MATCH(meta_Columns[[#This Row],[Property]],meta_TypedModelElements[ID],0))</f>
        <v>#N/A</v>
      </c>
      <c r="AL287" s="8" t="e">
        <f>INDEX(meta_TypedModelElements[Name or Type],MATCH(meta_Columns[[#This Row],[Property]],meta_TypedModelElements[ID],0))</f>
        <v>#N/A</v>
      </c>
      <c r="AM287" s="8" t="e">
        <f>INDEX(meta_TypedModelElements[Property - Changeable],MATCH(meta_Columns[[#This Row],[Property]],meta_TypedModelElements[ID],0))</f>
        <v>#N/A</v>
      </c>
      <c r="AN287" s="43">
        <v>97</v>
      </c>
      <c r="AO287" s="22"/>
      <c r="AP2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7" s="8" t="str">
        <f xml:space="preserve"> IF(meta_Columns[[#This Row],[Property Owning Class is Specialization of Instance Class]],meta_Columns[[#This Row],[Property Owning Class Name]]&amp;" - ","")</f>
        <v/>
      </c>
      <c r="AR2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7" s="8" t="str">
        <f>IFERROR(LEFT(meta_Columns[[#This Row],[Excel Column - Label Actual without Semantic Case]],FIND("-",
meta_Columns[[#This Row],[Excel Column - Label Actual without Semantic Case]])-2),"")</f>
        <v/>
      </c>
      <c r="AU2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v>
      </c>
      <c r="AX287" s="22"/>
      <c r="AY287" s="8" t="str">
        <f>meta_Columns[[#This Row],[Owning Table]]&amp;"."&amp;meta_Columns[[#This Row],[Excel Column - Label]]</f>
        <v>meta::Rules.Property 3</v>
      </c>
      <c r="AZ287" s="43" t="s">
        <v>27</v>
      </c>
      <c r="BA287" s="44" t="str">
        <f>IF(TRIM(meta_Columns[[#This Row],[Excel Column - Label Overwrite]])&lt;&gt;"",meta_Columns[[#This Row],[Excel Column - Label Overwrite]],meta_Columns[[#This Row],[Excel Column - Label from Property or Referenced Table]])</f>
        <v>Property 3</v>
      </c>
      <c r="BB287" s="43" t="s">
        <v>897</v>
      </c>
      <c r="BC287" s="8" t="str">
        <f>IF(meta_Columns[[#This Row],[Excel Column - Explicit Excel Formula]]="","",meta_Columns[[#This Row],[Excel Column - Explicit Excel Formula]])</f>
        <v>Formula:= IFNA( IF( TRIM( [@[Property 3:src]] ) = "",
        "",
        INDEX( meta_TypedModelElements[Display without Class], MATCH( [@[Property 3:src]], meta_TypedModelElements[ID], 0 ) )
 ), "")</v>
      </c>
      <c r="BD287" s="5"/>
      <c r="BE287" s="5"/>
    </row>
    <row r="288" spans="1:57">
      <c r="A288" s="10" t="s">
        <v>1252</v>
      </c>
      <c r="B288" s="5" t="s">
        <v>546</v>
      </c>
      <c r="C288" s="22" t="str">
        <f xml:space="preserve"> IF( TRIM( meta_Columns[[#This Row],[Kind:src]] ) = "", "",
        INDEX( meta_Classifiers[Display Qualified], MATCH( meta_Columns[[#This Row],[Kind:src]], meta_Classifiers[ID], 0 ) ) )</f>
        <v>ExcelColumn</v>
      </c>
      <c r="D288" s="44" t="str">
        <f>IF(meta_Columns[[#This Row],[Owning Table:src]]="","",INDEX(meta_Classifiers[Package],MATCH(meta_Columns[[#This Row],[Owning Table Instances Class]],meta_Classifiers[ID],0)))</f>
        <v>meta</v>
      </c>
      <c r="E288" s="43"/>
      <c r="F288" s="44" t="str">
        <f>INDEX(meta_Tables[Excel Table - Excel Name],MATCH(meta_Columns[[#This Row],[Owning Table:src]],meta_Tables[ID],0))</f>
        <v>meta_Rules</v>
      </c>
      <c r="G288" s="44" t="str">
        <f>INDEX(meta_Tables[Instances Class:src],MATCH(meta_Columns[[#This Row],[Owning Table:src]],meta_Tables[ID],0))</f>
        <v>_Rule</v>
      </c>
      <c r="H288" s="5" t="s">
        <v>1014</v>
      </c>
      <c r="I288" s="43" t="str">
        <f xml:space="preserve"> IF( TRIM( meta_Columns[[#This Row],[Owning Table:src]] ) = "", "",
        INDEX( meta_Tables[Display Qualified], MATCH( meta_Columns[[#This Row],[Owning Table:src]], meta_Tables[ID], 0 ) ) )</f>
        <v>meta::Rules</v>
      </c>
      <c r="K288" s="22" t="str">
        <f>IF(TRIM(meta_Columns[[#This Row],[Referenced Table:src]])="","",
    INDEX(meta_Tables[Display Qualified],MATCH(meta_Columns[[#This Row],[Referenced Table:src]],meta_Tables[ID],0)))</f>
        <v/>
      </c>
      <c r="L288" s="8"/>
      <c r="M288" s="22"/>
      <c r="N288" s="8" t="str">
        <f>IF(meta_Columns[[#This Row],[Excel Column - Excel Formula]]="","x","")</f>
        <v>x</v>
      </c>
      <c r="O288" s="22"/>
      <c r="P288" s="8" t="str">
        <f>IF(meta_Columns[[#This Row],[Referenced Table:src]]="","",INDEX(meta_Tables[Instances Class],MATCH(meta_Columns[[#This Row],[Referenced Table:src]],meta_Tables[ID],0)))</f>
        <v/>
      </c>
      <c r="Q2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meta::Rule.processor</v>
      </c>
      <c r="R288" s="8"/>
      <c r="S288" s="22" t="str">
        <f xml:space="preserve"> IF( TRIM( meta_Columns[[#This Row],[Property:src]] ) = "", "",
        INDEX( meta_TypedModelElements[Display Qualified], MATCH( meta_Columns[[#This Row],[Property:src]], meta_TypedModelElements[ID], 0 ) ) )</f>
        <v/>
      </c>
      <c r="T288" s="22"/>
      <c r="U288" s="8" t="e">
        <f>INDEX(meta_Classifiers[Class - Generalization:src], MATCH(meta_Columns[[#This Row],[Generalization 5]],meta_Classifiers[ID],0))</f>
        <v>#N/A</v>
      </c>
      <c r="V288" s="8" t="e">
        <f>INDEX(meta_Classifiers[Class - Generalization:src], MATCH(meta_Columns[[#This Row],[Generalization 4]],meta_Classifiers[ID],0))</f>
        <v>#N/A</v>
      </c>
      <c r="W288" s="8" t="e">
        <f>INDEX(meta_Classifiers[Class - Generalization:src], MATCH(meta_Columns[[#This Row],[Generalization 3]],meta_Classifiers[ID],0))</f>
        <v>#N/A</v>
      </c>
      <c r="X288" s="8" t="str">
        <f>INDEX(meta_Classifiers[Class - Generalization:src], MATCH(meta_Columns[[#This Row],[Generalization 2]],meta_Classifiers[ID],0))</f>
        <v/>
      </c>
      <c r="Y288" s="8" t="str">
        <f>INDEX(meta_Classifiers[Class - Generalization:src], MATCH(meta_Columns[[#This Row],[Generalization 1]],meta_Classifiers[ID],0))</f>
        <v>_Object</v>
      </c>
      <c r="Z288" s="8" t="str">
        <f>INDEX(meta_Classifiers[Class - Generalization:src], MATCH(meta_Columns[[#This Row],[Owning Table Instances Class]],meta_Classifiers[ID],0))</f>
        <v>_NamedElement</v>
      </c>
      <c r="AA2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8" s="8" t="b">
        <f>_xlfn.IFNA(
INDEX(meta_Classifiers[Class - Generalization:src],MATCH(
INDEX(meta_Classifiers[Class - Generalization:src],MATCH(meta_Columns[[#This Row],[Property Owning Class]],meta_Classifiers[ID],0)),meta_Classifiers[ID],0))
=meta_Columns[[#This Row],[Owning Table Instances Class]],FALSE)</f>
        <v>0</v>
      </c>
      <c r="AG288" s="8" t="b">
        <f>_xlfn.IFNA(INDEX(meta_Classifiers[Class - Generalization:src],MATCH(meta_Columns[[#This Row],[Property Owning Class]],meta_Classifiers[ID],0))=meta_Columns[[#This Row],[Owning Table Instances Class]],FALSE)</f>
        <v>0</v>
      </c>
      <c r="AH2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8" s="8" t="e">
        <f>INDEX(meta_Classifiers[Name],MATCH(INDEX(meta_TypedModelElements[Property - Owning Class:src],MATCH(meta_Columns[[#This Row],[Property]],meta_TypedModelElements[ID],0)),meta_Classifiers[ID],0))</f>
        <v>#N/A</v>
      </c>
      <c r="AJ288" s="8" t="e">
        <f>INDEX(meta_TypedModelElements[Property - Owning Class:src],MATCH(meta_Columns[[#This Row],[Property]],meta_TypedModelElements[ID],0))</f>
        <v>#N/A</v>
      </c>
      <c r="AK288" s="8" t="e">
        <f>INDEX(meta_TypedModelElements[Kind:src],MATCH(meta_Columns[[#This Row],[Property]],meta_TypedModelElements[ID],0))</f>
        <v>#N/A</v>
      </c>
      <c r="AL288" s="8" t="e">
        <f>INDEX(meta_TypedModelElements[Name or Type],MATCH(meta_Columns[[#This Row],[Property]],meta_TypedModelElements[ID],0))</f>
        <v>#N/A</v>
      </c>
      <c r="AM288" s="8" t="e">
        <f>INDEX(meta_TypedModelElements[Property - Changeable],MATCH(meta_Columns[[#This Row],[Property]],meta_TypedModelElements[ID],0))</f>
        <v>#N/A</v>
      </c>
      <c r="AN288" s="43">
        <v>98</v>
      </c>
      <c r="AO288" s="22">
        <v>23</v>
      </c>
      <c r="AP2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8" s="8" t="str">
        <f xml:space="preserve"> IF(meta_Columns[[#This Row],[Property Owning Class is Specialization of Instance Class]],meta_Columns[[#This Row],[Property Owning Class Name]]&amp;" - ","")</f>
        <v/>
      </c>
      <c r="AR2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Processor</v>
      </c>
      <c r="AT288" s="8" t="str">
        <f>IFERROR(LEFT(meta_Columns[[#This Row],[Excel Column - Label Actual without Semantic Case]],FIND("-",
meta_Columns[[#This Row],[Excel Column - Label Actual without Semantic Case]])-2),"")</f>
        <v/>
      </c>
      <c r="AU2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Processor</v>
      </c>
      <c r="AV2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Processor</v>
      </c>
      <c r="AX288" s="22"/>
      <c r="AY288" s="8" t="str">
        <f>meta_Columns[[#This Row],[Owning Table]]&amp;"."&amp;meta_Columns[[#This Row],[Excel Column - Label]]</f>
        <v>meta::Rules.Processor</v>
      </c>
      <c r="AZ288" s="43" t="s">
        <v>28</v>
      </c>
      <c r="BA288" s="44" t="str">
        <f>IF(TRIM(meta_Columns[[#This Row],[Excel Column - Label Overwrite]])&lt;&gt;"",meta_Columns[[#This Row],[Excel Column - Label Overwrite]],meta_Columns[[#This Row],[Excel Column - Label from Property or Referenced Table]])</f>
        <v>Processor</v>
      </c>
      <c r="BB288" s="43"/>
      <c r="BC288" s="8" t="str">
        <f>IF(meta_Columns[[#This Row],[Excel Column - Explicit Excel Formula]]="","",meta_Columns[[#This Row],[Excel Column - Explicit Excel Formula]])</f>
        <v/>
      </c>
      <c r="BD288" s="5"/>
      <c r="BE288" s="5"/>
    </row>
    <row r="289" spans="1:57">
      <c r="A289" s="10" t="s">
        <v>1253</v>
      </c>
      <c r="B289" s="5" t="s">
        <v>546</v>
      </c>
      <c r="C289" s="22" t="str">
        <f xml:space="preserve"> IF( TRIM( meta_Columns[[#This Row],[Kind:src]] ) = "", "",
        INDEX( meta_Classifiers[Display Qualified], MATCH( meta_Columns[[#This Row],[Kind:src]], meta_Classifiers[ID], 0 ) ) )</f>
        <v>ExcelColumn</v>
      </c>
      <c r="D289" s="44" t="str">
        <f>IF(meta_Columns[[#This Row],[Owning Table:src]]="","",INDEX(meta_Classifiers[Package],MATCH(meta_Columns[[#This Row],[Owning Table Instances Class]],meta_Classifiers[ID],0)))</f>
        <v>meta</v>
      </c>
      <c r="E289" s="43"/>
      <c r="F289" s="44" t="str">
        <f>INDEX(meta_Tables[Excel Table - Excel Name],MATCH(meta_Columns[[#This Row],[Owning Table:src]],meta_Tables[ID],0))</f>
        <v>meta_Rules</v>
      </c>
      <c r="G289" s="44" t="str">
        <f>INDEX(meta_Tables[Instances Class:src],MATCH(meta_Columns[[#This Row],[Owning Table:src]],meta_Tables[ID],0))</f>
        <v>_Rule</v>
      </c>
      <c r="H289" s="5" t="s">
        <v>1014</v>
      </c>
      <c r="I289" s="43" t="str">
        <f xml:space="preserve"> IF( TRIM( meta_Columns[[#This Row],[Owning Table:src]] ) = "", "",
        INDEX( meta_Tables[Display Qualified], MATCH( meta_Columns[[#This Row],[Owning Table:src]], meta_Tables[ID], 0 ) ) )</f>
        <v>meta::Rules</v>
      </c>
      <c r="K289" s="22" t="str">
        <f>IF(TRIM(meta_Columns[[#This Row],[Referenced Table:src]])="","",
    INDEX(meta_Tables[Display Qualified],MATCH(meta_Columns[[#This Row],[Referenced Table:src]],meta_Tables[ID],0)))</f>
        <v/>
      </c>
      <c r="L289" s="8"/>
      <c r="M289" s="22"/>
      <c r="N289" s="8" t="str">
        <f>IF(meta_Columns[[#This Row],[Excel Column - Excel Formula]]="","x","")</f>
        <v/>
      </c>
      <c r="O289" s="22"/>
      <c r="P289" s="8" t="str">
        <f>IF(meta_Columns[[#This Row],[Referenced Table:src]]="","",INDEX(meta_Tables[Instances Class],MATCH(meta_Columns[[#This Row],[Referenced Table:src]],meta_Tables[ID],0)))</f>
        <v/>
      </c>
      <c r="Q2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v>
      </c>
      <c r="R289" s="8"/>
      <c r="S289" s="22" t="str">
        <f xml:space="preserve"> IF( TRIM( meta_Columns[[#This Row],[Property:src]] ) = "", "",
        INDEX( meta_TypedModelElements[Display Qualified], MATCH( meta_Columns[[#This Row],[Property:src]], meta_TypedModelElements[ID], 0 ) ) )</f>
        <v/>
      </c>
      <c r="T289" s="22"/>
      <c r="U289" s="8" t="e">
        <f>INDEX(meta_Classifiers[Class - Generalization:src], MATCH(meta_Columns[[#This Row],[Generalization 5]],meta_Classifiers[ID],0))</f>
        <v>#N/A</v>
      </c>
      <c r="V289" s="8" t="e">
        <f>INDEX(meta_Classifiers[Class - Generalization:src], MATCH(meta_Columns[[#This Row],[Generalization 4]],meta_Classifiers[ID],0))</f>
        <v>#N/A</v>
      </c>
      <c r="W289" s="8" t="e">
        <f>INDEX(meta_Classifiers[Class - Generalization:src], MATCH(meta_Columns[[#This Row],[Generalization 3]],meta_Classifiers[ID],0))</f>
        <v>#N/A</v>
      </c>
      <c r="X289" s="8" t="str">
        <f>INDEX(meta_Classifiers[Class - Generalization:src], MATCH(meta_Columns[[#This Row],[Generalization 2]],meta_Classifiers[ID],0))</f>
        <v/>
      </c>
      <c r="Y289" s="8" t="str">
        <f>INDEX(meta_Classifiers[Class - Generalization:src], MATCH(meta_Columns[[#This Row],[Generalization 1]],meta_Classifiers[ID],0))</f>
        <v>_Object</v>
      </c>
      <c r="Z289" s="8" t="str">
        <f>INDEX(meta_Classifiers[Class - Generalization:src], MATCH(meta_Columns[[#This Row],[Owning Table Instances Class]],meta_Classifiers[ID],0))</f>
        <v>_NamedElement</v>
      </c>
      <c r="AA2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9" s="8" t="b">
        <f>_xlfn.IFNA(
INDEX(meta_Classifiers[Class - Generalization:src],MATCH(
INDEX(meta_Classifiers[Class - Generalization:src],MATCH(meta_Columns[[#This Row],[Property Owning Class]],meta_Classifiers[ID],0)),meta_Classifiers[ID],0))
=meta_Columns[[#This Row],[Owning Table Instances Class]],FALSE)</f>
        <v>0</v>
      </c>
      <c r="AG289" s="8" t="b">
        <f>_xlfn.IFNA(INDEX(meta_Classifiers[Class - Generalization:src],MATCH(meta_Columns[[#This Row],[Property Owning Class]],meta_Classifiers[ID],0))=meta_Columns[[#This Row],[Owning Table Instances Class]],FALSE)</f>
        <v>0</v>
      </c>
      <c r="AH2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9" s="8" t="e">
        <f>INDEX(meta_Classifiers[Name],MATCH(INDEX(meta_TypedModelElements[Property - Owning Class:src],MATCH(meta_Columns[[#This Row],[Property]],meta_TypedModelElements[ID],0)),meta_Classifiers[ID],0))</f>
        <v>#N/A</v>
      </c>
      <c r="AJ289" s="8" t="e">
        <f>INDEX(meta_TypedModelElements[Property - Owning Class:src],MATCH(meta_Columns[[#This Row],[Property]],meta_TypedModelElements[ID],0))</f>
        <v>#N/A</v>
      </c>
      <c r="AK289" s="8" t="e">
        <f>INDEX(meta_TypedModelElements[Kind:src],MATCH(meta_Columns[[#This Row],[Property]],meta_TypedModelElements[ID],0))</f>
        <v>#N/A</v>
      </c>
      <c r="AL289" s="8" t="e">
        <f>INDEX(meta_TypedModelElements[Name or Type],MATCH(meta_Columns[[#This Row],[Property]],meta_TypedModelElements[ID],0))</f>
        <v>#N/A</v>
      </c>
      <c r="AM289" s="8" t="e">
        <f>INDEX(meta_TypedModelElements[Property - Changeable],MATCH(meta_Columns[[#This Row],[Property]],meta_TypedModelElements[ID],0))</f>
        <v>#N/A</v>
      </c>
      <c r="AN289" s="43">
        <v>99</v>
      </c>
      <c r="AO289" s="22"/>
      <c r="AP2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9" s="8" t="str">
        <f xml:space="preserve"> IF(meta_Columns[[#This Row],[Property Owning Class is Specialization of Instance Class]],meta_Columns[[#This Row],[Property Owning Class Name]]&amp;" - ","")</f>
        <v/>
      </c>
      <c r="AR2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v>
      </c>
      <c r="AT289" s="8" t="str">
        <f>IFERROR(LEFT(meta_Columns[[#This Row],[Excel Column - Label Actual without Semantic Case]],FIND("-",
meta_Columns[[#This Row],[Excel Column - Label Actual without Semantic Case]])-2),"")</f>
        <v/>
      </c>
      <c r="AU2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v>
      </c>
      <c r="AV2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v>
      </c>
      <c r="AX289" s="22"/>
      <c r="AY289" s="8" t="str">
        <f>meta_Columns[[#This Row],[Owning Table]]&amp;"."&amp;meta_Columns[[#This Row],[Excel Column - Label]]</f>
        <v>meta::Rules.Rule</v>
      </c>
      <c r="AZ289" s="43" t="s">
        <v>9</v>
      </c>
      <c r="BA289" s="44" t="str">
        <f>IF(TRIM(meta_Columns[[#This Row],[Excel Column - Label Overwrite]])&lt;&gt;"",meta_Columns[[#This Row],[Excel Column - Label Overwrite]],meta_Columns[[#This Row],[Excel Column - Label from Property or Referenced Table]])</f>
        <v>Rule</v>
      </c>
      <c r="BB289" s="43" t="s">
        <v>898</v>
      </c>
      <c r="BC289" s="8" t="str">
        <f>IF(meta_Columns[[#This Row],[Excel Column - Explicit Excel Formula]]="","",meta_Columns[[#This Row],[Excel Column - Explicit Excel Formula]])</f>
        <v>Formula:=+"1"</v>
      </c>
      <c r="BD289" s="5"/>
      <c r="BE289" s="5"/>
    </row>
    <row r="290" spans="1:57">
      <c r="A290" s="10" t="s">
        <v>1254</v>
      </c>
      <c r="B290" s="5" t="s">
        <v>546</v>
      </c>
      <c r="C290" s="22" t="str">
        <f xml:space="preserve"> IF( TRIM( meta_Columns[[#This Row],[Kind:src]] ) = "", "",
        INDEX( meta_Classifiers[Display Qualified], MATCH( meta_Columns[[#This Row],[Kind:src]], meta_Classifiers[ID], 0 ) ) )</f>
        <v>ExcelColumn</v>
      </c>
      <c r="D290" s="44" t="str">
        <f>IF(meta_Columns[[#This Row],[Owning Table:src]]="","",INDEX(meta_Classifiers[Package],MATCH(meta_Columns[[#This Row],[Owning Table Instances Class]],meta_Classifiers[ID],0)))</f>
        <v>meta</v>
      </c>
      <c r="E290" s="43"/>
      <c r="F290" s="44" t="str">
        <f>INDEX(meta_Tables[Excel Table - Excel Name],MATCH(meta_Columns[[#This Row],[Owning Table:src]],meta_Tables[ID],0))</f>
        <v>meta_Rules</v>
      </c>
      <c r="G290" s="44" t="str">
        <f>INDEX(meta_Tables[Instances Class:src],MATCH(meta_Columns[[#This Row],[Owning Table:src]],meta_Tables[ID],0))</f>
        <v>_Rule</v>
      </c>
      <c r="H290" s="5" t="s">
        <v>1014</v>
      </c>
      <c r="I290" s="43" t="str">
        <f xml:space="preserve"> IF( TRIM( meta_Columns[[#This Row],[Owning Table:src]] ) = "", "",
        INDEX( meta_Tables[Display Qualified], MATCH( meta_Columns[[#This Row],[Owning Table:src]], meta_Tables[ID], 0 ) ) )</f>
        <v>meta::Rules</v>
      </c>
      <c r="K290" s="22" t="str">
        <f>IF(TRIM(meta_Columns[[#This Row],[Referenced Table:src]])="","",
    INDEX(meta_Tables[Display Qualified],MATCH(meta_Columns[[#This Row],[Referenced Table:src]],meta_Tables[ID],0)))</f>
        <v/>
      </c>
      <c r="L290" s="8"/>
      <c r="M290" s="22"/>
      <c r="N290" s="8" t="str">
        <f>IF(meta_Columns[[#This Row],[Excel Column - Excel Formula]]="","x","")</f>
        <v>x</v>
      </c>
      <c r="O290" s="22"/>
      <c r="P290" s="8" t="str">
        <f>IF(meta_Columns[[#This Row],[Referenced Table:src]]="","",INDEX(meta_Tables[Instances Class],MATCH(meta_Columns[[#This Row],[Referenced Table:src]],meta_Tables[ID],0)))</f>
        <v/>
      </c>
      <c r="Q2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meta::Rule.manualVBA_Code</v>
      </c>
      <c r="R290" s="8"/>
      <c r="S290" s="22" t="str">
        <f xml:space="preserve"> IF( TRIM( meta_Columns[[#This Row],[Property:src]] ) = "", "",
        INDEX( meta_TypedModelElements[Display Qualified], MATCH( meta_Columns[[#This Row],[Property:src]], meta_TypedModelElements[ID], 0 ) ) )</f>
        <v/>
      </c>
      <c r="T290" s="22"/>
      <c r="U290" s="8" t="e">
        <f>INDEX(meta_Classifiers[Class - Generalization:src], MATCH(meta_Columns[[#This Row],[Generalization 5]],meta_Classifiers[ID],0))</f>
        <v>#N/A</v>
      </c>
      <c r="V290" s="8" t="e">
        <f>INDEX(meta_Classifiers[Class - Generalization:src], MATCH(meta_Columns[[#This Row],[Generalization 4]],meta_Classifiers[ID],0))</f>
        <v>#N/A</v>
      </c>
      <c r="W290" s="8" t="e">
        <f>INDEX(meta_Classifiers[Class - Generalization:src], MATCH(meta_Columns[[#This Row],[Generalization 3]],meta_Classifiers[ID],0))</f>
        <v>#N/A</v>
      </c>
      <c r="X290" s="8" t="str">
        <f>INDEX(meta_Classifiers[Class - Generalization:src], MATCH(meta_Columns[[#This Row],[Generalization 2]],meta_Classifiers[ID],0))</f>
        <v/>
      </c>
      <c r="Y290" s="8" t="str">
        <f>INDEX(meta_Classifiers[Class - Generalization:src], MATCH(meta_Columns[[#This Row],[Generalization 1]],meta_Classifiers[ID],0))</f>
        <v>_Object</v>
      </c>
      <c r="Z290" s="8" t="str">
        <f>INDEX(meta_Classifiers[Class - Generalization:src], MATCH(meta_Columns[[#This Row],[Owning Table Instances Class]],meta_Classifiers[ID],0))</f>
        <v>_NamedElement</v>
      </c>
      <c r="AA2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0" s="8" t="b">
        <f>_xlfn.IFNA(
INDEX(meta_Classifiers[Class - Generalization:src],MATCH(
INDEX(meta_Classifiers[Class - Generalization:src],MATCH(meta_Columns[[#This Row],[Property Owning Class]],meta_Classifiers[ID],0)),meta_Classifiers[ID],0))
=meta_Columns[[#This Row],[Owning Table Instances Class]],FALSE)</f>
        <v>0</v>
      </c>
      <c r="AG290" s="8" t="b">
        <f>_xlfn.IFNA(INDEX(meta_Classifiers[Class - Generalization:src],MATCH(meta_Columns[[#This Row],[Property Owning Class]],meta_Classifiers[ID],0))=meta_Columns[[#This Row],[Owning Table Instances Class]],FALSE)</f>
        <v>0</v>
      </c>
      <c r="AH2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0" s="8" t="e">
        <f>INDEX(meta_Classifiers[Name],MATCH(INDEX(meta_TypedModelElements[Property - Owning Class:src],MATCH(meta_Columns[[#This Row],[Property]],meta_TypedModelElements[ID],0)),meta_Classifiers[ID],0))</f>
        <v>#N/A</v>
      </c>
      <c r="AJ290" s="8" t="e">
        <f>INDEX(meta_TypedModelElements[Property - Owning Class:src],MATCH(meta_Columns[[#This Row],[Property]],meta_TypedModelElements[ID],0))</f>
        <v>#N/A</v>
      </c>
      <c r="AK290" s="8" t="e">
        <f>INDEX(meta_TypedModelElements[Kind:src],MATCH(meta_Columns[[#This Row],[Property]],meta_TypedModelElements[ID],0))</f>
        <v>#N/A</v>
      </c>
      <c r="AL290" s="8" t="e">
        <f>INDEX(meta_TypedModelElements[Name or Type],MATCH(meta_Columns[[#This Row],[Property]],meta_TypedModelElements[ID],0))</f>
        <v>#N/A</v>
      </c>
      <c r="AM290" s="8" t="e">
        <f>INDEX(meta_TypedModelElements[Property - Changeable],MATCH(meta_Columns[[#This Row],[Property]],meta_TypedModelElements[ID],0))</f>
        <v>#N/A</v>
      </c>
      <c r="AN290" s="43">
        <v>100</v>
      </c>
      <c r="AO290" s="22">
        <v>24</v>
      </c>
      <c r="AP2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0" s="8" t="str">
        <f xml:space="preserve"> IF(meta_Columns[[#This Row],[Property Owning Class is Specialization of Instance Class]],meta_Columns[[#This Row],[Property Owning Class Name]]&amp;" - ","")</f>
        <v/>
      </c>
      <c r="AR2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VBA Code</v>
      </c>
      <c r="AT290" s="8" t="str">
        <f>IFERROR(LEFT(meta_Columns[[#This Row],[Excel Column - Label Actual without Semantic Case]],FIND("-",
meta_Columns[[#This Row],[Excel Column - Label Actual without Semantic Case]])-2),"")</f>
        <v/>
      </c>
      <c r="AU2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VBA Code</v>
      </c>
      <c r="AV2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VBA Code</v>
      </c>
      <c r="AX290" s="22"/>
      <c r="AY290" s="8" t="str">
        <f>meta_Columns[[#This Row],[Owning Table]]&amp;"."&amp;meta_Columns[[#This Row],[Excel Column - Label]]</f>
        <v>meta::Rules.Manual VBA Code</v>
      </c>
      <c r="AZ290" s="43" t="s">
        <v>76</v>
      </c>
      <c r="BA290" s="44" t="str">
        <f>IF(TRIM(meta_Columns[[#This Row],[Excel Column - Label Overwrite]])&lt;&gt;"",meta_Columns[[#This Row],[Excel Column - Label Overwrite]],meta_Columns[[#This Row],[Excel Column - Label from Property or Referenced Table]])</f>
        <v>Manual VBA Code</v>
      </c>
      <c r="BB290" s="43"/>
      <c r="BC290" s="8" t="str">
        <f>IF(meta_Columns[[#This Row],[Excel Column - Explicit Excel Formula]]="","",meta_Columns[[#This Row],[Excel Column - Explicit Excel Formula]])</f>
        <v/>
      </c>
      <c r="BD290" s="5"/>
      <c r="BE290" s="5"/>
    </row>
    <row r="291" spans="1:57">
      <c r="A291" s="10" t="s">
        <v>1255</v>
      </c>
      <c r="B291" s="5" t="s">
        <v>546</v>
      </c>
      <c r="C291" s="22" t="str">
        <f xml:space="preserve"> IF( TRIM( meta_Columns[[#This Row],[Kind:src]] ) = "", "",
        INDEX( meta_Classifiers[Display Qualified], MATCH( meta_Columns[[#This Row],[Kind:src]], meta_Classifiers[ID], 0 ) ) )</f>
        <v>ExcelColumn</v>
      </c>
      <c r="D291" s="44" t="str">
        <f>IF(meta_Columns[[#This Row],[Owning Table:src]]="","",INDEX(meta_Classifiers[Package],MATCH(meta_Columns[[#This Row],[Owning Table Instances Class]],meta_Classifiers[ID],0)))</f>
        <v>meta</v>
      </c>
      <c r="E291" s="43"/>
      <c r="F291" s="44" t="str">
        <f>INDEX(meta_Tables[Excel Table - Excel Name],MATCH(meta_Columns[[#This Row],[Owning Table:src]],meta_Tables[ID],0))</f>
        <v>meta_Rules</v>
      </c>
      <c r="G291" s="44" t="str">
        <f>INDEX(meta_Tables[Instances Class:src],MATCH(meta_Columns[[#This Row],[Owning Table:src]],meta_Tables[ID],0))</f>
        <v>_Rule</v>
      </c>
      <c r="H291" s="5" t="s">
        <v>1014</v>
      </c>
      <c r="I291" s="43" t="str">
        <f xml:space="preserve"> IF( TRIM( meta_Columns[[#This Row],[Owning Table:src]] ) = "", "",
        INDEX( meta_Tables[Display Qualified], MATCH( meta_Columns[[#This Row],[Owning Table:src]], meta_Tables[ID], 0 ) ) )</f>
        <v>meta::Rules</v>
      </c>
      <c r="K291" s="22" t="str">
        <f>IF(TRIM(meta_Columns[[#This Row],[Referenced Table:src]])="","",
    INDEX(meta_Tables[Display Qualified],MATCH(meta_Columns[[#This Row],[Referenced Table:src]],meta_Tables[ID],0)))</f>
        <v/>
      </c>
      <c r="L291" s="8"/>
      <c r="M291" s="22"/>
      <c r="N291" s="8" t="str">
        <f>IF(meta_Columns[[#This Row],[Excel Column - Excel Formula]]="","x","")</f>
        <v/>
      </c>
      <c r="O291" s="22"/>
      <c r="P291" s="8" t="str">
        <f>IF(meta_Columns[[#This Row],[Referenced Table:src]]="","",INDEX(meta_Tables[Instances Class],MATCH(meta_Columns[[#This Row],[Referenced Table:src]],meta_Tables[ID],0)))</f>
        <v/>
      </c>
      <c r="Q2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meta::Rule.vBA_Code</v>
      </c>
      <c r="R291" s="8"/>
      <c r="S291" s="22" t="str">
        <f xml:space="preserve"> IF( TRIM( meta_Columns[[#This Row],[Property:src]] ) = "", "",
        INDEX( meta_TypedModelElements[Display Qualified], MATCH( meta_Columns[[#This Row],[Property:src]], meta_TypedModelElements[ID], 0 ) ) )</f>
        <v/>
      </c>
      <c r="T291" s="22"/>
      <c r="U291" s="8" t="e">
        <f>INDEX(meta_Classifiers[Class - Generalization:src], MATCH(meta_Columns[[#This Row],[Generalization 5]],meta_Classifiers[ID],0))</f>
        <v>#N/A</v>
      </c>
      <c r="V291" s="8" t="e">
        <f>INDEX(meta_Classifiers[Class - Generalization:src], MATCH(meta_Columns[[#This Row],[Generalization 4]],meta_Classifiers[ID],0))</f>
        <v>#N/A</v>
      </c>
      <c r="W291" s="8" t="e">
        <f>INDEX(meta_Classifiers[Class - Generalization:src], MATCH(meta_Columns[[#This Row],[Generalization 3]],meta_Classifiers[ID],0))</f>
        <v>#N/A</v>
      </c>
      <c r="X291" s="8" t="str">
        <f>INDEX(meta_Classifiers[Class - Generalization:src], MATCH(meta_Columns[[#This Row],[Generalization 2]],meta_Classifiers[ID],0))</f>
        <v/>
      </c>
      <c r="Y291" s="8" t="str">
        <f>INDEX(meta_Classifiers[Class - Generalization:src], MATCH(meta_Columns[[#This Row],[Generalization 1]],meta_Classifiers[ID],0))</f>
        <v>_Object</v>
      </c>
      <c r="Z291" s="8" t="str">
        <f>INDEX(meta_Classifiers[Class - Generalization:src], MATCH(meta_Columns[[#This Row],[Owning Table Instances Class]],meta_Classifiers[ID],0))</f>
        <v>_NamedElement</v>
      </c>
      <c r="AA2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1" s="8" t="b">
        <f>_xlfn.IFNA(
INDEX(meta_Classifiers[Class - Generalization:src],MATCH(
INDEX(meta_Classifiers[Class - Generalization:src],MATCH(meta_Columns[[#This Row],[Property Owning Class]],meta_Classifiers[ID],0)),meta_Classifiers[ID],0))
=meta_Columns[[#This Row],[Owning Table Instances Class]],FALSE)</f>
        <v>0</v>
      </c>
      <c r="AG291" s="8" t="b">
        <f>_xlfn.IFNA(INDEX(meta_Classifiers[Class - Generalization:src],MATCH(meta_Columns[[#This Row],[Property Owning Class]],meta_Classifiers[ID],0))=meta_Columns[[#This Row],[Owning Table Instances Class]],FALSE)</f>
        <v>0</v>
      </c>
      <c r="AH2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1" s="8" t="e">
        <f>INDEX(meta_Classifiers[Name],MATCH(INDEX(meta_TypedModelElements[Property - Owning Class:src],MATCH(meta_Columns[[#This Row],[Property]],meta_TypedModelElements[ID],0)),meta_Classifiers[ID],0))</f>
        <v>#N/A</v>
      </c>
      <c r="AJ291" s="8" t="e">
        <f>INDEX(meta_TypedModelElements[Property - Owning Class:src],MATCH(meta_Columns[[#This Row],[Property]],meta_TypedModelElements[ID],0))</f>
        <v>#N/A</v>
      </c>
      <c r="AK291" s="8" t="e">
        <f>INDEX(meta_TypedModelElements[Kind:src],MATCH(meta_Columns[[#This Row],[Property]],meta_TypedModelElements[ID],0))</f>
        <v>#N/A</v>
      </c>
      <c r="AL291" s="8" t="e">
        <f>INDEX(meta_TypedModelElements[Name or Type],MATCH(meta_Columns[[#This Row],[Property]],meta_TypedModelElements[ID],0))</f>
        <v>#N/A</v>
      </c>
      <c r="AM291" s="8" t="e">
        <f>INDEX(meta_TypedModelElements[Property - Changeable],MATCH(meta_Columns[[#This Row],[Property]],meta_TypedModelElements[ID],0))</f>
        <v>#N/A</v>
      </c>
      <c r="AN291" s="43">
        <v>101</v>
      </c>
      <c r="AO291" s="22"/>
      <c r="AP2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1" s="8" t="str">
        <f xml:space="preserve"> IF(meta_Columns[[#This Row],[Property Owning Class is Specialization of Instance Class]],meta_Columns[[#This Row],[Property Owning Class Name]]&amp;" - ","")</f>
        <v/>
      </c>
      <c r="AR2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Code</v>
      </c>
      <c r="AT291" s="8" t="str">
        <f>IFERROR(LEFT(meta_Columns[[#This Row],[Excel Column - Label Actual without Semantic Case]],FIND("-",
meta_Columns[[#This Row],[Excel Column - Label Actual without Semantic Case]])-2),"")</f>
        <v/>
      </c>
      <c r="AU2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v>
      </c>
      <c r="AV2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v>
      </c>
      <c r="AX291" s="22"/>
      <c r="AY291" s="8" t="str">
        <f>meta_Columns[[#This Row],[Owning Table]]&amp;"."&amp;meta_Columns[[#This Row],[Excel Column - Label]]</f>
        <v>meta::Rules.VBA Code</v>
      </c>
      <c r="AZ291" s="43" t="s">
        <v>450</v>
      </c>
      <c r="BA291" s="44" t="str">
        <f>IF(TRIM(meta_Columns[[#This Row],[Excel Column - Label Overwrite]])&lt;&gt;"",meta_Columns[[#This Row],[Excel Column - Label Overwrite]],meta_Columns[[#This Row],[Excel Column - Label from Property or Referenced Table]])</f>
        <v>VBA Code</v>
      </c>
      <c r="BB291" s="43" t="s">
        <v>899</v>
      </c>
      <c r="BC291" s="8" t="str">
        <f>IF(meta_Columns[[#This Row],[Excel Column - Explicit Excel Formula]]="","",meta_Columns[[#This Row],[Excel Column - Explicit Excel Formula]])</f>
        <v>Formula:=IF([@[Manual VBA Code]]&lt;&gt;"",[@[Manual VBA Code]],"TODO")</v>
      </c>
      <c r="BD291" s="5"/>
      <c r="BE291" s="5"/>
    </row>
    <row r="292" spans="1:57">
      <c r="A292" s="10" t="s">
        <v>1256</v>
      </c>
      <c r="B292" s="5" t="s">
        <v>546</v>
      </c>
      <c r="C292" s="22" t="str">
        <f xml:space="preserve"> IF( TRIM( meta_Columns[[#This Row],[Kind:src]] ) = "", "",
        INDEX( meta_Classifiers[Display Qualified], MATCH( meta_Columns[[#This Row],[Kind:src]], meta_Classifiers[ID], 0 ) ) )</f>
        <v>ExcelColumn</v>
      </c>
      <c r="D292" s="44" t="str">
        <f>IF(meta_Columns[[#This Row],[Owning Table:src]]="","",INDEX(meta_Classifiers[Package],MATCH(meta_Columns[[#This Row],[Owning Table Instances Class]],meta_Classifiers[ID],0)))</f>
        <v>meta</v>
      </c>
      <c r="E292" s="43"/>
      <c r="F292" s="44" t="str">
        <f>INDEX(meta_Tables[Excel Table - Excel Name],MATCH(meta_Columns[[#This Row],[Owning Table:src]],meta_Tables[ID],0))</f>
        <v>meta_Rules</v>
      </c>
      <c r="G292" s="44" t="str">
        <f>INDEX(meta_Tables[Instances Class:src],MATCH(meta_Columns[[#This Row],[Owning Table:src]],meta_Tables[ID],0))</f>
        <v>_Rule</v>
      </c>
      <c r="H292" s="5" t="s">
        <v>1014</v>
      </c>
      <c r="I292" s="43" t="str">
        <f xml:space="preserve"> IF( TRIM( meta_Columns[[#This Row],[Owning Table:src]] ) = "", "",
        INDEX( meta_Tables[Display Qualified], MATCH( meta_Columns[[#This Row],[Owning Table:src]], meta_Tables[ID], 0 ) ) )</f>
        <v>meta::Rules</v>
      </c>
      <c r="K292" s="22" t="str">
        <f>IF(TRIM(meta_Columns[[#This Row],[Referenced Table:src]])="","",
    INDEX(meta_Tables[Display Qualified],MATCH(meta_Columns[[#This Row],[Referenced Table:src]],meta_Tables[ID],0)))</f>
        <v/>
      </c>
      <c r="L292" s="8"/>
      <c r="M292" s="22"/>
      <c r="N292" s="8" t="str">
        <f>IF(meta_Columns[[#This Row],[Excel Column - Excel Formula]]="","x","")</f>
        <v>x</v>
      </c>
      <c r="O292" s="22"/>
      <c r="P292" s="8" t="str">
        <f>IF(meta_Columns[[#This Row],[Referenced Table:src]]="","",INDEX(meta_Tables[Instances Class],MATCH(meta_Columns[[#This Row],[Referenced Table:src]],meta_Tables[ID],0)))</f>
        <v/>
      </c>
      <c r="Q2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meta::Rule.manualExcelFormula</v>
      </c>
      <c r="R292" s="8"/>
      <c r="S292" s="22" t="str">
        <f xml:space="preserve"> IF( TRIM( meta_Columns[[#This Row],[Property:src]] ) = "", "",
        INDEX( meta_TypedModelElements[Display Qualified], MATCH( meta_Columns[[#This Row],[Property:src]], meta_TypedModelElements[ID], 0 ) ) )</f>
        <v/>
      </c>
      <c r="T292" s="22"/>
      <c r="U292" s="8" t="e">
        <f>INDEX(meta_Classifiers[Class - Generalization:src], MATCH(meta_Columns[[#This Row],[Generalization 5]],meta_Classifiers[ID],0))</f>
        <v>#N/A</v>
      </c>
      <c r="V292" s="8" t="e">
        <f>INDEX(meta_Classifiers[Class - Generalization:src], MATCH(meta_Columns[[#This Row],[Generalization 4]],meta_Classifiers[ID],0))</f>
        <v>#N/A</v>
      </c>
      <c r="W292" s="8" t="e">
        <f>INDEX(meta_Classifiers[Class - Generalization:src], MATCH(meta_Columns[[#This Row],[Generalization 3]],meta_Classifiers[ID],0))</f>
        <v>#N/A</v>
      </c>
      <c r="X292" s="8" t="str">
        <f>INDEX(meta_Classifiers[Class - Generalization:src], MATCH(meta_Columns[[#This Row],[Generalization 2]],meta_Classifiers[ID],0))</f>
        <v/>
      </c>
      <c r="Y292" s="8" t="str">
        <f>INDEX(meta_Classifiers[Class - Generalization:src], MATCH(meta_Columns[[#This Row],[Generalization 1]],meta_Classifiers[ID],0))</f>
        <v>_Object</v>
      </c>
      <c r="Z292" s="8" t="str">
        <f>INDEX(meta_Classifiers[Class - Generalization:src], MATCH(meta_Columns[[#This Row],[Owning Table Instances Class]],meta_Classifiers[ID],0))</f>
        <v>_NamedElement</v>
      </c>
      <c r="AA2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2" s="8" t="b">
        <f>_xlfn.IFNA(
INDEX(meta_Classifiers[Class - Generalization:src],MATCH(
INDEX(meta_Classifiers[Class - Generalization:src],MATCH(meta_Columns[[#This Row],[Property Owning Class]],meta_Classifiers[ID],0)),meta_Classifiers[ID],0))
=meta_Columns[[#This Row],[Owning Table Instances Class]],FALSE)</f>
        <v>0</v>
      </c>
      <c r="AG292" s="8" t="b">
        <f>_xlfn.IFNA(INDEX(meta_Classifiers[Class - Generalization:src],MATCH(meta_Columns[[#This Row],[Property Owning Class]],meta_Classifiers[ID],0))=meta_Columns[[#This Row],[Owning Table Instances Class]],FALSE)</f>
        <v>0</v>
      </c>
      <c r="AH2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2" s="8" t="e">
        <f>INDEX(meta_Classifiers[Name],MATCH(INDEX(meta_TypedModelElements[Property - Owning Class:src],MATCH(meta_Columns[[#This Row],[Property]],meta_TypedModelElements[ID],0)),meta_Classifiers[ID],0))</f>
        <v>#N/A</v>
      </c>
      <c r="AJ292" s="8" t="e">
        <f>INDEX(meta_TypedModelElements[Property - Owning Class:src],MATCH(meta_Columns[[#This Row],[Property]],meta_TypedModelElements[ID],0))</f>
        <v>#N/A</v>
      </c>
      <c r="AK292" s="8" t="e">
        <f>INDEX(meta_TypedModelElements[Kind:src],MATCH(meta_Columns[[#This Row],[Property]],meta_TypedModelElements[ID],0))</f>
        <v>#N/A</v>
      </c>
      <c r="AL292" s="8" t="e">
        <f>INDEX(meta_TypedModelElements[Name or Type],MATCH(meta_Columns[[#This Row],[Property]],meta_TypedModelElements[ID],0))</f>
        <v>#N/A</v>
      </c>
      <c r="AM292" s="8" t="e">
        <f>INDEX(meta_TypedModelElements[Property - Changeable],MATCH(meta_Columns[[#This Row],[Property]],meta_TypedModelElements[ID],0))</f>
        <v>#N/A</v>
      </c>
      <c r="AN292" s="43">
        <v>102</v>
      </c>
      <c r="AO292" s="22">
        <v>25</v>
      </c>
      <c r="AP2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2" s="8" t="str">
        <f xml:space="preserve"> IF(meta_Columns[[#This Row],[Property Owning Class is Specialization of Instance Class]],meta_Columns[[#This Row],[Property Owning Class Name]]&amp;" - ","")</f>
        <v/>
      </c>
      <c r="AR2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Excel Formula</v>
      </c>
      <c r="AT292" s="8" t="str">
        <f>IFERROR(LEFT(meta_Columns[[#This Row],[Excel Column - Label Actual without Semantic Case]],FIND("-",
meta_Columns[[#This Row],[Excel Column - Label Actual without Semantic Case]])-2),"")</f>
        <v/>
      </c>
      <c r="AU2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Excel Formula</v>
      </c>
      <c r="AV2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Excel Formula</v>
      </c>
      <c r="AX292" s="22"/>
      <c r="AY292" s="8" t="str">
        <f>meta_Columns[[#This Row],[Owning Table]]&amp;"."&amp;meta_Columns[[#This Row],[Excel Column - Label]]</f>
        <v>meta::Rules.Manual Excel Formula</v>
      </c>
      <c r="AZ292" s="43" t="s">
        <v>77</v>
      </c>
      <c r="BA292" s="44" t="str">
        <f>IF(TRIM(meta_Columns[[#This Row],[Excel Column - Label Overwrite]])&lt;&gt;"",meta_Columns[[#This Row],[Excel Column - Label Overwrite]],meta_Columns[[#This Row],[Excel Column - Label from Property or Referenced Table]])</f>
        <v>Manual Excel Formula</v>
      </c>
      <c r="BB292" s="43"/>
      <c r="BC292" s="8" t="str">
        <f>IF(meta_Columns[[#This Row],[Excel Column - Explicit Excel Formula]]="","",meta_Columns[[#This Row],[Excel Column - Explicit Excel Formula]])</f>
        <v/>
      </c>
      <c r="BD292" s="5"/>
      <c r="BE292" s="5"/>
    </row>
    <row r="293" spans="1:57">
      <c r="A293" s="10" t="s">
        <v>1257</v>
      </c>
      <c r="B293" s="5" t="s">
        <v>546</v>
      </c>
      <c r="C293" s="22" t="str">
        <f xml:space="preserve"> IF( TRIM( meta_Columns[[#This Row],[Kind:src]] ) = "", "",
        INDEX( meta_Classifiers[Display Qualified], MATCH( meta_Columns[[#This Row],[Kind:src]], meta_Classifiers[ID], 0 ) ) )</f>
        <v>ExcelColumn</v>
      </c>
      <c r="D293" s="44" t="str">
        <f>IF(meta_Columns[[#This Row],[Owning Table:src]]="","",INDEX(meta_Classifiers[Package],MATCH(meta_Columns[[#This Row],[Owning Table Instances Class]],meta_Classifiers[ID],0)))</f>
        <v>meta</v>
      </c>
      <c r="E293" s="43"/>
      <c r="F293" s="44" t="str">
        <f>INDEX(meta_Tables[Excel Table - Excel Name],MATCH(meta_Columns[[#This Row],[Owning Table:src]],meta_Tables[ID],0))</f>
        <v>meta_Rules</v>
      </c>
      <c r="G293" s="44" t="str">
        <f>INDEX(meta_Tables[Instances Class:src],MATCH(meta_Columns[[#This Row],[Owning Table:src]],meta_Tables[ID],0))</f>
        <v>_Rule</v>
      </c>
      <c r="H293" s="5" t="s">
        <v>1014</v>
      </c>
      <c r="I293" s="43" t="str">
        <f xml:space="preserve"> IF( TRIM( meta_Columns[[#This Row],[Owning Table:src]] ) = "", "",
        INDEX( meta_Tables[Display Qualified], MATCH( meta_Columns[[#This Row],[Owning Table:src]], meta_Tables[ID], 0 ) ) )</f>
        <v>meta::Rules</v>
      </c>
      <c r="K293" s="22" t="str">
        <f>IF(TRIM(meta_Columns[[#This Row],[Referenced Table:src]])="","",
    INDEX(meta_Tables[Display Qualified],MATCH(meta_Columns[[#This Row],[Referenced Table:src]],meta_Tables[ID],0)))</f>
        <v/>
      </c>
      <c r="L293" s="8"/>
      <c r="M293" s="22"/>
      <c r="N293" s="8" t="str">
        <f>IF(meta_Columns[[#This Row],[Excel Column - Excel Formula]]="","x","")</f>
        <v>x</v>
      </c>
      <c r="O293" s="22"/>
      <c r="P293" s="8" t="str">
        <f>IF(meta_Columns[[#This Row],[Referenced Table:src]]="","",INDEX(meta_Tables[Instances Class],MATCH(meta_Columns[[#This Row],[Referenced Table:src]],meta_Tables[ID],0)))</f>
        <v/>
      </c>
      <c r="Q2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meta::Rule.excelFormula</v>
      </c>
      <c r="R293" s="8"/>
      <c r="S293" s="22" t="str">
        <f xml:space="preserve"> IF( TRIM( meta_Columns[[#This Row],[Property:src]] ) = "", "",
        INDEX( meta_TypedModelElements[Display Qualified], MATCH( meta_Columns[[#This Row],[Property:src]], meta_TypedModelElements[ID], 0 ) ) )</f>
        <v/>
      </c>
      <c r="T293" s="22"/>
      <c r="U293" s="8" t="e">
        <f>INDEX(meta_Classifiers[Class - Generalization:src], MATCH(meta_Columns[[#This Row],[Generalization 5]],meta_Classifiers[ID],0))</f>
        <v>#N/A</v>
      </c>
      <c r="V293" s="8" t="e">
        <f>INDEX(meta_Classifiers[Class - Generalization:src], MATCH(meta_Columns[[#This Row],[Generalization 4]],meta_Classifiers[ID],0))</f>
        <v>#N/A</v>
      </c>
      <c r="W293" s="8" t="e">
        <f>INDEX(meta_Classifiers[Class - Generalization:src], MATCH(meta_Columns[[#This Row],[Generalization 3]],meta_Classifiers[ID],0))</f>
        <v>#N/A</v>
      </c>
      <c r="X293" s="8" t="str">
        <f>INDEX(meta_Classifiers[Class - Generalization:src], MATCH(meta_Columns[[#This Row],[Generalization 2]],meta_Classifiers[ID],0))</f>
        <v/>
      </c>
      <c r="Y293" s="8" t="str">
        <f>INDEX(meta_Classifiers[Class - Generalization:src], MATCH(meta_Columns[[#This Row],[Generalization 1]],meta_Classifiers[ID],0))</f>
        <v>_Object</v>
      </c>
      <c r="Z293" s="8" t="str">
        <f>INDEX(meta_Classifiers[Class - Generalization:src], MATCH(meta_Columns[[#This Row],[Owning Table Instances Class]],meta_Classifiers[ID],0))</f>
        <v>_NamedElement</v>
      </c>
      <c r="AA2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3" s="8" t="b">
        <f>_xlfn.IFNA(
INDEX(meta_Classifiers[Class - Generalization:src],MATCH(
INDEX(meta_Classifiers[Class - Generalization:src],MATCH(meta_Columns[[#This Row],[Property Owning Class]],meta_Classifiers[ID],0)),meta_Classifiers[ID],0))
=meta_Columns[[#This Row],[Owning Table Instances Class]],FALSE)</f>
        <v>0</v>
      </c>
      <c r="AG293" s="8" t="b">
        <f>_xlfn.IFNA(INDEX(meta_Classifiers[Class - Generalization:src],MATCH(meta_Columns[[#This Row],[Property Owning Class]],meta_Classifiers[ID],0))=meta_Columns[[#This Row],[Owning Table Instances Class]],FALSE)</f>
        <v>0</v>
      </c>
      <c r="AH2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3" s="8" t="e">
        <f>INDEX(meta_Classifiers[Name],MATCH(INDEX(meta_TypedModelElements[Property - Owning Class:src],MATCH(meta_Columns[[#This Row],[Property]],meta_TypedModelElements[ID],0)),meta_Classifiers[ID],0))</f>
        <v>#N/A</v>
      </c>
      <c r="AJ293" s="8" t="e">
        <f>INDEX(meta_TypedModelElements[Property - Owning Class:src],MATCH(meta_Columns[[#This Row],[Property]],meta_TypedModelElements[ID],0))</f>
        <v>#N/A</v>
      </c>
      <c r="AK293" s="8" t="e">
        <f>INDEX(meta_TypedModelElements[Kind:src],MATCH(meta_Columns[[#This Row],[Property]],meta_TypedModelElements[ID],0))</f>
        <v>#N/A</v>
      </c>
      <c r="AL293" s="8" t="e">
        <f>INDEX(meta_TypedModelElements[Name or Type],MATCH(meta_Columns[[#This Row],[Property]],meta_TypedModelElements[ID],0))</f>
        <v>#N/A</v>
      </c>
      <c r="AM293" s="8" t="e">
        <f>INDEX(meta_TypedModelElements[Property - Changeable],MATCH(meta_Columns[[#This Row],[Property]],meta_TypedModelElements[ID],0))</f>
        <v>#N/A</v>
      </c>
      <c r="AN293" s="43">
        <v>103</v>
      </c>
      <c r="AO293" s="22">
        <v>26</v>
      </c>
      <c r="AP2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3" s="8" t="str">
        <f xml:space="preserve"> IF(meta_Columns[[#This Row],[Property Owning Class is Specialization of Instance Class]],meta_Columns[[#This Row],[Property Owning Class Name]]&amp;" - ","")</f>
        <v/>
      </c>
      <c r="AR2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v>
      </c>
      <c r="AT293" s="8" t="str">
        <f>IFERROR(LEFT(meta_Columns[[#This Row],[Excel Column - Label Actual without Semantic Case]],FIND("-",
meta_Columns[[#This Row],[Excel Column - Label Actual without Semantic Case]])-2),"")</f>
        <v/>
      </c>
      <c r="AU2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v>
      </c>
      <c r="AV2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v>
      </c>
      <c r="AX293" s="22"/>
      <c r="AY293" s="8" t="str">
        <f>meta_Columns[[#This Row],[Owning Table]]&amp;"."&amp;meta_Columns[[#This Row],[Excel Column - Label]]</f>
        <v>meta::Rules.Excel Formula</v>
      </c>
      <c r="AZ293" s="43" t="s">
        <v>451</v>
      </c>
      <c r="BA293" s="44" t="str">
        <f>IF(TRIM(meta_Columns[[#This Row],[Excel Column - Label Overwrite]])&lt;&gt;"",meta_Columns[[#This Row],[Excel Column - Label Overwrite]],meta_Columns[[#This Row],[Excel Column - Label from Property or Referenced Table]])</f>
        <v>Excel Formula</v>
      </c>
      <c r="BB293" s="43"/>
      <c r="BC293" s="8" t="str">
        <f>IF(meta_Columns[[#This Row],[Excel Column - Explicit Excel Formula]]="","",meta_Columns[[#This Row],[Excel Column - Explicit Excel Formula]])</f>
        <v/>
      </c>
      <c r="BD293" s="5"/>
      <c r="BE293" s="5"/>
    </row>
    <row r="294" spans="1:57">
      <c r="A294" s="10" t="s">
        <v>1258</v>
      </c>
      <c r="B294" s="5" t="s">
        <v>546</v>
      </c>
      <c r="C294" s="22" t="str">
        <f xml:space="preserve"> IF( TRIM( meta_Columns[[#This Row],[Kind:src]] ) = "", "",
        INDEX( meta_Classifiers[Display Qualified], MATCH( meta_Columns[[#This Row],[Kind:src]], meta_Classifiers[ID], 0 ) ) )</f>
        <v>ExcelColumn</v>
      </c>
      <c r="D294" s="44" t="str">
        <f>IF(meta_Columns[[#This Row],[Owning Table:src]]="","",INDEX(meta_Classifiers[Package],MATCH(meta_Columns[[#This Row],[Owning Table Instances Class]],meta_Classifiers[ID],0)))</f>
        <v>meta</v>
      </c>
      <c r="E294" s="43"/>
      <c r="F294" s="44" t="str">
        <f>INDEX(meta_Tables[Excel Table - Excel Name],MATCH(meta_Columns[[#This Row],[Owning Table:src]],meta_Tables[ID],0))</f>
        <v>meta_Rules</v>
      </c>
      <c r="G294" s="44" t="str">
        <f>INDEX(meta_Tables[Instances Class:src],MATCH(meta_Columns[[#This Row],[Owning Table:src]],meta_Tables[ID],0))</f>
        <v>_Rule</v>
      </c>
      <c r="H294" s="5" t="s">
        <v>1014</v>
      </c>
      <c r="I294" s="43" t="str">
        <f xml:space="preserve"> IF( TRIM( meta_Columns[[#This Row],[Owning Table:src]] ) = "", "",
        INDEX( meta_Tables[Display Qualified], MATCH( meta_Columns[[#This Row],[Owning Table:src]], meta_Tables[ID], 0 ) ) )</f>
        <v>meta::Rules</v>
      </c>
      <c r="K294" s="22" t="str">
        <f>IF(TRIM(meta_Columns[[#This Row],[Referenced Table:src]])="","",
    INDEX(meta_Tables[Display Qualified],MATCH(meta_Columns[[#This Row],[Referenced Table:src]],meta_Tables[ID],0)))</f>
        <v/>
      </c>
      <c r="L294" s="8"/>
      <c r="M294" s="22"/>
      <c r="N294" s="8" t="str">
        <f>IF(meta_Columns[[#This Row],[Excel Column - Excel Formula]]="","x","")</f>
        <v>x</v>
      </c>
      <c r="O294" s="22"/>
      <c r="P294" s="8" t="str">
        <f>IF(meta_Columns[[#This Row],[Referenced Table:src]]="","",INDEX(meta_Tables[Instances Class],MATCH(meta_Columns[[#This Row],[Referenced Table:src]],meta_Tables[ID],0)))</f>
        <v/>
      </c>
      <c r="Q2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meta::Rule.constraintIsInvariant</v>
      </c>
      <c r="R294" s="8"/>
      <c r="S294" s="22" t="str">
        <f xml:space="preserve"> IF( TRIM( meta_Columns[[#This Row],[Property:src]] ) = "", "",
        INDEX( meta_TypedModelElements[Display Qualified], MATCH( meta_Columns[[#This Row],[Property:src]], meta_TypedModelElements[ID], 0 ) ) )</f>
        <v/>
      </c>
      <c r="T294" s="22"/>
      <c r="U294" s="8" t="e">
        <f>INDEX(meta_Classifiers[Class - Generalization:src], MATCH(meta_Columns[[#This Row],[Generalization 5]],meta_Classifiers[ID],0))</f>
        <v>#N/A</v>
      </c>
      <c r="V294" s="8" t="e">
        <f>INDEX(meta_Classifiers[Class - Generalization:src], MATCH(meta_Columns[[#This Row],[Generalization 4]],meta_Classifiers[ID],0))</f>
        <v>#N/A</v>
      </c>
      <c r="W294" s="8" t="e">
        <f>INDEX(meta_Classifiers[Class - Generalization:src], MATCH(meta_Columns[[#This Row],[Generalization 3]],meta_Classifiers[ID],0))</f>
        <v>#N/A</v>
      </c>
      <c r="X294" s="8" t="str">
        <f>INDEX(meta_Classifiers[Class - Generalization:src], MATCH(meta_Columns[[#This Row],[Generalization 2]],meta_Classifiers[ID],0))</f>
        <v/>
      </c>
      <c r="Y294" s="8" t="str">
        <f>INDEX(meta_Classifiers[Class - Generalization:src], MATCH(meta_Columns[[#This Row],[Generalization 1]],meta_Classifiers[ID],0))</f>
        <v>_Object</v>
      </c>
      <c r="Z294" s="8" t="str">
        <f>INDEX(meta_Classifiers[Class - Generalization:src], MATCH(meta_Columns[[#This Row],[Owning Table Instances Class]],meta_Classifiers[ID],0))</f>
        <v>_NamedElement</v>
      </c>
      <c r="AA2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4" s="8" t="b">
        <f>_xlfn.IFNA(
INDEX(meta_Classifiers[Class - Generalization:src],MATCH(
INDEX(meta_Classifiers[Class - Generalization:src],MATCH(meta_Columns[[#This Row],[Property Owning Class]],meta_Classifiers[ID],0)),meta_Classifiers[ID],0))
=meta_Columns[[#This Row],[Owning Table Instances Class]],FALSE)</f>
        <v>0</v>
      </c>
      <c r="AG294" s="8" t="b">
        <f>_xlfn.IFNA(INDEX(meta_Classifiers[Class - Generalization:src],MATCH(meta_Columns[[#This Row],[Property Owning Class]],meta_Classifiers[ID],0))=meta_Columns[[#This Row],[Owning Table Instances Class]],FALSE)</f>
        <v>0</v>
      </c>
      <c r="AH2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4" s="8" t="e">
        <f>INDEX(meta_Classifiers[Name],MATCH(INDEX(meta_TypedModelElements[Property - Owning Class:src],MATCH(meta_Columns[[#This Row],[Property]],meta_TypedModelElements[ID],0)),meta_Classifiers[ID],0))</f>
        <v>#N/A</v>
      </c>
      <c r="AJ294" s="8" t="e">
        <f>INDEX(meta_TypedModelElements[Property - Owning Class:src],MATCH(meta_Columns[[#This Row],[Property]],meta_TypedModelElements[ID],0))</f>
        <v>#N/A</v>
      </c>
      <c r="AK294" s="8" t="e">
        <f>INDEX(meta_TypedModelElements[Kind:src],MATCH(meta_Columns[[#This Row],[Property]],meta_TypedModelElements[ID],0))</f>
        <v>#N/A</v>
      </c>
      <c r="AL294" s="8" t="e">
        <f>INDEX(meta_TypedModelElements[Name or Type],MATCH(meta_Columns[[#This Row],[Property]],meta_TypedModelElements[ID],0))</f>
        <v>#N/A</v>
      </c>
      <c r="AM294" s="8" t="e">
        <f>INDEX(meta_TypedModelElements[Property - Changeable],MATCH(meta_Columns[[#This Row],[Property]],meta_TypedModelElements[ID],0))</f>
        <v>#N/A</v>
      </c>
      <c r="AN294" s="43">
        <v>104</v>
      </c>
      <c r="AO294" s="22">
        <v>27</v>
      </c>
      <c r="AP2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4" s="8" t="str">
        <f xml:space="preserve"> IF(meta_Columns[[#This Row],[Property Owning Class is Specialization of Instance Class]],meta_Columns[[#This Row],[Property Owning Class Name]]&amp;" - ","")</f>
        <v/>
      </c>
      <c r="AR2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Constraint Is Invariant</v>
      </c>
      <c r="AT294" s="8" t="str">
        <f>IFERROR(LEFT(meta_Columns[[#This Row],[Excel Column - Label Actual without Semantic Case]],FIND("-",
meta_Columns[[#This Row],[Excel Column - Label Actual without Semantic Case]])-2),"")</f>
        <v/>
      </c>
      <c r="AU2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Constraint Is Invariant</v>
      </c>
      <c r="AV2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Constraint Is Invariant</v>
      </c>
      <c r="AX294" s="22"/>
      <c r="AY294" s="8" t="str">
        <f>meta_Columns[[#This Row],[Owning Table]]&amp;"."&amp;meta_Columns[[#This Row],[Excel Column - Label]]</f>
        <v>meta::Rules.Constraint Is Invariant</v>
      </c>
      <c r="AZ294" s="43" t="s">
        <v>102</v>
      </c>
      <c r="BA294" s="44" t="str">
        <f>IF(TRIM(meta_Columns[[#This Row],[Excel Column - Label Overwrite]])&lt;&gt;"",meta_Columns[[#This Row],[Excel Column - Label Overwrite]],meta_Columns[[#This Row],[Excel Column - Label from Property or Referenced Table]])</f>
        <v>Constraint Is Invariant</v>
      </c>
      <c r="BB294" s="43"/>
      <c r="BC294" s="8" t="str">
        <f>IF(meta_Columns[[#This Row],[Excel Column - Explicit Excel Formula]]="","",meta_Columns[[#This Row],[Excel Column - Explicit Excel Formula]])</f>
        <v/>
      </c>
      <c r="BD294" s="5"/>
      <c r="BE294" s="5"/>
    </row>
    <row r="295" spans="1:57">
      <c r="A295" s="10" t="s">
        <v>1259</v>
      </c>
      <c r="B295" s="5" t="s">
        <v>546</v>
      </c>
      <c r="C295" s="22" t="str">
        <f xml:space="preserve"> IF( TRIM( meta_Columns[[#This Row],[Kind:src]] ) = "", "",
        INDEX( meta_Classifiers[Display Qualified], MATCH( meta_Columns[[#This Row],[Kind:src]], meta_Classifiers[ID], 0 ) ) )</f>
        <v>ExcelColumn</v>
      </c>
      <c r="D295" s="44" t="str">
        <f>IF(meta_Columns[[#This Row],[Owning Table:src]]="","",INDEX(meta_Classifiers[Package],MATCH(meta_Columns[[#This Row],[Owning Table Instances Class]],meta_Classifiers[ID],0)))</f>
        <v>meta</v>
      </c>
      <c r="E295" s="43"/>
      <c r="F295" s="44" t="str">
        <f>INDEX(meta_Tables[Excel Table - Excel Name],MATCH(meta_Columns[[#This Row],[Owning Table:src]],meta_Tables[ID],0))</f>
        <v>meta_Rules</v>
      </c>
      <c r="G295" s="44" t="str">
        <f>INDEX(meta_Tables[Instances Class:src],MATCH(meta_Columns[[#This Row],[Owning Table:src]],meta_Tables[ID],0))</f>
        <v>_Rule</v>
      </c>
      <c r="H295" s="5" t="s">
        <v>1014</v>
      </c>
      <c r="I295" s="43" t="str">
        <f xml:space="preserve"> IF( TRIM( meta_Columns[[#This Row],[Owning Table:src]] ) = "", "",
        INDEX( meta_Tables[Display Qualified], MATCH( meta_Columns[[#This Row],[Owning Table:src]], meta_Tables[ID], 0 ) ) )</f>
        <v>meta::Rules</v>
      </c>
      <c r="K295" s="22" t="str">
        <f>IF(TRIM(meta_Columns[[#This Row],[Referenced Table:src]])="","",
    INDEX(meta_Tables[Display Qualified],MATCH(meta_Columns[[#This Row],[Referenced Table:src]],meta_Tables[ID],0)))</f>
        <v/>
      </c>
      <c r="L295" s="8"/>
      <c r="M295" s="22"/>
      <c r="N295" s="8" t="str">
        <f>IF(meta_Columns[[#This Row],[Excel Column - Excel Formula]]="","x","")</f>
        <v>x</v>
      </c>
      <c r="O295" s="22"/>
      <c r="P295" s="8" t="str">
        <f>IF(meta_Columns[[#This Row],[Referenced Table:src]]="","",INDEX(meta_Tables[Instances Class],MATCH(meta_Columns[[#This Row],[Referenced Table:src]],meta_Tables[ID],0)))</f>
        <v/>
      </c>
      <c r="Q29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95" s="8"/>
      <c r="S295" s="22" t="str">
        <f xml:space="preserve"> IF( TRIM( meta_Columns[[#This Row],[Property:src]] ) = "", "",
        INDEX( meta_TypedModelElements[Display Qualified], MATCH( meta_Columns[[#This Row],[Property:src]], meta_TypedModelElements[ID], 0 ) ) )</f>
        <v/>
      </c>
      <c r="T295" s="22"/>
      <c r="U295" s="8" t="e">
        <f>INDEX(meta_Classifiers[Class - Generalization:src], MATCH(meta_Columns[[#This Row],[Generalization 5]],meta_Classifiers[ID],0))</f>
        <v>#N/A</v>
      </c>
      <c r="V295" s="8" t="e">
        <f>INDEX(meta_Classifiers[Class - Generalization:src], MATCH(meta_Columns[[#This Row],[Generalization 4]],meta_Classifiers[ID],0))</f>
        <v>#N/A</v>
      </c>
      <c r="W295" s="8" t="e">
        <f>INDEX(meta_Classifiers[Class - Generalization:src], MATCH(meta_Columns[[#This Row],[Generalization 3]],meta_Classifiers[ID],0))</f>
        <v>#N/A</v>
      </c>
      <c r="X295" s="8" t="str">
        <f>INDEX(meta_Classifiers[Class - Generalization:src], MATCH(meta_Columns[[#This Row],[Generalization 2]],meta_Classifiers[ID],0))</f>
        <v/>
      </c>
      <c r="Y295" s="8" t="str">
        <f>INDEX(meta_Classifiers[Class - Generalization:src], MATCH(meta_Columns[[#This Row],[Generalization 1]],meta_Classifiers[ID],0))</f>
        <v>_Object</v>
      </c>
      <c r="Z295" s="8" t="str">
        <f>INDEX(meta_Classifiers[Class - Generalization:src], MATCH(meta_Columns[[#This Row],[Owning Table Instances Class]],meta_Classifiers[ID],0))</f>
        <v>_NamedElement</v>
      </c>
      <c r="AA2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5" s="8" t="b">
        <f>_xlfn.IFNA(
INDEX(meta_Classifiers[Class - Generalization:src],MATCH(
INDEX(meta_Classifiers[Class - Generalization:src],MATCH(meta_Columns[[#This Row],[Property Owning Class]],meta_Classifiers[ID],0)),meta_Classifiers[ID],0))
=meta_Columns[[#This Row],[Owning Table Instances Class]],FALSE)</f>
        <v>0</v>
      </c>
      <c r="AG295" s="8" t="b">
        <f>_xlfn.IFNA(INDEX(meta_Classifiers[Class - Generalization:src],MATCH(meta_Columns[[#This Row],[Property Owning Class]],meta_Classifiers[ID],0))=meta_Columns[[#This Row],[Owning Table Instances Class]],FALSE)</f>
        <v>0</v>
      </c>
      <c r="AH2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5" s="8" t="e">
        <f>INDEX(meta_Classifiers[Name],MATCH(INDEX(meta_TypedModelElements[Property - Owning Class:src],MATCH(meta_Columns[[#This Row],[Property]],meta_TypedModelElements[ID],0)),meta_Classifiers[ID],0))</f>
        <v>#N/A</v>
      </c>
      <c r="AJ295" s="8" t="e">
        <f>INDEX(meta_TypedModelElements[Property - Owning Class:src],MATCH(meta_Columns[[#This Row],[Property]],meta_TypedModelElements[ID],0))</f>
        <v>#N/A</v>
      </c>
      <c r="AK295" s="8" t="e">
        <f>INDEX(meta_TypedModelElements[Kind:src],MATCH(meta_Columns[[#This Row],[Property]],meta_TypedModelElements[ID],0))</f>
        <v>#N/A</v>
      </c>
      <c r="AL295" s="8" t="e">
        <f>INDEX(meta_TypedModelElements[Name or Type],MATCH(meta_Columns[[#This Row],[Property]],meta_TypedModelElements[ID],0))</f>
        <v>#N/A</v>
      </c>
      <c r="AM295" s="8" t="e">
        <f>INDEX(meta_TypedModelElements[Property - Changeable],MATCH(meta_Columns[[#This Row],[Property]],meta_TypedModelElements[ID],0))</f>
        <v>#N/A</v>
      </c>
      <c r="AN295" s="43">
        <v>105</v>
      </c>
      <c r="AO295" s="22">
        <v>28</v>
      </c>
      <c r="AP2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5" s="8" t="str">
        <f xml:space="preserve"> IF(meta_Columns[[#This Row],[Property Owning Class is Specialization of Instance Class]],meta_Columns[[#This Row],[Property Owning Class Name]]&amp;" - ","")</f>
        <v/>
      </c>
      <c r="AR2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v>
      </c>
      <c r="AT295" s="8" t="str">
        <f>IFERROR(LEFT(meta_Columns[[#This Row],[Excel Column - Label Actual without Semantic Case]],FIND("-",
meta_Columns[[#This Row],[Excel Column - Label Actual without Semantic Case]])-2),"")</f>
        <v>Update</v>
      </c>
      <c r="AU2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 Name</v>
      </c>
      <c r="AV2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 Name</v>
      </c>
      <c r="AX295" s="22"/>
      <c r="AY295" s="8" t="str">
        <f>meta_Columns[[#This Row],[Owning Table]]&amp;"."&amp;meta_Columns[[#This Row],[Excel Column - Label]]</f>
        <v>meta::Rules.Update - Name</v>
      </c>
      <c r="AZ295" s="43" t="s">
        <v>738</v>
      </c>
      <c r="BA295" s="44" t="str">
        <f>IF(TRIM(meta_Columns[[#This Row],[Excel Column - Label Overwrite]])&lt;&gt;"",meta_Columns[[#This Row],[Excel Column - Label Overwrite]],meta_Columns[[#This Row],[Excel Column - Label from Property or Referenced Table]])</f>
        <v>Update - Name</v>
      </c>
      <c r="BB295" s="43"/>
      <c r="BC295" s="8" t="str">
        <f>IF(meta_Columns[[#This Row],[Excel Column - Explicit Excel Formula]]="","",meta_Columns[[#This Row],[Excel Column - Explicit Excel Formula]])</f>
        <v/>
      </c>
      <c r="BD295" s="5"/>
      <c r="BE295" s="5"/>
    </row>
    <row r="296" spans="1:57">
      <c r="A296" s="10" t="s">
        <v>1260</v>
      </c>
      <c r="B296" s="5" t="s">
        <v>546</v>
      </c>
      <c r="C296" s="22" t="str">
        <f xml:space="preserve"> IF( TRIM( meta_Columns[[#This Row],[Kind:src]] ) = "", "",
        INDEX( meta_Classifiers[Display Qualified], MATCH( meta_Columns[[#This Row],[Kind:src]], meta_Classifiers[ID], 0 ) ) )</f>
        <v>ExcelColumn</v>
      </c>
      <c r="D296" s="44" t="str">
        <f>IF(meta_Columns[[#This Row],[Owning Table:src]]="","",INDEX(meta_Classifiers[Package],MATCH(meta_Columns[[#This Row],[Owning Table Instances Class]],meta_Classifiers[ID],0)))</f>
        <v>meta</v>
      </c>
      <c r="E296" s="43"/>
      <c r="F296" s="44" t="str">
        <f>INDEX(meta_Tables[Excel Table - Excel Name],MATCH(meta_Columns[[#This Row],[Owning Table:src]],meta_Tables[ID],0))</f>
        <v>meta_Rules</v>
      </c>
      <c r="G296" s="44" t="str">
        <f>INDEX(meta_Tables[Instances Class:src],MATCH(meta_Columns[[#This Row],[Owning Table:src]],meta_Tables[ID],0))</f>
        <v>_Rule</v>
      </c>
      <c r="H296" s="5" t="s">
        <v>1014</v>
      </c>
      <c r="I296" s="43" t="str">
        <f xml:space="preserve"> IF( TRIM( meta_Columns[[#This Row],[Owning Table:src]] ) = "", "",
        INDEX( meta_Tables[Display Qualified], MATCH( meta_Columns[[#This Row],[Owning Table:src]], meta_Tables[ID], 0 ) ) )</f>
        <v>meta::Rules</v>
      </c>
      <c r="K296" s="22" t="str">
        <f>IF(TRIM(meta_Columns[[#This Row],[Referenced Table:src]])="","",
    INDEX(meta_Tables[Display Qualified],MATCH(meta_Columns[[#This Row],[Referenced Table:src]],meta_Tables[ID],0)))</f>
        <v/>
      </c>
      <c r="L296" s="8"/>
      <c r="M296" s="22"/>
      <c r="N296" s="8" t="str">
        <f>IF(meta_Columns[[#This Row],[Excel Column - Excel Formula]]="","x","")</f>
        <v>x</v>
      </c>
      <c r="O296" s="22"/>
      <c r="P296" s="8" t="str">
        <f>IF(meta_Columns[[#This Row],[Referenced Table:src]]="","",INDEX(meta_Tables[Instances Class],MATCH(meta_Columns[[#This Row],[Referenced Table:src]],meta_Tables[ID],0)))</f>
        <v/>
      </c>
      <c r="Q2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6" s="8"/>
      <c r="S296" s="22" t="str">
        <f xml:space="preserve"> IF( TRIM( meta_Columns[[#This Row],[Property:src]] ) = "", "",
        INDEX( meta_TypedModelElements[Display Qualified], MATCH( meta_Columns[[#This Row],[Property:src]], meta_TypedModelElements[ID], 0 ) ) )</f>
        <v/>
      </c>
      <c r="T296" s="22"/>
      <c r="U296" s="8" t="e">
        <f>INDEX(meta_Classifiers[Class - Generalization:src], MATCH(meta_Columns[[#This Row],[Generalization 5]],meta_Classifiers[ID],0))</f>
        <v>#N/A</v>
      </c>
      <c r="V296" s="8" t="e">
        <f>INDEX(meta_Classifiers[Class - Generalization:src], MATCH(meta_Columns[[#This Row],[Generalization 4]],meta_Classifiers[ID],0))</f>
        <v>#N/A</v>
      </c>
      <c r="W296" s="8" t="e">
        <f>INDEX(meta_Classifiers[Class - Generalization:src], MATCH(meta_Columns[[#This Row],[Generalization 3]],meta_Classifiers[ID],0))</f>
        <v>#N/A</v>
      </c>
      <c r="X296" s="8" t="str">
        <f>INDEX(meta_Classifiers[Class - Generalization:src], MATCH(meta_Columns[[#This Row],[Generalization 2]],meta_Classifiers[ID],0))</f>
        <v/>
      </c>
      <c r="Y296" s="8" t="str">
        <f>INDEX(meta_Classifiers[Class - Generalization:src], MATCH(meta_Columns[[#This Row],[Generalization 1]],meta_Classifiers[ID],0))</f>
        <v>_Object</v>
      </c>
      <c r="Z296" s="8" t="str">
        <f>INDEX(meta_Classifiers[Class - Generalization:src], MATCH(meta_Columns[[#This Row],[Owning Table Instances Class]],meta_Classifiers[ID],0))</f>
        <v>_NamedElement</v>
      </c>
      <c r="AA2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6" s="8" t="b">
        <f>_xlfn.IFNA(
INDEX(meta_Classifiers[Class - Generalization:src],MATCH(
INDEX(meta_Classifiers[Class - Generalization:src],MATCH(meta_Columns[[#This Row],[Property Owning Class]],meta_Classifiers[ID],0)),meta_Classifiers[ID],0))
=meta_Columns[[#This Row],[Owning Table Instances Class]],FALSE)</f>
        <v>0</v>
      </c>
      <c r="AG296" s="8" t="b">
        <f>_xlfn.IFNA(INDEX(meta_Classifiers[Class - Generalization:src],MATCH(meta_Columns[[#This Row],[Property Owning Class]],meta_Classifiers[ID],0))=meta_Columns[[#This Row],[Owning Table Instances Class]],FALSE)</f>
        <v>0</v>
      </c>
      <c r="AH2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6" s="8" t="e">
        <f>INDEX(meta_Classifiers[Name],MATCH(INDEX(meta_TypedModelElements[Property - Owning Class:src],MATCH(meta_Columns[[#This Row],[Property]],meta_TypedModelElements[ID],0)),meta_Classifiers[ID],0))</f>
        <v>#N/A</v>
      </c>
      <c r="AJ296" s="8" t="e">
        <f>INDEX(meta_TypedModelElements[Property - Owning Class:src],MATCH(meta_Columns[[#This Row],[Property]],meta_TypedModelElements[ID],0))</f>
        <v>#N/A</v>
      </c>
      <c r="AK296" s="8" t="e">
        <f>INDEX(meta_TypedModelElements[Kind:src],MATCH(meta_Columns[[#This Row],[Property]],meta_TypedModelElements[ID],0))</f>
        <v>#N/A</v>
      </c>
      <c r="AL296" s="8" t="e">
        <f>INDEX(meta_TypedModelElements[Name or Type],MATCH(meta_Columns[[#This Row],[Property]],meta_TypedModelElements[ID],0))</f>
        <v>#N/A</v>
      </c>
      <c r="AM296" s="8" t="e">
        <f>INDEX(meta_TypedModelElements[Property - Changeable],MATCH(meta_Columns[[#This Row],[Property]],meta_TypedModelElements[ID],0))</f>
        <v>#N/A</v>
      </c>
      <c r="AN296" s="43">
        <v>106</v>
      </c>
      <c r="AO296" s="22">
        <v>29</v>
      </c>
      <c r="AP2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6" s="8" t="str">
        <f xml:space="preserve"> IF(meta_Columns[[#This Row],[Property Owning Class is Specialization of Instance Class]],meta_Columns[[#This Row],[Property Owning Class Name]]&amp;" - ","")</f>
        <v/>
      </c>
      <c r="AR2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6" s="8" t="str">
        <f>IFERROR(LEFT(meta_Columns[[#This Row],[Excel Column - Label Actual without Semantic Case]],FIND("-",
meta_Columns[[#This Row],[Excel Column - Label Actual without Semantic Case]])-2),"")</f>
        <v>Update LHS</v>
      </c>
      <c r="AU2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Feature:src</v>
      </c>
      <c r="AX296" s="22"/>
      <c r="AY296" s="8" t="str">
        <f>meta_Columns[[#This Row],[Owning Table]]&amp;"."&amp;meta_Columns[[#This Row],[Excel Column - Label]]</f>
        <v>meta::Rules.Update LHS - Feature:src</v>
      </c>
      <c r="AZ296" s="43" t="s">
        <v>333</v>
      </c>
      <c r="BA296" s="44" t="str">
        <f>IF(TRIM(meta_Columns[[#This Row],[Excel Column - Label Overwrite]])&lt;&gt;"",meta_Columns[[#This Row],[Excel Column - Label Overwrite]],meta_Columns[[#This Row],[Excel Column - Label from Property or Referenced Table]])</f>
        <v>Update LHS - Feature:src</v>
      </c>
      <c r="BB296" s="43"/>
      <c r="BC296" s="8" t="str">
        <f>IF(meta_Columns[[#This Row],[Excel Column - Explicit Excel Formula]]="","",meta_Columns[[#This Row],[Excel Column - Explicit Excel Formula]])</f>
        <v/>
      </c>
      <c r="BD296" s="5"/>
      <c r="BE296" s="5"/>
    </row>
    <row r="297" spans="1:57">
      <c r="A297" s="10" t="s">
        <v>1261</v>
      </c>
      <c r="B297" s="5" t="s">
        <v>546</v>
      </c>
      <c r="C297" s="22" t="str">
        <f xml:space="preserve"> IF( TRIM( meta_Columns[[#This Row],[Kind:src]] ) = "", "",
        INDEX( meta_Classifiers[Display Qualified], MATCH( meta_Columns[[#This Row],[Kind:src]], meta_Classifiers[ID], 0 ) ) )</f>
        <v>ExcelColumn</v>
      </c>
      <c r="D297" s="44" t="str">
        <f>IF(meta_Columns[[#This Row],[Owning Table:src]]="","",INDEX(meta_Classifiers[Package],MATCH(meta_Columns[[#This Row],[Owning Table Instances Class]],meta_Classifiers[ID],0)))</f>
        <v>meta</v>
      </c>
      <c r="E297" s="43"/>
      <c r="F297" s="44" t="str">
        <f>INDEX(meta_Tables[Excel Table - Excel Name],MATCH(meta_Columns[[#This Row],[Owning Table:src]],meta_Tables[ID],0))</f>
        <v>meta_Rules</v>
      </c>
      <c r="G297" s="44" t="str">
        <f>INDEX(meta_Tables[Instances Class:src],MATCH(meta_Columns[[#This Row],[Owning Table:src]],meta_Tables[ID],0))</f>
        <v>_Rule</v>
      </c>
      <c r="H297" s="5" t="s">
        <v>1014</v>
      </c>
      <c r="I297" s="43" t="str">
        <f xml:space="preserve"> IF( TRIM( meta_Columns[[#This Row],[Owning Table:src]] ) = "", "",
        INDEX( meta_Tables[Display Qualified], MATCH( meta_Columns[[#This Row],[Owning Table:src]], meta_Tables[ID], 0 ) ) )</f>
        <v>meta::Rules</v>
      </c>
      <c r="K297" s="22" t="str">
        <f>IF(TRIM(meta_Columns[[#This Row],[Referenced Table:src]])="","",
    INDEX(meta_Tables[Display Qualified],MATCH(meta_Columns[[#This Row],[Referenced Table:src]],meta_Tables[ID],0)))</f>
        <v/>
      </c>
      <c r="L297" s="8"/>
      <c r="M297" s="22"/>
      <c r="N297" s="8" t="str">
        <f>IF(meta_Columns[[#This Row],[Excel Column - Excel Formula]]="","x","")</f>
        <v>x</v>
      </c>
      <c r="O297" s="22"/>
      <c r="P297" s="8" t="str">
        <f>IF(meta_Columns[[#This Row],[Referenced Table:src]]="","",INDEX(meta_Tables[Instances Class],MATCH(meta_Columns[[#This Row],[Referenced Table:src]],meta_Tables[ID],0)))</f>
        <v/>
      </c>
      <c r="Q2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7" s="8"/>
      <c r="S297" s="22" t="str">
        <f xml:space="preserve"> IF( TRIM( meta_Columns[[#This Row],[Property:src]] ) = "", "",
        INDEX( meta_TypedModelElements[Display Qualified], MATCH( meta_Columns[[#This Row],[Property:src]], meta_TypedModelElements[ID], 0 ) ) )</f>
        <v/>
      </c>
      <c r="T297" s="22"/>
      <c r="U297" s="8" t="e">
        <f>INDEX(meta_Classifiers[Class - Generalization:src], MATCH(meta_Columns[[#This Row],[Generalization 5]],meta_Classifiers[ID],0))</f>
        <v>#N/A</v>
      </c>
      <c r="V297" s="8" t="e">
        <f>INDEX(meta_Classifiers[Class - Generalization:src], MATCH(meta_Columns[[#This Row],[Generalization 4]],meta_Classifiers[ID],0))</f>
        <v>#N/A</v>
      </c>
      <c r="W297" s="8" t="e">
        <f>INDEX(meta_Classifiers[Class - Generalization:src], MATCH(meta_Columns[[#This Row],[Generalization 3]],meta_Classifiers[ID],0))</f>
        <v>#N/A</v>
      </c>
      <c r="X297" s="8" t="str">
        <f>INDEX(meta_Classifiers[Class - Generalization:src], MATCH(meta_Columns[[#This Row],[Generalization 2]],meta_Classifiers[ID],0))</f>
        <v/>
      </c>
      <c r="Y297" s="8" t="str">
        <f>INDEX(meta_Classifiers[Class - Generalization:src], MATCH(meta_Columns[[#This Row],[Generalization 1]],meta_Classifiers[ID],0))</f>
        <v>_Object</v>
      </c>
      <c r="Z297" s="8" t="str">
        <f>INDEX(meta_Classifiers[Class - Generalization:src], MATCH(meta_Columns[[#This Row],[Owning Table Instances Class]],meta_Classifiers[ID],0))</f>
        <v>_NamedElement</v>
      </c>
      <c r="AA2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7" s="8" t="b">
        <f>_xlfn.IFNA(
INDEX(meta_Classifiers[Class - Generalization:src],MATCH(
INDEX(meta_Classifiers[Class - Generalization:src],MATCH(meta_Columns[[#This Row],[Property Owning Class]],meta_Classifiers[ID],0)),meta_Classifiers[ID],0))
=meta_Columns[[#This Row],[Owning Table Instances Class]],FALSE)</f>
        <v>0</v>
      </c>
      <c r="AG297" s="8" t="b">
        <f>_xlfn.IFNA(INDEX(meta_Classifiers[Class - Generalization:src],MATCH(meta_Columns[[#This Row],[Property Owning Class]],meta_Classifiers[ID],0))=meta_Columns[[#This Row],[Owning Table Instances Class]],FALSE)</f>
        <v>0</v>
      </c>
      <c r="AH2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7" s="8" t="e">
        <f>INDEX(meta_Classifiers[Name],MATCH(INDEX(meta_TypedModelElements[Property - Owning Class:src],MATCH(meta_Columns[[#This Row],[Property]],meta_TypedModelElements[ID],0)),meta_Classifiers[ID],0))</f>
        <v>#N/A</v>
      </c>
      <c r="AJ297" s="8" t="e">
        <f>INDEX(meta_TypedModelElements[Property - Owning Class:src],MATCH(meta_Columns[[#This Row],[Property]],meta_TypedModelElements[ID],0))</f>
        <v>#N/A</v>
      </c>
      <c r="AK297" s="8" t="e">
        <f>INDEX(meta_TypedModelElements[Kind:src],MATCH(meta_Columns[[#This Row],[Property]],meta_TypedModelElements[ID],0))</f>
        <v>#N/A</v>
      </c>
      <c r="AL297" s="8" t="e">
        <f>INDEX(meta_TypedModelElements[Name or Type],MATCH(meta_Columns[[#This Row],[Property]],meta_TypedModelElements[ID],0))</f>
        <v>#N/A</v>
      </c>
      <c r="AM297" s="8" t="e">
        <f>INDEX(meta_TypedModelElements[Property - Changeable],MATCH(meta_Columns[[#This Row],[Property]],meta_TypedModelElements[ID],0))</f>
        <v>#N/A</v>
      </c>
      <c r="AN297" s="43">
        <v>107</v>
      </c>
      <c r="AO297" s="22">
        <v>30</v>
      </c>
      <c r="AP2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7" s="8" t="str">
        <f xml:space="preserve"> IF(meta_Columns[[#This Row],[Property Owning Class is Specialization of Instance Class]],meta_Columns[[#This Row],[Property Owning Class Name]]&amp;" - ","")</f>
        <v/>
      </c>
      <c r="AR2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7" s="8" t="str">
        <f>IFERROR(LEFT(meta_Columns[[#This Row],[Excel Column - Label Actual without Semantic Case]],FIND("-",
meta_Columns[[#This Row],[Excel Column - Label Actual without Semantic Case]])-2),"")</f>
        <v>Update LHS</v>
      </c>
      <c r="AU2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v>
      </c>
      <c r="AX297" s="22"/>
      <c r="AY297" s="8" t="str">
        <f>meta_Columns[[#This Row],[Owning Table]]&amp;"."&amp;meta_Columns[[#This Row],[Excel Column - Label]]</f>
        <v>meta::Rules.Update LHS - Feature</v>
      </c>
      <c r="AZ297" s="43" t="s">
        <v>510</v>
      </c>
      <c r="BA297" s="44" t="str">
        <f>IF(TRIM(meta_Columns[[#This Row],[Excel Column - Label Overwrite]])&lt;&gt;"",meta_Columns[[#This Row],[Excel Column - Label Overwrite]],meta_Columns[[#This Row],[Excel Column - Label from Property or Referenced Table]])</f>
        <v>Update LHS - Feature</v>
      </c>
      <c r="BB297" s="43"/>
      <c r="BC297" s="8" t="str">
        <f>IF(meta_Columns[[#This Row],[Excel Column - Explicit Excel Formula]]="","",meta_Columns[[#This Row],[Excel Column - Explicit Excel Formula]])</f>
        <v/>
      </c>
      <c r="BD297" s="5"/>
      <c r="BE297" s="5"/>
    </row>
    <row r="298" spans="1:57">
      <c r="A298" s="10" t="s">
        <v>1262</v>
      </c>
      <c r="B298" s="5" t="s">
        <v>546</v>
      </c>
      <c r="C298" s="22" t="str">
        <f xml:space="preserve"> IF( TRIM( meta_Columns[[#This Row],[Kind:src]] ) = "", "",
        INDEX( meta_Classifiers[Display Qualified], MATCH( meta_Columns[[#This Row],[Kind:src]], meta_Classifiers[ID], 0 ) ) )</f>
        <v>ExcelColumn</v>
      </c>
      <c r="D298" s="44" t="str">
        <f>IF(meta_Columns[[#This Row],[Owning Table:src]]="","",INDEX(meta_Classifiers[Package],MATCH(meta_Columns[[#This Row],[Owning Table Instances Class]],meta_Classifiers[ID],0)))</f>
        <v>meta</v>
      </c>
      <c r="E298" s="43"/>
      <c r="F298" s="44" t="str">
        <f>INDEX(meta_Tables[Excel Table - Excel Name],MATCH(meta_Columns[[#This Row],[Owning Table:src]],meta_Tables[ID],0))</f>
        <v>meta_Rules</v>
      </c>
      <c r="G298" s="44" t="str">
        <f>INDEX(meta_Tables[Instances Class:src],MATCH(meta_Columns[[#This Row],[Owning Table:src]],meta_Tables[ID],0))</f>
        <v>_Rule</v>
      </c>
      <c r="H298" s="5" t="s">
        <v>1014</v>
      </c>
      <c r="I298" s="43" t="str">
        <f xml:space="preserve"> IF( TRIM( meta_Columns[[#This Row],[Owning Table:src]] ) = "", "",
        INDEX( meta_Tables[Display Qualified], MATCH( meta_Columns[[#This Row],[Owning Table:src]], meta_Tables[ID], 0 ) ) )</f>
        <v>meta::Rules</v>
      </c>
      <c r="K298" s="22" t="str">
        <f>IF(TRIM(meta_Columns[[#This Row],[Referenced Table:src]])="","",
    INDEX(meta_Tables[Display Qualified],MATCH(meta_Columns[[#This Row],[Referenced Table:src]],meta_Tables[ID],0)))</f>
        <v/>
      </c>
      <c r="L298" s="8"/>
      <c r="M298" s="22"/>
      <c r="N298" s="8" t="str">
        <f>IF(meta_Columns[[#This Row],[Excel Column - Excel Formula]]="","x","")</f>
        <v>x</v>
      </c>
      <c r="O298" s="22"/>
      <c r="P298" s="8" t="str">
        <f>IF(meta_Columns[[#This Row],[Referenced Table:src]]="","",INDEX(meta_Tables[Instances Class],MATCH(meta_Columns[[#This Row],[Referenced Table:src]],meta_Tables[ID],0)))</f>
        <v/>
      </c>
      <c r="Q2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meta::UpdateLHS.mode</v>
      </c>
      <c r="R298" s="8"/>
      <c r="S298" s="22" t="str">
        <f xml:space="preserve"> IF( TRIM( meta_Columns[[#This Row],[Property:src]] ) = "", "",
        INDEX( meta_TypedModelElements[Display Qualified], MATCH( meta_Columns[[#This Row],[Property:src]], meta_TypedModelElements[ID], 0 ) ) )</f>
        <v/>
      </c>
      <c r="T298" s="22"/>
      <c r="U298" s="8" t="e">
        <f>INDEX(meta_Classifiers[Class - Generalization:src], MATCH(meta_Columns[[#This Row],[Generalization 5]],meta_Classifiers[ID],0))</f>
        <v>#N/A</v>
      </c>
      <c r="V298" s="8" t="e">
        <f>INDEX(meta_Classifiers[Class - Generalization:src], MATCH(meta_Columns[[#This Row],[Generalization 4]],meta_Classifiers[ID],0))</f>
        <v>#N/A</v>
      </c>
      <c r="W298" s="8" t="e">
        <f>INDEX(meta_Classifiers[Class - Generalization:src], MATCH(meta_Columns[[#This Row],[Generalization 3]],meta_Classifiers[ID],0))</f>
        <v>#N/A</v>
      </c>
      <c r="X298" s="8" t="str">
        <f>INDEX(meta_Classifiers[Class - Generalization:src], MATCH(meta_Columns[[#This Row],[Generalization 2]],meta_Classifiers[ID],0))</f>
        <v/>
      </c>
      <c r="Y298" s="8" t="str">
        <f>INDEX(meta_Classifiers[Class - Generalization:src], MATCH(meta_Columns[[#This Row],[Generalization 1]],meta_Classifiers[ID],0))</f>
        <v>_Object</v>
      </c>
      <c r="Z298" s="8" t="str">
        <f>INDEX(meta_Classifiers[Class - Generalization:src], MATCH(meta_Columns[[#This Row],[Owning Table Instances Class]],meta_Classifiers[ID],0))</f>
        <v>_NamedElement</v>
      </c>
      <c r="AA2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8" s="8" t="b">
        <f>_xlfn.IFNA(
INDEX(meta_Classifiers[Class - Generalization:src],MATCH(
INDEX(meta_Classifiers[Class - Generalization:src],MATCH(meta_Columns[[#This Row],[Property Owning Class]],meta_Classifiers[ID],0)),meta_Classifiers[ID],0))
=meta_Columns[[#This Row],[Owning Table Instances Class]],FALSE)</f>
        <v>0</v>
      </c>
      <c r="AG298" s="8" t="b">
        <f>_xlfn.IFNA(INDEX(meta_Classifiers[Class - Generalization:src],MATCH(meta_Columns[[#This Row],[Property Owning Class]],meta_Classifiers[ID],0))=meta_Columns[[#This Row],[Owning Table Instances Class]],FALSE)</f>
        <v>0</v>
      </c>
      <c r="AH2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8" s="8" t="e">
        <f>INDEX(meta_Classifiers[Name],MATCH(INDEX(meta_TypedModelElements[Property - Owning Class:src],MATCH(meta_Columns[[#This Row],[Property]],meta_TypedModelElements[ID],0)),meta_Classifiers[ID],0))</f>
        <v>#N/A</v>
      </c>
      <c r="AJ298" s="8" t="e">
        <f>INDEX(meta_TypedModelElements[Property - Owning Class:src],MATCH(meta_Columns[[#This Row],[Property]],meta_TypedModelElements[ID],0))</f>
        <v>#N/A</v>
      </c>
      <c r="AK298" s="8" t="e">
        <f>INDEX(meta_TypedModelElements[Kind:src],MATCH(meta_Columns[[#This Row],[Property]],meta_TypedModelElements[ID],0))</f>
        <v>#N/A</v>
      </c>
      <c r="AL298" s="8" t="e">
        <f>INDEX(meta_TypedModelElements[Name or Type],MATCH(meta_Columns[[#This Row],[Property]],meta_TypedModelElements[ID],0))</f>
        <v>#N/A</v>
      </c>
      <c r="AM298" s="8" t="e">
        <f>INDEX(meta_TypedModelElements[Property - Changeable],MATCH(meta_Columns[[#This Row],[Property]],meta_TypedModelElements[ID],0))</f>
        <v>#N/A</v>
      </c>
      <c r="AN298" s="43">
        <v>108</v>
      </c>
      <c r="AO298" s="22">
        <v>31</v>
      </c>
      <c r="AP2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8" s="8" t="str">
        <f xml:space="preserve"> IF(meta_Columns[[#This Row],[Property Owning Class is Specialization of Instance Class]],meta_Columns[[#This Row],[Property Owning Class Name]]&amp;" - ","")</f>
        <v/>
      </c>
      <c r="AR2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Mode</v>
      </c>
      <c r="AT298" s="8" t="str">
        <f>IFERROR(LEFT(meta_Columns[[#This Row],[Excel Column - Label Actual without Semantic Case]],FIND("-",
meta_Columns[[#This Row],[Excel Column - Label Actual without Semantic Case]])-2),"")</f>
        <v>Update LHS</v>
      </c>
      <c r="AU2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Mode</v>
      </c>
      <c r="AV2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Mode</v>
      </c>
      <c r="AX298" s="22"/>
      <c r="AY298" s="8" t="str">
        <f>meta_Columns[[#This Row],[Owning Table]]&amp;"."&amp;meta_Columns[[#This Row],[Excel Column - Label]]</f>
        <v>meta::Rules.Update LHS - Mode</v>
      </c>
      <c r="AZ298" s="43" t="s">
        <v>332</v>
      </c>
      <c r="BA298" s="44" t="str">
        <f>IF(TRIM(meta_Columns[[#This Row],[Excel Column - Label Overwrite]])&lt;&gt;"",meta_Columns[[#This Row],[Excel Column - Label Overwrite]],meta_Columns[[#This Row],[Excel Column - Label from Property or Referenced Table]])</f>
        <v>Update LHS - Mode</v>
      </c>
      <c r="BB298" s="43"/>
      <c r="BC298" s="8" t="str">
        <f>IF(meta_Columns[[#This Row],[Excel Column - Explicit Excel Formula]]="","",meta_Columns[[#This Row],[Excel Column - Explicit Excel Formula]])</f>
        <v/>
      </c>
      <c r="BD298" s="5"/>
      <c r="BE298" s="5"/>
    </row>
    <row r="299" spans="1:57">
      <c r="A299" s="10" t="s">
        <v>1263</v>
      </c>
      <c r="B299" s="5" t="s">
        <v>546</v>
      </c>
      <c r="C299" s="22" t="str">
        <f xml:space="preserve"> IF( TRIM( meta_Columns[[#This Row],[Kind:src]] ) = "", "",
        INDEX( meta_Classifiers[Display Qualified], MATCH( meta_Columns[[#This Row],[Kind:src]], meta_Classifiers[ID], 0 ) ) )</f>
        <v>ExcelColumn</v>
      </c>
      <c r="D299" s="44" t="e">
        <f>IF(meta_Columns[[#This Row],[Owning Table:src]]="","",INDEX(meta_Classifiers[Package],MATCH(meta_Columns[[#This Row],[Owning Table Instances Class]],meta_Classifiers[ID],0)))</f>
        <v>#N/A</v>
      </c>
      <c r="E299" s="43"/>
      <c r="F299" s="44" t="str">
        <f>INDEX(meta_Tables[Excel Table - Excel Name],MATCH(meta_Columns[[#This Row],[Owning Table:src]],meta_Tables[ID],0))</f>
        <v>meta_SimpleTestPattern</v>
      </c>
      <c r="G299" s="44">
        <f>INDEX(meta_Tables[Instances Class:src],MATCH(meta_Columns[[#This Row],[Owning Table:src]],meta_Tables[ID],0))</f>
        <v>0</v>
      </c>
      <c r="H299" s="5" t="s">
        <v>1019</v>
      </c>
      <c r="I299" s="43" t="str">
        <f xml:space="preserve"> IF( TRIM( meta_Columns[[#This Row],[Owning Table:src]] ) = "", "",
        INDEX( meta_Tables[Display Qualified], MATCH( meta_Columns[[#This Row],[Owning Table:src]], meta_Tables[ID], 0 ) ) )</f>
        <v>meta::SimpleTestPattern</v>
      </c>
      <c r="K299" s="22" t="str">
        <f>IF(TRIM(meta_Columns[[#This Row],[Referenced Table:src]])="","",
    INDEX(meta_Tables[Display Qualified],MATCH(meta_Columns[[#This Row],[Referenced Table:src]],meta_Tables[ID],0)))</f>
        <v/>
      </c>
      <c r="L299" s="8"/>
      <c r="M299" s="22"/>
      <c r="N299" s="8" t="str">
        <f>IF(meta_Columns[[#This Row],[Excel Column - Excel Formula]]="","x","")</f>
        <v>x</v>
      </c>
      <c r="O299" s="22"/>
      <c r="P299" s="8" t="str">
        <f>IF(meta_Columns[[#This Row],[Referenced Table:src]]="","",INDEX(meta_Tables[Instances Class],MATCH(meta_Columns[[#This Row],[Referenced Table:src]],meta_Tables[ID],0)))</f>
        <v/>
      </c>
      <c r="Q2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9" s="8" t="s">
        <v>246</v>
      </c>
      <c r="S299" s="22" t="str">
        <f xml:space="preserve"> IF( TRIM( meta_Columns[[#This Row],[Property:src]] ) = "", "",
        INDEX( meta_TypedModelElements[Display Qualified], MATCH( meta_Columns[[#This Row],[Property:src]], meta_TypedModelElements[ID], 0 ) ) )</f>
        <v>meta::Object.iD</v>
      </c>
      <c r="T299" s="22"/>
      <c r="U299" s="8" t="e">
        <f>INDEX(meta_Classifiers[Class - Generalization:src], MATCH(meta_Columns[[#This Row],[Generalization 5]],meta_Classifiers[ID],0))</f>
        <v>#N/A</v>
      </c>
      <c r="V299" s="8" t="e">
        <f>INDEX(meta_Classifiers[Class - Generalization:src], MATCH(meta_Columns[[#This Row],[Generalization 4]],meta_Classifiers[ID],0))</f>
        <v>#N/A</v>
      </c>
      <c r="W299" s="8" t="e">
        <f>INDEX(meta_Classifiers[Class - Generalization:src], MATCH(meta_Columns[[#This Row],[Generalization 3]],meta_Classifiers[ID],0))</f>
        <v>#N/A</v>
      </c>
      <c r="X299" s="8" t="e">
        <f>INDEX(meta_Classifiers[Class - Generalization:src], MATCH(meta_Columns[[#This Row],[Generalization 2]],meta_Classifiers[ID],0))</f>
        <v>#N/A</v>
      </c>
      <c r="Y299" s="8" t="e">
        <f>INDEX(meta_Classifiers[Class - Generalization:src], MATCH(meta_Columns[[#This Row],[Generalization 1]],meta_Classifiers[ID],0))</f>
        <v>#N/A</v>
      </c>
      <c r="Z299" s="8" t="e">
        <f>INDEX(meta_Classifiers[Class - Generalization:src], MATCH(meta_Columns[[#This Row],[Owning Table Instances Class]],meta_Classifiers[ID],0))</f>
        <v>#N/A</v>
      </c>
      <c r="AA2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9" s="8" t="b">
        <f>_xlfn.IFNA(
INDEX(meta_Classifiers[Class - Generalization:src],MATCH(
INDEX(meta_Classifiers[Class - Generalization:src],MATCH(meta_Columns[[#This Row],[Property Owning Class]],meta_Classifiers[ID],0)),meta_Classifiers[ID],0))
=meta_Columns[[#This Row],[Owning Table Instances Class]],FALSE)</f>
        <v>0</v>
      </c>
      <c r="AG299" s="8" t="b">
        <f>_xlfn.IFNA(INDEX(meta_Classifiers[Class - Generalization:src],MATCH(meta_Columns[[#This Row],[Property Owning Class]],meta_Classifiers[ID],0))=meta_Columns[[#This Row],[Owning Table Instances Class]],FALSE)</f>
        <v>0</v>
      </c>
      <c r="AH2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9" s="8" t="str">
        <f>INDEX(meta_Classifiers[Name],MATCH(INDEX(meta_TypedModelElements[Property - Owning Class:src],MATCH(meta_Columns[[#This Row],[Property]],meta_TypedModelElements[ID],0)),meta_Classifiers[ID],0))</f>
        <v>Object</v>
      </c>
      <c r="AJ299" s="8" t="str">
        <f>INDEX(meta_TypedModelElements[Property - Owning Class:src],MATCH(meta_Columns[[#This Row],[Property]],meta_TypedModelElements[ID],0))</f>
        <v>_Object</v>
      </c>
      <c r="AK299" s="8" t="str">
        <f>INDEX(meta_TypedModelElements[Kind:src],MATCH(meta_Columns[[#This Row],[Property]],meta_TypedModelElements[ID],0))</f>
        <v>_Attribute</v>
      </c>
      <c r="AL299" s="8" t="str">
        <f>INDEX(meta_TypedModelElements[Name or Type],MATCH(meta_Columns[[#This Row],[Property]],meta_TypedModelElements[ID],0))</f>
        <v>ID</v>
      </c>
      <c r="AM299" s="8" t="str">
        <f>INDEX(meta_TypedModelElements[Property - Changeable],MATCH(meta_Columns[[#This Row],[Property]],meta_TypedModelElements[ID],0))</f>
        <v>x</v>
      </c>
      <c r="AN299" s="43">
        <v>1</v>
      </c>
      <c r="AO299" s="22">
        <v>1</v>
      </c>
      <c r="AP29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99" s="8" t="str">
        <f xml:space="preserve"> IF(meta_Columns[[#This Row],[Property Owning Class is Specialization of Instance Class]],meta_Columns[[#This Row],[Property Owning Class Name]]&amp;" - ","")</f>
        <v/>
      </c>
      <c r="AR29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99" s="8" t="str">
        <f>IFERROR(LEFT(meta_Columns[[#This Row],[Excel Column - Label Actual without Semantic Case]],FIND("-",
meta_Columns[[#This Row],[Excel Column - Label Actual without Semantic Case]])-2),"")</f>
        <v/>
      </c>
      <c r="AU2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99" s="22"/>
      <c r="AY299" s="8" t="str">
        <f>meta_Columns[[#This Row],[Owning Table]]&amp;"."&amp;meta_Columns[[#This Row],[Excel Column - Label]]</f>
        <v>meta::SimpleTestPattern.ID</v>
      </c>
      <c r="AZ299" s="43" t="s">
        <v>0</v>
      </c>
      <c r="BA299" s="44" t="str">
        <f>IF(TRIM(meta_Columns[[#This Row],[Excel Column - Label Overwrite]])&lt;&gt;"",meta_Columns[[#This Row],[Excel Column - Label Overwrite]],meta_Columns[[#This Row],[Excel Column - Label from Property or Referenced Table]])</f>
        <v>ID</v>
      </c>
      <c r="BB299" s="43"/>
      <c r="BC299" s="8" t="str">
        <f>IF(meta_Columns[[#This Row],[Excel Column - Explicit Excel Formula]]="","",meta_Columns[[#This Row],[Excel Column - Explicit Excel Formula]])</f>
        <v/>
      </c>
      <c r="BD299" s="5"/>
      <c r="BE299" s="5"/>
    </row>
    <row r="300" spans="1:57">
      <c r="A300" s="10" t="s">
        <v>1264</v>
      </c>
      <c r="B300" s="5" t="s">
        <v>546</v>
      </c>
      <c r="C300" s="22" t="str">
        <f xml:space="preserve"> IF( TRIM( meta_Columns[[#This Row],[Kind:src]] ) = "", "",
        INDEX( meta_Classifiers[Display Qualified], MATCH( meta_Columns[[#This Row],[Kind:src]], meta_Classifiers[ID], 0 ) ) )</f>
        <v>ExcelColumn</v>
      </c>
      <c r="D300" s="44" t="e">
        <f>IF(meta_Columns[[#This Row],[Owning Table:src]]="","",INDEX(meta_Classifiers[Package],MATCH(meta_Columns[[#This Row],[Owning Table Instances Class]],meta_Classifiers[ID],0)))</f>
        <v>#N/A</v>
      </c>
      <c r="E300" s="43"/>
      <c r="F300" s="44" t="str">
        <f>INDEX(meta_Tables[Excel Table - Excel Name],MATCH(meta_Columns[[#This Row],[Owning Table:src]],meta_Tables[ID],0))</f>
        <v>meta_SimpleTestPattern</v>
      </c>
      <c r="G300" s="44">
        <f>INDEX(meta_Tables[Instances Class:src],MATCH(meta_Columns[[#This Row],[Owning Table:src]],meta_Tables[ID],0))</f>
        <v>0</v>
      </c>
      <c r="H300" s="5" t="s">
        <v>1019</v>
      </c>
      <c r="I300" s="43" t="str">
        <f xml:space="preserve"> IF( TRIM( meta_Columns[[#This Row],[Owning Table:src]] ) = "", "",
        INDEX( meta_Tables[Display Qualified], MATCH( meta_Columns[[#This Row],[Owning Table:src]], meta_Tables[ID], 0 ) ) )</f>
        <v>meta::SimpleTestPattern</v>
      </c>
      <c r="K300" s="22" t="str">
        <f>IF(TRIM(meta_Columns[[#This Row],[Referenced Table:src]])="","",
    INDEX(meta_Tables[Display Qualified],MATCH(meta_Columns[[#This Row],[Referenced Table:src]],meta_Tables[ID],0)))</f>
        <v/>
      </c>
      <c r="L300" s="8"/>
      <c r="M300" s="22"/>
      <c r="N300" s="8" t="str">
        <f>IF(meta_Columns[[#This Row],[Excel Column - Excel Formula]]="","x","")</f>
        <v>x</v>
      </c>
      <c r="O300" s="22"/>
      <c r="P300" s="8" t="str">
        <f>IF(meta_Columns[[#This Row],[Referenced Table:src]]="","",INDEX(meta_Tables[Instances Class],MATCH(meta_Columns[[#This Row],[Referenced Table:src]],meta_Tables[ID],0)))</f>
        <v/>
      </c>
      <c r="Q3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0" s="8"/>
      <c r="S300" s="22" t="str">
        <f xml:space="preserve"> IF( TRIM( meta_Columns[[#This Row],[Property:src]] ) = "", "",
        INDEX( meta_TypedModelElements[Display Qualified], MATCH( meta_Columns[[#This Row],[Property:src]], meta_TypedModelElements[ID], 0 ) ) )</f>
        <v/>
      </c>
      <c r="T300" s="22"/>
      <c r="U300" s="8" t="e">
        <f>INDEX(meta_Classifiers[Class - Generalization:src], MATCH(meta_Columns[[#This Row],[Generalization 5]],meta_Classifiers[ID],0))</f>
        <v>#N/A</v>
      </c>
      <c r="V300" s="8" t="e">
        <f>INDEX(meta_Classifiers[Class - Generalization:src], MATCH(meta_Columns[[#This Row],[Generalization 4]],meta_Classifiers[ID],0))</f>
        <v>#N/A</v>
      </c>
      <c r="W300" s="8" t="e">
        <f>INDEX(meta_Classifiers[Class - Generalization:src], MATCH(meta_Columns[[#This Row],[Generalization 3]],meta_Classifiers[ID],0))</f>
        <v>#N/A</v>
      </c>
      <c r="X300" s="8" t="e">
        <f>INDEX(meta_Classifiers[Class - Generalization:src], MATCH(meta_Columns[[#This Row],[Generalization 2]],meta_Classifiers[ID],0))</f>
        <v>#N/A</v>
      </c>
      <c r="Y300" s="8" t="e">
        <f>INDEX(meta_Classifiers[Class - Generalization:src], MATCH(meta_Columns[[#This Row],[Generalization 1]],meta_Classifiers[ID],0))</f>
        <v>#N/A</v>
      </c>
      <c r="Z300" s="8" t="e">
        <f>INDEX(meta_Classifiers[Class - Generalization:src], MATCH(meta_Columns[[#This Row],[Owning Table Instances Class]],meta_Classifiers[ID],0))</f>
        <v>#N/A</v>
      </c>
      <c r="AA3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0" s="8" t="b">
        <f>_xlfn.IFNA(
INDEX(meta_Classifiers[Class - Generalization:src],MATCH(
INDEX(meta_Classifiers[Class - Generalization:src],MATCH(meta_Columns[[#This Row],[Property Owning Class]],meta_Classifiers[ID],0)),meta_Classifiers[ID],0))
=meta_Columns[[#This Row],[Owning Table Instances Class]],FALSE)</f>
        <v>0</v>
      </c>
      <c r="AG300" s="8" t="b">
        <f>_xlfn.IFNA(INDEX(meta_Classifiers[Class - Generalization:src],MATCH(meta_Columns[[#This Row],[Property Owning Class]],meta_Classifiers[ID],0))=meta_Columns[[#This Row],[Owning Table Instances Class]],FALSE)</f>
        <v>0</v>
      </c>
      <c r="AH3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0" s="8" t="e">
        <f>INDEX(meta_Classifiers[Name],MATCH(INDEX(meta_TypedModelElements[Property - Owning Class:src],MATCH(meta_Columns[[#This Row],[Property]],meta_TypedModelElements[ID],0)),meta_Classifiers[ID],0))</f>
        <v>#N/A</v>
      </c>
      <c r="AJ300" s="8" t="e">
        <f>INDEX(meta_TypedModelElements[Property - Owning Class:src],MATCH(meta_Columns[[#This Row],[Property]],meta_TypedModelElements[ID],0))</f>
        <v>#N/A</v>
      </c>
      <c r="AK300" s="8" t="e">
        <f>INDEX(meta_TypedModelElements[Kind:src],MATCH(meta_Columns[[#This Row],[Property]],meta_TypedModelElements[ID],0))</f>
        <v>#N/A</v>
      </c>
      <c r="AL300" s="8" t="e">
        <f>INDEX(meta_TypedModelElements[Name or Type],MATCH(meta_Columns[[#This Row],[Property]],meta_TypedModelElements[ID],0))</f>
        <v>#N/A</v>
      </c>
      <c r="AM300" s="8" t="e">
        <f>INDEX(meta_TypedModelElements[Property - Changeable],MATCH(meta_Columns[[#This Row],[Property]],meta_TypedModelElements[ID],0))</f>
        <v>#N/A</v>
      </c>
      <c r="AN300" s="43">
        <v>2</v>
      </c>
      <c r="AO300" s="22">
        <v>2</v>
      </c>
      <c r="AP3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0" s="8" t="str">
        <f xml:space="preserve"> IF(meta_Columns[[#This Row],[Property Owning Class is Specialization of Instance Class]],meta_Columns[[#This Row],[Property Owning Class Name]]&amp;" - ","")</f>
        <v/>
      </c>
      <c r="AR3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Filter1</v>
      </c>
      <c r="AT300" s="8" t="str">
        <f>IFERROR(LEFT(meta_Columns[[#This Row],[Excel Column - Label Actual without Semantic Case]],FIND("-",
meta_Columns[[#This Row],[Excel Column - Label Actual without Semantic Case]])-2),"")</f>
        <v/>
      </c>
      <c r="AU3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Filter1</v>
      </c>
      <c r="AV3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Filter1</v>
      </c>
      <c r="AX300" s="22"/>
      <c r="AY300" s="8" t="str">
        <f>meta_Columns[[#This Row],[Owning Table]]&amp;"."&amp;meta_Columns[[#This Row],[Excel Column - Label]]</f>
        <v>meta::SimpleTestPattern.Filter1</v>
      </c>
      <c r="AZ300" s="43" t="s">
        <v>759</v>
      </c>
      <c r="BA300" s="44" t="str">
        <f>IF(TRIM(meta_Columns[[#This Row],[Excel Column - Label Overwrite]])&lt;&gt;"",meta_Columns[[#This Row],[Excel Column - Label Overwrite]],meta_Columns[[#This Row],[Excel Column - Label from Property or Referenced Table]])</f>
        <v>Filter1</v>
      </c>
      <c r="BB300" s="43"/>
      <c r="BC300" s="8" t="str">
        <f>IF(meta_Columns[[#This Row],[Excel Column - Explicit Excel Formula]]="","",meta_Columns[[#This Row],[Excel Column - Explicit Excel Formula]])</f>
        <v/>
      </c>
      <c r="BD300" s="5"/>
      <c r="BE300" s="5"/>
    </row>
    <row r="301" spans="1:57">
      <c r="A301" s="10" t="s">
        <v>1265</v>
      </c>
      <c r="B301" s="5" t="s">
        <v>546</v>
      </c>
      <c r="C301" s="22" t="str">
        <f xml:space="preserve"> IF( TRIM( meta_Columns[[#This Row],[Kind:src]] ) = "", "",
        INDEX( meta_Classifiers[Display Qualified], MATCH( meta_Columns[[#This Row],[Kind:src]], meta_Classifiers[ID], 0 ) ) )</f>
        <v>ExcelColumn</v>
      </c>
      <c r="D301" s="44" t="e">
        <f>IF(meta_Columns[[#This Row],[Owning Table:src]]="","",INDEX(meta_Classifiers[Package],MATCH(meta_Columns[[#This Row],[Owning Table Instances Class]],meta_Classifiers[ID],0)))</f>
        <v>#N/A</v>
      </c>
      <c r="E301" s="43"/>
      <c r="F301" s="44" t="str">
        <f>INDEX(meta_Tables[Excel Table - Excel Name],MATCH(meta_Columns[[#This Row],[Owning Table:src]],meta_Tables[ID],0))</f>
        <v>meta_SimpleTestPattern</v>
      </c>
      <c r="G301" s="44">
        <f>INDEX(meta_Tables[Instances Class:src],MATCH(meta_Columns[[#This Row],[Owning Table:src]],meta_Tables[ID],0))</f>
        <v>0</v>
      </c>
      <c r="H301" s="5" t="s">
        <v>1019</v>
      </c>
      <c r="I301" s="43" t="str">
        <f xml:space="preserve"> IF( TRIM( meta_Columns[[#This Row],[Owning Table:src]] ) = "", "",
        INDEX( meta_Tables[Display Qualified], MATCH( meta_Columns[[#This Row],[Owning Table:src]], meta_Tables[ID], 0 ) ) )</f>
        <v>meta::SimpleTestPattern</v>
      </c>
      <c r="K301" s="22" t="str">
        <f>IF(TRIM(meta_Columns[[#This Row],[Referenced Table:src]])="","",
    INDEX(meta_Tables[Display Qualified],MATCH(meta_Columns[[#This Row],[Referenced Table:src]],meta_Tables[ID],0)))</f>
        <v/>
      </c>
      <c r="L301" s="8"/>
      <c r="M301" s="22"/>
      <c r="N301" s="8" t="str">
        <f>IF(meta_Columns[[#This Row],[Excel Column - Excel Formula]]="","x","")</f>
        <v>x</v>
      </c>
      <c r="O301" s="22"/>
      <c r="P301" s="8" t="str">
        <f>IF(meta_Columns[[#This Row],[Referenced Table:src]]="","",INDEX(meta_Tables[Instances Class],MATCH(meta_Columns[[#This Row],[Referenced Table:src]],meta_Tables[ID],0)))</f>
        <v/>
      </c>
      <c r="Q30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1" s="8"/>
      <c r="S301" s="22" t="str">
        <f xml:space="preserve"> IF( TRIM( meta_Columns[[#This Row],[Property:src]] ) = "", "",
        INDEX( meta_TypedModelElements[Display Qualified], MATCH( meta_Columns[[#This Row],[Property:src]], meta_TypedModelElements[ID], 0 ) ) )</f>
        <v/>
      </c>
      <c r="T301" s="22"/>
      <c r="U301" s="8" t="e">
        <f>INDEX(meta_Classifiers[Class - Generalization:src], MATCH(meta_Columns[[#This Row],[Generalization 5]],meta_Classifiers[ID],0))</f>
        <v>#N/A</v>
      </c>
      <c r="V301" s="8" t="e">
        <f>INDEX(meta_Classifiers[Class - Generalization:src], MATCH(meta_Columns[[#This Row],[Generalization 4]],meta_Classifiers[ID],0))</f>
        <v>#N/A</v>
      </c>
      <c r="W301" s="8" t="e">
        <f>INDEX(meta_Classifiers[Class - Generalization:src], MATCH(meta_Columns[[#This Row],[Generalization 3]],meta_Classifiers[ID],0))</f>
        <v>#N/A</v>
      </c>
      <c r="X301" s="8" t="e">
        <f>INDEX(meta_Classifiers[Class - Generalization:src], MATCH(meta_Columns[[#This Row],[Generalization 2]],meta_Classifiers[ID],0))</f>
        <v>#N/A</v>
      </c>
      <c r="Y301" s="8" t="e">
        <f>INDEX(meta_Classifiers[Class - Generalization:src], MATCH(meta_Columns[[#This Row],[Generalization 1]],meta_Classifiers[ID],0))</f>
        <v>#N/A</v>
      </c>
      <c r="Z301" s="8" t="e">
        <f>INDEX(meta_Classifiers[Class - Generalization:src], MATCH(meta_Columns[[#This Row],[Owning Table Instances Class]],meta_Classifiers[ID],0))</f>
        <v>#N/A</v>
      </c>
      <c r="AA3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1" s="8" t="b">
        <f>_xlfn.IFNA(
INDEX(meta_Classifiers[Class - Generalization:src],MATCH(
INDEX(meta_Classifiers[Class - Generalization:src],MATCH(meta_Columns[[#This Row],[Property Owning Class]],meta_Classifiers[ID],0)),meta_Classifiers[ID],0))
=meta_Columns[[#This Row],[Owning Table Instances Class]],FALSE)</f>
        <v>0</v>
      </c>
      <c r="AG301" s="8" t="b">
        <f>_xlfn.IFNA(INDEX(meta_Classifiers[Class - Generalization:src],MATCH(meta_Columns[[#This Row],[Property Owning Class]],meta_Classifiers[ID],0))=meta_Columns[[#This Row],[Owning Table Instances Class]],FALSE)</f>
        <v>0</v>
      </c>
      <c r="AH3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1" s="8" t="e">
        <f>INDEX(meta_Classifiers[Name],MATCH(INDEX(meta_TypedModelElements[Property - Owning Class:src],MATCH(meta_Columns[[#This Row],[Property]],meta_TypedModelElements[ID],0)),meta_Classifiers[ID],0))</f>
        <v>#N/A</v>
      </c>
      <c r="AJ301" s="8" t="e">
        <f>INDEX(meta_TypedModelElements[Property - Owning Class:src],MATCH(meta_Columns[[#This Row],[Property]],meta_TypedModelElements[ID],0))</f>
        <v>#N/A</v>
      </c>
      <c r="AK301" s="8" t="e">
        <f>INDEX(meta_TypedModelElements[Kind:src],MATCH(meta_Columns[[#This Row],[Property]],meta_TypedModelElements[ID],0))</f>
        <v>#N/A</v>
      </c>
      <c r="AL301" s="8" t="e">
        <f>INDEX(meta_TypedModelElements[Name or Type],MATCH(meta_Columns[[#This Row],[Property]],meta_TypedModelElements[ID],0))</f>
        <v>#N/A</v>
      </c>
      <c r="AM301" s="8" t="e">
        <f>INDEX(meta_TypedModelElements[Property - Changeable],MATCH(meta_Columns[[#This Row],[Property]],meta_TypedModelElements[ID],0))</f>
        <v>#N/A</v>
      </c>
      <c r="AN301" s="43">
        <v>3</v>
      </c>
      <c r="AO301" s="22">
        <v>3</v>
      </c>
      <c r="AP3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1" s="8" t="str">
        <f xml:space="preserve"> IF(meta_Columns[[#This Row],[Property Owning Class is Specialization of Instance Class]],meta_Columns[[#This Row],[Property Owning Class Name]]&amp;" - ","")</f>
        <v/>
      </c>
      <c r="AR3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Filter2</v>
      </c>
      <c r="AT301" s="8" t="str">
        <f>IFERROR(LEFT(meta_Columns[[#This Row],[Excel Column - Label Actual without Semantic Case]],FIND("-",
meta_Columns[[#This Row],[Excel Column - Label Actual without Semantic Case]])-2),"")</f>
        <v/>
      </c>
      <c r="AU3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Filter2</v>
      </c>
      <c r="AV3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Filter2</v>
      </c>
      <c r="AX301" s="22"/>
      <c r="AY301" s="8" t="str">
        <f>meta_Columns[[#This Row],[Owning Table]]&amp;"."&amp;meta_Columns[[#This Row],[Excel Column - Label]]</f>
        <v>meta::SimpleTestPattern.Filter2</v>
      </c>
      <c r="AZ301" s="43" t="s">
        <v>760</v>
      </c>
      <c r="BA301" s="44" t="str">
        <f>IF(TRIM(meta_Columns[[#This Row],[Excel Column - Label Overwrite]])&lt;&gt;"",meta_Columns[[#This Row],[Excel Column - Label Overwrite]],meta_Columns[[#This Row],[Excel Column - Label from Property or Referenced Table]])</f>
        <v>Filter2</v>
      </c>
      <c r="BB301" s="43"/>
      <c r="BC301" s="8" t="str">
        <f>IF(meta_Columns[[#This Row],[Excel Column - Explicit Excel Formula]]="","",meta_Columns[[#This Row],[Excel Column - Explicit Excel Formula]])</f>
        <v/>
      </c>
      <c r="BD301" s="5"/>
      <c r="BE301" s="5"/>
    </row>
    <row r="302" spans="1:57">
      <c r="A302" s="10" t="s">
        <v>1266</v>
      </c>
      <c r="B302" s="5" t="s">
        <v>546</v>
      </c>
      <c r="C302" s="22" t="str">
        <f xml:space="preserve"> IF( TRIM( meta_Columns[[#This Row],[Kind:src]] ) = "", "",
        INDEX( meta_Classifiers[Display Qualified], MATCH( meta_Columns[[#This Row],[Kind:src]], meta_Classifiers[ID], 0 ) ) )</f>
        <v>ExcelColumn</v>
      </c>
      <c r="D302" s="44" t="e">
        <f>IF(meta_Columns[[#This Row],[Owning Table:src]]="","",INDEX(meta_Classifiers[Package],MATCH(meta_Columns[[#This Row],[Owning Table Instances Class]],meta_Classifiers[ID],0)))</f>
        <v>#N/A</v>
      </c>
      <c r="E302" s="43"/>
      <c r="F302" s="44" t="str">
        <f>INDEX(meta_Tables[Excel Table - Excel Name],MATCH(meta_Columns[[#This Row],[Owning Table:src]],meta_Tables[ID],0))</f>
        <v>meta_SimpleTestPattern</v>
      </c>
      <c r="G302" s="44">
        <f>INDEX(meta_Tables[Instances Class:src],MATCH(meta_Columns[[#This Row],[Owning Table:src]],meta_Tables[ID],0))</f>
        <v>0</v>
      </c>
      <c r="H302" s="5" t="s">
        <v>1019</v>
      </c>
      <c r="I302" s="43" t="str">
        <f xml:space="preserve"> IF( TRIM( meta_Columns[[#This Row],[Owning Table:src]] ) = "", "",
        INDEX( meta_Tables[Display Qualified], MATCH( meta_Columns[[#This Row],[Owning Table:src]], meta_Tables[ID], 0 ) ) )</f>
        <v>meta::SimpleTestPattern</v>
      </c>
      <c r="K302" s="22" t="str">
        <f>IF(TRIM(meta_Columns[[#This Row],[Referenced Table:src]])="","",
    INDEX(meta_Tables[Display Qualified],MATCH(meta_Columns[[#This Row],[Referenced Table:src]],meta_Tables[ID],0)))</f>
        <v/>
      </c>
      <c r="L302" s="8"/>
      <c r="M302" s="22"/>
      <c r="N302" s="8" t="str">
        <f>IF(meta_Columns[[#This Row],[Excel Column - Excel Formula]]="","x","")</f>
        <v>x</v>
      </c>
      <c r="O302" s="22"/>
      <c r="P302" s="8" t="str">
        <f>IF(meta_Columns[[#This Row],[Referenced Table:src]]="","",INDEX(meta_Tables[Instances Class],MATCH(meta_Columns[[#This Row],[Referenced Table:src]],meta_Tables[ID],0)))</f>
        <v/>
      </c>
      <c r="Q30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2" s="8"/>
      <c r="S302" s="22" t="str">
        <f xml:space="preserve"> IF( TRIM( meta_Columns[[#This Row],[Property:src]] ) = "", "",
        INDEX( meta_TypedModelElements[Display Qualified], MATCH( meta_Columns[[#This Row],[Property:src]], meta_TypedModelElements[ID], 0 ) ) )</f>
        <v/>
      </c>
      <c r="T302" s="22"/>
      <c r="U302" s="8" t="e">
        <f>INDEX(meta_Classifiers[Class - Generalization:src], MATCH(meta_Columns[[#This Row],[Generalization 5]],meta_Classifiers[ID],0))</f>
        <v>#N/A</v>
      </c>
      <c r="V302" s="8" t="e">
        <f>INDEX(meta_Classifiers[Class - Generalization:src], MATCH(meta_Columns[[#This Row],[Generalization 4]],meta_Classifiers[ID],0))</f>
        <v>#N/A</v>
      </c>
      <c r="W302" s="8" t="e">
        <f>INDEX(meta_Classifiers[Class - Generalization:src], MATCH(meta_Columns[[#This Row],[Generalization 3]],meta_Classifiers[ID],0))</f>
        <v>#N/A</v>
      </c>
      <c r="X302" s="8" t="e">
        <f>INDEX(meta_Classifiers[Class - Generalization:src], MATCH(meta_Columns[[#This Row],[Generalization 2]],meta_Classifiers[ID],0))</f>
        <v>#N/A</v>
      </c>
      <c r="Y302" s="8" t="e">
        <f>INDEX(meta_Classifiers[Class - Generalization:src], MATCH(meta_Columns[[#This Row],[Generalization 1]],meta_Classifiers[ID],0))</f>
        <v>#N/A</v>
      </c>
      <c r="Z302" s="8" t="e">
        <f>INDEX(meta_Classifiers[Class - Generalization:src], MATCH(meta_Columns[[#This Row],[Owning Table Instances Class]],meta_Classifiers[ID],0))</f>
        <v>#N/A</v>
      </c>
      <c r="AA3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2" s="8" t="b">
        <f>_xlfn.IFNA(
INDEX(meta_Classifiers[Class - Generalization:src],MATCH(
INDEX(meta_Classifiers[Class - Generalization:src],MATCH(meta_Columns[[#This Row],[Property Owning Class]],meta_Classifiers[ID],0)),meta_Classifiers[ID],0))
=meta_Columns[[#This Row],[Owning Table Instances Class]],FALSE)</f>
        <v>0</v>
      </c>
      <c r="AG302" s="8" t="b">
        <f>_xlfn.IFNA(INDEX(meta_Classifiers[Class - Generalization:src],MATCH(meta_Columns[[#This Row],[Property Owning Class]],meta_Classifiers[ID],0))=meta_Columns[[#This Row],[Owning Table Instances Class]],FALSE)</f>
        <v>0</v>
      </c>
      <c r="AH3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2" s="8" t="e">
        <f>INDEX(meta_Classifiers[Name],MATCH(INDEX(meta_TypedModelElements[Property - Owning Class:src],MATCH(meta_Columns[[#This Row],[Property]],meta_TypedModelElements[ID],0)),meta_Classifiers[ID],0))</f>
        <v>#N/A</v>
      </c>
      <c r="AJ302" s="8" t="e">
        <f>INDEX(meta_TypedModelElements[Property - Owning Class:src],MATCH(meta_Columns[[#This Row],[Property]],meta_TypedModelElements[ID],0))</f>
        <v>#N/A</v>
      </c>
      <c r="AK302" s="8" t="e">
        <f>INDEX(meta_TypedModelElements[Kind:src],MATCH(meta_Columns[[#This Row],[Property]],meta_TypedModelElements[ID],0))</f>
        <v>#N/A</v>
      </c>
      <c r="AL302" s="8" t="e">
        <f>INDEX(meta_TypedModelElements[Name or Type],MATCH(meta_Columns[[#This Row],[Property]],meta_TypedModelElements[ID],0))</f>
        <v>#N/A</v>
      </c>
      <c r="AM302" s="8" t="e">
        <f>INDEX(meta_TypedModelElements[Property - Changeable],MATCH(meta_Columns[[#This Row],[Property]],meta_TypedModelElements[ID],0))</f>
        <v>#N/A</v>
      </c>
      <c r="AN302" s="43">
        <v>4</v>
      </c>
      <c r="AO302" s="22">
        <v>4</v>
      </c>
      <c r="AP3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2" s="8" t="str">
        <f xml:space="preserve"> IF(meta_Columns[[#This Row],[Property Owning Class is Specialization of Instance Class]],meta_Columns[[#This Row],[Property Owning Class Name]]&amp;" - ","")</f>
        <v/>
      </c>
      <c r="AR3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02" s="8" t="str">
        <f>IFERROR(LEFT(meta_Columns[[#This Row],[Excel Column - Label Actual without Semantic Case]],FIND("-",
meta_Columns[[#This Row],[Excel Column - Label Actual without Semantic Case]])-2),"")</f>
        <v/>
      </c>
      <c r="AU3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02" s="22"/>
      <c r="AY302" s="8" t="str">
        <f>meta_Columns[[#This Row],[Owning Table]]&amp;"."&amp;meta_Columns[[#This Row],[Excel Column - Label]]</f>
        <v>meta::SimpleTestPattern.Order</v>
      </c>
      <c r="AZ302" s="43" t="s">
        <v>663</v>
      </c>
      <c r="BA302" s="44" t="str">
        <f>IF(TRIM(meta_Columns[[#This Row],[Excel Column - Label Overwrite]])&lt;&gt;"",meta_Columns[[#This Row],[Excel Column - Label Overwrite]],meta_Columns[[#This Row],[Excel Column - Label from Property or Referenced Table]])</f>
        <v>Order</v>
      </c>
      <c r="BB302" s="43"/>
      <c r="BC302" s="8" t="str">
        <f>IF(meta_Columns[[#This Row],[Excel Column - Explicit Excel Formula]]="","",meta_Columns[[#This Row],[Excel Column - Explicit Excel Formula]])</f>
        <v/>
      </c>
      <c r="BD302" s="5"/>
      <c r="BE302" s="5"/>
    </row>
    <row r="303" spans="1:57">
      <c r="A303" s="10" t="s">
        <v>1267</v>
      </c>
      <c r="B303" s="5" t="s">
        <v>546</v>
      </c>
      <c r="C303" s="22" t="str">
        <f xml:space="preserve"> IF( TRIM( meta_Columns[[#This Row],[Kind:src]] ) = "", "",
        INDEX( meta_Classifiers[Display Qualified], MATCH( meta_Columns[[#This Row],[Kind:src]], meta_Classifiers[ID], 0 ) ) )</f>
        <v>ExcelColumn</v>
      </c>
      <c r="D303" s="44" t="e">
        <f>IF(meta_Columns[[#This Row],[Owning Table:src]]="","",INDEX(meta_Classifiers[Package],MATCH(meta_Columns[[#This Row],[Owning Table Instances Class]],meta_Classifiers[ID],0)))</f>
        <v>#N/A</v>
      </c>
      <c r="E303" s="43"/>
      <c r="F303" s="44" t="str">
        <f>INDEX(meta_Tables[Excel Table - Excel Name],MATCH(meta_Columns[[#This Row],[Owning Table:src]],meta_Tables[ID],0))</f>
        <v>meta_SimpleTestPattern</v>
      </c>
      <c r="G303" s="44">
        <f>INDEX(meta_Tables[Instances Class:src],MATCH(meta_Columns[[#This Row],[Owning Table:src]],meta_Tables[ID],0))</f>
        <v>0</v>
      </c>
      <c r="H303" s="5" t="s">
        <v>1019</v>
      </c>
      <c r="I303" s="43" t="str">
        <f xml:space="preserve"> IF( TRIM( meta_Columns[[#This Row],[Owning Table:src]] ) = "", "",
        INDEX( meta_Tables[Display Qualified], MATCH( meta_Columns[[#This Row],[Owning Table:src]], meta_Tables[ID], 0 ) ) )</f>
        <v>meta::SimpleTestPattern</v>
      </c>
      <c r="K303" s="22" t="str">
        <f>IF(TRIM(meta_Columns[[#This Row],[Referenced Table:src]])="","",
    INDEX(meta_Tables[Display Qualified],MATCH(meta_Columns[[#This Row],[Referenced Table:src]],meta_Tables[ID],0)))</f>
        <v/>
      </c>
      <c r="L303" s="8"/>
      <c r="M303" s="22"/>
      <c r="N303" s="8" t="str">
        <f>IF(meta_Columns[[#This Row],[Excel Column - Excel Formula]]="","x","")</f>
        <v>x</v>
      </c>
      <c r="O303" s="22"/>
      <c r="P303" s="8" t="str">
        <f>IF(meta_Columns[[#This Row],[Referenced Table:src]]="","",INDEX(meta_Tables[Instances Class],MATCH(meta_Columns[[#This Row],[Referenced Table:src]],meta_Tables[ID],0)))</f>
        <v/>
      </c>
      <c r="Q30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3" s="8"/>
      <c r="S303" s="22" t="str">
        <f xml:space="preserve"> IF( TRIM( meta_Columns[[#This Row],[Property:src]] ) = "", "",
        INDEX( meta_TypedModelElements[Display Qualified], MATCH( meta_Columns[[#This Row],[Property:src]], meta_TypedModelElements[ID], 0 ) ) )</f>
        <v/>
      </c>
      <c r="T303" s="22"/>
      <c r="U303" s="8" t="e">
        <f>INDEX(meta_Classifiers[Class - Generalization:src], MATCH(meta_Columns[[#This Row],[Generalization 5]],meta_Classifiers[ID],0))</f>
        <v>#N/A</v>
      </c>
      <c r="V303" s="8" t="e">
        <f>INDEX(meta_Classifiers[Class - Generalization:src], MATCH(meta_Columns[[#This Row],[Generalization 4]],meta_Classifiers[ID],0))</f>
        <v>#N/A</v>
      </c>
      <c r="W303" s="8" t="e">
        <f>INDEX(meta_Classifiers[Class - Generalization:src], MATCH(meta_Columns[[#This Row],[Generalization 3]],meta_Classifiers[ID],0))</f>
        <v>#N/A</v>
      </c>
      <c r="X303" s="8" t="e">
        <f>INDEX(meta_Classifiers[Class - Generalization:src], MATCH(meta_Columns[[#This Row],[Generalization 2]],meta_Classifiers[ID],0))</f>
        <v>#N/A</v>
      </c>
      <c r="Y303" s="8" t="e">
        <f>INDEX(meta_Classifiers[Class - Generalization:src], MATCH(meta_Columns[[#This Row],[Generalization 1]],meta_Classifiers[ID],0))</f>
        <v>#N/A</v>
      </c>
      <c r="Z303" s="8" t="e">
        <f>INDEX(meta_Classifiers[Class - Generalization:src], MATCH(meta_Columns[[#This Row],[Owning Table Instances Class]],meta_Classifiers[ID],0))</f>
        <v>#N/A</v>
      </c>
      <c r="AA3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3" s="8" t="b">
        <f>_xlfn.IFNA(
INDEX(meta_Classifiers[Class - Generalization:src],MATCH(
INDEX(meta_Classifiers[Class - Generalization:src],MATCH(meta_Columns[[#This Row],[Property Owning Class]],meta_Classifiers[ID],0)),meta_Classifiers[ID],0))
=meta_Columns[[#This Row],[Owning Table Instances Class]],FALSE)</f>
        <v>0</v>
      </c>
      <c r="AG303" s="8" t="b">
        <f>_xlfn.IFNA(INDEX(meta_Classifiers[Class - Generalization:src],MATCH(meta_Columns[[#This Row],[Property Owning Class]],meta_Classifiers[ID],0))=meta_Columns[[#This Row],[Owning Table Instances Class]],FALSE)</f>
        <v>0</v>
      </c>
      <c r="AH3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3" s="8" t="e">
        <f>INDEX(meta_Classifiers[Name],MATCH(INDEX(meta_TypedModelElements[Property - Owning Class:src],MATCH(meta_Columns[[#This Row],[Property]],meta_TypedModelElements[ID],0)),meta_Classifiers[ID],0))</f>
        <v>#N/A</v>
      </c>
      <c r="AJ303" s="8" t="e">
        <f>INDEX(meta_TypedModelElements[Property - Owning Class:src],MATCH(meta_Columns[[#This Row],[Property]],meta_TypedModelElements[ID],0))</f>
        <v>#N/A</v>
      </c>
      <c r="AK303" s="8" t="e">
        <f>INDEX(meta_TypedModelElements[Kind:src],MATCH(meta_Columns[[#This Row],[Property]],meta_TypedModelElements[ID],0))</f>
        <v>#N/A</v>
      </c>
      <c r="AL303" s="8" t="e">
        <f>INDEX(meta_TypedModelElements[Name or Type],MATCH(meta_Columns[[#This Row],[Property]],meta_TypedModelElements[ID],0))</f>
        <v>#N/A</v>
      </c>
      <c r="AM303" s="8" t="e">
        <f>INDEX(meta_TypedModelElements[Property - Changeable],MATCH(meta_Columns[[#This Row],[Property]],meta_TypedModelElements[ID],0))</f>
        <v>#N/A</v>
      </c>
      <c r="AN303" s="43">
        <v>5</v>
      </c>
      <c r="AO303" s="22">
        <v>5</v>
      </c>
      <c r="AP3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3" s="8" t="str">
        <f xml:space="preserve"> IF(meta_Columns[[#This Row],[Property Owning Class is Specialization of Instance Class]],meta_Columns[[#This Row],[Property Owning Class Name]]&amp;" - ","")</f>
        <v/>
      </c>
      <c r="AR3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v>
      </c>
      <c r="AT303" s="8" t="str">
        <f>IFERROR(LEFT(meta_Columns[[#This Row],[Excel Column - Label Actual without Semantic Case]],FIND("-",
meta_Columns[[#This Row],[Excel Column - Label Actual without Semantic Case]])-2),"")</f>
        <v/>
      </c>
      <c r="AU3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v>
      </c>
      <c r="AV3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v>
      </c>
      <c r="AX303" s="22"/>
      <c r="AY303" s="8" t="str">
        <f>meta_Columns[[#This Row],[Owning Table]]&amp;"."&amp;meta_Columns[[#This Row],[Excel Column - Label]]</f>
        <v>meta::SimpleTestPattern.Template</v>
      </c>
      <c r="AZ303" s="43" t="s">
        <v>761</v>
      </c>
      <c r="BA303" s="44" t="str">
        <f>IF(TRIM(meta_Columns[[#This Row],[Excel Column - Label Overwrite]])&lt;&gt;"",meta_Columns[[#This Row],[Excel Column - Label Overwrite]],meta_Columns[[#This Row],[Excel Column - Label from Property or Referenced Table]])</f>
        <v>Template</v>
      </c>
      <c r="BB303" s="43"/>
      <c r="BC303" s="8" t="str">
        <f>IF(meta_Columns[[#This Row],[Excel Column - Explicit Excel Formula]]="","",meta_Columns[[#This Row],[Excel Column - Explicit Excel Formula]])</f>
        <v/>
      </c>
      <c r="BD303" s="5"/>
      <c r="BE303" s="5"/>
    </row>
    <row r="304" spans="1:57">
      <c r="A304" s="10" t="s">
        <v>1268</v>
      </c>
      <c r="B304" s="5" t="s">
        <v>546</v>
      </c>
      <c r="C304" s="22" t="str">
        <f xml:space="preserve"> IF( TRIM( meta_Columns[[#This Row],[Kind:src]] ) = "", "",
        INDEX( meta_Classifiers[Display Qualified], MATCH( meta_Columns[[#This Row],[Kind:src]], meta_Classifiers[ID], 0 ) ) )</f>
        <v>ExcelColumn</v>
      </c>
      <c r="D304" s="44" t="e">
        <f>IF(meta_Columns[[#This Row],[Owning Table:src]]="","",INDEX(meta_Classifiers[Package],MATCH(meta_Columns[[#This Row],[Owning Table Instances Class]],meta_Classifiers[ID],0)))</f>
        <v>#N/A</v>
      </c>
      <c r="E304" s="43"/>
      <c r="F304" s="44" t="str">
        <f>INDEX(meta_Tables[Excel Table - Excel Name],MATCH(meta_Columns[[#This Row],[Owning Table:src]],meta_Tables[ID],0))</f>
        <v>meta_SimpleTestPattern</v>
      </c>
      <c r="G304" s="44">
        <f>INDEX(meta_Tables[Instances Class:src],MATCH(meta_Columns[[#This Row],[Owning Table:src]],meta_Tables[ID],0))</f>
        <v>0</v>
      </c>
      <c r="H304" s="5" t="s">
        <v>1019</v>
      </c>
      <c r="I304" s="43" t="str">
        <f xml:space="preserve"> IF( TRIM( meta_Columns[[#This Row],[Owning Table:src]] ) = "", "",
        INDEX( meta_Tables[Display Qualified], MATCH( meta_Columns[[#This Row],[Owning Table:src]], meta_Tables[ID], 0 ) ) )</f>
        <v>meta::SimpleTestPattern</v>
      </c>
      <c r="K304" s="22" t="str">
        <f>IF(TRIM(meta_Columns[[#This Row],[Referenced Table:src]])="","",
    INDEX(meta_Tables[Display Qualified],MATCH(meta_Columns[[#This Row],[Referenced Table:src]],meta_Tables[ID],0)))</f>
        <v/>
      </c>
      <c r="L304" s="8"/>
      <c r="M304" s="22"/>
      <c r="N304" s="8" t="str">
        <f>IF(meta_Columns[[#This Row],[Excel Column - Excel Formula]]="","x","")</f>
        <v>x</v>
      </c>
      <c r="O304" s="22"/>
      <c r="P304" s="8" t="str">
        <f>IF(meta_Columns[[#This Row],[Referenced Table:src]]="","",INDEX(meta_Tables[Instances Class],MATCH(meta_Columns[[#This Row],[Referenced Table:src]],meta_Tables[ID],0)))</f>
        <v/>
      </c>
      <c r="Q30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4" s="8"/>
      <c r="S304" s="22" t="str">
        <f xml:space="preserve"> IF( TRIM( meta_Columns[[#This Row],[Property:src]] ) = "", "",
        INDEX( meta_TypedModelElements[Display Qualified], MATCH( meta_Columns[[#This Row],[Property:src]], meta_TypedModelElements[ID], 0 ) ) )</f>
        <v/>
      </c>
      <c r="T304" s="22"/>
      <c r="U304" s="8" t="e">
        <f>INDEX(meta_Classifiers[Class - Generalization:src], MATCH(meta_Columns[[#This Row],[Generalization 5]],meta_Classifiers[ID],0))</f>
        <v>#N/A</v>
      </c>
      <c r="V304" s="8" t="e">
        <f>INDEX(meta_Classifiers[Class - Generalization:src], MATCH(meta_Columns[[#This Row],[Generalization 4]],meta_Classifiers[ID],0))</f>
        <v>#N/A</v>
      </c>
      <c r="W304" s="8" t="e">
        <f>INDEX(meta_Classifiers[Class - Generalization:src], MATCH(meta_Columns[[#This Row],[Generalization 3]],meta_Classifiers[ID],0))</f>
        <v>#N/A</v>
      </c>
      <c r="X304" s="8" t="e">
        <f>INDEX(meta_Classifiers[Class - Generalization:src], MATCH(meta_Columns[[#This Row],[Generalization 2]],meta_Classifiers[ID],0))</f>
        <v>#N/A</v>
      </c>
      <c r="Y304" s="8" t="e">
        <f>INDEX(meta_Classifiers[Class - Generalization:src], MATCH(meta_Columns[[#This Row],[Generalization 1]],meta_Classifiers[ID],0))</f>
        <v>#N/A</v>
      </c>
      <c r="Z304" s="8" t="e">
        <f>INDEX(meta_Classifiers[Class - Generalization:src], MATCH(meta_Columns[[#This Row],[Owning Table Instances Class]],meta_Classifiers[ID],0))</f>
        <v>#N/A</v>
      </c>
      <c r="AA3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4" s="8" t="b">
        <f>_xlfn.IFNA(
INDEX(meta_Classifiers[Class - Generalization:src],MATCH(
INDEX(meta_Classifiers[Class - Generalization:src],MATCH(meta_Columns[[#This Row],[Property Owning Class]],meta_Classifiers[ID],0)),meta_Classifiers[ID],0))
=meta_Columns[[#This Row],[Owning Table Instances Class]],FALSE)</f>
        <v>0</v>
      </c>
      <c r="AG304" s="8" t="b">
        <f>_xlfn.IFNA(INDEX(meta_Classifiers[Class - Generalization:src],MATCH(meta_Columns[[#This Row],[Property Owning Class]],meta_Classifiers[ID],0))=meta_Columns[[#This Row],[Owning Table Instances Class]],FALSE)</f>
        <v>0</v>
      </c>
      <c r="AH3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4" s="8" t="e">
        <f>INDEX(meta_Classifiers[Name],MATCH(INDEX(meta_TypedModelElements[Property - Owning Class:src],MATCH(meta_Columns[[#This Row],[Property]],meta_TypedModelElements[ID],0)),meta_Classifiers[ID],0))</f>
        <v>#N/A</v>
      </c>
      <c r="AJ304" s="8" t="e">
        <f>INDEX(meta_TypedModelElements[Property - Owning Class:src],MATCH(meta_Columns[[#This Row],[Property]],meta_TypedModelElements[ID],0))</f>
        <v>#N/A</v>
      </c>
      <c r="AK304" s="8" t="e">
        <f>INDEX(meta_TypedModelElements[Kind:src],MATCH(meta_Columns[[#This Row],[Property]],meta_TypedModelElements[ID],0))</f>
        <v>#N/A</v>
      </c>
      <c r="AL304" s="8" t="e">
        <f>INDEX(meta_TypedModelElements[Name or Type],MATCH(meta_Columns[[#This Row],[Property]],meta_TypedModelElements[ID],0))</f>
        <v>#N/A</v>
      </c>
      <c r="AM304" s="8" t="e">
        <f>INDEX(meta_TypedModelElements[Property - Changeable],MATCH(meta_Columns[[#This Row],[Property]],meta_TypedModelElements[ID],0))</f>
        <v>#N/A</v>
      </c>
      <c r="AN304" s="43">
        <v>6</v>
      </c>
      <c r="AO304" s="22">
        <v>6</v>
      </c>
      <c r="AP3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4" s="8" t="str">
        <f xml:space="preserve"> IF(meta_Columns[[#This Row],[Property Owning Class is Specialization of Instance Class]],meta_Columns[[#This Row],[Property Owning Class Name]]&amp;" - ","")</f>
        <v/>
      </c>
      <c r="AR3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Other</v>
      </c>
      <c r="AT304" s="8" t="str">
        <f>IFERROR(LEFT(meta_Columns[[#This Row],[Excel Column - Label Actual without Semantic Case]],FIND("-",
meta_Columns[[#This Row],[Excel Column - Label Actual without Semantic Case]])-2),"")</f>
        <v/>
      </c>
      <c r="AU3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Other</v>
      </c>
      <c r="AV3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Other</v>
      </c>
      <c r="AX304" s="22"/>
      <c r="AY304" s="8" t="str">
        <f>meta_Columns[[#This Row],[Owning Table]]&amp;"."&amp;meta_Columns[[#This Row],[Excel Column - Label]]</f>
        <v>meta::SimpleTestPattern.Other</v>
      </c>
      <c r="AZ304" s="43" t="s">
        <v>762</v>
      </c>
      <c r="BA304" s="44" t="str">
        <f>IF(TRIM(meta_Columns[[#This Row],[Excel Column - Label Overwrite]])&lt;&gt;"",meta_Columns[[#This Row],[Excel Column - Label Overwrite]],meta_Columns[[#This Row],[Excel Column - Label from Property or Referenced Table]])</f>
        <v>Other</v>
      </c>
      <c r="BB304" s="43"/>
      <c r="BC304" s="8" t="str">
        <f>IF(meta_Columns[[#This Row],[Excel Column - Explicit Excel Formula]]="","",meta_Columns[[#This Row],[Excel Column - Explicit Excel Formula]])</f>
        <v/>
      </c>
      <c r="BD304" s="5"/>
      <c r="BE304" s="5"/>
    </row>
    <row r="305" spans="1:57">
      <c r="A305" s="10" t="s">
        <v>1269</v>
      </c>
      <c r="B305" s="5" t="s">
        <v>546</v>
      </c>
      <c r="C305" s="22" t="str">
        <f xml:space="preserve"> IF( TRIM( meta_Columns[[#This Row],[Kind:src]] ) = "", "",
        INDEX( meta_Classifiers[Display Qualified], MATCH( meta_Columns[[#This Row],[Kind:src]], meta_Classifiers[ID], 0 ) ) )</f>
        <v>ExcelColumn</v>
      </c>
      <c r="D305" s="44" t="str">
        <f>IF(meta_Columns[[#This Row],[Owning Table:src]]="","",INDEX(meta_Classifiers[Package],MATCH(meta_Columns[[#This Row],[Owning Table Instances Class]],meta_Classifiers[ID],0)))</f>
        <v>meta</v>
      </c>
      <c r="E305" s="43"/>
      <c r="F305" s="44" t="str">
        <f>INDEX(meta_Tables[Excel Table - Excel Name],MATCH(meta_Columns[[#This Row],[Owning Table:src]],meta_Tables[ID],0))</f>
        <v>meta_Snippets</v>
      </c>
      <c r="G305" s="44" t="str">
        <f>INDEX(meta_Tables[Instances Class:src],MATCH(meta_Columns[[#This Row],[Owning Table:src]],meta_Tables[ID],0))</f>
        <v>_Snippet</v>
      </c>
      <c r="H305" s="5" t="s">
        <v>1009</v>
      </c>
      <c r="I305" s="43" t="str">
        <f xml:space="preserve"> IF( TRIM( meta_Columns[[#This Row],[Owning Table:src]] ) = "", "",
        INDEX( meta_Tables[Display Qualified], MATCH( meta_Columns[[#This Row],[Owning Table:src]], meta_Tables[ID], 0 ) ) )</f>
        <v>meta::Snippets</v>
      </c>
      <c r="K305" s="22" t="str">
        <f>IF(TRIM(meta_Columns[[#This Row],[Referenced Table:src]])="","",
    INDEX(meta_Tables[Display Qualified],MATCH(meta_Columns[[#This Row],[Referenced Table:src]],meta_Tables[ID],0)))</f>
        <v/>
      </c>
      <c r="L305" s="8"/>
      <c r="M305" s="22"/>
      <c r="N305" s="8" t="str">
        <f>IF(meta_Columns[[#This Row],[Excel Column - Excel Formula]]="","x","")</f>
        <v>x</v>
      </c>
      <c r="O305" s="22"/>
      <c r="P305" s="8" t="str">
        <f>IF(meta_Columns[[#This Row],[Referenced Table:src]]="","",INDEX(meta_Tables[Instances Class],MATCH(meta_Columns[[#This Row],[Referenced Table:src]],meta_Tables[ID],0)))</f>
        <v/>
      </c>
      <c r="Q3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5" s="8" t="s">
        <v>246</v>
      </c>
      <c r="S305" s="22" t="str">
        <f xml:space="preserve"> IF( TRIM( meta_Columns[[#This Row],[Property:src]] ) = "", "",
        INDEX( meta_TypedModelElements[Display Qualified], MATCH( meta_Columns[[#This Row],[Property:src]], meta_TypedModelElements[ID], 0 ) ) )</f>
        <v>meta::Object.iD</v>
      </c>
      <c r="T305" s="22" t="s">
        <v>42</v>
      </c>
      <c r="U305" s="8" t="e">
        <f>INDEX(meta_Classifiers[Class - Generalization:src], MATCH(meta_Columns[[#This Row],[Generalization 5]],meta_Classifiers[ID],0))</f>
        <v>#N/A</v>
      </c>
      <c r="V305" s="8" t="e">
        <f>INDEX(meta_Classifiers[Class - Generalization:src], MATCH(meta_Columns[[#This Row],[Generalization 4]],meta_Classifiers[ID],0))</f>
        <v>#N/A</v>
      </c>
      <c r="W305" s="8" t="e">
        <f>INDEX(meta_Classifiers[Class - Generalization:src], MATCH(meta_Columns[[#This Row],[Generalization 3]],meta_Classifiers[ID],0))</f>
        <v>#N/A</v>
      </c>
      <c r="X305" s="8" t="e">
        <f>INDEX(meta_Classifiers[Class - Generalization:src], MATCH(meta_Columns[[#This Row],[Generalization 2]],meta_Classifiers[ID],0))</f>
        <v>#N/A</v>
      </c>
      <c r="Y305" s="8" t="str">
        <f>INDEX(meta_Classifiers[Class - Generalization:src], MATCH(meta_Columns[[#This Row],[Generalization 1]],meta_Classifiers[ID],0))</f>
        <v/>
      </c>
      <c r="Z305" s="8" t="str">
        <f>INDEX(meta_Classifiers[Class - Generalization:src], MATCH(meta_Columns[[#This Row],[Owning Table Instances Class]],meta_Classifiers[ID],0))</f>
        <v>_Object</v>
      </c>
      <c r="AA3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5" s="8" t="b">
        <f>_xlfn.IFNA(
INDEX(meta_Classifiers[Class - Generalization:src],MATCH(
INDEX(meta_Classifiers[Class - Generalization:src],MATCH(meta_Columns[[#This Row],[Property Owning Class]],meta_Classifiers[ID],0)),meta_Classifiers[ID],0))
=meta_Columns[[#This Row],[Owning Table Instances Class]],FALSE)</f>
        <v>0</v>
      </c>
      <c r="AG305" s="8" t="b">
        <f>_xlfn.IFNA(INDEX(meta_Classifiers[Class - Generalization:src],MATCH(meta_Columns[[#This Row],[Property Owning Class]],meta_Classifiers[ID],0))=meta_Columns[[#This Row],[Owning Table Instances Class]],FALSE)</f>
        <v>0</v>
      </c>
      <c r="AH3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5" s="8" t="str">
        <f>INDEX(meta_Classifiers[Name],MATCH(INDEX(meta_TypedModelElements[Property - Owning Class:src],MATCH(meta_Columns[[#This Row],[Property]],meta_TypedModelElements[ID],0)),meta_Classifiers[ID],0))</f>
        <v>Object</v>
      </c>
      <c r="AJ305" s="8" t="str">
        <f>INDEX(meta_TypedModelElements[Property - Owning Class:src],MATCH(meta_Columns[[#This Row],[Property]],meta_TypedModelElements[ID],0))</f>
        <v>_Object</v>
      </c>
      <c r="AK305" s="8" t="str">
        <f>INDEX(meta_TypedModelElements[Kind:src],MATCH(meta_Columns[[#This Row],[Property]],meta_TypedModelElements[ID],0))</f>
        <v>_Attribute</v>
      </c>
      <c r="AL305" s="8" t="str">
        <f>INDEX(meta_TypedModelElements[Name or Type],MATCH(meta_Columns[[#This Row],[Property]],meta_TypedModelElements[ID],0))</f>
        <v>ID</v>
      </c>
      <c r="AM305" s="8" t="str">
        <f>INDEX(meta_TypedModelElements[Property - Changeable],MATCH(meta_Columns[[#This Row],[Property]],meta_TypedModelElements[ID],0))</f>
        <v>x</v>
      </c>
      <c r="AN305" s="43">
        <v>1</v>
      </c>
      <c r="AO305" s="22">
        <v>1</v>
      </c>
      <c r="AP3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05" s="8" t="str">
        <f xml:space="preserve"> IF(meta_Columns[[#This Row],[Property Owning Class is Specialization of Instance Class]],meta_Columns[[#This Row],[Property Owning Class Name]]&amp;" - ","")</f>
        <v/>
      </c>
      <c r="AR3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05"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5" s="8" t="str">
        <f>IFERROR(LEFT(meta_Columns[[#This Row],[Excel Column - Label Actual without Semantic Case]],FIND("-",
meta_Columns[[#This Row],[Excel Column - Label Actual without Semantic Case]])-2),"")</f>
        <v/>
      </c>
      <c r="AU305"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5"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5" s="22"/>
      <c r="AY305" s="8" t="str">
        <f>meta_Columns[[#This Row],[Owning Table]]&amp;"."&amp;meta_Columns[[#This Row],[Excel Column - Label]]</f>
        <v>meta::Snippets.ID</v>
      </c>
      <c r="AZ305" s="43" t="s">
        <v>0</v>
      </c>
      <c r="BA305" s="44" t="str">
        <f>IF(TRIM(meta_Columns[[#This Row],[Excel Column - Label Overwrite]])&lt;&gt;"",meta_Columns[[#This Row],[Excel Column - Label Overwrite]],meta_Columns[[#This Row],[Excel Column - Label from Property or Referenced Table]])</f>
        <v>ID</v>
      </c>
      <c r="BB305" s="43"/>
      <c r="BC305" s="8" t="str">
        <f>IF(meta_Columns[[#This Row],[Excel Column - Explicit Excel Formula]]="","",meta_Columns[[#This Row],[Excel Column - Explicit Excel Formula]])</f>
        <v/>
      </c>
      <c r="BD305" s="5"/>
      <c r="BE305" s="5"/>
    </row>
    <row r="306" spans="1:57">
      <c r="A306" s="10" t="s">
        <v>1357</v>
      </c>
      <c r="B306" s="5" t="s">
        <v>546</v>
      </c>
      <c r="C306" s="22" t="str">
        <f xml:space="preserve"> IF( TRIM( meta_Columns[[#This Row],[Kind:src]] ) = "", "",
        INDEX( meta_Classifiers[Display Qualified], MATCH( meta_Columns[[#This Row],[Kind:src]], meta_Classifiers[ID], 0 ) ) )</f>
        <v>ExcelColumn</v>
      </c>
      <c r="D306" s="44" t="str">
        <f>IF(meta_Columns[[#This Row],[Owning Table:src]]="","",INDEX(meta_Classifiers[Package],MATCH(meta_Columns[[#This Row],[Owning Table Instances Class]],meta_Classifiers[ID],0)))</f>
        <v>meta</v>
      </c>
      <c r="E306" s="43"/>
      <c r="F306" s="44" t="str">
        <f>INDEX(meta_Tables[Excel Table - Excel Name],MATCH(meta_Columns[[#This Row],[Owning Table:src]],meta_Tables[ID],0))</f>
        <v>meta_Snippets</v>
      </c>
      <c r="G306" s="44" t="str">
        <f>INDEX(meta_Tables[Instances Class:src],MATCH(meta_Columns[[#This Row],[Owning Table:src]],meta_Tables[ID],0))</f>
        <v>_Snippet</v>
      </c>
      <c r="H306" s="5" t="s">
        <v>1009</v>
      </c>
      <c r="I306" s="43" t="str">
        <f xml:space="preserve"> IF( TRIM( meta_Columns[[#This Row],[Owning Table:src]] ) = "", "",
        INDEX( meta_Tables[Display Qualified], MATCH( meta_Columns[[#This Row],[Owning Table:src]], meta_Tables[ID], 0 ) ) )</f>
        <v>meta::Snippets</v>
      </c>
      <c r="K306" s="22" t="str">
        <f>IF(TRIM(meta_Columns[[#This Row],[Referenced Table:src]])="","",
    INDEX(meta_Tables[Display Qualified],MATCH(meta_Columns[[#This Row],[Referenced Table:src]],meta_Tables[ID],0)))</f>
        <v/>
      </c>
      <c r="L306" s="8"/>
      <c r="M306" s="22"/>
      <c r="N306" s="8" t="str">
        <f>IF(meta_Columns[[#This Row],[Excel Column - Excel Formula]]="","x","")</f>
        <v>x</v>
      </c>
      <c r="O306" s="22"/>
      <c r="P306" s="8" t="str">
        <f>IF(meta_Columns[[#This Row],[Referenced Table:src]]="","",INDEX(meta_Tables[Instances Class],MATCH(meta_Columns[[#This Row],[Referenced Table:src]],meta_Tables[ID],0)))</f>
        <v/>
      </c>
      <c r="Q3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6" s="8" t="s">
        <v>247</v>
      </c>
      <c r="S306" s="22" t="str">
        <f xml:space="preserve"> IF( TRIM( meta_Columns[[#This Row],[Property:src]] ) = "", "",
        INDEX( meta_TypedModelElements[Display Qualified], MATCH( meta_Columns[[#This Row],[Property:src]], meta_TypedModelElements[ID], 0 ) ) )</f>
        <v>meta::Object.kind</v>
      </c>
      <c r="T306" s="22" t="s">
        <v>42</v>
      </c>
      <c r="U306" s="8" t="e">
        <f>INDEX(meta_Classifiers[Class - Generalization:src], MATCH(meta_Columns[[#This Row],[Generalization 5]],meta_Classifiers[ID],0))</f>
        <v>#N/A</v>
      </c>
      <c r="V306" s="8" t="e">
        <f>INDEX(meta_Classifiers[Class - Generalization:src], MATCH(meta_Columns[[#This Row],[Generalization 4]],meta_Classifiers[ID],0))</f>
        <v>#N/A</v>
      </c>
      <c r="W306" s="8" t="e">
        <f>INDEX(meta_Classifiers[Class - Generalization:src], MATCH(meta_Columns[[#This Row],[Generalization 3]],meta_Classifiers[ID],0))</f>
        <v>#N/A</v>
      </c>
      <c r="X306" s="8" t="e">
        <f>INDEX(meta_Classifiers[Class - Generalization:src], MATCH(meta_Columns[[#This Row],[Generalization 2]],meta_Classifiers[ID],0))</f>
        <v>#N/A</v>
      </c>
      <c r="Y306" s="8" t="str">
        <f>INDEX(meta_Classifiers[Class - Generalization:src], MATCH(meta_Columns[[#This Row],[Generalization 1]],meta_Classifiers[ID],0))</f>
        <v/>
      </c>
      <c r="Z306" s="8" t="str">
        <f>INDEX(meta_Classifiers[Class - Generalization:src], MATCH(meta_Columns[[#This Row],[Owning Table Instances Class]],meta_Classifiers[ID],0))</f>
        <v>_Object</v>
      </c>
      <c r="AA3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6" s="8" t="b">
        <f>_xlfn.IFNA(
INDEX(meta_Classifiers[Class - Generalization:src],MATCH(
INDEX(meta_Classifiers[Class - Generalization:src],MATCH(meta_Columns[[#This Row],[Property Owning Class]],meta_Classifiers[ID],0)),meta_Classifiers[ID],0))
=meta_Columns[[#This Row],[Owning Table Instances Class]],FALSE)</f>
        <v>0</v>
      </c>
      <c r="AG306" s="8" t="b">
        <f>_xlfn.IFNA(INDEX(meta_Classifiers[Class - Generalization:src],MATCH(meta_Columns[[#This Row],[Property Owning Class]],meta_Classifiers[ID],0))=meta_Columns[[#This Row],[Owning Table Instances Class]],FALSE)</f>
        <v>0</v>
      </c>
      <c r="AH3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6" s="8" t="str">
        <f>INDEX(meta_Classifiers[Name],MATCH(INDEX(meta_TypedModelElements[Property - Owning Class:src],MATCH(meta_Columns[[#This Row],[Property]],meta_TypedModelElements[ID],0)),meta_Classifiers[ID],0))</f>
        <v>Object</v>
      </c>
      <c r="AJ306" s="8" t="str">
        <f>INDEX(meta_TypedModelElements[Property - Owning Class:src],MATCH(meta_Columns[[#This Row],[Property]],meta_TypedModelElements[ID],0))</f>
        <v>_Object</v>
      </c>
      <c r="AK306" s="8" t="str">
        <f>INDEX(meta_TypedModelElements[Kind:src],MATCH(meta_Columns[[#This Row],[Property]],meta_TypedModelElements[ID],0))</f>
        <v>_Reference</v>
      </c>
      <c r="AL306" s="8" t="str">
        <f>INDEX(meta_TypedModelElements[Name or Type],MATCH(meta_Columns[[#This Row],[Property]],meta_TypedModelElements[ID],0))</f>
        <v>Kind</v>
      </c>
      <c r="AM306" s="8" t="str">
        <f>INDEX(meta_TypedModelElements[Property - Changeable],MATCH(meta_Columns[[#This Row],[Property]],meta_TypedModelElements[ID],0))</f>
        <v>x</v>
      </c>
      <c r="AN306" s="43">
        <v>2</v>
      </c>
      <c r="AO306" s="22">
        <v>2</v>
      </c>
      <c r="AP30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06" s="8" t="str">
        <f xml:space="preserve"> IF(meta_Columns[[#This Row],[Property Owning Class is Specialization of Instance Class]],meta_Columns[[#This Row],[Property Owning Class Name]]&amp;" - ","")</f>
        <v/>
      </c>
      <c r="AR30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06"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6" s="8" t="str">
        <f>IFERROR(LEFT(meta_Columns[[#This Row],[Excel Column - Label Actual without Semantic Case]],FIND("-",
meta_Columns[[#This Row],[Excel Column - Label Actual without Semantic Case]])-2),"")</f>
        <v/>
      </c>
      <c r="AU306"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6"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6" s="22"/>
      <c r="AY306" s="8" t="str">
        <f>meta_Columns[[#This Row],[Owning Table]]&amp;"."&amp;meta_Columns[[#This Row],[Excel Column - Label]]</f>
        <v>meta::Snippets.Kind:src</v>
      </c>
      <c r="AZ306" s="43" t="s">
        <v>230</v>
      </c>
      <c r="BA306" s="44" t="str">
        <f>IF(TRIM(meta_Columns[[#This Row],[Excel Column - Label Overwrite]])&lt;&gt;"",meta_Columns[[#This Row],[Excel Column - Label Overwrite]],meta_Columns[[#This Row],[Excel Column - Label from Property or Referenced Table]])</f>
        <v>Kind:src</v>
      </c>
      <c r="BB306" s="43"/>
      <c r="BC306" s="8" t="str">
        <f>IF(meta_Columns[[#This Row],[Excel Column - Explicit Excel Formula]]="","",meta_Columns[[#This Row],[Excel Column - Explicit Excel Formula]])</f>
        <v/>
      </c>
      <c r="BD306" s="5"/>
      <c r="BE306" s="5"/>
    </row>
    <row r="307" spans="1:57">
      <c r="A307" s="10" t="s">
        <v>1358</v>
      </c>
      <c r="B307" s="5" t="s">
        <v>546</v>
      </c>
      <c r="C307" s="22" t="str">
        <f xml:space="preserve"> IF( TRIM( meta_Columns[[#This Row],[Kind:src]] ) = "", "",
        INDEX( meta_Classifiers[Display Qualified], MATCH( meta_Columns[[#This Row],[Kind:src]], meta_Classifiers[ID], 0 ) ) )</f>
        <v>ExcelColumn</v>
      </c>
      <c r="D307" s="44" t="str">
        <f>IF(meta_Columns[[#This Row],[Owning Table:src]]="","",INDEX(meta_Classifiers[Package],MATCH(meta_Columns[[#This Row],[Owning Table Instances Class]],meta_Classifiers[ID],0)))</f>
        <v>meta</v>
      </c>
      <c r="E307" s="43"/>
      <c r="F307" s="44" t="str">
        <f>INDEX(meta_Tables[Excel Table - Excel Name],MATCH(meta_Columns[[#This Row],[Owning Table:src]],meta_Tables[ID],0))</f>
        <v>meta_Snippets</v>
      </c>
      <c r="G307" s="44" t="str">
        <f>INDEX(meta_Tables[Instances Class:src],MATCH(meta_Columns[[#This Row],[Owning Table:src]],meta_Tables[ID],0))</f>
        <v>_Snippet</v>
      </c>
      <c r="H307" s="5" t="s">
        <v>1009</v>
      </c>
      <c r="I307" s="43" t="str">
        <f xml:space="preserve"> IF( TRIM( meta_Columns[[#This Row],[Owning Table:src]] ) = "", "",
        INDEX( meta_Tables[Display Qualified], MATCH( meta_Columns[[#This Row],[Owning Table:src]], meta_Tables[ID], 0 ) ) )</f>
        <v>meta::Snippets</v>
      </c>
      <c r="K307" s="22" t="str">
        <f>IF(TRIM(meta_Columns[[#This Row],[Referenced Table:src]])="","",
    INDEX(meta_Tables[Display Qualified],MATCH(meta_Columns[[#This Row],[Referenced Table:src]],meta_Tables[ID],0)))</f>
        <v/>
      </c>
      <c r="L307" s="8"/>
      <c r="M307" s="22"/>
      <c r="N307" s="8" t="str">
        <f>IF(meta_Columns[[#This Row],[Excel Column - Excel Formula]]="","x","")</f>
        <v/>
      </c>
      <c r="O307" s="22"/>
      <c r="P307" s="8" t="str">
        <f>IF(meta_Columns[[#This Row],[Referenced Table:src]]="","",INDEX(meta_Tables[Instances Class],MATCH(meta_Columns[[#This Row],[Referenced Table:src]],meta_Tables[ID],0)))</f>
        <v/>
      </c>
      <c r="Q3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7" s="8" t="s">
        <v>247</v>
      </c>
      <c r="S307" s="22" t="str">
        <f xml:space="preserve"> IF( TRIM( meta_Columns[[#This Row],[Property:src]] ) = "", "",
        INDEX( meta_TypedModelElements[Display Qualified], MATCH( meta_Columns[[#This Row],[Property:src]], meta_TypedModelElements[ID], 0 ) ) )</f>
        <v>meta::Object.kind</v>
      </c>
      <c r="T307" s="22"/>
      <c r="U307" s="8" t="e">
        <f>INDEX(meta_Classifiers[Class - Generalization:src], MATCH(meta_Columns[[#This Row],[Generalization 5]],meta_Classifiers[ID],0))</f>
        <v>#N/A</v>
      </c>
      <c r="V307" s="8" t="e">
        <f>INDEX(meta_Classifiers[Class - Generalization:src], MATCH(meta_Columns[[#This Row],[Generalization 4]],meta_Classifiers[ID],0))</f>
        <v>#N/A</v>
      </c>
      <c r="W307" s="8" t="e">
        <f>INDEX(meta_Classifiers[Class - Generalization:src], MATCH(meta_Columns[[#This Row],[Generalization 3]],meta_Classifiers[ID],0))</f>
        <v>#N/A</v>
      </c>
      <c r="X307" s="8" t="e">
        <f>INDEX(meta_Classifiers[Class - Generalization:src], MATCH(meta_Columns[[#This Row],[Generalization 2]],meta_Classifiers[ID],0))</f>
        <v>#N/A</v>
      </c>
      <c r="Y307" s="8" t="str">
        <f>INDEX(meta_Classifiers[Class - Generalization:src], MATCH(meta_Columns[[#This Row],[Generalization 1]],meta_Classifiers[ID],0))</f>
        <v/>
      </c>
      <c r="Z307" s="8" t="str">
        <f>INDEX(meta_Classifiers[Class - Generalization:src], MATCH(meta_Columns[[#This Row],[Owning Table Instances Class]],meta_Classifiers[ID],0))</f>
        <v>_Object</v>
      </c>
      <c r="AA3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7" s="8" t="b">
        <f>_xlfn.IFNA(
INDEX(meta_Classifiers[Class - Generalization:src],MATCH(
INDEX(meta_Classifiers[Class - Generalization:src],MATCH(meta_Columns[[#This Row],[Property Owning Class]],meta_Classifiers[ID],0)),meta_Classifiers[ID],0))
=meta_Columns[[#This Row],[Owning Table Instances Class]],FALSE)</f>
        <v>0</v>
      </c>
      <c r="AG307" s="8" t="b">
        <f>_xlfn.IFNA(INDEX(meta_Classifiers[Class - Generalization:src],MATCH(meta_Columns[[#This Row],[Property Owning Class]],meta_Classifiers[ID],0))=meta_Columns[[#This Row],[Owning Table Instances Class]],FALSE)</f>
        <v>0</v>
      </c>
      <c r="AH3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7" s="8" t="str">
        <f>INDEX(meta_Classifiers[Name],MATCH(INDEX(meta_TypedModelElements[Property - Owning Class:src],MATCH(meta_Columns[[#This Row],[Property]],meta_TypedModelElements[ID],0)),meta_Classifiers[ID],0))</f>
        <v>Object</v>
      </c>
      <c r="AJ307" s="8" t="str">
        <f>INDEX(meta_TypedModelElements[Property - Owning Class:src],MATCH(meta_Columns[[#This Row],[Property]],meta_TypedModelElements[ID],0))</f>
        <v>_Object</v>
      </c>
      <c r="AK307" s="8" t="str">
        <f>INDEX(meta_TypedModelElements[Kind:src],MATCH(meta_Columns[[#This Row],[Property]],meta_TypedModelElements[ID],0))</f>
        <v>_Reference</v>
      </c>
      <c r="AL307" s="8" t="str">
        <f>INDEX(meta_TypedModelElements[Name or Type],MATCH(meta_Columns[[#This Row],[Property]],meta_TypedModelElements[ID],0))</f>
        <v>Kind</v>
      </c>
      <c r="AM307" s="8" t="str">
        <f>INDEX(meta_TypedModelElements[Property - Changeable],MATCH(meta_Columns[[#This Row],[Property]],meta_TypedModelElements[ID],0))</f>
        <v>x</v>
      </c>
      <c r="AN307" s="43">
        <v>3</v>
      </c>
      <c r="AO307" s="22"/>
      <c r="AP30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7" s="8" t="str">
        <f xml:space="preserve"> IF(meta_Columns[[#This Row],[Property Owning Class is Specialization of Instance Class]],meta_Columns[[#This Row],[Property Owning Class Name]]&amp;" - ","")</f>
        <v/>
      </c>
      <c r="AR30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7"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7" s="8" t="str">
        <f>IFERROR(LEFT(meta_Columns[[#This Row],[Excel Column - Label Actual without Semantic Case]],FIND("-",
meta_Columns[[#This Row],[Excel Column - Label Actual without Semantic Case]])-2),"")</f>
        <v/>
      </c>
      <c r="AU307"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7"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7" s="22"/>
      <c r="AY307" s="8" t="str">
        <f>meta_Columns[[#This Row],[Owning Table]]&amp;"."&amp;meta_Columns[[#This Row],[Excel Column - Label]]</f>
        <v>meta::Snippets.Kind</v>
      </c>
      <c r="AZ307" s="43" t="s">
        <v>5</v>
      </c>
      <c r="BA307" s="44" t="str">
        <f>IF(TRIM(meta_Columns[[#This Row],[Excel Column - Label Overwrite]])&lt;&gt;"",meta_Columns[[#This Row],[Excel Column - Label Overwrite]],meta_Columns[[#This Row],[Excel Column - Label from Property or Referenced Table]])</f>
        <v>Kind</v>
      </c>
      <c r="BB307" s="43" t="s">
        <v>1484</v>
      </c>
      <c r="BC307" s="8" t="str">
        <f>IF(meta_Columns[[#This Row],[Excel Column - Explicit Excel Formula]]="","",meta_Columns[[#This Row],[Excel Column - Explicit Excel Formula]])</f>
        <v>Formula:= IF( TRIM( [@[Kind:src]] ) = "", "",
        INDEX( meta_Classifiers[Display Qualified], MATCH( [@[Kind:src]], meta_Classifiers[ID], 0 ) ) )</v>
      </c>
      <c r="BD307" s="5" t="s">
        <v>1461</v>
      </c>
      <c r="BE307" s="5"/>
    </row>
    <row r="308" spans="1:57">
      <c r="A308" s="10" t="s">
        <v>1359</v>
      </c>
      <c r="B308" s="5" t="s">
        <v>546</v>
      </c>
      <c r="C308" s="22" t="str">
        <f xml:space="preserve"> IF( TRIM( meta_Columns[[#This Row],[Kind:src]] ) = "", "",
        INDEX( meta_Classifiers[Display Qualified], MATCH( meta_Columns[[#This Row],[Kind:src]], meta_Classifiers[ID], 0 ) ) )</f>
        <v>ExcelColumn</v>
      </c>
      <c r="D308" s="44" t="str">
        <f>IF(meta_Columns[[#This Row],[Owning Table:src]]="","",INDEX(meta_Classifiers[Package],MATCH(meta_Columns[[#This Row],[Owning Table Instances Class]],meta_Classifiers[ID],0)))</f>
        <v>meta</v>
      </c>
      <c r="E308" s="43"/>
      <c r="F308" s="44" t="str">
        <f>INDEX(meta_Tables[Excel Table - Excel Name],MATCH(meta_Columns[[#This Row],[Owning Table:src]],meta_Tables[ID],0))</f>
        <v>meta_Snippets</v>
      </c>
      <c r="G308" s="44" t="str">
        <f>INDEX(meta_Tables[Instances Class:src],MATCH(meta_Columns[[#This Row],[Owning Table:src]],meta_Tables[ID],0))</f>
        <v>_Snippet</v>
      </c>
      <c r="H308" s="5" t="s">
        <v>1009</v>
      </c>
      <c r="I308" s="43" t="str">
        <f xml:space="preserve"> IF( TRIM( meta_Columns[[#This Row],[Owning Table:src]] ) = "", "",
        INDEX( meta_Tables[Display Qualified], MATCH( meta_Columns[[#This Row],[Owning Table:src]], meta_Tables[ID], 0 ) ) )</f>
        <v>meta::Snippets</v>
      </c>
      <c r="K308" s="22" t="str">
        <f>IF(TRIM(meta_Columns[[#This Row],[Referenced Table:src]])="","",
    INDEX(meta_Tables[Display Qualified],MATCH(meta_Columns[[#This Row],[Referenced Table:src]],meta_Tables[ID],0)))</f>
        <v/>
      </c>
      <c r="L308" s="8"/>
      <c r="M308" s="22"/>
      <c r="N308" s="8" t="str">
        <f>IF(meta_Columns[[#This Row],[Excel Column - Excel Formula]]="","x","")</f>
        <v>x</v>
      </c>
      <c r="O308" s="22"/>
      <c r="P308" s="8" t="str">
        <f>IF(meta_Columns[[#This Row],[Referenced Table:src]]="","",INDEX(meta_Tables[Instances Class],MATCH(meta_Columns[[#This Row],[Referenced Table:src]],meta_Tables[ID],0)))</f>
        <v/>
      </c>
      <c r="Q3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8" s="8" t="s">
        <v>248</v>
      </c>
      <c r="S308" s="22" t="str">
        <f xml:space="preserve"> IF( TRIM( meta_Columns[[#This Row],[Property:src]] ) = "", "",
        INDEX( meta_TypedModelElements[Display Qualified], MATCH( meta_Columns[[#This Row],[Property:src]], meta_TypedModelElements[ID], 0 ) ) )</f>
        <v>meta::Object.package</v>
      </c>
      <c r="T308" s="22"/>
      <c r="U308" s="8" t="e">
        <f>INDEX(meta_Classifiers[Class - Generalization:src], MATCH(meta_Columns[[#This Row],[Generalization 5]],meta_Classifiers[ID],0))</f>
        <v>#N/A</v>
      </c>
      <c r="V308" s="8" t="e">
        <f>INDEX(meta_Classifiers[Class - Generalization:src], MATCH(meta_Columns[[#This Row],[Generalization 4]],meta_Classifiers[ID],0))</f>
        <v>#N/A</v>
      </c>
      <c r="W308" s="8" t="e">
        <f>INDEX(meta_Classifiers[Class - Generalization:src], MATCH(meta_Columns[[#This Row],[Generalization 3]],meta_Classifiers[ID],0))</f>
        <v>#N/A</v>
      </c>
      <c r="X308" s="8" t="e">
        <f>INDEX(meta_Classifiers[Class - Generalization:src], MATCH(meta_Columns[[#This Row],[Generalization 2]],meta_Classifiers[ID],0))</f>
        <v>#N/A</v>
      </c>
      <c r="Y308" s="8" t="str">
        <f>INDEX(meta_Classifiers[Class - Generalization:src], MATCH(meta_Columns[[#This Row],[Generalization 1]],meta_Classifiers[ID],0))</f>
        <v/>
      </c>
      <c r="Z308" s="8" t="str">
        <f>INDEX(meta_Classifiers[Class - Generalization:src], MATCH(meta_Columns[[#This Row],[Owning Table Instances Class]],meta_Classifiers[ID],0))</f>
        <v>_Object</v>
      </c>
      <c r="AA3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8" s="8" t="b">
        <f>_xlfn.IFNA(
INDEX(meta_Classifiers[Class - Generalization:src],MATCH(
INDEX(meta_Classifiers[Class - Generalization:src],MATCH(meta_Columns[[#This Row],[Property Owning Class]],meta_Classifiers[ID],0)),meta_Classifiers[ID],0))
=meta_Columns[[#This Row],[Owning Table Instances Class]],FALSE)</f>
        <v>0</v>
      </c>
      <c r="AG308" s="8" t="b">
        <f>_xlfn.IFNA(INDEX(meta_Classifiers[Class - Generalization:src],MATCH(meta_Columns[[#This Row],[Property Owning Class]],meta_Classifiers[ID],0))=meta_Columns[[#This Row],[Owning Table Instances Class]],FALSE)</f>
        <v>0</v>
      </c>
      <c r="AH3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8" s="8" t="str">
        <f>INDEX(meta_Classifiers[Name],MATCH(INDEX(meta_TypedModelElements[Property - Owning Class:src],MATCH(meta_Columns[[#This Row],[Property]],meta_TypedModelElements[ID],0)),meta_Classifiers[ID],0))</f>
        <v>Object</v>
      </c>
      <c r="AJ308" s="8" t="str">
        <f>INDEX(meta_TypedModelElements[Property - Owning Class:src],MATCH(meta_Columns[[#This Row],[Property]],meta_TypedModelElements[ID],0))</f>
        <v>_Object</v>
      </c>
      <c r="AK308" s="8" t="str">
        <f>INDEX(meta_TypedModelElements[Kind:src],MATCH(meta_Columns[[#This Row],[Property]],meta_TypedModelElements[ID],0))</f>
        <v>_Attribute</v>
      </c>
      <c r="AL308" s="8" t="str">
        <f>INDEX(meta_TypedModelElements[Name or Type],MATCH(meta_Columns[[#This Row],[Property]],meta_TypedModelElements[ID],0))</f>
        <v>Package</v>
      </c>
      <c r="AM308" s="8" t="str">
        <f>INDEX(meta_TypedModelElements[Property - Changeable],MATCH(meta_Columns[[#This Row],[Property]],meta_TypedModelElements[ID],0))</f>
        <v>x</v>
      </c>
      <c r="AN308" s="43">
        <v>4</v>
      </c>
      <c r="AO308" s="22">
        <v>3</v>
      </c>
      <c r="AP30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08" s="8" t="str">
        <f xml:space="preserve"> IF(meta_Columns[[#This Row],[Property Owning Class is Specialization of Instance Class]],meta_Columns[[#This Row],[Property Owning Class Name]]&amp;" - ","")</f>
        <v/>
      </c>
      <c r="AR30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08"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8" s="8" t="str">
        <f>IFERROR(LEFT(meta_Columns[[#This Row],[Excel Column - Label Actual without Semantic Case]],FIND("-",
meta_Columns[[#This Row],[Excel Column - Label Actual without Semantic Case]])-2),"")</f>
        <v/>
      </c>
      <c r="AU308"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8"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8" s="22"/>
      <c r="AY308" s="8" t="str">
        <f>meta_Columns[[#This Row],[Owning Table]]&amp;"."&amp;meta_Columns[[#This Row],[Excel Column - Label]]</f>
        <v>meta::Snippets.Package</v>
      </c>
      <c r="AZ308" s="43" t="s">
        <v>120</v>
      </c>
      <c r="BA308" s="44" t="str">
        <f>IF(TRIM(meta_Columns[[#This Row],[Excel Column - Label Overwrite]])&lt;&gt;"",meta_Columns[[#This Row],[Excel Column - Label Overwrite]],meta_Columns[[#This Row],[Excel Column - Label from Property or Referenced Table]])</f>
        <v>Package</v>
      </c>
      <c r="BB308" s="43"/>
      <c r="BC308" s="8" t="str">
        <f>IF(meta_Columns[[#This Row],[Excel Column - Explicit Excel Formula]]="","",meta_Columns[[#This Row],[Excel Column - Explicit Excel Formula]])</f>
        <v/>
      </c>
      <c r="BD308" s="5"/>
      <c r="BE308" s="5"/>
    </row>
    <row r="309" spans="1:57">
      <c r="A309" s="10" t="s">
        <v>1270</v>
      </c>
      <c r="B309" s="5" t="s">
        <v>546</v>
      </c>
      <c r="C309" s="22" t="str">
        <f xml:space="preserve"> IF( TRIM( meta_Columns[[#This Row],[Kind:src]] ) = "", "",
        INDEX( meta_Classifiers[Display Qualified], MATCH( meta_Columns[[#This Row],[Kind:src]], meta_Classifiers[ID], 0 ) ) )</f>
        <v>ExcelColumn</v>
      </c>
      <c r="D309" s="44" t="str">
        <f>IF(meta_Columns[[#This Row],[Owning Table:src]]="","",INDEX(meta_Classifiers[Package],MATCH(meta_Columns[[#This Row],[Owning Table Instances Class]],meta_Classifiers[ID],0)))</f>
        <v>meta</v>
      </c>
      <c r="E309" s="43"/>
      <c r="F309" s="44" t="str">
        <f>INDEX(meta_Tables[Excel Table - Excel Name],MATCH(meta_Columns[[#This Row],[Owning Table:src]],meta_Tables[ID],0))</f>
        <v>meta_Snippets</v>
      </c>
      <c r="G309" s="44" t="str">
        <f>INDEX(meta_Tables[Instances Class:src],MATCH(meta_Columns[[#This Row],[Owning Table:src]],meta_Tables[ID],0))</f>
        <v>_Snippet</v>
      </c>
      <c r="H309" s="5" t="s">
        <v>1009</v>
      </c>
      <c r="I309" s="43" t="str">
        <f xml:space="preserve"> IF( TRIM( meta_Columns[[#This Row],[Owning Table:src]] ) = "", "",
        INDEX( meta_Tables[Display Qualified], MATCH( meta_Columns[[#This Row],[Owning Table:src]], meta_Tables[ID], 0 ) ) )</f>
        <v>meta::Snippets</v>
      </c>
      <c r="K309" s="22" t="str">
        <f>IF(TRIM(meta_Columns[[#This Row],[Referenced Table:src]])="","",
    INDEX(meta_Tables[Display Qualified],MATCH(meta_Columns[[#This Row],[Referenced Table:src]],meta_Tables[ID],0)))</f>
        <v/>
      </c>
      <c r="L309" s="8"/>
      <c r="M309" s="22"/>
      <c r="N309" s="8" t="str">
        <f>IF(meta_Columns[[#This Row],[Excel Column - Excel Formula]]="","x","")</f>
        <v>x</v>
      </c>
      <c r="O309" s="22"/>
      <c r="P309" s="8" t="str">
        <f>IF(meta_Columns[[#This Row],[Referenced Table:src]]="","",INDEX(meta_Tables[Instances Class],MATCH(meta_Columns[[#This Row],[Referenced Table:src]],meta_Tables[ID],0)))</f>
        <v/>
      </c>
      <c r="Q3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9" s="8" t="s">
        <v>460</v>
      </c>
      <c r="S309" s="22" t="str">
        <f xml:space="preserve"> IF( TRIM( meta_Columns[[#This Row],[Property:src]] ) = "", "",
        INDEX( meta_TypedModelElements[Display Qualified], MATCH( meta_Columns[[#This Row],[Property:src]], meta_TypedModelElements[ID], 0 ) ) )</f>
        <v>meta::Object.subPackage</v>
      </c>
      <c r="T309" s="22" t="s">
        <v>42</v>
      </c>
      <c r="U309" s="8" t="e">
        <f>INDEX(meta_Classifiers[Class - Generalization:src], MATCH(meta_Columns[[#This Row],[Generalization 5]],meta_Classifiers[ID],0))</f>
        <v>#N/A</v>
      </c>
      <c r="V309" s="8" t="e">
        <f>INDEX(meta_Classifiers[Class - Generalization:src], MATCH(meta_Columns[[#This Row],[Generalization 4]],meta_Classifiers[ID],0))</f>
        <v>#N/A</v>
      </c>
      <c r="W309" s="8" t="e">
        <f>INDEX(meta_Classifiers[Class - Generalization:src], MATCH(meta_Columns[[#This Row],[Generalization 3]],meta_Classifiers[ID],0))</f>
        <v>#N/A</v>
      </c>
      <c r="X309" s="8" t="e">
        <f>INDEX(meta_Classifiers[Class - Generalization:src], MATCH(meta_Columns[[#This Row],[Generalization 2]],meta_Classifiers[ID],0))</f>
        <v>#N/A</v>
      </c>
      <c r="Y309" s="8" t="str">
        <f>INDEX(meta_Classifiers[Class - Generalization:src], MATCH(meta_Columns[[#This Row],[Generalization 1]],meta_Classifiers[ID],0))</f>
        <v/>
      </c>
      <c r="Z309" s="8" t="str">
        <f>INDEX(meta_Classifiers[Class - Generalization:src], MATCH(meta_Columns[[#This Row],[Owning Table Instances Class]],meta_Classifiers[ID],0))</f>
        <v>_Object</v>
      </c>
      <c r="AA3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9" s="8" t="b">
        <f>_xlfn.IFNA(
INDEX(meta_Classifiers[Class - Generalization:src],MATCH(
INDEX(meta_Classifiers[Class - Generalization:src],MATCH(meta_Columns[[#This Row],[Property Owning Class]],meta_Classifiers[ID],0)),meta_Classifiers[ID],0))
=meta_Columns[[#This Row],[Owning Table Instances Class]],FALSE)</f>
        <v>0</v>
      </c>
      <c r="AG309" s="8" t="b">
        <f>_xlfn.IFNA(INDEX(meta_Classifiers[Class - Generalization:src],MATCH(meta_Columns[[#This Row],[Property Owning Class]],meta_Classifiers[ID],0))=meta_Columns[[#This Row],[Owning Table Instances Class]],FALSE)</f>
        <v>0</v>
      </c>
      <c r="AH3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9" s="8" t="str">
        <f>INDEX(meta_Classifiers[Name],MATCH(INDEX(meta_TypedModelElements[Property - Owning Class:src],MATCH(meta_Columns[[#This Row],[Property]],meta_TypedModelElements[ID],0)),meta_Classifiers[ID],0))</f>
        <v>Object</v>
      </c>
      <c r="AJ309" s="8" t="str">
        <f>INDEX(meta_TypedModelElements[Property - Owning Class:src],MATCH(meta_Columns[[#This Row],[Property]],meta_TypedModelElements[ID],0))</f>
        <v>_Object</v>
      </c>
      <c r="AK309" s="8" t="str">
        <f>INDEX(meta_TypedModelElements[Kind:src],MATCH(meta_Columns[[#This Row],[Property]],meta_TypedModelElements[ID],0))</f>
        <v>_Attribute</v>
      </c>
      <c r="AL309" s="8" t="str">
        <f>INDEX(meta_TypedModelElements[Name or Type],MATCH(meta_Columns[[#This Row],[Property]],meta_TypedModelElements[ID],0))</f>
        <v>Sub Package</v>
      </c>
      <c r="AM309" s="8" t="str">
        <f>INDEX(meta_TypedModelElements[Property - Changeable],MATCH(meta_Columns[[#This Row],[Property]],meta_TypedModelElements[ID],0))</f>
        <v>x</v>
      </c>
      <c r="AN309" s="43">
        <v>5</v>
      </c>
      <c r="AO309" s="22">
        <v>4</v>
      </c>
      <c r="AP30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09" s="8" t="str">
        <f xml:space="preserve"> IF(meta_Columns[[#This Row],[Property Owning Class is Specialization of Instance Class]],meta_Columns[[#This Row],[Property Owning Class Name]]&amp;" - ","")</f>
        <v/>
      </c>
      <c r="AR30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09"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9" s="8" t="str">
        <f>IFERROR(LEFT(meta_Columns[[#This Row],[Excel Column - Label Actual without Semantic Case]],FIND("-",
meta_Columns[[#This Row],[Excel Column - Label Actual without Semantic Case]])-2),"")</f>
        <v/>
      </c>
      <c r="AU309"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9"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9" s="22"/>
      <c r="AY309" s="8" t="str">
        <f>meta_Columns[[#This Row],[Owning Table]]&amp;"."&amp;meta_Columns[[#This Row],[Excel Column - Label]]</f>
        <v>meta::Snippets.Sub Package</v>
      </c>
      <c r="AZ309" s="43" t="s">
        <v>461</v>
      </c>
      <c r="BA309" s="44" t="str">
        <f>IF(TRIM(meta_Columns[[#This Row],[Excel Column - Label Overwrite]])&lt;&gt;"",meta_Columns[[#This Row],[Excel Column - Label Overwrite]],meta_Columns[[#This Row],[Excel Column - Label from Property or Referenced Table]])</f>
        <v>Sub Package</v>
      </c>
      <c r="BB309" s="43"/>
      <c r="BC309" s="8" t="str">
        <f>IF(meta_Columns[[#This Row],[Excel Column - Explicit Excel Formula]]="","",meta_Columns[[#This Row],[Excel Column - Explicit Excel Formula]])</f>
        <v/>
      </c>
      <c r="BD309" s="5"/>
      <c r="BE309" s="5"/>
    </row>
    <row r="310" spans="1:57">
      <c r="A310" s="10" t="s">
        <v>1360</v>
      </c>
      <c r="B310" s="5" t="s">
        <v>546</v>
      </c>
      <c r="C310" s="22" t="str">
        <f xml:space="preserve"> IF( TRIM( meta_Columns[[#This Row],[Kind:src]] ) = "", "",
        INDEX( meta_Classifiers[Display Qualified], MATCH( meta_Columns[[#This Row],[Kind:src]], meta_Classifiers[ID], 0 ) ) )</f>
        <v>ExcelColumn</v>
      </c>
      <c r="D310" s="44" t="str">
        <f>IF(meta_Columns[[#This Row],[Owning Table:src]]="","",INDEX(meta_Classifiers[Package],MATCH(meta_Columns[[#This Row],[Owning Table Instances Class]],meta_Classifiers[ID],0)))</f>
        <v>meta</v>
      </c>
      <c r="E310" s="43"/>
      <c r="F310" s="44" t="str">
        <f>INDEX(meta_Tables[Excel Table - Excel Name],MATCH(meta_Columns[[#This Row],[Owning Table:src]],meta_Tables[ID],0))</f>
        <v>meta_Snippets</v>
      </c>
      <c r="G310" s="44" t="str">
        <f>INDEX(meta_Tables[Instances Class:src],MATCH(meta_Columns[[#This Row],[Owning Table:src]],meta_Tables[ID],0))</f>
        <v>_Snippet</v>
      </c>
      <c r="H310" s="5" t="s">
        <v>1009</v>
      </c>
      <c r="I310" s="43" t="str">
        <f xml:space="preserve"> IF( TRIM( meta_Columns[[#This Row],[Owning Table:src]] ) = "", "",
        INDEX( meta_Tables[Display Qualified], MATCH( meta_Columns[[#This Row],[Owning Table:src]], meta_Tables[ID], 0 ) ) )</f>
        <v>meta::Snippets</v>
      </c>
      <c r="K310" s="22" t="str">
        <f>IF(TRIM(meta_Columns[[#This Row],[Referenced Table:src]])="","",
    INDEX(meta_Tables[Display Qualified],MATCH(meta_Columns[[#This Row],[Referenced Table:src]],meta_Tables[ID],0)))</f>
        <v/>
      </c>
      <c r="L310" s="8"/>
      <c r="M310" s="22"/>
      <c r="N310" s="8" t="str">
        <f>IF(meta_Columns[[#This Row],[Excel Column - Excel Formula]]="","x","")</f>
        <v>x</v>
      </c>
      <c r="O310" s="22"/>
      <c r="P310" s="8" t="str">
        <f>IF(meta_Columns[[#This Row],[Referenced Table:src]]="","",INDEX(meta_Tables[Instances Class],MATCH(meta_Columns[[#This Row],[Referenced Table:src]],meta_Tables[ID],0)))</f>
        <v/>
      </c>
      <c r="Q3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0" s="8" t="s">
        <v>582</v>
      </c>
      <c r="S310" s="22" t="str">
        <f xml:space="preserve"> IF( TRIM( meta_Columns[[#This Row],[Property:src]] ) = "", "",
        INDEX( meta_TypedModelElements[Display Qualified], MATCH( meta_Columns[[#This Row],[Property:src]], meta_TypedModelElements[ID], 0 ) ) )</f>
        <v>meta::Snippet.line</v>
      </c>
      <c r="T310" s="22"/>
      <c r="U310" s="8" t="e">
        <f>INDEX(meta_Classifiers[Class - Generalization:src], MATCH(meta_Columns[[#This Row],[Generalization 5]],meta_Classifiers[ID],0))</f>
        <v>#N/A</v>
      </c>
      <c r="V310" s="8" t="e">
        <f>INDEX(meta_Classifiers[Class - Generalization:src], MATCH(meta_Columns[[#This Row],[Generalization 4]],meta_Classifiers[ID],0))</f>
        <v>#N/A</v>
      </c>
      <c r="W310" s="8" t="e">
        <f>INDEX(meta_Classifiers[Class - Generalization:src], MATCH(meta_Columns[[#This Row],[Generalization 3]],meta_Classifiers[ID],0))</f>
        <v>#N/A</v>
      </c>
      <c r="X310" s="8" t="e">
        <f>INDEX(meta_Classifiers[Class - Generalization:src], MATCH(meta_Columns[[#This Row],[Generalization 2]],meta_Classifiers[ID],0))</f>
        <v>#N/A</v>
      </c>
      <c r="Y310" s="8" t="str">
        <f>INDEX(meta_Classifiers[Class - Generalization:src], MATCH(meta_Columns[[#This Row],[Generalization 1]],meta_Classifiers[ID],0))</f>
        <v/>
      </c>
      <c r="Z310" s="8" t="str">
        <f>INDEX(meta_Classifiers[Class - Generalization:src], MATCH(meta_Columns[[#This Row],[Owning Table Instances Class]],meta_Classifiers[ID],0))</f>
        <v>_Object</v>
      </c>
      <c r="AA31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0" s="8" t="b">
        <f>_xlfn.IFNA(
INDEX(meta_Classifiers[Class - Generalization:src],MATCH(
INDEX(meta_Classifiers[Class - Generalization:src],MATCH(meta_Columns[[#This Row],[Property Owning Class]],meta_Classifiers[ID],0)),meta_Classifiers[ID],0))
=meta_Columns[[#This Row],[Owning Table Instances Class]],FALSE)</f>
        <v>0</v>
      </c>
      <c r="AG310" s="8" t="b">
        <f>_xlfn.IFNA(INDEX(meta_Classifiers[Class - Generalization:src],MATCH(meta_Columns[[#This Row],[Property Owning Class]],meta_Classifiers[ID],0))=meta_Columns[[#This Row],[Owning Table Instances Class]],FALSE)</f>
        <v>0</v>
      </c>
      <c r="AH3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0" s="8" t="str">
        <f>INDEX(meta_Classifiers[Name],MATCH(INDEX(meta_TypedModelElements[Property - Owning Class:src],MATCH(meta_Columns[[#This Row],[Property]],meta_TypedModelElements[ID],0)),meta_Classifiers[ID],0))</f>
        <v>Snippet</v>
      </c>
      <c r="AJ310" s="8" t="str">
        <f>INDEX(meta_TypedModelElements[Property - Owning Class:src],MATCH(meta_Columns[[#This Row],[Property]],meta_TypedModelElements[ID],0))</f>
        <v>_Snippet</v>
      </c>
      <c r="AK310" s="8" t="str">
        <f>INDEX(meta_TypedModelElements[Kind:src],MATCH(meta_Columns[[#This Row],[Property]],meta_TypedModelElements[ID],0))</f>
        <v>_Attribute</v>
      </c>
      <c r="AL310" s="8" t="str">
        <f>INDEX(meta_TypedModelElements[Name or Type],MATCH(meta_Columns[[#This Row],[Property]],meta_TypedModelElements[ID],0))</f>
        <v>Line</v>
      </c>
      <c r="AM310" s="8" t="str">
        <f>INDEX(meta_TypedModelElements[Property - Changeable],MATCH(meta_Columns[[#This Row],[Property]],meta_TypedModelElements[ID],0))</f>
        <v>x</v>
      </c>
      <c r="AN310" s="43">
        <v>6</v>
      </c>
      <c r="AO310" s="22">
        <v>5</v>
      </c>
      <c r="AP31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Line</v>
      </c>
      <c r="AQ310" s="8" t="str">
        <f xml:space="preserve"> IF(meta_Columns[[#This Row],[Property Owning Class is Specialization of Instance Class]],meta_Columns[[#This Row],[Property Owning Class Name]]&amp;" - ","")</f>
        <v/>
      </c>
      <c r="AR31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Line:</v>
      </c>
      <c r="AS310"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0" s="8" t="str">
        <f>IFERROR(LEFT(meta_Columns[[#This Row],[Excel Column - Label Actual without Semantic Case]],FIND("-",
meta_Columns[[#This Row],[Excel Column - Label Actual without Semantic Case]])-2),"")</f>
        <v/>
      </c>
      <c r="AU310"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0"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0" s="22"/>
      <c r="AY310" s="8" t="str">
        <f>meta_Columns[[#This Row],[Owning Table]]&amp;"."&amp;meta_Columns[[#This Row],[Excel Column - Label]]</f>
        <v>meta::Snippets.Line</v>
      </c>
      <c r="AZ310" s="43" t="s">
        <v>31</v>
      </c>
      <c r="BA310" s="44" t="str">
        <f>IF(TRIM(meta_Columns[[#This Row],[Excel Column - Label Overwrite]])&lt;&gt;"",meta_Columns[[#This Row],[Excel Column - Label Overwrite]],meta_Columns[[#This Row],[Excel Column - Label from Property or Referenced Table]])</f>
        <v>Line</v>
      </c>
      <c r="BB310" s="43"/>
      <c r="BC310" s="8" t="str">
        <f>IF(meta_Columns[[#This Row],[Excel Column - Explicit Excel Formula]]="","",meta_Columns[[#This Row],[Excel Column - Explicit Excel Formula]])</f>
        <v/>
      </c>
      <c r="BD310" s="5"/>
      <c r="BE310" s="5"/>
    </row>
    <row r="311" spans="1:57">
      <c r="A311" s="10" t="s">
        <v>1271</v>
      </c>
      <c r="B311" s="5" t="s">
        <v>546</v>
      </c>
      <c r="C311" s="22" t="str">
        <f xml:space="preserve"> IF( TRIM( meta_Columns[[#This Row],[Kind:src]] ) = "", "",
        INDEX( meta_Classifiers[Display Qualified], MATCH( meta_Columns[[#This Row],[Kind:src]], meta_Classifiers[ID], 0 ) ) )</f>
        <v>ExcelColumn</v>
      </c>
      <c r="D311" s="44" t="str">
        <f>IF(meta_Columns[[#This Row],[Owning Table:src]]="","",INDEX(meta_Classifiers[Package],MATCH(meta_Columns[[#This Row],[Owning Table Instances Class]],meta_Classifiers[ID],0)))</f>
        <v>meta</v>
      </c>
      <c r="E311" s="43"/>
      <c r="F311" s="44" t="str">
        <f>INDEX(meta_Tables[Excel Table - Excel Name],MATCH(meta_Columns[[#This Row],[Owning Table:src]],meta_Tables[ID],0))</f>
        <v>meta_Snippets</v>
      </c>
      <c r="G311" s="44" t="str">
        <f>INDEX(meta_Tables[Instances Class:src],MATCH(meta_Columns[[#This Row],[Owning Table:src]],meta_Tables[ID],0))</f>
        <v>_Snippet</v>
      </c>
      <c r="H311" s="5" t="s">
        <v>1009</v>
      </c>
      <c r="I311" s="43" t="str">
        <f xml:space="preserve"> IF( TRIM( meta_Columns[[#This Row],[Owning Table:src]] ) = "", "",
        INDEX( meta_Tables[Display Qualified], MATCH( meta_Columns[[#This Row],[Owning Table:src]], meta_Tables[ID], 0 ) ) )</f>
        <v>meta::Snippets</v>
      </c>
      <c r="K311" s="22" t="str">
        <f>IF(TRIM(meta_Columns[[#This Row],[Referenced Table:src]])="","",
    INDEX(meta_Tables[Display Qualified],MATCH(meta_Columns[[#This Row],[Referenced Table:src]],meta_Tables[ID],0)))</f>
        <v/>
      </c>
      <c r="L311" s="8"/>
      <c r="M311" s="22"/>
      <c r="N311" s="8" t="str">
        <f>IF(meta_Columns[[#This Row],[Excel Column - Excel Formula]]="","x","")</f>
        <v>x</v>
      </c>
      <c r="O311" s="22"/>
      <c r="P311" s="8" t="str">
        <f>IF(meta_Columns[[#This Row],[Referenced Table:src]]="","",INDEX(meta_Tables[Instances Class],MATCH(meta_Columns[[#This Row],[Referenced Table:src]],meta_Tables[ID],0)))</f>
        <v/>
      </c>
      <c r="Q3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1" s="8" t="s">
        <v>583</v>
      </c>
      <c r="S311" s="22" t="str">
        <f xml:space="preserve"> IF( TRIM( meta_Columns[[#This Row],[Property:src]] ) = "", "",
        INDEX( meta_TypedModelElements[Display Qualified], MATCH( meta_Columns[[#This Row],[Property:src]], meta_TypedModelElements[ID], 0 ) ) )</f>
        <v>meta::Snippet.snippet</v>
      </c>
      <c r="T311" s="22" t="s">
        <v>42</v>
      </c>
      <c r="U311" s="8" t="e">
        <f>INDEX(meta_Classifiers[Class - Generalization:src], MATCH(meta_Columns[[#This Row],[Generalization 5]],meta_Classifiers[ID],0))</f>
        <v>#N/A</v>
      </c>
      <c r="V311" s="8" t="e">
        <f>INDEX(meta_Classifiers[Class - Generalization:src], MATCH(meta_Columns[[#This Row],[Generalization 4]],meta_Classifiers[ID],0))</f>
        <v>#N/A</v>
      </c>
      <c r="W311" s="8" t="e">
        <f>INDEX(meta_Classifiers[Class - Generalization:src], MATCH(meta_Columns[[#This Row],[Generalization 3]],meta_Classifiers[ID],0))</f>
        <v>#N/A</v>
      </c>
      <c r="X311" s="8" t="e">
        <f>INDEX(meta_Classifiers[Class - Generalization:src], MATCH(meta_Columns[[#This Row],[Generalization 2]],meta_Classifiers[ID],0))</f>
        <v>#N/A</v>
      </c>
      <c r="Y311" s="8" t="str">
        <f>INDEX(meta_Classifiers[Class - Generalization:src], MATCH(meta_Columns[[#This Row],[Generalization 1]],meta_Classifiers[ID],0))</f>
        <v/>
      </c>
      <c r="Z311" s="8" t="str">
        <f>INDEX(meta_Classifiers[Class - Generalization:src], MATCH(meta_Columns[[#This Row],[Owning Table Instances Class]],meta_Classifiers[ID],0))</f>
        <v>_Object</v>
      </c>
      <c r="AA31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1" s="8" t="b">
        <f>_xlfn.IFNA(
INDEX(meta_Classifiers[Class - Generalization:src],MATCH(
INDEX(meta_Classifiers[Class - Generalization:src],MATCH(meta_Columns[[#This Row],[Property Owning Class]],meta_Classifiers[ID],0)),meta_Classifiers[ID],0))
=meta_Columns[[#This Row],[Owning Table Instances Class]],FALSE)</f>
        <v>0</v>
      </c>
      <c r="AG311" s="8" t="b">
        <f>_xlfn.IFNA(INDEX(meta_Classifiers[Class - Generalization:src],MATCH(meta_Columns[[#This Row],[Property Owning Class]],meta_Classifiers[ID],0))=meta_Columns[[#This Row],[Owning Table Instances Class]],FALSE)</f>
        <v>0</v>
      </c>
      <c r="AH3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1" s="8" t="str">
        <f>INDEX(meta_Classifiers[Name],MATCH(INDEX(meta_TypedModelElements[Property - Owning Class:src],MATCH(meta_Columns[[#This Row],[Property]],meta_TypedModelElements[ID],0)),meta_Classifiers[ID],0))</f>
        <v>Snippet</v>
      </c>
      <c r="AJ311" s="8" t="str">
        <f>INDEX(meta_TypedModelElements[Property - Owning Class:src],MATCH(meta_Columns[[#This Row],[Property]],meta_TypedModelElements[ID],0))</f>
        <v>_Snippet</v>
      </c>
      <c r="AK311" s="8" t="str">
        <f>INDEX(meta_TypedModelElements[Kind:src],MATCH(meta_Columns[[#This Row],[Property]],meta_TypedModelElements[ID],0))</f>
        <v>_Attribute</v>
      </c>
      <c r="AL311" s="8" t="str">
        <f>INDEX(meta_TypedModelElements[Name or Type],MATCH(meta_Columns[[#This Row],[Property]],meta_TypedModelElements[ID],0))</f>
        <v>Snippet</v>
      </c>
      <c r="AM311" s="8" t="str">
        <f>INDEX(meta_TypedModelElements[Property - Changeable],MATCH(meta_Columns[[#This Row],[Property]],meta_TypedModelElements[ID],0))</f>
        <v>x</v>
      </c>
      <c r="AN311" s="43">
        <v>7</v>
      </c>
      <c r="AO311" s="22">
        <v>6</v>
      </c>
      <c r="AP3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Snippet</v>
      </c>
      <c r="AQ311" s="8" t="str">
        <f xml:space="preserve"> IF(meta_Columns[[#This Row],[Property Owning Class is Specialization of Instance Class]],meta_Columns[[#This Row],[Property Owning Class Name]]&amp;" - ","")</f>
        <v/>
      </c>
      <c r="AR3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Snippet</v>
      </c>
      <c r="AS311"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1" s="8" t="str">
        <f>IFERROR(LEFT(meta_Columns[[#This Row],[Excel Column - Label Actual without Semantic Case]],FIND("-",
meta_Columns[[#This Row],[Excel Column - Label Actual without Semantic Case]])-2),"")</f>
        <v/>
      </c>
      <c r="AU311"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1"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1" s="22"/>
      <c r="AY311" s="8" t="str">
        <f>meta_Columns[[#This Row],[Owning Table]]&amp;"."&amp;meta_Columns[[#This Row],[Excel Column - Label]]</f>
        <v>meta::Snippets.Snippet</v>
      </c>
      <c r="AZ311" s="43" t="s">
        <v>574</v>
      </c>
      <c r="BA311" s="44" t="str">
        <f>IF(TRIM(meta_Columns[[#This Row],[Excel Column - Label Overwrite]])&lt;&gt;"",meta_Columns[[#This Row],[Excel Column - Label Overwrite]],meta_Columns[[#This Row],[Excel Column - Label from Property or Referenced Table]])</f>
        <v>Snippet</v>
      </c>
      <c r="BB311" s="43"/>
      <c r="BC311" s="8" t="str">
        <f>IF(meta_Columns[[#This Row],[Excel Column - Explicit Excel Formula]]="","",meta_Columns[[#This Row],[Excel Column - Explicit Excel Formula]])</f>
        <v/>
      </c>
      <c r="BD311" s="5"/>
      <c r="BE311" s="5"/>
    </row>
    <row r="312" spans="1:57">
      <c r="A312" s="10" t="s">
        <v>1272</v>
      </c>
      <c r="B312" s="5" t="s">
        <v>546</v>
      </c>
      <c r="C312" s="22" t="str">
        <f xml:space="preserve"> IF( TRIM( meta_Columns[[#This Row],[Kind:src]] ) = "", "",
        INDEX( meta_Classifiers[Display Qualified], MATCH( meta_Columns[[#This Row],[Kind:src]], meta_Classifiers[ID], 0 ) ) )</f>
        <v>ExcelColumn</v>
      </c>
      <c r="D312" s="44" t="e">
        <f>IF(meta_Columns[[#This Row],[Owning Table:src]]="","",INDEX(meta_Classifiers[Package],MATCH(meta_Columns[[#This Row],[Owning Table Instances Class]],meta_Classifiers[ID],0)))</f>
        <v>#N/A</v>
      </c>
      <c r="E312" s="43"/>
      <c r="F312" s="44" t="str">
        <f>INDEX(meta_Tables[Excel Table - Excel Name],MATCH(meta_Columns[[#This Row],[Owning Table:src]],meta_Tables[ID],0))</f>
        <v>meta_TablePatterns</v>
      </c>
      <c r="G312" s="44">
        <f>INDEX(meta_Tables[Instances Class:src],MATCH(meta_Columns[[#This Row],[Owning Table:src]],meta_Tables[ID],0))</f>
        <v>0</v>
      </c>
      <c r="H312" s="5" t="s">
        <v>1017</v>
      </c>
      <c r="I312" s="43" t="str">
        <f xml:space="preserve"> IF( TRIM( meta_Columns[[#This Row],[Owning Table:src]] ) = "", "",
        INDEX( meta_Tables[Display Qualified], MATCH( meta_Columns[[#This Row],[Owning Table:src]], meta_Tables[ID], 0 ) ) )</f>
        <v>meta::TablePatterns</v>
      </c>
      <c r="K312" s="22" t="str">
        <f>IF(TRIM(meta_Columns[[#This Row],[Referenced Table:src]])="","",
    INDEX(meta_Tables[Display Qualified],MATCH(meta_Columns[[#This Row],[Referenced Table:src]],meta_Tables[ID],0)))</f>
        <v/>
      </c>
      <c r="L312" s="8"/>
      <c r="M312" s="22"/>
      <c r="N312" s="8" t="str">
        <f>IF(meta_Columns[[#This Row],[Excel Column - Excel Formula]]="","x","")</f>
        <v>x</v>
      </c>
      <c r="O312" s="22"/>
      <c r="P312" s="8" t="str">
        <f>IF(meta_Columns[[#This Row],[Referenced Table:src]]="","",INDEX(meta_Tables[Instances Class],MATCH(meta_Columns[[#This Row],[Referenced Table:src]],meta_Tables[ID],0)))</f>
        <v/>
      </c>
      <c r="Q3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2" s="8" t="s">
        <v>246</v>
      </c>
      <c r="S312" s="22" t="str">
        <f xml:space="preserve"> IF( TRIM( meta_Columns[[#This Row],[Property:src]] ) = "", "",
        INDEX( meta_TypedModelElements[Display Qualified], MATCH( meta_Columns[[#This Row],[Property:src]], meta_TypedModelElements[ID], 0 ) ) )</f>
        <v>meta::Object.iD</v>
      </c>
      <c r="T312" s="22"/>
      <c r="U312" s="8" t="e">
        <f>INDEX(meta_Classifiers[Class - Generalization:src], MATCH(meta_Columns[[#This Row],[Generalization 5]],meta_Classifiers[ID],0))</f>
        <v>#N/A</v>
      </c>
      <c r="V312" s="8" t="e">
        <f>INDEX(meta_Classifiers[Class - Generalization:src], MATCH(meta_Columns[[#This Row],[Generalization 4]],meta_Classifiers[ID],0))</f>
        <v>#N/A</v>
      </c>
      <c r="W312" s="8" t="e">
        <f>INDEX(meta_Classifiers[Class - Generalization:src], MATCH(meta_Columns[[#This Row],[Generalization 3]],meta_Classifiers[ID],0))</f>
        <v>#N/A</v>
      </c>
      <c r="X312" s="8" t="e">
        <f>INDEX(meta_Classifiers[Class - Generalization:src], MATCH(meta_Columns[[#This Row],[Generalization 2]],meta_Classifiers[ID],0))</f>
        <v>#N/A</v>
      </c>
      <c r="Y312" s="8" t="e">
        <f>INDEX(meta_Classifiers[Class - Generalization:src], MATCH(meta_Columns[[#This Row],[Generalization 1]],meta_Classifiers[ID],0))</f>
        <v>#N/A</v>
      </c>
      <c r="Z312" s="8" t="e">
        <f>INDEX(meta_Classifiers[Class - Generalization:src], MATCH(meta_Columns[[#This Row],[Owning Table Instances Class]],meta_Classifiers[ID],0))</f>
        <v>#N/A</v>
      </c>
      <c r="AA3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2" s="8" t="b">
        <f>_xlfn.IFNA(
INDEX(meta_Classifiers[Class - Generalization:src],MATCH(
INDEX(meta_Classifiers[Class - Generalization:src],MATCH(meta_Columns[[#This Row],[Property Owning Class]],meta_Classifiers[ID],0)),meta_Classifiers[ID],0))
=meta_Columns[[#This Row],[Owning Table Instances Class]],FALSE)</f>
        <v>0</v>
      </c>
      <c r="AG312" s="8" t="b">
        <f>_xlfn.IFNA(INDEX(meta_Classifiers[Class - Generalization:src],MATCH(meta_Columns[[#This Row],[Property Owning Class]],meta_Classifiers[ID],0))=meta_Columns[[#This Row],[Owning Table Instances Class]],FALSE)</f>
        <v>0</v>
      </c>
      <c r="AH3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2" s="8" t="str">
        <f>INDEX(meta_Classifiers[Name],MATCH(INDEX(meta_TypedModelElements[Property - Owning Class:src],MATCH(meta_Columns[[#This Row],[Property]],meta_TypedModelElements[ID],0)),meta_Classifiers[ID],0))</f>
        <v>Object</v>
      </c>
      <c r="AJ312" s="8" t="str">
        <f>INDEX(meta_TypedModelElements[Property - Owning Class:src],MATCH(meta_Columns[[#This Row],[Property]],meta_TypedModelElements[ID],0))</f>
        <v>_Object</v>
      </c>
      <c r="AK312" s="8" t="str">
        <f>INDEX(meta_TypedModelElements[Kind:src],MATCH(meta_Columns[[#This Row],[Property]],meta_TypedModelElements[ID],0))</f>
        <v>_Attribute</v>
      </c>
      <c r="AL312" s="8" t="str">
        <f>INDEX(meta_TypedModelElements[Name or Type],MATCH(meta_Columns[[#This Row],[Property]],meta_TypedModelElements[ID],0))</f>
        <v>ID</v>
      </c>
      <c r="AM312" s="8" t="str">
        <f>INDEX(meta_TypedModelElements[Property - Changeable],MATCH(meta_Columns[[#This Row],[Property]],meta_TypedModelElements[ID],0))</f>
        <v>x</v>
      </c>
      <c r="AN312" s="43">
        <v>1</v>
      </c>
      <c r="AO312" s="22">
        <v>1</v>
      </c>
      <c r="AP3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12" s="8" t="str">
        <f xml:space="preserve"> IF(meta_Columns[[#This Row],[Property Owning Class is Specialization of Instance Class]],meta_Columns[[#This Row],[Property Owning Class Name]]&amp;" - ","")</f>
        <v/>
      </c>
      <c r="AR3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12" s="8" t="str">
        <f>IFERROR(LEFT(meta_Columns[[#This Row],[Excel Column - Label Actual without Semantic Case]],FIND("-",
meta_Columns[[#This Row],[Excel Column - Label Actual without Semantic Case]])-2),"")</f>
        <v/>
      </c>
      <c r="AU3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12" s="22"/>
      <c r="AY312" s="8" t="str">
        <f>meta_Columns[[#This Row],[Owning Table]]&amp;"."&amp;meta_Columns[[#This Row],[Excel Column - Label]]</f>
        <v>meta::TablePatterns.ID</v>
      </c>
      <c r="AZ312" s="43" t="s">
        <v>0</v>
      </c>
      <c r="BA312" s="44" t="str">
        <f>IF(TRIM(meta_Columns[[#This Row],[Excel Column - Label Overwrite]])&lt;&gt;"",meta_Columns[[#This Row],[Excel Column - Label Overwrite]],meta_Columns[[#This Row],[Excel Column - Label from Property or Referenced Table]])</f>
        <v>ID</v>
      </c>
      <c r="BB312" s="43"/>
      <c r="BC312" s="8" t="str">
        <f>IF(meta_Columns[[#This Row],[Excel Column - Explicit Excel Formula]]="","",meta_Columns[[#This Row],[Excel Column - Explicit Excel Formula]])</f>
        <v/>
      </c>
      <c r="BD312" s="5"/>
      <c r="BE312" s="5"/>
    </row>
    <row r="313" spans="1:57">
      <c r="A313" s="10" t="s">
        <v>1273</v>
      </c>
      <c r="B313" s="5" t="s">
        <v>546</v>
      </c>
      <c r="C313" s="22" t="str">
        <f xml:space="preserve"> IF( TRIM( meta_Columns[[#This Row],[Kind:src]] ) = "", "",
        INDEX( meta_Classifiers[Display Qualified], MATCH( meta_Columns[[#This Row],[Kind:src]], meta_Classifiers[ID], 0 ) ) )</f>
        <v>ExcelColumn</v>
      </c>
      <c r="D313" s="44" t="e">
        <f>IF(meta_Columns[[#This Row],[Owning Table:src]]="","",INDEX(meta_Classifiers[Package],MATCH(meta_Columns[[#This Row],[Owning Table Instances Class]],meta_Classifiers[ID],0)))</f>
        <v>#N/A</v>
      </c>
      <c r="E313" s="43"/>
      <c r="F313" s="44" t="str">
        <f>INDEX(meta_Tables[Excel Table - Excel Name],MATCH(meta_Columns[[#This Row],[Owning Table:src]],meta_Tables[ID],0))</f>
        <v>meta_TablePatterns</v>
      </c>
      <c r="G313" s="44">
        <f>INDEX(meta_Tables[Instances Class:src],MATCH(meta_Columns[[#This Row],[Owning Table:src]],meta_Tables[ID],0))</f>
        <v>0</v>
      </c>
      <c r="H313" s="5" t="s">
        <v>1017</v>
      </c>
      <c r="I313" s="43" t="str">
        <f xml:space="preserve"> IF( TRIM( meta_Columns[[#This Row],[Owning Table:src]] ) = "", "",
        INDEX( meta_Tables[Display Qualified], MATCH( meta_Columns[[#This Row],[Owning Table:src]], meta_Tables[ID], 0 ) ) )</f>
        <v>meta::TablePatterns</v>
      </c>
      <c r="K313" s="22" t="str">
        <f>IF(TRIM(meta_Columns[[#This Row],[Referenced Table:src]])="","",
    INDEX(meta_Tables[Display Qualified],MATCH(meta_Columns[[#This Row],[Referenced Table:src]],meta_Tables[ID],0)))</f>
        <v/>
      </c>
      <c r="L313" s="8"/>
      <c r="M313" s="22"/>
      <c r="N313" s="8" t="str">
        <f>IF(meta_Columns[[#This Row],[Excel Column - Excel Formula]]="","x","")</f>
        <v>x</v>
      </c>
      <c r="O313" s="22"/>
      <c r="P313" s="8" t="str">
        <f>IF(meta_Columns[[#This Row],[Referenced Table:src]]="","",INDEX(meta_Tables[Instances Class],MATCH(meta_Columns[[#This Row],[Referenced Table:src]],meta_Tables[ID],0)))</f>
        <v/>
      </c>
      <c r="Q3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3" s="8" t="s">
        <v>247</v>
      </c>
      <c r="S313" s="22" t="str">
        <f xml:space="preserve"> IF( TRIM( meta_Columns[[#This Row],[Property:src]] ) = "", "",
        INDEX( meta_TypedModelElements[Display Qualified], MATCH( meta_Columns[[#This Row],[Property:src]], meta_TypedModelElements[ID], 0 ) ) )</f>
        <v>meta::Object.kind</v>
      </c>
      <c r="T313" s="22"/>
      <c r="U313" s="8" t="e">
        <f>INDEX(meta_Classifiers[Class - Generalization:src], MATCH(meta_Columns[[#This Row],[Generalization 5]],meta_Classifiers[ID],0))</f>
        <v>#N/A</v>
      </c>
      <c r="V313" s="8" t="e">
        <f>INDEX(meta_Classifiers[Class - Generalization:src], MATCH(meta_Columns[[#This Row],[Generalization 4]],meta_Classifiers[ID],0))</f>
        <v>#N/A</v>
      </c>
      <c r="W313" s="8" t="e">
        <f>INDEX(meta_Classifiers[Class - Generalization:src], MATCH(meta_Columns[[#This Row],[Generalization 3]],meta_Classifiers[ID],0))</f>
        <v>#N/A</v>
      </c>
      <c r="X313" s="8" t="e">
        <f>INDEX(meta_Classifiers[Class - Generalization:src], MATCH(meta_Columns[[#This Row],[Generalization 2]],meta_Classifiers[ID],0))</f>
        <v>#N/A</v>
      </c>
      <c r="Y313" s="8" t="e">
        <f>INDEX(meta_Classifiers[Class - Generalization:src], MATCH(meta_Columns[[#This Row],[Generalization 1]],meta_Classifiers[ID],0))</f>
        <v>#N/A</v>
      </c>
      <c r="Z313" s="8" t="e">
        <f>INDEX(meta_Classifiers[Class - Generalization:src], MATCH(meta_Columns[[#This Row],[Owning Table Instances Class]],meta_Classifiers[ID],0))</f>
        <v>#N/A</v>
      </c>
      <c r="AA3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3" s="8" t="b">
        <f>_xlfn.IFNA(
INDEX(meta_Classifiers[Class - Generalization:src],MATCH(
INDEX(meta_Classifiers[Class - Generalization:src],MATCH(meta_Columns[[#This Row],[Property Owning Class]],meta_Classifiers[ID],0)),meta_Classifiers[ID],0))
=meta_Columns[[#This Row],[Owning Table Instances Class]],FALSE)</f>
        <v>0</v>
      </c>
      <c r="AG313" s="8" t="b">
        <f>_xlfn.IFNA(INDEX(meta_Classifiers[Class - Generalization:src],MATCH(meta_Columns[[#This Row],[Property Owning Class]],meta_Classifiers[ID],0))=meta_Columns[[#This Row],[Owning Table Instances Class]],FALSE)</f>
        <v>0</v>
      </c>
      <c r="AH3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3" s="8" t="str">
        <f>INDEX(meta_Classifiers[Name],MATCH(INDEX(meta_TypedModelElements[Property - Owning Class:src],MATCH(meta_Columns[[#This Row],[Property]],meta_TypedModelElements[ID],0)),meta_Classifiers[ID],0))</f>
        <v>Object</v>
      </c>
      <c r="AJ313" s="8" t="str">
        <f>INDEX(meta_TypedModelElements[Property - Owning Class:src],MATCH(meta_Columns[[#This Row],[Property]],meta_TypedModelElements[ID],0))</f>
        <v>_Object</v>
      </c>
      <c r="AK313" s="8" t="str">
        <f>INDEX(meta_TypedModelElements[Kind:src],MATCH(meta_Columns[[#This Row],[Property]],meta_TypedModelElements[ID],0))</f>
        <v>_Reference</v>
      </c>
      <c r="AL313" s="8" t="str">
        <f>INDEX(meta_TypedModelElements[Name or Type],MATCH(meta_Columns[[#This Row],[Property]],meta_TypedModelElements[ID],0))</f>
        <v>Kind</v>
      </c>
      <c r="AM313" s="8" t="str">
        <f>INDEX(meta_TypedModelElements[Property - Changeable],MATCH(meta_Columns[[#This Row],[Property]],meta_TypedModelElements[ID],0))</f>
        <v>x</v>
      </c>
      <c r="AN313" s="43">
        <v>2</v>
      </c>
      <c r="AO313" s="22">
        <v>2</v>
      </c>
      <c r="AP3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3" s="8" t="str">
        <f xml:space="preserve"> IF(meta_Columns[[#This Row],[Property Owning Class is Specialization of Instance Class]],meta_Columns[[#This Row],[Property Owning Class Name]]&amp;" - ","")</f>
        <v/>
      </c>
      <c r="AR3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3" s="8" t="str">
        <f>IFERROR(LEFT(meta_Columns[[#This Row],[Excel Column - Label Actual without Semantic Case]],FIND("-",
meta_Columns[[#This Row],[Excel Column - Label Actual without Semantic Case]])-2),"")</f>
        <v/>
      </c>
      <c r="AU3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13" s="22"/>
      <c r="AY313" s="8" t="str">
        <f>meta_Columns[[#This Row],[Owning Table]]&amp;"."&amp;meta_Columns[[#This Row],[Excel Column - Label]]</f>
        <v>meta::TablePatterns.Kind:srcLastSaved</v>
      </c>
      <c r="AZ313" s="43" t="s">
        <v>921</v>
      </c>
      <c r="BA313" s="44" t="str">
        <f>IF(TRIM(meta_Columns[[#This Row],[Excel Column - Label Overwrite]])&lt;&gt;"",meta_Columns[[#This Row],[Excel Column - Label Overwrite]],meta_Columns[[#This Row],[Excel Column - Label from Property or Referenced Table]])</f>
        <v>Kind:srcLastSaved</v>
      </c>
      <c r="BB313" s="43"/>
      <c r="BC313" s="8" t="str">
        <f>IF(meta_Columns[[#This Row],[Excel Column - Explicit Excel Formula]]="","",meta_Columns[[#This Row],[Excel Column - Explicit Excel Formula]])</f>
        <v/>
      </c>
      <c r="BD313" s="5"/>
      <c r="BE313" s="5"/>
    </row>
    <row r="314" spans="1:57">
      <c r="A314" s="10" t="s">
        <v>1274</v>
      </c>
      <c r="B314" s="5" t="s">
        <v>546</v>
      </c>
      <c r="C314" s="22" t="str">
        <f xml:space="preserve"> IF( TRIM( meta_Columns[[#This Row],[Kind:src]] ) = "", "",
        INDEX( meta_Classifiers[Display Qualified], MATCH( meta_Columns[[#This Row],[Kind:src]], meta_Classifiers[ID], 0 ) ) )</f>
        <v>ExcelColumn</v>
      </c>
      <c r="D314" s="44" t="e">
        <f>IF(meta_Columns[[#This Row],[Owning Table:src]]="","",INDEX(meta_Classifiers[Package],MATCH(meta_Columns[[#This Row],[Owning Table Instances Class]],meta_Classifiers[ID],0)))</f>
        <v>#N/A</v>
      </c>
      <c r="E314" s="43"/>
      <c r="F314" s="44" t="str">
        <f>INDEX(meta_Tables[Excel Table - Excel Name],MATCH(meta_Columns[[#This Row],[Owning Table:src]],meta_Tables[ID],0))</f>
        <v>meta_TablePatterns</v>
      </c>
      <c r="G314" s="44">
        <f>INDEX(meta_Tables[Instances Class:src],MATCH(meta_Columns[[#This Row],[Owning Table:src]],meta_Tables[ID],0))</f>
        <v>0</v>
      </c>
      <c r="H314" s="5" t="s">
        <v>1017</v>
      </c>
      <c r="I314" s="43" t="str">
        <f xml:space="preserve"> IF( TRIM( meta_Columns[[#This Row],[Owning Table:src]] ) = "", "",
        INDEX( meta_Tables[Display Qualified], MATCH( meta_Columns[[#This Row],[Owning Table:src]], meta_Tables[ID], 0 ) ) )</f>
        <v>meta::TablePatterns</v>
      </c>
      <c r="K314" s="22" t="str">
        <f>IF(TRIM(meta_Columns[[#This Row],[Referenced Table:src]])="","",
    INDEX(meta_Tables[Display Qualified],MATCH(meta_Columns[[#This Row],[Referenced Table:src]],meta_Tables[ID],0)))</f>
        <v/>
      </c>
      <c r="L314" s="8"/>
      <c r="M314" s="22"/>
      <c r="N314" s="8" t="str">
        <f>IF(meta_Columns[[#This Row],[Excel Column - Excel Formula]]="","x","")</f>
        <v>x</v>
      </c>
      <c r="O314" s="22"/>
      <c r="P314" s="8" t="str">
        <f>IF(meta_Columns[[#This Row],[Referenced Table:src]]="","",INDEX(meta_Tables[Instances Class],MATCH(meta_Columns[[#This Row],[Referenced Table:src]],meta_Tables[ID],0)))</f>
        <v/>
      </c>
      <c r="Q3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4" s="8" t="s">
        <v>247</v>
      </c>
      <c r="S314" s="22" t="str">
        <f xml:space="preserve"> IF( TRIM( meta_Columns[[#This Row],[Property:src]] ) = "", "",
        INDEX( meta_TypedModelElements[Display Qualified], MATCH( meta_Columns[[#This Row],[Property:src]], meta_TypedModelElements[ID], 0 ) ) )</f>
        <v>meta::Object.kind</v>
      </c>
      <c r="T314" s="22"/>
      <c r="U314" s="8" t="e">
        <f>INDEX(meta_Classifiers[Class - Generalization:src], MATCH(meta_Columns[[#This Row],[Generalization 5]],meta_Classifiers[ID],0))</f>
        <v>#N/A</v>
      </c>
      <c r="V314" s="8" t="e">
        <f>INDEX(meta_Classifiers[Class - Generalization:src], MATCH(meta_Columns[[#This Row],[Generalization 4]],meta_Classifiers[ID],0))</f>
        <v>#N/A</v>
      </c>
      <c r="W314" s="8" t="e">
        <f>INDEX(meta_Classifiers[Class - Generalization:src], MATCH(meta_Columns[[#This Row],[Generalization 3]],meta_Classifiers[ID],0))</f>
        <v>#N/A</v>
      </c>
      <c r="X314" s="8" t="e">
        <f>INDEX(meta_Classifiers[Class - Generalization:src], MATCH(meta_Columns[[#This Row],[Generalization 2]],meta_Classifiers[ID],0))</f>
        <v>#N/A</v>
      </c>
      <c r="Y314" s="8" t="e">
        <f>INDEX(meta_Classifiers[Class - Generalization:src], MATCH(meta_Columns[[#This Row],[Generalization 1]],meta_Classifiers[ID],0))</f>
        <v>#N/A</v>
      </c>
      <c r="Z314" s="8" t="e">
        <f>INDEX(meta_Classifiers[Class - Generalization:src], MATCH(meta_Columns[[#This Row],[Owning Table Instances Class]],meta_Classifiers[ID],0))</f>
        <v>#N/A</v>
      </c>
      <c r="AA3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4" s="8" t="b">
        <f>_xlfn.IFNA(
INDEX(meta_Classifiers[Class - Generalization:src],MATCH(
INDEX(meta_Classifiers[Class - Generalization:src],MATCH(meta_Columns[[#This Row],[Property Owning Class]],meta_Classifiers[ID],0)),meta_Classifiers[ID],0))
=meta_Columns[[#This Row],[Owning Table Instances Class]],FALSE)</f>
        <v>0</v>
      </c>
      <c r="AG314" s="8" t="b">
        <f>_xlfn.IFNA(INDEX(meta_Classifiers[Class - Generalization:src],MATCH(meta_Columns[[#This Row],[Property Owning Class]],meta_Classifiers[ID],0))=meta_Columns[[#This Row],[Owning Table Instances Class]],FALSE)</f>
        <v>0</v>
      </c>
      <c r="AH3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4" s="8" t="str">
        <f>INDEX(meta_Classifiers[Name],MATCH(INDEX(meta_TypedModelElements[Property - Owning Class:src],MATCH(meta_Columns[[#This Row],[Property]],meta_TypedModelElements[ID],0)),meta_Classifiers[ID],0))</f>
        <v>Object</v>
      </c>
      <c r="AJ314" s="8" t="str">
        <f>INDEX(meta_TypedModelElements[Property - Owning Class:src],MATCH(meta_Columns[[#This Row],[Property]],meta_TypedModelElements[ID],0))</f>
        <v>_Object</v>
      </c>
      <c r="AK314" s="8" t="str">
        <f>INDEX(meta_TypedModelElements[Kind:src],MATCH(meta_Columns[[#This Row],[Property]],meta_TypedModelElements[ID],0))</f>
        <v>_Reference</v>
      </c>
      <c r="AL314" s="8" t="str">
        <f>INDEX(meta_TypedModelElements[Name or Type],MATCH(meta_Columns[[#This Row],[Property]],meta_TypedModelElements[ID],0))</f>
        <v>Kind</v>
      </c>
      <c r="AM314" s="8" t="str">
        <f>INDEX(meta_TypedModelElements[Property - Changeable],MATCH(meta_Columns[[#This Row],[Property]],meta_TypedModelElements[ID],0))</f>
        <v>x</v>
      </c>
      <c r="AN314" s="43">
        <v>3</v>
      </c>
      <c r="AO314" s="22">
        <v>3</v>
      </c>
      <c r="AP3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4" s="8" t="str">
        <f xml:space="preserve"> IF(meta_Columns[[#This Row],[Property Owning Class is Specialization of Instance Class]],meta_Columns[[#This Row],[Property Owning Class Name]]&amp;" - ","")</f>
        <v/>
      </c>
      <c r="AR3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4" s="8" t="str">
        <f>IFERROR(LEFT(meta_Columns[[#This Row],[Excel Column - Label Actual without Semantic Case]],FIND("-",
meta_Columns[[#This Row],[Excel Column - Label Actual without Semantic Case]])-2),"")</f>
        <v/>
      </c>
      <c r="AU3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14" s="22"/>
      <c r="AY314" s="8" t="str">
        <f>meta_Columns[[#This Row],[Owning Table]]&amp;"."&amp;meta_Columns[[#This Row],[Excel Column - Label]]</f>
        <v>meta::TablePatterns.Kind</v>
      </c>
      <c r="AZ314" s="43" t="s">
        <v>5</v>
      </c>
      <c r="BA314" s="44" t="str">
        <f>IF(TRIM(meta_Columns[[#This Row],[Excel Column - Label Overwrite]])&lt;&gt;"",meta_Columns[[#This Row],[Excel Column - Label Overwrite]],meta_Columns[[#This Row],[Excel Column - Label from Property or Referenced Table]])</f>
        <v>Kind</v>
      </c>
      <c r="BB314" s="43"/>
      <c r="BC314" s="8" t="str">
        <f>IF(meta_Columns[[#This Row],[Excel Column - Explicit Excel Formula]]="","",meta_Columns[[#This Row],[Excel Column - Explicit Excel Formula]])</f>
        <v/>
      </c>
      <c r="BD314" s="5" t="s">
        <v>1461</v>
      </c>
      <c r="BE314" s="5"/>
    </row>
    <row r="315" spans="1:57">
      <c r="A315" s="10" t="s">
        <v>1275</v>
      </c>
      <c r="B315" s="5" t="s">
        <v>546</v>
      </c>
      <c r="C315" s="22" t="str">
        <f xml:space="preserve"> IF( TRIM( meta_Columns[[#This Row],[Kind:src]] ) = "", "",
        INDEX( meta_Classifiers[Display Qualified], MATCH( meta_Columns[[#This Row],[Kind:src]], meta_Classifiers[ID], 0 ) ) )</f>
        <v>ExcelColumn</v>
      </c>
      <c r="D315" s="44" t="e">
        <f>IF(meta_Columns[[#This Row],[Owning Table:src]]="","",INDEX(meta_Classifiers[Package],MATCH(meta_Columns[[#This Row],[Owning Table Instances Class]],meta_Classifiers[ID],0)))</f>
        <v>#N/A</v>
      </c>
      <c r="E315" s="43"/>
      <c r="F315" s="44" t="str">
        <f>INDEX(meta_Tables[Excel Table - Excel Name],MATCH(meta_Columns[[#This Row],[Owning Table:src]],meta_Tables[ID],0))</f>
        <v>meta_TablePatterns</v>
      </c>
      <c r="G315" s="44">
        <f>INDEX(meta_Tables[Instances Class:src],MATCH(meta_Columns[[#This Row],[Owning Table:src]],meta_Tables[ID],0))</f>
        <v>0</v>
      </c>
      <c r="H315" s="5" t="s">
        <v>1017</v>
      </c>
      <c r="I315" s="43" t="str">
        <f xml:space="preserve"> IF( TRIM( meta_Columns[[#This Row],[Owning Table:src]] ) = "", "",
        INDEX( meta_Tables[Display Qualified], MATCH( meta_Columns[[#This Row],[Owning Table:src]], meta_Tables[ID], 0 ) ) )</f>
        <v>meta::TablePatterns</v>
      </c>
      <c r="K315" s="22" t="str">
        <f>IF(TRIM(meta_Columns[[#This Row],[Referenced Table:src]])="","",
    INDEX(meta_Tables[Display Qualified],MATCH(meta_Columns[[#This Row],[Referenced Table:src]],meta_Tables[ID],0)))</f>
        <v/>
      </c>
      <c r="L315" s="8"/>
      <c r="M315" s="22"/>
      <c r="N315" s="8" t="str">
        <f>IF(meta_Columns[[#This Row],[Excel Column - Excel Formula]]="","x","")</f>
        <v>x</v>
      </c>
      <c r="O315" s="22"/>
      <c r="P315" s="8" t="str">
        <f>IF(meta_Columns[[#This Row],[Referenced Table:src]]="","",INDEX(meta_Tables[Instances Class],MATCH(meta_Columns[[#This Row],[Referenced Table:src]],meta_Tables[ID],0)))</f>
        <v/>
      </c>
      <c r="Q3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5" s="8" t="s">
        <v>248</v>
      </c>
      <c r="S315" s="22" t="str">
        <f xml:space="preserve"> IF( TRIM( meta_Columns[[#This Row],[Property:src]] ) = "", "",
        INDEX( meta_TypedModelElements[Display Qualified], MATCH( meta_Columns[[#This Row],[Property:src]], meta_TypedModelElements[ID], 0 ) ) )</f>
        <v>meta::Object.package</v>
      </c>
      <c r="T315" s="22"/>
      <c r="U315" s="8" t="e">
        <f>INDEX(meta_Classifiers[Class - Generalization:src], MATCH(meta_Columns[[#This Row],[Generalization 5]],meta_Classifiers[ID],0))</f>
        <v>#N/A</v>
      </c>
      <c r="V315" s="8" t="e">
        <f>INDEX(meta_Classifiers[Class - Generalization:src], MATCH(meta_Columns[[#This Row],[Generalization 4]],meta_Classifiers[ID],0))</f>
        <v>#N/A</v>
      </c>
      <c r="W315" s="8" t="e">
        <f>INDEX(meta_Classifiers[Class - Generalization:src], MATCH(meta_Columns[[#This Row],[Generalization 3]],meta_Classifiers[ID],0))</f>
        <v>#N/A</v>
      </c>
      <c r="X315" s="8" t="e">
        <f>INDEX(meta_Classifiers[Class - Generalization:src], MATCH(meta_Columns[[#This Row],[Generalization 2]],meta_Classifiers[ID],0))</f>
        <v>#N/A</v>
      </c>
      <c r="Y315" s="8" t="e">
        <f>INDEX(meta_Classifiers[Class - Generalization:src], MATCH(meta_Columns[[#This Row],[Generalization 1]],meta_Classifiers[ID],0))</f>
        <v>#N/A</v>
      </c>
      <c r="Z315" s="8" t="e">
        <f>INDEX(meta_Classifiers[Class - Generalization:src], MATCH(meta_Columns[[#This Row],[Owning Table Instances Class]],meta_Classifiers[ID],0))</f>
        <v>#N/A</v>
      </c>
      <c r="AA3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5" s="8" t="b">
        <f>_xlfn.IFNA(
INDEX(meta_Classifiers[Class - Generalization:src],MATCH(
INDEX(meta_Classifiers[Class - Generalization:src],MATCH(meta_Columns[[#This Row],[Property Owning Class]],meta_Classifiers[ID],0)),meta_Classifiers[ID],0))
=meta_Columns[[#This Row],[Owning Table Instances Class]],FALSE)</f>
        <v>0</v>
      </c>
      <c r="AG315" s="8" t="b">
        <f>_xlfn.IFNA(INDEX(meta_Classifiers[Class - Generalization:src],MATCH(meta_Columns[[#This Row],[Property Owning Class]],meta_Classifiers[ID],0))=meta_Columns[[#This Row],[Owning Table Instances Class]],FALSE)</f>
        <v>0</v>
      </c>
      <c r="AH3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5" s="8" t="str">
        <f>INDEX(meta_Classifiers[Name],MATCH(INDEX(meta_TypedModelElements[Property - Owning Class:src],MATCH(meta_Columns[[#This Row],[Property]],meta_TypedModelElements[ID],0)),meta_Classifiers[ID],0))</f>
        <v>Object</v>
      </c>
      <c r="AJ315" s="8" t="str">
        <f>INDEX(meta_TypedModelElements[Property - Owning Class:src],MATCH(meta_Columns[[#This Row],[Property]],meta_TypedModelElements[ID],0))</f>
        <v>_Object</v>
      </c>
      <c r="AK315" s="8" t="str">
        <f>INDEX(meta_TypedModelElements[Kind:src],MATCH(meta_Columns[[#This Row],[Property]],meta_TypedModelElements[ID],0))</f>
        <v>_Attribute</v>
      </c>
      <c r="AL315" s="8" t="str">
        <f>INDEX(meta_TypedModelElements[Name or Type],MATCH(meta_Columns[[#This Row],[Property]],meta_TypedModelElements[ID],0))</f>
        <v>Package</v>
      </c>
      <c r="AM315" s="8" t="str">
        <f>INDEX(meta_TypedModelElements[Property - Changeable],MATCH(meta_Columns[[#This Row],[Property]],meta_TypedModelElements[ID],0))</f>
        <v>x</v>
      </c>
      <c r="AN315" s="43">
        <v>4</v>
      </c>
      <c r="AO315" s="22">
        <v>4</v>
      </c>
      <c r="AP3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5" s="8" t="str">
        <f xml:space="preserve"> IF(meta_Columns[[#This Row],[Property Owning Class is Specialization of Instance Class]],meta_Columns[[#This Row],[Property Owning Class Name]]&amp;" - ","")</f>
        <v/>
      </c>
      <c r="AR3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5" s="8" t="str">
        <f>IFERROR(LEFT(meta_Columns[[#This Row],[Excel Column - Label Actual without Semantic Case]],FIND("-",
meta_Columns[[#This Row],[Excel Column - Label Actual without Semantic Case]])-2),"")</f>
        <v/>
      </c>
      <c r="AU3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5" s="22"/>
      <c r="AY315" s="8" t="str">
        <f>meta_Columns[[#This Row],[Owning Table]]&amp;"."&amp;meta_Columns[[#This Row],[Excel Column - Label]]</f>
        <v>meta::TablePatterns.Package</v>
      </c>
      <c r="AZ315" s="43" t="s">
        <v>120</v>
      </c>
      <c r="BA315" s="44" t="str">
        <f>IF(TRIM(meta_Columns[[#This Row],[Excel Column - Label Overwrite]])&lt;&gt;"",meta_Columns[[#This Row],[Excel Column - Label Overwrite]],meta_Columns[[#This Row],[Excel Column - Label from Property or Referenced Table]])</f>
        <v>Package</v>
      </c>
      <c r="BB315" s="43"/>
      <c r="BC315" s="8" t="str">
        <f>IF(meta_Columns[[#This Row],[Excel Column - Explicit Excel Formula]]="","",meta_Columns[[#This Row],[Excel Column - Explicit Excel Formula]])</f>
        <v/>
      </c>
      <c r="BD315" s="5"/>
      <c r="BE315" s="5"/>
    </row>
    <row r="316" spans="1:57">
      <c r="A316" s="10" t="s">
        <v>1276</v>
      </c>
      <c r="B316" s="5" t="s">
        <v>546</v>
      </c>
      <c r="C316" s="22" t="str">
        <f xml:space="preserve"> IF( TRIM( meta_Columns[[#This Row],[Kind:src]] ) = "", "",
        INDEX( meta_Classifiers[Display Qualified], MATCH( meta_Columns[[#This Row],[Kind:src]], meta_Classifiers[ID], 0 ) ) )</f>
        <v>ExcelColumn</v>
      </c>
      <c r="D316" s="44" t="e">
        <f>IF(meta_Columns[[#This Row],[Owning Table:src]]="","",INDEX(meta_Classifiers[Package],MATCH(meta_Columns[[#This Row],[Owning Table Instances Class]],meta_Classifiers[ID],0)))</f>
        <v>#N/A</v>
      </c>
      <c r="E316" s="43"/>
      <c r="F316" s="44" t="str">
        <f>INDEX(meta_Tables[Excel Table - Excel Name],MATCH(meta_Columns[[#This Row],[Owning Table:src]],meta_Tables[ID],0))</f>
        <v>meta_TablePatterns</v>
      </c>
      <c r="G316" s="44">
        <f>INDEX(meta_Tables[Instances Class:src],MATCH(meta_Columns[[#This Row],[Owning Table:src]],meta_Tables[ID],0))</f>
        <v>0</v>
      </c>
      <c r="H316" s="5" t="s">
        <v>1017</v>
      </c>
      <c r="I316" s="43" t="str">
        <f xml:space="preserve"> IF( TRIM( meta_Columns[[#This Row],[Owning Table:src]] ) = "", "",
        INDEX( meta_Tables[Display Qualified], MATCH( meta_Columns[[#This Row],[Owning Table:src]], meta_Tables[ID], 0 ) ) )</f>
        <v>meta::TablePatterns</v>
      </c>
      <c r="K316" s="22" t="str">
        <f>IF(TRIM(meta_Columns[[#This Row],[Referenced Table:src]])="","",
    INDEX(meta_Tables[Display Qualified],MATCH(meta_Columns[[#This Row],[Referenced Table:src]],meta_Tables[ID],0)))</f>
        <v/>
      </c>
      <c r="L316" s="8"/>
      <c r="M316" s="22"/>
      <c r="N316" s="8" t="str">
        <f>IF(meta_Columns[[#This Row],[Excel Column - Excel Formula]]="","x","")</f>
        <v>x</v>
      </c>
      <c r="O316" s="22"/>
      <c r="P316" s="8" t="str">
        <f>IF(meta_Columns[[#This Row],[Referenced Table:src]]="","",INDEX(meta_Tables[Instances Class],MATCH(meta_Columns[[#This Row],[Referenced Table:src]],meta_Tables[ID],0)))</f>
        <v/>
      </c>
      <c r="Q3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6" s="8" t="s">
        <v>460</v>
      </c>
      <c r="S316" s="22" t="str">
        <f xml:space="preserve"> IF( TRIM( meta_Columns[[#This Row],[Property:src]] ) = "", "",
        INDEX( meta_TypedModelElements[Display Qualified], MATCH( meta_Columns[[#This Row],[Property:src]], meta_TypedModelElements[ID], 0 ) ) )</f>
        <v>meta::Object.subPackage</v>
      </c>
      <c r="T316" s="22"/>
      <c r="U316" s="8" t="e">
        <f>INDEX(meta_Classifiers[Class - Generalization:src], MATCH(meta_Columns[[#This Row],[Generalization 5]],meta_Classifiers[ID],0))</f>
        <v>#N/A</v>
      </c>
      <c r="V316" s="8" t="e">
        <f>INDEX(meta_Classifiers[Class - Generalization:src], MATCH(meta_Columns[[#This Row],[Generalization 4]],meta_Classifiers[ID],0))</f>
        <v>#N/A</v>
      </c>
      <c r="W316" s="8" t="e">
        <f>INDEX(meta_Classifiers[Class - Generalization:src], MATCH(meta_Columns[[#This Row],[Generalization 3]],meta_Classifiers[ID],0))</f>
        <v>#N/A</v>
      </c>
      <c r="X316" s="8" t="e">
        <f>INDEX(meta_Classifiers[Class - Generalization:src], MATCH(meta_Columns[[#This Row],[Generalization 2]],meta_Classifiers[ID],0))</f>
        <v>#N/A</v>
      </c>
      <c r="Y316" s="8" t="e">
        <f>INDEX(meta_Classifiers[Class - Generalization:src], MATCH(meta_Columns[[#This Row],[Generalization 1]],meta_Classifiers[ID],0))</f>
        <v>#N/A</v>
      </c>
      <c r="Z316" s="8" t="e">
        <f>INDEX(meta_Classifiers[Class - Generalization:src], MATCH(meta_Columns[[#This Row],[Owning Table Instances Class]],meta_Classifiers[ID],0))</f>
        <v>#N/A</v>
      </c>
      <c r="AA3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6" s="8" t="b">
        <f>_xlfn.IFNA(
INDEX(meta_Classifiers[Class - Generalization:src],MATCH(
INDEX(meta_Classifiers[Class - Generalization:src],MATCH(meta_Columns[[#This Row],[Property Owning Class]],meta_Classifiers[ID],0)),meta_Classifiers[ID],0))
=meta_Columns[[#This Row],[Owning Table Instances Class]],FALSE)</f>
        <v>0</v>
      </c>
      <c r="AG316" s="8" t="b">
        <f>_xlfn.IFNA(INDEX(meta_Classifiers[Class - Generalization:src],MATCH(meta_Columns[[#This Row],[Property Owning Class]],meta_Classifiers[ID],0))=meta_Columns[[#This Row],[Owning Table Instances Class]],FALSE)</f>
        <v>0</v>
      </c>
      <c r="AH3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6" s="8" t="str">
        <f>INDEX(meta_Classifiers[Name],MATCH(INDEX(meta_TypedModelElements[Property - Owning Class:src],MATCH(meta_Columns[[#This Row],[Property]],meta_TypedModelElements[ID],0)),meta_Classifiers[ID],0))</f>
        <v>Object</v>
      </c>
      <c r="AJ316" s="8" t="str">
        <f>INDEX(meta_TypedModelElements[Property - Owning Class:src],MATCH(meta_Columns[[#This Row],[Property]],meta_TypedModelElements[ID],0))</f>
        <v>_Object</v>
      </c>
      <c r="AK316" s="8" t="str">
        <f>INDEX(meta_TypedModelElements[Kind:src],MATCH(meta_Columns[[#This Row],[Property]],meta_TypedModelElements[ID],0))</f>
        <v>_Attribute</v>
      </c>
      <c r="AL316" s="8" t="str">
        <f>INDEX(meta_TypedModelElements[Name or Type],MATCH(meta_Columns[[#This Row],[Property]],meta_TypedModelElements[ID],0))</f>
        <v>Sub Package</v>
      </c>
      <c r="AM316" s="8" t="str">
        <f>INDEX(meta_TypedModelElements[Property - Changeable],MATCH(meta_Columns[[#This Row],[Property]],meta_TypedModelElements[ID],0))</f>
        <v>x</v>
      </c>
      <c r="AN316" s="43">
        <v>5</v>
      </c>
      <c r="AO316" s="22">
        <v>5</v>
      </c>
      <c r="AP31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16" s="8" t="str">
        <f xml:space="preserve"> IF(meta_Columns[[#This Row],[Property Owning Class is Specialization of Instance Class]],meta_Columns[[#This Row],[Property Owning Class Name]]&amp;" - ","")</f>
        <v/>
      </c>
      <c r="AR31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16" s="8" t="str">
        <f>IFERROR(LEFT(meta_Columns[[#This Row],[Excel Column - Label Actual without Semantic Case]],FIND("-",
meta_Columns[[#This Row],[Excel Column - Label Actual without Semantic Case]])-2),"")</f>
        <v/>
      </c>
      <c r="AU3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16" s="22"/>
      <c r="AY316" s="8" t="str">
        <f>meta_Columns[[#This Row],[Owning Table]]&amp;"."&amp;meta_Columns[[#This Row],[Excel Column - Label]]</f>
        <v>meta::TablePatterns.Sub Package</v>
      </c>
      <c r="AZ316" s="43" t="s">
        <v>461</v>
      </c>
      <c r="BA316" s="44" t="str">
        <f>IF(TRIM(meta_Columns[[#This Row],[Excel Column - Label Overwrite]])&lt;&gt;"",meta_Columns[[#This Row],[Excel Column - Label Overwrite]],meta_Columns[[#This Row],[Excel Column - Label from Property or Referenced Table]])</f>
        <v>Sub Package</v>
      </c>
      <c r="BB316" s="43"/>
      <c r="BC316" s="8" t="str">
        <f>IF(meta_Columns[[#This Row],[Excel Column - Explicit Excel Formula]]="","",meta_Columns[[#This Row],[Excel Column - Explicit Excel Formula]])</f>
        <v/>
      </c>
      <c r="BD316" s="5"/>
      <c r="BE316" s="5"/>
    </row>
    <row r="317" spans="1:57">
      <c r="A317" s="10" t="s">
        <v>1277</v>
      </c>
      <c r="B317" s="5" t="s">
        <v>546</v>
      </c>
      <c r="C317" s="22" t="str">
        <f xml:space="preserve"> IF( TRIM( meta_Columns[[#This Row],[Kind:src]] ) = "", "",
        INDEX( meta_Classifiers[Display Qualified], MATCH( meta_Columns[[#This Row],[Kind:src]], meta_Classifiers[ID], 0 ) ) )</f>
        <v>ExcelColumn</v>
      </c>
      <c r="D317" s="44" t="e">
        <f>IF(meta_Columns[[#This Row],[Owning Table:src]]="","",INDEX(meta_Classifiers[Package],MATCH(meta_Columns[[#This Row],[Owning Table Instances Class]],meta_Classifiers[ID],0)))</f>
        <v>#N/A</v>
      </c>
      <c r="E317" s="43"/>
      <c r="F317" s="44" t="str">
        <f>INDEX(meta_Tables[Excel Table - Excel Name],MATCH(meta_Columns[[#This Row],[Owning Table:src]],meta_Tables[ID],0))</f>
        <v>meta_TablePatterns</v>
      </c>
      <c r="G317" s="44">
        <f>INDEX(meta_Tables[Instances Class:src],MATCH(meta_Columns[[#This Row],[Owning Table:src]],meta_Tables[ID],0))</f>
        <v>0</v>
      </c>
      <c r="H317" s="5" t="s">
        <v>1017</v>
      </c>
      <c r="I317" s="43" t="str">
        <f xml:space="preserve"> IF( TRIM( meta_Columns[[#This Row],[Owning Table:src]] ) = "", "",
        INDEX( meta_Tables[Display Qualified], MATCH( meta_Columns[[#This Row],[Owning Table:src]], meta_Tables[ID], 0 ) ) )</f>
        <v>meta::TablePatterns</v>
      </c>
      <c r="K317" s="22" t="str">
        <f>IF(TRIM(meta_Columns[[#This Row],[Referenced Table:src]])="","",
    INDEX(meta_Tables[Display Qualified],MATCH(meta_Columns[[#This Row],[Referenced Table:src]],meta_Tables[ID],0)))</f>
        <v/>
      </c>
      <c r="L317" s="8"/>
      <c r="M317" s="22"/>
      <c r="N317" s="8" t="str">
        <f>IF(meta_Columns[[#This Row],[Excel Column - Excel Formula]]="","x","")</f>
        <v/>
      </c>
      <c r="O317" s="22"/>
      <c r="P317" s="8" t="str">
        <f>IF(meta_Columns[[#This Row],[Referenced Table:src]]="","",INDEX(meta_Tables[Instances Class],MATCH(meta_Columns[[#This Row],[Referenced Table:src]],meta_Tables[ID],0)))</f>
        <v/>
      </c>
      <c r="Q31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7" s="8"/>
      <c r="S317" s="22" t="str">
        <f xml:space="preserve"> IF( TRIM( meta_Columns[[#This Row],[Property:src]] ) = "", "",
        INDEX( meta_TypedModelElements[Display Qualified], MATCH( meta_Columns[[#This Row],[Property:src]], meta_TypedModelElements[ID], 0 ) ) )</f>
        <v/>
      </c>
      <c r="T317" s="22"/>
      <c r="U317" s="8" t="e">
        <f>INDEX(meta_Classifiers[Class - Generalization:src], MATCH(meta_Columns[[#This Row],[Generalization 5]],meta_Classifiers[ID],0))</f>
        <v>#N/A</v>
      </c>
      <c r="V317" s="8" t="e">
        <f>INDEX(meta_Classifiers[Class - Generalization:src], MATCH(meta_Columns[[#This Row],[Generalization 4]],meta_Classifiers[ID],0))</f>
        <v>#N/A</v>
      </c>
      <c r="W317" s="8" t="e">
        <f>INDEX(meta_Classifiers[Class - Generalization:src], MATCH(meta_Columns[[#This Row],[Generalization 3]],meta_Classifiers[ID],0))</f>
        <v>#N/A</v>
      </c>
      <c r="X317" s="8" t="e">
        <f>INDEX(meta_Classifiers[Class - Generalization:src], MATCH(meta_Columns[[#This Row],[Generalization 2]],meta_Classifiers[ID],0))</f>
        <v>#N/A</v>
      </c>
      <c r="Y317" s="8" t="e">
        <f>INDEX(meta_Classifiers[Class - Generalization:src], MATCH(meta_Columns[[#This Row],[Generalization 1]],meta_Classifiers[ID],0))</f>
        <v>#N/A</v>
      </c>
      <c r="Z317" s="8" t="e">
        <f>INDEX(meta_Classifiers[Class - Generalization:src], MATCH(meta_Columns[[#This Row],[Owning Table Instances Class]],meta_Classifiers[ID],0))</f>
        <v>#N/A</v>
      </c>
      <c r="AA3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7" s="8" t="b">
        <f>_xlfn.IFNA(
INDEX(meta_Classifiers[Class - Generalization:src],MATCH(
INDEX(meta_Classifiers[Class - Generalization:src],MATCH(meta_Columns[[#This Row],[Property Owning Class]],meta_Classifiers[ID],0)),meta_Classifiers[ID],0))
=meta_Columns[[#This Row],[Owning Table Instances Class]],FALSE)</f>
        <v>0</v>
      </c>
      <c r="AG317" s="8" t="b">
        <f>_xlfn.IFNA(INDEX(meta_Classifiers[Class - Generalization:src],MATCH(meta_Columns[[#This Row],[Property Owning Class]],meta_Classifiers[ID],0))=meta_Columns[[#This Row],[Owning Table Instances Class]],FALSE)</f>
        <v>0</v>
      </c>
      <c r="AH3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7" s="8" t="e">
        <f>INDEX(meta_Classifiers[Name],MATCH(INDEX(meta_TypedModelElements[Property - Owning Class:src],MATCH(meta_Columns[[#This Row],[Property]],meta_TypedModelElements[ID],0)),meta_Classifiers[ID],0))</f>
        <v>#N/A</v>
      </c>
      <c r="AJ317" s="8" t="e">
        <f>INDEX(meta_TypedModelElements[Property - Owning Class:src],MATCH(meta_Columns[[#This Row],[Property]],meta_TypedModelElements[ID],0))</f>
        <v>#N/A</v>
      </c>
      <c r="AK317" s="8" t="e">
        <f>INDEX(meta_TypedModelElements[Kind:src],MATCH(meta_Columns[[#This Row],[Property]],meta_TypedModelElements[ID],0))</f>
        <v>#N/A</v>
      </c>
      <c r="AL317" s="8" t="e">
        <f>INDEX(meta_TypedModelElements[Name or Type],MATCH(meta_Columns[[#This Row],[Property]],meta_TypedModelElements[ID],0))</f>
        <v>#N/A</v>
      </c>
      <c r="AM317" s="8" t="e">
        <f>INDEX(meta_TypedModelElements[Property - Changeable],MATCH(meta_Columns[[#This Row],[Property]],meta_TypedModelElements[ID],0))</f>
        <v>#N/A</v>
      </c>
      <c r="AN317" s="43">
        <v>6</v>
      </c>
      <c r="AO317" s="22"/>
      <c r="AP3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7" s="8" t="str">
        <f xml:space="preserve"> IF(meta_Columns[[#This Row],[Property Owning Class is Specialization of Instance Class]],meta_Columns[[#This Row],[Property Owning Class Name]]&amp;" - ","")</f>
        <v/>
      </c>
      <c r="AR3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7" s="8" t="str">
        <f>IFERROR(LEFT(meta_Columns[[#This Row],[Excel Column - Label Actual without Semantic Case]],FIND("-",
meta_Columns[[#This Row],[Excel Column - Label Actual without Semantic Case]])-2),"")</f>
        <v/>
      </c>
      <c r="AU3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317" s="22"/>
      <c r="AY317" s="8" t="str">
        <f>meta_Columns[[#This Row],[Owning Table]]&amp;"."&amp;meta_Columns[[#This Row],[Excel Column - Label]]</f>
        <v>meta::TablePatterns.Display:q</v>
      </c>
      <c r="AZ317" s="43" t="s">
        <v>141</v>
      </c>
      <c r="BA317" s="44" t="str">
        <f>IF(TRIM(meta_Columns[[#This Row],[Excel Column - Label Overwrite]])&lt;&gt;"",meta_Columns[[#This Row],[Excel Column - Label Overwrite]],meta_Columns[[#This Row],[Excel Column - Label from Property or Referenced Table]])</f>
        <v>Display:q</v>
      </c>
      <c r="BB317" s="43" t="s">
        <v>873</v>
      </c>
      <c r="BC317" s="8" t="str">
        <f>IF(meta_Columns[[#This Row],[Excel Column - Explicit Excel Formula]]="","",meta_Columns[[#This Row],[Excel Column - Explicit Excel Formula]])</f>
        <v>Formula:=IF(TRIM([@Package])="","",TRIM(LOWER([@Package]))&amp;"::")&amp;[@Display]</v>
      </c>
      <c r="BD317" s="5"/>
      <c r="BE317" s="5"/>
    </row>
    <row r="318" spans="1:57">
      <c r="A318" s="10" t="s">
        <v>1278</v>
      </c>
      <c r="B318" s="5" t="s">
        <v>546</v>
      </c>
      <c r="C318" s="22" t="str">
        <f xml:space="preserve"> IF( TRIM( meta_Columns[[#This Row],[Kind:src]] ) = "", "",
        INDEX( meta_Classifiers[Display Qualified], MATCH( meta_Columns[[#This Row],[Kind:src]], meta_Classifiers[ID], 0 ) ) )</f>
        <v>ExcelColumn</v>
      </c>
      <c r="D318" s="44" t="e">
        <f>IF(meta_Columns[[#This Row],[Owning Table:src]]="","",INDEX(meta_Classifiers[Package],MATCH(meta_Columns[[#This Row],[Owning Table Instances Class]],meta_Classifiers[ID],0)))</f>
        <v>#N/A</v>
      </c>
      <c r="E318" s="43"/>
      <c r="F318" s="44" t="str">
        <f>INDEX(meta_Tables[Excel Table - Excel Name],MATCH(meta_Columns[[#This Row],[Owning Table:src]],meta_Tables[ID],0))</f>
        <v>meta_TablePatterns</v>
      </c>
      <c r="G318" s="44">
        <f>INDEX(meta_Tables[Instances Class:src],MATCH(meta_Columns[[#This Row],[Owning Table:src]],meta_Tables[ID],0))</f>
        <v>0</v>
      </c>
      <c r="H318" s="5" t="s">
        <v>1017</v>
      </c>
      <c r="I318" s="43" t="str">
        <f xml:space="preserve"> IF( TRIM( meta_Columns[[#This Row],[Owning Table:src]] ) = "", "",
        INDEX( meta_Tables[Display Qualified], MATCH( meta_Columns[[#This Row],[Owning Table:src]], meta_Tables[ID], 0 ) ) )</f>
        <v>meta::TablePatterns</v>
      </c>
      <c r="K318" s="22" t="str">
        <f>IF(TRIM(meta_Columns[[#This Row],[Referenced Table:src]])="","",
    INDEX(meta_Tables[Display Qualified],MATCH(meta_Columns[[#This Row],[Referenced Table:src]],meta_Tables[ID],0)))</f>
        <v/>
      </c>
      <c r="L318" s="8"/>
      <c r="M318" s="22"/>
      <c r="N318" s="8" t="str">
        <f>IF(meta_Columns[[#This Row],[Excel Column - Excel Formula]]="","x","")</f>
        <v/>
      </c>
      <c r="O318" s="22"/>
      <c r="P318" s="8" t="str">
        <f>IF(meta_Columns[[#This Row],[Referenced Table:src]]="","",INDEX(meta_Tables[Instances Class],MATCH(meta_Columns[[#This Row],[Referenced Table:src]],meta_Tables[ID],0)))</f>
        <v/>
      </c>
      <c r="Q31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8" s="8"/>
      <c r="S318" s="22" t="str">
        <f xml:space="preserve"> IF( TRIM( meta_Columns[[#This Row],[Property:src]] ) = "", "",
        INDEX( meta_TypedModelElements[Display Qualified], MATCH( meta_Columns[[#This Row],[Property:src]], meta_TypedModelElements[ID], 0 ) ) )</f>
        <v/>
      </c>
      <c r="T318" s="22"/>
      <c r="U318" s="8" t="e">
        <f>INDEX(meta_Classifiers[Class - Generalization:src], MATCH(meta_Columns[[#This Row],[Generalization 5]],meta_Classifiers[ID],0))</f>
        <v>#N/A</v>
      </c>
      <c r="V318" s="8" t="e">
        <f>INDEX(meta_Classifiers[Class - Generalization:src], MATCH(meta_Columns[[#This Row],[Generalization 4]],meta_Classifiers[ID],0))</f>
        <v>#N/A</v>
      </c>
      <c r="W318" s="8" t="e">
        <f>INDEX(meta_Classifiers[Class - Generalization:src], MATCH(meta_Columns[[#This Row],[Generalization 3]],meta_Classifiers[ID],0))</f>
        <v>#N/A</v>
      </c>
      <c r="X318" s="8" t="e">
        <f>INDEX(meta_Classifiers[Class - Generalization:src], MATCH(meta_Columns[[#This Row],[Generalization 2]],meta_Classifiers[ID],0))</f>
        <v>#N/A</v>
      </c>
      <c r="Y318" s="8" t="e">
        <f>INDEX(meta_Classifiers[Class - Generalization:src], MATCH(meta_Columns[[#This Row],[Generalization 1]],meta_Classifiers[ID],0))</f>
        <v>#N/A</v>
      </c>
      <c r="Z318" s="8" t="e">
        <f>INDEX(meta_Classifiers[Class - Generalization:src], MATCH(meta_Columns[[#This Row],[Owning Table Instances Class]],meta_Classifiers[ID],0))</f>
        <v>#N/A</v>
      </c>
      <c r="AA3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8" s="8" t="b">
        <f>_xlfn.IFNA(
INDEX(meta_Classifiers[Class - Generalization:src],MATCH(
INDEX(meta_Classifiers[Class - Generalization:src],MATCH(meta_Columns[[#This Row],[Property Owning Class]],meta_Classifiers[ID],0)),meta_Classifiers[ID],0))
=meta_Columns[[#This Row],[Owning Table Instances Class]],FALSE)</f>
        <v>0</v>
      </c>
      <c r="AG318" s="8" t="b">
        <f>_xlfn.IFNA(INDEX(meta_Classifiers[Class - Generalization:src],MATCH(meta_Columns[[#This Row],[Property Owning Class]],meta_Classifiers[ID],0))=meta_Columns[[#This Row],[Owning Table Instances Class]],FALSE)</f>
        <v>0</v>
      </c>
      <c r="AH3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8" s="8" t="e">
        <f>INDEX(meta_Classifiers[Name],MATCH(INDEX(meta_TypedModelElements[Property - Owning Class:src],MATCH(meta_Columns[[#This Row],[Property]],meta_TypedModelElements[ID],0)),meta_Classifiers[ID],0))</f>
        <v>#N/A</v>
      </c>
      <c r="AJ318" s="8" t="e">
        <f>INDEX(meta_TypedModelElements[Property - Owning Class:src],MATCH(meta_Columns[[#This Row],[Property]],meta_TypedModelElements[ID],0))</f>
        <v>#N/A</v>
      </c>
      <c r="AK318" s="8" t="e">
        <f>INDEX(meta_TypedModelElements[Kind:src],MATCH(meta_Columns[[#This Row],[Property]],meta_TypedModelElements[ID],0))</f>
        <v>#N/A</v>
      </c>
      <c r="AL318" s="8" t="e">
        <f>INDEX(meta_TypedModelElements[Name or Type],MATCH(meta_Columns[[#This Row],[Property]],meta_TypedModelElements[ID],0))</f>
        <v>#N/A</v>
      </c>
      <c r="AM318" s="8" t="e">
        <f>INDEX(meta_TypedModelElements[Property - Changeable],MATCH(meta_Columns[[#This Row],[Property]],meta_TypedModelElements[ID],0))</f>
        <v>#N/A</v>
      </c>
      <c r="AN318" s="43">
        <v>7</v>
      </c>
      <c r="AO318" s="22"/>
      <c r="AP3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8" s="8" t="str">
        <f xml:space="preserve"> IF(meta_Columns[[#This Row],[Property Owning Class is Specialization of Instance Class]],meta_Columns[[#This Row],[Property Owning Class Name]]&amp;" - ","")</f>
        <v/>
      </c>
      <c r="AR3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8" s="8" t="str">
        <f>IFERROR(LEFT(meta_Columns[[#This Row],[Excel Column - Label Actual without Semantic Case]],FIND("-",
meta_Columns[[#This Row],[Excel Column - Label Actual without Semantic Case]])-2),"")</f>
        <v/>
      </c>
      <c r="AU3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18" s="22"/>
      <c r="AY318" s="8" t="str">
        <f>meta_Columns[[#This Row],[Owning Table]]&amp;"."&amp;meta_Columns[[#This Row],[Excel Column - Label]]</f>
        <v>meta::TablePatterns.Display</v>
      </c>
      <c r="AZ318" s="43" t="s">
        <v>32</v>
      </c>
      <c r="BA318" s="44" t="str">
        <f>IF(TRIM(meta_Columns[[#This Row],[Excel Column - Label Overwrite]])&lt;&gt;"",meta_Columns[[#This Row],[Excel Column - Label Overwrite]],meta_Columns[[#This Row],[Excel Column - Label from Property or Referenced Table]])</f>
        <v>Display</v>
      </c>
      <c r="BB318" s="43" t="s">
        <v>878</v>
      </c>
      <c r="BC318" s="8" t="str">
        <f>IF(meta_Columns[[#This Row],[Excel Column - Explicit Excel Formula]]="","",meta_Columns[[#This Row],[Excel Column - Explicit Excel Formula]])</f>
        <v>Formula:=TRIM(SUBSTITUTE([@Name]," ",""))</v>
      </c>
      <c r="BD318" s="5"/>
      <c r="BE318" s="5"/>
    </row>
    <row r="319" spans="1:57">
      <c r="A319" s="10" t="s">
        <v>1279</v>
      </c>
      <c r="B319" s="5" t="s">
        <v>546</v>
      </c>
      <c r="C319" s="22" t="str">
        <f xml:space="preserve"> IF( TRIM( meta_Columns[[#This Row],[Kind:src]] ) = "", "",
        INDEX( meta_Classifiers[Display Qualified], MATCH( meta_Columns[[#This Row],[Kind:src]], meta_Classifiers[ID], 0 ) ) )</f>
        <v>ExcelColumn</v>
      </c>
      <c r="D319" s="44" t="e">
        <f>IF(meta_Columns[[#This Row],[Owning Table:src]]="","",INDEX(meta_Classifiers[Package],MATCH(meta_Columns[[#This Row],[Owning Table Instances Class]],meta_Classifiers[ID],0)))</f>
        <v>#N/A</v>
      </c>
      <c r="E319" s="43"/>
      <c r="F319" s="44" t="str">
        <f>INDEX(meta_Tables[Excel Table - Excel Name],MATCH(meta_Columns[[#This Row],[Owning Table:src]],meta_Tables[ID],0))</f>
        <v>meta_TablePatterns</v>
      </c>
      <c r="G319" s="44">
        <f>INDEX(meta_Tables[Instances Class:src],MATCH(meta_Columns[[#This Row],[Owning Table:src]],meta_Tables[ID],0))</f>
        <v>0</v>
      </c>
      <c r="H319" s="5" t="s">
        <v>1017</v>
      </c>
      <c r="I319" s="43" t="str">
        <f xml:space="preserve"> IF( TRIM( meta_Columns[[#This Row],[Owning Table:src]] ) = "", "",
        INDEX( meta_Tables[Display Qualified], MATCH( meta_Columns[[#This Row],[Owning Table:src]], meta_Tables[ID], 0 ) ) )</f>
        <v>meta::TablePatterns</v>
      </c>
      <c r="K319" s="22" t="str">
        <f>IF(TRIM(meta_Columns[[#This Row],[Referenced Table:src]])="","",
    INDEX(meta_Tables[Display Qualified],MATCH(meta_Columns[[#This Row],[Referenced Table:src]],meta_Tables[ID],0)))</f>
        <v/>
      </c>
      <c r="L319" s="8"/>
      <c r="M319" s="22"/>
      <c r="N319" s="8" t="str">
        <f>IF(meta_Columns[[#This Row],[Excel Column - Excel Formula]]="","x","")</f>
        <v>x</v>
      </c>
      <c r="O319" s="22"/>
      <c r="P319" s="8" t="str">
        <f>IF(meta_Columns[[#This Row],[Referenced Table:src]]="","",INDEX(meta_Tables[Instances Class],MATCH(meta_Columns[[#This Row],[Referenced Table:src]],meta_Tables[ID],0)))</f>
        <v/>
      </c>
      <c r="Q31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9" s="8"/>
      <c r="S319" s="22" t="str">
        <f xml:space="preserve"> IF( TRIM( meta_Columns[[#This Row],[Property:src]] ) = "", "",
        INDEX( meta_TypedModelElements[Display Qualified], MATCH( meta_Columns[[#This Row],[Property:src]], meta_TypedModelElements[ID], 0 ) ) )</f>
        <v/>
      </c>
      <c r="T319" s="22"/>
      <c r="U319" s="8" t="e">
        <f>INDEX(meta_Classifiers[Class - Generalization:src], MATCH(meta_Columns[[#This Row],[Generalization 5]],meta_Classifiers[ID],0))</f>
        <v>#N/A</v>
      </c>
      <c r="V319" s="8" t="e">
        <f>INDEX(meta_Classifiers[Class - Generalization:src], MATCH(meta_Columns[[#This Row],[Generalization 4]],meta_Classifiers[ID],0))</f>
        <v>#N/A</v>
      </c>
      <c r="W319" s="8" t="e">
        <f>INDEX(meta_Classifiers[Class - Generalization:src], MATCH(meta_Columns[[#This Row],[Generalization 3]],meta_Classifiers[ID],0))</f>
        <v>#N/A</v>
      </c>
      <c r="X319" s="8" t="e">
        <f>INDEX(meta_Classifiers[Class - Generalization:src], MATCH(meta_Columns[[#This Row],[Generalization 2]],meta_Classifiers[ID],0))</f>
        <v>#N/A</v>
      </c>
      <c r="Y319" s="8" t="e">
        <f>INDEX(meta_Classifiers[Class - Generalization:src], MATCH(meta_Columns[[#This Row],[Generalization 1]],meta_Classifiers[ID],0))</f>
        <v>#N/A</v>
      </c>
      <c r="Z319" s="8" t="e">
        <f>INDEX(meta_Classifiers[Class - Generalization:src], MATCH(meta_Columns[[#This Row],[Owning Table Instances Class]],meta_Classifiers[ID],0))</f>
        <v>#N/A</v>
      </c>
      <c r="AA3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9" s="8" t="b">
        <f>_xlfn.IFNA(
INDEX(meta_Classifiers[Class - Generalization:src],MATCH(
INDEX(meta_Classifiers[Class - Generalization:src],MATCH(meta_Columns[[#This Row],[Property Owning Class]],meta_Classifiers[ID],0)),meta_Classifiers[ID],0))
=meta_Columns[[#This Row],[Owning Table Instances Class]],FALSE)</f>
        <v>0</v>
      </c>
      <c r="AG319" s="8" t="b">
        <f>_xlfn.IFNA(INDEX(meta_Classifiers[Class - Generalization:src],MATCH(meta_Columns[[#This Row],[Property Owning Class]],meta_Classifiers[ID],0))=meta_Columns[[#This Row],[Owning Table Instances Class]],FALSE)</f>
        <v>0</v>
      </c>
      <c r="AH3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9" s="8" t="e">
        <f>INDEX(meta_Classifiers[Name],MATCH(INDEX(meta_TypedModelElements[Property - Owning Class:src],MATCH(meta_Columns[[#This Row],[Property]],meta_TypedModelElements[ID],0)),meta_Classifiers[ID],0))</f>
        <v>#N/A</v>
      </c>
      <c r="AJ319" s="8" t="e">
        <f>INDEX(meta_TypedModelElements[Property - Owning Class:src],MATCH(meta_Columns[[#This Row],[Property]],meta_TypedModelElements[ID],0))</f>
        <v>#N/A</v>
      </c>
      <c r="AK319" s="8" t="e">
        <f>INDEX(meta_TypedModelElements[Kind:src],MATCH(meta_Columns[[#This Row],[Property]],meta_TypedModelElements[ID],0))</f>
        <v>#N/A</v>
      </c>
      <c r="AL319" s="8" t="e">
        <f>INDEX(meta_TypedModelElements[Name or Type],MATCH(meta_Columns[[#This Row],[Property]],meta_TypedModelElements[ID],0))</f>
        <v>#N/A</v>
      </c>
      <c r="AM319" s="8" t="e">
        <f>INDEX(meta_TypedModelElements[Property - Changeable],MATCH(meta_Columns[[#This Row],[Property]],meta_TypedModelElements[ID],0))</f>
        <v>#N/A</v>
      </c>
      <c r="AN319" s="43">
        <v>8</v>
      </c>
      <c r="AO319" s="22">
        <v>6</v>
      </c>
      <c r="AP3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9" s="8" t="str">
        <f xml:space="preserve"> IF(meta_Columns[[#This Row],[Property Owning Class is Specialization of Instance Class]],meta_Columns[[#This Row],[Property Owning Class Name]]&amp;" - ","")</f>
        <v/>
      </c>
      <c r="AR3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19" s="8" t="str">
        <f>IFERROR(LEFT(meta_Columns[[#This Row],[Excel Column - Label Actual without Semantic Case]],FIND("-",
meta_Columns[[#This Row],[Excel Column - Label Actual without Semantic Case]])-2),"")</f>
        <v/>
      </c>
      <c r="AU3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19" s="22"/>
      <c r="AY319" s="8" t="str">
        <f>meta_Columns[[#This Row],[Owning Table]]&amp;"."&amp;meta_Columns[[#This Row],[Excel Column - Label]]</f>
        <v>meta::TablePatterns.Name</v>
      </c>
      <c r="AZ319" s="43" t="s">
        <v>1</v>
      </c>
      <c r="BA319" s="44" t="str">
        <f>IF(TRIM(meta_Columns[[#This Row],[Excel Column - Label Overwrite]])&lt;&gt;"",meta_Columns[[#This Row],[Excel Column - Label Overwrite]],meta_Columns[[#This Row],[Excel Column - Label from Property or Referenced Table]])</f>
        <v>Name</v>
      </c>
      <c r="BB319" s="43"/>
      <c r="BC319" s="8" t="str">
        <f>IF(meta_Columns[[#This Row],[Excel Column - Explicit Excel Formula]]="","",meta_Columns[[#This Row],[Excel Column - Explicit Excel Formula]])</f>
        <v/>
      </c>
      <c r="BD319" s="5"/>
      <c r="BE319" s="5"/>
    </row>
    <row r="320" spans="1:57">
      <c r="A320" s="10" t="s">
        <v>1280</v>
      </c>
      <c r="B320" s="5" t="s">
        <v>546</v>
      </c>
      <c r="C320" s="22" t="str">
        <f xml:space="preserve"> IF( TRIM( meta_Columns[[#This Row],[Kind:src]] ) = "", "",
        INDEX( meta_Classifiers[Display Qualified], MATCH( meta_Columns[[#This Row],[Kind:src]], meta_Classifiers[ID], 0 ) ) )</f>
        <v>ExcelColumn</v>
      </c>
      <c r="D320" s="44" t="e">
        <f>IF(meta_Columns[[#This Row],[Owning Table:src]]="","",INDEX(meta_Classifiers[Package],MATCH(meta_Columns[[#This Row],[Owning Table Instances Class]],meta_Classifiers[ID],0)))</f>
        <v>#N/A</v>
      </c>
      <c r="E320" s="43"/>
      <c r="F320" s="44" t="str">
        <f>INDEX(meta_Tables[Excel Table - Excel Name],MATCH(meta_Columns[[#This Row],[Owning Table:src]],meta_Tables[ID],0))</f>
        <v>meta_TablePatterns</v>
      </c>
      <c r="G320" s="44">
        <f>INDEX(meta_Tables[Instances Class:src],MATCH(meta_Columns[[#This Row],[Owning Table:src]],meta_Tables[ID],0))</f>
        <v>0</v>
      </c>
      <c r="H320" s="5" t="s">
        <v>1017</v>
      </c>
      <c r="I320" s="43" t="str">
        <f xml:space="preserve"> IF( TRIM( meta_Columns[[#This Row],[Owning Table:src]] ) = "", "",
        INDEX( meta_Tables[Display Qualified], MATCH( meta_Columns[[#This Row],[Owning Table:src]], meta_Tables[ID], 0 ) ) )</f>
        <v>meta::TablePatterns</v>
      </c>
      <c r="K320" s="22" t="str">
        <f>IF(TRIM(meta_Columns[[#This Row],[Referenced Table:src]])="","",
    INDEX(meta_Tables[Display Qualified],MATCH(meta_Columns[[#This Row],[Referenced Table:src]],meta_Tables[ID],0)))</f>
        <v/>
      </c>
      <c r="L320" s="8"/>
      <c r="M320" s="22"/>
      <c r="N320" s="8" t="str">
        <f>IF(meta_Columns[[#This Row],[Excel Column - Excel Formula]]="","x","")</f>
        <v>x</v>
      </c>
      <c r="O320" s="22"/>
      <c r="P320" s="8" t="str">
        <f>IF(meta_Columns[[#This Row],[Referenced Table:src]]="","",INDEX(meta_Tables[Instances Class],MATCH(meta_Columns[[#This Row],[Referenced Table:src]],meta_Tables[ID],0)))</f>
        <v/>
      </c>
      <c r="Q32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0" s="8"/>
      <c r="S320" s="22" t="str">
        <f xml:space="preserve"> IF( TRIM( meta_Columns[[#This Row],[Property:src]] ) = "", "",
        INDEX( meta_TypedModelElements[Display Qualified], MATCH( meta_Columns[[#This Row],[Property:src]], meta_TypedModelElements[ID], 0 ) ) )</f>
        <v/>
      </c>
      <c r="T320" s="22"/>
      <c r="U320" s="8" t="e">
        <f>INDEX(meta_Classifiers[Class - Generalization:src], MATCH(meta_Columns[[#This Row],[Generalization 5]],meta_Classifiers[ID],0))</f>
        <v>#N/A</v>
      </c>
      <c r="V320" s="8" t="e">
        <f>INDEX(meta_Classifiers[Class - Generalization:src], MATCH(meta_Columns[[#This Row],[Generalization 4]],meta_Classifiers[ID],0))</f>
        <v>#N/A</v>
      </c>
      <c r="W320" s="8" t="e">
        <f>INDEX(meta_Classifiers[Class - Generalization:src], MATCH(meta_Columns[[#This Row],[Generalization 3]],meta_Classifiers[ID],0))</f>
        <v>#N/A</v>
      </c>
      <c r="X320" s="8" t="e">
        <f>INDEX(meta_Classifiers[Class - Generalization:src], MATCH(meta_Columns[[#This Row],[Generalization 2]],meta_Classifiers[ID],0))</f>
        <v>#N/A</v>
      </c>
      <c r="Y320" s="8" t="e">
        <f>INDEX(meta_Classifiers[Class - Generalization:src], MATCH(meta_Columns[[#This Row],[Generalization 1]],meta_Classifiers[ID],0))</f>
        <v>#N/A</v>
      </c>
      <c r="Z320" s="8" t="e">
        <f>INDEX(meta_Classifiers[Class - Generalization:src], MATCH(meta_Columns[[#This Row],[Owning Table Instances Class]],meta_Classifiers[ID],0))</f>
        <v>#N/A</v>
      </c>
      <c r="AA3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0" s="8" t="b">
        <f>_xlfn.IFNA(
INDEX(meta_Classifiers[Class - Generalization:src],MATCH(
INDEX(meta_Classifiers[Class - Generalization:src],MATCH(meta_Columns[[#This Row],[Property Owning Class]],meta_Classifiers[ID],0)),meta_Classifiers[ID],0))
=meta_Columns[[#This Row],[Owning Table Instances Class]],FALSE)</f>
        <v>0</v>
      </c>
      <c r="AG320" s="8" t="b">
        <f>_xlfn.IFNA(INDEX(meta_Classifiers[Class - Generalization:src],MATCH(meta_Columns[[#This Row],[Property Owning Class]],meta_Classifiers[ID],0))=meta_Columns[[#This Row],[Owning Table Instances Class]],FALSE)</f>
        <v>0</v>
      </c>
      <c r="AH3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0" s="8" t="e">
        <f>INDEX(meta_Classifiers[Name],MATCH(INDEX(meta_TypedModelElements[Property - Owning Class:src],MATCH(meta_Columns[[#This Row],[Property]],meta_TypedModelElements[ID],0)),meta_Classifiers[ID],0))</f>
        <v>#N/A</v>
      </c>
      <c r="AJ320" s="8" t="e">
        <f>INDEX(meta_TypedModelElements[Property - Owning Class:src],MATCH(meta_Columns[[#This Row],[Property]],meta_TypedModelElements[ID],0))</f>
        <v>#N/A</v>
      </c>
      <c r="AK320" s="8" t="e">
        <f>INDEX(meta_TypedModelElements[Kind:src],MATCH(meta_Columns[[#This Row],[Property]],meta_TypedModelElements[ID],0))</f>
        <v>#N/A</v>
      </c>
      <c r="AL320" s="8" t="e">
        <f>INDEX(meta_TypedModelElements[Name or Type],MATCH(meta_Columns[[#This Row],[Property]],meta_TypedModelElements[ID],0))</f>
        <v>#N/A</v>
      </c>
      <c r="AM320" s="8" t="e">
        <f>INDEX(meta_TypedModelElements[Property - Changeable],MATCH(meta_Columns[[#This Row],[Property]],meta_TypedModelElements[ID],0))</f>
        <v>#N/A</v>
      </c>
      <c r="AN320" s="43">
        <v>9</v>
      </c>
      <c r="AO320" s="22">
        <v>7</v>
      </c>
      <c r="AP3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0" s="8" t="str">
        <f xml:space="preserve"> IF(meta_Columns[[#This Row],[Property Owning Class is Specialization of Instance Class]],meta_Columns[[#This Row],[Property Owning Class Name]]&amp;" - ","")</f>
        <v/>
      </c>
      <c r="AR3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Source Table</v>
      </c>
      <c r="AT320" s="8" t="str">
        <f>IFERROR(LEFT(meta_Columns[[#This Row],[Excel Column - Label Actual without Semantic Case]],FIND("-",
meta_Columns[[#This Row],[Excel Column - Label Actual without Semantic Case]])-2),"")</f>
        <v/>
      </c>
      <c r="AU3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Source Table</v>
      </c>
      <c r="AV3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Source Table</v>
      </c>
      <c r="AX320" s="22"/>
      <c r="AY320" s="8" t="str">
        <f>meta_Columns[[#This Row],[Owning Table]]&amp;"."&amp;meta_Columns[[#This Row],[Excel Column - Label]]</f>
        <v>meta::TablePatterns.Source Table</v>
      </c>
      <c r="AZ320" s="43" t="s">
        <v>511</v>
      </c>
      <c r="BA320" s="44" t="str">
        <f>IF(TRIM(meta_Columns[[#This Row],[Excel Column - Label Overwrite]])&lt;&gt;"",meta_Columns[[#This Row],[Excel Column - Label Overwrite]],meta_Columns[[#This Row],[Excel Column - Label from Property or Referenced Table]])</f>
        <v>Source Table</v>
      </c>
      <c r="BB320" s="43"/>
      <c r="BC320" s="8" t="str">
        <f>IF(meta_Columns[[#This Row],[Excel Column - Explicit Excel Formula]]="","",meta_Columns[[#This Row],[Excel Column - Explicit Excel Formula]])</f>
        <v/>
      </c>
      <c r="BD320" s="5"/>
      <c r="BE320" s="5"/>
    </row>
    <row r="321" spans="1:57">
      <c r="A321" s="10" t="s">
        <v>1281</v>
      </c>
      <c r="B321" s="5" t="s">
        <v>546</v>
      </c>
      <c r="C321" s="22" t="str">
        <f xml:space="preserve"> IF( TRIM( meta_Columns[[#This Row],[Kind:src]] ) = "", "",
        INDEX( meta_Classifiers[Display Qualified], MATCH( meta_Columns[[#This Row],[Kind:src]], meta_Classifiers[ID], 0 ) ) )</f>
        <v>ExcelColumn</v>
      </c>
      <c r="D321" s="44" t="e">
        <f>IF(meta_Columns[[#This Row],[Owning Table:src]]="","",INDEX(meta_Classifiers[Package],MATCH(meta_Columns[[#This Row],[Owning Table Instances Class]],meta_Classifiers[ID],0)))</f>
        <v>#N/A</v>
      </c>
      <c r="E321" s="43"/>
      <c r="F321" s="44" t="str">
        <f>INDEX(meta_Tables[Excel Table - Excel Name],MATCH(meta_Columns[[#This Row],[Owning Table:src]],meta_Tables[ID],0))</f>
        <v>meta_TablePatterns</v>
      </c>
      <c r="G321" s="44">
        <f>INDEX(meta_Tables[Instances Class:src],MATCH(meta_Columns[[#This Row],[Owning Table:src]],meta_Tables[ID],0))</f>
        <v>0</v>
      </c>
      <c r="H321" s="5" t="s">
        <v>1017</v>
      </c>
      <c r="I321" s="43" t="str">
        <f xml:space="preserve"> IF( TRIM( meta_Columns[[#This Row],[Owning Table:src]] ) = "", "",
        INDEX( meta_Tables[Display Qualified], MATCH( meta_Columns[[#This Row],[Owning Table:src]], meta_Tables[ID], 0 ) ) )</f>
        <v>meta::TablePatterns</v>
      </c>
      <c r="K321" s="22" t="str">
        <f>IF(TRIM(meta_Columns[[#This Row],[Referenced Table:src]])="","",
    INDEX(meta_Tables[Display Qualified],MATCH(meta_Columns[[#This Row],[Referenced Table:src]],meta_Tables[ID],0)))</f>
        <v/>
      </c>
      <c r="L321" s="8"/>
      <c r="M321" s="22"/>
      <c r="N321" s="8" t="str">
        <f>IF(meta_Columns[[#This Row],[Excel Column - Excel Formula]]="","x","")</f>
        <v>x</v>
      </c>
      <c r="O321" s="22"/>
      <c r="P321" s="8" t="str">
        <f>IF(meta_Columns[[#This Row],[Referenced Table:src]]="","",INDEX(meta_Tables[Instances Class],MATCH(meta_Columns[[#This Row],[Referenced Table:src]],meta_Tables[ID],0)))</f>
        <v/>
      </c>
      <c r="Q32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1" s="8"/>
      <c r="S321" s="22" t="str">
        <f xml:space="preserve"> IF( TRIM( meta_Columns[[#This Row],[Property:src]] ) = "", "",
        INDEX( meta_TypedModelElements[Display Qualified], MATCH( meta_Columns[[#This Row],[Property:src]], meta_TypedModelElements[ID], 0 ) ) )</f>
        <v/>
      </c>
      <c r="T321" s="22"/>
      <c r="U321" s="8" t="e">
        <f>INDEX(meta_Classifiers[Class - Generalization:src], MATCH(meta_Columns[[#This Row],[Generalization 5]],meta_Classifiers[ID],0))</f>
        <v>#N/A</v>
      </c>
      <c r="V321" s="8" t="e">
        <f>INDEX(meta_Classifiers[Class - Generalization:src], MATCH(meta_Columns[[#This Row],[Generalization 4]],meta_Classifiers[ID],0))</f>
        <v>#N/A</v>
      </c>
      <c r="W321" s="8" t="e">
        <f>INDEX(meta_Classifiers[Class - Generalization:src], MATCH(meta_Columns[[#This Row],[Generalization 3]],meta_Classifiers[ID],0))</f>
        <v>#N/A</v>
      </c>
      <c r="X321" s="8" t="e">
        <f>INDEX(meta_Classifiers[Class - Generalization:src], MATCH(meta_Columns[[#This Row],[Generalization 2]],meta_Classifiers[ID],0))</f>
        <v>#N/A</v>
      </c>
      <c r="Y321" s="8" t="e">
        <f>INDEX(meta_Classifiers[Class - Generalization:src], MATCH(meta_Columns[[#This Row],[Generalization 1]],meta_Classifiers[ID],0))</f>
        <v>#N/A</v>
      </c>
      <c r="Z321" s="8" t="e">
        <f>INDEX(meta_Classifiers[Class - Generalization:src], MATCH(meta_Columns[[#This Row],[Owning Table Instances Class]],meta_Classifiers[ID],0))</f>
        <v>#N/A</v>
      </c>
      <c r="AA3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1" s="8" t="b">
        <f>_xlfn.IFNA(
INDEX(meta_Classifiers[Class - Generalization:src],MATCH(
INDEX(meta_Classifiers[Class - Generalization:src],MATCH(meta_Columns[[#This Row],[Property Owning Class]],meta_Classifiers[ID],0)),meta_Classifiers[ID],0))
=meta_Columns[[#This Row],[Owning Table Instances Class]],FALSE)</f>
        <v>0</v>
      </c>
      <c r="AG321" s="8" t="b">
        <f>_xlfn.IFNA(INDEX(meta_Classifiers[Class - Generalization:src],MATCH(meta_Columns[[#This Row],[Property Owning Class]],meta_Classifiers[ID],0))=meta_Columns[[#This Row],[Owning Table Instances Class]],FALSE)</f>
        <v>0</v>
      </c>
      <c r="AH3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1" s="8" t="e">
        <f>INDEX(meta_Classifiers[Name],MATCH(INDEX(meta_TypedModelElements[Property - Owning Class:src],MATCH(meta_Columns[[#This Row],[Property]],meta_TypedModelElements[ID],0)),meta_Classifiers[ID],0))</f>
        <v>#N/A</v>
      </c>
      <c r="AJ321" s="8" t="e">
        <f>INDEX(meta_TypedModelElements[Property - Owning Class:src],MATCH(meta_Columns[[#This Row],[Property]],meta_TypedModelElements[ID],0))</f>
        <v>#N/A</v>
      </c>
      <c r="AK321" s="8" t="e">
        <f>INDEX(meta_TypedModelElements[Kind:src],MATCH(meta_Columns[[#This Row],[Property]],meta_TypedModelElements[ID],0))</f>
        <v>#N/A</v>
      </c>
      <c r="AL321" s="8" t="e">
        <f>INDEX(meta_TypedModelElements[Name or Type],MATCH(meta_Columns[[#This Row],[Property]],meta_TypedModelElements[ID],0))</f>
        <v>#N/A</v>
      </c>
      <c r="AM321" s="8" t="e">
        <f>INDEX(meta_TypedModelElements[Property - Changeable],MATCH(meta_Columns[[#This Row],[Property]],meta_TypedModelElements[ID],0))</f>
        <v>#N/A</v>
      </c>
      <c r="AN321" s="43">
        <v>10</v>
      </c>
      <c r="AO321" s="22">
        <v>8</v>
      </c>
      <c r="AP3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1" s="8" t="str">
        <f xml:space="preserve"> IF(meta_Columns[[#This Row],[Property Owning Class is Specialization of Instance Class]],meta_Columns[[#This Row],[Property Owning Class Name]]&amp;" - ","")</f>
        <v/>
      </c>
      <c r="AR3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1</v>
      </c>
      <c r="AT321" s="8" t="str">
        <f>IFERROR(LEFT(meta_Columns[[#This Row],[Excel Column - Label Actual without Semantic Case]],FIND("-",
meta_Columns[[#This Row],[Excel Column - Label Actual without Semantic Case]])-2),"")</f>
        <v/>
      </c>
      <c r="AU3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1</v>
      </c>
      <c r="AV3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1</v>
      </c>
      <c r="AX321" s="22"/>
      <c r="AY321" s="8" t="str">
        <f>meta_Columns[[#This Row],[Owning Table]]&amp;"."&amp;meta_Columns[[#This Row],[Excel Column - Label]]</f>
        <v>meta::TablePatterns.Match Filter Column 1</v>
      </c>
      <c r="AZ321" s="43" t="s">
        <v>532</v>
      </c>
      <c r="BA321" s="44" t="str">
        <f>IF(TRIM(meta_Columns[[#This Row],[Excel Column - Label Overwrite]])&lt;&gt;"",meta_Columns[[#This Row],[Excel Column - Label Overwrite]],meta_Columns[[#This Row],[Excel Column - Label from Property or Referenced Table]])</f>
        <v>Match Filter Column 1</v>
      </c>
      <c r="BB321" s="43"/>
      <c r="BC321" s="8" t="str">
        <f>IF(meta_Columns[[#This Row],[Excel Column - Explicit Excel Formula]]="","",meta_Columns[[#This Row],[Excel Column - Explicit Excel Formula]])</f>
        <v/>
      </c>
      <c r="BD321" s="5"/>
      <c r="BE321" s="5"/>
    </row>
    <row r="322" spans="1:57">
      <c r="A322" s="10" t="s">
        <v>1282</v>
      </c>
      <c r="B322" s="5" t="s">
        <v>546</v>
      </c>
      <c r="C322" s="22" t="str">
        <f xml:space="preserve"> IF( TRIM( meta_Columns[[#This Row],[Kind:src]] ) = "", "",
        INDEX( meta_Classifiers[Display Qualified], MATCH( meta_Columns[[#This Row],[Kind:src]], meta_Classifiers[ID], 0 ) ) )</f>
        <v>ExcelColumn</v>
      </c>
      <c r="D322" s="44" t="e">
        <f>IF(meta_Columns[[#This Row],[Owning Table:src]]="","",INDEX(meta_Classifiers[Package],MATCH(meta_Columns[[#This Row],[Owning Table Instances Class]],meta_Classifiers[ID],0)))</f>
        <v>#N/A</v>
      </c>
      <c r="E322" s="43"/>
      <c r="F322" s="44" t="str">
        <f>INDEX(meta_Tables[Excel Table - Excel Name],MATCH(meta_Columns[[#This Row],[Owning Table:src]],meta_Tables[ID],0))</f>
        <v>meta_TablePatterns</v>
      </c>
      <c r="G322" s="44">
        <f>INDEX(meta_Tables[Instances Class:src],MATCH(meta_Columns[[#This Row],[Owning Table:src]],meta_Tables[ID],0))</f>
        <v>0</v>
      </c>
      <c r="H322" s="5" t="s">
        <v>1017</v>
      </c>
      <c r="I322" s="43" t="str">
        <f xml:space="preserve"> IF( TRIM( meta_Columns[[#This Row],[Owning Table:src]] ) = "", "",
        INDEX( meta_Tables[Display Qualified], MATCH( meta_Columns[[#This Row],[Owning Table:src]], meta_Tables[ID], 0 ) ) )</f>
        <v>meta::TablePatterns</v>
      </c>
      <c r="K322" s="22" t="str">
        <f>IF(TRIM(meta_Columns[[#This Row],[Referenced Table:src]])="","",
    INDEX(meta_Tables[Display Qualified],MATCH(meta_Columns[[#This Row],[Referenced Table:src]],meta_Tables[ID],0)))</f>
        <v/>
      </c>
      <c r="L322" s="8"/>
      <c r="M322" s="22"/>
      <c r="N322" s="8" t="str">
        <f>IF(meta_Columns[[#This Row],[Excel Column - Excel Formula]]="","x","")</f>
        <v>x</v>
      </c>
      <c r="O322" s="22"/>
      <c r="P322" s="8" t="str">
        <f>IF(meta_Columns[[#This Row],[Referenced Table:src]]="","",INDEX(meta_Tables[Instances Class],MATCH(meta_Columns[[#This Row],[Referenced Table:src]],meta_Tables[ID],0)))</f>
        <v/>
      </c>
      <c r="Q32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2" s="8"/>
      <c r="S322" s="22" t="str">
        <f xml:space="preserve"> IF( TRIM( meta_Columns[[#This Row],[Property:src]] ) = "", "",
        INDEX( meta_TypedModelElements[Display Qualified], MATCH( meta_Columns[[#This Row],[Property:src]], meta_TypedModelElements[ID], 0 ) ) )</f>
        <v/>
      </c>
      <c r="T322" s="22"/>
      <c r="U322" s="8" t="e">
        <f>INDEX(meta_Classifiers[Class - Generalization:src], MATCH(meta_Columns[[#This Row],[Generalization 5]],meta_Classifiers[ID],0))</f>
        <v>#N/A</v>
      </c>
      <c r="V322" s="8" t="e">
        <f>INDEX(meta_Classifiers[Class - Generalization:src], MATCH(meta_Columns[[#This Row],[Generalization 4]],meta_Classifiers[ID],0))</f>
        <v>#N/A</v>
      </c>
      <c r="W322" s="8" t="e">
        <f>INDEX(meta_Classifiers[Class - Generalization:src], MATCH(meta_Columns[[#This Row],[Generalization 3]],meta_Classifiers[ID],0))</f>
        <v>#N/A</v>
      </c>
      <c r="X322" s="8" t="e">
        <f>INDEX(meta_Classifiers[Class - Generalization:src], MATCH(meta_Columns[[#This Row],[Generalization 2]],meta_Classifiers[ID],0))</f>
        <v>#N/A</v>
      </c>
      <c r="Y322" s="8" t="e">
        <f>INDEX(meta_Classifiers[Class - Generalization:src], MATCH(meta_Columns[[#This Row],[Generalization 1]],meta_Classifiers[ID],0))</f>
        <v>#N/A</v>
      </c>
      <c r="Z322" s="8" t="e">
        <f>INDEX(meta_Classifiers[Class - Generalization:src], MATCH(meta_Columns[[#This Row],[Owning Table Instances Class]],meta_Classifiers[ID],0))</f>
        <v>#N/A</v>
      </c>
      <c r="AA3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2" s="8" t="b">
        <f>_xlfn.IFNA(
INDEX(meta_Classifiers[Class - Generalization:src],MATCH(
INDEX(meta_Classifiers[Class - Generalization:src],MATCH(meta_Columns[[#This Row],[Property Owning Class]],meta_Classifiers[ID],0)),meta_Classifiers[ID],0))
=meta_Columns[[#This Row],[Owning Table Instances Class]],FALSE)</f>
        <v>0</v>
      </c>
      <c r="AG322" s="8" t="b">
        <f>_xlfn.IFNA(INDEX(meta_Classifiers[Class - Generalization:src],MATCH(meta_Columns[[#This Row],[Property Owning Class]],meta_Classifiers[ID],0))=meta_Columns[[#This Row],[Owning Table Instances Class]],FALSE)</f>
        <v>0</v>
      </c>
      <c r="AH3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2" s="8" t="e">
        <f>INDEX(meta_Classifiers[Name],MATCH(INDEX(meta_TypedModelElements[Property - Owning Class:src],MATCH(meta_Columns[[#This Row],[Property]],meta_TypedModelElements[ID],0)),meta_Classifiers[ID],0))</f>
        <v>#N/A</v>
      </c>
      <c r="AJ322" s="8" t="e">
        <f>INDEX(meta_TypedModelElements[Property - Owning Class:src],MATCH(meta_Columns[[#This Row],[Property]],meta_TypedModelElements[ID],0))</f>
        <v>#N/A</v>
      </c>
      <c r="AK322" s="8" t="e">
        <f>INDEX(meta_TypedModelElements[Kind:src],MATCH(meta_Columns[[#This Row],[Property]],meta_TypedModelElements[ID],0))</f>
        <v>#N/A</v>
      </c>
      <c r="AL322" s="8" t="e">
        <f>INDEX(meta_TypedModelElements[Name or Type],MATCH(meta_Columns[[#This Row],[Property]],meta_TypedModelElements[ID],0))</f>
        <v>#N/A</v>
      </c>
      <c r="AM322" s="8" t="e">
        <f>INDEX(meta_TypedModelElements[Property - Changeable],MATCH(meta_Columns[[#This Row],[Property]],meta_TypedModelElements[ID],0))</f>
        <v>#N/A</v>
      </c>
      <c r="AN322" s="43">
        <v>11</v>
      </c>
      <c r="AO322" s="22">
        <v>9</v>
      </c>
      <c r="AP3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2" s="8" t="str">
        <f xml:space="preserve"> IF(meta_Columns[[#This Row],[Property Owning Class is Specialization of Instance Class]],meta_Columns[[#This Row],[Property Owning Class Name]]&amp;" - ","")</f>
        <v/>
      </c>
      <c r="AR3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2</v>
      </c>
      <c r="AT322" s="8" t="str">
        <f>IFERROR(LEFT(meta_Columns[[#This Row],[Excel Column - Label Actual without Semantic Case]],FIND("-",
meta_Columns[[#This Row],[Excel Column - Label Actual without Semantic Case]])-2),"")</f>
        <v/>
      </c>
      <c r="AU3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2</v>
      </c>
      <c r="AV3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2</v>
      </c>
      <c r="AX322" s="22"/>
      <c r="AY322" s="8" t="str">
        <f>meta_Columns[[#This Row],[Owning Table]]&amp;"."&amp;meta_Columns[[#This Row],[Excel Column - Label]]</f>
        <v>meta::TablePatterns.Match Filter Column 2</v>
      </c>
      <c r="AZ322" s="43" t="s">
        <v>533</v>
      </c>
      <c r="BA322" s="44" t="str">
        <f>IF(TRIM(meta_Columns[[#This Row],[Excel Column - Label Overwrite]])&lt;&gt;"",meta_Columns[[#This Row],[Excel Column - Label Overwrite]],meta_Columns[[#This Row],[Excel Column - Label from Property or Referenced Table]])</f>
        <v>Match Filter Column 2</v>
      </c>
      <c r="BB322" s="43"/>
      <c r="BC322" s="8" t="str">
        <f>IF(meta_Columns[[#This Row],[Excel Column - Explicit Excel Formula]]="","",meta_Columns[[#This Row],[Excel Column - Explicit Excel Formula]])</f>
        <v/>
      </c>
      <c r="BD322" s="5"/>
      <c r="BE322" s="5"/>
    </row>
    <row r="323" spans="1:57">
      <c r="A323" s="10" t="s">
        <v>1283</v>
      </c>
      <c r="B323" s="5" t="s">
        <v>546</v>
      </c>
      <c r="C323" s="22" t="str">
        <f xml:space="preserve"> IF( TRIM( meta_Columns[[#This Row],[Kind:src]] ) = "", "",
        INDEX( meta_Classifiers[Display Qualified], MATCH( meta_Columns[[#This Row],[Kind:src]], meta_Classifiers[ID], 0 ) ) )</f>
        <v>ExcelColumn</v>
      </c>
      <c r="D323" s="44" t="e">
        <f>IF(meta_Columns[[#This Row],[Owning Table:src]]="","",INDEX(meta_Classifiers[Package],MATCH(meta_Columns[[#This Row],[Owning Table Instances Class]],meta_Classifiers[ID],0)))</f>
        <v>#N/A</v>
      </c>
      <c r="E323" s="43"/>
      <c r="F323" s="44" t="str">
        <f>INDEX(meta_Tables[Excel Table - Excel Name],MATCH(meta_Columns[[#This Row],[Owning Table:src]],meta_Tables[ID],0))</f>
        <v>meta_TablePatterns</v>
      </c>
      <c r="G323" s="44">
        <f>INDEX(meta_Tables[Instances Class:src],MATCH(meta_Columns[[#This Row],[Owning Table:src]],meta_Tables[ID],0))</f>
        <v>0</v>
      </c>
      <c r="H323" s="5" t="s">
        <v>1017</v>
      </c>
      <c r="I323" s="43" t="str">
        <f xml:space="preserve"> IF( TRIM( meta_Columns[[#This Row],[Owning Table:src]] ) = "", "",
        INDEX( meta_Tables[Display Qualified], MATCH( meta_Columns[[#This Row],[Owning Table:src]], meta_Tables[ID], 0 ) ) )</f>
        <v>meta::TablePatterns</v>
      </c>
      <c r="K323" s="22" t="str">
        <f>IF(TRIM(meta_Columns[[#This Row],[Referenced Table:src]])="","",
    INDEX(meta_Tables[Display Qualified],MATCH(meta_Columns[[#This Row],[Referenced Table:src]],meta_Tables[ID],0)))</f>
        <v/>
      </c>
      <c r="L323" s="8"/>
      <c r="M323" s="22"/>
      <c r="N323" s="8" t="str">
        <f>IF(meta_Columns[[#This Row],[Excel Column - Excel Formula]]="","x","")</f>
        <v>x</v>
      </c>
      <c r="O323" s="22"/>
      <c r="P323" s="8" t="str">
        <f>IF(meta_Columns[[#This Row],[Referenced Table:src]]="","",INDEX(meta_Tables[Instances Class],MATCH(meta_Columns[[#This Row],[Referenced Table:src]],meta_Tables[ID],0)))</f>
        <v/>
      </c>
      <c r="Q32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3" s="8"/>
      <c r="S323" s="22" t="str">
        <f xml:space="preserve"> IF( TRIM( meta_Columns[[#This Row],[Property:src]] ) = "", "",
        INDEX( meta_TypedModelElements[Display Qualified], MATCH( meta_Columns[[#This Row],[Property:src]], meta_TypedModelElements[ID], 0 ) ) )</f>
        <v/>
      </c>
      <c r="T323" s="22"/>
      <c r="U323" s="8" t="e">
        <f>INDEX(meta_Classifiers[Class - Generalization:src], MATCH(meta_Columns[[#This Row],[Generalization 5]],meta_Classifiers[ID],0))</f>
        <v>#N/A</v>
      </c>
      <c r="V323" s="8" t="e">
        <f>INDEX(meta_Classifiers[Class - Generalization:src], MATCH(meta_Columns[[#This Row],[Generalization 4]],meta_Classifiers[ID],0))</f>
        <v>#N/A</v>
      </c>
      <c r="W323" s="8" t="e">
        <f>INDEX(meta_Classifiers[Class - Generalization:src], MATCH(meta_Columns[[#This Row],[Generalization 3]],meta_Classifiers[ID],0))</f>
        <v>#N/A</v>
      </c>
      <c r="X323" s="8" t="e">
        <f>INDEX(meta_Classifiers[Class - Generalization:src], MATCH(meta_Columns[[#This Row],[Generalization 2]],meta_Classifiers[ID],0))</f>
        <v>#N/A</v>
      </c>
      <c r="Y323" s="8" t="e">
        <f>INDEX(meta_Classifiers[Class - Generalization:src], MATCH(meta_Columns[[#This Row],[Generalization 1]],meta_Classifiers[ID],0))</f>
        <v>#N/A</v>
      </c>
      <c r="Z323" s="8" t="e">
        <f>INDEX(meta_Classifiers[Class - Generalization:src], MATCH(meta_Columns[[#This Row],[Owning Table Instances Class]],meta_Classifiers[ID],0))</f>
        <v>#N/A</v>
      </c>
      <c r="AA3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3" s="8" t="b">
        <f>_xlfn.IFNA(
INDEX(meta_Classifiers[Class - Generalization:src],MATCH(
INDEX(meta_Classifiers[Class - Generalization:src],MATCH(meta_Columns[[#This Row],[Property Owning Class]],meta_Classifiers[ID],0)),meta_Classifiers[ID],0))
=meta_Columns[[#This Row],[Owning Table Instances Class]],FALSE)</f>
        <v>0</v>
      </c>
      <c r="AG323" s="8" t="b">
        <f>_xlfn.IFNA(INDEX(meta_Classifiers[Class - Generalization:src],MATCH(meta_Columns[[#This Row],[Property Owning Class]],meta_Classifiers[ID],0))=meta_Columns[[#This Row],[Owning Table Instances Class]],FALSE)</f>
        <v>0</v>
      </c>
      <c r="AH3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3" s="8" t="e">
        <f>INDEX(meta_Classifiers[Name],MATCH(INDEX(meta_TypedModelElements[Property - Owning Class:src],MATCH(meta_Columns[[#This Row],[Property]],meta_TypedModelElements[ID],0)),meta_Classifiers[ID],0))</f>
        <v>#N/A</v>
      </c>
      <c r="AJ323" s="8" t="e">
        <f>INDEX(meta_TypedModelElements[Property - Owning Class:src],MATCH(meta_Columns[[#This Row],[Property]],meta_TypedModelElements[ID],0))</f>
        <v>#N/A</v>
      </c>
      <c r="AK323" s="8" t="e">
        <f>INDEX(meta_TypedModelElements[Kind:src],MATCH(meta_Columns[[#This Row],[Property]],meta_TypedModelElements[ID],0))</f>
        <v>#N/A</v>
      </c>
      <c r="AL323" s="8" t="e">
        <f>INDEX(meta_TypedModelElements[Name or Type],MATCH(meta_Columns[[#This Row],[Property]],meta_TypedModelElements[ID],0))</f>
        <v>#N/A</v>
      </c>
      <c r="AM323" s="8" t="e">
        <f>INDEX(meta_TypedModelElements[Property - Changeable],MATCH(meta_Columns[[#This Row],[Property]],meta_TypedModelElements[ID],0))</f>
        <v>#N/A</v>
      </c>
      <c r="AN323" s="43">
        <v>12</v>
      </c>
      <c r="AO323" s="22">
        <v>10</v>
      </c>
      <c r="AP3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3" s="8" t="str">
        <f xml:space="preserve"> IF(meta_Columns[[#This Row],[Property Owning Class is Specialization of Instance Class]],meta_Columns[[#This Row],[Property Owning Class Name]]&amp;" - ","")</f>
        <v/>
      </c>
      <c r="AR3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1</v>
      </c>
      <c r="AT323" s="8" t="str">
        <f>IFERROR(LEFT(meta_Columns[[#This Row],[Excel Column - Label Actual without Semantic Case]],FIND("-",
meta_Columns[[#This Row],[Excel Column - Label Actual without Semantic Case]])-2),"")</f>
        <v/>
      </c>
      <c r="AU3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1</v>
      </c>
      <c r="AV3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1</v>
      </c>
      <c r="AX323" s="22"/>
      <c r="AY323" s="8" t="str">
        <f>meta_Columns[[#This Row],[Owning Table]]&amp;"."&amp;meta_Columns[[#This Row],[Excel Column - Label]]</f>
        <v>meta::TablePatterns.Match Key Column 1</v>
      </c>
      <c r="AZ323" s="43" t="s">
        <v>512</v>
      </c>
      <c r="BA323" s="44" t="str">
        <f>IF(TRIM(meta_Columns[[#This Row],[Excel Column - Label Overwrite]])&lt;&gt;"",meta_Columns[[#This Row],[Excel Column - Label Overwrite]],meta_Columns[[#This Row],[Excel Column - Label from Property or Referenced Table]])</f>
        <v>Match Key Column 1</v>
      </c>
      <c r="BB323" s="43"/>
      <c r="BC323" s="8" t="str">
        <f>IF(meta_Columns[[#This Row],[Excel Column - Explicit Excel Formula]]="","",meta_Columns[[#This Row],[Excel Column - Explicit Excel Formula]])</f>
        <v/>
      </c>
      <c r="BD323" s="5"/>
      <c r="BE323" s="5"/>
    </row>
    <row r="324" spans="1:57">
      <c r="A324" s="10" t="s">
        <v>1284</v>
      </c>
      <c r="B324" s="5" t="s">
        <v>546</v>
      </c>
      <c r="C324" s="22" t="str">
        <f xml:space="preserve"> IF( TRIM( meta_Columns[[#This Row],[Kind:src]] ) = "", "",
        INDEX( meta_Classifiers[Display Qualified], MATCH( meta_Columns[[#This Row],[Kind:src]], meta_Classifiers[ID], 0 ) ) )</f>
        <v>ExcelColumn</v>
      </c>
      <c r="D324" s="44" t="e">
        <f>IF(meta_Columns[[#This Row],[Owning Table:src]]="","",INDEX(meta_Classifiers[Package],MATCH(meta_Columns[[#This Row],[Owning Table Instances Class]],meta_Classifiers[ID],0)))</f>
        <v>#N/A</v>
      </c>
      <c r="E324" s="43"/>
      <c r="F324" s="44" t="str">
        <f>INDEX(meta_Tables[Excel Table - Excel Name],MATCH(meta_Columns[[#This Row],[Owning Table:src]],meta_Tables[ID],0))</f>
        <v>meta_TablePatterns</v>
      </c>
      <c r="G324" s="44">
        <f>INDEX(meta_Tables[Instances Class:src],MATCH(meta_Columns[[#This Row],[Owning Table:src]],meta_Tables[ID],0))</f>
        <v>0</v>
      </c>
      <c r="H324" s="5" t="s">
        <v>1017</v>
      </c>
      <c r="I324" s="43" t="str">
        <f xml:space="preserve"> IF( TRIM( meta_Columns[[#This Row],[Owning Table:src]] ) = "", "",
        INDEX( meta_Tables[Display Qualified], MATCH( meta_Columns[[#This Row],[Owning Table:src]], meta_Tables[ID], 0 ) ) )</f>
        <v>meta::TablePatterns</v>
      </c>
      <c r="K324" s="22" t="str">
        <f>IF(TRIM(meta_Columns[[#This Row],[Referenced Table:src]])="","",
    INDEX(meta_Tables[Display Qualified],MATCH(meta_Columns[[#This Row],[Referenced Table:src]],meta_Tables[ID],0)))</f>
        <v/>
      </c>
      <c r="L324" s="8"/>
      <c r="M324" s="22"/>
      <c r="N324" s="8" t="str">
        <f>IF(meta_Columns[[#This Row],[Excel Column - Excel Formula]]="","x","")</f>
        <v>x</v>
      </c>
      <c r="O324" s="22"/>
      <c r="P324" s="8" t="str">
        <f>IF(meta_Columns[[#This Row],[Referenced Table:src]]="","",INDEX(meta_Tables[Instances Class],MATCH(meta_Columns[[#This Row],[Referenced Table:src]],meta_Tables[ID],0)))</f>
        <v/>
      </c>
      <c r="Q32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4" s="8"/>
      <c r="S324" s="22" t="str">
        <f xml:space="preserve"> IF( TRIM( meta_Columns[[#This Row],[Property:src]] ) = "", "",
        INDEX( meta_TypedModelElements[Display Qualified], MATCH( meta_Columns[[#This Row],[Property:src]], meta_TypedModelElements[ID], 0 ) ) )</f>
        <v/>
      </c>
      <c r="T324" s="22"/>
      <c r="U324" s="8" t="e">
        <f>INDEX(meta_Classifiers[Class - Generalization:src], MATCH(meta_Columns[[#This Row],[Generalization 5]],meta_Classifiers[ID],0))</f>
        <v>#N/A</v>
      </c>
      <c r="V324" s="8" t="e">
        <f>INDEX(meta_Classifiers[Class - Generalization:src], MATCH(meta_Columns[[#This Row],[Generalization 4]],meta_Classifiers[ID],0))</f>
        <v>#N/A</v>
      </c>
      <c r="W324" s="8" t="e">
        <f>INDEX(meta_Classifiers[Class - Generalization:src], MATCH(meta_Columns[[#This Row],[Generalization 3]],meta_Classifiers[ID],0))</f>
        <v>#N/A</v>
      </c>
      <c r="X324" s="8" t="e">
        <f>INDEX(meta_Classifiers[Class - Generalization:src], MATCH(meta_Columns[[#This Row],[Generalization 2]],meta_Classifiers[ID],0))</f>
        <v>#N/A</v>
      </c>
      <c r="Y324" s="8" t="e">
        <f>INDEX(meta_Classifiers[Class - Generalization:src], MATCH(meta_Columns[[#This Row],[Generalization 1]],meta_Classifiers[ID],0))</f>
        <v>#N/A</v>
      </c>
      <c r="Z324" s="8" t="e">
        <f>INDEX(meta_Classifiers[Class - Generalization:src], MATCH(meta_Columns[[#This Row],[Owning Table Instances Class]],meta_Classifiers[ID],0))</f>
        <v>#N/A</v>
      </c>
      <c r="AA3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4" s="8" t="b">
        <f>_xlfn.IFNA(
INDEX(meta_Classifiers[Class - Generalization:src],MATCH(
INDEX(meta_Classifiers[Class - Generalization:src],MATCH(meta_Columns[[#This Row],[Property Owning Class]],meta_Classifiers[ID],0)),meta_Classifiers[ID],0))
=meta_Columns[[#This Row],[Owning Table Instances Class]],FALSE)</f>
        <v>0</v>
      </c>
      <c r="AG324" s="8" t="b">
        <f>_xlfn.IFNA(INDEX(meta_Classifiers[Class - Generalization:src],MATCH(meta_Columns[[#This Row],[Property Owning Class]],meta_Classifiers[ID],0))=meta_Columns[[#This Row],[Owning Table Instances Class]],FALSE)</f>
        <v>0</v>
      </c>
      <c r="AH3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4" s="8" t="e">
        <f>INDEX(meta_Classifiers[Name],MATCH(INDEX(meta_TypedModelElements[Property - Owning Class:src],MATCH(meta_Columns[[#This Row],[Property]],meta_TypedModelElements[ID],0)),meta_Classifiers[ID],0))</f>
        <v>#N/A</v>
      </c>
      <c r="AJ324" s="8" t="e">
        <f>INDEX(meta_TypedModelElements[Property - Owning Class:src],MATCH(meta_Columns[[#This Row],[Property]],meta_TypedModelElements[ID],0))</f>
        <v>#N/A</v>
      </c>
      <c r="AK324" s="8" t="e">
        <f>INDEX(meta_TypedModelElements[Kind:src],MATCH(meta_Columns[[#This Row],[Property]],meta_TypedModelElements[ID],0))</f>
        <v>#N/A</v>
      </c>
      <c r="AL324" s="8" t="e">
        <f>INDEX(meta_TypedModelElements[Name or Type],MATCH(meta_Columns[[#This Row],[Property]],meta_TypedModelElements[ID],0))</f>
        <v>#N/A</v>
      </c>
      <c r="AM324" s="8" t="e">
        <f>INDEX(meta_TypedModelElements[Property - Changeable],MATCH(meta_Columns[[#This Row],[Property]],meta_TypedModelElements[ID],0))</f>
        <v>#N/A</v>
      </c>
      <c r="AN324" s="43">
        <v>13</v>
      </c>
      <c r="AO324" s="22">
        <v>11</v>
      </c>
      <c r="AP3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4" s="8" t="str">
        <f xml:space="preserve"> IF(meta_Columns[[#This Row],[Property Owning Class is Specialization of Instance Class]],meta_Columns[[#This Row],[Property Owning Class Name]]&amp;" - ","")</f>
        <v/>
      </c>
      <c r="AR3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2</v>
      </c>
      <c r="AT324" s="8" t="str">
        <f>IFERROR(LEFT(meta_Columns[[#This Row],[Excel Column - Label Actual without Semantic Case]],FIND("-",
meta_Columns[[#This Row],[Excel Column - Label Actual without Semantic Case]])-2),"")</f>
        <v/>
      </c>
      <c r="AU3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2</v>
      </c>
      <c r="AV3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2</v>
      </c>
      <c r="AX324" s="22"/>
      <c r="AY324" s="8" t="str">
        <f>meta_Columns[[#This Row],[Owning Table]]&amp;"."&amp;meta_Columns[[#This Row],[Excel Column - Label]]</f>
        <v>meta::TablePatterns.Match Key Column 2</v>
      </c>
      <c r="AZ324" s="43" t="s">
        <v>513</v>
      </c>
      <c r="BA324" s="44" t="str">
        <f>IF(TRIM(meta_Columns[[#This Row],[Excel Column - Label Overwrite]])&lt;&gt;"",meta_Columns[[#This Row],[Excel Column - Label Overwrite]],meta_Columns[[#This Row],[Excel Column - Label from Property or Referenced Table]])</f>
        <v>Match Key Column 2</v>
      </c>
      <c r="BB324" s="43"/>
      <c r="BC324" s="8" t="str">
        <f>IF(meta_Columns[[#This Row],[Excel Column - Explicit Excel Formula]]="","",meta_Columns[[#This Row],[Excel Column - Explicit Excel Formula]])</f>
        <v/>
      </c>
      <c r="BD324" s="5"/>
      <c r="BE324" s="5"/>
    </row>
    <row r="325" spans="1:57">
      <c r="A325" s="10" t="s">
        <v>1285</v>
      </c>
      <c r="B325" s="5" t="s">
        <v>546</v>
      </c>
      <c r="C325" s="22" t="str">
        <f xml:space="preserve"> IF( TRIM( meta_Columns[[#This Row],[Kind:src]] ) = "", "",
        INDEX( meta_Classifiers[Display Qualified], MATCH( meta_Columns[[#This Row],[Kind:src]], meta_Classifiers[ID], 0 ) ) )</f>
        <v>ExcelColumn</v>
      </c>
      <c r="D325" s="44" t="e">
        <f>IF(meta_Columns[[#This Row],[Owning Table:src]]="","",INDEX(meta_Classifiers[Package],MATCH(meta_Columns[[#This Row],[Owning Table Instances Class]],meta_Classifiers[ID],0)))</f>
        <v>#N/A</v>
      </c>
      <c r="E325" s="43"/>
      <c r="F325" s="44" t="str">
        <f>INDEX(meta_Tables[Excel Table - Excel Name],MATCH(meta_Columns[[#This Row],[Owning Table:src]],meta_Tables[ID],0))</f>
        <v>meta_TablePatterns</v>
      </c>
      <c r="G325" s="44">
        <f>INDEX(meta_Tables[Instances Class:src],MATCH(meta_Columns[[#This Row],[Owning Table:src]],meta_Tables[ID],0))</f>
        <v>0</v>
      </c>
      <c r="H325" s="5" t="s">
        <v>1017</v>
      </c>
      <c r="I325" s="43" t="str">
        <f xml:space="preserve"> IF( TRIM( meta_Columns[[#This Row],[Owning Table:src]] ) = "", "",
        INDEX( meta_Tables[Display Qualified], MATCH( meta_Columns[[#This Row],[Owning Table:src]], meta_Tables[ID], 0 ) ) )</f>
        <v>meta::TablePatterns</v>
      </c>
      <c r="K325" s="22" t="str">
        <f>IF(TRIM(meta_Columns[[#This Row],[Referenced Table:src]])="","",
    INDEX(meta_Tables[Display Qualified],MATCH(meta_Columns[[#This Row],[Referenced Table:src]],meta_Tables[ID],0)))</f>
        <v/>
      </c>
      <c r="L325" s="8"/>
      <c r="M325" s="22"/>
      <c r="N325" s="8" t="str">
        <f>IF(meta_Columns[[#This Row],[Excel Column - Excel Formula]]="","x","")</f>
        <v>x</v>
      </c>
      <c r="O325" s="22"/>
      <c r="P325" s="8" t="str">
        <f>IF(meta_Columns[[#This Row],[Referenced Table:src]]="","",INDEX(meta_Tables[Instances Class],MATCH(meta_Columns[[#This Row],[Referenced Table:src]],meta_Tables[ID],0)))</f>
        <v/>
      </c>
      <c r="Q32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5" s="8"/>
      <c r="S325" s="22" t="str">
        <f xml:space="preserve"> IF( TRIM( meta_Columns[[#This Row],[Property:src]] ) = "", "",
        INDEX( meta_TypedModelElements[Display Qualified], MATCH( meta_Columns[[#This Row],[Property:src]], meta_TypedModelElements[ID], 0 ) ) )</f>
        <v/>
      </c>
      <c r="T325" s="22"/>
      <c r="U325" s="8" t="e">
        <f>INDEX(meta_Classifiers[Class - Generalization:src], MATCH(meta_Columns[[#This Row],[Generalization 5]],meta_Classifiers[ID],0))</f>
        <v>#N/A</v>
      </c>
      <c r="V325" s="8" t="e">
        <f>INDEX(meta_Classifiers[Class - Generalization:src], MATCH(meta_Columns[[#This Row],[Generalization 4]],meta_Classifiers[ID],0))</f>
        <v>#N/A</v>
      </c>
      <c r="W325" s="8" t="e">
        <f>INDEX(meta_Classifiers[Class - Generalization:src], MATCH(meta_Columns[[#This Row],[Generalization 3]],meta_Classifiers[ID],0))</f>
        <v>#N/A</v>
      </c>
      <c r="X325" s="8" t="e">
        <f>INDEX(meta_Classifiers[Class - Generalization:src], MATCH(meta_Columns[[#This Row],[Generalization 2]],meta_Classifiers[ID],0))</f>
        <v>#N/A</v>
      </c>
      <c r="Y325" s="8" t="e">
        <f>INDEX(meta_Classifiers[Class - Generalization:src], MATCH(meta_Columns[[#This Row],[Generalization 1]],meta_Classifiers[ID],0))</f>
        <v>#N/A</v>
      </c>
      <c r="Z325" s="8" t="e">
        <f>INDEX(meta_Classifiers[Class - Generalization:src], MATCH(meta_Columns[[#This Row],[Owning Table Instances Class]],meta_Classifiers[ID],0))</f>
        <v>#N/A</v>
      </c>
      <c r="AA3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5" s="8" t="b">
        <f>_xlfn.IFNA(
INDEX(meta_Classifiers[Class - Generalization:src],MATCH(
INDEX(meta_Classifiers[Class - Generalization:src],MATCH(meta_Columns[[#This Row],[Property Owning Class]],meta_Classifiers[ID],0)),meta_Classifiers[ID],0))
=meta_Columns[[#This Row],[Owning Table Instances Class]],FALSE)</f>
        <v>0</v>
      </c>
      <c r="AG325" s="8" t="b">
        <f>_xlfn.IFNA(INDEX(meta_Classifiers[Class - Generalization:src],MATCH(meta_Columns[[#This Row],[Property Owning Class]],meta_Classifiers[ID],0))=meta_Columns[[#This Row],[Owning Table Instances Class]],FALSE)</f>
        <v>0</v>
      </c>
      <c r="AH3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5" s="8" t="e">
        <f>INDEX(meta_Classifiers[Name],MATCH(INDEX(meta_TypedModelElements[Property - Owning Class:src],MATCH(meta_Columns[[#This Row],[Property]],meta_TypedModelElements[ID],0)),meta_Classifiers[ID],0))</f>
        <v>#N/A</v>
      </c>
      <c r="AJ325" s="8" t="e">
        <f>INDEX(meta_TypedModelElements[Property - Owning Class:src],MATCH(meta_Columns[[#This Row],[Property]],meta_TypedModelElements[ID],0))</f>
        <v>#N/A</v>
      </c>
      <c r="AK325" s="8" t="e">
        <f>INDEX(meta_TypedModelElements[Kind:src],MATCH(meta_Columns[[#This Row],[Property]],meta_TypedModelElements[ID],0))</f>
        <v>#N/A</v>
      </c>
      <c r="AL325" s="8" t="e">
        <f>INDEX(meta_TypedModelElements[Name or Type],MATCH(meta_Columns[[#This Row],[Property]],meta_TypedModelElements[ID],0))</f>
        <v>#N/A</v>
      </c>
      <c r="AM325" s="8" t="e">
        <f>INDEX(meta_TypedModelElements[Property - Changeable],MATCH(meta_Columns[[#This Row],[Property]],meta_TypedModelElements[ID],0))</f>
        <v>#N/A</v>
      </c>
      <c r="AN325" s="43">
        <v>14</v>
      </c>
      <c r="AO325" s="22">
        <v>12</v>
      </c>
      <c r="AP3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5" s="8" t="str">
        <f xml:space="preserve"> IF(meta_Columns[[#This Row],[Property Owning Class is Specialization of Instance Class]],meta_Columns[[#This Row],[Property Owning Class Name]]&amp;" - ","")</f>
        <v/>
      </c>
      <c r="AR3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3</v>
      </c>
      <c r="AT325" s="8" t="str">
        <f>IFERROR(LEFT(meta_Columns[[#This Row],[Excel Column - Label Actual without Semantic Case]],FIND("-",
meta_Columns[[#This Row],[Excel Column - Label Actual without Semantic Case]])-2),"")</f>
        <v/>
      </c>
      <c r="AU3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3</v>
      </c>
      <c r="AV3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3</v>
      </c>
      <c r="AX325" s="22"/>
      <c r="AY325" s="8" t="str">
        <f>meta_Columns[[#This Row],[Owning Table]]&amp;"."&amp;meta_Columns[[#This Row],[Excel Column - Label]]</f>
        <v>meta::TablePatterns.Match Key Column 3</v>
      </c>
      <c r="AZ325" s="43" t="s">
        <v>514</v>
      </c>
      <c r="BA325" s="44" t="str">
        <f>IF(TRIM(meta_Columns[[#This Row],[Excel Column - Label Overwrite]])&lt;&gt;"",meta_Columns[[#This Row],[Excel Column - Label Overwrite]],meta_Columns[[#This Row],[Excel Column - Label from Property or Referenced Table]])</f>
        <v>Match Key Column 3</v>
      </c>
      <c r="BB325" s="43"/>
      <c r="BC325" s="8" t="str">
        <f>IF(meta_Columns[[#This Row],[Excel Column - Explicit Excel Formula]]="","",meta_Columns[[#This Row],[Excel Column - Explicit Excel Formula]])</f>
        <v/>
      </c>
      <c r="BD325" s="5"/>
      <c r="BE325" s="5"/>
    </row>
    <row r="326" spans="1:57">
      <c r="A326" s="10" t="s">
        <v>1286</v>
      </c>
      <c r="B326" s="5" t="s">
        <v>546</v>
      </c>
      <c r="C326" s="22" t="str">
        <f xml:space="preserve"> IF( TRIM( meta_Columns[[#This Row],[Kind:src]] ) = "", "",
        INDEX( meta_Classifiers[Display Qualified], MATCH( meta_Columns[[#This Row],[Kind:src]], meta_Classifiers[ID], 0 ) ) )</f>
        <v>ExcelColumn</v>
      </c>
      <c r="D326" s="44" t="e">
        <f>IF(meta_Columns[[#This Row],[Owning Table:src]]="","",INDEX(meta_Classifiers[Package],MATCH(meta_Columns[[#This Row],[Owning Table Instances Class]],meta_Classifiers[ID],0)))</f>
        <v>#N/A</v>
      </c>
      <c r="E326" s="43"/>
      <c r="F326" s="44" t="str">
        <f>INDEX(meta_Tables[Excel Table - Excel Name],MATCH(meta_Columns[[#This Row],[Owning Table:src]],meta_Tables[ID],0))</f>
        <v>meta_TablePatterns</v>
      </c>
      <c r="G326" s="44">
        <f>INDEX(meta_Tables[Instances Class:src],MATCH(meta_Columns[[#This Row],[Owning Table:src]],meta_Tables[ID],0))</f>
        <v>0</v>
      </c>
      <c r="H326" s="5" t="s">
        <v>1017</v>
      </c>
      <c r="I326" s="43" t="str">
        <f xml:space="preserve"> IF( TRIM( meta_Columns[[#This Row],[Owning Table:src]] ) = "", "",
        INDEX( meta_Tables[Display Qualified], MATCH( meta_Columns[[#This Row],[Owning Table:src]], meta_Tables[ID], 0 ) ) )</f>
        <v>meta::TablePatterns</v>
      </c>
      <c r="K326" s="22" t="str">
        <f>IF(TRIM(meta_Columns[[#This Row],[Referenced Table:src]])="","",
    INDEX(meta_Tables[Display Qualified],MATCH(meta_Columns[[#This Row],[Referenced Table:src]],meta_Tables[ID],0)))</f>
        <v/>
      </c>
      <c r="L326" s="8"/>
      <c r="M326" s="22"/>
      <c r="N326" s="8" t="str">
        <f>IF(meta_Columns[[#This Row],[Excel Column - Excel Formula]]="","x","")</f>
        <v>x</v>
      </c>
      <c r="O326" s="22"/>
      <c r="P326" s="8" t="str">
        <f>IF(meta_Columns[[#This Row],[Referenced Table:src]]="","",INDEX(meta_Tables[Instances Class],MATCH(meta_Columns[[#This Row],[Referenced Table:src]],meta_Tables[ID],0)))</f>
        <v/>
      </c>
      <c r="Q32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6" s="8"/>
      <c r="S326" s="22" t="str">
        <f xml:space="preserve"> IF( TRIM( meta_Columns[[#This Row],[Property:src]] ) = "", "",
        INDEX( meta_TypedModelElements[Display Qualified], MATCH( meta_Columns[[#This Row],[Property:src]], meta_TypedModelElements[ID], 0 ) ) )</f>
        <v/>
      </c>
      <c r="T326" s="22"/>
      <c r="U326" s="8" t="e">
        <f>INDEX(meta_Classifiers[Class - Generalization:src], MATCH(meta_Columns[[#This Row],[Generalization 5]],meta_Classifiers[ID],0))</f>
        <v>#N/A</v>
      </c>
      <c r="V326" s="8" t="e">
        <f>INDEX(meta_Classifiers[Class - Generalization:src], MATCH(meta_Columns[[#This Row],[Generalization 4]],meta_Classifiers[ID],0))</f>
        <v>#N/A</v>
      </c>
      <c r="W326" s="8" t="e">
        <f>INDEX(meta_Classifiers[Class - Generalization:src], MATCH(meta_Columns[[#This Row],[Generalization 3]],meta_Classifiers[ID],0))</f>
        <v>#N/A</v>
      </c>
      <c r="X326" s="8" t="e">
        <f>INDEX(meta_Classifiers[Class - Generalization:src], MATCH(meta_Columns[[#This Row],[Generalization 2]],meta_Classifiers[ID],0))</f>
        <v>#N/A</v>
      </c>
      <c r="Y326" s="8" t="e">
        <f>INDEX(meta_Classifiers[Class - Generalization:src], MATCH(meta_Columns[[#This Row],[Generalization 1]],meta_Classifiers[ID],0))</f>
        <v>#N/A</v>
      </c>
      <c r="Z326" s="8" t="e">
        <f>INDEX(meta_Classifiers[Class - Generalization:src], MATCH(meta_Columns[[#This Row],[Owning Table Instances Class]],meta_Classifiers[ID],0))</f>
        <v>#N/A</v>
      </c>
      <c r="AA3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6" s="8" t="b">
        <f>_xlfn.IFNA(
INDEX(meta_Classifiers[Class - Generalization:src],MATCH(
INDEX(meta_Classifiers[Class - Generalization:src],MATCH(meta_Columns[[#This Row],[Property Owning Class]],meta_Classifiers[ID],0)),meta_Classifiers[ID],0))
=meta_Columns[[#This Row],[Owning Table Instances Class]],FALSE)</f>
        <v>0</v>
      </c>
      <c r="AG326" s="8" t="b">
        <f>_xlfn.IFNA(INDEX(meta_Classifiers[Class - Generalization:src],MATCH(meta_Columns[[#This Row],[Property Owning Class]],meta_Classifiers[ID],0))=meta_Columns[[#This Row],[Owning Table Instances Class]],FALSE)</f>
        <v>0</v>
      </c>
      <c r="AH3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6" s="8" t="e">
        <f>INDEX(meta_Classifiers[Name],MATCH(INDEX(meta_TypedModelElements[Property - Owning Class:src],MATCH(meta_Columns[[#This Row],[Property]],meta_TypedModelElements[ID],0)),meta_Classifiers[ID],0))</f>
        <v>#N/A</v>
      </c>
      <c r="AJ326" s="8" t="e">
        <f>INDEX(meta_TypedModelElements[Property - Owning Class:src],MATCH(meta_Columns[[#This Row],[Property]],meta_TypedModelElements[ID],0))</f>
        <v>#N/A</v>
      </c>
      <c r="AK326" s="8" t="e">
        <f>INDEX(meta_TypedModelElements[Kind:src],MATCH(meta_Columns[[#This Row],[Property]],meta_TypedModelElements[ID],0))</f>
        <v>#N/A</v>
      </c>
      <c r="AL326" s="8" t="e">
        <f>INDEX(meta_TypedModelElements[Name or Type],MATCH(meta_Columns[[#This Row],[Property]],meta_TypedModelElements[ID],0))</f>
        <v>#N/A</v>
      </c>
      <c r="AM326" s="8" t="e">
        <f>INDEX(meta_TypedModelElements[Property - Changeable],MATCH(meta_Columns[[#This Row],[Property]],meta_TypedModelElements[ID],0))</f>
        <v>#N/A</v>
      </c>
      <c r="AN326" s="43">
        <v>15</v>
      </c>
      <c r="AO326" s="22">
        <v>13</v>
      </c>
      <c r="AP3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6" s="8" t="str">
        <f xml:space="preserve"> IF(meta_Columns[[#This Row],[Property Owning Class is Specialization of Instance Class]],meta_Columns[[#This Row],[Property Owning Class Name]]&amp;" - ","")</f>
        <v/>
      </c>
      <c r="AR3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4</v>
      </c>
      <c r="AT326" s="8" t="str">
        <f>IFERROR(LEFT(meta_Columns[[#This Row],[Excel Column - Label Actual without Semantic Case]],FIND("-",
meta_Columns[[#This Row],[Excel Column - Label Actual without Semantic Case]])-2),"")</f>
        <v/>
      </c>
      <c r="AU3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4</v>
      </c>
      <c r="AV3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4</v>
      </c>
      <c r="AX326" s="22"/>
      <c r="AY326" s="8" t="str">
        <f>meta_Columns[[#This Row],[Owning Table]]&amp;"."&amp;meta_Columns[[#This Row],[Excel Column - Label]]</f>
        <v>meta::TablePatterns.Match Key Column 4</v>
      </c>
      <c r="AZ326" s="43" t="s">
        <v>515</v>
      </c>
      <c r="BA326" s="44" t="str">
        <f>IF(TRIM(meta_Columns[[#This Row],[Excel Column - Label Overwrite]])&lt;&gt;"",meta_Columns[[#This Row],[Excel Column - Label Overwrite]],meta_Columns[[#This Row],[Excel Column - Label from Property or Referenced Table]])</f>
        <v>Match Key Column 4</v>
      </c>
      <c r="BB326" s="43"/>
      <c r="BC326" s="8" t="str">
        <f>IF(meta_Columns[[#This Row],[Excel Column - Explicit Excel Formula]]="","",meta_Columns[[#This Row],[Excel Column - Explicit Excel Formula]])</f>
        <v/>
      </c>
      <c r="BD326" s="5"/>
      <c r="BE326" s="5"/>
    </row>
    <row r="327" spans="1:57">
      <c r="A327" s="10" t="s">
        <v>1287</v>
      </c>
      <c r="B327" s="5" t="s">
        <v>546</v>
      </c>
      <c r="C327" s="22" t="str">
        <f xml:space="preserve"> IF( TRIM( meta_Columns[[#This Row],[Kind:src]] ) = "", "",
        INDEX( meta_Classifiers[Display Qualified], MATCH( meta_Columns[[#This Row],[Kind:src]], meta_Classifiers[ID], 0 ) ) )</f>
        <v>ExcelColumn</v>
      </c>
      <c r="D327" s="44" t="e">
        <f>IF(meta_Columns[[#This Row],[Owning Table:src]]="","",INDEX(meta_Classifiers[Package],MATCH(meta_Columns[[#This Row],[Owning Table Instances Class]],meta_Classifiers[ID],0)))</f>
        <v>#N/A</v>
      </c>
      <c r="E327" s="43"/>
      <c r="F327" s="44" t="str">
        <f>INDEX(meta_Tables[Excel Table - Excel Name],MATCH(meta_Columns[[#This Row],[Owning Table:src]],meta_Tables[ID],0))</f>
        <v>meta_TablePatterns</v>
      </c>
      <c r="G327" s="44">
        <f>INDEX(meta_Tables[Instances Class:src],MATCH(meta_Columns[[#This Row],[Owning Table:src]],meta_Tables[ID],0))</f>
        <v>0</v>
      </c>
      <c r="H327" s="5" t="s">
        <v>1017</v>
      </c>
      <c r="I327" s="43" t="str">
        <f xml:space="preserve"> IF( TRIM( meta_Columns[[#This Row],[Owning Table:src]] ) = "", "",
        INDEX( meta_Tables[Display Qualified], MATCH( meta_Columns[[#This Row],[Owning Table:src]], meta_Tables[ID], 0 ) ) )</f>
        <v>meta::TablePatterns</v>
      </c>
      <c r="K327" s="22" t="str">
        <f>IF(TRIM(meta_Columns[[#This Row],[Referenced Table:src]])="","",
    INDEX(meta_Tables[Display Qualified],MATCH(meta_Columns[[#This Row],[Referenced Table:src]],meta_Tables[ID],0)))</f>
        <v/>
      </c>
      <c r="L327" s="8"/>
      <c r="M327" s="22"/>
      <c r="N327" s="8" t="str">
        <f>IF(meta_Columns[[#This Row],[Excel Column - Excel Formula]]="","x","")</f>
        <v>x</v>
      </c>
      <c r="O327" s="22"/>
      <c r="P327" s="8" t="str">
        <f>IF(meta_Columns[[#This Row],[Referenced Table:src]]="","",INDEX(meta_Tables[Instances Class],MATCH(meta_Columns[[#This Row],[Referenced Table:src]],meta_Tables[ID],0)))</f>
        <v/>
      </c>
      <c r="Q32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7" s="8"/>
      <c r="S327" s="22" t="str">
        <f xml:space="preserve"> IF( TRIM( meta_Columns[[#This Row],[Property:src]] ) = "", "",
        INDEX( meta_TypedModelElements[Display Qualified], MATCH( meta_Columns[[#This Row],[Property:src]], meta_TypedModelElements[ID], 0 ) ) )</f>
        <v/>
      </c>
      <c r="T327" s="22"/>
      <c r="U327" s="8" t="e">
        <f>INDEX(meta_Classifiers[Class - Generalization:src], MATCH(meta_Columns[[#This Row],[Generalization 5]],meta_Classifiers[ID],0))</f>
        <v>#N/A</v>
      </c>
      <c r="V327" s="8" t="e">
        <f>INDEX(meta_Classifiers[Class - Generalization:src], MATCH(meta_Columns[[#This Row],[Generalization 4]],meta_Classifiers[ID],0))</f>
        <v>#N/A</v>
      </c>
      <c r="W327" s="8" t="e">
        <f>INDEX(meta_Classifiers[Class - Generalization:src], MATCH(meta_Columns[[#This Row],[Generalization 3]],meta_Classifiers[ID],0))</f>
        <v>#N/A</v>
      </c>
      <c r="X327" s="8" t="e">
        <f>INDEX(meta_Classifiers[Class - Generalization:src], MATCH(meta_Columns[[#This Row],[Generalization 2]],meta_Classifiers[ID],0))</f>
        <v>#N/A</v>
      </c>
      <c r="Y327" s="8" t="e">
        <f>INDEX(meta_Classifiers[Class - Generalization:src], MATCH(meta_Columns[[#This Row],[Generalization 1]],meta_Classifiers[ID],0))</f>
        <v>#N/A</v>
      </c>
      <c r="Z327" s="8" t="e">
        <f>INDEX(meta_Classifiers[Class - Generalization:src], MATCH(meta_Columns[[#This Row],[Owning Table Instances Class]],meta_Classifiers[ID],0))</f>
        <v>#N/A</v>
      </c>
      <c r="AA3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7" s="8" t="b">
        <f>_xlfn.IFNA(
INDEX(meta_Classifiers[Class - Generalization:src],MATCH(
INDEX(meta_Classifiers[Class - Generalization:src],MATCH(meta_Columns[[#This Row],[Property Owning Class]],meta_Classifiers[ID],0)),meta_Classifiers[ID],0))
=meta_Columns[[#This Row],[Owning Table Instances Class]],FALSE)</f>
        <v>0</v>
      </c>
      <c r="AG327" s="8" t="b">
        <f>_xlfn.IFNA(INDEX(meta_Classifiers[Class - Generalization:src],MATCH(meta_Columns[[#This Row],[Property Owning Class]],meta_Classifiers[ID],0))=meta_Columns[[#This Row],[Owning Table Instances Class]],FALSE)</f>
        <v>0</v>
      </c>
      <c r="AH3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7" s="8" t="e">
        <f>INDEX(meta_Classifiers[Name],MATCH(INDEX(meta_TypedModelElements[Property - Owning Class:src],MATCH(meta_Columns[[#This Row],[Property]],meta_TypedModelElements[ID],0)),meta_Classifiers[ID],0))</f>
        <v>#N/A</v>
      </c>
      <c r="AJ327" s="8" t="e">
        <f>INDEX(meta_TypedModelElements[Property - Owning Class:src],MATCH(meta_Columns[[#This Row],[Property]],meta_TypedModelElements[ID],0))</f>
        <v>#N/A</v>
      </c>
      <c r="AK327" s="8" t="e">
        <f>INDEX(meta_TypedModelElements[Kind:src],MATCH(meta_Columns[[#This Row],[Property]],meta_TypedModelElements[ID],0))</f>
        <v>#N/A</v>
      </c>
      <c r="AL327" s="8" t="e">
        <f>INDEX(meta_TypedModelElements[Name or Type],MATCH(meta_Columns[[#This Row],[Property]],meta_TypedModelElements[ID],0))</f>
        <v>#N/A</v>
      </c>
      <c r="AM327" s="8" t="e">
        <f>INDEX(meta_TypedModelElements[Property - Changeable],MATCH(meta_Columns[[#This Row],[Property]],meta_TypedModelElements[ID],0))</f>
        <v>#N/A</v>
      </c>
      <c r="AN327" s="43">
        <v>16</v>
      </c>
      <c r="AO327" s="22">
        <v>14</v>
      </c>
      <c r="AP3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7" s="8" t="str">
        <f xml:space="preserve"> IF(meta_Columns[[#This Row],[Property Owning Class is Specialization of Instance Class]],meta_Columns[[#This Row],[Property Owning Class Name]]&amp;" - ","")</f>
        <v/>
      </c>
      <c r="AR3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5</v>
      </c>
      <c r="AT327" s="8" t="str">
        <f>IFERROR(LEFT(meta_Columns[[#This Row],[Excel Column - Label Actual without Semantic Case]],FIND("-",
meta_Columns[[#This Row],[Excel Column - Label Actual without Semantic Case]])-2),"")</f>
        <v/>
      </c>
      <c r="AU3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5</v>
      </c>
      <c r="AV3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5</v>
      </c>
      <c r="AX327" s="22"/>
      <c r="AY327" s="8" t="str">
        <f>meta_Columns[[#This Row],[Owning Table]]&amp;"."&amp;meta_Columns[[#This Row],[Excel Column - Label]]</f>
        <v>meta::TablePatterns.Match Key Column 5</v>
      </c>
      <c r="AZ327" s="43" t="s">
        <v>516</v>
      </c>
      <c r="BA327" s="44" t="str">
        <f>IF(TRIM(meta_Columns[[#This Row],[Excel Column - Label Overwrite]])&lt;&gt;"",meta_Columns[[#This Row],[Excel Column - Label Overwrite]],meta_Columns[[#This Row],[Excel Column - Label from Property or Referenced Table]])</f>
        <v>Match Key Column 5</v>
      </c>
      <c r="BB327" s="43"/>
      <c r="BC327" s="8" t="str">
        <f>IF(meta_Columns[[#This Row],[Excel Column - Explicit Excel Formula]]="","",meta_Columns[[#This Row],[Excel Column - Explicit Excel Formula]])</f>
        <v/>
      </c>
      <c r="BD327" s="5"/>
      <c r="BE327" s="5"/>
    </row>
    <row r="328" spans="1:57">
      <c r="A328" s="10" t="s">
        <v>1288</v>
      </c>
      <c r="B328" s="5" t="s">
        <v>546</v>
      </c>
      <c r="C328" s="22" t="str">
        <f xml:space="preserve"> IF( TRIM( meta_Columns[[#This Row],[Kind:src]] ) = "", "",
        INDEX( meta_Classifiers[Display Qualified], MATCH( meta_Columns[[#This Row],[Kind:src]], meta_Classifiers[ID], 0 ) ) )</f>
        <v>ExcelColumn</v>
      </c>
      <c r="D328" s="44" t="e">
        <f>IF(meta_Columns[[#This Row],[Owning Table:src]]="","",INDEX(meta_Classifiers[Package],MATCH(meta_Columns[[#This Row],[Owning Table Instances Class]],meta_Classifiers[ID],0)))</f>
        <v>#N/A</v>
      </c>
      <c r="E328" s="43"/>
      <c r="F328" s="44" t="str">
        <f>INDEX(meta_Tables[Excel Table - Excel Name],MATCH(meta_Columns[[#This Row],[Owning Table:src]],meta_Tables[ID],0))</f>
        <v>meta_TablePatterns</v>
      </c>
      <c r="G328" s="44">
        <f>INDEX(meta_Tables[Instances Class:src],MATCH(meta_Columns[[#This Row],[Owning Table:src]],meta_Tables[ID],0))</f>
        <v>0</v>
      </c>
      <c r="H328" s="5" t="s">
        <v>1017</v>
      </c>
      <c r="I328" s="43" t="str">
        <f xml:space="preserve"> IF( TRIM( meta_Columns[[#This Row],[Owning Table:src]] ) = "", "",
        INDEX( meta_Tables[Display Qualified], MATCH( meta_Columns[[#This Row],[Owning Table:src]], meta_Tables[ID], 0 ) ) )</f>
        <v>meta::TablePatterns</v>
      </c>
      <c r="K328" s="22" t="str">
        <f>IF(TRIM(meta_Columns[[#This Row],[Referenced Table:src]])="","",
    INDEX(meta_Tables[Display Qualified],MATCH(meta_Columns[[#This Row],[Referenced Table:src]],meta_Tables[ID],0)))</f>
        <v/>
      </c>
      <c r="L328" s="8"/>
      <c r="M328" s="22"/>
      <c r="N328" s="8" t="str">
        <f>IF(meta_Columns[[#This Row],[Excel Column - Excel Formula]]="","x","")</f>
        <v>x</v>
      </c>
      <c r="O328" s="22"/>
      <c r="P328" s="8" t="str">
        <f>IF(meta_Columns[[#This Row],[Referenced Table:src]]="","",INDEX(meta_Tables[Instances Class],MATCH(meta_Columns[[#This Row],[Referenced Table:src]],meta_Tables[ID],0)))</f>
        <v/>
      </c>
      <c r="Q32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8" s="8"/>
      <c r="S328" s="22" t="str">
        <f xml:space="preserve"> IF( TRIM( meta_Columns[[#This Row],[Property:src]] ) = "", "",
        INDEX( meta_TypedModelElements[Display Qualified], MATCH( meta_Columns[[#This Row],[Property:src]], meta_TypedModelElements[ID], 0 ) ) )</f>
        <v/>
      </c>
      <c r="T328" s="22"/>
      <c r="U328" s="8" t="e">
        <f>INDEX(meta_Classifiers[Class - Generalization:src], MATCH(meta_Columns[[#This Row],[Generalization 5]],meta_Classifiers[ID],0))</f>
        <v>#N/A</v>
      </c>
      <c r="V328" s="8" t="e">
        <f>INDEX(meta_Classifiers[Class - Generalization:src], MATCH(meta_Columns[[#This Row],[Generalization 4]],meta_Classifiers[ID],0))</f>
        <v>#N/A</v>
      </c>
      <c r="W328" s="8" t="e">
        <f>INDEX(meta_Classifiers[Class - Generalization:src], MATCH(meta_Columns[[#This Row],[Generalization 3]],meta_Classifiers[ID],0))</f>
        <v>#N/A</v>
      </c>
      <c r="X328" s="8" t="e">
        <f>INDEX(meta_Classifiers[Class - Generalization:src], MATCH(meta_Columns[[#This Row],[Generalization 2]],meta_Classifiers[ID],0))</f>
        <v>#N/A</v>
      </c>
      <c r="Y328" s="8" t="e">
        <f>INDEX(meta_Classifiers[Class - Generalization:src], MATCH(meta_Columns[[#This Row],[Generalization 1]],meta_Classifiers[ID],0))</f>
        <v>#N/A</v>
      </c>
      <c r="Z328" s="8" t="e">
        <f>INDEX(meta_Classifiers[Class - Generalization:src], MATCH(meta_Columns[[#This Row],[Owning Table Instances Class]],meta_Classifiers[ID],0))</f>
        <v>#N/A</v>
      </c>
      <c r="AA3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8" s="8" t="b">
        <f>_xlfn.IFNA(
INDEX(meta_Classifiers[Class - Generalization:src],MATCH(
INDEX(meta_Classifiers[Class - Generalization:src],MATCH(meta_Columns[[#This Row],[Property Owning Class]],meta_Classifiers[ID],0)),meta_Classifiers[ID],0))
=meta_Columns[[#This Row],[Owning Table Instances Class]],FALSE)</f>
        <v>0</v>
      </c>
      <c r="AG328" s="8" t="b">
        <f>_xlfn.IFNA(INDEX(meta_Classifiers[Class - Generalization:src],MATCH(meta_Columns[[#This Row],[Property Owning Class]],meta_Classifiers[ID],0))=meta_Columns[[#This Row],[Owning Table Instances Class]],FALSE)</f>
        <v>0</v>
      </c>
      <c r="AH3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8" s="8" t="e">
        <f>INDEX(meta_Classifiers[Name],MATCH(INDEX(meta_TypedModelElements[Property - Owning Class:src],MATCH(meta_Columns[[#This Row],[Property]],meta_TypedModelElements[ID],0)),meta_Classifiers[ID],0))</f>
        <v>#N/A</v>
      </c>
      <c r="AJ328" s="8" t="e">
        <f>INDEX(meta_TypedModelElements[Property - Owning Class:src],MATCH(meta_Columns[[#This Row],[Property]],meta_TypedModelElements[ID],0))</f>
        <v>#N/A</v>
      </c>
      <c r="AK328" s="8" t="e">
        <f>INDEX(meta_TypedModelElements[Kind:src],MATCH(meta_Columns[[#This Row],[Property]],meta_TypedModelElements[ID],0))</f>
        <v>#N/A</v>
      </c>
      <c r="AL328" s="8" t="e">
        <f>INDEX(meta_TypedModelElements[Name or Type],MATCH(meta_Columns[[#This Row],[Property]],meta_TypedModelElements[ID],0))</f>
        <v>#N/A</v>
      </c>
      <c r="AM328" s="8" t="e">
        <f>INDEX(meta_TypedModelElements[Property - Changeable],MATCH(meta_Columns[[#This Row],[Property]],meta_TypedModelElements[ID],0))</f>
        <v>#N/A</v>
      </c>
      <c r="AN328" s="43">
        <v>17</v>
      </c>
      <c r="AO328" s="22">
        <v>15</v>
      </c>
      <c r="AP3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8" s="8" t="str">
        <f xml:space="preserve"> IF(meta_Columns[[#This Row],[Property Owning Class is Specialization of Instance Class]],meta_Columns[[#This Row],[Property Owning Class Name]]&amp;" - ","")</f>
        <v/>
      </c>
      <c r="AR3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 Column</v>
      </c>
      <c r="AT328" s="8" t="str">
        <f>IFERROR(LEFT(meta_Columns[[#This Row],[Excel Column - Label Actual without Semantic Case]],FIND("-",
meta_Columns[[#This Row],[Excel Column - Label Actual without Semantic Case]])-2),"")</f>
        <v/>
      </c>
      <c r="AU3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 Column</v>
      </c>
      <c r="AV3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 Column</v>
      </c>
      <c r="AX328" s="22"/>
      <c r="AY328" s="8" t="str">
        <f>meta_Columns[[#This Row],[Owning Table]]&amp;"."&amp;meta_Columns[[#This Row],[Excel Column - Label]]</f>
        <v>meta::TablePatterns.Order Column</v>
      </c>
      <c r="AZ328" s="43" t="s">
        <v>517</v>
      </c>
      <c r="BA328" s="44" t="str">
        <f>IF(TRIM(meta_Columns[[#This Row],[Excel Column - Label Overwrite]])&lt;&gt;"",meta_Columns[[#This Row],[Excel Column - Label Overwrite]],meta_Columns[[#This Row],[Excel Column - Label from Property or Referenced Table]])</f>
        <v>Order Column</v>
      </c>
      <c r="BB328" s="43"/>
      <c r="BC328" s="8" t="str">
        <f>IF(meta_Columns[[#This Row],[Excel Column - Explicit Excel Formula]]="","",meta_Columns[[#This Row],[Excel Column - Explicit Excel Formula]])</f>
        <v/>
      </c>
      <c r="BD328" s="5"/>
      <c r="BE328" s="5"/>
    </row>
    <row r="329" spans="1:57">
      <c r="A329" s="10" t="s">
        <v>1289</v>
      </c>
      <c r="B329" s="5" t="s">
        <v>546</v>
      </c>
      <c r="C329" s="22" t="str">
        <f xml:space="preserve"> IF( TRIM( meta_Columns[[#This Row],[Kind:src]] ) = "", "",
        INDEX( meta_Classifiers[Display Qualified], MATCH( meta_Columns[[#This Row],[Kind:src]], meta_Classifiers[ID], 0 ) ) )</f>
        <v>ExcelColumn</v>
      </c>
      <c r="D329" s="44" t="e">
        <f>IF(meta_Columns[[#This Row],[Owning Table:src]]="","",INDEX(meta_Classifiers[Package],MATCH(meta_Columns[[#This Row],[Owning Table Instances Class]],meta_Classifiers[ID],0)))</f>
        <v>#N/A</v>
      </c>
      <c r="E329" s="43"/>
      <c r="F329" s="44" t="str">
        <f>INDEX(meta_Tables[Excel Table - Excel Name],MATCH(meta_Columns[[#This Row],[Owning Table:src]],meta_Tables[ID],0))</f>
        <v>meta_TablePatterns</v>
      </c>
      <c r="G329" s="44">
        <f>INDEX(meta_Tables[Instances Class:src],MATCH(meta_Columns[[#This Row],[Owning Table:src]],meta_Tables[ID],0))</f>
        <v>0</v>
      </c>
      <c r="H329" s="5" t="s">
        <v>1017</v>
      </c>
      <c r="I329" s="43" t="str">
        <f xml:space="preserve"> IF( TRIM( meta_Columns[[#This Row],[Owning Table:src]] ) = "", "",
        INDEX( meta_Tables[Display Qualified], MATCH( meta_Columns[[#This Row],[Owning Table:src]], meta_Tables[ID], 0 ) ) )</f>
        <v>meta::TablePatterns</v>
      </c>
      <c r="K329" s="22" t="str">
        <f>IF(TRIM(meta_Columns[[#This Row],[Referenced Table:src]])="","",
    INDEX(meta_Tables[Display Qualified],MATCH(meta_Columns[[#This Row],[Referenced Table:src]],meta_Tables[ID],0)))</f>
        <v/>
      </c>
      <c r="L329" s="8"/>
      <c r="M329" s="22"/>
      <c r="N329" s="8" t="str">
        <f>IF(meta_Columns[[#This Row],[Excel Column - Excel Formula]]="","x","")</f>
        <v>x</v>
      </c>
      <c r="O329" s="22"/>
      <c r="P329" s="8" t="str">
        <f>IF(meta_Columns[[#This Row],[Referenced Table:src]]="","",INDEX(meta_Tables[Instances Class],MATCH(meta_Columns[[#This Row],[Referenced Table:src]],meta_Tables[ID],0)))</f>
        <v/>
      </c>
      <c r="Q3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9" s="8"/>
      <c r="S329" s="22" t="str">
        <f xml:space="preserve"> IF( TRIM( meta_Columns[[#This Row],[Property:src]] ) = "", "",
        INDEX( meta_TypedModelElements[Display Qualified], MATCH( meta_Columns[[#This Row],[Property:src]], meta_TypedModelElements[ID], 0 ) ) )</f>
        <v/>
      </c>
      <c r="T329" s="22"/>
      <c r="U329" s="8" t="e">
        <f>INDEX(meta_Classifiers[Class - Generalization:src], MATCH(meta_Columns[[#This Row],[Generalization 5]],meta_Classifiers[ID],0))</f>
        <v>#N/A</v>
      </c>
      <c r="V329" s="8" t="e">
        <f>INDEX(meta_Classifiers[Class - Generalization:src], MATCH(meta_Columns[[#This Row],[Generalization 4]],meta_Classifiers[ID],0))</f>
        <v>#N/A</v>
      </c>
      <c r="W329" s="8" t="e">
        <f>INDEX(meta_Classifiers[Class - Generalization:src], MATCH(meta_Columns[[#This Row],[Generalization 3]],meta_Classifiers[ID],0))</f>
        <v>#N/A</v>
      </c>
      <c r="X329" s="8" t="e">
        <f>INDEX(meta_Classifiers[Class - Generalization:src], MATCH(meta_Columns[[#This Row],[Generalization 2]],meta_Classifiers[ID],0))</f>
        <v>#N/A</v>
      </c>
      <c r="Y329" s="8" t="e">
        <f>INDEX(meta_Classifiers[Class - Generalization:src], MATCH(meta_Columns[[#This Row],[Generalization 1]],meta_Classifiers[ID],0))</f>
        <v>#N/A</v>
      </c>
      <c r="Z329" s="8" t="e">
        <f>INDEX(meta_Classifiers[Class - Generalization:src], MATCH(meta_Columns[[#This Row],[Owning Table Instances Class]],meta_Classifiers[ID],0))</f>
        <v>#N/A</v>
      </c>
      <c r="AA3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9" s="8" t="b">
        <f>_xlfn.IFNA(
INDEX(meta_Classifiers[Class - Generalization:src],MATCH(
INDEX(meta_Classifiers[Class - Generalization:src],MATCH(meta_Columns[[#This Row],[Property Owning Class]],meta_Classifiers[ID],0)),meta_Classifiers[ID],0))
=meta_Columns[[#This Row],[Owning Table Instances Class]],FALSE)</f>
        <v>0</v>
      </c>
      <c r="AG329" s="8" t="b">
        <f>_xlfn.IFNA(INDEX(meta_Classifiers[Class - Generalization:src],MATCH(meta_Columns[[#This Row],[Property Owning Class]],meta_Classifiers[ID],0))=meta_Columns[[#This Row],[Owning Table Instances Class]],FALSE)</f>
        <v>0</v>
      </c>
      <c r="AH3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9" s="8" t="e">
        <f>INDEX(meta_Classifiers[Name],MATCH(INDEX(meta_TypedModelElements[Property - Owning Class:src],MATCH(meta_Columns[[#This Row],[Property]],meta_TypedModelElements[ID],0)),meta_Classifiers[ID],0))</f>
        <v>#N/A</v>
      </c>
      <c r="AJ329" s="8" t="e">
        <f>INDEX(meta_TypedModelElements[Property - Owning Class:src],MATCH(meta_Columns[[#This Row],[Property]],meta_TypedModelElements[ID],0))</f>
        <v>#N/A</v>
      </c>
      <c r="AK329" s="8" t="e">
        <f>INDEX(meta_TypedModelElements[Kind:src],MATCH(meta_Columns[[#This Row],[Property]],meta_TypedModelElements[ID],0))</f>
        <v>#N/A</v>
      </c>
      <c r="AL329" s="8" t="e">
        <f>INDEX(meta_TypedModelElements[Name or Type],MATCH(meta_Columns[[#This Row],[Property]],meta_TypedModelElements[ID],0))</f>
        <v>#N/A</v>
      </c>
      <c r="AM329" s="8" t="e">
        <f>INDEX(meta_TypedModelElements[Property - Changeable],MATCH(meta_Columns[[#This Row],[Property]],meta_TypedModelElements[ID],0))</f>
        <v>#N/A</v>
      </c>
      <c r="AN329" s="43">
        <v>18</v>
      </c>
      <c r="AO329" s="22">
        <v>16</v>
      </c>
      <c r="AP3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9" s="8" t="str">
        <f xml:space="preserve"> IF(meta_Columns[[#This Row],[Property Owning Class is Specialization of Instance Class]],meta_Columns[[#This Row],[Property Owning Class Name]]&amp;" - ","")</f>
        <v/>
      </c>
      <c r="AR3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1</v>
      </c>
      <c r="AT329" s="8" t="str">
        <f>IFERROR(LEFT(meta_Columns[[#This Row],[Excel Column - Label Actual without Semantic Case]],FIND("-",
meta_Columns[[#This Row],[Excel Column - Label Actual without Semantic Case]])-2),"")</f>
        <v/>
      </c>
      <c r="AU3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1</v>
      </c>
      <c r="AV3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1</v>
      </c>
      <c r="AX329" s="22"/>
      <c r="AY329" s="8" t="str">
        <f>meta_Columns[[#This Row],[Owning Table]]&amp;"."&amp;meta_Columns[[#This Row],[Excel Column - Label]]</f>
        <v>meta::TablePatterns.Template Parameter Column 1</v>
      </c>
      <c r="AZ329" s="43" t="s">
        <v>518</v>
      </c>
      <c r="BA329" s="44" t="str">
        <f>IF(TRIM(meta_Columns[[#This Row],[Excel Column - Label Overwrite]])&lt;&gt;"",meta_Columns[[#This Row],[Excel Column - Label Overwrite]],meta_Columns[[#This Row],[Excel Column - Label from Property or Referenced Table]])</f>
        <v>Template Parameter Column 1</v>
      </c>
      <c r="BB329" s="43"/>
      <c r="BC329" s="8" t="str">
        <f>IF(meta_Columns[[#This Row],[Excel Column - Explicit Excel Formula]]="","",meta_Columns[[#This Row],[Excel Column - Explicit Excel Formula]])</f>
        <v/>
      </c>
      <c r="BD329" s="5"/>
      <c r="BE329" s="5"/>
    </row>
    <row r="330" spans="1:57">
      <c r="A330" s="10" t="s">
        <v>1290</v>
      </c>
      <c r="B330" s="5" t="s">
        <v>546</v>
      </c>
      <c r="C330" s="22" t="str">
        <f xml:space="preserve"> IF( TRIM( meta_Columns[[#This Row],[Kind:src]] ) = "", "",
        INDEX( meta_Classifiers[Display Qualified], MATCH( meta_Columns[[#This Row],[Kind:src]], meta_Classifiers[ID], 0 ) ) )</f>
        <v>ExcelColumn</v>
      </c>
      <c r="D330" s="44" t="e">
        <f>IF(meta_Columns[[#This Row],[Owning Table:src]]="","",INDEX(meta_Classifiers[Package],MATCH(meta_Columns[[#This Row],[Owning Table Instances Class]],meta_Classifiers[ID],0)))</f>
        <v>#N/A</v>
      </c>
      <c r="E330" s="43"/>
      <c r="F330" s="44" t="str">
        <f>INDEX(meta_Tables[Excel Table - Excel Name],MATCH(meta_Columns[[#This Row],[Owning Table:src]],meta_Tables[ID],0))</f>
        <v>meta_TablePatterns</v>
      </c>
      <c r="G330" s="44">
        <f>INDEX(meta_Tables[Instances Class:src],MATCH(meta_Columns[[#This Row],[Owning Table:src]],meta_Tables[ID],0))</f>
        <v>0</v>
      </c>
      <c r="H330" s="5" t="s">
        <v>1017</v>
      </c>
      <c r="I330" s="43" t="str">
        <f xml:space="preserve"> IF( TRIM( meta_Columns[[#This Row],[Owning Table:src]] ) = "", "",
        INDEX( meta_Tables[Display Qualified], MATCH( meta_Columns[[#This Row],[Owning Table:src]], meta_Tables[ID], 0 ) ) )</f>
        <v>meta::TablePatterns</v>
      </c>
      <c r="K330" s="22" t="str">
        <f>IF(TRIM(meta_Columns[[#This Row],[Referenced Table:src]])="","",
    INDEX(meta_Tables[Display Qualified],MATCH(meta_Columns[[#This Row],[Referenced Table:src]],meta_Tables[ID],0)))</f>
        <v/>
      </c>
      <c r="L330" s="8"/>
      <c r="M330" s="22"/>
      <c r="N330" s="8" t="str">
        <f>IF(meta_Columns[[#This Row],[Excel Column - Excel Formula]]="","x","")</f>
        <v>x</v>
      </c>
      <c r="O330" s="22"/>
      <c r="P330" s="8" t="str">
        <f>IF(meta_Columns[[#This Row],[Referenced Table:src]]="","",INDEX(meta_Tables[Instances Class],MATCH(meta_Columns[[#This Row],[Referenced Table:src]],meta_Tables[ID],0)))</f>
        <v/>
      </c>
      <c r="Q33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0" s="8"/>
      <c r="S330" s="22" t="str">
        <f xml:space="preserve"> IF( TRIM( meta_Columns[[#This Row],[Property:src]] ) = "", "",
        INDEX( meta_TypedModelElements[Display Qualified], MATCH( meta_Columns[[#This Row],[Property:src]], meta_TypedModelElements[ID], 0 ) ) )</f>
        <v/>
      </c>
      <c r="T330" s="22"/>
      <c r="U330" s="8" t="e">
        <f>INDEX(meta_Classifiers[Class - Generalization:src], MATCH(meta_Columns[[#This Row],[Generalization 5]],meta_Classifiers[ID],0))</f>
        <v>#N/A</v>
      </c>
      <c r="V330" s="8" t="e">
        <f>INDEX(meta_Classifiers[Class - Generalization:src], MATCH(meta_Columns[[#This Row],[Generalization 4]],meta_Classifiers[ID],0))</f>
        <v>#N/A</v>
      </c>
      <c r="W330" s="8" t="e">
        <f>INDEX(meta_Classifiers[Class - Generalization:src], MATCH(meta_Columns[[#This Row],[Generalization 3]],meta_Classifiers[ID],0))</f>
        <v>#N/A</v>
      </c>
      <c r="X330" s="8" t="e">
        <f>INDEX(meta_Classifiers[Class - Generalization:src], MATCH(meta_Columns[[#This Row],[Generalization 2]],meta_Classifiers[ID],0))</f>
        <v>#N/A</v>
      </c>
      <c r="Y330" s="8" t="e">
        <f>INDEX(meta_Classifiers[Class - Generalization:src], MATCH(meta_Columns[[#This Row],[Generalization 1]],meta_Classifiers[ID],0))</f>
        <v>#N/A</v>
      </c>
      <c r="Z330" s="8" t="e">
        <f>INDEX(meta_Classifiers[Class - Generalization:src], MATCH(meta_Columns[[#This Row],[Owning Table Instances Class]],meta_Classifiers[ID],0))</f>
        <v>#N/A</v>
      </c>
      <c r="AA3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0" s="8" t="b">
        <f>_xlfn.IFNA(
INDEX(meta_Classifiers[Class - Generalization:src],MATCH(
INDEX(meta_Classifiers[Class - Generalization:src],MATCH(meta_Columns[[#This Row],[Property Owning Class]],meta_Classifiers[ID],0)),meta_Classifiers[ID],0))
=meta_Columns[[#This Row],[Owning Table Instances Class]],FALSE)</f>
        <v>0</v>
      </c>
      <c r="AG330" s="8" t="b">
        <f>_xlfn.IFNA(INDEX(meta_Classifiers[Class - Generalization:src],MATCH(meta_Columns[[#This Row],[Property Owning Class]],meta_Classifiers[ID],0))=meta_Columns[[#This Row],[Owning Table Instances Class]],FALSE)</f>
        <v>0</v>
      </c>
      <c r="AH3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0" s="8" t="e">
        <f>INDEX(meta_Classifiers[Name],MATCH(INDEX(meta_TypedModelElements[Property - Owning Class:src],MATCH(meta_Columns[[#This Row],[Property]],meta_TypedModelElements[ID],0)),meta_Classifiers[ID],0))</f>
        <v>#N/A</v>
      </c>
      <c r="AJ330" s="8" t="e">
        <f>INDEX(meta_TypedModelElements[Property - Owning Class:src],MATCH(meta_Columns[[#This Row],[Property]],meta_TypedModelElements[ID],0))</f>
        <v>#N/A</v>
      </c>
      <c r="AK330" s="8" t="e">
        <f>INDEX(meta_TypedModelElements[Kind:src],MATCH(meta_Columns[[#This Row],[Property]],meta_TypedModelElements[ID],0))</f>
        <v>#N/A</v>
      </c>
      <c r="AL330" s="8" t="e">
        <f>INDEX(meta_TypedModelElements[Name or Type],MATCH(meta_Columns[[#This Row],[Property]],meta_TypedModelElements[ID],0))</f>
        <v>#N/A</v>
      </c>
      <c r="AM330" s="8" t="e">
        <f>INDEX(meta_TypedModelElements[Property - Changeable],MATCH(meta_Columns[[#This Row],[Property]],meta_TypedModelElements[ID],0))</f>
        <v>#N/A</v>
      </c>
      <c r="AN330" s="43">
        <v>19</v>
      </c>
      <c r="AO330" s="22">
        <v>17</v>
      </c>
      <c r="AP3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0" s="8" t="str">
        <f xml:space="preserve"> IF(meta_Columns[[#This Row],[Property Owning Class is Specialization of Instance Class]],meta_Columns[[#This Row],[Property Owning Class Name]]&amp;" - ","")</f>
        <v/>
      </c>
      <c r="AR3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2</v>
      </c>
      <c r="AT330" s="8" t="str">
        <f>IFERROR(LEFT(meta_Columns[[#This Row],[Excel Column - Label Actual without Semantic Case]],FIND("-",
meta_Columns[[#This Row],[Excel Column - Label Actual without Semantic Case]])-2),"")</f>
        <v/>
      </c>
      <c r="AU3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2</v>
      </c>
      <c r="AV3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2</v>
      </c>
      <c r="AX330" s="22"/>
      <c r="AY330" s="8" t="str">
        <f>meta_Columns[[#This Row],[Owning Table]]&amp;"."&amp;meta_Columns[[#This Row],[Excel Column - Label]]</f>
        <v>meta::TablePatterns.Template Parameter Column 2</v>
      </c>
      <c r="AZ330" s="43" t="s">
        <v>519</v>
      </c>
      <c r="BA330" s="44" t="str">
        <f>IF(TRIM(meta_Columns[[#This Row],[Excel Column - Label Overwrite]])&lt;&gt;"",meta_Columns[[#This Row],[Excel Column - Label Overwrite]],meta_Columns[[#This Row],[Excel Column - Label from Property or Referenced Table]])</f>
        <v>Template Parameter Column 2</v>
      </c>
      <c r="BB330" s="43"/>
      <c r="BC330" s="8" t="str">
        <f>IF(meta_Columns[[#This Row],[Excel Column - Explicit Excel Formula]]="","",meta_Columns[[#This Row],[Excel Column - Explicit Excel Formula]])</f>
        <v/>
      </c>
      <c r="BD330" s="5"/>
      <c r="BE330" s="5"/>
    </row>
    <row r="331" spans="1:57">
      <c r="A331" s="10" t="s">
        <v>1291</v>
      </c>
      <c r="B331" s="5" t="s">
        <v>546</v>
      </c>
      <c r="C331" s="22" t="str">
        <f xml:space="preserve"> IF( TRIM( meta_Columns[[#This Row],[Kind:src]] ) = "", "",
        INDEX( meta_Classifiers[Display Qualified], MATCH( meta_Columns[[#This Row],[Kind:src]], meta_Classifiers[ID], 0 ) ) )</f>
        <v>ExcelColumn</v>
      </c>
      <c r="D331" s="44" t="e">
        <f>IF(meta_Columns[[#This Row],[Owning Table:src]]="","",INDEX(meta_Classifiers[Package],MATCH(meta_Columns[[#This Row],[Owning Table Instances Class]],meta_Classifiers[ID],0)))</f>
        <v>#N/A</v>
      </c>
      <c r="E331" s="43"/>
      <c r="F331" s="44" t="str">
        <f>INDEX(meta_Tables[Excel Table - Excel Name],MATCH(meta_Columns[[#This Row],[Owning Table:src]],meta_Tables[ID],0))</f>
        <v>meta_TablePatterns</v>
      </c>
      <c r="G331" s="44">
        <f>INDEX(meta_Tables[Instances Class:src],MATCH(meta_Columns[[#This Row],[Owning Table:src]],meta_Tables[ID],0))</f>
        <v>0</v>
      </c>
      <c r="H331" s="5" t="s">
        <v>1017</v>
      </c>
      <c r="I331" s="43" t="str">
        <f xml:space="preserve"> IF( TRIM( meta_Columns[[#This Row],[Owning Table:src]] ) = "", "",
        INDEX( meta_Tables[Display Qualified], MATCH( meta_Columns[[#This Row],[Owning Table:src]], meta_Tables[ID], 0 ) ) )</f>
        <v>meta::TablePatterns</v>
      </c>
      <c r="K331" s="22" t="str">
        <f>IF(TRIM(meta_Columns[[#This Row],[Referenced Table:src]])="","",
    INDEX(meta_Tables[Display Qualified],MATCH(meta_Columns[[#This Row],[Referenced Table:src]],meta_Tables[ID],0)))</f>
        <v/>
      </c>
      <c r="L331" s="8"/>
      <c r="M331" s="22"/>
      <c r="N331" s="8" t="str">
        <f>IF(meta_Columns[[#This Row],[Excel Column - Excel Formula]]="","x","")</f>
        <v>x</v>
      </c>
      <c r="O331" s="22"/>
      <c r="P331" s="8" t="str">
        <f>IF(meta_Columns[[#This Row],[Referenced Table:src]]="","",INDEX(meta_Tables[Instances Class],MATCH(meta_Columns[[#This Row],[Referenced Table:src]],meta_Tables[ID],0)))</f>
        <v/>
      </c>
      <c r="Q33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1" s="8"/>
      <c r="S331" s="22" t="str">
        <f xml:space="preserve"> IF( TRIM( meta_Columns[[#This Row],[Property:src]] ) = "", "",
        INDEX( meta_TypedModelElements[Display Qualified], MATCH( meta_Columns[[#This Row],[Property:src]], meta_TypedModelElements[ID], 0 ) ) )</f>
        <v/>
      </c>
      <c r="T331" s="22"/>
      <c r="U331" s="8" t="e">
        <f>INDEX(meta_Classifiers[Class - Generalization:src], MATCH(meta_Columns[[#This Row],[Generalization 5]],meta_Classifiers[ID],0))</f>
        <v>#N/A</v>
      </c>
      <c r="V331" s="8" t="e">
        <f>INDEX(meta_Classifiers[Class - Generalization:src], MATCH(meta_Columns[[#This Row],[Generalization 4]],meta_Classifiers[ID],0))</f>
        <v>#N/A</v>
      </c>
      <c r="W331" s="8" t="e">
        <f>INDEX(meta_Classifiers[Class - Generalization:src], MATCH(meta_Columns[[#This Row],[Generalization 3]],meta_Classifiers[ID],0))</f>
        <v>#N/A</v>
      </c>
      <c r="X331" s="8" t="e">
        <f>INDEX(meta_Classifiers[Class - Generalization:src], MATCH(meta_Columns[[#This Row],[Generalization 2]],meta_Classifiers[ID],0))</f>
        <v>#N/A</v>
      </c>
      <c r="Y331" s="8" t="e">
        <f>INDEX(meta_Classifiers[Class - Generalization:src], MATCH(meta_Columns[[#This Row],[Generalization 1]],meta_Classifiers[ID],0))</f>
        <v>#N/A</v>
      </c>
      <c r="Z331" s="8" t="e">
        <f>INDEX(meta_Classifiers[Class - Generalization:src], MATCH(meta_Columns[[#This Row],[Owning Table Instances Class]],meta_Classifiers[ID],0))</f>
        <v>#N/A</v>
      </c>
      <c r="AA3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1" s="8" t="b">
        <f>_xlfn.IFNA(
INDEX(meta_Classifiers[Class - Generalization:src],MATCH(
INDEX(meta_Classifiers[Class - Generalization:src],MATCH(meta_Columns[[#This Row],[Property Owning Class]],meta_Classifiers[ID],0)),meta_Classifiers[ID],0))
=meta_Columns[[#This Row],[Owning Table Instances Class]],FALSE)</f>
        <v>0</v>
      </c>
      <c r="AG331" s="8" t="b">
        <f>_xlfn.IFNA(INDEX(meta_Classifiers[Class - Generalization:src],MATCH(meta_Columns[[#This Row],[Property Owning Class]],meta_Classifiers[ID],0))=meta_Columns[[#This Row],[Owning Table Instances Class]],FALSE)</f>
        <v>0</v>
      </c>
      <c r="AH3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1" s="8" t="e">
        <f>INDEX(meta_Classifiers[Name],MATCH(INDEX(meta_TypedModelElements[Property - Owning Class:src],MATCH(meta_Columns[[#This Row],[Property]],meta_TypedModelElements[ID],0)),meta_Classifiers[ID],0))</f>
        <v>#N/A</v>
      </c>
      <c r="AJ331" s="8" t="e">
        <f>INDEX(meta_TypedModelElements[Property - Owning Class:src],MATCH(meta_Columns[[#This Row],[Property]],meta_TypedModelElements[ID],0))</f>
        <v>#N/A</v>
      </c>
      <c r="AK331" s="8" t="e">
        <f>INDEX(meta_TypedModelElements[Kind:src],MATCH(meta_Columns[[#This Row],[Property]],meta_TypedModelElements[ID],0))</f>
        <v>#N/A</v>
      </c>
      <c r="AL331" s="8" t="e">
        <f>INDEX(meta_TypedModelElements[Name or Type],MATCH(meta_Columns[[#This Row],[Property]],meta_TypedModelElements[ID],0))</f>
        <v>#N/A</v>
      </c>
      <c r="AM331" s="8" t="e">
        <f>INDEX(meta_TypedModelElements[Property - Changeable],MATCH(meta_Columns[[#This Row],[Property]],meta_TypedModelElements[ID],0))</f>
        <v>#N/A</v>
      </c>
      <c r="AN331" s="43">
        <v>20</v>
      </c>
      <c r="AO331" s="22">
        <v>18</v>
      </c>
      <c r="AP3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1" s="8" t="str">
        <f xml:space="preserve"> IF(meta_Columns[[#This Row],[Property Owning Class is Specialization of Instance Class]],meta_Columns[[#This Row],[Property Owning Class Name]]&amp;" - ","")</f>
        <v/>
      </c>
      <c r="AR3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3</v>
      </c>
      <c r="AT331" s="8" t="str">
        <f>IFERROR(LEFT(meta_Columns[[#This Row],[Excel Column - Label Actual without Semantic Case]],FIND("-",
meta_Columns[[#This Row],[Excel Column - Label Actual without Semantic Case]])-2),"")</f>
        <v/>
      </c>
      <c r="AU3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3</v>
      </c>
      <c r="AV3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3</v>
      </c>
      <c r="AX331" s="22"/>
      <c r="AY331" s="8" t="str">
        <f>meta_Columns[[#This Row],[Owning Table]]&amp;"."&amp;meta_Columns[[#This Row],[Excel Column - Label]]</f>
        <v>meta::TablePatterns.Template Parameter Column 3</v>
      </c>
      <c r="AZ331" s="43" t="s">
        <v>520</v>
      </c>
      <c r="BA331" s="44" t="str">
        <f>IF(TRIM(meta_Columns[[#This Row],[Excel Column - Label Overwrite]])&lt;&gt;"",meta_Columns[[#This Row],[Excel Column - Label Overwrite]],meta_Columns[[#This Row],[Excel Column - Label from Property or Referenced Table]])</f>
        <v>Template Parameter Column 3</v>
      </c>
      <c r="BB331" s="43"/>
      <c r="BC331" s="8" t="str">
        <f>IF(meta_Columns[[#This Row],[Excel Column - Explicit Excel Formula]]="","",meta_Columns[[#This Row],[Excel Column - Explicit Excel Formula]])</f>
        <v/>
      </c>
      <c r="BD331" s="5"/>
      <c r="BE331" s="5"/>
    </row>
    <row r="332" spans="1:57">
      <c r="A332" s="10" t="s">
        <v>1292</v>
      </c>
      <c r="B332" s="5" t="s">
        <v>546</v>
      </c>
      <c r="C332" s="22" t="str">
        <f xml:space="preserve"> IF( TRIM( meta_Columns[[#This Row],[Kind:src]] ) = "", "",
        INDEX( meta_Classifiers[Display Qualified], MATCH( meta_Columns[[#This Row],[Kind:src]], meta_Classifiers[ID], 0 ) ) )</f>
        <v>ExcelColumn</v>
      </c>
      <c r="D332" s="44" t="e">
        <f>IF(meta_Columns[[#This Row],[Owning Table:src]]="","",INDEX(meta_Classifiers[Package],MATCH(meta_Columns[[#This Row],[Owning Table Instances Class]],meta_Classifiers[ID],0)))</f>
        <v>#N/A</v>
      </c>
      <c r="E332" s="43"/>
      <c r="F332" s="44" t="str">
        <f>INDEX(meta_Tables[Excel Table - Excel Name],MATCH(meta_Columns[[#This Row],[Owning Table:src]],meta_Tables[ID],0))</f>
        <v>meta_TablePatterns</v>
      </c>
      <c r="G332" s="44">
        <f>INDEX(meta_Tables[Instances Class:src],MATCH(meta_Columns[[#This Row],[Owning Table:src]],meta_Tables[ID],0))</f>
        <v>0</v>
      </c>
      <c r="H332" s="5" t="s">
        <v>1017</v>
      </c>
      <c r="I332" s="43" t="str">
        <f xml:space="preserve"> IF( TRIM( meta_Columns[[#This Row],[Owning Table:src]] ) = "", "",
        INDEX( meta_Tables[Display Qualified], MATCH( meta_Columns[[#This Row],[Owning Table:src]], meta_Tables[ID], 0 ) ) )</f>
        <v>meta::TablePatterns</v>
      </c>
      <c r="K332" s="22" t="str">
        <f>IF(TRIM(meta_Columns[[#This Row],[Referenced Table:src]])="","",
    INDEX(meta_Tables[Display Qualified],MATCH(meta_Columns[[#This Row],[Referenced Table:src]],meta_Tables[ID],0)))</f>
        <v/>
      </c>
      <c r="L332" s="8"/>
      <c r="M332" s="22"/>
      <c r="N332" s="8" t="str">
        <f>IF(meta_Columns[[#This Row],[Excel Column - Excel Formula]]="","x","")</f>
        <v>x</v>
      </c>
      <c r="O332" s="22"/>
      <c r="P332" s="8" t="str">
        <f>IF(meta_Columns[[#This Row],[Referenced Table:src]]="","",INDEX(meta_Tables[Instances Class],MATCH(meta_Columns[[#This Row],[Referenced Table:src]],meta_Tables[ID],0)))</f>
        <v/>
      </c>
      <c r="Q33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2" s="8"/>
      <c r="S332" s="22" t="str">
        <f xml:space="preserve"> IF( TRIM( meta_Columns[[#This Row],[Property:src]] ) = "", "",
        INDEX( meta_TypedModelElements[Display Qualified], MATCH( meta_Columns[[#This Row],[Property:src]], meta_TypedModelElements[ID], 0 ) ) )</f>
        <v/>
      </c>
      <c r="T332" s="22"/>
      <c r="U332" s="8" t="e">
        <f>INDEX(meta_Classifiers[Class - Generalization:src], MATCH(meta_Columns[[#This Row],[Generalization 5]],meta_Classifiers[ID],0))</f>
        <v>#N/A</v>
      </c>
      <c r="V332" s="8" t="e">
        <f>INDEX(meta_Classifiers[Class - Generalization:src], MATCH(meta_Columns[[#This Row],[Generalization 4]],meta_Classifiers[ID],0))</f>
        <v>#N/A</v>
      </c>
      <c r="W332" s="8" t="e">
        <f>INDEX(meta_Classifiers[Class - Generalization:src], MATCH(meta_Columns[[#This Row],[Generalization 3]],meta_Classifiers[ID],0))</f>
        <v>#N/A</v>
      </c>
      <c r="X332" s="8" t="e">
        <f>INDEX(meta_Classifiers[Class - Generalization:src], MATCH(meta_Columns[[#This Row],[Generalization 2]],meta_Classifiers[ID],0))</f>
        <v>#N/A</v>
      </c>
      <c r="Y332" s="8" t="e">
        <f>INDEX(meta_Classifiers[Class - Generalization:src], MATCH(meta_Columns[[#This Row],[Generalization 1]],meta_Classifiers[ID],0))</f>
        <v>#N/A</v>
      </c>
      <c r="Z332" s="8" t="e">
        <f>INDEX(meta_Classifiers[Class - Generalization:src], MATCH(meta_Columns[[#This Row],[Owning Table Instances Class]],meta_Classifiers[ID],0))</f>
        <v>#N/A</v>
      </c>
      <c r="AA3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2" s="8" t="b">
        <f>_xlfn.IFNA(
INDEX(meta_Classifiers[Class - Generalization:src],MATCH(
INDEX(meta_Classifiers[Class - Generalization:src],MATCH(meta_Columns[[#This Row],[Property Owning Class]],meta_Classifiers[ID],0)),meta_Classifiers[ID],0))
=meta_Columns[[#This Row],[Owning Table Instances Class]],FALSE)</f>
        <v>0</v>
      </c>
      <c r="AG332" s="8" t="b">
        <f>_xlfn.IFNA(INDEX(meta_Classifiers[Class - Generalization:src],MATCH(meta_Columns[[#This Row],[Property Owning Class]],meta_Classifiers[ID],0))=meta_Columns[[#This Row],[Owning Table Instances Class]],FALSE)</f>
        <v>0</v>
      </c>
      <c r="AH3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2" s="8" t="e">
        <f>INDEX(meta_Classifiers[Name],MATCH(INDEX(meta_TypedModelElements[Property - Owning Class:src],MATCH(meta_Columns[[#This Row],[Property]],meta_TypedModelElements[ID],0)),meta_Classifiers[ID],0))</f>
        <v>#N/A</v>
      </c>
      <c r="AJ332" s="8" t="e">
        <f>INDEX(meta_TypedModelElements[Property - Owning Class:src],MATCH(meta_Columns[[#This Row],[Property]],meta_TypedModelElements[ID],0))</f>
        <v>#N/A</v>
      </c>
      <c r="AK332" s="8" t="e">
        <f>INDEX(meta_TypedModelElements[Kind:src],MATCH(meta_Columns[[#This Row],[Property]],meta_TypedModelElements[ID],0))</f>
        <v>#N/A</v>
      </c>
      <c r="AL332" s="8" t="e">
        <f>INDEX(meta_TypedModelElements[Name or Type],MATCH(meta_Columns[[#This Row],[Property]],meta_TypedModelElements[ID],0))</f>
        <v>#N/A</v>
      </c>
      <c r="AM332" s="8" t="e">
        <f>INDEX(meta_TypedModelElements[Property - Changeable],MATCH(meta_Columns[[#This Row],[Property]],meta_TypedModelElements[ID],0))</f>
        <v>#N/A</v>
      </c>
      <c r="AN332" s="43">
        <v>21</v>
      </c>
      <c r="AO332" s="22">
        <v>19</v>
      </c>
      <c r="AP3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2" s="8" t="str">
        <f xml:space="preserve"> IF(meta_Columns[[#This Row],[Property Owning Class is Specialization of Instance Class]],meta_Columns[[#This Row],[Property Owning Class Name]]&amp;" - ","")</f>
        <v/>
      </c>
      <c r="AR3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332" s="8" t="str">
        <f>IFERROR(LEFT(meta_Columns[[#This Row],[Excel Column - Label Actual without Semantic Case]],FIND("-",
meta_Columns[[#This Row],[Excel Column - Label Actual without Semantic Case]])-2),"")</f>
        <v/>
      </c>
      <c r="AU3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3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332" s="22"/>
      <c r="AY332" s="8" t="str">
        <f>meta_Columns[[#This Row],[Owning Table]]&amp;"."&amp;meta_Columns[[#This Row],[Excel Column - Label]]</f>
        <v>meta::TablePatterns.Definition</v>
      </c>
      <c r="AZ332" s="43" t="s">
        <v>84</v>
      </c>
      <c r="BA332" s="44" t="str">
        <f>IF(TRIM(meta_Columns[[#This Row],[Excel Column - Label Overwrite]])&lt;&gt;"",meta_Columns[[#This Row],[Excel Column - Label Overwrite]],meta_Columns[[#This Row],[Excel Column - Label from Property or Referenced Table]])</f>
        <v>Definition</v>
      </c>
      <c r="BB332" s="43"/>
      <c r="BC332" s="8" t="str">
        <f>IF(meta_Columns[[#This Row],[Excel Column - Explicit Excel Formula]]="","",meta_Columns[[#This Row],[Excel Column - Explicit Excel Formula]])</f>
        <v/>
      </c>
      <c r="BD332" s="5"/>
      <c r="BE332" s="5"/>
    </row>
    <row r="333" spans="1:57">
      <c r="A333" s="10" t="s">
        <v>1293</v>
      </c>
      <c r="B333" s="5" t="s">
        <v>546</v>
      </c>
      <c r="C333" s="22" t="str">
        <f xml:space="preserve"> IF( TRIM( meta_Columns[[#This Row],[Kind:src]] ) = "", "",
        INDEX( meta_Classifiers[Display Qualified], MATCH( meta_Columns[[#This Row],[Kind:src]], meta_Classifiers[ID], 0 ) ) )</f>
        <v>ExcelColumn</v>
      </c>
      <c r="D333" s="44" t="str">
        <f>IF(meta_Columns[[#This Row],[Owning Table:src]]="","",INDEX(meta_Classifiers[Package],MATCH(meta_Columns[[#This Row],[Owning Table Instances Class]],meta_Classifiers[ID],0)))</f>
        <v>meta</v>
      </c>
      <c r="E333" s="43"/>
      <c r="F333" s="44" t="str">
        <f>INDEX(meta_Tables[Excel Table - Excel Name],MATCH(meta_Columns[[#This Row],[Owning Table:src]],meta_Tables[ID],0))</f>
        <v>meta_Tables</v>
      </c>
      <c r="G333" s="44" t="str">
        <f>INDEX(meta_Tables[Instances Class:src],MATCH(meta_Columns[[#This Row],[Owning Table:src]],meta_Tables[ID],0))</f>
        <v>_Table</v>
      </c>
      <c r="H333" s="5" t="s">
        <v>1012</v>
      </c>
      <c r="I333" s="43" t="str">
        <f xml:space="preserve"> IF( TRIM( meta_Columns[[#This Row],[Owning Table:src]] ) = "", "",
        INDEX( meta_Tables[Display Qualified], MATCH( meta_Columns[[#This Row],[Owning Table:src]], meta_Tables[ID], 0 ) ) )</f>
        <v>meta::Tables</v>
      </c>
      <c r="K333" s="22" t="str">
        <f>IF(TRIM(meta_Columns[[#This Row],[Referenced Table:src]])="","",
    INDEX(meta_Tables[Display Qualified],MATCH(meta_Columns[[#This Row],[Referenced Table:src]],meta_Tables[ID],0)))</f>
        <v/>
      </c>
      <c r="L333" s="8"/>
      <c r="M333" s="22"/>
      <c r="N333" s="8" t="str">
        <f>IF(meta_Columns[[#This Row],[Excel Column - Excel Formula]]="","x","")</f>
        <v>x</v>
      </c>
      <c r="O333" s="22"/>
      <c r="P333" s="8" t="str">
        <f>IF(meta_Columns[[#This Row],[Referenced Table:src]]="","",INDEX(meta_Tables[Instances Class],MATCH(meta_Columns[[#This Row],[Referenced Table:src]],meta_Tables[ID],0)))</f>
        <v/>
      </c>
      <c r="Q3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3" s="8" t="s">
        <v>246</v>
      </c>
      <c r="S333" s="22" t="str">
        <f xml:space="preserve"> IF( TRIM( meta_Columns[[#This Row],[Property:src]] ) = "", "",
        INDEX( meta_TypedModelElements[Display Qualified], MATCH( meta_Columns[[#This Row],[Property:src]], meta_TypedModelElements[ID], 0 ) ) )</f>
        <v>meta::Object.iD</v>
      </c>
      <c r="T333" s="22" t="s">
        <v>42</v>
      </c>
      <c r="U333" s="8" t="e">
        <f>INDEX(meta_Classifiers[Class - Generalization:src], MATCH(meta_Columns[[#This Row],[Generalization 5]],meta_Classifiers[ID],0))</f>
        <v>#N/A</v>
      </c>
      <c r="V333" s="8" t="e">
        <f>INDEX(meta_Classifiers[Class - Generalization:src], MATCH(meta_Columns[[#This Row],[Generalization 4]],meta_Classifiers[ID],0))</f>
        <v>#N/A</v>
      </c>
      <c r="W333" s="8" t="e">
        <f>INDEX(meta_Classifiers[Class - Generalization:src], MATCH(meta_Columns[[#This Row],[Generalization 3]],meta_Classifiers[ID],0))</f>
        <v>#N/A</v>
      </c>
      <c r="X333" s="8" t="str">
        <f>INDEX(meta_Classifiers[Class - Generalization:src], MATCH(meta_Columns[[#This Row],[Generalization 2]],meta_Classifiers[ID],0))</f>
        <v/>
      </c>
      <c r="Y333" s="8" t="str">
        <f>INDEX(meta_Classifiers[Class - Generalization:src], MATCH(meta_Columns[[#This Row],[Generalization 1]],meta_Classifiers[ID],0))</f>
        <v>_Object</v>
      </c>
      <c r="Z333" s="8" t="str">
        <f>INDEX(meta_Classifiers[Class - Generalization:src], MATCH(meta_Columns[[#This Row],[Owning Table Instances Class]],meta_Classifiers[ID],0))</f>
        <v>_NamedElement</v>
      </c>
      <c r="AA3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3" s="8" t="b">
        <f>_xlfn.IFNA(
INDEX(meta_Classifiers[Class - Generalization:src],MATCH(
INDEX(meta_Classifiers[Class - Generalization:src],MATCH(meta_Columns[[#This Row],[Property Owning Class]],meta_Classifiers[ID],0)),meta_Classifiers[ID],0))
=meta_Columns[[#This Row],[Owning Table Instances Class]],FALSE)</f>
        <v>0</v>
      </c>
      <c r="AG333" s="8" t="b">
        <f>_xlfn.IFNA(INDEX(meta_Classifiers[Class - Generalization:src],MATCH(meta_Columns[[#This Row],[Property Owning Class]],meta_Classifiers[ID],0))=meta_Columns[[#This Row],[Owning Table Instances Class]],FALSE)</f>
        <v>0</v>
      </c>
      <c r="AH3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3" s="8" t="str">
        <f>INDEX(meta_Classifiers[Name],MATCH(INDEX(meta_TypedModelElements[Property - Owning Class:src],MATCH(meta_Columns[[#This Row],[Property]],meta_TypedModelElements[ID],0)),meta_Classifiers[ID],0))</f>
        <v>Object</v>
      </c>
      <c r="AJ333" s="8" t="str">
        <f>INDEX(meta_TypedModelElements[Property - Owning Class:src],MATCH(meta_Columns[[#This Row],[Property]],meta_TypedModelElements[ID],0))</f>
        <v>_Object</v>
      </c>
      <c r="AK333" s="8" t="str">
        <f>INDEX(meta_TypedModelElements[Kind:src],MATCH(meta_Columns[[#This Row],[Property]],meta_TypedModelElements[ID],0))</f>
        <v>_Attribute</v>
      </c>
      <c r="AL333" s="8" t="str">
        <f>INDEX(meta_TypedModelElements[Name or Type],MATCH(meta_Columns[[#This Row],[Property]],meta_TypedModelElements[ID],0))</f>
        <v>ID</v>
      </c>
      <c r="AM333" s="8" t="str">
        <f>INDEX(meta_TypedModelElements[Property - Changeable],MATCH(meta_Columns[[#This Row],[Property]],meta_TypedModelElements[ID],0))</f>
        <v>x</v>
      </c>
      <c r="AN333" s="43">
        <v>1</v>
      </c>
      <c r="AO333" s="22">
        <v>1</v>
      </c>
      <c r="AP33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33" s="8" t="str">
        <f xml:space="preserve"> IF(meta_Columns[[#This Row],[Property Owning Class is Specialization of Instance Class]],meta_Columns[[#This Row],[Property Owning Class Name]]&amp;" - ","")</f>
        <v/>
      </c>
      <c r="AR33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33" s="8" t="str">
        <f>IFERROR(LEFT(meta_Columns[[#This Row],[Excel Column - Label Actual without Semantic Case]],FIND("-",
meta_Columns[[#This Row],[Excel Column - Label Actual without Semantic Case]])-2),"")</f>
        <v/>
      </c>
      <c r="AU3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33" s="22"/>
      <c r="AY333" s="8" t="str">
        <f>meta_Columns[[#This Row],[Owning Table]]&amp;"."&amp;meta_Columns[[#This Row],[Excel Column - Label]]</f>
        <v>meta::Tables.ID</v>
      </c>
      <c r="AZ333" s="43" t="s">
        <v>0</v>
      </c>
      <c r="BA333" s="44" t="str">
        <f>IF(TRIM(meta_Columns[[#This Row],[Excel Column - Label Overwrite]])&lt;&gt;"",meta_Columns[[#This Row],[Excel Column - Label Overwrite]],meta_Columns[[#This Row],[Excel Column - Label from Property or Referenced Table]])</f>
        <v>ID</v>
      </c>
      <c r="BB333" s="43"/>
      <c r="BC333" s="8" t="str">
        <f>IF(meta_Columns[[#This Row],[Excel Column - Explicit Excel Formula]]="","",meta_Columns[[#This Row],[Excel Column - Explicit Excel Formula]])</f>
        <v/>
      </c>
      <c r="BD333" s="5"/>
      <c r="BE333" s="5"/>
    </row>
    <row r="334" spans="1:57">
      <c r="A334" s="10" t="s">
        <v>1365</v>
      </c>
      <c r="B334" s="5" t="s">
        <v>546</v>
      </c>
      <c r="C334" s="22" t="str">
        <f xml:space="preserve"> IF( TRIM( meta_Columns[[#This Row],[Kind:src]] ) = "", "",
        INDEX( meta_Classifiers[Display Qualified], MATCH( meta_Columns[[#This Row],[Kind:src]], meta_Classifiers[ID], 0 ) ) )</f>
        <v>ExcelColumn</v>
      </c>
      <c r="D334" s="44" t="str">
        <f>IF(meta_Columns[[#This Row],[Owning Table:src]]="","",INDEX(meta_Classifiers[Package],MATCH(meta_Columns[[#This Row],[Owning Table Instances Class]],meta_Classifiers[ID],0)))</f>
        <v>meta</v>
      </c>
      <c r="E334" s="43"/>
      <c r="F334" s="44" t="str">
        <f>INDEX(meta_Tables[Excel Table - Excel Name],MATCH(meta_Columns[[#This Row],[Owning Table:src]],meta_Tables[ID],0))</f>
        <v>meta_Tables</v>
      </c>
      <c r="G334" s="44" t="str">
        <f>INDEX(meta_Tables[Instances Class:src],MATCH(meta_Columns[[#This Row],[Owning Table:src]],meta_Tables[ID],0))</f>
        <v>_Table</v>
      </c>
      <c r="H334" s="5" t="s">
        <v>1012</v>
      </c>
      <c r="I334" s="43" t="str">
        <f xml:space="preserve"> IF( TRIM( meta_Columns[[#This Row],[Owning Table:src]] ) = "", "",
        INDEX( meta_Tables[Display Qualified], MATCH( meta_Columns[[#This Row],[Owning Table:src]], meta_Tables[ID], 0 ) ) )</f>
        <v>meta::Tables</v>
      </c>
      <c r="K334" s="22" t="str">
        <f>IF(TRIM(meta_Columns[[#This Row],[Referenced Table:src]])="","",
    INDEX(meta_Tables[Display Qualified],MATCH(meta_Columns[[#This Row],[Referenced Table:src]],meta_Tables[ID],0)))</f>
        <v/>
      </c>
      <c r="L334" s="8"/>
      <c r="M334" s="22"/>
      <c r="N334" s="8" t="str">
        <f>IF(meta_Columns[[#This Row],[Excel Column - Excel Formula]]="","x","")</f>
        <v>x</v>
      </c>
      <c r="O334" s="22"/>
      <c r="P334" s="8" t="str">
        <f>IF(meta_Columns[[#This Row],[Referenced Table:src]]="","",INDEX(meta_Tables[Instances Class],MATCH(meta_Columns[[#This Row],[Referenced Table:src]],meta_Tables[ID],0)))</f>
        <v/>
      </c>
      <c r="Q3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4" s="8" t="s">
        <v>247</v>
      </c>
      <c r="S334" s="22" t="str">
        <f xml:space="preserve"> IF( TRIM( meta_Columns[[#This Row],[Property:src]] ) = "", "",
        INDEX( meta_TypedModelElements[Display Qualified], MATCH( meta_Columns[[#This Row],[Property:src]], meta_TypedModelElements[ID], 0 ) ) )</f>
        <v>meta::Object.kind</v>
      </c>
      <c r="T334" s="22" t="s">
        <v>42</v>
      </c>
      <c r="U334" s="8" t="e">
        <f>INDEX(meta_Classifiers[Class - Generalization:src], MATCH(meta_Columns[[#This Row],[Generalization 5]],meta_Classifiers[ID],0))</f>
        <v>#N/A</v>
      </c>
      <c r="V334" s="8" t="e">
        <f>INDEX(meta_Classifiers[Class - Generalization:src], MATCH(meta_Columns[[#This Row],[Generalization 4]],meta_Classifiers[ID],0))</f>
        <v>#N/A</v>
      </c>
      <c r="W334" s="8" t="e">
        <f>INDEX(meta_Classifiers[Class - Generalization:src], MATCH(meta_Columns[[#This Row],[Generalization 3]],meta_Classifiers[ID],0))</f>
        <v>#N/A</v>
      </c>
      <c r="X334" s="8" t="str">
        <f>INDEX(meta_Classifiers[Class - Generalization:src], MATCH(meta_Columns[[#This Row],[Generalization 2]],meta_Classifiers[ID],0))</f>
        <v/>
      </c>
      <c r="Y334" s="8" t="str">
        <f>INDEX(meta_Classifiers[Class - Generalization:src], MATCH(meta_Columns[[#This Row],[Generalization 1]],meta_Classifiers[ID],0))</f>
        <v>_Object</v>
      </c>
      <c r="Z334" s="8" t="str">
        <f>INDEX(meta_Classifiers[Class - Generalization:src], MATCH(meta_Columns[[#This Row],[Owning Table Instances Class]],meta_Classifiers[ID],0))</f>
        <v>_NamedElement</v>
      </c>
      <c r="AA3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4" s="8" t="b">
        <f>_xlfn.IFNA(
INDEX(meta_Classifiers[Class - Generalization:src],MATCH(
INDEX(meta_Classifiers[Class - Generalization:src],MATCH(meta_Columns[[#This Row],[Property Owning Class]],meta_Classifiers[ID],0)),meta_Classifiers[ID],0))
=meta_Columns[[#This Row],[Owning Table Instances Class]],FALSE)</f>
        <v>0</v>
      </c>
      <c r="AG334" s="8" t="b">
        <f>_xlfn.IFNA(INDEX(meta_Classifiers[Class - Generalization:src],MATCH(meta_Columns[[#This Row],[Property Owning Class]],meta_Classifiers[ID],0))=meta_Columns[[#This Row],[Owning Table Instances Class]],FALSE)</f>
        <v>0</v>
      </c>
      <c r="AH3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4" s="8" t="str">
        <f>INDEX(meta_Classifiers[Name],MATCH(INDEX(meta_TypedModelElements[Property - Owning Class:src],MATCH(meta_Columns[[#This Row],[Property]],meta_TypedModelElements[ID],0)),meta_Classifiers[ID],0))</f>
        <v>Object</v>
      </c>
      <c r="AJ334" s="8" t="str">
        <f>INDEX(meta_TypedModelElements[Property - Owning Class:src],MATCH(meta_Columns[[#This Row],[Property]],meta_TypedModelElements[ID],0))</f>
        <v>_Object</v>
      </c>
      <c r="AK334" s="8" t="str">
        <f>INDEX(meta_TypedModelElements[Kind:src],MATCH(meta_Columns[[#This Row],[Property]],meta_TypedModelElements[ID],0))</f>
        <v>_Reference</v>
      </c>
      <c r="AL334" s="8" t="str">
        <f>INDEX(meta_TypedModelElements[Name or Type],MATCH(meta_Columns[[#This Row],[Property]],meta_TypedModelElements[ID],0))</f>
        <v>Kind</v>
      </c>
      <c r="AM334" s="8" t="str">
        <f>INDEX(meta_TypedModelElements[Property - Changeable],MATCH(meta_Columns[[#This Row],[Property]],meta_TypedModelElements[ID],0))</f>
        <v>x</v>
      </c>
      <c r="AN334" s="43">
        <v>2</v>
      </c>
      <c r="AO334" s="22">
        <v>2</v>
      </c>
      <c r="AP33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34" s="8" t="str">
        <f xml:space="preserve"> IF(meta_Columns[[#This Row],[Property Owning Class is Specialization of Instance Class]],meta_Columns[[#This Row],[Property Owning Class Name]]&amp;" - ","")</f>
        <v/>
      </c>
      <c r="AR33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4" s="8" t="str">
        <f>IFERROR(LEFT(meta_Columns[[#This Row],[Excel Column - Label Actual without Semantic Case]],FIND("-",
meta_Columns[[#This Row],[Excel Column - Label Actual without Semantic Case]])-2),"")</f>
        <v/>
      </c>
      <c r="AU3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34" s="22"/>
      <c r="AY334" s="8" t="str">
        <f>meta_Columns[[#This Row],[Owning Table]]&amp;"."&amp;meta_Columns[[#This Row],[Excel Column - Label]]</f>
        <v>meta::Tables.Kind:src</v>
      </c>
      <c r="AZ334" s="43" t="s">
        <v>230</v>
      </c>
      <c r="BA334" s="44" t="str">
        <f>IF(TRIM(meta_Columns[[#This Row],[Excel Column - Label Overwrite]])&lt;&gt;"",meta_Columns[[#This Row],[Excel Column - Label Overwrite]],meta_Columns[[#This Row],[Excel Column - Label from Property or Referenced Table]])</f>
        <v>Kind:src</v>
      </c>
      <c r="BB334" s="43"/>
      <c r="BC334" s="8" t="str">
        <f>IF(meta_Columns[[#This Row],[Excel Column - Explicit Excel Formula]]="","",meta_Columns[[#This Row],[Excel Column - Explicit Excel Formula]])</f>
        <v/>
      </c>
      <c r="BD334" s="5"/>
      <c r="BE334" s="5"/>
    </row>
    <row r="335" spans="1:57">
      <c r="A335" s="10" t="s">
        <v>1367</v>
      </c>
      <c r="B335" s="5" t="s">
        <v>546</v>
      </c>
      <c r="C335" s="22" t="str">
        <f xml:space="preserve"> IF( TRIM( meta_Columns[[#This Row],[Kind:src]] ) = "", "",
        INDEX( meta_Classifiers[Display Qualified], MATCH( meta_Columns[[#This Row],[Kind:src]], meta_Classifiers[ID], 0 ) ) )</f>
        <v>ExcelColumn</v>
      </c>
      <c r="D335" s="44" t="str">
        <f>IF(meta_Columns[[#This Row],[Owning Table:src]]="","",INDEX(meta_Classifiers[Package],MATCH(meta_Columns[[#This Row],[Owning Table Instances Class]],meta_Classifiers[ID],0)))</f>
        <v>meta</v>
      </c>
      <c r="E335" s="43"/>
      <c r="F335" s="44" t="str">
        <f>INDEX(meta_Tables[Excel Table - Excel Name],MATCH(meta_Columns[[#This Row],[Owning Table:src]],meta_Tables[ID],0))</f>
        <v>meta_Tables</v>
      </c>
      <c r="G335" s="44" t="str">
        <f>INDEX(meta_Tables[Instances Class:src],MATCH(meta_Columns[[#This Row],[Owning Table:src]],meta_Tables[ID],0))</f>
        <v>_Table</v>
      </c>
      <c r="H335" s="11" t="s">
        <v>1012</v>
      </c>
      <c r="I335" s="43" t="str">
        <f xml:space="preserve"> IF( TRIM( meta_Columns[[#This Row],[Owning Table:src]] ) = "", "",
        INDEX( meta_Tables[Display Qualified], MATCH( meta_Columns[[#This Row],[Owning Table:src]], meta_Tables[ID], 0 ) ) )</f>
        <v>meta::Tables</v>
      </c>
      <c r="K335" s="22" t="str">
        <f>IF(TRIM(meta_Columns[[#This Row],[Referenced Table:src]])="","",
    INDEX(meta_Tables[Display Qualified],MATCH(meta_Columns[[#This Row],[Referenced Table:src]],meta_Tables[ID],0)))</f>
        <v/>
      </c>
      <c r="L335" s="8"/>
      <c r="M335" s="22"/>
      <c r="N335" s="8" t="str">
        <f>IF(meta_Columns[[#This Row],[Excel Column - Excel Formula]]="","x","")</f>
        <v/>
      </c>
      <c r="O335" s="22"/>
      <c r="P335" s="8" t="str">
        <f>IF(meta_Columns[[#This Row],[Referenced Table:src]]="","",INDEX(meta_Tables[Instances Class],MATCH(meta_Columns[[#This Row],[Referenced Table:src]],meta_Tables[ID],0)))</f>
        <v/>
      </c>
      <c r="Q3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5" s="8" t="s">
        <v>247</v>
      </c>
      <c r="S335" s="22" t="str">
        <f xml:space="preserve"> IF( TRIM( meta_Columns[[#This Row],[Property:src]] ) = "", "",
        INDEX( meta_TypedModelElements[Display Qualified], MATCH( meta_Columns[[#This Row],[Property:src]], meta_TypedModelElements[ID], 0 ) ) )</f>
        <v>meta::Object.kind</v>
      </c>
      <c r="T335" s="22" t="s">
        <v>476</v>
      </c>
      <c r="U335" s="8" t="e">
        <f>INDEX(meta_Classifiers[Class - Generalization:src], MATCH(meta_Columns[[#This Row],[Generalization 5]],meta_Classifiers[ID],0))</f>
        <v>#N/A</v>
      </c>
      <c r="V335" s="8" t="e">
        <f>INDEX(meta_Classifiers[Class - Generalization:src], MATCH(meta_Columns[[#This Row],[Generalization 4]],meta_Classifiers[ID],0))</f>
        <v>#N/A</v>
      </c>
      <c r="W335" s="8" t="e">
        <f>INDEX(meta_Classifiers[Class - Generalization:src], MATCH(meta_Columns[[#This Row],[Generalization 3]],meta_Classifiers[ID],0))</f>
        <v>#N/A</v>
      </c>
      <c r="X335" s="8" t="str">
        <f>INDEX(meta_Classifiers[Class - Generalization:src], MATCH(meta_Columns[[#This Row],[Generalization 2]],meta_Classifiers[ID],0))</f>
        <v/>
      </c>
      <c r="Y335" s="8" t="str">
        <f>INDEX(meta_Classifiers[Class - Generalization:src], MATCH(meta_Columns[[#This Row],[Generalization 1]],meta_Classifiers[ID],0))</f>
        <v>_Object</v>
      </c>
      <c r="Z335" s="8" t="str">
        <f>INDEX(meta_Classifiers[Class - Generalization:src], MATCH(meta_Columns[[#This Row],[Owning Table Instances Class]],meta_Classifiers[ID],0))</f>
        <v>_NamedElement</v>
      </c>
      <c r="AA3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5" s="8" t="b">
        <f>_xlfn.IFNA(
INDEX(meta_Classifiers[Class - Generalization:src],MATCH(
INDEX(meta_Classifiers[Class - Generalization:src],MATCH(meta_Columns[[#This Row],[Property Owning Class]],meta_Classifiers[ID],0)),meta_Classifiers[ID],0))
=meta_Columns[[#This Row],[Owning Table Instances Class]],FALSE)</f>
        <v>0</v>
      </c>
      <c r="AG335" s="8" t="b">
        <f>_xlfn.IFNA(INDEX(meta_Classifiers[Class - Generalization:src],MATCH(meta_Columns[[#This Row],[Property Owning Class]],meta_Classifiers[ID],0))=meta_Columns[[#This Row],[Owning Table Instances Class]],FALSE)</f>
        <v>0</v>
      </c>
      <c r="AH3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5" s="8" t="str">
        <f>INDEX(meta_Classifiers[Name],MATCH(INDEX(meta_TypedModelElements[Property - Owning Class:src],MATCH(meta_Columns[[#This Row],[Property]],meta_TypedModelElements[ID],0)),meta_Classifiers[ID],0))</f>
        <v>Object</v>
      </c>
      <c r="AJ335" s="8" t="str">
        <f>INDEX(meta_TypedModelElements[Property - Owning Class:src],MATCH(meta_Columns[[#This Row],[Property]],meta_TypedModelElements[ID],0))</f>
        <v>_Object</v>
      </c>
      <c r="AK335" s="8" t="str">
        <f>INDEX(meta_TypedModelElements[Kind:src],MATCH(meta_Columns[[#This Row],[Property]],meta_TypedModelElements[ID],0))</f>
        <v>_Reference</v>
      </c>
      <c r="AL335" s="8" t="str">
        <f>INDEX(meta_TypedModelElements[Name or Type],MATCH(meta_Columns[[#This Row],[Property]],meta_TypedModelElements[ID],0))</f>
        <v>Kind</v>
      </c>
      <c r="AM335" s="8" t="str">
        <f>INDEX(meta_TypedModelElements[Property - Changeable],MATCH(meta_Columns[[#This Row],[Property]],meta_TypedModelElements[ID],0))</f>
        <v>x</v>
      </c>
      <c r="AN335" s="43">
        <v>3</v>
      </c>
      <c r="AO335" s="22"/>
      <c r="AP33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35" s="8" t="str">
        <f xml:space="preserve"> IF(meta_Columns[[#This Row],[Property Owning Class is Specialization of Instance Class]],meta_Columns[[#This Row],[Property Owning Class Name]]&amp;" - ","")</f>
        <v/>
      </c>
      <c r="AR33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5" s="8" t="str">
        <f>IFERROR(LEFT(meta_Columns[[#This Row],[Excel Column - Label Actual without Semantic Case]],FIND("-",
meta_Columns[[#This Row],[Excel Column - Label Actual without Semantic Case]])-2),"")</f>
        <v/>
      </c>
      <c r="AU3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35" s="22"/>
      <c r="AY335" s="8" t="str">
        <f>meta_Columns[[#This Row],[Owning Table]]&amp;"."&amp;meta_Columns[[#This Row],[Excel Column - Label]]</f>
        <v>meta::Tables.Kind</v>
      </c>
      <c r="AZ335" s="43" t="s">
        <v>5</v>
      </c>
      <c r="BA335" s="44" t="str">
        <f>IF(TRIM(meta_Columns[[#This Row],[Excel Column - Label Overwrite]])&lt;&gt;"",meta_Columns[[#This Row],[Excel Column - Label Overwrite]],meta_Columns[[#This Row],[Excel Column - Label from Property or Referenced Table]])</f>
        <v>Kind</v>
      </c>
      <c r="BB335" s="43" t="s">
        <v>1484</v>
      </c>
      <c r="BC335" s="44" t="str">
        <f>IF(meta_Columns[[#This Row],[Excel Column - Explicit Excel Formula]]="","",meta_Columns[[#This Row],[Excel Column - Explicit Excel Formula]])</f>
        <v>Formula:= IF( TRIM( [@[Kind:src]] ) = "", "",
        INDEX( meta_Classifiers[Display Qualified], MATCH( [@[Kind:src]], meta_Classifiers[ID], 0 ) ) )</v>
      </c>
      <c r="BD335" s="5" t="s">
        <v>1461</v>
      </c>
      <c r="BE335" s="5"/>
    </row>
    <row r="336" spans="1:57">
      <c r="A336" s="10" t="s">
        <v>1368</v>
      </c>
      <c r="B336" s="5" t="s">
        <v>546</v>
      </c>
      <c r="C336" s="22" t="str">
        <f xml:space="preserve"> IF( TRIM( meta_Columns[[#This Row],[Kind:src]] ) = "", "",
        INDEX( meta_Classifiers[Display Qualified], MATCH( meta_Columns[[#This Row],[Kind:src]], meta_Classifiers[ID], 0 ) ) )</f>
        <v>ExcelColumn</v>
      </c>
      <c r="D336" s="44" t="str">
        <f>IF(meta_Columns[[#This Row],[Owning Table:src]]="","",INDEX(meta_Classifiers[Package],MATCH(meta_Columns[[#This Row],[Owning Table Instances Class]],meta_Classifiers[ID],0)))</f>
        <v>meta</v>
      </c>
      <c r="E336" s="43"/>
      <c r="F336" s="44" t="str">
        <f>INDEX(meta_Tables[Excel Table - Excel Name],MATCH(meta_Columns[[#This Row],[Owning Table:src]],meta_Tables[ID],0))</f>
        <v>meta_Tables</v>
      </c>
      <c r="G336" s="44" t="str">
        <f>INDEX(meta_Tables[Instances Class:src],MATCH(meta_Columns[[#This Row],[Owning Table:src]],meta_Tables[ID],0))</f>
        <v>_Table</v>
      </c>
      <c r="H336" s="11" t="s">
        <v>1012</v>
      </c>
      <c r="I336" s="43" t="str">
        <f xml:space="preserve"> IF( TRIM( meta_Columns[[#This Row],[Owning Table:src]] ) = "", "",
        INDEX( meta_Tables[Display Qualified], MATCH( meta_Columns[[#This Row],[Owning Table:src]], meta_Tables[ID], 0 ) ) )</f>
        <v>meta::Tables</v>
      </c>
      <c r="K336" s="22" t="str">
        <f>IF(TRIM(meta_Columns[[#This Row],[Referenced Table:src]])="","",
    INDEX(meta_Tables[Display Qualified],MATCH(meta_Columns[[#This Row],[Referenced Table:src]],meta_Tables[ID],0)))</f>
        <v/>
      </c>
      <c r="L336" s="8"/>
      <c r="M336" s="22"/>
      <c r="N336" s="8" t="str">
        <f>IF(meta_Columns[[#This Row],[Excel Column - Excel Formula]]="","x","")</f>
        <v/>
      </c>
      <c r="O336" s="22"/>
      <c r="P336" s="8" t="str">
        <f>IF(meta_Columns[[#This Row],[Referenced Table:src]]="","",INDEX(meta_Tables[Instances Class],MATCH(meta_Columns[[#This Row],[Referenced Table:src]],meta_Tables[ID],0)))</f>
        <v/>
      </c>
      <c r="Q3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6" s="8" t="s">
        <v>248</v>
      </c>
      <c r="S336" s="22" t="str">
        <f xml:space="preserve"> IF( TRIM( meta_Columns[[#This Row],[Property:src]] ) = "", "",
        INDEX( meta_TypedModelElements[Display Qualified], MATCH( meta_Columns[[#This Row],[Property:src]], meta_TypedModelElements[ID], 0 ) ) )</f>
        <v>meta::Object.package</v>
      </c>
      <c r="T336" s="22"/>
      <c r="U336" s="8" t="e">
        <f>INDEX(meta_Classifiers[Class - Generalization:src], MATCH(meta_Columns[[#This Row],[Generalization 5]],meta_Classifiers[ID],0))</f>
        <v>#N/A</v>
      </c>
      <c r="V336" s="8" t="e">
        <f>INDEX(meta_Classifiers[Class - Generalization:src], MATCH(meta_Columns[[#This Row],[Generalization 4]],meta_Classifiers[ID],0))</f>
        <v>#N/A</v>
      </c>
      <c r="W336" s="8" t="e">
        <f>INDEX(meta_Classifiers[Class - Generalization:src], MATCH(meta_Columns[[#This Row],[Generalization 3]],meta_Classifiers[ID],0))</f>
        <v>#N/A</v>
      </c>
      <c r="X336" s="8" t="str">
        <f>INDEX(meta_Classifiers[Class - Generalization:src], MATCH(meta_Columns[[#This Row],[Generalization 2]],meta_Classifiers[ID],0))</f>
        <v/>
      </c>
      <c r="Y336" s="8" t="str">
        <f>INDEX(meta_Classifiers[Class - Generalization:src], MATCH(meta_Columns[[#This Row],[Generalization 1]],meta_Classifiers[ID],0))</f>
        <v>_Object</v>
      </c>
      <c r="Z336" s="8" t="str">
        <f>INDEX(meta_Classifiers[Class - Generalization:src], MATCH(meta_Columns[[#This Row],[Owning Table Instances Class]],meta_Classifiers[ID],0))</f>
        <v>_NamedElement</v>
      </c>
      <c r="AA3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6" s="8" t="b">
        <f>_xlfn.IFNA(
INDEX(meta_Classifiers[Class - Generalization:src],MATCH(
INDEX(meta_Classifiers[Class - Generalization:src],MATCH(meta_Columns[[#This Row],[Property Owning Class]],meta_Classifiers[ID],0)),meta_Classifiers[ID],0))
=meta_Columns[[#This Row],[Owning Table Instances Class]],FALSE)</f>
        <v>0</v>
      </c>
      <c r="AG336" s="8" t="b">
        <f>_xlfn.IFNA(INDEX(meta_Classifiers[Class - Generalization:src],MATCH(meta_Columns[[#This Row],[Property Owning Class]],meta_Classifiers[ID],0))=meta_Columns[[#This Row],[Owning Table Instances Class]],FALSE)</f>
        <v>0</v>
      </c>
      <c r="AH3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6" s="8" t="str">
        <f>INDEX(meta_Classifiers[Name],MATCH(INDEX(meta_TypedModelElements[Property - Owning Class:src],MATCH(meta_Columns[[#This Row],[Property]],meta_TypedModelElements[ID],0)),meta_Classifiers[ID],0))</f>
        <v>Object</v>
      </c>
      <c r="AJ336" s="8" t="str">
        <f>INDEX(meta_TypedModelElements[Property - Owning Class:src],MATCH(meta_Columns[[#This Row],[Property]],meta_TypedModelElements[ID],0))</f>
        <v>_Object</v>
      </c>
      <c r="AK336" s="8" t="str">
        <f>INDEX(meta_TypedModelElements[Kind:src],MATCH(meta_Columns[[#This Row],[Property]],meta_TypedModelElements[ID],0))</f>
        <v>_Attribute</v>
      </c>
      <c r="AL336" s="8" t="str">
        <f>INDEX(meta_TypedModelElements[Name or Type],MATCH(meta_Columns[[#This Row],[Property]],meta_TypedModelElements[ID],0))</f>
        <v>Package</v>
      </c>
      <c r="AM336" s="8" t="str">
        <f>INDEX(meta_TypedModelElements[Property - Changeable],MATCH(meta_Columns[[#This Row],[Property]],meta_TypedModelElements[ID],0))</f>
        <v>x</v>
      </c>
      <c r="AN336" s="43">
        <v>4</v>
      </c>
      <c r="AO336" s="22"/>
      <c r="AP33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36" s="8" t="str">
        <f xml:space="preserve"> IF(meta_Columns[[#This Row],[Property Owning Class is Specialization of Instance Class]],meta_Columns[[#This Row],[Property Owning Class Name]]&amp;" - ","")</f>
        <v/>
      </c>
      <c r="AR33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36" s="8" t="str">
        <f>IFERROR(LEFT(meta_Columns[[#This Row],[Excel Column - Label Actual without Semantic Case]],FIND("-",
meta_Columns[[#This Row],[Excel Column - Label Actual without Semantic Case]])-2),"")</f>
        <v/>
      </c>
      <c r="AU3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36" s="22"/>
      <c r="AY336" s="8" t="str">
        <f>meta_Columns[[#This Row],[Owning Table]]&amp;"."&amp;meta_Columns[[#This Row],[Excel Column - Label]]</f>
        <v>meta::Tables.Package</v>
      </c>
      <c r="AZ336" s="43" t="s">
        <v>120</v>
      </c>
      <c r="BA336" s="44" t="str">
        <f>IF(TRIM(meta_Columns[[#This Row],[Excel Column - Label Overwrite]])&lt;&gt;"",meta_Columns[[#This Row],[Excel Column - Label Overwrite]],meta_Columns[[#This Row],[Excel Column - Label from Property or Referenced Table]])</f>
        <v>Package</v>
      </c>
      <c r="BB336" s="43" t="s">
        <v>1450</v>
      </c>
      <c r="BC336" s="44" t="str">
        <f>IF(meta_Columns[[#This Row],[Excel Column - Explicit Excel Formula]]="","",meta_Columns[[#This Row],[Excel Column - Explicit Excel Formula]])</f>
        <v>Formula:=IFERROR(LEFT([@[Excel Table - Excel Name]],FIND("_",[@[Excel Table - Excel Name]])-1),"")</v>
      </c>
      <c r="BD336" s="5"/>
      <c r="BE336" s="5"/>
    </row>
    <row r="337" spans="1:57">
      <c r="A337" s="10" t="s">
        <v>1295</v>
      </c>
      <c r="B337" s="5" t="s">
        <v>546</v>
      </c>
      <c r="C337" s="22" t="str">
        <f xml:space="preserve"> IF( TRIM( meta_Columns[[#This Row],[Kind:src]] ) = "", "",
        INDEX( meta_Classifiers[Display Qualified], MATCH( meta_Columns[[#This Row],[Kind:src]], meta_Classifiers[ID], 0 ) ) )</f>
        <v>ExcelColumn</v>
      </c>
      <c r="D337" s="44" t="str">
        <f>IF(meta_Columns[[#This Row],[Owning Table:src]]="","",INDEX(meta_Classifiers[Package],MATCH(meta_Columns[[#This Row],[Owning Table Instances Class]],meta_Classifiers[ID],0)))</f>
        <v>meta</v>
      </c>
      <c r="E337" s="43"/>
      <c r="F337" s="44" t="str">
        <f>INDEX(meta_Tables[Excel Table - Excel Name],MATCH(meta_Columns[[#This Row],[Owning Table:src]],meta_Tables[ID],0))</f>
        <v>meta_Tables</v>
      </c>
      <c r="G337" s="44" t="str">
        <f>INDEX(meta_Tables[Instances Class:src],MATCH(meta_Columns[[#This Row],[Owning Table:src]],meta_Tables[ID],0))</f>
        <v>_Table</v>
      </c>
      <c r="H337" s="11" t="s">
        <v>1012</v>
      </c>
      <c r="I337" s="43" t="str">
        <f xml:space="preserve"> IF( TRIM( meta_Columns[[#This Row],[Owning Table:src]] ) = "", "",
        INDEX( meta_Tables[Display Qualified], MATCH( meta_Columns[[#This Row],[Owning Table:src]], meta_Tables[ID], 0 ) ) )</f>
        <v>meta::Tables</v>
      </c>
      <c r="K337" s="22" t="str">
        <f>IF(TRIM(meta_Columns[[#This Row],[Referenced Table:src]])="","",
    INDEX(meta_Tables[Display Qualified],MATCH(meta_Columns[[#This Row],[Referenced Table:src]],meta_Tables[ID],0)))</f>
        <v/>
      </c>
      <c r="L337" s="8"/>
      <c r="M337" s="22"/>
      <c r="N337" s="8" t="str">
        <f>IF(meta_Columns[[#This Row],[Excel Column - Excel Formula]]="","x","")</f>
        <v>x</v>
      </c>
      <c r="O337" s="22"/>
      <c r="P337" s="8" t="str">
        <f>IF(meta_Columns[[#This Row],[Referenced Table:src]]="","",INDEX(meta_Tables[Instances Class],MATCH(meta_Columns[[#This Row],[Referenced Table:src]],meta_Tables[ID],0)))</f>
        <v/>
      </c>
      <c r="Q3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7" s="8" t="s">
        <v>460</v>
      </c>
      <c r="S337" s="22" t="str">
        <f xml:space="preserve"> IF( TRIM( meta_Columns[[#This Row],[Property:src]] ) = "", "",
        INDEX( meta_TypedModelElements[Display Qualified], MATCH( meta_Columns[[#This Row],[Property:src]], meta_TypedModelElements[ID], 0 ) ) )</f>
        <v>meta::Object.subPackage</v>
      </c>
      <c r="T337" s="22" t="s">
        <v>42</v>
      </c>
      <c r="U337" s="8" t="e">
        <f>INDEX(meta_Classifiers[Class - Generalization:src], MATCH(meta_Columns[[#This Row],[Generalization 5]],meta_Classifiers[ID],0))</f>
        <v>#N/A</v>
      </c>
      <c r="V337" s="8" t="e">
        <f>INDEX(meta_Classifiers[Class - Generalization:src], MATCH(meta_Columns[[#This Row],[Generalization 4]],meta_Classifiers[ID],0))</f>
        <v>#N/A</v>
      </c>
      <c r="W337" s="8" t="e">
        <f>INDEX(meta_Classifiers[Class - Generalization:src], MATCH(meta_Columns[[#This Row],[Generalization 3]],meta_Classifiers[ID],0))</f>
        <v>#N/A</v>
      </c>
      <c r="X337" s="8" t="str">
        <f>INDEX(meta_Classifiers[Class - Generalization:src], MATCH(meta_Columns[[#This Row],[Generalization 2]],meta_Classifiers[ID],0))</f>
        <v/>
      </c>
      <c r="Y337" s="8" t="str">
        <f>INDEX(meta_Classifiers[Class - Generalization:src], MATCH(meta_Columns[[#This Row],[Generalization 1]],meta_Classifiers[ID],0))</f>
        <v>_Object</v>
      </c>
      <c r="Z337" s="8" t="str">
        <f>INDEX(meta_Classifiers[Class - Generalization:src], MATCH(meta_Columns[[#This Row],[Owning Table Instances Class]],meta_Classifiers[ID],0))</f>
        <v>_NamedElement</v>
      </c>
      <c r="AA3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7" s="8" t="b">
        <f>_xlfn.IFNA(
INDEX(meta_Classifiers[Class - Generalization:src],MATCH(
INDEX(meta_Classifiers[Class - Generalization:src],MATCH(meta_Columns[[#This Row],[Property Owning Class]],meta_Classifiers[ID],0)),meta_Classifiers[ID],0))
=meta_Columns[[#This Row],[Owning Table Instances Class]],FALSE)</f>
        <v>0</v>
      </c>
      <c r="AG337" s="8" t="b">
        <f>_xlfn.IFNA(INDEX(meta_Classifiers[Class - Generalization:src],MATCH(meta_Columns[[#This Row],[Property Owning Class]],meta_Classifiers[ID],0))=meta_Columns[[#This Row],[Owning Table Instances Class]],FALSE)</f>
        <v>0</v>
      </c>
      <c r="AH3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7" s="8" t="str">
        <f>INDEX(meta_Classifiers[Name],MATCH(INDEX(meta_TypedModelElements[Property - Owning Class:src],MATCH(meta_Columns[[#This Row],[Property]],meta_TypedModelElements[ID],0)),meta_Classifiers[ID],0))</f>
        <v>Object</v>
      </c>
      <c r="AJ337" s="8" t="str">
        <f>INDEX(meta_TypedModelElements[Property - Owning Class:src],MATCH(meta_Columns[[#This Row],[Property]],meta_TypedModelElements[ID],0))</f>
        <v>_Object</v>
      </c>
      <c r="AK337" s="8" t="str">
        <f>INDEX(meta_TypedModelElements[Kind:src],MATCH(meta_Columns[[#This Row],[Property]],meta_TypedModelElements[ID],0))</f>
        <v>_Attribute</v>
      </c>
      <c r="AL337" s="8" t="str">
        <f>INDEX(meta_TypedModelElements[Name or Type],MATCH(meta_Columns[[#This Row],[Property]],meta_TypedModelElements[ID],0))</f>
        <v>Sub Package</v>
      </c>
      <c r="AM337" s="8" t="str">
        <f>INDEX(meta_TypedModelElements[Property - Changeable],MATCH(meta_Columns[[#This Row],[Property]],meta_TypedModelElements[ID],0))</f>
        <v>x</v>
      </c>
      <c r="AN337" s="43">
        <v>5</v>
      </c>
      <c r="AO337" s="22">
        <v>3</v>
      </c>
      <c r="AP33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37" s="8" t="str">
        <f xml:space="preserve"> IF(meta_Columns[[#This Row],[Property Owning Class is Specialization of Instance Class]],meta_Columns[[#This Row],[Property Owning Class Name]]&amp;" - ","")</f>
        <v/>
      </c>
      <c r="AR33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37" s="8" t="str">
        <f>IFERROR(LEFT(meta_Columns[[#This Row],[Excel Column - Label Actual without Semantic Case]],FIND("-",
meta_Columns[[#This Row],[Excel Column - Label Actual without Semantic Case]])-2),"")</f>
        <v/>
      </c>
      <c r="AU3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37" s="22"/>
      <c r="AY337" s="8" t="str">
        <f>meta_Columns[[#This Row],[Owning Table]]&amp;"."&amp;meta_Columns[[#This Row],[Excel Column - Label]]</f>
        <v>meta::Tables.Sub Package</v>
      </c>
      <c r="AZ337" s="43" t="s">
        <v>461</v>
      </c>
      <c r="BA337" s="44" t="str">
        <f>IF(TRIM(meta_Columns[[#This Row],[Excel Column - Label Overwrite]])&lt;&gt;"",meta_Columns[[#This Row],[Excel Column - Label Overwrite]],meta_Columns[[#This Row],[Excel Column - Label from Property or Referenced Table]])</f>
        <v>Sub Package</v>
      </c>
      <c r="BB337" s="43"/>
      <c r="BC337" s="44" t="str">
        <f>IF(meta_Columns[[#This Row],[Excel Column - Explicit Excel Formula]]="","",meta_Columns[[#This Row],[Excel Column - Explicit Excel Formula]])</f>
        <v/>
      </c>
      <c r="BD337" s="5"/>
      <c r="BE337" s="5"/>
    </row>
    <row r="338" spans="1:57">
      <c r="A338" s="10" t="s">
        <v>1296</v>
      </c>
      <c r="B338" s="5" t="s">
        <v>546</v>
      </c>
      <c r="C338" s="22" t="str">
        <f xml:space="preserve"> IF( TRIM( meta_Columns[[#This Row],[Kind:src]] ) = "", "",
        INDEX( meta_Classifiers[Display Qualified], MATCH( meta_Columns[[#This Row],[Kind:src]], meta_Classifiers[ID], 0 ) ) )</f>
        <v>ExcelColumn</v>
      </c>
      <c r="D338" s="44" t="str">
        <f>IF(meta_Columns[[#This Row],[Owning Table:src]]="","",INDEX(meta_Classifiers[Package],MATCH(meta_Columns[[#This Row],[Owning Table Instances Class]],meta_Classifiers[ID],0)))</f>
        <v>meta</v>
      </c>
      <c r="E338" s="43"/>
      <c r="F338" s="44" t="str">
        <f>INDEX(meta_Tables[Excel Table - Excel Name],MATCH(meta_Columns[[#This Row],[Owning Table:src]],meta_Tables[ID],0))</f>
        <v>meta_Tables</v>
      </c>
      <c r="G338" s="44" t="str">
        <f>INDEX(meta_Tables[Instances Class:src],MATCH(meta_Columns[[#This Row],[Owning Table:src]],meta_Tables[ID],0))</f>
        <v>_Table</v>
      </c>
      <c r="H338" s="11" t="s">
        <v>1012</v>
      </c>
      <c r="I338" s="43" t="str">
        <f xml:space="preserve"> IF( TRIM( meta_Columns[[#This Row],[Owning Table:src]] ) = "", "",
        INDEX( meta_Tables[Display Qualified], MATCH( meta_Columns[[#This Row],[Owning Table:src]], meta_Tables[ID], 0 ) ) )</f>
        <v>meta::Tables</v>
      </c>
      <c r="K338" s="22" t="str">
        <f>IF(TRIM(meta_Columns[[#This Row],[Referenced Table:src]])="","",
    INDEX(meta_Tables[Display Qualified],MATCH(meta_Columns[[#This Row],[Referenced Table:src]],meta_Tables[ID],0)))</f>
        <v/>
      </c>
      <c r="L338" s="8"/>
      <c r="M338" s="22"/>
      <c r="N338" s="8" t="str">
        <f>IF(meta_Columns[[#This Row],[Excel Column - Excel Formula]]="","x","")</f>
        <v>x</v>
      </c>
      <c r="O338" s="22"/>
      <c r="P338" s="8" t="str">
        <f>IF(meta_Columns[[#This Row],[Referenced Table:src]]="","",INDEX(meta_Tables[Instances Class],MATCH(meta_Columns[[#This Row],[Referenced Table:src]],meta_Tables[ID],0)))</f>
        <v/>
      </c>
      <c r="Q3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meta::ExcelTable.excelName</v>
      </c>
      <c r="R338" s="8"/>
      <c r="S338" s="22" t="str">
        <f xml:space="preserve"> IF( TRIM( meta_Columns[[#This Row],[Property:src]] ) = "", "",
        INDEX( meta_TypedModelElements[Display Qualified], MATCH( meta_Columns[[#This Row],[Property:src]], meta_TypedModelElements[ID], 0 ) ) )</f>
        <v/>
      </c>
      <c r="T338" s="22"/>
      <c r="U338" s="8" t="e">
        <f>INDEX(meta_Classifiers[Class - Generalization:src], MATCH(meta_Columns[[#This Row],[Generalization 5]],meta_Classifiers[ID],0))</f>
        <v>#N/A</v>
      </c>
      <c r="V338" s="8" t="e">
        <f>INDEX(meta_Classifiers[Class - Generalization:src], MATCH(meta_Columns[[#This Row],[Generalization 4]],meta_Classifiers[ID],0))</f>
        <v>#N/A</v>
      </c>
      <c r="W338" s="8" t="e">
        <f>INDEX(meta_Classifiers[Class - Generalization:src], MATCH(meta_Columns[[#This Row],[Generalization 3]],meta_Classifiers[ID],0))</f>
        <v>#N/A</v>
      </c>
      <c r="X338" s="8" t="str">
        <f>INDEX(meta_Classifiers[Class - Generalization:src], MATCH(meta_Columns[[#This Row],[Generalization 2]],meta_Classifiers[ID],0))</f>
        <v/>
      </c>
      <c r="Y338" s="8" t="str">
        <f>INDEX(meta_Classifiers[Class - Generalization:src], MATCH(meta_Columns[[#This Row],[Generalization 1]],meta_Classifiers[ID],0))</f>
        <v>_Object</v>
      </c>
      <c r="Z338" s="8" t="str">
        <f>INDEX(meta_Classifiers[Class - Generalization:src], MATCH(meta_Columns[[#This Row],[Owning Table Instances Class]],meta_Classifiers[ID],0))</f>
        <v>_NamedElement</v>
      </c>
      <c r="AA3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8" s="8" t="b">
        <f>_xlfn.IFNA(
INDEX(meta_Classifiers[Class - Generalization:src],MATCH(
INDEX(meta_Classifiers[Class - Generalization:src],MATCH(meta_Columns[[#This Row],[Property Owning Class]],meta_Classifiers[ID],0)),meta_Classifiers[ID],0))
=meta_Columns[[#This Row],[Owning Table Instances Class]],FALSE)</f>
        <v>0</v>
      </c>
      <c r="AG338" s="8" t="b">
        <f>_xlfn.IFNA(INDEX(meta_Classifiers[Class - Generalization:src],MATCH(meta_Columns[[#This Row],[Property Owning Class]],meta_Classifiers[ID],0))=meta_Columns[[#This Row],[Owning Table Instances Class]],FALSE)</f>
        <v>0</v>
      </c>
      <c r="AH3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8" s="8" t="e">
        <f>INDEX(meta_Classifiers[Name],MATCH(INDEX(meta_TypedModelElements[Property - Owning Class:src],MATCH(meta_Columns[[#This Row],[Property]],meta_TypedModelElements[ID],0)),meta_Classifiers[ID],0))</f>
        <v>#N/A</v>
      </c>
      <c r="AJ338" s="8" t="e">
        <f>INDEX(meta_TypedModelElements[Property - Owning Class:src],MATCH(meta_Columns[[#This Row],[Property]],meta_TypedModelElements[ID],0))</f>
        <v>#N/A</v>
      </c>
      <c r="AK338" s="8" t="e">
        <f>INDEX(meta_TypedModelElements[Kind:src],MATCH(meta_Columns[[#This Row],[Property]],meta_TypedModelElements[ID],0))</f>
        <v>#N/A</v>
      </c>
      <c r="AL338" s="8" t="e">
        <f>INDEX(meta_TypedModelElements[Name or Type],MATCH(meta_Columns[[#This Row],[Property]],meta_TypedModelElements[ID],0))</f>
        <v>#N/A</v>
      </c>
      <c r="AM338" s="8" t="e">
        <f>INDEX(meta_TypedModelElements[Property - Changeable],MATCH(meta_Columns[[#This Row],[Property]],meta_TypedModelElements[ID],0))</f>
        <v>#N/A</v>
      </c>
      <c r="AN338" s="43">
        <v>6</v>
      </c>
      <c r="AO338" s="22">
        <v>4</v>
      </c>
      <c r="AP3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8" s="8" t="str">
        <f xml:space="preserve"> IF(meta_Columns[[#This Row],[Property Owning Class is Specialization of Instance Class]],meta_Columns[[#This Row],[Property Owning Class Name]]&amp;" - ","")</f>
        <v/>
      </c>
      <c r="AR3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Name</v>
      </c>
      <c r="AT338" s="8" t="str">
        <f>IFERROR(LEFT(meta_Columns[[#This Row],[Excel Column - Label Actual without Semantic Case]],FIND("-",
meta_Columns[[#This Row],[Excel Column - Label Actual without Semantic Case]])-2),"")</f>
        <v>Excel Table</v>
      </c>
      <c r="AU3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Excel Name</v>
      </c>
      <c r="AV3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Excel Name</v>
      </c>
      <c r="AX338" s="22"/>
      <c r="AY338" s="8" t="str">
        <f>meta_Columns[[#This Row],[Owning Table]]&amp;"."&amp;meta_Columns[[#This Row],[Excel Column - Label]]</f>
        <v>meta::Tables.Excel Table - Excel Name</v>
      </c>
      <c r="AZ338" s="43" t="s">
        <v>543</v>
      </c>
      <c r="BA338" s="44" t="str">
        <f>IF(TRIM(meta_Columns[[#This Row],[Excel Column - Label Overwrite]])&lt;&gt;"",meta_Columns[[#This Row],[Excel Column - Label Overwrite]],meta_Columns[[#This Row],[Excel Column - Label from Property or Referenced Table]])</f>
        <v>Excel Table - Excel Name</v>
      </c>
      <c r="BB338" s="43"/>
      <c r="BC338" s="44" t="str">
        <f>IF(meta_Columns[[#This Row],[Excel Column - Explicit Excel Formula]]="","",meta_Columns[[#This Row],[Excel Column - Explicit Excel Formula]])</f>
        <v/>
      </c>
      <c r="BD338" s="5"/>
      <c r="BE338" s="5"/>
    </row>
    <row r="339" spans="1:57">
      <c r="A339" s="10" t="s">
        <v>1297</v>
      </c>
      <c r="B339" s="5" t="s">
        <v>546</v>
      </c>
      <c r="C339" s="22" t="str">
        <f xml:space="preserve"> IF( TRIM( meta_Columns[[#This Row],[Kind:src]] ) = "", "",
        INDEX( meta_Classifiers[Display Qualified], MATCH( meta_Columns[[#This Row],[Kind:src]], meta_Classifiers[ID], 0 ) ) )</f>
        <v>ExcelColumn</v>
      </c>
      <c r="D339" s="44" t="str">
        <f>IF(meta_Columns[[#This Row],[Owning Table:src]]="","",INDEX(meta_Classifiers[Package],MATCH(meta_Columns[[#This Row],[Owning Table Instances Class]],meta_Classifiers[ID],0)))</f>
        <v>meta</v>
      </c>
      <c r="E339" s="43"/>
      <c r="F339" s="44" t="str">
        <f>INDEX(meta_Tables[Excel Table - Excel Name],MATCH(meta_Columns[[#This Row],[Owning Table:src]],meta_Tables[ID],0))</f>
        <v>meta_Tables</v>
      </c>
      <c r="G339" s="44" t="str">
        <f>INDEX(meta_Tables[Instances Class:src],MATCH(meta_Columns[[#This Row],[Owning Table:src]],meta_Tables[ID],0))</f>
        <v>_Table</v>
      </c>
      <c r="H339" s="11" t="s">
        <v>1012</v>
      </c>
      <c r="I339" s="43" t="str">
        <f xml:space="preserve"> IF( TRIM( meta_Columns[[#This Row],[Owning Table:src]] ) = "", "",
        INDEX( meta_Tables[Display Qualified], MATCH( meta_Columns[[#This Row],[Owning Table:src]], meta_Tables[ID], 0 ) ) )</f>
        <v>meta::Tables</v>
      </c>
      <c r="K339" s="22" t="str">
        <f>IF(TRIM(meta_Columns[[#This Row],[Referenced Table:src]])="","",
    INDEX(meta_Tables[Display Qualified],MATCH(meta_Columns[[#This Row],[Referenced Table:src]],meta_Tables[ID],0)))</f>
        <v/>
      </c>
      <c r="L339" s="8"/>
      <c r="M339" s="22"/>
      <c r="N339" s="8" t="str">
        <f>IF(meta_Columns[[#This Row],[Excel Column - Excel Formula]]="","x","")</f>
        <v/>
      </c>
      <c r="O339" s="22"/>
      <c r="P339" s="8" t="str">
        <f>IF(meta_Columns[[#This Row],[Referenced Table:src]]="","",INDEX(meta_Tables[Instances Class],MATCH(meta_Columns[[#This Row],[Referenced Table:src]],meta_Tables[ID],0)))</f>
        <v/>
      </c>
      <c r="Q3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9" s="8" t="s">
        <v>807</v>
      </c>
      <c r="S339" s="22" t="str">
        <f xml:space="preserve"> IF( TRIM( meta_Columns[[#This Row],[Property:src]] ) = "", "",
        INDEX( meta_TypedModelElements[Display Qualified], MATCH( meta_Columns[[#This Row],[Property:src]], meta_TypedModelElements[ID], 0 ) ) )</f>
        <v>meta::Object.displayQualified</v>
      </c>
      <c r="T339" s="22"/>
      <c r="U339" s="8" t="e">
        <f>INDEX(meta_Classifiers[Class - Generalization:src], MATCH(meta_Columns[[#This Row],[Generalization 5]],meta_Classifiers[ID],0))</f>
        <v>#N/A</v>
      </c>
      <c r="V339" s="8" t="e">
        <f>INDEX(meta_Classifiers[Class - Generalization:src], MATCH(meta_Columns[[#This Row],[Generalization 4]],meta_Classifiers[ID],0))</f>
        <v>#N/A</v>
      </c>
      <c r="W339" s="8" t="e">
        <f>INDEX(meta_Classifiers[Class - Generalization:src], MATCH(meta_Columns[[#This Row],[Generalization 3]],meta_Classifiers[ID],0))</f>
        <v>#N/A</v>
      </c>
      <c r="X339" s="8" t="str">
        <f>INDEX(meta_Classifiers[Class - Generalization:src], MATCH(meta_Columns[[#This Row],[Generalization 2]],meta_Classifiers[ID],0))</f>
        <v/>
      </c>
      <c r="Y339" s="8" t="str">
        <f>INDEX(meta_Classifiers[Class - Generalization:src], MATCH(meta_Columns[[#This Row],[Generalization 1]],meta_Classifiers[ID],0))</f>
        <v>_Object</v>
      </c>
      <c r="Z339" s="8" t="str">
        <f>INDEX(meta_Classifiers[Class - Generalization:src], MATCH(meta_Columns[[#This Row],[Owning Table Instances Class]],meta_Classifiers[ID],0))</f>
        <v>_NamedElement</v>
      </c>
      <c r="AA3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9" s="8" t="b">
        <f>_xlfn.IFNA(
INDEX(meta_Classifiers[Class - Generalization:src],MATCH(
INDEX(meta_Classifiers[Class - Generalization:src],MATCH(meta_Columns[[#This Row],[Property Owning Class]],meta_Classifiers[ID],0)),meta_Classifiers[ID],0))
=meta_Columns[[#This Row],[Owning Table Instances Class]],FALSE)</f>
        <v>0</v>
      </c>
      <c r="AG339" s="8" t="b">
        <f>_xlfn.IFNA(INDEX(meta_Classifiers[Class - Generalization:src],MATCH(meta_Columns[[#This Row],[Property Owning Class]],meta_Classifiers[ID],0))=meta_Columns[[#This Row],[Owning Table Instances Class]],FALSE)</f>
        <v>0</v>
      </c>
      <c r="AH3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9" s="8" t="str">
        <f>INDEX(meta_Classifiers[Name],MATCH(INDEX(meta_TypedModelElements[Property - Owning Class:src],MATCH(meta_Columns[[#This Row],[Property]],meta_TypedModelElements[ID],0)),meta_Classifiers[ID],0))</f>
        <v>Object</v>
      </c>
      <c r="AJ339" s="8" t="str">
        <f>INDEX(meta_TypedModelElements[Property - Owning Class:src],MATCH(meta_Columns[[#This Row],[Property]],meta_TypedModelElements[ID],0))</f>
        <v>_Object</v>
      </c>
      <c r="AK339" s="8" t="str">
        <f>INDEX(meta_TypedModelElements[Kind:src],MATCH(meta_Columns[[#This Row],[Property]],meta_TypedModelElements[ID],0))</f>
        <v>_Attribute</v>
      </c>
      <c r="AL339" s="8" t="str">
        <f>INDEX(meta_TypedModelElements[Name or Type],MATCH(meta_Columns[[#This Row],[Property]],meta_TypedModelElements[ID],0))</f>
        <v>Display Qualified</v>
      </c>
      <c r="AM339" s="8">
        <f>INDEX(meta_TypedModelElements[Property - Changeable],MATCH(meta_Columns[[#This Row],[Property]],meta_TypedModelElements[ID],0))</f>
        <v>0</v>
      </c>
      <c r="AN339" s="43">
        <v>7</v>
      </c>
      <c r="AO339" s="22"/>
      <c r="AP3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339" s="8" t="str">
        <f xml:space="preserve"> IF(meta_Columns[[#This Row],[Property Owning Class is Specialization of Instance Class]],meta_Columns[[#This Row],[Property Owning Class Name]]&amp;" - ","")</f>
        <v/>
      </c>
      <c r="AR3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3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39" s="8" t="str">
        <f>IFERROR(LEFT(meta_Columns[[#This Row],[Excel Column - Label Actual without Semantic Case]],FIND("-",
meta_Columns[[#This Row],[Excel Column - Label Actual without Semantic Case]])-2),"")</f>
        <v/>
      </c>
      <c r="AU3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39" s="22"/>
      <c r="AY339" s="8" t="str">
        <f>meta_Columns[[#This Row],[Owning Table]]&amp;"."&amp;meta_Columns[[#This Row],[Excel Column - Label]]</f>
        <v>meta::Tables.Display Qualified</v>
      </c>
      <c r="AZ339" s="43" t="s">
        <v>806</v>
      </c>
      <c r="BA339" s="44" t="str">
        <f>IF(TRIM(meta_Columns[[#This Row],[Excel Column - Label Overwrite]])&lt;&gt;"",meta_Columns[[#This Row],[Excel Column - Label Overwrite]],meta_Columns[[#This Row],[Excel Column - Label from Property or Referenced Table]])</f>
        <v>Display Qualified</v>
      </c>
      <c r="BB339" s="43" t="s">
        <v>906</v>
      </c>
      <c r="BC339" s="44" t="str">
        <f>IF(meta_Columns[[#This Row],[Excel Column - Explicit Excel Formula]]="","",meta_Columns[[#This Row],[Excel Column - Explicit Excel Formula]])</f>
        <v>Formula:=IF([@Package]="","",[@Package]&amp;"::")&amp;[@Display]</v>
      </c>
      <c r="BD339" s="5"/>
      <c r="BE339" s="5"/>
    </row>
    <row r="340" spans="1:57">
      <c r="A340" s="10" t="s">
        <v>1298</v>
      </c>
      <c r="B340" s="5" t="s">
        <v>546</v>
      </c>
      <c r="C340" s="22" t="str">
        <f xml:space="preserve"> IF( TRIM( meta_Columns[[#This Row],[Kind:src]] ) = "", "",
        INDEX( meta_Classifiers[Display Qualified], MATCH( meta_Columns[[#This Row],[Kind:src]], meta_Classifiers[ID], 0 ) ) )</f>
        <v>ExcelColumn</v>
      </c>
      <c r="D340" s="44" t="str">
        <f>IF(meta_Columns[[#This Row],[Owning Table:src]]="","",INDEX(meta_Classifiers[Package],MATCH(meta_Columns[[#This Row],[Owning Table Instances Class]],meta_Classifiers[ID],0)))</f>
        <v>meta</v>
      </c>
      <c r="E340" s="43"/>
      <c r="F340" s="44" t="str">
        <f>INDEX(meta_Tables[Excel Table - Excel Name],MATCH(meta_Columns[[#This Row],[Owning Table:src]],meta_Tables[ID],0))</f>
        <v>meta_Tables</v>
      </c>
      <c r="G340" s="44" t="str">
        <f>INDEX(meta_Tables[Instances Class:src],MATCH(meta_Columns[[#This Row],[Owning Table:src]],meta_Tables[ID],0))</f>
        <v>_Table</v>
      </c>
      <c r="H340" s="11" t="s">
        <v>1012</v>
      </c>
      <c r="I340" s="43" t="str">
        <f xml:space="preserve"> IF( TRIM( meta_Columns[[#This Row],[Owning Table:src]] ) = "", "",
        INDEX( meta_Tables[Display Qualified], MATCH( meta_Columns[[#This Row],[Owning Table:src]], meta_Tables[ID], 0 ) ) )</f>
        <v>meta::Tables</v>
      </c>
      <c r="K340" s="22" t="str">
        <f>IF(TRIM(meta_Columns[[#This Row],[Referenced Table:src]])="","",
    INDEX(meta_Tables[Display Qualified],MATCH(meta_Columns[[#This Row],[Referenced Table:src]],meta_Tables[ID],0)))</f>
        <v/>
      </c>
      <c r="L340" s="8"/>
      <c r="M340" s="22"/>
      <c r="N340" s="8" t="str">
        <f>IF(meta_Columns[[#This Row],[Excel Column - Excel Formula]]="","x","")</f>
        <v/>
      </c>
      <c r="O340" s="22"/>
      <c r="P340" s="8" t="str">
        <f>IF(meta_Columns[[#This Row],[Referenced Table:src]]="","",INDEX(meta_Tables[Instances Class],MATCH(meta_Columns[[#This Row],[Referenced Table:src]],meta_Tables[ID],0)))</f>
        <v/>
      </c>
      <c r="Q3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0" s="8" t="s">
        <v>478</v>
      </c>
      <c r="S340" s="22" t="str">
        <f xml:space="preserve"> IF( TRIM( meta_Columns[[#This Row],[Property:src]] ) = "", "",
        INDEX( meta_TypedModelElements[Display Qualified], MATCH( meta_Columns[[#This Row],[Property:src]], meta_TypedModelElements[ID], 0 ) ) )</f>
        <v>meta::Object.display</v>
      </c>
      <c r="T340" s="22" t="s">
        <v>477</v>
      </c>
      <c r="U340" s="8" t="e">
        <f>INDEX(meta_Classifiers[Class - Generalization:src], MATCH(meta_Columns[[#This Row],[Generalization 5]],meta_Classifiers[ID],0))</f>
        <v>#N/A</v>
      </c>
      <c r="V340" s="8" t="e">
        <f>INDEX(meta_Classifiers[Class - Generalization:src], MATCH(meta_Columns[[#This Row],[Generalization 4]],meta_Classifiers[ID],0))</f>
        <v>#N/A</v>
      </c>
      <c r="W340" s="8" t="e">
        <f>INDEX(meta_Classifiers[Class - Generalization:src], MATCH(meta_Columns[[#This Row],[Generalization 3]],meta_Classifiers[ID],0))</f>
        <v>#N/A</v>
      </c>
      <c r="X340" s="8" t="str">
        <f>INDEX(meta_Classifiers[Class - Generalization:src], MATCH(meta_Columns[[#This Row],[Generalization 2]],meta_Classifiers[ID],0))</f>
        <v/>
      </c>
      <c r="Y340" s="8" t="str">
        <f>INDEX(meta_Classifiers[Class - Generalization:src], MATCH(meta_Columns[[#This Row],[Generalization 1]],meta_Classifiers[ID],0))</f>
        <v>_Object</v>
      </c>
      <c r="Z340" s="8" t="str">
        <f>INDEX(meta_Classifiers[Class - Generalization:src], MATCH(meta_Columns[[#This Row],[Owning Table Instances Class]],meta_Classifiers[ID],0))</f>
        <v>_NamedElement</v>
      </c>
      <c r="AA3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0" s="8" t="b">
        <f>_xlfn.IFNA(
INDEX(meta_Classifiers[Class - Generalization:src],MATCH(
INDEX(meta_Classifiers[Class - Generalization:src],MATCH(meta_Columns[[#This Row],[Property Owning Class]],meta_Classifiers[ID],0)),meta_Classifiers[ID],0))
=meta_Columns[[#This Row],[Owning Table Instances Class]],FALSE)</f>
        <v>0</v>
      </c>
      <c r="AG340" s="8" t="b">
        <f>_xlfn.IFNA(INDEX(meta_Classifiers[Class - Generalization:src],MATCH(meta_Columns[[#This Row],[Property Owning Class]],meta_Classifiers[ID],0))=meta_Columns[[#This Row],[Owning Table Instances Class]],FALSE)</f>
        <v>0</v>
      </c>
      <c r="AH3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0" s="8" t="str">
        <f>INDEX(meta_Classifiers[Name],MATCH(INDEX(meta_TypedModelElements[Property - Owning Class:src],MATCH(meta_Columns[[#This Row],[Property]],meta_TypedModelElements[ID],0)),meta_Classifiers[ID],0))</f>
        <v>Object</v>
      </c>
      <c r="AJ340" s="8" t="str">
        <f>INDEX(meta_TypedModelElements[Property - Owning Class:src],MATCH(meta_Columns[[#This Row],[Property]],meta_TypedModelElements[ID],0))</f>
        <v>_Object</v>
      </c>
      <c r="AK340" s="8" t="str">
        <f>INDEX(meta_TypedModelElements[Kind:src],MATCH(meta_Columns[[#This Row],[Property]],meta_TypedModelElements[ID],0))</f>
        <v>_Attribute</v>
      </c>
      <c r="AL340" s="8" t="str">
        <f>INDEX(meta_TypedModelElements[Name or Type],MATCH(meta_Columns[[#This Row],[Property]],meta_TypedModelElements[ID],0))</f>
        <v>Display</v>
      </c>
      <c r="AM340" s="8">
        <f>INDEX(meta_TypedModelElements[Property - Changeable],MATCH(meta_Columns[[#This Row],[Property]],meta_TypedModelElements[ID],0))</f>
        <v>0</v>
      </c>
      <c r="AN340" s="43">
        <v>8</v>
      </c>
      <c r="AO340" s="22"/>
      <c r="AP3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40" s="8" t="str">
        <f xml:space="preserve"> IF(meta_Columns[[#This Row],[Property Owning Class is Specialization of Instance Class]],meta_Columns[[#This Row],[Property Owning Class Name]]&amp;" - ","")</f>
        <v/>
      </c>
      <c r="AR3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40" s="8" t="str">
        <f>IFERROR(LEFT(meta_Columns[[#This Row],[Excel Column - Label Actual without Semantic Case]],FIND("-",
meta_Columns[[#This Row],[Excel Column - Label Actual without Semantic Case]])-2),"")</f>
        <v/>
      </c>
      <c r="AU3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40" s="22"/>
      <c r="AY340" s="8" t="str">
        <f>meta_Columns[[#This Row],[Owning Table]]&amp;"."&amp;meta_Columns[[#This Row],[Excel Column - Label]]</f>
        <v>meta::Tables.Display</v>
      </c>
      <c r="AZ340" s="43" t="s">
        <v>32</v>
      </c>
      <c r="BA340" s="44" t="str">
        <f>IF(TRIM(meta_Columns[[#This Row],[Excel Column - Label Overwrite]])&lt;&gt;"",meta_Columns[[#This Row],[Excel Column - Label Overwrite]],meta_Columns[[#This Row],[Excel Column - Label from Property or Referenced Table]])</f>
        <v>Display</v>
      </c>
      <c r="BB340" s="43" t="s">
        <v>1389</v>
      </c>
      <c r="BC340" s="44" t="str">
        <f>IF(meta_Columns[[#This Row],[Excel Column - Explicit Excel Formula]]="","",meta_Columns[[#This Row],[Excel Column - Explicit Excel Formula]])</f>
        <v>Formula:=camelCaseUpper([@Name])</v>
      </c>
      <c r="BD340" s="5"/>
      <c r="BE340" s="5"/>
    </row>
    <row r="341" spans="1:57">
      <c r="A341" s="10" t="s">
        <v>1299</v>
      </c>
      <c r="B341" s="5" t="s">
        <v>546</v>
      </c>
      <c r="C341" s="22" t="str">
        <f xml:space="preserve"> IF( TRIM( meta_Columns[[#This Row],[Kind:src]] ) = "", "",
        INDEX( meta_Classifiers[Display Qualified], MATCH( meta_Columns[[#This Row],[Kind:src]], meta_Classifiers[ID], 0 ) ) )</f>
        <v>ExcelColumn</v>
      </c>
      <c r="D341" s="44" t="str">
        <f>IF(meta_Columns[[#This Row],[Owning Table:src]]="","",INDEX(meta_Classifiers[Package],MATCH(meta_Columns[[#This Row],[Owning Table Instances Class]],meta_Classifiers[ID],0)))</f>
        <v>meta</v>
      </c>
      <c r="E341" s="43"/>
      <c r="F341" s="44" t="str">
        <f>INDEX(meta_Tables[Excel Table - Excel Name],MATCH(meta_Columns[[#This Row],[Owning Table:src]],meta_Tables[ID],0))</f>
        <v>meta_Tables</v>
      </c>
      <c r="G341" s="44" t="str">
        <f>INDEX(meta_Tables[Instances Class:src],MATCH(meta_Columns[[#This Row],[Owning Table:src]],meta_Tables[ID],0))</f>
        <v>_Table</v>
      </c>
      <c r="H341" s="11" t="s">
        <v>1012</v>
      </c>
      <c r="I341" s="43" t="str">
        <f xml:space="preserve"> IF( TRIM( meta_Columns[[#This Row],[Owning Table:src]] ) = "", "",
        INDEX( meta_Tables[Display Qualified], MATCH( meta_Columns[[#This Row],[Owning Table:src]], meta_Tables[ID], 0 ) ) )</f>
        <v>meta::Tables</v>
      </c>
      <c r="K341" s="22" t="str">
        <f>IF(TRIM(meta_Columns[[#This Row],[Referenced Table:src]])="","",
    INDEX(meta_Tables[Display Qualified],MATCH(meta_Columns[[#This Row],[Referenced Table:src]],meta_Tables[ID],0)))</f>
        <v/>
      </c>
      <c r="L341" s="8"/>
      <c r="M341" s="22"/>
      <c r="N341" s="8" t="str">
        <f>IF(meta_Columns[[#This Row],[Excel Column - Excel Formula]]="","x","")</f>
        <v>x</v>
      </c>
      <c r="O341" s="22"/>
      <c r="P341" s="8" t="str">
        <f>IF(meta_Columns[[#This Row],[Referenced Table:src]]="","",INDEX(meta_Tables[Instances Class],MATCH(meta_Columns[[#This Row],[Referenced Table:src]],meta_Tables[ID],0)))</f>
        <v/>
      </c>
      <c r="Q3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1" s="8" t="s">
        <v>249</v>
      </c>
      <c r="S341" s="22" t="str">
        <f xml:space="preserve"> IF( TRIM( meta_Columns[[#This Row],[Property:src]] ) = "", "",
        INDEX( meta_TypedModelElements[Display Qualified], MATCH( meta_Columns[[#This Row],[Property:src]], meta_TypedModelElements[ID], 0 ) ) )</f>
        <v>meta::NamedElement.name</v>
      </c>
      <c r="T341" s="22" t="s">
        <v>42</v>
      </c>
      <c r="U341" s="8" t="e">
        <f>INDEX(meta_Classifiers[Class - Generalization:src], MATCH(meta_Columns[[#This Row],[Generalization 5]],meta_Classifiers[ID],0))</f>
        <v>#N/A</v>
      </c>
      <c r="V341" s="8" t="e">
        <f>INDEX(meta_Classifiers[Class - Generalization:src], MATCH(meta_Columns[[#This Row],[Generalization 4]],meta_Classifiers[ID],0))</f>
        <v>#N/A</v>
      </c>
      <c r="W341" s="8" t="e">
        <f>INDEX(meta_Classifiers[Class - Generalization:src], MATCH(meta_Columns[[#This Row],[Generalization 3]],meta_Classifiers[ID],0))</f>
        <v>#N/A</v>
      </c>
      <c r="X341" s="8" t="str">
        <f>INDEX(meta_Classifiers[Class - Generalization:src], MATCH(meta_Columns[[#This Row],[Generalization 2]],meta_Classifiers[ID],0))</f>
        <v/>
      </c>
      <c r="Y341" s="8" t="str">
        <f>INDEX(meta_Classifiers[Class - Generalization:src], MATCH(meta_Columns[[#This Row],[Generalization 1]],meta_Classifiers[ID],0))</f>
        <v>_Object</v>
      </c>
      <c r="Z341" s="8" t="str">
        <f>INDEX(meta_Classifiers[Class - Generalization:src], MATCH(meta_Columns[[#This Row],[Owning Table Instances Class]],meta_Classifiers[ID],0))</f>
        <v>_NamedElement</v>
      </c>
      <c r="AA3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1" s="8" t="b">
        <f>_xlfn.IFNA(
INDEX(meta_Classifiers[Class - Generalization:src],MATCH(
INDEX(meta_Classifiers[Class - Generalization:src],MATCH(meta_Columns[[#This Row],[Property Owning Class]],meta_Classifiers[ID],0)),meta_Classifiers[ID],0))
=meta_Columns[[#This Row],[Owning Table Instances Class]],FALSE)</f>
        <v>0</v>
      </c>
      <c r="AG341" s="8" t="b">
        <f>_xlfn.IFNA(INDEX(meta_Classifiers[Class - Generalization:src],MATCH(meta_Columns[[#This Row],[Property Owning Class]],meta_Classifiers[ID],0))=meta_Columns[[#This Row],[Owning Table Instances Class]],FALSE)</f>
        <v>0</v>
      </c>
      <c r="AH3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1" s="8" t="str">
        <f>INDEX(meta_Classifiers[Name],MATCH(INDEX(meta_TypedModelElements[Property - Owning Class:src],MATCH(meta_Columns[[#This Row],[Property]],meta_TypedModelElements[ID],0)),meta_Classifiers[ID],0))</f>
        <v>Named Element</v>
      </c>
      <c r="AJ341" s="8" t="str">
        <f>INDEX(meta_TypedModelElements[Property - Owning Class:src],MATCH(meta_Columns[[#This Row],[Property]],meta_TypedModelElements[ID],0))</f>
        <v>_NamedElement</v>
      </c>
      <c r="AK341" s="8" t="str">
        <f>INDEX(meta_TypedModelElements[Kind:src],MATCH(meta_Columns[[#This Row],[Property]],meta_TypedModelElements[ID],0))</f>
        <v>_Attribute</v>
      </c>
      <c r="AL341" s="8" t="str">
        <f>INDEX(meta_TypedModelElements[Name or Type],MATCH(meta_Columns[[#This Row],[Property]],meta_TypedModelElements[ID],0))</f>
        <v>Name</v>
      </c>
      <c r="AM341" s="8" t="str">
        <f>INDEX(meta_TypedModelElements[Property - Changeable],MATCH(meta_Columns[[#This Row],[Property]],meta_TypedModelElements[ID],0))</f>
        <v>x</v>
      </c>
      <c r="AN341" s="43">
        <v>9</v>
      </c>
      <c r="AO341" s="22">
        <v>5</v>
      </c>
      <c r="AP3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41" s="8" t="str">
        <f xml:space="preserve"> IF(meta_Columns[[#This Row],[Property Owning Class is Specialization of Instance Class]],meta_Columns[[#This Row],[Property Owning Class Name]]&amp;" - ","")</f>
        <v/>
      </c>
      <c r="AR3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41" s="8" t="str">
        <f>IFERROR(LEFT(meta_Columns[[#This Row],[Excel Column - Label Actual without Semantic Case]],FIND("-",
meta_Columns[[#This Row],[Excel Column - Label Actual without Semantic Case]])-2),"")</f>
        <v/>
      </c>
      <c r="AU3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41" s="22"/>
      <c r="AY341" s="8" t="str">
        <f>meta_Columns[[#This Row],[Owning Table]]&amp;"."&amp;meta_Columns[[#This Row],[Excel Column - Label]]</f>
        <v>meta::Tables.Name</v>
      </c>
      <c r="AZ341" s="43" t="s">
        <v>1</v>
      </c>
      <c r="BA341" s="44" t="str">
        <f>IF(TRIM(meta_Columns[[#This Row],[Excel Column - Label Overwrite]])&lt;&gt;"",meta_Columns[[#This Row],[Excel Column - Label Overwrite]],meta_Columns[[#This Row],[Excel Column - Label from Property or Referenced Table]])</f>
        <v>Name</v>
      </c>
      <c r="BB341" s="43"/>
      <c r="BC341" s="44" t="str">
        <f>IF(meta_Columns[[#This Row],[Excel Column - Explicit Excel Formula]]="","",meta_Columns[[#This Row],[Excel Column - Explicit Excel Formula]])</f>
        <v/>
      </c>
      <c r="BD341" s="5"/>
      <c r="BE341" s="5" t="s">
        <v>232</v>
      </c>
    </row>
    <row r="342" spans="1:57">
      <c r="A342" s="10" t="s">
        <v>1369</v>
      </c>
      <c r="B342" s="5" t="s">
        <v>546</v>
      </c>
      <c r="C342" s="22" t="str">
        <f xml:space="preserve"> IF( TRIM( meta_Columns[[#This Row],[Kind:src]] ) = "", "",
        INDEX( meta_Classifiers[Display Qualified], MATCH( meta_Columns[[#This Row],[Kind:src]], meta_Classifiers[ID], 0 ) ) )</f>
        <v>ExcelColumn</v>
      </c>
      <c r="D342" s="44" t="str">
        <f>IF(meta_Columns[[#This Row],[Owning Table:src]]="","",INDEX(meta_Classifiers[Package],MATCH(meta_Columns[[#This Row],[Owning Table Instances Class]],meta_Classifiers[ID],0)))</f>
        <v>meta</v>
      </c>
      <c r="E342" s="43"/>
      <c r="F342" s="44" t="str">
        <f>INDEX(meta_Tables[Excel Table - Excel Name],MATCH(meta_Columns[[#This Row],[Owning Table:src]],meta_Tables[ID],0))</f>
        <v>meta_Tables</v>
      </c>
      <c r="G342" s="44" t="str">
        <f>INDEX(meta_Tables[Instances Class:src],MATCH(meta_Columns[[#This Row],[Owning Table:src]],meta_Tables[ID],0))</f>
        <v>_Table</v>
      </c>
      <c r="H342" s="11" t="s">
        <v>1012</v>
      </c>
      <c r="I342" s="43" t="str">
        <f xml:space="preserve"> IF( TRIM( meta_Columns[[#This Row],[Owning Table:src]] ) = "", "",
        INDEX( meta_Tables[Display Qualified], MATCH( meta_Columns[[#This Row],[Owning Table:src]], meta_Tables[ID], 0 ) ) )</f>
        <v>meta::Tables</v>
      </c>
      <c r="K342" s="22" t="str">
        <f>IF(TRIM(meta_Columns[[#This Row],[Referenced Table:src]])="","",
    INDEX(meta_Tables[Display Qualified],MATCH(meta_Columns[[#This Row],[Referenced Table:src]],meta_Tables[ID],0)))</f>
        <v/>
      </c>
      <c r="L342" s="8"/>
      <c r="M342" s="22"/>
      <c r="N342" s="8" t="str">
        <f>IF(meta_Columns[[#This Row],[Excel Column - Excel Formula]]="","x","")</f>
        <v>x</v>
      </c>
      <c r="O342" s="22"/>
      <c r="P342" s="8" t="str">
        <f>IF(meta_Columns[[#This Row],[Referenced Table:src]]="","",INDEX(meta_Tables[Instances Class],MATCH(meta_Columns[[#This Row],[Referenced Table:src]],meta_Tables[ID],0)))</f>
        <v/>
      </c>
      <c r="Q3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meta::Table.instancesClass</v>
      </c>
      <c r="R342" s="8"/>
      <c r="S342" s="22" t="str">
        <f xml:space="preserve"> IF( TRIM( meta_Columns[[#This Row],[Property:src]] ) = "", "",
        INDEX( meta_TypedModelElements[Display Qualified], MATCH( meta_Columns[[#This Row],[Property:src]], meta_TypedModelElements[ID], 0 ) ) )</f>
        <v/>
      </c>
      <c r="T342" s="22"/>
      <c r="U342" s="8" t="e">
        <f>INDEX(meta_Classifiers[Class - Generalization:src], MATCH(meta_Columns[[#This Row],[Generalization 5]],meta_Classifiers[ID],0))</f>
        <v>#N/A</v>
      </c>
      <c r="V342" s="8" t="e">
        <f>INDEX(meta_Classifiers[Class - Generalization:src], MATCH(meta_Columns[[#This Row],[Generalization 4]],meta_Classifiers[ID],0))</f>
        <v>#N/A</v>
      </c>
      <c r="W342" s="8" t="e">
        <f>INDEX(meta_Classifiers[Class - Generalization:src], MATCH(meta_Columns[[#This Row],[Generalization 3]],meta_Classifiers[ID],0))</f>
        <v>#N/A</v>
      </c>
      <c r="X342" s="8" t="str">
        <f>INDEX(meta_Classifiers[Class - Generalization:src], MATCH(meta_Columns[[#This Row],[Generalization 2]],meta_Classifiers[ID],0))</f>
        <v/>
      </c>
      <c r="Y342" s="8" t="str">
        <f>INDEX(meta_Classifiers[Class - Generalization:src], MATCH(meta_Columns[[#This Row],[Generalization 1]],meta_Classifiers[ID],0))</f>
        <v>_Object</v>
      </c>
      <c r="Z342" s="8" t="str">
        <f>INDEX(meta_Classifiers[Class - Generalization:src], MATCH(meta_Columns[[#This Row],[Owning Table Instances Class]],meta_Classifiers[ID],0))</f>
        <v>_NamedElement</v>
      </c>
      <c r="AA3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2" s="8" t="b">
        <f>_xlfn.IFNA(
INDEX(meta_Classifiers[Class - Generalization:src],MATCH(
INDEX(meta_Classifiers[Class - Generalization:src],MATCH(meta_Columns[[#This Row],[Property Owning Class]],meta_Classifiers[ID],0)),meta_Classifiers[ID],0))
=meta_Columns[[#This Row],[Owning Table Instances Class]],FALSE)</f>
        <v>0</v>
      </c>
      <c r="AG342" s="8" t="b">
        <f>_xlfn.IFNA(INDEX(meta_Classifiers[Class - Generalization:src],MATCH(meta_Columns[[#This Row],[Property Owning Class]],meta_Classifiers[ID],0))=meta_Columns[[#This Row],[Owning Table Instances Class]],FALSE)</f>
        <v>0</v>
      </c>
      <c r="AH3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2" s="8" t="e">
        <f>INDEX(meta_Classifiers[Name],MATCH(INDEX(meta_TypedModelElements[Property - Owning Class:src],MATCH(meta_Columns[[#This Row],[Property]],meta_TypedModelElements[ID],0)),meta_Classifiers[ID],0))</f>
        <v>#N/A</v>
      </c>
      <c r="AJ342" s="8" t="e">
        <f>INDEX(meta_TypedModelElements[Property - Owning Class:src],MATCH(meta_Columns[[#This Row],[Property]],meta_TypedModelElements[ID],0))</f>
        <v>#N/A</v>
      </c>
      <c r="AK342" s="8" t="e">
        <f>INDEX(meta_TypedModelElements[Kind:src],MATCH(meta_Columns[[#This Row],[Property]],meta_TypedModelElements[ID],0))</f>
        <v>#N/A</v>
      </c>
      <c r="AL342" s="8" t="e">
        <f>INDEX(meta_TypedModelElements[Name or Type],MATCH(meta_Columns[[#This Row],[Property]],meta_TypedModelElements[ID],0))</f>
        <v>#N/A</v>
      </c>
      <c r="AM342" s="8" t="e">
        <f>INDEX(meta_TypedModelElements[Property - Changeable],MATCH(meta_Columns[[#This Row],[Property]],meta_TypedModelElements[ID],0))</f>
        <v>#N/A</v>
      </c>
      <c r="AN342" s="43">
        <v>10</v>
      </c>
      <c r="AO342" s="22">
        <v>6</v>
      </c>
      <c r="AP3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2" s="8" t="str">
        <f xml:space="preserve"> IF(meta_Columns[[#This Row],[Property Owning Class is Specialization of Instance Class]],meta_Columns[[#This Row],[Property Owning Class Name]]&amp;" - ","")</f>
        <v/>
      </c>
      <c r="AR3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2" s="8" t="str">
        <f>IFERROR(LEFT(meta_Columns[[#This Row],[Excel Column - Label Actual without Semantic Case]],FIND("-",
meta_Columns[[#This Row],[Excel Column - Label Actual without Semantic Case]])-2),"")</f>
        <v/>
      </c>
      <c r="AU3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Class:src</v>
      </c>
      <c r="AX342" s="22"/>
      <c r="AY342" s="8" t="str">
        <f>meta_Columns[[#This Row],[Owning Table]]&amp;"."&amp;meta_Columns[[#This Row],[Excel Column - Label]]</f>
        <v>meta::Tables.Instances Class:src</v>
      </c>
      <c r="AZ342" s="43" t="s">
        <v>998</v>
      </c>
      <c r="BA342" s="44" t="str">
        <f>IF(TRIM(meta_Columns[[#This Row],[Excel Column - Label Overwrite]])&lt;&gt;"",meta_Columns[[#This Row],[Excel Column - Label Overwrite]],meta_Columns[[#This Row],[Excel Column - Label from Property or Referenced Table]])</f>
        <v>Instances Class:src</v>
      </c>
      <c r="BB342" s="43"/>
      <c r="BC342" s="44" t="str">
        <f>IF(meta_Columns[[#This Row],[Excel Column - Explicit Excel Formula]]="","",meta_Columns[[#This Row],[Excel Column - Explicit Excel Formula]])</f>
        <v/>
      </c>
      <c r="BD342" s="5"/>
      <c r="BE342" s="5"/>
    </row>
    <row r="343" spans="1:57">
      <c r="A343" s="10" t="s">
        <v>1300</v>
      </c>
      <c r="B343" s="5" t="s">
        <v>546</v>
      </c>
      <c r="C343" s="22" t="str">
        <f xml:space="preserve"> IF( TRIM( meta_Columns[[#This Row],[Kind:src]] ) = "", "",
        INDEX( meta_Classifiers[Display Qualified], MATCH( meta_Columns[[#This Row],[Kind:src]], meta_Classifiers[ID], 0 ) ) )</f>
        <v>ExcelColumn</v>
      </c>
      <c r="D343" s="44" t="str">
        <f>IF(meta_Columns[[#This Row],[Owning Table:src]]="","",INDEX(meta_Classifiers[Package],MATCH(meta_Columns[[#This Row],[Owning Table Instances Class]],meta_Classifiers[ID],0)))</f>
        <v>meta</v>
      </c>
      <c r="E343" s="43"/>
      <c r="F343" s="44" t="str">
        <f>INDEX(meta_Tables[Excel Table - Excel Name],MATCH(meta_Columns[[#This Row],[Owning Table:src]],meta_Tables[ID],0))</f>
        <v>meta_Tables</v>
      </c>
      <c r="G343" s="44" t="str">
        <f>INDEX(meta_Tables[Instances Class:src],MATCH(meta_Columns[[#This Row],[Owning Table:src]],meta_Tables[ID],0))</f>
        <v>_Table</v>
      </c>
      <c r="H343" s="11" t="s">
        <v>1012</v>
      </c>
      <c r="I343" s="43" t="str">
        <f xml:space="preserve"> IF( TRIM( meta_Columns[[#This Row],[Owning Table:src]] ) = "", "",
        INDEX( meta_Tables[Display Qualified], MATCH( meta_Columns[[#This Row],[Owning Table:src]], meta_Tables[ID], 0 ) ) )</f>
        <v>meta::Tables</v>
      </c>
      <c r="K343" s="22" t="str">
        <f>IF(TRIM(meta_Columns[[#This Row],[Referenced Table:src]])="","",
    INDEX(meta_Tables[Display Qualified],MATCH(meta_Columns[[#This Row],[Referenced Table:src]],meta_Tables[ID],0)))</f>
        <v/>
      </c>
      <c r="L343" s="8"/>
      <c r="M343" s="22"/>
      <c r="N343" s="8" t="str">
        <f>IF(meta_Columns[[#This Row],[Excel Column - Excel Formula]]="","x","")</f>
        <v/>
      </c>
      <c r="O343" s="22"/>
      <c r="P343" s="8" t="str">
        <f>IF(meta_Columns[[#This Row],[Referenced Table:src]]="","",INDEX(meta_Tables[Instances Class],MATCH(meta_Columns[[#This Row],[Referenced Table:src]],meta_Tables[ID],0)))</f>
        <v/>
      </c>
      <c r="Q3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3" s="8" t="s">
        <v>500</v>
      </c>
      <c r="S343" s="22" t="str">
        <f xml:space="preserve"> IF( TRIM( meta_Columns[[#This Row],[Property:src]] ) = "", "",
        INDEX( meta_TypedModelElements[Display Qualified], MATCH( meta_Columns[[#This Row],[Property:src]], meta_TypedModelElements[ID], 0 ) ) )</f>
        <v>meta::instancesClass</v>
      </c>
      <c r="T343" s="22"/>
      <c r="U343" s="8" t="e">
        <f>INDEX(meta_Classifiers[Class - Generalization:src], MATCH(meta_Columns[[#This Row],[Generalization 5]],meta_Classifiers[ID],0))</f>
        <v>#N/A</v>
      </c>
      <c r="V343" s="8" t="e">
        <f>INDEX(meta_Classifiers[Class - Generalization:src], MATCH(meta_Columns[[#This Row],[Generalization 4]],meta_Classifiers[ID],0))</f>
        <v>#N/A</v>
      </c>
      <c r="W343" s="8" t="e">
        <f>INDEX(meta_Classifiers[Class - Generalization:src], MATCH(meta_Columns[[#This Row],[Generalization 3]],meta_Classifiers[ID],0))</f>
        <v>#N/A</v>
      </c>
      <c r="X343" s="8" t="str">
        <f>INDEX(meta_Classifiers[Class - Generalization:src], MATCH(meta_Columns[[#This Row],[Generalization 2]],meta_Classifiers[ID],0))</f>
        <v/>
      </c>
      <c r="Y343" s="8" t="str">
        <f>INDEX(meta_Classifiers[Class - Generalization:src], MATCH(meta_Columns[[#This Row],[Generalization 1]],meta_Classifiers[ID],0))</f>
        <v>_Object</v>
      </c>
      <c r="Z343" s="8" t="str">
        <f>INDEX(meta_Classifiers[Class - Generalization:src], MATCH(meta_Columns[[#This Row],[Owning Table Instances Class]],meta_Classifiers[ID],0))</f>
        <v>_NamedElement</v>
      </c>
      <c r="AA3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3" s="8" t="b">
        <f>_xlfn.IFNA(
INDEX(meta_Classifiers[Class - Generalization:src],MATCH(
INDEX(meta_Classifiers[Class - Generalization:src],MATCH(meta_Columns[[#This Row],[Property Owning Class]],meta_Classifiers[ID],0)),meta_Classifiers[ID],0))
=meta_Columns[[#This Row],[Owning Table Instances Class]],FALSE)</f>
        <v>0</v>
      </c>
      <c r="AG343" s="8" t="b">
        <f>_xlfn.IFNA(INDEX(meta_Classifiers[Class - Generalization:src],MATCH(meta_Columns[[#This Row],[Property Owning Class]],meta_Classifiers[ID],0))=meta_Columns[[#This Row],[Owning Table Instances Class]],FALSE)</f>
        <v>0</v>
      </c>
      <c r="AH3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3" s="8" t="e">
        <f>INDEX(meta_Classifiers[Name],MATCH(INDEX(meta_TypedModelElements[Property - Owning Class:src],MATCH(meta_Columns[[#This Row],[Property]],meta_TypedModelElements[ID],0)),meta_Classifiers[ID],0))</f>
        <v>#N/A</v>
      </c>
      <c r="AJ343" s="8" t="e">
        <f>INDEX(meta_TypedModelElements[Property - Owning Class:src],MATCH(meta_Columns[[#This Row],[Property]],meta_TypedModelElements[ID],0))</f>
        <v>#N/A</v>
      </c>
      <c r="AK343" s="8" t="e">
        <f>INDEX(meta_TypedModelElements[Kind:src],MATCH(meta_Columns[[#This Row],[Property]],meta_TypedModelElements[ID],0))</f>
        <v>#N/A</v>
      </c>
      <c r="AL343" s="8" t="e">
        <f>INDEX(meta_TypedModelElements[Name or Type],MATCH(meta_Columns[[#This Row],[Property]],meta_TypedModelElements[ID],0))</f>
        <v>#N/A</v>
      </c>
      <c r="AM343" s="8" t="e">
        <f>INDEX(meta_TypedModelElements[Property - Changeable],MATCH(meta_Columns[[#This Row],[Property]],meta_TypedModelElements[ID],0))</f>
        <v>#N/A</v>
      </c>
      <c r="AN343" s="43">
        <v>11</v>
      </c>
      <c r="AO343" s="22"/>
      <c r="AP3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3" s="8" t="str">
        <f xml:space="preserve"> IF(meta_Columns[[#This Row],[Property Owning Class is Specialization of Instance Class]],meta_Columns[[#This Row],[Property Owning Class Name]]&amp;" - ","")</f>
        <v/>
      </c>
      <c r="AR3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3" s="8" t="str">
        <f>IFERROR(LEFT(meta_Columns[[#This Row],[Excel Column - Label Actual without Semantic Case]],FIND("-",
meta_Columns[[#This Row],[Excel Column - Label Actual without Semantic Case]])-2),"")</f>
        <v/>
      </c>
      <c r="AU3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v>
      </c>
      <c r="AX343" s="22"/>
      <c r="AY343" s="8" t="str">
        <f>meta_Columns[[#This Row],[Owning Table]]&amp;"."&amp;meta_Columns[[#This Row],[Excel Column - Label]]</f>
        <v>meta::Tables.Instances Class</v>
      </c>
      <c r="AZ343" s="43" t="s">
        <v>471</v>
      </c>
      <c r="BA343" s="44" t="str">
        <f>IF(TRIM(meta_Columns[[#This Row],[Excel Column - Label Overwrite]])&lt;&gt;"",meta_Columns[[#This Row],[Excel Column - Label Overwrite]],meta_Columns[[#This Row],[Excel Column - Label from Property or Referenced Table]])</f>
        <v>Instances Class</v>
      </c>
      <c r="BB343" s="43" t="s">
        <v>1489</v>
      </c>
      <c r="BC343" s="44" t="str">
        <f>IF(meta_Columns[[#This Row],[Excel Column - Explicit Excel Formula]]="","",meta_Columns[[#This Row],[Excel Column - Explicit Excel Formula]])</f>
        <v>Formula:= IF( TRIM( [@[Instances Class:src]] ) = "", "",
        INDEX( meta_Classifiers[Display Qualified], MATCH( [@[Instances Class:src]], meta_Classifiers[ID], 0 ) ) )</v>
      </c>
      <c r="BD343" s="5" t="s">
        <v>1461</v>
      </c>
      <c r="BE343" s="5"/>
    </row>
    <row r="344" spans="1:57">
      <c r="A344" s="10" t="s">
        <v>1301</v>
      </c>
      <c r="B344" s="5" t="s">
        <v>546</v>
      </c>
      <c r="C344" s="22" t="str">
        <f xml:space="preserve"> IF( TRIM( meta_Columns[[#This Row],[Kind:src]] ) = "", "",
        INDEX( meta_Classifiers[Display Qualified], MATCH( meta_Columns[[#This Row],[Kind:src]], meta_Classifiers[ID], 0 ) ) )</f>
        <v>ExcelColumn</v>
      </c>
      <c r="D344" s="44" t="str">
        <f>IF(meta_Columns[[#This Row],[Owning Table:src]]="","",INDEX(meta_Classifiers[Package],MATCH(meta_Columns[[#This Row],[Owning Table Instances Class]],meta_Classifiers[ID],0)))</f>
        <v>meta</v>
      </c>
      <c r="E344" s="43"/>
      <c r="F344" s="44" t="str">
        <f>INDEX(meta_Tables[Excel Table - Excel Name],MATCH(meta_Columns[[#This Row],[Owning Table:src]],meta_Tables[ID],0))</f>
        <v>meta_Tables</v>
      </c>
      <c r="G344" s="44" t="str">
        <f>INDEX(meta_Tables[Instances Class:src],MATCH(meta_Columns[[#This Row],[Owning Table:src]],meta_Tables[ID],0))</f>
        <v>_Table</v>
      </c>
      <c r="H344" s="11" t="s">
        <v>1012</v>
      </c>
      <c r="I344" s="43" t="str">
        <f xml:space="preserve"> IF( TRIM( meta_Columns[[#This Row],[Owning Table:src]] ) = "", "",
        INDEX( meta_Tables[Display Qualified], MATCH( meta_Columns[[#This Row],[Owning Table:src]], meta_Tables[ID], 0 ) ) )</f>
        <v>meta::Tables</v>
      </c>
      <c r="K344" s="22" t="str">
        <f>IF(TRIM(meta_Columns[[#This Row],[Referenced Table:src]])="","",
    INDEX(meta_Tables[Display Qualified],MATCH(meta_Columns[[#This Row],[Referenced Table:src]],meta_Tables[ID],0)))</f>
        <v/>
      </c>
      <c r="L344" s="8"/>
      <c r="M344" s="22"/>
      <c r="N344" s="8" t="str">
        <f>IF(meta_Columns[[#This Row],[Excel Column - Excel Formula]]="","x","")</f>
        <v>x</v>
      </c>
      <c r="O344" s="22"/>
      <c r="P344" s="8" t="str">
        <f>IF(meta_Columns[[#This Row],[Referenced Table:src]]="","",INDEX(meta_Tables[Instances Class],MATCH(meta_Columns[[#This Row],[Referenced Table:src]],meta_Tables[ID],0)))</f>
        <v/>
      </c>
      <c r="Q3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meta::ExcelTable.sheetName</v>
      </c>
      <c r="R344" s="8"/>
      <c r="S344" s="22" t="str">
        <f xml:space="preserve"> IF( TRIM( meta_Columns[[#This Row],[Property:src]] ) = "", "",
        INDEX( meta_TypedModelElements[Display Qualified], MATCH( meta_Columns[[#This Row],[Property:src]], meta_TypedModelElements[ID], 0 ) ) )</f>
        <v/>
      </c>
      <c r="T344" s="22"/>
      <c r="U344" s="8" t="e">
        <f>INDEX(meta_Classifiers[Class - Generalization:src], MATCH(meta_Columns[[#This Row],[Generalization 5]],meta_Classifiers[ID],0))</f>
        <v>#N/A</v>
      </c>
      <c r="V344" s="8" t="e">
        <f>INDEX(meta_Classifiers[Class - Generalization:src], MATCH(meta_Columns[[#This Row],[Generalization 4]],meta_Classifiers[ID],0))</f>
        <v>#N/A</v>
      </c>
      <c r="W344" s="8" t="e">
        <f>INDEX(meta_Classifiers[Class - Generalization:src], MATCH(meta_Columns[[#This Row],[Generalization 3]],meta_Classifiers[ID],0))</f>
        <v>#N/A</v>
      </c>
      <c r="X344" s="8" t="str">
        <f>INDEX(meta_Classifiers[Class - Generalization:src], MATCH(meta_Columns[[#This Row],[Generalization 2]],meta_Classifiers[ID],0))</f>
        <v/>
      </c>
      <c r="Y344" s="8" t="str">
        <f>INDEX(meta_Classifiers[Class - Generalization:src], MATCH(meta_Columns[[#This Row],[Generalization 1]],meta_Classifiers[ID],0))</f>
        <v>_Object</v>
      </c>
      <c r="Z344" s="8" t="str">
        <f>INDEX(meta_Classifiers[Class - Generalization:src], MATCH(meta_Columns[[#This Row],[Owning Table Instances Class]],meta_Classifiers[ID],0))</f>
        <v>_NamedElement</v>
      </c>
      <c r="AA3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4" s="8" t="b">
        <f>_xlfn.IFNA(
INDEX(meta_Classifiers[Class - Generalization:src],MATCH(
INDEX(meta_Classifiers[Class - Generalization:src],MATCH(meta_Columns[[#This Row],[Property Owning Class]],meta_Classifiers[ID],0)),meta_Classifiers[ID],0))
=meta_Columns[[#This Row],[Owning Table Instances Class]],FALSE)</f>
        <v>0</v>
      </c>
      <c r="AG344" s="8" t="b">
        <f>_xlfn.IFNA(INDEX(meta_Classifiers[Class - Generalization:src],MATCH(meta_Columns[[#This Row],[Property Owning Class]],meta_Classifiers[ID],0))=meta_Columns[[#This Row],[Owning Table Instances Class]],FALSE)</f>
        <v>0</v>
      </c>
      <c r="AH3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4" s="8" t="e">
        <f>INDEX(meta_Classifiers[Name],MATCH(INDEX(meta_TypedModelElements[Property - Owning Class:src],MATCH(meta_Columns[[#This Row],[Property]],meta_TypedModelElements[ID],0)),meta_Classifiers[ID],0))</f>
        <v>#N/A</v>
      </c>
      <c r="AJ344" s="8" t="e">
        <f>INDEX(meta_TypedModelElements[Property - Owning Class:src],MATCH(meta_Columns[[#This Row],[Property]],meta_TypedModelElements[ID],0))</f>
        <v>#N/A</v>
      </c>
      <c r="AK344" s="8" t="e">
        <f>INDEX(meta_TypedModelElements[Kind:src],MATCH(meta_Columns[[#This Row],[Property]],meta_TypedModelElements[ID],0))</f>
        <v>#N/A</v>
      </c>
      <c r="AL344" s="8" t="e">
        <f>INDEX(meta_TypedModelElements[Name or Type],MATCH(meta_Columns[[#This Row],[Property]],meta_TypedModelElements[ID],0))</f>
        <v>#N/A</v>
      </c>
      <c r="AM344" s="8" t="e">
        <f>INDEX(meta_TypedModelElements[Property - Changeable],MATCH(meta_Columns[[#This Row],[Property]],meta_TypedModelElements[ID],0))</f>
        <v>#N/A</v>
      </c>
      <c r="AN344" s="43">
        <v>12</v>
      </c>
      <c r="AO344" s="22">
        <v>7</v>
      </c>
      <c r="AP3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4" s="8" t="str">
        <f xml:space="preserve"> IF(meta_Columns[[#This Row],[Property Owning Class is Specialization of Instance Class]],meta_Columns[[#This Row],[Property Owning Class Name]]&amp;" - ","")</f>
        <v/>
      </c>
      <c r="AR3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Sheet Name</v>
      </c>
      <c r="AT344" s="8" t="str">
        <f>IFERROR(LEFT(meta_Columns[[#This Row],[Excel Column - Label Actual without Semantic Case]],FIND("-",
meta_Columns[[#This Row],[Excel Column - Label Actual without Semantic Case]])-2),"")</f>
        <v>Excel Table</v>
      </c>
      <c r="AU3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Sheet Name</v>
      </c>
      <c r="AV3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Sheet Name</v>
      </c>
      <c r="AX344" s="22"/>
      <c r="AY344" s="8" t="str">
        <f>meta_Columns[[#This Row],[Owning Table]]&amp;"."&amp;meta_Columns[[#This Row],[Excel Column - Label]]</f>
        <v>meta::Tables.Excel Table - Sheet Name</v>
      </c>
      <c r="AZ344" s="43" t="s">
        <v>545</v>
      </c>
      <c r="BA344" s="44" t="str">
        <f>IF(TRIM(meta_Columns[[#This Row],[Excel Column - Label Overwrite]])&lt;&gt;"",meta_Columns[[#This Row],[Excel Column - Label Overwrite]],meta_Columns[[#This Row],[Excel Column - Label from Property or Referenced Table]])</f>
        <v>Excel Table - Sheet Name</v>
      </c>
      <c r="BB344" s="43"/>
      <c r="BC344" s="44" t="str">
        <f>IF(meta_Columns[[#This Row],[Excel Column - Explicit Excel Formula]]="","",meta_Columns[[#This Row],[Excel Column - Explicit Excel Formula]])</f>
        <v/>
      </c>
      <c r="BD344" s="5"/>
      <c r="BE344" s="5"/>
    </row>
    <row r="345" spans="1:57">
      <c r="A345" s="10" t="s">
        <v>1302</v>
      </c>
      <c r="B345" s="5" t="s">
        <v>546</v>
      </c>
      <c r="C345" s="22" t="str">
        <f xml:space="preserve"> IF( TRIM( meta_Columns[[#This Row],[Kind:src]] ) = "", "",
        INDEX( meta_Classifiers[Display Qualified], MATCH( meta_Columns[[#This Row],[Kind:src]], meta_Classifiers[ID], 0 ) ) )</f>
        <v>ExcelColumn</v>
      </c>
      <c r="D345" s="44" t="str">
        <f>IF(meta_Columns[[#This Row],[Owning Table:src]]="","",INDEX(meta_Classifiers[Package],MATCH(meta_Columns[[#This Row],[Owning Table Instances Class]],meta_Classifiers[ID],0)))</f>
        <v>meta</v>
      </c>
      <c r="E345" s="43"/>
      <c r="F345" s="44" t="str">
        <f>INDEX(meta_Tables[Excel Table - Excel Name],MATCH(meta_Columns[[#This Row],[Owning Table:src]],meta_Tables[ID],0))</f>
        <v>meta_Tables</v>
      </c>
      <c r="G345" s="44" t="str">
        <f>INDEX(meta_Tables[Instances Class:src],MATCH(meta_Columns[[#This Row],[Owning Table:src]],meta_Tables[ID],0))</f>
        <v>_Table</v>
      </c>
      <c r="H345" s="11" t="s">
        <v>1012</v>
      </c>
      <c r="I345" s="43" t="str">
        <f xml:space="preserve"> IF( TRIM( meta_Columns[[#This Row],[Owning Table:src]] ) = "", "",
        INDEX( meta_Tables[Display Qualified], MATCH( meta_Columns[[#This Row],[Owning Table:src]], meta_Tables[ID], 0 ) ) )</f>
        <v>meta::Tables</v>
      </c>
      <c r="K345" s="22" t="str">
        <f>IF(TRIM(meta_Columns[[#This Row],[Referenced Table:src]])="","",
    INDEX(meta_Tables[Display Qualified],MATCH(meta_Columns[[#This Row],[Referenced Table:src]],meta_Tables[ID],0)))</f>
        <v/>
      </c>
      <c r="L345" s="8"/>
      <c r="M345" s="22"/>
      <c r="N345" s="8" t="str">
        <f>IF(meta_Columns[[#This Row],[Excel Column - Excel Formula]]="","x","")</f>
        <v>x</v>
      </c>
      <c r="O345" s="22"/>
      <c r="P345" s="8" t="str">
        <f>IF(meta_Columns[[#This Row],[Referenced Table:src]]="","",INDEX(meta_Tables[Instances Class],MATCH(meta_Columns[[#This Row],[Referenced Table:src]],meta_Tables[ID],0)))</f>
        <v/>
      </c>
      <c r="Q3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meta::ExcelTable.explicitSheetName</v>
      </c>
      <c r="R345" s="8"/>
      <c r="S345" s="22" t="str">
        <f xml:space="preserve"> IF( TRIM( meta_Columns[[#This Row],[Property:src]] ) = "", "",
        INDEX( meta_TypedModelElements[Display Qualified], MATCH( meta_Columns[[#This Row],[Property:src]], meta_TypedModelElements[ID], 0 ) ) )</f>
        <v/>
      </c>
      <c r="T345" s="22"/>
      <c r="U345" s="8" t="e">
        <f>INDEX(meta_Classifiers[Class - Generalization:src], MATCH(meta_Columns[[#This Row],[Generalization 5]],meta_Classifiers[ID],0))</f>
        <v>#N/A</v>
      </c>
      <c r="V345" s="8" t="e">
        <f>INDEX(meta_Classifiers[Class - Generalization:src], MATCH(meta_Columns[[#This Row],[Generalization 4]],meta_Classifiers[ID],0))</f>
        <v>#N/A</v>
      </c>
      <c r="W345" s="8" t="e">
        <f>INDEX(meta_Classifiers[Class - Generalization:src], MATCH(meta_Columns[[#This Row],[Generalization 3]],meta_Classifiers[ID],0))</f>
        <v>#N/A</v>
      </c>
      <c r="X345" s="8" t="str">
        <f>INDEX(meta_Classifiers[Class - Generalization:src], MATCH(meta_Columns[[#This Row],[Generalization 2]],meta_Classifiers[ID],0))</f>
        <v/>
      </c>
      <c r="Y345" s="8" t="str">
        <f>INDEX(meta_Classifiers[Class - Generalization:src], MATCH(meta_Columns[[#This Row],[Generalization 1]],meta_Classifiers[ID],0))</f>
        <v>_Object</v>
      </c>
      <c r="Z345" s="8" t="str">
        <f>INDEX(meta_Classifiers[Class - Generalization:src], MATCH(meta_Columns[[#This Row],[Owning Table Instances Class]],meta_Classifiers[ID],0))</f>
        <v>_NamedElement</v>
      </c>
      <c r="AA3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5" s="8" t="b">
        <f>_xlfn.IFNA(
INDEX(meta_Classifiers[Class - Generalization:src],MATCH(
INDEX(meta_Classifiers[Class - Generalization:src],MATCH(meta_Columns[[#This Row],[Property Owning Class]],meta_Classifiers[ID],0)),meta_Classifiers[ID],0))
=meta_Columns[[#This Row],[Owning Table Instances Class]],FALSE)</f>
        <v>0</v>
      </c>
      <c r="AG345" s="8" t="b">
        <f>_xlfn.IFNA(INDEX(meta_Classifiers[Class - Generalization:src],MATCH(meta_Columns[[#This Row],[Property Owning Class]],meta_Classifiers[ID],0))=meta_Columns[[#This Row],[Owning Table Instances Class]],FALSE)</f>
        <v>0</v>
      </c>
      <c r="AH3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5" s="8" t="e">
        <f>INDEX(meta_Classifiers[Name],MATCH(INDEX(meta_TypedModelElements[Property - Owning Class:src],MATCH(meta_Columns[[#This Row],[Property]],meta_TypedModelElements[ID],0)),meta_Classifiers[ID],0))</f>
        <v>#N/A</v>
      </c>
      <c r="AJ345" s="8" t="e">
        <f>INDEX(meta_TypedModelElements[Property - Owning Class:src],MATCH(meta_Columns[[#This Row],[Property]],meta_TypedModelElements[ID],0))</f>
        <v>#N/A</v>
      </c>
      <c r="AK345" s="8" t="e">
        <f>INDEX(meta_TypedModelElements[Kind:src],MATCH(meta_Columns[[#This Row],[Property]],meta_TypedModelElements[ID],0))</f>
        <v>#N/A</v>
      </c>
      <c r="AL345" s="8" t="e">
        <f>INDEX(meta_TypedModelElements[Name or Type],MATCH(meta_Columns[[#This Row],[Property]],meta_TypedModelElements[ID],0))</f>
        <v>#N/A</v>
      </c>
      <c r="AM345" s="8" t="e">
        <f>INDEX(meta_TypedModelElements[Property - Changeable],MATCH(meta_Columns[[#This Row],[Property]],meta_TypedModelElements[ID],0))</f>
        <v>#N/A</v>
      </c>
      <c r="AN345" s="43">
        <v>13</v>
      </c>
      <c r="AO345" s="22">
        <v>8</v>
      </c>
      <c r="AP3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5" s="8" t="str">
        <f xml:space="preserve"> IF(meta_Columns[[#This Row],[Property Owning Class is Specialization of Instance Class]],meta_Columns[[#This Row],[Property Owning Class Name]]&amp;" - ","")</f>
        <v/>
      </c>
      <c r="AR3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Explicit Sheet Name</v>
      </c>
      <c r="AT345" s="8" t="str">
        <f>IFERROR(LEFT(meta_Columns[[#This Row],[Excel Column - Label Actual without Semantic Case]],FIND("-",
meta_Columns[[#This Row],[Excel Column - Label Actual without Semantic Case]])-2),"")</f>
        <v>Excel Table</v>
      </c>
      <c r="AU3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Explicit Sheet Name</v>
      </c>
      <c r="AV3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Explicit Sheet Name</v>
      </c>
      <c r="AX345" s="22"/>
      <c r="AY345" s="8" t="str">
        <f>meta_Columns[[#This Row],[Owning Table]]&amp;"."&amp;meta_Columns[[#This Row],[Excel Column - Label]]</f>
        <v>meta::Tables.Excel Table - Explicit Sheet Name</v>
      </c>
      <c r="AZ345" s="43" t="s">
        <v>751</v>
      </c>
      <c r="BA345" s="44" t="str">
        <f>IF(TRIM(meta_Columns[[#This Row],[Excel Column - Label Overwrite]])&lt;&gt;"",meta_Columns[[#This Row],[Excel Column - Label Overwrite]],meta_Columns[[#This Row],[Excel Column - Label from Property or Referenced Table]])</f>
        <v>Excel Table - Explicit Sheet Name</v>
      </c>
      <c r="BB345" s="43"/>
      <c r="BC345" s="44" t="str">
        <f>IF(meta_Columns[[#This Row],[Excel Column - Explicit Excel Formula]]="","",meta_Columns[[#This Row],[Excel Column - Explicit Excel Formula]])</f>
        <v/>
      </c>
      <c r="BD345" s="5"/>
      <c r="BE345" s="5"/>
    </row>
    <row r="346" spans="1:57">
      <c r="A346" s="10" t="s">
        <v>1303</v>
      </c>
      <c r="B346" s="5" t="s">
        <v>546</v>
      </c>
      <c r="C346" s="22" t="str">
        <f xml:space="preserve"> IF( TRIM( meta_Columns[[#This Row],[Kind:src]] ) = "", "",
        INDEX( meta_Classifiers[Display Qualified], MATCH( meta_Columns[[#This Row],[Kind:src]], meta_Classifiers[ID], 0 ) ) )</f>
        <v>ExcelColumn</v>
      </c>
      <c r="D346" s="44" t="str">
        <f>IF(meta_Columns[[#This Row],[Owning Table:src]]="","",INDEX(meta_Classifiers[Package],MATCH(meta_Columns[[#This Row],[Owning Table Instances Class]],meta_Classifiers[ID],0)))</f>
        <v>meta</v>
      </c>
      <c r="E346" s="43"/>
      <c r="F346" s="44" t="str">
        <f>INDEX(meta_Tables[Excel Table - Excel Name],MATCH(meta_Columns[[#This Row],[Owning Table:src]],meta_Tables[ID],0))</f>
        <v>meta_Tables</v>
      </c>
      <c r="G346" s="44" t="str">
        <f>INDEX(meta_Tables[Instances Class:src],MATCH(meta_Columns[[#This Row],[Owning Table:src]],meta_Tables[ID],0))</f>
        <v>_Table</v>
      </c>
      <c r="H346" s="11" t="s">
        <v>1012</v>
      </c>
      <c r="I346" s="43" t="str">
        <f xml:space="preserve"> IF( TRIM( meta_Columns[[#This Row],[Owning Table:src]] ) = "", "",
        INDEX( meta_Tables[Display Qualified], MATCH( meta_Columns[[#This Row],[Owning Table:src]], meta_Tables[ID], 0 ) ) )</f>
        <v>meta::Tables</v>
      </c>
      <c r="K346" s="22" t="str">
        <f>IF(TRIM(meta_Columns[[#This Row],[Referenced Table:src]])="","",
    INDEX(meta_Tables[Display Qualified],MATCH(meta_Columns[[#This Row],[Referenced Table:src]],meta_Tables[ID],0)))</f>
        <v/>
      </c>
      <c r="L346" s="8"/>
      <c r="M346" s="22"/>
      <c r="N346" s="8" t="str">
        <f>IF(meta_Columns[[#This Row],[Excel Column - Excel Formula]]="","x","")</f>
        <v/>
      </c>
      <c r="O346" s="22"/>
      <c r="P346" s="8" t="str">
        <f>IF(meta_Columns[[#This Row],[Referenced Table:src]]="","",INDEX(meta_Tables[Instances Class],MATCH(meta_Columns[[#This Row],[Referenced Table:src]],meta_Tables[ID],0)))</f>
        <v/>
      </c>
      <c r="Q3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meta::Table.excelFormulaForColumnLabelActualCalculationPreviousLine</v>
      </c>
      <c r="R346" s="8"/>
      <c r="S346" s="22" t="str">
        <f xml:space="preserve"> IF( TRIM( meta_Columns[[#This Row],[Property:src]] ) = "", "",
        INDEX( meta_TypedModelElements[Display Qualified], MATCH( meta_Columns[[#This Row],[Property:src]], meta_TypedModelElements[ID], 0 ) ) )</f>
        <v/>
      </c>
      <c r="T346" s="22"/>
      <c r="U346" s="8" t="e">
        <f>INDEX(meta_Classifiers[Class - Generalization:src], MATCH(meta_Columns[[#This Row],[Generalization 5]],meta_Classifiers[ID],0))</f>
        <v>#N/A</v>
      </c>
      <c r="V346" s="8" t="e">
        <f>INDEX(meta_Classifiers[Class - Generalization:src], MATCH(meta_Columns[[#This Row],[Generalization 4]],meta_Classifiers[ID],0))</f>
        <v>#N/A</v>
      </c>
      <c r="W346" s="8" t="e">
        <f>INDEX(meta_Classifiers[Class - Generalization:src], MATCH(meta_Columns[[#This Row],[Generalization 3]],meta_Classifiers[ID],0))</f>
        <v>#N/A</v>
      </c>
      <c r="X346" s="8" t="str">
        <f>INDEX(meta_Classifiers[Class - Generalization:src], MATCH(meta_Columns[[#This Row],[Generalization 2]],meta_Classifiers[ID],0))</f>
        <v/>
      </c>
      <c r="Y346" s="8" t="str">
        <f>INDEX(meta_Classifiers[Class - Generalization:src], MATCH(meta_Columns[[#This Row],[Generalization 1]],meta_Classifiers[ID],0))</f>
        <v>_Object</v>
      </c>
      <c r="Z346" s="8" t="str">
        <f>INDEX(meta_Classifiers[Class - Generalization:src], MATCH(meta_Columns[[#This Row],[Owning Table Instances Class]],meta_Classifiers[ID],0))</f>
        <v>_NamedElement</v>
      </c>
      <c r="AA3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6" s="8" t="b">
        <f>_xlfn.IFNA(
INDEX(meta_Classifiers[Class - Generalization:src],MATCH(
INDEX(meta_Classifiers[Class - Generalization:src],MATCH(meta_Columns[[#This Row],[Property Owning Class]],meta_Classifiers[ID],0)),meta_Classifiers[ID],0))
=meta_Columns[[#This Row],[Owning Table Instances Class]],FALSE)</f>
        <v>0</v>
      </c>
      <c r="AG346" s="8" t="b">
        <f>_xlfn.IFNA(INDEX(meta_Classifiers[Class - Generalization:src],MATCH(meta_Columns[[#This Row],[Property Owning Class]],meta_Classifiers[ID],0))=meta_Columns[[#This Row],[Owning Table Instances Class]],FALSE)</f>
        <v>0</v>
      </c>
      <c r="AH3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6" s="8" t="e">
        <f>INDEX(meta_Classifiers[Name],MATCH(INDEX(meta_TypedModelElements[Property - Owning Class:src],MATCH(meta_Columns[[#This Row],[Property]],meta_TypedModelElements[ID],0)),meta_Classifiers[ID],0))</f>
        <v>#N/A</v>
      </c>
      <c r="AJ346" s="8" t="e">
        <f>INDEX(meta_TypedModelElements[Property - Owning Class:src],MATCH(meta_Columns[[#This Row],[Property]],meta_TypedModelElements[ID],0))</f>
        <v>#N/A</v>
      </c>
      <c r="AK346" s="8" t="e">
        <f>INDEX(meta_TypedModelElements[Kind:src],MATCH(meta_Columns[[#This Row],[Property]],meta_TypedModelElements[ID],0))</f>
        <v>#N/A</v>
      </c>
      <c r="AL346" s="8" t="e">
        <f>INDEX(meta_TypedModelElements[Name or Type],MATCH(meta_Columns[[#This Row],[Property]],meta_TypedModelElements[ID],0))</f>
        <v>#N/A</v>
      </c>
      <c r="AM346" s="8" t="e">
        <f>INDEX(meta_TypedModelElements[Property - Changeable],MATCH(meta_Columns[[#This Row],[Property]],meta_TypedModelElements[ID],0))</f>
        <v>#N/A</v>
      </c>
      <c r="AN346" s="43">
        <v>14</v>
      </c>
      <c r="AO346" s="22"/>
      <c r="AP3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6" s="8" t="str">
        <f xml:space="preserve"> IF(meta_Columns[[#This Row],[Property Owning Class is Specialization of Instance Class]],meta_Columns[[#This Row],[Property Owning Class Name]]&amp;" - ","")</f>
        <v/>
      </c>
      <c r="AR3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Excel Formula for Column Label Actual Calculation Previous Line </v>
      </c>
      <c r="AT346" s="8" t="str">
        <f>IFERROR(LEFT(meta_Columns[[#This Row],[Excel Column - Label Actual without Semantic Case]],FIND("-",
meta_Columns[[#This Row],[Excel Column - Label Actual without Semantic Case]])-2),"")</f>
        <v/>
      </c>
      <c r="AU3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Excel Formula for Column Label Actual Calculation Previous Line </v>
      </c>
      <c r="AV3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Excel Formula for Column Label Actual Calculation Previous Line </v>
      </c>
      <c r="AX346" s="22"/>
      <c r="AY346" s="8" t="str">
        <f>meta_Columns[[#This Row],[Owning Table]]&amp;"."&amp;meta_Columns[[#This Row],[Excel Column - Label]]</f>
        <v xml:space="preserve">meta::Tables.ExceFormula Previous Line </v>
      </c>
      <c r="AZ346" s="43" t="s">
        <v>643</v>
      </c>
      <c r="BA346" s="44" t="str">
        <f>IF(TRIM(meta_Columns[[#This Row],[Excel Column - Label Overwrite]])&lt;&gt;"",meta_Columns[[#This Row],[Excel Column - Label Overwrite]],meta_Columns[[#This Row],[Excel Column - Label from Property or Referenced Table]])</f>
        <v xml:space="preserve">ExceFormula Previous Line </v>
      </c>
      <c r="BB346" s="43" t="s">
        <v>907</v>
      </c>
      <c r="BC346" s="44" t="str">
        <f>IF(meta_Columns[[#This Row],[Excel Column - Explicit Excel Formula]]="","",meta_Columns[[#This Row],[Excel Column - Explicit Excel Formula]])</f>
        <v>Formula:=IF(ROW()=2,"",INDEX([Excel Formula for Column "Excel Column - Label Actual" of Table Columns], ROW()-2))</v>
      </c>
      <c r="BD346" s="5"/>
      <c r="BE346" s="5"/>
    </row>
    <row r="347" spans="1:57">
      <c r="A347" s="10" t="s">
        <v>1304</v>
      </c>
      <c r="B347" s="5" t="s">
        <v>546</v>
      </c>
      <c r="C347" s="22" t="str">
        <f xml:space="preserve"> IF( TRIM( meta_Columns[[#This Row],[Kind:src]] ) = "", "",
        INDEX( meta_Classifiers[Display Qualified], MATCH( meta_Columns[[#This Row],[Kind:src]], meta_Classifiers[ID], 0 ) ) )</f>
        <v>ExcelColumn</v>
      </c>
      <c r="D347" s="44" t="str">
        <f>IF(meta_Columns[[#This Row],[Owning Table:src]]="","",INDEX(meta_Classifiers[Package],MATCH(meta_Columns[[#This Row],[Owning Table Instances Class]],meta_Classifiers[ID],0)))</f>
        <v>meta</v>
      </c>
      <c r="E347" s="43"/>
      <c r="F347" s="44" t="str">
        <f>INDEX(meta_Tables[Excel Table - Excel Name],MATCH(meta_Columns[[#This Row],[Owning Table:src]],meta_Tables[ID],0))</f>
        <v>meta_Tables</v>
      </c>
      <c r="G347" s="44" t="str">
        <f>INDEX(meta_Tables[Instances Class:src],MATCH(meta_Columns[[#This Row],[Owning Table:src]],meta_Tables[ID],0))</f>
        <v>_Table</v>
      </c>
      <c r="H347" s="11" t="s">
        <v>1012</v>
      </c>
      <c r="I347" s="43" t="str">
        <f xml:space="preserve"> IF( TRIM( meta_Columns[[#This Row],[Owning Table:src]] ) = "", "",
        INDEX( meta_Tables[Display Qualified], MATCH( meta_Columns[[#This Row],[Owning Table:src]], meta_Tables[ID], 0 ) ) )</f>
        <v>meta::Tables</v>
      </c>
      <c r="K347" s="22" t="str">
        <f>IF(TRIM(meta_Columns[[#This Row],[Referenced Table:src]])="","",
    INDEX(meta_Tables[Display Qualified],MATCH(meta_Columns[[#This Row],[Referenced Table:src]],meta_Tables[ID],0)))</f>
        <v/>
      </c>
      <c r="L347" s="8"/>
      <c r="M347" s="22"/>
      <c r="N347" s="8" t="str">
        <f>IF(meta_Columns[[#This Row],[Excel Column - Excel Formula]]="","x","")</f>
        <v/>
      </c>
      <c r="O347" s="22"/>
      <c r="P347" s="8" t="str">
        <f>IF(meta_Columns[[#This Row],[Referenced Table:src]]="","",INDEX(meta_Tables[Instances Class],MATCH(meta_Columns[[#This Row],[Referenced Table:src]],meta_Tables[ID],0)))</f>
        <v/>
      </c>
      <c r="Q3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v>
      </c>
      <c r="R347" s="8"/>
      <c r="S347" s="22" t="str">
        <f xml:space="preserve"> IF( TRIM( meta_Columns[[#This Row],[Property:src]] ) = "", "",
        INDEX( meta_TypedModelElements[Display Qualified], MATCH( meta_Columns[[#This Row],[Property:src]], meta_TypedModelElements[ID], 0 ) ) )</f>
        <v/>
      </c>
      <c r="T347" s="22"/>
      <c r="U347" s="8" t="e">
        <f>INDEX(meta_Classifiers[Class - Generalization:src], MATCH(meta_Columns[[#This Row],[Generalization 5]],meta_Classifiers[ID],0))</f>
        <v>#N/A</v>
      </c>
      <c r="V347" s="8" t="e">
        <f>INDEX(meta_Classifiers[Class - Generalization:src], MATCH(meta_Columns[[#This Row],[Generalization 4]],meta_Classifiers[ID],0))</f>
        <v>#N/A</v>
      </c>
      <c r="W347" s="8" t="e">
        <f>INDEX(meta_Classifiers[Class - Generalization:src], MATCH(meta_Columns[[#This Row],[Generalization 3]],meta_Classifiers[ID],0))</f>
        <v>#N/A</v>
      </c>
      <c r="X347" s="8" t="str">
        <f>INDEX(meta_Classifiers[Class - Generalization:src], MATCH(meta_Columns[[#This Row],[Generalization 2]],meta_Classifiers[ID],0))</f>
        <v/>
      </c>
      <c r="Y347" s="8" t="str">
        <f>INDEX(meta_Classifiers[Class - Generalization:src], MATCH(meta_Columns[[#This Row],[Generalization 1]],meta_Classifiers[ID],0))</f>
        <v>_Object</v>
      </c>
      <c r="Z347" s="8" t="str">
        <f>INDEX(meta_Classifiers[Class - Generalization:src], MATCH(meta_Columns[[#This Row],[Owning Table Instances Class]],meta_Classifiers[ID],0))</f>
        <v>_NamedElement</v>
      </c>
      <c r="AA3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7" s="8" t="b">
        <f>_xlfn.IFNA(
INDEX(meta_Classifiers[Class - Generalization:src],MATCH(
INDEX(meta_Classifiers[Class - Generalization:src],MATCH(meta_Columns[[#This Row],[Property Owning Class]],meta_Classifiers[ID],0)),meta_Classifiers[ID],0))
=meta_Columns[[#This Row],[Owning Table Instances Class]],FALSE)</f>
        <v>0</v>
      </c>
      <c r="AG347" s="8" t="b">
        <f>_xlfn.IFNA(INDEX(meta_Classifiers[Class - Generalization:src],MATCH(meta_Columns[[#This Row],[Property Owning Class]],meta_Classifiers[ID],0))=meta_Columns[[#This Row],[Owning Table Instances Class]],FALSE)</f>
        <v>0</v>
      </c>
      <c r="AH3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7" s="8" t="e">
        <f>INDEX(meta_Classifiers[Name],MATCH(INDEX(meta_TypedModelElements[Property - Owning Class:src],MATCH(meta_Columns[[#This Row],[Property]],meta_TypedModelElements[ID],0)),meta_Classifiers[ID],0))</f>
        <v>#N/A</v>
      </c>
      <c r="AJ347" s="8" t="e">
        <f>INDEX(meta_TypedModelElements[Property - Owning Class:src],MATCH(meta_Columns[[#This Row],[Property]],meta_TypedModelElements[ID],0))</f>
        <v>#N/A</v>
      </c>
      <c r="AK347" s="8" t="e">
        <f>INDEX(meta_TypedModelElements[Kind:src],MATCH(meta_Columns[[#This Row],[Property]],meta_TypedModelElements[ID],0))</f>
        <v>#N/A</v>
      </c>
      <c r="AL347" s="8" t="e">
        <f>INDEX(meta_TypedModelElements[Name or Type],MATCH(meta_Columns[[#This Row],[Property]],meta_TypedModelElements[ID],0))</f>
        <v>#N/A</v>
      </c>
      <c r="AM347" s="8" t="e">
        <f>INDEX(meta_TypedModelElements[Property - Changeable],MATCH(meta_Columns[[#This Row],[Property]],meta_TypedModelElements[ID],0))</f>
        <v>#N/A</v>
      </c>
      <c r="AN347" s="43">
        <v>15</v>
      </c>
      <c r="AO347" s="22"/>
      <c r="AP3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7" s="8" t="str">
        <f xml:space="preserve"> IF(meta_Columns[[#This Row],[Property Owning Class is Specialization of Instance Class]],meta_Columns[[#This Row],[Property Owning Class Name]]&amp;" - ","")</f>
        <v/>
      </c>
      <c r="AR3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 for Column Label Actual Calculation</v>
      </c>
      <c r="AT347" s="8" t="str">
        <f>IFERROR(LEFT(meta_Columns[[#This Row],[Excel Column - Label Actual without Semantic Case]],FIND("-",
meta_Columns[[#This Row],[Excel Column - Label Actual without Semantic Case]])-2),"")</f>
        <v/>
      </c>
      <c r="AU3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for Column Label Actual Calculation</v>
      </c>
      <c r="AV3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for Column Label Actual Calculation</v>
      </c>
      <c r="AX347" s="22"/>
      <c r="AY347" s="8" t="str">
        <f>meta_Columns[[#This Row],[Owning Table]]&amp;"."&amp;meta_Columns[[#This Row],[Excel Column - Label]]</f>
        <v>meta::Tables.Excel Formula for Column "Excel Column - Label Actual" of Table Columns</v>
      </c>
      <c r="AZ347" s="43" t="s">
        <v>642</v>
      </c>
      <c r="BA347" s="44" t="str">
        <f>IF(TRIM(meta_Columns[[#This Row],[Excel Column - Label Overwrite]])&lt;&gt;"",meta_Columns[[#This Row],[Excel Column - Label Overwrite]],meta_Columns[[#This Row],[Excel Column - Label from Property or Referenced Table]])</f>
        <v>Excel Formula for Column "Excel Column - Label Actual" of Table Columns</v>
      </c>
      <c r="BB347" s="43" t="s">
        <v>1490</v>
      </c>
      <c r="BC347" s="44" t="str">
        <f>IF(meta_Columns[[#This Row],[Excel Column - Explicit Excel Formula]]="","",meta_Columns[[#This Row],[Excel Column - Explicit Excel Formula]])</f>
        <v>Formula:=[@[ExceFormula Previous Line ]]&amp;
IF([@[Excel Table - Excel Name]]&lt;&gt;"","IF([@[Owning Table:src]]="&amp;CHAR(34)&amp;[@ID]&amp;CHAR(34)&amp;",INDEX("&amp;[@[Excel Table - Excel Name]]&amp;"[#Headers],[@Position]),
","")</v>
      </c>
      <c r="BD347" s="5"/>
      <c r="BE347" s="5"/>
    </row>
    <row r="348" spans="1:57">
      <c r="A348" s="10" t="s">
        <v>1305</v>
      </c>
      <c r="B348" s="5" t="s">
        <v>546</v>
      </c>
      <c r="C348" s="22" t="str">
        <f xml:space="preserve"> IF( TRIM( meta_Columns[[#This Row],[Kind:src]] ) = "", "",
        INDEX( meta_Classifiers[Display Qualified], MATCH( meta_Columns[[#This Row],[Kind:src]], meta_Classifiers[ID], 0 ) ) )</f>
        <v>ExcelColumn</v>
      </c>
      <c r="D348" s="44" t="str">
        <f>IF(meta_Columns[[#This Row],[Owning Table:src]]="","",INDEX(meta_Classifiers[Package],MATCH(meta_Columns[[#This Row],[Owning Table Instances Class]],meta_Classifiers[ID],0)))</f>
        <v>meta</v>
      </c>
      <c r="E348" s="43"/>
      <c r="F348" s="44" t="str">
        <f>INDEX(meta_Tables[Excel Table - Excel Name],MATCH(meta_Columns[[#This Row],[Owning Table:src]],meta_Tables[ID],0))</f>
        <v>meta_TypedModelElements</v>
      </c>
      <c r="G348" s="44" t="str">
        <f>INDEX(meta_Tables[Instances Class:src],MATCH(meta_Columns[[#This Row],[Owning Table:src]],meta_Tables[ID],0))</f>
        <v>_TypedModelElement</v>
      </c>
      <c r="H348" s="11" t="s">
        <v>1011</v>
      </c>
      <c r="I348" s="43" t="str">
        <f xml:space="preserve"> IF( TRIM( meta_Columns[[#This Row],[Owning Table:src]] ) = "", "",
        INDEX( meta_Tables[Display Qualified], MATCH( meta_Columns[[#This Row],[Owning Table:src]], meta_Tables[ID], 0 ) ) )</f>
        <v>meta::TypedModelElements</v>
      </c>
      <c r="K348" s="22" t="str">
        <f>IF(TRIM(meta_Columns[[#This Row],[Referenced Table:src]])="","",
    INDEX(meta_Tables[Display Qualified],MATCH(meta_Columns[[#This Row],[Referenced Table:src]],meta_Tables[ID],0)))</f>
        <v/>
      </c>
      <c r="L348" s="8"/>
      <c r="M348" s="22"/>
      <c r="N348" s="8" t="str">
        <f>IF(meta_Columns[[#This Row],[Excel Column - Excel Formula]]="","x","")</f>
        <v>x</v>
      </c>
      <c r="O348" s="22"/>
      <c r="P348" s="8" t="str">
        <f>IF(meta_Columns[[#This Row],[Referenced Table:src]]="","",INDEX(meta_Tables[Instances Class],MATCH(meta_Columns[[#This Row],[Referenced Table:src]],meta_Tables[ID],0)))</f>
        <v/>
      </c>
      <c r="Q3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8" s="8" t="s">
        <v>246</v>
      </c>
      <c r="S348" s="22" t="str">
        <f xml:space="preserve"> IF( TRIM( meta_Columns[[#This Row],[Property:src]] ) = "", "",
        INDEX( meta_TypedModelElements[Display Qualified], MATCH( meta_Columns[[#This Row],[Property:src]], meta_TypedModelElements[ID], 0 ) ) )</f>
        <v>meta::Object.iD</v>
      </c>
      <c r="T348" s="22" t="s">
        <v>42</v>
      </c>
      <c r="U348" s="8" t="e">
        <f>INDEX(meta_Classifiers[Class - Generalization:src], MATCH(meta_Columns[[#This Row],[Generalization 5]],meta_Classifiers[ID],0))</f>
        <v>#N/A</v>
      </c>
      <c r="V348" s="8" t="e">
        <f>INDEX(meta_Classifiers[Class - Generalization:src], MATCH(meta_Columns[[#This Row],[Generalization 4]],meta_Classifiers[ID],0))</f>
        <v>#N/A</v>
      </c>
      <c r="W348" s="8" t="e">
        <f>INDEX(meta_Classifiers[Class - Generalization:src], MATCH(meta_Columns[[#This Row],[Generalization 3]],meta_Classifiers[ID],0))</f>
        <v>#N/A</v>
      </c>
      <c r="X348" s="8" t="str">
        <f>INDEX(meta_Classifiers[Class - Generalization:src], MATCH(meta_Columns[[#This Row],[Generalization 2]],meta_Classifiers[ID],0))</f>
        <v/>
      </c>
      <c r="Y348" s="8" t="str">
        <f>INDEX(meta_Classifiers[Class - Generalization:src], MATCH(meta_Columns[[#This Row],[Generalization 1]],meta_Classifiers[ID],0))</f>
        <v>_Object</v>
      </c>
      <c r="Z348" s="8" t="str">
        <f>INDEX(meta_Classifiers[Class - Generalization:src], MATCH(meta_Columns[[#This Row],[Owning Table Instances Class]],meta_Classifiers[ID],0))</f>
        <v>_NamedElement</v>
      </c>
      <c r="AA3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8" s="8" t="b">
        <f>_xlfn.IFNA(
INDEX(meta_Classifiers[Class - Generalization:src],MATCH(
INDEX(meta_Classifiers[Class - Generalization:src],MATCH(meta_Columns[[#This Row],[Property Owning Class]],meta_Classifiers[ID],0)),meta_Classifiers[ID],0))
=meta_Columns[[#This Row],[Owning Table Instances Class]],FALSE)</f>
        <v>0</v>
      </c>
      <c r="AG348" s="8" t="b">
        <f>_xlfn.IFNA(INDEX(meta_Classifiers[Class - Generalization:src],MATCH(meta_Columns[[#This Row],[Property Owning Class]],meta_Classifiers[ID],0))=meta_Columns[[#This Row],[Owning Table Instances Class]],FALSE)</f>
        <v>0</v>
      </c>
      <c r="AH3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8" s="8" t="str">
        <f>INDEX(meta_Classifiers[Name],MATCH(INDEX(meta_TypedModelElements[Property - Owning Class:src],MATCH(meta_Columns[[#This Row],[Property]],meta_TypedModelElements[ID],0)),meta_Classifiers[ID],0))</f>
        <v>Object</v>
      </c>
      <c r="AJ348" s="8" t="str">
        <f>INDEX(meta_TypedModelElements[Property - Owning Class:src],MATCH(meta_Columns[[#This Row],[Property]],meta_TypedModelElements[ID],0))</f>
        <v>_Object</v>
      </c>
      <c r="AK348" s="8" t="str">
        <f>INDEX(meta_TypedModelElements[Kind:src],MATCH(meta_Columns[[#This Row],[Property]],meta_TypedModelElements[ID],0))</f>
        <v>_Attribute</v>
      </c>
      <c r="AL348" s="8" t="str">
        <f>INDEX(meta_TypedModelElements[Name or Type],MATCH(meta_Columns[[#This Row],[Property]],meta_TypedModelElements[ID],0))</f>
        <v>ID</v>
      </c>
      <c r="AM348" s="8" t="str">
        <f>INDEX(meta_TypedModelElements[Property - Changeable],MATCH(meta_Columns[[#This Row],[Property]],meta_TypedModelElements[ID],0))</f>
        <v>x</v>
      </c>
      <c r="AN348" s="43">
        <v>1</v>
      </c>
      <c r="AO348" s="22">
        <v>1</v>
      </c>
      <c r="AP3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48" s="8" t="str">
        <f xml:space="preserve"> IF(meta_Columns[[#This Row],[Property Owning Class is Specialization of Instance Class]],meta_Columns[[#This Row],[Property Owning Class Name]]&amp;" - ","")</f>
        <v/>
      </c>
      <c r="AR3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48" s="8" t="str">
        <f>IFERROR(LEFT(meta_Columns[[#This Row],[Excel Column - Label Actual without Semantic Case]],FIND("-",
meta_Columns[[#This Row],[Excel Column - Label Actual without Semantic Case]])-2),"")</f>
        <v/>
      </c>
      <c r="AU3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48" s="22"/>
      <c r="AY348" s="8" t="str">
        <f>meta_Columns[[#This Row],[Owning Table]]&amp;"."&amp;meta_Columns[[#This Row],[Excel Column - Label]]</f>
        <v>meta::TypedModelElements.ID</v>
      </c>
      <c r="AZ348" s="43" t="s">
        <v>0</v>
      </c>
      <c r="BA348" s="44" t="str">
        <f>IF(TRIM(meta_Columns[[#This Row],[Excel Column - Label Overwrite]])&lt;&gt;"",meta_Columns[[#This Row],[Excel Column - Label Overwrite]],meta_Columns[[#This Row],[Excel Column - Label from Property or Referenced Table]])</f>
        <v>ID</v>
      </c>
      <c r="BB348" s="43"/>
      <c r="BC348" s="44" t="str">
        <f>IF(meta_Columns[[#This Row],[Excel Column - Explicit Excel Formula]]="","",meta_Columns[[#This Row],[Excel Column - Explicit Excel Formula]])</f>
        <v/>
      </c>
      <c r="BD348" s="5"/>
      <c r="BE348" s="5"/>
    </row>
    <row r="349" spans="1:57">
      <c r="A349" s="10" t="s">
        <v>1399</v>
      </c>
      <c r="B349" s="5" t="s">
        <v>546</v>
      </c>
      <c r="C349" s="22" t="str">
        <f xml:space="preserve"> IF( TRIM( meta_Columns[[#This Row],[Kind:src]] ) = "", "",
        INDEX( meta_Classifiers[Display Qualified], MATCH( meta_Columns[[#This Row],[Kind:src]], meta_Classifiers[ID], 0 ) ) )</f>
        <v>ExcelColumn</v>
      </c>
      <c r="D349" s="44" t="str">
        <f>IF(meta_Columns[[#This Row],[Owning Table:src]]="","",INDEX(meta_Classifiers[Package],MATCH(meta_Columns[[#This Row],[Owning Table Instances Class]],meta_Classifiers[ID],0)))</f>
        <v>meta</v>
      </c>
      <c r="E349" s="43"/>
      <c r="F349" s="44" t="str">
        <f>INDEX(meta_Tables[Excel Table - Excel Name],MATCH(meta_Columns[[#This Row],[Owning Table:src]],meta_Tables[ID],0))</f>
        <v>meta_TypedModelElements</v>
      </c>
      <c r="G349" s="44" t="str">
        <f>INDEX(meta_Tables[Instances Class:src],MATCH(meta_Columns[[#This Row],[Owning Table:src]],meta_Tables[ID],0))</f>
        <v>_TypedModelElement</v>
      </c>
      <c r="H349" s="11" t="s">
        <v>1011</v>
      </c>
      <c r="I349" s="43" t="str">
        <f xml:space="preserve"> IF( TRIM( meta_Columns[[#This Row],[Owning Table:src]] ) = "", "",
        INDEX( meta_Tables[Display Qualified], MATCH( meta_Columns[[#This Row],[Owning Table:src]], meta_Tables[ID], 0 ) ) )</f>
        <v>meta::TypedModelElements</v>
      </c>
      <c r="K349" s="22" t="str">
        <f>IF(TRIM(meta_Columns[[#This Row],[Referenced Table:src]])="","",
    INDEX(meta_Tables[Display Qualified],MATCH(meta_Columns[[#This Row],[Referenced Table:src]],meta_Tables[ID],0)))</f>
        <v/>
      </c>
      <c r="L349" s="8"/>
      <c r="M349" s="22"/>
      <c r="N349" s="8" t="str">
        <f>IF(meta_Columns[[#This Row],[Excel Column - Excel Formula]]="","x","")</f>
        <v/>
      </c>
      <c r="O349" s="22"/>
      <c r="P349" s="8" t="str">
        <f>IF(meta_Columns[[#This Row],[Referenced Table:src]]="","",INDEX(meta_Tables[Instances Class],MATCH(meta_Columns[[#This Row],[Referenced Table:src]],meta_Tables[ID],0)))</f>
        <v/>
      </c>
      <c r="Q3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9" s="8" t="s">
        <v>247</v>
      </c>
      <c r="S349" s="22" t="str">
        <f xml:space="preserve"> IF( TRIM( meta_Columns[[#This Row],[Property:src]] ) = "", "",
        INDEX( meta_TypedModelElements[Display Qualified], MATCH( meta_Columns[[#This Row],[Property:src]], meta_TypedModelElements[ID], 0 ) ) )</f>
        <v>meta::Object.kind</v>
      </c>
      <c r="T349" s="22" t="s">
        <v>42</v>
      </c>
      <c r="U349" s="8" t="e">
        <f>INDEX(meta_Classifiers[Class - Generalization:src], MATCH(meta_Columns[[#This Row],[Generalization 5]],meta_Classifiers[ID],0))</f>
        <v>#N/A</v>
      </c>
      <c r="V349" s="8" t="e">
        <f>INDEX(meta_Classifiers[Class - Generalization:src], MATCH(meta_Columns[[#This Row],[Generalization 4]],meta_Classifiers[ID],0))</f>
        <v>#N/A</v>
      </c>
      <c r="W349" s="8" t="e">
        <f>INDEX(meta_Classifiers[Class - Generalization:src], MATCH(meta_Columns[[#This Row],[Generalization 3]],meta_Classifiers[ID],0))</f>
        <v>#N/A</v>
      </c>
      <c r="X349" s="8" t="str">
        <f>INDEX(meta_Classifiers[Class - Generalization:src], MATCH(meta_Columns[[#This Row],[Generalization 2]],meta_Classifiers[ID],0))</f>
        <v/>
      </c>
      <c r="Y349" s="8" t="str">
        <f>INDEX(meta_Classifiers[Class - Generalization:src], MATCH(meta_Columns[[#This Row],[Generalization 1]],meta_Classifiers[ID],0))</f>
        <v>_Object</v>
      </c>
      <c r="Z349" s="8" t="str">
        <f>INDEX(meta_Classifiers[Class - Generalization:src], MATCH(meta_Columns[[#This Row],[Owning Table Instances Class]],meta_Classifiers[ID],0))</f>
        <v>_NamedElement</v>
      </c>
      <c r="AA3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9" s="8" t="b">
        <f>_xlfn.IFNA(
INDEX(meta_Classifiers[Class - Generalization:src],MATCH(
INDEX(meta_Classifiers[Class - Generalization:src],MATCH(meta_Columns[[#This Row],[Property Owning Class]],meta_Classifiers[ID],0)),meta_Classifiers[ID],0))
=meta_Columns[[#This Row],[Owning Table Instances Class]],FALSE)</f>
        <v>0</v>
      </c>
      <c r="AG349" s="8" t="b">
        <f>_xlfn.IFNA(INDEX(meta_Classifiers[Class - Generalization:src],MATCH(meta_Columns[[#This Row],[Property Owning Class]],meta_Classifiers[ID],0))=meta_Columns[[#This Row],[Owning Table Instances Class]],FALSE)</f>
        <v>0</v>
      </c>
      <c r="AH3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9" s="8" t="str">
        <f>INDEX(meta_Classifiers[Name],MATCH(INDEX(meta_TypedModelElements[Property - Owning Class:src],MATCH(meta_Columns[[#This Row],[Property]],meta_TypedModelElements[ID],0)),meta_Classifiers[ID],0))</f>
        <v>Object</v>
      </c>
      <c r="AJ349" s="8" t="str">
        <f>INDEX(meta_TypedModelElements[Property - Owning Class:src],MATCH(meta_Columns[[#This Row],[Property]],meta_TypedModelElements[ID],0))</f>
        <v>_Object</v>
      </c>
      <c r="AK349" s="8" t="str">
        <f>INDEX(meta_TypedModelElements[Kind:src],MATCH(meta_Columns[[#This Row],[Property]],meta_TypedModelElements[ID],0))</f>
        <v>_Reference</v>
      </c>
      <c r="AL349" s="8" t="str">
        <f>INDEX(meta_TypedModelElements[Name or Type],MATCH(meta_Columns[[#This Row],[Property]],meta_TypedModelElements[ID],0))</f>
        <v>Kind</v>
      </c>
      <c r="AM349" s="8" t="str">
        <f>INDEX(meta_TypedModelElements[Property - Changeable],MATCH(meta_Columns[[#This Row],[Property]],meta_TypedModelElements[ID],0))</f>
        <v>x</v>
      </c>
      <c r="AN349" s="43">
        <v>2</v>
      </c>
      <c r="AO349" s="22"/>
      <c r="AP3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49" s="8" t="str">
        <f xml:space="preserve"> IF(meta_Columns[[#This Row],[Property Owning Class is Specialization of Instance Class]],meta_Columns[[#This Row],[Property Owning Class Name]]&amp;" - ","")</f>
        <v/>
      </c>
      <c r="AR3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49" s="8" t="str">
        <f>IFERROR(LEFT(meta_Columns[[#This Row],[Excel Column - Label Actual without Semantic Case]],FIND("-",
meta_Columns[[#This Row],[Excel Column - Label Actual without Semantic Case]])-2),"")</f>
        <v/>
      </c>
      <c r="AU3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49" s="22"/>
      <c r="AY349" s="8" t="str">
        <f>meta_Columns[[#This Row],[Owning Table]]&amp;"."&amp;meta_Columns[[#This Row],[Excel Column - Label]]</f>
        <v>meta::TypedModelElements.Kind:src</v>
      </c>
      <c r="AZ349" s="43" t="s">
        <v>230</v>
      </c>
      <c r="BA349" s="44" t="str">
        <f>IF(TRIM(meta_Columns[[#This Row],[Excel Column - Label Overwrite]])&lt;&gt;"",meta_Columns[[#This Row],[Excel Column - Label Overwrite]],meta_Columns[[#This Row],[Excel Column - Label from Property or Referenced Table]])</f>
        <v>Kind:src</v>
      </c>
      <c r="BB349" s="43" t="s">
        <v>1366</v>
      </c>
      <c r="BC349" s="44" t="str">
        <f>IF(meta_Columns[[#This Row],[Excel Column - Explicit Excel Formula]]="","",meta_Columns[[#This Row],[Excel Column - Explicit Excel Formula]])</f>
        <v>Formula:=IF([@[Kind:srcLastSaved]]&lt;&gt;"", [@[Kind:srcLastSaved]],
   IF([@Kind]="","",
      INDEX(meta_Classifiers[ID],
         MATCH([@Kind],meta_Classifiers[Display Qualified],0))))</v>
      </c>
      <c r="BD349" s="5"/>
      <c r="BE349" s="5"/>
    </row>
    <row r="350" spans="1:57">
      <c r="A350" s="10" t="s">
        <v>1294</v>
      </c>
      <c r="B350" s="5" t="s">
        <v>546</v>
      </c>
      <c r="C350" s="22" t="str">
        <f xml:space="preserve"> IF( TRIM( meta_Columns[[#This Row],[Kind:src]] ) = "", "",
        INDEX( meta_Classifiers[Display Qualified], MATCH( meta_Columns[[#This Row],[Kind:src]], meta_Classifiers[ID], 0 ) ) )</f>
        <v>ExcelColumn</v>
      </c>
      <c r="D350" s="44" t="str">
        <f>IF(meta_Columns[[#This Row],[Owning Table:src]]="","",INDEX(meta_Classifiers[Package],MATCH(meta_Columns[[#This Row],[Owning Table Instances Class]],meta_Classifiers[ID],0)))</f>
        <v>meta</v>
      </c>
      <c r="E350" s="43"/>
      <c r="F350" s="44" t="str">
        <f>INDEX(meta_Tables[Excel Table - Excel Name],MATCH(meta_Columns[[#This Row],[Owning Table:src]],meta_Tables[ID],0))</f>
        <v>meta_TypedModelElements</v>
      </c>
      <c r="G350" s="44" t="str">
        <f>INDEX(meta_Tables[Instances Class:src],MATCH(meta_Columns[[#This Row],[Owning Table:src]],meta_Tables[ID],0))</f>
        <v>_TypedModelElement</v>
      </c>
      <c r="H350" s="11" t="s">
        <v>1011</v>
      </c>
      <c r="I350" s="43" t="str">
        <f xml:space="preserve"> IF( TRIM( meta_Columns[[#This Row],[Owning Table:src]] ) = "", "",
        INDEX( meta_Tables[Display Qualified], MATCH( meta_Columns[[#This Row],[Owning Table:src]], meta_Tables[ID], 0 ) ) )</f>
        <v>meta::TypedModelElements</v>
      </c>
      <c r="K350" s="22" t="str">
        <f>IF(TRIM(meta_Columns[[#This Row],[Referenced Table:src]])="","",
    INDEX(meta_Tables[Display Qualified],MATCH(meta_Columns[[#This Row],[Referenced Table:src]],meta_Tables[ID],0)))</f>
        <v/>
      </c>
      <c r="L350" s="8"/>
      <c r="M350" s="22"/>
      <c r="N350" s="8" t="str">
        <f>IF(meta_Columns[[#This Row],[Excel Column - Excel Formula]]="","x","")</f>
        <v>x</v>
      </c>
      <c r="O350" s="22"/>
      <c r="P350" s="8" t="str">
        <f>IF(meta_Columns[[#This Row],[Referenced Table:src]]="","",INDEX(meta_Tables[Instances Class],MATCH(meta_Columns[[#This Row],[Referenced Table:src]],meta_Tables[ID],0)))</f>
        <v/>
      </c>
      <c r="Q3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0" s="8" t="s">
        <v>246</v>
      </c>
      <c r="S350" s="22" t="str">
        <f xml:space="preserve"> IF( TRIM( meta_Columns[[#This Row],[Property:src]] ) = "", "",
        INDEX( meta_TypedModelElements[Display Qualified], MATCH( meta_Columns[[#This Row],[Property:src]], meta_TypedModelElements[ID], 0 ) ) )</f>
        <v>meta::Object.iD</v>
      </c>
      <c r="T350" s="22"/>
      <c r="U350" s="8" t="e">
        <f>INDEX(meta_Classifiers[Class - Generalization:src], MATCH(meta_Columns[[#This Row],[Generalization 5]],meta_Classifiers[ID],0))</f>
        <v>#N/A</v>
      </c>
      <c r="V350" s="8" t="e">
        <f>INDEX(meta_Classifiers[Class - Generalization:src], MATCH(meta_Columns[[#This Row],[Generalization 4]],meta_Classifiers[ID],0))</f>
        <v>#N/A</v>
      </c>
      <c r="W350" s="8" t="e">
        <f>INDEX(meta_Classifiers[Class - Generalization:src], MATCH(meta_Columns[[#This Row],[Generalization 3]],meta_Classifiers[ID],0))</f>
        <v>#N/A</v>
      </c>
      <c r="X350" s="8" t="str">
        <f>INDEX(meta_Classifiers[Class - Generalization:src], MATCH(meta_Columns[[#This Row],[Generalization 2]],meta_Classifiers[ID],0))</f>
        <v/>
      </c>
      <c r="Y350" s="8" t="str">
        <f>INDEX(meta_Classifiers[Class - Generalization:src], MATCH(meta_Columns[[#This Row],[Generalization 1]],meta_Classifiers[ID],0))</f>
        <v>_Object</v>
      </c>
      <c r="Z350" s="8" t="str">
        <f>INDEX(meta_Classifiers[Class - Generalization:src], MATCH(meta_Columns[[#This Row],[Owning Table Instances Class]],meta_Classifiers[ID],0))</f>
        <v>_NamedElement</v>
      </c>
      <c r="AA3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0" s="8" t="b">
        <f>_xlfn.IFNA(
INDEX(meta_Classifiers[Class - Generalization:src],MATCH(
INDEX(meta_Classifiers[Class - Generalization:src],MATCH(meta_Columns[[#This Row],[Property Owning Class]],meta_Classifiers[ID],0)),meta_Classifiers[ID],0))
=meta_Columns[[#This Row],[Owning Table Instances Class]],FALSE)</f>
        <v>0</v>
      </c>
      <c r="AG350" s="8" t="b">
        <f>_xlfn.IFNA(INDEX(meta_Classifiers[Class - Generalization:src],MATCH(meta_Columns[[#This Row],[Property Owning Class]],meta_Classifiers[ID],0))=meta_Columns[[#This Row],[Owning Table Instances Class]],FALSE)</f>
        <v>0</v>
      </c>
      <c r="AH3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0" s="8" t="str">
        <f>INDEX(meta_Classifiers[Name],MATCH(INDEX(meta_TypedModelElements[Property - Owning Class:src],MATCH(meta_Columns[[#This Row],[Property]],meta_TypedModelElements[ID],0)),meta_Classifiers[ID],0))</f>
        <v>Object</v>
      </c>
      <c r="AJ350" s="8" t="str">
        <f>INDEX(meta_TypedModelElements[Property - Owning Class:src],MATCH(meta_Columns[[#This Row],[Property]],meta_TypedModelElements[ID],0))</f>
        <v>_Object</v>
      </c>
      <c r="AK350" s="8" t="str">
        <f>INDEX(meta_TypedModelElements[Kind:src],MATCH(meta_Columns[[#This Row],[Property]],meta_TypedModelElements[ID],0))</f>
        <v>_Attribute</v>
      </c>
      <c r="AL350" s="8" t="str">
        <f>INDEX(meta_TypedModelElements[Name or Type],MATCH(meta_Columns[[#This Row],[Property]],meta_TypedModelElements[ID],0))</f>
        <v>ID</v>
      </c>
      <c r="AM350" s="8" t="str">
        <f>INDEX(meta_TypedModelElements[Property - Changeable],MATCH(meta_Columns[[#This Row],[Property]],meta_TypedModelElements[ID],0))</f>
        <v>x</v>
      </c>
      <c r="AN350" s="43">
        <v>3</v>
      </c>
      <c r="AO350" s="22">
        <v>3</v>
      </c>
      <c r="AP3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50" s="8" t="str">
        <f xml:space="preserve"> IF(meta_Columns[[#This Row],[Property Owning Class is Specialization of Instance Class]],meta_Columns[[#This Row],[Property Owning Class Name]]&amp;" - ","")</f>
        <v/>
      </c>
      <c r="AR3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50" s="8" t="str">
        <f>IFERROR(LEFT(meta_Columns[[#This Row],[Excel Column - Label Actual without Semantic Case]],FIND("-",
meta_Columns[[#This Row],[Excel Column - Label Actual without Semantic Case]])-2),"")</f>
        <v/>
      </c>
      <c r="AU3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50" s="22"/>
      <c r="AY350" s="8" t="str">
        <f>meta_Columns[[#This Row],[Owning Table]]&amp;"."&amp;meta_Columns[[#This Row],[Excel Column - Label]]</f>
        <v>meta::TypedModelElements.Kind</v>
      </c>
      <c r="AZ350" s="43" t="s">
        <v>5</v>
      </c>
      <c r="BA350" s="44" t="str">
        <f>IF(TRIM(meta_Columns[[#This Row],[Excel Column - Label Overwrite]])&lt;&gt;"",meta_Columns[[#This Row],[Excel Column - Label Overwrite]],meta_Columns[[#This Row],[Excel Column - Label from Property or Referenced Table]])</f>
        <v>Kind</v>
      </c>
      <c r="BB350" s="43"/>
      <c r="BC350" s="44" t="str">
        <f>IF(meta_Columns[[#This Row],[Excel Column - Explicit Excel Formula]]="","",meta_Columns[[#This Row],[Excel Column - Explicit Excel Formula]])</f>
        <v/>
      </c>
      <c r="BD350" s="5" t="s">
        <v>1461</v>
      </c>
      <c r="BE350" s="5"/>
    </row>
    <row r="351" spans="1:57">
      <c r="A351" s="10" t="s">
        <v>1306</v>
      </c>
      <c r="B351" s="5" t="s">
        <v>546</v>
      </c>
      <c r="C351" s="22" t="str">
        <f xml:space="preserve"> IF( TRIM( meta_Columns[[#This Row],[Kind:src]] ) = "", "",
        INDEX( meta_Classifiers[Display Qualified], MATCH( meta_Columns[[#This Row],[Kind:src]], meta_Classifiers[ID], 0 ) ) )</f>
        <v>ExcelColumn</v>
      </c>
      <c r="D351" s="44" t="str">
        <f>IF(meta_Columns[[#This Row],[Owning Table:src]]="","",INDEX(meta_Classifiers[Package],MATCH(meta_Columns[[#This Row],[Owning Table Instances Class]],meta_Classifiers[ID],0)))</f>
        <v>meta</v>
      </c>
      <c r="E351" s="43"/>
      <c r="F351" s="44" t="str">
        <f>INDEX(meta_Tables[Excel Table - Excel Name],MATCH(meta_Columns[[#This Row],[Owning Table:src]],meta_Tables[ID],0))</f>
        <v>meta_TypedModelElements</v>
      </c>
      <c r="G351" s="44" t="str">
        <f>INDEX(meta_Tables[Instances Class:src],MATCH(meta_Columns[[#This Row],[Owning Table:src]],meta_Tables[ID],0))</f>
        <v>_TypedModelElement</v>
      </c>
      <c r="H351" s="11" t="s">
        <v>1011</v>
      </c>
      <c r="I351" s="43" t="str">
        <f xml:space="preserve"> IF( TRIM( meta_Columns[[#This Row],[Owning Table:src]] ) = "", "",
        INDEX( meta_Tables[Display Qualified], MATCH( meta_Columns[[#This Row],[Owning Table:src]], meta_Tables[ID], 0 ) ) )</f>
        <v>meta::TypedModelElements</v>
      </c>
      <c r="K351" s="22" t="str">
        <f>IF(TRIM(meta_Columns[[#This Row],[Referenced Table:src]])="","",
    INDEX(meta_Tables[Display Qualified],MATCH(meta_Columns[[#This Row],[Referenced Table:src]],meta_Tables[ID],0)))</f>
        <v/>
      </c>
      <c r="L351" s="8"/>
      <c r="M351" s="22"/>
      <c r="N351" s="8" t="str">
        <f>IF(meta_Columns[[#This Row],[Excel Column - Excel Formula]]="","x","")</f>
        <v>x</v>
      </c>
      <c r="O351" s="22"/>
      <c r="P351" s="8" t="str">
        <f>IF(meta_Columns[[#This Row],[Referenced Table:src]]="","",INDEX(meta_Tables[Instances Class],MATCH(meta_Columns[[#This Row],[Referenced Table:src]],meta_Tables[ID],0)))</f>
        <v/>
      </c>
      <c r="Q3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1" s="8" t="s">
        <v>248</v>
      </c>
      <c r="S351" s="22" t="str">
        <f xml:space="preserve"> IF( TRIM( meta_Columns[[#This Row],[Property:src]] ) = "", "",
        INDEX( meta_TypedModelElements[Display Qualified], MATCH( meta_Columns[[#This Row],[Property:src]], meta_TypedModelElements[ID], 0 ) ) )</f>
        <v>meta::Object.package</v>
      </c>
      <c r="T351" s="22"/>
      <c r="U351" s="8" t="e">
        <f>INDEX(meta_Classifiers[Class - Generalization:src], MATCH(meta_Columns[[#This Row],[Generalization 5]],meta_Classifiers[ID],0))</f>
        <v>#N/A</v>
      </c>
      <c r="V351" s="8" t="e">
        <f>INDEX(meta_Classifiers[Class - Generalization:src], MATCH(meta_Columns[[#This Row],[Generalization 4]],meta_Classifiers[ID],0))</f>
        <v>#N/A</v>
      </c>
      <c r="W351" s="8" t="e">
        <f>INDEX(meta_Classifiers[Class - Generalization:src], MATCH(meta_Columns[[#This Row],[Generalization 3]],meta_Classifiers[ID],0))</f>
        <v>#N/A</v>
      </c>
      <c r="X351" s="8" t="str">
        <f>INDEX(meta_Classifiers[Class - Generalization:src], MATCH(meta_Columns[[#This Row],[Generalization 2]],meta_Classifiers[ID],0))</f>
        <v/>
      </c>
      <c r="Y351" s="8" t="str">
        <f>INDEX(meta_Classifiers[Class - Generalization:src], MATCH(meta_Columns[[#This Row],[Generalization 1]],meta_Classifiers[ID],0))</f>
        <v>_Object</v>
      </c>
      <c r="Z351" s="8" t="str">
        <f>INDEX(meta_Classifiers[Class - Generalization:src], MATCH(meta_Columns[[#This Row],[Owning Table Instances Class]],meta_Classifiers[ID],0))</f>
        <v>_NamedElement</v>
      </c>
      <c r="AA3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1" s="8" t="b">
        <f>_xlfn.IFNA(
INDEX(meta_Classifiers[Class - Generalization:src],MATCH(
INDEX(meta_Classifiers[Class - Generalization:src],MATCH(meta_Columns[[#This Row],[Property Owning Class]],meta_Classifiers[ID],0)),meta_Classifiers[ID],0))
=meta_Columns[[#This Row],[Owning Table Instances Class]],FALSE)</f>
        <v>0</v>
      </c>
      <c r="AG351" s="8" t="b">
        <f>_xlfn.IFNA(INDEX(meta_Classifiers[Class - Generalization:src],MATCH(meta_Columns[[#This Row],[Property Owning Class]],meta_Classifiers[ID],0))=meta_Columns[[#This Row],[Owning Table Instances Class]],FALSE)</f>
        <v>0</v>
      </c>
      <c r="AH3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1" s="8" t="str">
        <f>INDEX(meta_Classifiers[Name],MATCH(INDEX(meta_TypedModelElements[Property - Owning Class:src],MATCH(meta_Columns[[#This Row],[Property]],meta_TypedModelElements[ID],0)),meta_Classifiers[ID],0))</f>
        <v>Object</v>
      </c>
      <c r="AJ351" s="8" t="str">
        <f>INDEX(meta_TypedModelElements[Property - Owning Class:src],MATCH(meta_Columns[[#This Row],[Property]],meta_TypedModelElements[ID],0))</f>
        <v>_Object</v>
      </c>
      <c r="AK351" s="8" t="str">
        <f>INDEX(meta_TypedModelElements[Kind:src],MATCH(meta_Columns[[#This Row],[Property]],meta_TypedModelElements[ID],0))</f>
        <v>_Attribute</v>
      </c>
      <c r="AL351" s="8" t="str">
        <f>INDEX(meta_TypedModelElements[Name or Type],MATCH(meta_Columns[[#This Row],[Property]],meta_TypedModelElements[ID],0))</f>
        <v>Package</v>
      </c>
      <c r="AM351" s="8" t="str">
        <f>INDEX(meta_TypedModelElements[Property - Changeable],MATCH(meta_Columns[[#This Row],[Property]],meta_TypedModelElements[ID],0))</f>
        <v>x</v>
      </c>
      <c r="AN351" s="43">
        <v>4</v>
      </c>
      <c r="AO351" s="22">
        <v>4</v>
      </c>
      <c r="AP3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51" s="8" t="str">
        <f xml:space="preserve"> IF(meta_Columns[[#This Row],[Property Owning Class is Specialization of Instance Class]],meta_Columns[[#This Row],[Property Owning Class Name]]&amp;" - ","")</f>
        <v/>
      </c>
      <c r="AR3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51" s="8" t="str">
        <f>IFERROR(LEFT(meta_Columns[[#This Row],[Excel Column - Label Actual without Semantic Case]],FIND("-",
meta_Columns[[#This Row],[Excel Column - Label Actual without Semantic Case]])-2),"")</f>
        <v/>
      </c>
      <c r="AU3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51" s="22"/>
      <c r="AY351" s="8" t="str">
        <f>meta_Columns[[#This Row],[Owning Table]]&amp;"."&amp;meta_Columns[[#This Row],[Excel Column - Label]]</f>
        <v>meta::TypedModelElements.Order</v>
      </c>
      <c r="AZ351" s="43" t="s">
        <v>663</v>
      </c>
      <c r="BA351" s="44" t="str">
        <f>IF(TRIM(meta_Columns[[#This Row],[Excel Column - Label Overwrite]])&lt;&gt;"",meta_Columns[[#This Row],[Excel Column - Label Overwrite]],meta_Columns[[#This Row],[Excel Column - Label from Property or Referenced Table]])</f>
        <v>Order</v>
      </c>
      <c r="BB351" s="43"/>
      <c r="BC351" s="44" t="str">
        <f>IF(meta_Columns[[#This Row],[Excel Column - Explicit Excel Formula]]="","",meta_Columns[[#This Row],[Excel Column - Explicit Excel Formula]])</f>
        <v/>
      </c>
      <c r="BD351" s="5"/>
      <c r="BE351" s="5"/>
    </row>
    <row r="352" spans="1:57">
      <c r="A352" s="10" t="s">
        <v>1400</v>
      </c>
      <c r="B352" s="5" t="s">
        <v>546</v>
      </c>
      <c r="C352" s="22" t="str">
        <f xml:space="preserve"> IF( TRIM( meta_Columns[[#This Row],[Kind:src]] ) = "", "",
        INDEX( meta_Classifiers[Display Qualified], MATCH( meta_Columns[[#This Row],[Kind:src]], meta_Classifiers[ID], 0 ) ) )</f>
        <v>ExcelColumn</v>
      </c>
      <c r="D352" s="44" t="str">
        <f>IF(meta_Columns[[#This Row],[Owning Table:src]]="","",INDEX(meta_Classifiers[Package],MATCH(meta_Columns[[#This Row],[Owning Table Instances Class]],meta_Classifiers[ID],0)))</f>
        <v>meta</v>
      </c>
      <c r="E352" s="43"/>
      <c r="F352" s="44" t="str">
        <f>INDEX(meta_Tables[Excel Table - Excel Name],MATCH(meta_Columns[[#This Row],[Owning Table:src]],meta_Tables[ID],0))</f>
        <v>meta_TypedModelElements</v>
      </c>
      <c r="G352" s="44" t="str">
        <f>INDEX(meta_Tables[Instances Class:src],MATCH(meta_Columns[[#This Row],[Owning Table:src]],meta_Tables[ID],0))</f>
        <v>_TypedModelElement</v>
      </c>
      <c r="H352" s="11" t="s">
        <v>1011</v>
      </c>
      <c r="I352" s="43" t="str">
        <f xml:space="preserve"> IF( TRIM( meta_Columns[[#This Row],[Owning Table:src]] ) = "", "",
        INDEX( meta_Tables[Display Qualified], MATCH( meta_Columns[[#This Row],[Owning Table:src]], meta_Tables[ID], 0 ) ) )</f>
        <v>meta::TypedModelElements</v>
      </c>
      <c r="K352" s="22" t="str">
        <f>IF(TRIM(meta_Columns[[#This Row],[Referenced Table:src]])="","",
    INDEX(meta_Tables[Display Qualified],MATCH(meta_Columns[[#This Row],[Referenced Table:src]],meta_Tables[ID],0)))</f>
        <v/>
      </c>
      <c r="L352" s="8"/>
      <c r="M352" s="22"/>
      <c r="N352" s="8" t="str">
        <f>IF(meta_Columns[[#This Row],[Excel Column - Excel Formula]]="","x","")</f>
        <v>x</v>
      </c>
      <c r="O352" s="22"/>
      <c r="P352" s="8" t="str">
        <f>IF(meta_Columns[[#This Row],[Referenced Table:src]]="","",INDEX(meta_Tables[Instances Class],MATCH(meta_Columns[[#This Row],[Referenced Table:src]],meta_Tables[ID],0)))</f>
        <v/>
      </c>
      <c r="Q3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meta::TypedModelElement.package</v>
      </c>
      <c r="R352" s="8"/>
      <c r="S352" s="22" t="str">
        <f xml:space="preserve"> IF( TRIM( meta_Columns[[#This Row],[Property:src]] ) = "", "",
        INDEX( meta_TypedModelElements[Display Qualified], MATCH( meta_Columns[[#This Row],[Property:src]], meta_TypedModelElements[ID], 0 ) ) )</f>
        <v/>
      </c>
      <c r="T352" s="22"/>
      <c r="U352" s="8" t="e">
        <f>INDEX(meta_Classifiers[Class - Generalization:src], MATCH(meta_Columns[[#This Row],[Generalization 5]],meta_Classifiers[ID],0))</f>
        <v>#N/A</v>
      </c>
      <c r="V352" s="8" t="e">
        <f>INDEX(meta_Classifiers[Class - Generalization:src], MATCH(meta_Columns[[#This Row],[Generalization 4]],meta_Classifiers[ID],0))</f>
        <v>#N/A</v>
      </c>
      <c r="W352" s="8" t="e">
        <f>INDEX(meta_Classifiers[Class - Generalization:src], MATCH(meta_Columns[[#This Row],[Generalization 3]],meta_Classifiers[ID],0))</f>
        <v>#N/A</v>
      </c>
      <c r="X352" s="8" t="str">
        <f>INDEX(meta_Classifiers[Class - Generalization:src], MATCH(meta_Columns[[#This Row],[Generalization 2]],meta_Classifiers[ID],0))</f>
        <v/>
      </c>
      <c r="Y352" s="8" t="str">
        <f>INDEX(meta_Classifiers[Class - Generalization:src], MATCH(meta_Columns[[#This Row],[Generalization 1]],meta_Classifiers[ID],0))</f>
        <v>_Object</v>
      </c>
      <c r="Z352" s="8" t="str">
        <f>INDEX(meta_Classifiers[Class - Generalization:src], MATCH(meta_Columns[[#This Row],[Owning Table Instances Class]],meta_Classifiers[ID],0))</f>
        <v>_NamedElement</v>
      </c>
      <c r="AA3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2" s="8" t="b">
        <f>_xlfn.IFNA(
INDEX(meta_Classifiers[Class - Generalization:src],MATCH(
INDEX(meta_Classifiers[Class - Generalization:src],MATCH(meta_Columns[[#This Row],[Property Owning Class]],meta_Classifiers[ID],0)),meta_Classifiers[ID],0))
=meta_Columns[[#This Row],[Owning Table Instances Class]],FALSE)</f>
        <v>0</v>
      </c>
      <c r="AG352" s="8" t="b">
        <f>_xlfn.IFNA(INDEX(meta_Classifiers[Class - Generalization:src],MATCH(meta_Columns[[#This Row],[Property Owning Class]],meta_Classifiers[ID],0))=meta_Columns[[#This Row],[Owning Table Instances Class]],FALSE)</f>
        <v>0</v>
      </c>
      <c r="AH3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2" s="8" t="e">
        <f>INDEX(meta_Classifiers[Name],MATCH(INDEX(meta_TypedModelElements[Property - Owning Class:src],MATCH(meta_Columns[[#This Row],[Property]],meta_TypedModelElements[ID],0)),meta_Classifiers[ID],0))</f>
        <v>#N/A</v>
      </c>
      <c r="AJ352" s="8" t="e">
        <f>INDEX(meta_TypedModelElements[Property - Owning Class:src],MATCH(meta_Columns[[#This Row],[Property]],meta_TypedModelElements[ID],0))</f>
        <v>#N/A</v>
      </c>
      <c r="AK352" s="8" t="e">
        <f>INDEX(meta_TypedModelElements[Kind:src],MATCH(meta_Columns[[#This Row],[Property]],meta_TypedModelElements[ID],0))</f>
        <v>#N/A</v>
      </c>
      <c r="AL352" s="8" t="e">
        <f>INDEX(meta_TypedModelElements[Name or Type],MATCH(meta_Columns[[#This Row],[Property]],meta_TypedModelElements[ID],0))</f>
        <v>#N/A</v>
      </c>
      <c r="AM352" s="8" t="e">
        <f>INDEX(meta_TypedModelElements[Property - Changeable],MATCH(meta_Columns[[#This Row],[Property]],meta_TypedModelElements[ID],0))</f>
        <v>#N/A</v>
      </c>
      <c r="AN352" s="43">
        <v>5</v>
      </c>
      <c r="AO352" s="22">
        <v>5</v>
      </c>
      <c r="AP3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2" s="8" t="str">
        <f xml:space="preserve"> IF(meta_Columns[[#This Row],[Property Owning Class is Specialization of Instance Class]],meta_Columns[[#This Row],[Property Owning Class Name]]&amp;" - ","")</f>
        <v/>
      </c>
      <c r="AR3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52" s="8" t="str">
        <f>IFERROR(LEFT(meta_Columns[[#This Row],[Excel Column - Label Actual without Semantic Case]],FIND("-",
meta_Columns[[#This Row],[Excel Column - Label Actual without Semantic Case]])-2),"")</f>
        <v/>
      </c>
      <c r="AU3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52" s="22"/>
      <c r="AY352" s="8" t="str">
        <f>meta_Columns[[#This Row],[Owning Table]]&amp;"."&amp;meta_Columns[[#This Row],[Excel Column - Label]]</f>
        <v>meta::TypedModelElements.Package</v>
      </c>
      <c r="AZ352" s="43" t="s">
        <v>120</v>
      </c>
      <c r="BA352" s="44" t="str">
        <f>IF(TRIM(meta_Columns[[#This Row],[Excel Column - Label Overwrite]])&lt;&gt;"",meta_Columns[[#This Row],[Excel Column - Label Overwrite]],meta_Columns[[#This Row],[Excel Column - Label from Property or Referenced Table]])</f>
        <v>Package</v>
      </c>
      <c r="BB352" s="43"/>
      <c r="BC352" s="44" t="str">
        <f>IF(meta_Columns[[#This Row],[Excel Column - Explicit Excel Formula]]="","",meta_Columns[[#This Row],[Excel Column - Explicit Excel Formula]])</f>
        <v/>
      </c>
      <c r="BD352" s="5"/>
      <c r="BE352" s="5"/>
    </row>
    <row r="353" spans="1:57">
      <c r="A353" s="10" t="s">
        <v>1307</v>
      </c>
      <c r="B353" s="5" t="s">
        <v>546</v>
      </c>
      <c r="C353" s="22" t="str">
        <f xml:space="preserve"> IF( TRIM( meta_Columns[[#This Row],[Kind:src]] ) = "", "",
        INDEX( meta_Classifiers[Display Qualified], MATCH( meta_Columns[[#This Row],[Kind:src]], meta_Classifiers[ID], 0 ) ) )</f>
        <v>ExcelColumn</v>
      </c>
      <c r="D353" s="44" t="str">
        <f>IF(meta_Columns[[#This Row],[Owning Table:src]]="","",INDEX(meta_Classifiers[Package],MATCH(meta_Columns[[#This Row],[Owning Table Instances Class]],meta_Classifiers[ID],0)))</f>
        <v>meta</v>
      </c>
      <c r="E353" s="43"/>
      <c r="F353" s="44" t="str">
        <f>INDEX(meta_Tables[Excel Table - Excel Name],MATCH(meta_Columns[[#This Row],[Owning Table:src]],meta_Tables[ID],0))</f>
        <v>meta_TypedModelElements</v>
      </c>
      <c r="G353" s="44" t="str">
        <f>INDEX(meta_Tables[Instances Class:src],MATCH(meta_Columns[[#This Row],[Owning Table:src]],meta_Tables[ID],0))</f>
        <v>_TypedModelElement</v>
      </c>
      <c r="H353" s="11" t="s">
        <v>1011</v>
      </c>
      <c r="I353" s="43" t="str">
        <f xml:space="preserve"> IF( TRIM( meta_Columns[[#This Row],[Owning Table:src]] ) = "", "",
        INDEX( meta_Tables[Display Qualified], MATCH( meta_Columns[[#This Row],[Owning Table:src]], meta_Tables[ID], 0 ) ) )</f>
        <v>meta::TypedModelElements</v>
      </c>
      <c r="K353" s="22" t="str">
        <f>IF(TRIM(meta_Columns[[#This Row],[Referenced Table:src]])="","",
    INDEX(meta_Tables[Display Qualified],MATCH(meta_Columns[[#This Row],[Referenced Table:src]],meta_Tables[ID],0)))</f>
        <v/>
      </c>
      <c r="L353" s="8"/>
      <c r="M353" s="22"/>
      <c r="N353" s="8" t="str">
        <f>IF(meta_Columns[[#This Row],[Excel Column - Excel Formula]]="","x","")</f>
        <v>x</v>
      </c>
      <c r="O353" s="22"/>
      <c r="P353" s="8" t="str">
        <f>IF(meta_Columns[[#This Row],[Referenced Table:src]]="","",INDEX(meta_Tables[Instances Class],MATCH(meta_Columns[[#This Row],[Referenced Table:src]],meta_Tables[ID],0)))</f>
        <v/>
      </c>
      <c r="Q3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3" s="8" t="s">
        <v>460</v>
      </c>
      <c r="S353" s="22" t="str">
        <f xml:space="preserve"> IF( TRIM( meta_Columns[[#This Row],[Property:src]] ) = "", "",
        INDEX( meta_TypedModelElements[Display Qualified], MATCH( meta_Columns[[#This Row],[Property:src]], meta_TypedModelElements[ID], 0 ) ) )</f>
        <v>meta::Object.subPackage</v>
      </c>
      <c r="T353" s="22" t="s">
        <v>42</v>
      </c>
      <c r="U353" s="8" t="e">
        <f>INDEX(meta_Classifiers[Class - Generalization:src], MATCH(meta_Columns[[#This Row],[Generalization 5]],meta_Classifiers[ID],0))</f>
        <v>#N/A</v>
      </c>
      <c r="V353" s="8" t="e">
        <f>INDEX(meta_Classifiers[Class - Generalization:src], MATCH(meta_Columns[[#This Row],[Generalization 4]],meta_Classifiers[ID],0))</f>
        <v>#N/A</v>
      </c>
      <c r="W353" s="8" t="e">
        <f>INDEX(meta_Classifiers[Class - Generalization:src], MATCH(meta_Columns[[#This Row],[Generalization 3]],meta_Classifiers[ID],0))</f>
        <v>#N/A</v>
      </c>
      <c r="X353" s="8" t="str">
        <f>INDEX(meta_Classifiers[Class - Generalization:src], MATCH(meta_Columns[[#This Row],[Generalization 2]],meta_Classifiers[ID],0))</f>
        <v/>
      </c>
      <c r="Y353" s="8" t="str">
        <f>INDEX(meta_Classifiers[Class - Generalization:src], MATCH(meta_Columns[[#This Row],[Generalization 1]],meta_Classifiers[ID],0))</f>
        <v>_Object</v>
      </c>
      <c r="Z353" s="8" t="str">
        <f>INDEX(meta_Classifiers[Class - Generalization:src], MATCH(meta_Columns[[#This Row],[Owning Table Instances Class]],meta_Classifiers[ID],0))</f>
        <v>_NamedElement</v>
      </c>
      <c r="AA3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3" s="8" t="b">
        <f>_xlfn.IFNA(
INDEX(meta_Classifiers[Class - Generalization:src],MATCH(
INDEX(meta_Classifiers[Class - Generalization:src],MATCH(meta_Columns[[#This Row],[Property Owning Class]],meta_Classifiers[ID],0)),meta_Classifiers[ID],0))
=meta_Columns[[#This Row],[Owning Table Instances Class]],FALSE)</f>
        <v>0</v>
      </c>
      <c r="AG353" s="8" t="b">
        <f>_xlfn.IFNA(INDEX(meta_Classifiers[Class - Generalization:src],MATCH(meta_Columns[[#This Row],[Property Owning Class]],meta_Classifiers[ID],0))=meta_Columns[[#This Row],[Owning Table Instances Class]],FALSE)</f>
        <v>0</v>
      </c>
      <c r="AH3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3" s="8" t="str">
        <f>INDEX(meta_Classifiers[Name],MATCH(INDEX(meta_TypedModelElements[Property - Owning Class:src],MATCH(meta_Columns[[#This Row],[Property]],meta_TypedModelElements[ID],0)),meta_Classifiers[ID],0))</f>
        <v>Object</v>
      </c>
      <c r="AJ353" s="8" t="str">
        <f>INDEX(meta_TypedModelElements[Property - Owning Class:src],MATCH(meta_Columns[[#This Row],[Property]],meta_TypedModelElements[ID],0))</f>
        <v>_Object</v>
      </c>
      <c r="AK353" s="8" t="str">
        <f>INDEX(meta_TypedModelElements[Kind:src],MATCH(meta_Columns[[#This Row],[Property]],meta_TypedModelElements[ID],0))</f>
        <v>_Attribute</v>
      </c>
      <c r="AL353" s="8" t="str">
        <f>INDEX(meta_TypedModelElements[Name or Type],MATCH(meta_Columns[[#This Row],[Property]],meta_TypedModelElements[ID],0))</f>
        <v>Sub Package</v>
      </c>
      <c r="AM353" s="8" t="str">
        <f>INDEX(meta_TypedModelElements[Property - Changeable],MATCH(meta_Columns[[#This Row],[Property]],meta_TypedModelElements[ID],0))</f>
        <v>x</v>
      </c>
      <c r="AN353" s="43">
        <v>6</v>
      </c>
      <c r="AO353" s="22">
        <v>6</v>
      </c>
      <c r="AP3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53" s="8" t="str">
        <f xml:space="preserve"> IF(meta_Columns[[#This Row],[Property Owning Class is Specialization of Instance Class]],meta_Columns[[#This Row],[Property Owning Class Name]]&amp;" - ","")</f>
        <v/>
      </c>
      <c r="AR3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53" s="8" t="str">
        <f>IFERROR(LEFT(meta_Columns[[#This Row],[Excel Column - Label Actual without Semantic Case]],FIND("-",
meta_Columns[[#This Row],[Excel Column - Label Actual without Semantic Case]])-2),"")</f>
        <v/>
      </c>
      <c r="AU3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53" s="22"/>
      <c r="AY353" s="8" t="str">
        <f>meta_Columns[[#This Row],[Owning Table]]&amp;"."&amp;meta_Columns[[#This Row],[Excel Column - Label]]</f>
        <v>meta::TypedModelElements.Sub Package</v>
      </c>
      <c r="AZ353" s="43" t="s">
        <v>461</v>
      </c>
      <c r="BA353" s="44" t="str">
        <f>IF(TRIM(meta_Columns[[#This Row],[Excel Column - Label Overwrite]])&lt;&gt;"",meta_Columns[[#This Row],[Excel Column - Label Overwrite]],meta_Columns[[#This Row],[Excel Column - Label from Property or Referenced Table]])</f>
        <v>Sub Package</v>
      </c>
      <c r="BB353" s="43"/>
      <c r="BC353" s="44" t="str">
        <f>IF(meta_Columns[[#This Row],[Excel Column - Explicit Excel Formula]]="","",meta_Columns[[#This Row],[Excel Column - Explicit Excel Formula]])</f>
        <v/>
      </c>
      <c r="BD353" s="5"/>
      <c r="BE353" s="5"/>
    </row>
    <row r="354" spans="1:57">
      <c r="A354" s="10" t="s">
        <v>1401</v>
      </c>
      <c r="B354" s="5" t="s">
        <v>546</v>
      </c>
      <c r="C354" s="22" t="str">
        <f xml:space="preserve"> IF( TRIM( meta_Columns[[#This Row],[Kind:src]] ) = "", "",
        INDEX( meta_Classifiers[Display Qualified], MATCH( meta_Columns[[#This Row],[Kind:src]], meta_Classifiers[ID], 0 ) ) )</f>
        <v>ExcelColumn</v>
      </c>
      <c r="D354" s="44" t="str">
        <f>IF(meta_Columns[[#This Row],[Owning Table:src]]="","",INDEX(meta_Classifiers[Package],MATCH(meta_Columns[[#This Row],[Owning Table Instances Class]],meta_Classifiers[ID],0)))</f>
        <v>meta</v>
      </c>
      <c r="E354" s="43"/>
      <c r="F354" s="44" t="str">
        <f>INDEX(meta_Tables[Excel Table - Excel Name],MATCH(meta_Columns[[#This Row],[Owning Table:src]],meta_Tables[ID],0))</f>
        <v>meta_TypedModelElements</v>
      </c>
      <c r="G354" s="44" t="str">
        <f>INDEX(meta_Tables[Instances Class:src],MATCH(meta_Columns[[#This Row],[Owning Table:src]],meta_Tables[ID],0))</f>
        <v>_TypedModelElement</v>
      </c>
      <c r="H354" s="11" t="s">
        <v>1011</v>
      </c>
      <c r="I354" s="43" t="str">
        <f xml:space="preserve"> IF( TRIM( meta_Columns[[#This Row],[Owning Table:src]] ) = "", "",
        INDEX( meta_Tables[Display Qualified], MATCH( meta_Columns[[#This Row],[Owning Table:src]], meta_Tables[ID], 0 ) ) )</f>
        <v>meta::TypedModelElements</v>
      </c>
      <c r="K354" s="22" t="str">
        <f>IF(TRIM(meta_Columns[[#This Row],[Referenced Table:src]])="","",
    INDEX(meta_Tables[Display Qualified],MATCH(meta_Columns[[#This Row],[Referenced Table:src]],meta_Tables[ID],0)))</f>
        <v/>
      </c>
      <c r="L354" s="8"/>
      <c r="M354" s="22"/>
      <c r="N354" s="8" t="str">
        <f>IF(meta_Columns[[#This Row],[Excel Column - Excel Formula]]="","x","")</f>
        <v/>
      </c>
      <c r="O354" s="22"/>
      <c r="P354" s="8" t="str">
        <f>IF(meta_Columns[[#This Row],[Referenced Table:src]]="","",INDEX(meta_Tables[Instances Class],MATCH(meta_Columns[[#This Row],[Referenced Table:src]],meta_Tables[ID],0)))</f>
        <v/>
      </c>
      <c r="Q3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4" s="8"/>
      <c r="S354" s="22" t="str">
        <f xml:space="preserve"> IF( TRIM( meta_Columns[[#This Row],[Property:src]] ) = "", "",
        INDEX( meta_TypedModelElements[Display Qualified], MATCH( meta_Columns[[#This Row],[Property:src]], meta_TypedModelElements[ID], 0 ) ) )</f>
        <v/>
      </c>
      <c r="T354" s="22"/>
      <c r="U354" s="8" t="e">
        <f>INDEX(meta_Classifiers[Class - Generalization:src], MATCH(meta_Columns[[#This Row],[Generalization 5]],meta_Classifiers[ID],0))</f>
        <v>#N/A</v>
      </c>
      <c r="V354" s="8" t="e">
        <f>INDEX(meta_Classifiers[Class - Generalization:src], MATCH(meta_Columns[[#This Row],[Generalization 4]],meta_Classifiers[ID],0))</f>
        <v>#N/A</v>
      </c>
      <c r="W354" s="8" t="e">
        <f>INDEX(meta_Classifiers[Class - Generalization:src], MATCH(meta_Columns[[#This Row],[Generalization 3]],meta_Classifiers[ID],0))</f>
        <v>#N/A</v>
      </c>
      <c r="X354" s="8" t="str">
        <f>INDEX(meta_Classifiers[Class - Generalization:src], MATCH(meta_Columns[[#This Row],[Generalization 2]],meta_Classifiers[ID],0))</f>
        <v/>
      </c>
      <c r="Y354" s="8" t="str">
        <f>INDEX(meta_Classifiers[Class - Generalization:src], MATCH(meta_Columns[[#This Row],[Generalization 1]],meta_Classifiers[ID],0))</f>
        <v>_Object</v>
      </c>
      <c r="Z354" s="8" t="str">
        <f>INDEX(meta_Classifiers[Class - Generalization:src], MATCH(meta_Columns[[#This Row],[Owning Table Instances Class]],meta_Classifiers[ID],0))</f>
        <v>_NamedElement</v>
      </c>
      <c r="AA3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4" s="8" t="b">
        <f>_xlfn.IFNA(
INDEX(meta_Classifiers[Class - Generalization:src],MATCH(
INDEX(meta_Classifiers[Class - Generalization:src],MATCH(meta_Columns[[#This Row],[Property Owning Class]],meta_Classifiers[ID],0)),meta_Classifiers[ID],0))
=meta_Columns[[#This Row],[Owning Table Instances Class]],FALSE)</f>
        <v>0</v>
      </c>
      <c r="AG354" s="8" t="b">
        <f>_xlfn.IFNA(INDEX(meta_Classifiers[Class - Generalization:src],MATCH(meta_Columns[[#This Row],[Property Owning Class]],meta_Classifiers[ID],0))=meta_Columns[[#This Row],[Owning Table Instances Class]],FALSE)</f>
        <v>0</v>
      </c>
      <c r="AH3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4" s="8" t="e">
        <f>INDEX(meta_Classifiers[Name],MATCH(INDEX(meta_TypedModelElements[Property - Owning Class:src],MATCH(meta_Columns[[#This Row],[Property]],meta_TypedModelElements[ID],0)),meta_Classifiers[ID],0))</f>
        <v>#N/A</v>
      </c>
      <c r="AJ354" s="8" t="e">
        <f>INDEX(meta_TypedModelElements[Property - Owning Class:src],MATCH(meta_Columns[[#This Row],[Property]],meta_TypedModelElements[ID],0))</f>
        <v>#N/A</v>
      </c>
      <c r="AK354" s="8" t="e">
        <f>INDEX(meta_TypedModelElements[Kind:src],MATCH(meta_Columns[[#This Row],[Property]],meta_TypedModelElements[ID],0))</f>
        <v>#N/A</v>
      </c>
      <c r="AL354" s="8" t="e">
        <f>INDEX(meta_TypedModelElements[Name or Type],MATCH(meta_Columns[[#This Row],[Property]],meta_TypedModelElements[ID],0))</f>
        <v>#N/A</v>
      </c>
      <c r="AM354" s="8" t="e">
        <f>INDEX(meta_TypedModelElements[Property - Changeable],MATCH(meta_Columns[[#This Row],[Property]],meta_TypedModelElements[ID],0))</f>
        <v>#N/A</v>
      </c>
      <c r="AN354" s="43">
        <v>7</v>
      </c>
      <c r="AO354" s="22"/>
      <c r="AP3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4" s="8" t="str">
        <f xml:space="preserve"> IF(meta_Columns[[#This Row],[Property Owning Class is Specialization of Instance Class]],meta_Columns[[#This Row],[Property Owning Class Name]]&amp;" - ","")</f>
        <v/>
      </c>
      <c r="AR3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4" s="8" t="str">
        <f>IFERROR(LEFT(meta_Columns[[#This Row],[Excel Column - Label Actual without Semantic Case]],FIND("-",
meta_Columns[[#This Row],[Excel Column - Label Actual without Semantic Case]])-2),"")</f>
        <v/>
      </c>
      <c r="AU3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v>
      </c>
      <c r="AX354" s="22"/>
      <c r="AY354" s="8" t="str">
        <f>meta_Columns[[#This Row],[Owning Table]]&amp;"."&amp;meta_Columns[[#This Row],[Excel Column - Label]]</f>
        <v>meta::TypedModelElements.Containing Class</v>
      </c>
      <c r="AZ354" s="43" t="s">
        <v>365</v>
      </c>
      <c r="BA354" s="44" t="str">
        <f>IF(TRIM(meta_Columns[[#This Row],[Excel Column - Label Overwrite]])&lt;&gt;"",meta_Columns[[#This Row],[Excel Column - Label Overwrite]],meta_Columns[[#This Row],[Excel Column - Label from Property or Referenced Table]])</f>
        <v>Containing Class</v>
      </c>
      <c r="BB354" s="43" t="s">
        <v>1402</v>
      </c>
      <c r="BC354" s="44" t="str">
        <f>IF(meta_Columns[[#This Row],[Excel Column - Explicit Excel Formula]]="","",meta_Columns[[#This Row],[Excel Column - Explicit Excel Formula]])</f>
        <v>Formula:=IF([@Kind]="Function",
INDEX([Property - Owning Class:srcLastSaved],MATCH([@[Function - Owning Property:src]],[ID],0)),
IF([@Kind]="Parameter", INDEX([Containing Class],MATCH([@[Parameter - Owning Function:src]],[ID],0)),
[@[Property - Owning Class:src]]))</v>
      </c>
      <c r="BD354" s="5"/>
      <c r="BE354" s="5"/>
    </row>
    <row r="355" spans="1:57">
      <c r="A355" s="10" t="s">
        <v>1403</v>
      </c>
      <c r="B355" s="5" t="s">
        <v>546</v>
      </c>
      <c r="C355" s="22" t="str">
        <f xml:space="preserve"> IF( TRIM( meta_Columns[[#This Row],[Kind:src]] ) = "", "",
        INDEX( meta_Classifiers[Display Qualified], MATCH( meta_Columns[[#This Row],[Kind:src]], meta_Classifiers[ID], 0 ) ) )</f>
        <v>ExcelColumn</v>
      </c>
      <c r="D355" s="44" t="str">
        <f>IF(meta_Columns[[#This Row],[Owning Table:src]]="","",INDEX(meta_Classifiers[Package],MATCH(meta_Columns[[#This Row],[Owning Table Instances Class]],meta_Classifiers[ID],0)))</f>
        <v>meta</v>
      </c>
      <c r="E355" s="43"/>
      <c r="F355" s="44" t="str">
        <f>INDEX(meta_Tables[Excel Table - Excel Name],MATCH(meta_Columns[[#This Row],[Owning Table:src]],meta_Tables[ID],0))</f>
        <v>meta_TypedModelElements</v>
      </c>
      <c r="G355" s="44" t="str">
        <f>INDEX(meta_Tables[Instances Class:src],MATCH(meta_Columns[[#This Row],[Owning Table:src]],meta_Tables[ID],0))</f>
        <v>_TypedModelElement</v>
      </c>
      <c r="H355" s="11" t="s">
        <v>1011</v>
      </c>
      <c r="I355" s="43" t="str">
        <f xml:space="preserve"> IF( TRIM( meta_Columns[[#This Row],[Owning Table:src]] ) = "", "",
        INDEX( meta_Tables[Display Qualified], MATCH( meta_Columns[[#This Row],[Owning Table:src]], meta_Tables[ID], 0 ) ) )</f>
        <v>meta::TypedModelElements</v>
      </c>
      <c r="K355" s="22" t="str">
        <f>IF(TRIM(meta_Columns[[#This Row],[Referenced Table:src]])="","",
    INDEX(meta_Tables[Display Qualified],MATCH(meta_Columns[[#This Row],[Referenced Table:src]],meta_Tables[ID],0)))</f>
        <v/>
      </c>
      <c r="L355" s="8"/>
      <c r="M355" s="22"/>
      <c r="N355" s="8" t="str">
        <f>IF(meta_Columns[[#This Row],[Excel Column - Excel Formula]]="","x","")</f>
        <v/>
      </c>
      <c r="O355" s="22"/>
      <c r="P355" s="8" t="str">
        <f>IF(meta_Columns[[#This Row],[Referenced Table:src]]="","",INDEX(meta_Tables[Instances Class],MATCH(meta_Columns[[#This Row],[Referenced Table:src]],meta_Tables[ID],0)))</f>
        <v/>
      </c>
      <c r="Q3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5" s="8"/>
      <c r="S355" s="22" t="str">
        <f xml:space="preserve"> IF( TRIM( meta_Columns[[#This Row],[Property:src]] ) = "", "",
        INDEX( meta_TypedModelElements[Display Qualified], MATCH( meta_Columns[[#This Row],[Property:src]], meta_TypedModelElements[ID], 0 ) ) )</f>
        <v/>
      </c>
      <c r="T355" s="22"/>
      <c r="U355" s="8" t="e">
        <f>INDEX(meta_Classifiers[Class - Generalization:src], MATCH(meta_Columns[[#This Row],[Generalization 5]],meta_Classifiers[ID],0))</f>
        <v>#N/A</v>
      </c>
      <c r="V355" s="8" t="e">
        <f>INDEX(meta_Classifiers[Class - Generalization:src], MATCH(meta_Columns[[#This Row],[Generalization 4]],meta_Classifiers[ID],0))</f>
        <v>#N/A</v>
      </c>
      <c r="W355" s="8" t="e">
        <f>INDEX(meta_Classifiers[Class - Generalization:src], MATCH(meta_Columns[[#This Row],[Generalization 3]],meta_Classifiers[ID],0))</f>
        <v>#N/A</v>
      </c>
      <c r="X355" s="8" t="str">
        <f>INDEX(meta_Classifiers[Class - Generalization:src], MATCH(meta_Columns[[#This Row],[Generalization 2]],meta_Classifiers[ID],0))</f>
        <v/>
      </c>
      <c r="Y355" s="8" t="str">
        <f>INDEX(meta_Classifiers[Class - Generalization:src], MATCH(meta_Columns[[#This Row],[Generalization 1]],meta_Classifiers[ID],0))</f>
        <v>_Object</v>
      </c>
      <c r="Z355" s="8" t="str">
        <f>INDEX(meta_Classifiers[Class - Generalization:src], MATCH(meta_Columns[[#This Row],[Owning Table Instances Class]],meta_Classifiers[ID],0))</f>
        <v>_NamedElement</v>
      </c>
      <c r="AA3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5" s="8" t="b">
        <f>_xlfn.IFNA(
INDEX(meta_Classifiers[Class - Generalization:src],MATCH(
INDEX(meta_Classifiers[Class - Generalization:src],MATCH(meta_Columns[[#This Row],[Property Owning Class]],meta_Classifiers[ID],0)),meta_Classifiers[ID],0))
=meta_Columns[[#This Row],[Owning Table Instances Class]],FALSE)</f>
        <v>0</v>
      </c>
      <c r="AG355" s="8" t="b">
        <f>_xlfn.IFNA(INDEX(meta_Classifiers[Class - Generalization:src],MATCH(meta_Columns[[#This Row],[Property Owning Class]],meta_Classifiers[ID],0))=meta_Columns[[#This Row],[Owning Table Instances Class]],FALSE)</f>
        <v>0</v>
      </c>
      <c r="AH3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5" s="8" t="e">
        <f>INDEX(meta_Classifiers[Name],MATCH(INDEX(meta_TypedModelElements[Property - Owning Class:src],MATCH(meta_Columns[[#This Row],[Property]],meta_TypedModelElements[ID],0)),meta_Classifiers[ID],0))</f>
        <v>#N/A</v>
      </c>
      <c r="AJ355" s="8" t="e">
        <f>INDEX(meta_TypedModelElements[Property - Owning Class:src],MATCH(meta_Columns[[#This Row],[Property]],meta_TypedModelElements[ID],0))</f>
        <v>#N/A</v>
      </c>
      <c r="AK355" s="8" t="e">
        <f>INDEX(meta_TypedModelElements[Kind:src],MATCH(meta_Columns[[#This Row],[Property]],meta_TypedModelElements[ID],0))</f>
        <v>#N/A</v>
      </c>
      <c r="AL355" s="8" t="e">
        <f>INDEX(meta_TypedModelElements[Name or Type],MATCH(meta_Columns[[#This Row],[Property]],meta_TypedModelElements[ID],0))</f>
        <v>#N/A</v>
      </c>
      <c r="AM355" s="8" t="e">
        <f>INDEX(meta_TypedModelElements[Property - Changeable],MATCH(meta_Columns[[#This Row],[Property]],meta_TypedModelElements[ID],0))</f>
        <v>#N/A</v>
      </c>
      <c r="AN355" s="43">
        <v>8</v>
      </c>
      <c r="AO355" s="22"/>
      <c r="AP3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5" s="8" t="str">
        <f xml:space="preserve"> IF(meta_Columns[[#This Row],[Property Owning Class is Specialization of Instance Class]],meta_Columns[[#This Row],[Property Owning Class Name]]&amp;" - ","")</f>
        <v/>
      </c>
      <c r="AR3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5" s="8" t="str">
        <f>IFERROR(LEFT(meta_Columns[[#This Row],[Excel Column - Label Actual without Semantic Case]],FIND("-",
meta_Columns[[#This Row],[Excel Column - Label Actual without Semantic Case]])-2),"")</f>
        <v/>
      </c>
      <c r="AU3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Class:display</v>
      </c>
      <c r="AX355" s="22"/>
      <c r="AY355" s="8" t="str">
        <f>meta_Columns[[#This Row],[Owning Table]]&amp;"."&amp;meta_Columns[[#This Row],[Excel Column - Label]]</f>
        <v>meta::TypedModelElements.Containing Class:display</v>
      </c>
      <c r="AZ355" s="43" t="s">
        <v>441</v>
      </c>
      <c r="BA355" s="44" t="str">
        <f>IF(TRIM(meta_Columns[[#This Row],[Excel Column - Label Overwrite]])&lt;&gt;"",meta_Columns[[#This Row],[Excel Column - Label Overwrite]],meta_Columns[[#This Row],[Excel Column - Label from Property or Referenced Table]])</f>
        <v>Containing Class:display</v>
      </c>
      <c r="BB355" s="43" t="s">
        <v>874</v>
      </c>
      <c r="BC355" s="44" t="str">
        <f>IF(meta_Columns[[#This Row],[Excel Column - Explicit Excel Formula]]="","",meta_Columns[[#This Row],[Excel Column - Explicit Excel Formula]])</f>
        <v>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v>
      </c>
      <c r="BD355" s="5"/>
      <c r="BE355" s="5"/>
    </row>
    <row r="356" spans="1:57">
      <c r="A356" s="10" t="s">
        <v>1404</v>
      </c>
      <c r="B356" s="5" t="s">
        <v>546</v>
      </c>
      <c r="C356" s="22" t="str">
        <f xml:space="preserve"> IF( TRIM( meta_Columns[[#This Row],[Kind:src]] ) = "", "",
        INDEX( meta_Classifiers[Display Qualified], MATCH( meta_Columns[[#This Row],[Kind:src]], meta_Classifiers[ID], 0 ) ) )</f>
        <v>ExcelColumn</v>
      </c>
      <c r="D356" s="44" t="str">
        <f>IF(meta_Columns[[#This Row],[Owning Table:src]]="","",INDEX(meta_Classifiers[Package],MATCH(meta_Columns[[#This Row],[Owning Table Instances Class]],meta_Classifiers[ID],0)))</f>
        <v>meta</v>
      </c>
      <c r="E356" s="43"/>
      <c r="F356" s="44" t="str">
        <f>INDEX(meta_Tables[Excel Table - Excel Name],MATCH(meta_Columns[[#This Row],[Owning Table:src]],meta_Tables[ID],0))</f>
        <v>meta_TypedModelElements</v>
      </c>
      <c r="G356" s="44" t="str">
        <f>INDEX(meta_Tables[Instances Class:src],MATCH(meta_Columns[[#This Row],[Owning Table:src]],meta_Tables[ID],0))</f>
        <v>_TypedModelElement</v>
      </c>
      <c r="H356" s="11" t="s">
        <v>1011</v>
      </c>
      <c r="I356" s="43" t="str">
        <f xml:space="preserve"> IF( TRIM( meta_Columns[[#This Row],[Owning Table:src]] ) = "", "",
        INDEX( meta_Tables[Display Qualified], MATCH( meta_Columns[[#This Row],[Owning Table:src]], meta_Tables[ID], 0 ) ) )</f>
        <v>meta::TypedModelElements</v>
      </c>
      <c r="K356" s="22" t="str">
        <f>IF(TRIM(meta_Columns[[#This Row],[Referenced Table:src]])="","",
    INDEX(meta_Tables[Display Qualified],MATCH(meta_Columns[[#This Row],[Referenced Table:src]],meta_Tables[ID],0)))</f>
        <v/>
      </c>
      <c r="L356" s="8"/>
      <c r="M356" s="22"/>
      <c r="N356" s="8" t="str">
        <f>IF(meta_Columns[[#This Row],[Excel Column - Excel Formula]]="","x","")</f>
        <v/>
      </c>
      <c r="O356" s="22"/>
      <c r="P356" s="8" t="str">
        <f>IF(meta_Columns[[#This Row],[Referenced Table:src]]="","",INDEX(meta_Tables[Instances Class],MATCH(meta_Columns[[#This Row],[Referenced Table:src]],meta_Tables[ID],0)))</f>
        <v/>
      </c>
      <c r="Q3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6" s="8"/>
      <c r="S356" s="22" t="str">
        <f xml:space="preserve"> IF( TRIM( meta_Columns[[#This Row],[Property:src]] ) = "", "",
        INDEX( meta_TypedModelElements[Display Qualified], MATCH( meta_Columns[[#This Row],[Property:src]], meta_TypedModelElements[ID], 0 ) ) )</f>
        <v/>
      </c>
      <c r="T356" s="22"/>
      <c r="U356" s="8" t="e">
        <f>INDEX(meta_Classifiers[Class - Generalization:src], MATCH(meta_Columns[[#This Row],[Generalization 5]],meta_Classifiers[ID],0))</f>
        <v>#N/A</v>
      </c>
      <c r="V356" s="8" t="e">
        <f>INDEX(meta_Classifiers[Class - Generalization:src], MATCH(meta_Columns[[#This Row],[Generalization 4]],meta_Classifiers[ID],0))</f>
        <v>#N/A</v>
      </c>
      <c r="W356" s="8" t="e">
        <f>INDEX(meta_Classifiers[Class - Generalization:src], MATCH(meta_Columns[[#This Row],[Generalization 3]],meta_Classifiers[ID],0))</f>
        <v>#N/A</v>
      </c>
      <c r="X356" s="8" t="str">
        <f>INDEX(meta_Classifiers[Class - Generalization:src], MATCH(meta_Columns[[#This Row],[Generalization 2]],meta_Classifiers[ID],0))</f>
        <v/>
      </c>
      <c r="Y356" s="8" t="str">
        <f>INDEX(meta_Classifiers[Class - Generalization:src], MATCH(meta_Columns[[#This Row],[Generalization 1]],meta_Classifiers[ID],0))</f>
        <v>_Object</v>
      </c>
      <c r="Z356" s="8" t="str">
        <f>INDEX(meta_Classifiers[Class - Generalization:src], MATCH(meta_Columns[[#This Row],[Owning Table Instances Class]],meta_Classifiers[ID],0))</f>
        <v>_NamedElement</v>
      </c>
      <c r="AA3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6" s="8" t="b">
        <f>_xlfn.IFNA(
INDEX(meta_Classifiers[Class - Generalization:src],MATCH(
INDEX(meta_Classifiers[Class - Generalization:src],MATCH(meta_Columns[[#This Row],[Property Owning Class]],meta_Classifiers[ID],0)),meta_Classifiers[ID],0))
=meta_Columns[[#This Row],[Owning Table Instances Class]],FALSE)</f>
        <v>0</v>
      </c>
      <c r="AG356" s="8" t="b">
        <f>_xlfn.IFNA(INDEX(meta_Classifiers[Class - Generalization:src],MATCH(meta_Columns[[#This Row],[Property Owning Class]],meta_Classifiers[ID],0))=meta_Columns[[#This Row],[Owning Table Instances Class]],FALSE)</f>
        <v>0</v>
      </c>
      <c r="AH3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6" s="8" t="e">
        <f>INDEX(meta_Classifiers[Name],MATCH(INDEX(meta_TypedModelElements[Property - Owning Class:src],MATCH(meta_Columns[[#This Row],[Property]],meta_TypedModelElements[ID],0)),meta_Classifiers[ID],0))</f>
        <v>#N/A</v>
      </c>
      <c r="AJ356" s="8" t="e">
        <f>INDEX(meta_TypedModelElements[Property - Owning Class:src],MATCH(meta_Columns[[#This Row],[Property]],meta_TypedModelElements[ID],0))</f>
        <v>#N/A</v>
      </c>
      <c r="AK356" s="8" t="e">
        <f>INDEX(meta_TypedModelElements[Kind:src],MATCH(meta_Columns[[#This Row],[Property]],meta_TypedModelElements[ID],0))</f>
        <v>#N/A</v>
      </c>
      <c r="AL356" s="8" t="e">
        <f>INDEX(meta_TypedModelElements[Name or Type],MATCH(meta_Columns[[#This Row],[Property]],meta_TypedModelElements[ID],0))</f>
        <v>#N/A</v>
      </c>
      <c r="AM356" s="8" t="e">
        <f>INDEX(meta_TypedModelElements[Property - Changeable],MATCH(meta_Columns[[#This Row],[Property]],meta_TypedModelElements[ID],0))</f>
        <v>#N/A</v>
      </c>
      <c r="AN356" s="43">
        <v>9</v>
      </c>
      <c r="AO356" s="22"/>
      <c r="AP3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6" s="8" t="str">
        <f xml:space="preserve"> IF(meta_Columns[[#This Row],[Property Owning Class is Specialization of Instance Class]],meta_Columns[[#This Row],[Property Owning Class Name]]&amp;" - ","")</f>
        <v/>
      </c>
      <c r="AR3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6" s="8" t="str">
        <f>IFERROR(LEFT(meta_Columns[[#This Row],[Excel Column - Label Actual without Semantic Case]],FIND("-",
meta_Columns[[#This Row],[Excel Column - Label Actual without Semantic Case]])-2),"")</f>
        <v>Property</v>
      </c>
      <c r="AU3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Class:src</v>
      </c>
      <c r="AX356" s="22"/>
      <c r="AY356" s="8" t="str">
        <f>meta_Columns[[#This Row],[Owning Table]]&amp;"."&amp;meta_Columns[[#This Row],[Excel Column - Label]]</f>
        <v>meta::TypedModelElements.Property - Owning Class:src</v>
      </c>
      <c r="AZ356" s="43" t="s">
        <v>993</v>
      </c>
      <c r="BA356" s="44" t="str">
        <f>IF(TRIM(meta_Columns[[#This Row],[Excel Column - Label Overwrite]])&lt;&gt;"",meta_Columns[[#This Row],[Excel Column - Label Overwrite]],meta_Columns[[#This Row],[Excel Column - Label from Property or Referenced Table]])</f>
        <v>Property - Owning Class:src</v>
      </c>
      <c r="BB356" s="43" t="s">
        <v>1405</v>
      </c>
      <c r="BC356" s="44" t="str">
        <f>IF(meta_Columns[[#This Row],[Excel Column - Explicit Excel Formula]]="","",meta_Columns[[#This Row],[Excel Column - Explicit Excel Formula]])</f>
        <v>Formula:=IF([@[Property - Owning Class:srcLastSaved]]&lt;&gt;"", [@[Property - Owning Class:srcLastSaved]],
   IF([@[Property - Owning Class]]="","",
      INDEX(meta_Classifiers[ID],
         MATCH([@[Property - Owning Class]],meta_Classifiers[Display Qualified],0))))</v>
      </c>
      <c r="BD356" s="5"/>
      <c r="BE356" s="5"/>
    </row>
    <row r="357" spans="1:57">
      <c r="A357" s="10" t="s">
        <v>1406</v>
      </c>
      <c r="B357" s="5" t="s">
        <v>546</v>
      </c>
      <c r="C357" s="22" t="str">
        <f xml:space="preserve"> IF( TRIM( meta_Columns[[#This Row],[Kind:src]] ) = "", "",
        INDEX( meta_Classifiers[Display Qualified], MATCH( meta_Columns[[#This Row],[Kind:src]], meta_Classifiers[ID], 0 ) ) )</f>
        <v>ExcelColumn</v>
      </c>
      <c r="D357" s="44" t="str">
        <f>IF(meta_Columns[[#This Row],[Owning Table:src]]="","",INDEX(meta_Classifiers[Package],MATCH(meta_Columns[[#This Row],[Owning Table Instances Class]],meta_Classifiers[ID],0)))</f>
        <v>meta</v>
      </c>
      <c r="E357" s="43"/>
      <c r="F357" s="44" t="str">
        <f>INDEX(meta_Tables[Excel Table - Excel Name],MATCH(meta_Columns[[#This Row],[Owning Table:src]],meta_Tables[ID],0))</f>
        <v>meta_TypedModelElements</v>
      </c>
      <c r="G357" s="44" t="str">
        <f>INDEX(meta_Tables[Instances Class:src],MATCH(meta_Columns[[#This Row],[Owning Table:src]],meta_Tables[ID],0))</f>
        <v>_TypedModelElement</v>
      </c>
      <c r="H357" s="11" t="s">
        <v>1011</v>
      </c>
      <c r="I357" s="43" t="str">
        <f xml:space="preserve"> IF( TRIM( meta_Columns[[#This Row],[Owning Table:src]] ) = "", "",
        INDEX( meta_Tables[Display Qualified], MATCH( meta_Columns[[#This Row],[Owning Table:src]], meta_Tables[ID], 0 ) ) )</f>
        <v>meta::TypedModelElements</v>
      </c>
      <c r="K357" s="22" t="str">
        <f>IF(TRIM(meta_Columns[[#This Row],[Referenced Table:src]])="","",
    INDEX(meta_Tables[Display Qualified],MATCH(meta_Columns[[#This Row],[Referenced Table:src]],meta_Tables[ID],0)))</f>
        <v/>
      </c>
      <c r="L357" s="8"/>
      <c r="M357" s="22"/>
      <c r="N357" s="8" t="str">
        <f>IF(meta_Columns[[#This Row],[Excel Column - Excel Formula]]="","x","")</f>
        <v>x</v>
      </c>
      <c r="O357" s="22"/>
      <c r="P357" s="8" t="str">
        <f>IF(meta_Columns[[#This Row],[Referenced Table:src]]="","",INDEX(meta_Tables[Instances Class],MATCH(meta_Columns[[#This Row],[Referenced Table:src]],meta_Tables[ID],0)))</f>
        <v/>
      </c>
      <c r="Q3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7" s="8"/>
      <c r="S357" s="22" t="str">
        <f xml:space="preserve"> IF( TRIM( meta_Columns[[#This Row],[Property:src]] ) = "", "",
        INDEX( meta_TypedModelElements[Display Qualified], MATCH( meta_Columns[[#This Row],[Property:src]], meta_TypedModelElements[ID], 0 ) ) )</f>
        <v/>
      </c>
      <c r="T357" s="22"/>
      <c r="U357" s="8" t="e">
        <f>INDEX(meta_Classifiers[Class - Generalization:src], MATCH(meta_Columns[[#This Row],[Generalization 5]],meta_Classifiers[ID],0))</f>
        <v>#N/A</v>
      </c>
      <c r="V357" s="8" t="e">
        <f>INDEX(meta_Classifiers[Class - Generalization:src], MATCH(meta_Columns[[#This Row],[Generalization 4]],meta_Classifiers[ID],0))</f>
        <v>#N/A</v>
      </c>
      <c r="W357" s="8" t="e">
        <f>INDEX(meta_Classifiers[Class - Generalization:src], MATCH(meta_Columns[[#This Row],[Generalization 3]],meta_Classifiers[ID],0))</f>
        <v>#N/A</v>
      </c>
      <c r="X357" s="8" t="str">
        <f>INDEX(meta_Classifiers[Class - Generalization:src], MATCH(meta_Columns[[#This Row],[Generalization 2]],meta_Classifiers[ID],0))</f>
        <v/>
      </c>
      <c r="Y357" s="8" t="str">
        <f>INDEX(meta_Classifiers[Class - Generalization:src], MATCH(meta_Columns[[#This Row],[Generalization 1]],meta_Classifiers[ID],0))</f>
        <v>_Object</v>
      </c>
      <c r="Z357" s="8" t="str">
        <f>INDEX(meta_Classifiers[Class - Generalization:src], MATCH(meta_Columns[[#This Row],[Owning Table Instances Class]],meta_Classifiers[ID],0))</f>
        <v>_NamedElement</v>
      </c>
      <c r="AA3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7" s="8" t="b">
        <f>_xlfn.IFNA(
INDEX(meta_Classifiers[Class - Generalization:src],MATCH(
INDEX(meta_Classifiers[Class - Generalization:src],MATCH(meta_Columns[[#This Row],[Property Owning Class]],meta_Classifiers[ID],0)),meta_Classifiers[ID],0))
=meta_Columns[[#This Row],[Owning Table Instances Class]],FALSE)</f>
        <v>0</v>
      </c>
      <c r="AG357" s="8" t="b">
        <f>_xlfn.IFNA(INDEX(meta_Classifiers[Class - Generalization:src],MATCH(meta_Columns[[#This Row],[Property Owning Class]],meta_Classifiers[ID],0))=meta_Columns[[#This Row],[Owning Table Instances Class]],FALSE)</f>
        <v>0</v>
      </c>
      <c r="AH3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7" s="8" t="e">
        <f>INDEX(meta_Classifiers[Name],MATCH(INDEX(meta_TypedModelElements[Property - Owning Class:src],MATCH(meta_Columns[[#This Row],[Property]],meta_TypedModelElements[ID],0)),meta_Classifiers[ID],0))</f>
        <v>#N/A</v>
      </c>
      <c r="AJ357" s="8" t="e">
        <f>INDEX(meta_TypedModelElements[Property - Owning Class:src],MATCH(meta_Columns[[#This Row],[Property]],meta_TypedModelElements[ID],0))</f>
        <v>#N/A</v>
      </c>
      <c r="AK357" s="8" t="e">
        <f>INDEX(meta_TypedModelElements[Kind:src],MATCH(meta_Columns[[#This Row],[Property]],meta_TypedModelElements[ID],0))</f>
        <v>#N/A</v>
      </c>
      <c r="AL357" s="8" t="e">
        <f>INDEX(meta_TypedModelElements[Name or Type],MATCH(meta_Columns[[#This Row],[Property]],meta_TypedModelElements[ID],0))</f>
        <v>#N/A</v>
      </c>
      <c r="AM357" s="8" t="e">
        <f>INDEX(meta_TypedModelElements[Property - Changeable],MATCH(meta_Columns[[#This Row],[Property]],meta_TypedModelElements[ID],0))</f>
        <v>#N/A</v>
      </c>
      <c r="AN357" s="43">
        <v>10</v>
      </c>
      <c r="AO357" s="22">
        <v>8</v>
      </c>
      <c r="AP3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7" s="8" t="str">
        <f xml:space="preserve"> IF(meta_Columns[[#This Row],[Property Owning Class is Specialization of Instance Class]],meta_Columns[[#This Row],[Property Owning Class Name]]&amp;" - ","")</f>
        <v/>
      </c>
      <c r="AR3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7" s="8" t="str">
        <f>IFERROR(LEFT(meta_Columns[[#This Row],[Excel Column - Label Actual without Semantic Case]],FIND("-",
meta_Columns[[#This Row],[Excel Column - Label Actual without Semantic Case]])-2),"")</f>
        <v>Property</v>
      </c>
      <c r="AU3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v>
      </c>
      <c r="AX357" s="22"/>
      <c r="AY357" s="8" t="str">
        <f>meta_Columns[[#This Row],[Owning Table]]&amp;"."&amp;meta_Columns[[#This Row],[Excel Column - Label]]</f>
        <v>meta::TypedModelElements.Property - Owning Class</v>
      </c>
      <c r="AZ357" s="43" t="s">
        <v>317</v>
      </c>
      <c r="BA357" s="44" t="str">
        <f>IF(TRIM(meta_Columns[[#This Row],[Excel Column - Label Overwrite]])&lt;&gt;"",meta_Columns[[#This Row],[Excel Column - Label Overwrite]],meta_Columns[[#This Row],[Excel Column - Label from Property or Referenced Table]])</f>
        <v>Property - Owning Class</v>
      </c>
      <c r="BB357" s="43"/>
      <c r="BC357" s="44" t="str">
        <f>IF(meta_Columns[[#This Row],[Excel Column - Explicit Excel Formula]]="","",meta_Columns[[#This Row],[Excel Column - Explicit Excel Formula]])</f>
        <v/>
      </c>
      <c r="BD357" s="5" t="s">
        <v>1461</v>
      </c>
      <c r="BE357" s="5"/>
    </row>
    <row r="358" spans="1:57">
      <c r="A358" s="10" t="s">
        <v>1407</v>
      </c>
      <c r="B358" s="5" t="s">
        <v>546</v>
      </c>
      <c r="C358" s="22" t="str">
        <f xml:space="preserve"> IF( TRIM( meta_Columns[[#This Row],[Kind:src]] ) = "", "",
        INDEX( meta_Classifiers[Display Qualified], MATCH( meta_Columns[[#This Row],[Kind:src]], meta_Classifiers[ID], 0 ) ) )</f>
        <v>ExcelColumn</v>
      </c>
      <c r="D358" s="44" t="str">
        <f>IF(meta_Columns[[#This Row],[Owning Table:src]]="","",INDEX(meta_Classifiers[Package],MATCH(meta_Columns[[#This Row],[Owning Table Instances Class]],meta_Classifiers[ID],0)))</f>
        <v>meta</v>
      </c>
      <c r="E358" s="43"/>
      <c r="F358" s="44" t="str">
        <f>INDEX(meta_Tables[Excel Table - Excel Name],MATCH(meta_Columns[[#This Row],[Owning Table:src]],meta_Tables[ID],0))</f>
        <v>meta_TypedModelElements</v>
      </c>
      <c r="G358" s="44" t="str">
        <f>INDEX(meta_Tables[Instances Class:src],MATCH(meta_Columns[[#This Row],[Owning Table:src]],meta_Tables[ID],0))</f>
        <v>_TypedModelElement</v>
      </c>
      <c r="H358" s="11" t="s">
        <v>1011</v>
      </c>
      <c r="I358" s="43" t="str">
        <f xml:space="preserve"> IF( TRIM( meta_Columns[[#This Row],[Owning Table:src]] ) = "", "",
        INDEX( meta_Tables[Display Qualified], MATCH( meta_Columns[[#This Row],[Owning Table:src]], meta_Tables[ID], 0 ) ) )</f>
        <v>meta::TypedModelElements</v>
      </c>
      <c r="K358" s="22" t="str">
        <f>IF(TRIM(meta_Columns[[#This Row],[Referenced Table:src]])="","",
    INDEX(meta_Tables[Display Qualified],MATCH(meta_Columns[[#This Row],[Referenced Table:src]],meta_Tables[ID],0)))</f>
        <v/>
      </c>
      <c r="L358" s="8"/>
      <c r="M358" s="22"/>
      <c r="N358" s="8" t="str">
        <f>IF(meta_Columns[[#This Row],[Excel Column - Excel Formula]]="","x","")</f>
        <v/>
      </c>
      <c r="O358" s="22"/>
      <c r="P358" s="8" t="str">
        <f>IF(meta_Columns[[#This Row],[Referenced Table:src]]="","",INDEX(meta_Tables[Instances Class],MATCH(meta_Columns[[#This Row],[Referenced Table:src]],meta_Tables[ID],0)))</f>
        <v/>
      </c>
      <c r="Q3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meta::TypedModelElement.displayQualified</v>
      </c>
      <c r="R358" s="8"/>
      <c r="S358" s="22" t="str">
        <f xml:space="preserve"> IF( TRIM( meta_Columns[[#This Row],[Property:src]] ) = "", "",
        INDEX( meta_TypedModelElements[Display Qualified], MATCH( meta_Columns[[#This Row],[Property:src]], meta_TypedModelElements[ID], 0 ) ) )</f>
        <v/>
      </c>
      <c r="T358" s="22"/>
      <c r="U358" s="8" t="e">
        <f>INDEX(meta_Classifiers[Class - Generalization:src], MATCH(meta_Columns[[#This Row],[Generalization 5]],meta_Classifiers[ID],0))</f>
        <v>#N/A</v>
      </c>
      <c r="V358" s="8" t="e">
        <f>INDEX(meta_Classifiers[Class - Generalization:src], MATCH(meta_Columns[[#This Row],[Generalization 4]],meta_Classifiers[ID],0))</f>
        <v>#N/A</v>
      </c>
      <c r="W358" s="8" t="e">
        <f>INDEX(meta_Classifiers[Class - Generalization:src], MATCH(meta_Columns[[#This Row],[Generalization 3]],meta_Classifiers[ID],0))</f>
        <v>#N/A</v>
      </c>
      <c r="X358" s="8" t="str">
        <f>INDEX(meta_Classifiers[Class - Generalization:src], MATCH(meta_Columns[[#This Row],[Generalization 2]],meta_Classifiers[ID],0))</f>
        <v/>
      </c>
      <c r="Y358" s="8" t="str">
        <f>INDEX(meta_Classifiers[Class - Generalization:src], MATCH(meta_Columns[[#This Row],[Generalization 1]],meta_Classifiers[ID],0))</f>
        <v>_Object</v>
      </c>
      <c r="Z358" s="8" t="str">
        <f>INDEX(meta_Classifiers[Class - Generalization:src], MATCH(meta_Columns[[#This Row],[Owning Table Instances Class]],meta_Classifiers[ID],0))</f>
        <v>_NamedElement</v>
      </c>
      <c r="AA3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8" s="8" t="b">
        <f>_xlfn.IFNA(
INDEX(meta_Classifiers[Class - Generalization:src],MATCH(
INDEX(meta_Classifiers[Class - Generalization:src],MATCH(meta_Columns[[#This Row],[Property Owning Class]],meta_Classifiers[ID],0)),meta_Classifiers[ID],0))
=meta_Columns[[#This Row],[Owning Table Instances Class]],FALSE)</f>
        <v>0</v>
      </c>
      <c r="AG358" s="8" t="b">
        <f>_xlfn.IFNA(INDEX(meta_Classifiers[Class - Generalization:src],MATCH(meta_Columns[[#This Row],[Property Owning Class]],meta_Classifiers[ID],0))=meta_Columns[[#This Row],[Owning Table Instances Class]],FALSE)</f>
        <v>0</v>
      </c>
      <c r="AH3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8" s="8" t="e">
        <f>INDEX(meta_Classifiers[Name],MATCH(INDEX(meta_TypedModelElements[Property - Owning Class:src],MATCH(meta_Columns[[#This Row],[Property]],meta_TypedModelElements[ID],0)),meta_Classifiers[ID],0))</f>
        <v>#N/A</v>
      </c>
      <c r="AJ358" s="8" t="e">
        <f>INDEX(meta_TypedModelElements[Property - Owning Class:src],MATCH(meta_Columns[[#This Row],[Property]],meta_TypedModelElements[ID],0))</f>
        <v>#N/A</v>
      </c>
      <c r="AK358" s="8" t="e">
        <f>INDEX(meta_TypedModelElements[Kind:src],MATCH(meta_Columns[[#This Row],[Property]],meta_TypedModelElements[ID],0))</f>
        <v>#N/A</v>
      </c>
      <c r="AL358" s="8" t="e">
        <f>INDEX(meta_TypedModelElements[Name or Type],MATCH(meta_Columns[[#This Row],[Property]],meta_TypedModelElements[ID],0))</f>
        <v>#N/A</v>
      </c>
      <c r="AM358" s="8" t="e">
        <f>INDEX(meta_TypedModelElements[Property - Changeable],MATCH(meta_Columns[[#This Row],[Property]],meta_TypedModelElements[ID],0))</f>
        <v>#N/A</v>
      </c>
      <c r="AN358" s="43">
        <v>11</v>
      </c>
      <c r="AO358" s="22"/>
      <c r="AP3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8" s="8" t="str">
        <f xml:space="preserve"> IF(meta_Columns[[#This Row],[Property Owning Class is Specialization of Instance Class]],meta_Columns[[#This Row],[Property Owning Class Name]]&amp;" - ","")</f>
        <v/>
      </c>
      <c r="AR3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58" s="8" t="str">
        <f>IFERROR(LEFT(meta_Columns[[#This Row],[Excel Column - Label Actual without Semantic Case]],FIND("-",
meta_Columns[[#This Row],[Excel Column - Label Actual without Semantic Case]])-2),"")</f>
        <v/>
      </c>
      <c r="AU3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58" s="22"/>
      <c r="AY358" s="8" t="str">
        <f>meta_Columns[[#This Row],[Owning Table]]&amp;"."&amp;meta_Columns[[#This Row],[Excel Column - Label]]</f>
        <v>meta::TypedModelElements.Display Qualified</v>
      </c>
      <c r="AZ358" s="43" t="s">
        <v>806</v>
      </c>
      <c r="BA358" s="44" t="str">
        <f>IF(TRIM(meta_Columns[[#This Row],[Excel Column - Label Overwrite]])&lt;&gt;"",meta_Columns[[#This Row],[Excel Column - Label Overwrite]],meta_Columns[[#This Row],[Excel Column - Label from Property or Referenced Table]])</f>
        <v>Display Qualified</v>
      </c>
      <c r="BB358" s="43" t="s">
        <v>1435</v>
      </c>
      <c r="BC358" s="44" t="str">
        <f>IF(meta_Columns[[#This Row],[Excel Column - Explicit Excel Formula]]="","",meta_Columns[[#This Row],[Excel Column - Explicit Excel Formula]])</f>
        <v>Formula:= IF([@[Kind:src]]="_Parameter",
  INDEX([Display Qualified],MATCH([@[Parameter - Owning Function:src]],[ID],0))&amp;"."&amp;[@[Display without Class]],
IF(TRIM([@Package])="","",TRIM(LOWER([@Package]))&amp;"::")&amp;[@Display])</v>
      </c>
      <c r="BD358" s="5"/>
      <c r="BE358" s="5"/>
    </row>
    <row r="359" spans="1:57">
      <c r="A359" s="123"/>
      <c r="B359" s="5" t="s">
        <v>546</v>
      </c>
      <c r="C359" s="124" t="str">
        <f xml:space="preserve"> IF( TRIM( meta_Columns[[#This Row],[Kind:src]] ) = "", "",
        INDEX( meta_Classifiers[Display Qualified], MATCH( meta_Columns[[#This Row],[Kind:src]], meta_Classifiers[ID], 0 ) ) )</f>
        <v>ExcelColumn</v>
      </c>
      <c r="D359" s="125" t="str">
        <f>IF(meta_Columns[[#This Row],[Owning Table:src]]="","",INDEX(meta_Classifiers[Package],MATCH(meta_Columns[[#This Row],[Owning Table Instances Class]],meta_Classifiers[ID],0)))</f>
        <v>meta</v>
      </c>
      <c r="E359" s="124"/>
      <c r="F359" s="125" t="str">
        <f>INDEX(meta_Tables[Excel Table - Excel Name],MATCH(meta_Columns[[#This Row],[Owning Table:src]],meta_Tables[ID],0))</f>
        <v>meta_TypedModelElements</v>
      </c>
      <c r="G359" s="125" t="str">
        <f>INDEX(meta_Tables[Instances Class:src],MATCH(meta_Columns[[#This Row],[Owning Table:src]],meta_Tables[ID],0))</f>
        <v>_TypedModelElement</v>
      </c>
      <c r="H359" s="11" t="s">
        <v>1011</v>
      </c>
      <c r="I359" s="124" t="str">
        <f xml:space="preserve"> IF( TRIM( meta_Columns[[#This Row],[Owning Table:src]] ) = "", "",
        INDEX( meta_Tables[Display Qualified], MATCH( meta_Columns[[#This Row],[Owning Table:src]], meta_Tables[ID], 0 ) ) )</f>
        <v>meta::TypedModelElements</v>
      </c>
      <c r="K359" s="22" t="str">
        <f>IF(TRIM(meta_Columns[[#This Row],[Referenced Table:src]])="","",
    INDEX(meta_Tables[Display Qualified],MATCH(meta_Columns[[#This Row],[Referenced Table:src]],meta_Tables[ID],0)))</f>
        <v/>
      </c>
      <c r="L359" s="8"/>
      <c r="M359" s="22"/>
      <c r="N359" s="8" t="str">
        <f>IF(meta_Columns[[#This Row],[Excel Column - Excel Formula]]="","x","")</f>
        <v>x</v>
      </c>
      <c r="O359" s="22"/>
      <c r="P359" s="8" t="str">
        <f>IF(meta_Columns[[#This Row],[Referenced Table:src]]="","",INDEX(meta_Tables[Instances Class],MATCH(meta_Columns[[#This Row],[Referenced Table:src]],meta_Tables[ID],0)))</f>
        <v/>
      </c>
      <c r="Q3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meta::TypedModelElement.functionDisplayQualified</v>
      </c>
      <c r="R359" s="8"/>
      <c r="S359" s="126" t="str">
        <f xml:space="preserve"> IF( TRIM( meta_Columns[[#This Row],[Property:src]] ) = "", "",
        INDEX( meta_TypedModelElements[Display Qualified], MATCH( meta_Columns[[#This Row],[Property:src]], meta_TypedModelElements[ID], 0 ) ) )</f>
        <v/>
      </c>
      <c r="T359" s="126"/>
      <c r="U359" s="8" t="e">
        <f>INDEX(meta_Classifiers[Class - Generalization:src], MATCH(meta_Columns[[#This Row],[Generalization 5]],meta_Classifiers[ID],0))</f>
        <v>#N/A</v>
      </c>
      <c r="V359" s="8" t="e">
        <f>INDEX(meta_Classifiers[Class - Generalization:src], MATCH(meta_Columns[[#This Row],[Generalization 4]],meta_Classifiers[ID],0))</f>
        <v>#N/A</v>
      </c>
      <c r="W359" s="8" t="e">
        <f>INDEX(meta_Classifiers[Class - Generalization:src], MATCH(meta_Columns[[#This Row],[Generalization 3]],meta_Classifiers[ID],0))</f>
        <v>#N/A</v>
      </c>
      <c r="X359" s="8" t="str">
        <f>INDEX(meta_Classifiers[Class - Generalization:src], MATCH(meta_Columns[[#This Row],[Generalization 2]],meta_Classifiers[ID],0))</f>
        <v/>
      </c>
      <c r="Y359" s="8" t="str">
        <f>INDEX(meta_Classifiers[Class - Generalization:src], MATCH(meta_Columns[[#This Row],[Generalization 1]],meta_Classifiers[ID],0))</f>
        <v>_Object</v>
      </c>
      <c r="Z359" s="8" t="str">
        <f>INDEX(meta_Classifiers[Class - Generalization:src], MATCH(meta_Columns[[#This Row],[Owning Table Instances Class]],meta_Classifiers[ID],0))</f>
        <v>_NamedElement</v>
      </c>
      <c r="AA359"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9" s="8" t="b">
        <f>_xlfn.IFNA(
INDEX(meta_Classifiers[Class - Generalization:src],MATCH(
INDEX(meta_Classifiers[Class - Generalization:src],MATCH(meta_Columns[[#This Row],[Property Owning Class]],meta_Classifiers[ID],0)),meta_Classifiers[ID],0))
=meta_Columns[[#This Row],[Owning Table Instances Class]],FALSE)</f>
        <v>0</v>
      </c>
      <c r="AG359" s="8" t="b">
        <f>_xlfn.IFNA(INDEX(meta_Classifiers[Class - Generalization:src],MATCH(meta_Columns[[#This Row],[Property Owning Class]],meta_Classifiers[ID],0))=meta_Columns[[#This Row],[Owning Table Instances Class]],FALSE)</f>
        <v>0</v>
      </c>
      <c r="AH359"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9" s="8" t="e">
        <f>INDEX(meta_Classifiers[Name],MATCH(INDEX(meta_TypedModelElements[Property - Owning Class:src],MATCH(meta_Columns[[#This Row],[Property]],meta_TypedModelElements[ID],0)),meta_Classifiers[ID],0))</f>
        <v>#N/A</v>
      </c>
      <c r="AJ359" s="127" t="e">
        <f>INDEX(meta_TypedModelElements[Property - Owning Class:src],MATCH(meta_Columns[[#This Row],[Property]],meta_TypedModelElements[ID],0))</f>
        <v>#N/A</v>
      </c>
      <c r="AK359" s="8" t="e">
        <f>INDEX(meta_TypedModelElements[Kind:src],MATCH(meta_Columns[[#This Row],[Property]],meta_TypedModelElements[ID],0))</f>
        <v>#N/A</v>
      </c>
      <c r="AL359" s="127" t="e">
        <f>INDEX(meta_TypedModelElements[Name or Type],MATCH(meta_Columns[[#This Row],[Property]],meta_TypedModelElements[ID],0))</f>
        <v>#N/A</v>
      </c>
      <c r="AM359" s="127" t="e">
        <f>INDEX(meta_TypedModelElements[Property - Changeable],MATCH(meta_Columns[[#This Row],[Property]],meta_TypedModelElements[ID],0))</f>
        <v>#N/A</v>
      </c>
      <c r="AN359" s="43">
        <v>12</v>
      </c>
      <c r="AO359" s="22"/>
      <c r="AP359"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9" s="8" t="str">
        <f xml:space="preserve"> IF(meta_Columns[[#This Row],[Property Owning Class is Specialization of Instance Class]],meta_Columns[[#This Row],[Property Owning Class Name]]&amp;" - ","")</f>
        <v/>
      </c>
      <c r="AR3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Function Display Qualified</v>
      </c>
      <c r="AT359" s="8" t="str">
        <f>IFERROR(LEFT(meta_Columns[[#This Row],[Excel Column - Label Actual without Semantic Case]],FIND("-",
meta_Columns[[#This Row],[Excel Column - Label Actual without Semantic Case]])-2),"")</f>
        <v/>
      </c>
      <c r="AU3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Display Qualified</v>
      </c>
      <c r="AV3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Display Qualified</v>
      </c>
      <c r="AX359" s="126"/>
      <c r="AY359" s="8" t="e">
        <f>meta_Columns[[#This Row],[Owning Table]]&amp;"."&amp;meta_Columns[[#This Row],[Excel Column - Label]]</f>
        <v>#N/A</v>
      </c>
      <c r="AZ359" s="124"/>
      <c r="BA359" s="125" t="e">
        <f>IF(TRIM(meta_Columns[[#This Row],[Excel Column - Label Overwrite]])&lt;&gt;"",meta_Columns[[#This Row],[Excel Column - Label Overwrite]],meta_Columns[[#This Row],[Excel Column - Label from Property or Referenced Table]])</f>
        <v>#N/A</v>
      </c>
      <c r="BB359" s="124"/>
      <c r="BC359" s="125" t="str">
        <f>IF(meta_Columns[[#This Row],[Excel Column - Explicit Excel Formula]]="","",meta_Columns[[#This Row],[Excel Column - Explicit Excel Formula]])</f>
        <v/>
      </c>
      <c r="BD359" s="128"/>
      <c r="BE359" s="128"/>
    </row>
    <row r="360" spans="1:57">
      <c r="A360" s="123"/>
      <c r="B360" s="5" t="s">
        <v>546</v>
      </c>
      <c r="C360" s="124" t="str">
        <f xml:space="preserve"> IF( TRIM( meta_Columns[[#This Row],[Kind:src]] ) = "", "",
        INDEX( meta_Classifiers[Display Qualified], MATCH( meta_Columns[[#This Row],[Kind:src]], meta_Classifiers[ID], 0 ) ) )</f>
        <v>ExcelColumn</v>
      </c>
      <c r="D360" s="125" t="str">
        <f>IF(meta_Columns[[#This Row],[Owning Table:src]]="","",INDEX(meta_Classifiers[Package],MATCH(meta_Columns[[#This Row],[Owning Table Instances Class]],meta_Classifiers[ID],0)))</f>
        <v>meta</v>
      </c>
      <c r="E360" s="124"/>
      <c r="F360" s="125" t="str">
        <f>INDEX(meta_Tables[Excel Table - Excel Name],MATCH(meta_Columns[[#This Row],[Owning Table:src]],meta_Tables[ID],0))</f>
        <v>meta_TypedModelElements</v>
      </c>
      <c r="G360" s="125" t="str">
        <f>INDEX(meta_Tables[Instances Class:src],MATCH(meta_Columns[[#This Row],[Owning Table:src]],meta_Tables[ID],0))</f>
        <v>_TypedModelElement</v>
      </c>
      <c r="H360" s="11" t="s">
        <v>1011</v>
      </c>
      <c r="I360" s="124" t="str">
        <f xml:space="preserve"> IF( TRIM( meta_Columns[[#This Row],[Owning Table:src]] ) = "", "",
        INDEX( meta_Tables[Display Qualified], MATCH( meta_Columns[[#This Row],[Owning Table:src]], meta_Tables[ID], 0 ) ) )</f>
        <v>meta::TypedModelElements</v>
      </c>
      <c r="K360" s="22" t="str">
        <f>IF(TRIM(meta_Columns[[#This Row],[Referenced Table:src]])="","",
    INDEX(meta_Tables[Display Qualified],MATCH(meta_Columns[[#This Row],[Referenced Table:src]],meta_Tables[ID],0)))</f>
        <v/>
      </c>
      <c r="L360" s="8"/>
      <c r="M360" s="22"/>
      <c r="N360" s="8" t="str">
        <f>IF(meta_Columns[[#This Row],[Excel Column - Excel Formula]]="","x","")</f>
        <v>x</v>
      </c>
      <c r="O360" s="22"/>
      <c r="P360" s="8" t="str">
        <f>IF(meta_Columns[[#This Row],[Referenced Table:src]]="","",INDEX(meta_Tables[Instances Class],MATCH(meta_Columns[[#This Row],[Referenced Table:src]],meta_Tables[ID],0)))</f>
        <v/>
      </c>
      <c r="Q3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meta::TypedModelElement.attributeDisplayQualified</v>
      </c>
      <c r="R360" s="8"/>
      <c r="S360" s="126" t="str">
        <f xml:space="preserve"> IF( TRIM( meta_Columns[[#This Row],[Property:src]] ) = "", "",
        INDEX( meta_TypedModelElements[Display Qualified], MATCH( meta_Columns[[#This Row],[Property:src]], meta_TypedModelElements[ID], 0 ) ) )</f>
        <v/>
      </c>
      <c r="T360" s="126"/>
      <c r="U360" s="8" t="e">
        <f>INDEX(meta_Classifiers[Class - Generalization:src], MATCH(meta_Columns[[#This Row],[Generalization 5]],meta_Classifiers[ID],0))</f>
        <v>#N/A</v>
      </c>
      <c r="V360" s="8" t="e">
        <f>INDEX(meta_Classifiers[Class - Generalization:src], MATCH(meta_Columns[[#This Row],[Generalization 4]],meta_Classifiers[ID],0))</f>
        <v>#N/A</v>
      </c>
      <c r="W360" s="8" t="e">
        <f>INDEX(meta_Classifiers[Class - Generalization:src], MATCH(meta_Columns[[#This Row],[Generalization 3]],meta_Classifiers[ID],0))</f>
        <v>#N/A</v>
      </c>
      <c r="X360" s="8" t="str">
        <f>INDEX(meta_Classifiers[Class - Generalization:src], MATCH(meta_Columns[[#This Row],[Generalization 2]],meta_Classifiers[ID],0))</f>
        <v/>
      </c>
      <c r="Y360" s="8" t="str">
        <f>INDEX(meta_Classifiers[Class - Generalization:src], MATCH(meta_Columns[[#This Row],[Generalization 1]],meta_Classifiers[ID],0))</f>
        <v>_Object</v>
      </c>
      <c r="Z360" s="8" t="str">
        <f>INDEX(meta_Classifiers[Class - Generalization:src], MATCH(meta_Columns[[#This Row],[Owning Table Instances Class]],meta_Classifiers[ID],0))</f>
        <v>_NamedElement</v>
      </c>
      <c r="AA360"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0" s="8" t="b">
        <f>_xlfn.IFNA(
INDEX(meta_Classifiers[Class - Generalization:src],MATCH(
INDEX(meta_Classifiers[Class - Generalization:src],MATCH(meta_Columns[[#This Row],[Property Owning Class]],meta_Classifiers[ID],0)),meta_Classifiers[ID],0))
=meta_Columns[[#This Row],[Owning Table Instances Class]],FALSE)</f>
        <v>0</v>
      </c>
      <c r="AG360" s="8" t="b">
        <f>_xlfn.IFNA(INDEX(meta_Classifiers[Class - Generalization:src],MATCH(meta_Columns[[#This Row],[Property Owning Class]],meta_Classifiers[ID],0))=meta_Columns[[#This Row],[Owning Table Instances Class]],FALSE)</f>
        <v>0</v>
      </c>
      <c r="AH360"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0" s="8" t="e">
        <f>INDEX(meta_Classifiers[Name],MATCH(INDEX(meta_TypedModelElements[Property - Owning Class:src],MATCH(meta_Columns[[#This Row],[Property]],meta_TypedModelElements[ID],0)),meta_Classifiers[ID],0))</f>
        <v>#N/A</v>
      </c>
      <c r="AJ360" s="127" t="e">
        <f>INDEX(meta_TypedModelElements[Property - Owning Class:src],MATCH(meta_Columns[[#This Row],[Property]],meta_TypedModelElements[ID],0))</f>
        <v>#N/A</v>
      </c>
      <c r="AK360" s="8" t="e">
        <f>INDEX(meta_TypedModelElements[Kind:src],MATCH(meta_Columns[[#This Row],[Property]],meta_TypedModelElements[ID],0))</f>
        <v>#N/A</v>
      </c>
      <c r="AL360" s="127" t="e">
        <f>INDEX(meta_TypedModelElements[Name or Type],MATCH(meta_Columns[[#This Row],[Property]],meta_TypedModelElements[ID],0))</f>
        <v>#N/A</v>
      </c>
      <c r="AM360" s="127" t="e">
        <f>INDEX(meta_TypedModelElements[Property - Changeable],MATCH(meta_Columns[[#This Row],[Property]],meta_TypedModelElements[ID],0))</f>
        <v>#N/A</v>
      </c>
      <c r="AN360" s="43">
        <v>13</v>
      </c>
      <c r="AO360" s="22"/>
      <c r="AP360"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0" s="8" t="str">
        <f xml:space="preserve"> IF(meta_Columns[[#This Row],[Property Owning Class is Specialization of Instance Class]],meta_Columns[[#This Row],[Property Owning Class Name]]&amp;" - ","")</f>
        <v/>
      </c>
      <c r="AR3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Attribute Display Qualified</v>
      </c>
      <c r="AT360" s="8" t="str">
        <f>IFERROR(LEFT(meta_Columns[[#This Row],[Excel Column - Label Actual without Semantic Case]],FIND("-",
meta_Columns[[#This Row],[Excel Column - Label Actual without Semantic Case]])-2),"")</f>
        <v/>
      </c>
      <c r="AU3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Attribute Display Qualified</v>
      </c>
      <c r="AV3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Attribute Display Qualified</v>
      </c>
      <c r="AX360" s="126"/>
      <c r="AY360" s="8" t="e">
        <f>meta_Columns[[#This Row],[Owning Table]]&amp;"."&amp;meta_Columns[[#This Row],[Excel Column - Label]]</f>
        <v>#N/A</v>
      </c>
      <c r="AZ360" s="124"/>
      <c r="BA360" s="125" t="e">
        <f>IF(TRIM(meta_Columns[[#This Row],[Excel Column - Label Overwrite]])&lt;&gt;"",meta_Columns[[#This Row],[Excel Column - Label Overwrite]],meta_Columns[[#This Row],[Excel Column - Label from Property or Referenced Table]])</f>
        <v>#N/A</v>
      </c>
      <c r="BB360" s="124"/>
      <c r="BC360" s="125" t="str">
        <f>IF(meta_Columns[[#This Row],[Excel Column - Explicit Excel Formula]]="","",meta_Columns[[#This Row],[Excel Column - Explicit Excel Formula]])</f>
        <v/>
      </c>
      <c r="BD360" s="128"/>
      <c r="BE360" s="128"/>
    </row>
    <row r="361" spans="1:57">
      <c r="A361" s="123"/>
      <c r="B361" s="5" t="s">
        <v>546</v>
      </c>
      <c r="C361" s="124" t="str">
        <f xml:space="preserve"> IF( TRIM( meta_Columns[[#This Row],[Kind:src]] ) = "", "",
        INDEX( meta_Classifiers[Display Qualified], MATCH( meta_Columns[[#This Row],[Kind:src]], meta_Classifiers[ID], 0 ) ) )</f>
        <v>ExcelColumn</v>
      </c>
      <c r="D361" s="125" t="str">
        <f>IF(meta_Columns[[#This Row],[Owning Table:src]]="","",INDEX(meta_Classifiers[Package],MATCH(meta_Columns[[#This Row],[Owning Table Instances Class]],meta_Classifiers[ID],0)))</f>
        <v>meta</v>
      </c>
      <c r="E361" s="124"/>
      <c r="F361" s="125" t="str">
        <f>INDEX(meta_Tables[Excel Table - Excel Name],MATCH(meta_Columns[[#This Row],[Owning Table:src]],meta_Tables[ID],0))</f>
        <v>meta_TypedModelElements</v>
      </c>
      <c r="G361" s="125" t="str">
        <f>INDEX(meta_Tables[Instances Class:src],MATCH(meta_Columns[[#This Row],[Owning Table:src]],meta_Tables[ID],0))</f>
        <v>_TypedModelElement</v>
      </c>
      <c r="H361" s="11" t="s">
        <v>1011</v>
      </c>
      <c r="I361" s="124" t="str">
        <f xml:space="preserve"> IF( TRIM( meta_Columns[[#This Row],[Owning Table:src]] ) = "", "",
        INDEX( meta_Tables[Display Qualified], MATCH( meta_Columns[[#This Row],[Owning Table:src]], meta_Tables[ID], 0 ) ) )</f>
        <v>meta::TypedModelElements</v>
      </c>
      <c r="K361" s="22" t="str">
        <f>IF(TRIM(meta_Columns[[#This Row],[Referenced Table:src]])="","",
    INDEX(meta_Tables[Display Qualified],MATCH(meta_Columns[[#This Row],[Referenced Table:src]],meta_Tables[ID],0)))</f>
        <v/>
      </c>
      <c r="L361" s="8"/>
      <c r="M361" s="22"/>
      <c r="N361" s="8" t="str">
        <f>IF(meta_Columns[[#This Row],[Excel Column - Excel Formula]]="","x","")</f>
        <v>x</v>
      </c>
      <c r="O361" s="22"/>
      <c r="P361" s="8" t="str">
        <f>IF(meta_Columns[[#This Row],[Referenced Table:src]]="","",INDEX(meta_Tables[Instances Class],MATCH(meta_Columns[[#This Row],[Referenced Table:src]],meta_Tables[ID],0)))</f>
        <v/>
      </c>
      <c r="Q3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meta::TypedModelElement.referenceDisplayQualified</v>
      </c>
      <c r="R361" s="8"/>
      <c r="S361" s="126" t="str">
        <f xml:space="preserve"> IF( TRIM( meta_Columns[[#This Row],[Property:src]] ) = "", "",
        INDEX( meta_TypedModelElements[Display Qualified], MATCH( meta_Columns[[#This Row],[Property:src]], meta_TypedModelElements[ID], 0 ) ) )</f>
        <v/>
      </c>
      <c r="T361" s="126"/>
      <c r="U361" s="8" t="e">
        <f>INDEX(meta_Classifiers[Class - Generalization:src], MATCH(meta_Columns[[#This Row],[Generalization 5]],meta_Classifiers[ID],0))</f>
        <v>#N/A</v>
      </c>
      <c r="V361" s="8" t="e">
        <f>INDEX(meta_Classifiers[Class - Generalization:src], MATCH(meta_Columns[[#This Row],[Generalization 4]],meta_Classifiers[ID],0))</f>
        <v>#N/A</v>
      </c>
      <c r="W361" s="8" t="e">
        <f>INDEX(meta_Classifiers[Class - Generalization:src], MATCH(meta_Columns[[#This Row],[Generalization 3]],meta_Classifiers[ID],0))</f>
        <v>#N/A</v>
      </c>
      <c r="X361" s="8" t="str">
        <f>INDEX(meta_Classifiers[Class - Generalization:src], MATCH(meta_Columns[[#This Row],[Generalization 2]],meta_Classifiers[ID],0))</f>
        <v/>
      </c>
      <c r="Y361" s="8" t="str">
        <f>INDEX(meta_Classifiers[Class - Generalization:src], MATCH(meta_Columns[[#This Row],[Generalization 1]],meta_Classifiers[ID],0))</f>
        <v>_Object</v>
      </c>
      <c r="Z361" s="8" t="str">
        <f>INDEX(meta_Classifiers[Class - Generalization:src], MATCH(meta_Columns[[#This Row],[Owning Table Instances Class]],meta_Classifiers[ID],0))</f>
        <v>_NamedElement</v>
      </c>
      <c r="AA361"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1" s="8" t="b">
        <f>_xlfn.IFNA(
INDEX(meta_Classifiers[Class - Generalization:src],MATCH(
INDEX(meta_Classifiers[Class - Generalization:src],MATCH(meta_Columns[[#This Row],[Property Owning Class]],meta_Classifiers[ID],0)),meta_Classifiers[ID],0))
=meta_Columns[[#This Row],[Owning Table Instances Class]],FALSE)</f>
        <v>0</v>
      </c>
      <c r="AG361" s="8" t="b">
        <f>_xlfn.IFNA(INDEX(meta_Classifiers[Class - Generalization:src],MATCH(meta_Columns[[#This Row],[Property Owning Class]],meta_Classifiers[ID],0))=meta_Columns[[#This Row],[Owning Table Instances Class]],FALSE)</f>
        <v>0</v>
      </c>
      <c r="AH361"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1" s="8" t="e">
        <f>INDEX(meta_Classifiers[Name],MATCH(INDEX(meta_TypedModelElements[Property - Owning Class:src],MATCH(meta_Columns[[#This Row],[Property]],meta_TypedModelElements[ID],0)),meta_Classifiers[ID],0))</f>
        <v>#N/A</v>
      </c>
      <c r="AJ361" s="127" t="e">
        <f>INDEX(meta_TypedModelElements[Property - Owning Class:src],MATCH(meta_Columns[[#This Row],[Property]],meta_TypedModelElements[ID],0))</f>
        <v>#N/A</v>
      </c>
      <c r="AK361" s="8" t="e">
        <f>INDEX(meta_TypedModelElements[Kind:src],MATCH(meta_Columns[[#This Row],[Property]],meta_TypedModelElements[ID],0))</f>
        <v>#N/A</v>
      </c>
      <c r="AL361" s="127" t="e">
        <f>INDEX(meta_TypedModelElements[Name or Type],MATCH(meta_Columns[[#This Row],[Property]],meta_TypedModelElements[ID],0))</f>
        <v>#N/A</v>
      </c>
      <c r="AM361" s="127" t="e">
        <f>INDEX(meta_TypedModelElements[Property - Changeable],MATCH(meta_Columns[[#This Row],[Property]],meta_TypedModelElements[ID],0))</f>
        <v>#N/A</v>
      </c>
      <c r="AN361" s="43">
        <v>14</v>
      </c>
      <c r="AO361" s="22"/>
      <c r="AP361"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1" s="8" t="str">
        <f xml:space="preserve"> IF(meta_Columns[[#This Row],[Property Owning Class is Specialization of Instance Class]],meta_Columns[[#This Row],[Property Owning Class Name]]&amp;" - ","")</f>
        <v/>
      </c>
      <c r="AR3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 Display Qualified</v>
      </c>
      <c r="AT361" s="8" t="str">
        <f>IFERROR(LEFT(meta_Columns[[#This Row],[Excel Column - Label Actual without Semantic Case]],FIND("-",
meta_Columns[[#This Row],[Excel Column - Label Actual without Semantic Case]])-2),"")</f>
        <v/>
      </c>
      <c r="AU3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Display Qualified</v>
      </c>
      <c r="AV3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Display Qualified</v>
      </c>
      <c r="AX361" s="126"/>
      <c r="AY361" s="8" t="e">
        <f>meta_Columns[[#This Row],[Owning Table]]&amp;"."&amp;meta_Columns[[#This Row],[Excel Column - Label]]</f>
        <v>#N/A</v>
      </c>
      <c r="AZ361" s="124"/>
      <c r="BA361" s="125" t="e">
        <f>IF(TRIM(meta_Columns[[#This Row],[Excel Column - Label Overwrite]])&lt;&gt;"",meta_Columns[[#This Row],[Excel Column - Label Overwrite]],meta_Columns[[#This Row],[Excel Column - Label from Property or Referenced Table]])</f>
        <v>#N/A</v>
      </c>
      <c r="BB361" s="124"/>
      <c r="BC361" s="125" t="str">
        <f>IF(meta_Columns[[#This Row],[Excel Column - Explicit Excel Formula]]="","",meta_Columns[[#This Row],[Excel Column - Explicit Excel Formula]])</f>
        <v/>
      </c>
      <c r="BD361" s="128"/>
      <c r="BE361" s="128"/>
    </row>
    <row r="362" spans="1:57">
      <c r="A362" s="123"/>
      <c r="B362" s="5" t="s">
        <v>546</v>
      </c>
      <c r="C362" s="124" t="str">
        <f xml:space="preserve"> IF( TRIM( meta_Columns[[#This Row],[Kind:src]] ) = "", "",
        INDEX( meta_Classifiers[Display Qualified], MATCH( meta_Columns[[#This Row],[Kind:src]], meta_Classifiers[ID], 0 ) ) )</f>
        <v>ExcelColumn</v>
      </c>
      <c r="D362" s="125" t="str">
        <f>IF(meta_Columns[[#This Row],[Owning Table:src]]="","",INDEX(meta_Classifiers[Package],MATCH(meta_Columns[[#This Row],[Owning Table Instances Class]],meta_Classifiers[ID],0)))</f>
        <v>meta</v>
      </c>
      <c r="E362" s="124"/>
      <c r="F362" s="125" t="str">
        <f>INDEX(meta_Tables[Excel Table - Excel Name],MATCH(meta_Columns[[#This Row],[Owning Table:src]],meta_Tables[ID],0))</f>
        <v>meta_TypedModelElements</v>
      </c>
      <c r="G362" s="125" t="str">
        <f>INDEX(meta_Tables[Instances Class:src],MATCH(meta_Columns[[#This Row],[Owning Table:src]],meta_Tables[ID],0))</f>
        <v>_TypedModelElement</v>
      </c>
      <c r="H362" s="11" t="s">
        <v>1011</v>
      </c>
      <c r="I362" s="124" t="str">
        <f xml:space="preserve"> IF( TRIM( meta_Columns[[#This Row],[Owning Table:src]] ) = "", "",
        INDEX( meta_Tables[Display Qualified], MATCH( meta_Columns[[#This Row],[Owning Table:src]], meta_Tables[ID], 0 ) ) )</f>
        <v>meta::TypedModelElements</v>
      </c>
      <c r="K362" s="22" t="str">
        <f>IF(TRIM(meta_Columns[[#This Row],[Referenced Table:src]])="","",
    INDEX(meta_Tables[Display Qualified],MATCH(meta_Columns[[#This Row],[Referenced Table:src]],meta_Tables[ID],0)))</f>
        <v/>
      </c>
      <c r="L362" s="8"/>
      <c r="M362" s="22"/>
      <c r="N362" s="8" t="str">
        <f>IF(meta_Columns[[#This Row],[Excel Column - Excel Formula]]="","x","")</f>
        <v>x</v>
      </c>
      <c r="O362" s="22"/>
      <c r="P362" s="8" t="str">
        <f>IF(meta_Columns[[#This Row],[Referenced Table:src]]="","",INDEX(meta_Tables[Instances Class],MATCH(meta_Columns[[#This Row],[Referenced Table:src]],meta_Tables[ID],0)))</f>
        <v/>
      </c>
      <c r="Q3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meta::TypedModelElement.propertyDisplayQualified</v>
      </c>
      <c r="R362" s="8"/>
      <c r="S362" s="126" t="str">
        <f xml:space="preserve"> IF( TRIM( meta_Columns[[#This Row],[Property:src]] ) = "", "",
        INDEX( meta_TypedModelElements[Display Qualified], MATCH( meta_Columns[[#This Row],[Property:src]], meta_TypedModelElements[ID], 0 ) ) )</f>
        <v/>
      </c>
      <c r="T362" s="126"/>
      <c r="U362" s="8" t="e">
        <f>INDEX(meta_Classifiers[Class - Generalization:src], MATCH(meta_Columns[[#This Row],[Generalization 5]],meta_Classifiers[ID],0))</f>
        <v>#N/A</v>
      </c>
      <c r="V362" s="8" t="e">
        <f>INDEX(meta_Classifiers[Class - Generalization:src], MATCH(meta_Columns[[#This Row],[Generalization 4]],meta_Classifiers[ID],0))</f>
        <v>#N/A</v>
      </c>
      <c r="W362" s="8" t="e">
        <f>INDEX(meta_Classifiers[Class - Generalization:src], MATCH(meta_Columns[[#This Row],[Generalization 3]],meta_Classifiers[ID],0))</f>
        <v>#N/A</v>
      </c>
      <c r="X362" s="8" t="str">
        <f>INDEX(meta_Classifiers[Class - Generalization:src], MATCH(meta_Columns[[#This Row],[Generalization 2]],meta_Classifiers[ID],0))</f>
        <v/>
      </c>
      <c r="Y362" s="8" t="str">
        <f>INDEX(meta_Classifiers[Class - Generalization:src], MATCH(meta_Columns[[#This Row],[Generalization 1]],meta_Classifiers[ID],0))</f>
        <v>_Object</v>
      </c>
      <c r="Z362" s="8" t="str">
        <f>INDEX(meta_Classifiers[Class - Generalization:src], MATCH(meta_Columns[[#This Row],[Owning Table Instances Class]],meta_Classifiers[ID],0))</f>
        <v>_NamedElement</v>
      </c>
      <c r="AA362"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2" s="8" t="b">
        <f>_xlfn.IFNA(
INDEX(meta_Classifiers[Class - Generalization:src],MATCH(
INDEX(meta_Classifiers[Class - Generalization:src],MATCH(meta_Columns[[#This Row],[Property Owning Class]],meta_Classifiers[ID],0)),meta_Classifiers[ID],0))
=meta_Columns[[#This Row],[Owning Table Instances Class]],FALSE)</f>
        <v>0</v>
      </c>
      <c r="AG362" s="8" t="b">
        <f>_xlfn.IFNA(INDEX(meta_Classifiers[Class - Generalization:src],MATCH(meta_Columns[[#This Row],[Property Owning Class]],meta_Classifiers[ID],0))=meta_Columns[[#This Row],[Owning Table Instances Class]],FALSE)</f>
        <v>0</v>
      </c>
      <c r="AH362"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2" s="8" t="e">
        <f>INDEX(meta_Classifiers[Name],MATCH(INDEX(meta_TypedModelElements[Property - Owning Class:src],MATCH(meta_Columns[[#This Row],[Property]],meta_TypedModelElements[ID],0)),meta_Classifiers[ID],0))</f>
        <v>#N/A</v>
      </c>
      <c r="AJ362" s="127" t="e">
        <f>INDEX(meta_TypedModelElements[Property - Owning Class:src],MATCH(meta_Columns[[#This Row],[Property]],meta_TypedModelElements[ID],0))</f>
        <v>#N/A</v>
      </c>
      <c r="AK362" s="8" t="e">
        <f>INDEX(meta_TypedModelElements[Kind:src],MATCH(meta_Columns[[#This Row],[Property]],meta_TypedModelElements[ID],0))</f>
        <v>#N/A</v>
      </c>
      <c r="AL362" s="127" t="e">
        <f>INDEX(meta_TypedModelElements[Name or Type],MATCH(meta_Columns[[#This Row],[Property]],meta_TypedModelElements[ID],0))</f>
        <v>#N/A</v>
      </c>
      <c r="AM362" s="127" t="e">
        <f>INDEX(meta_TypedModelElements[Property - Changeable],MATCH(meta_Columns[[#This Row],[Property]],meta_TypedModelElements[ID],0))</f>
        <v>#N/A</v>
      </c>
      <c r="AN362" s="43">
        <v>15</v>
      </c>
      <c r="AO362" s="22"/>
      <c r="AP362"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2" s="8" t="str">
        <f xml:space="preserve"> IF(meta_Columns[[#This Row],[Property Owning Class is Specialization of Instance Class]],meta_Columns[[#This Row],[Property Owning Class Name]]&amp;" - ","")</f>
        <v/>
      </c>
      <c r="AR3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Display Qualified</v>
      </c>
      <c r="AT362" s="8" t="str">
        <f>IFERROR(LEFT(meta_Columns[[#This Row],[Excel Column - Label Actual without Semantic Case]],FIND("-",
meta_Columns[[#This Row],[Excel Column - Label Actual without Semantic Case]])-2),"")</f>
        <v/>
      </c>
      <c r="AU3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Display Qualified</v>
      </c>
      <c r="AV3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Display Qualified</v>
      </c>
      <c r="AX362" s="126"/>
      <c r="AY362" s="8" t="e">
        <f>meta_Columns[[#This Row],[Owning Table]]&amp;"."&amp;meta_Columns[[#This Row],[Excel Column - Label]]</f>
        <v>#N/A</v>
      </c>
      <c r="AZ362" s="124"/>
      <c r="BA362" s="125" t="e">
        <f>IF(TRIM(meta_Columns[[#This Row],[Excel Column - Label Overwrite]])&lt;&gt;"",meta_Columns[[#This Row],[Excel Column - Label Overwrite]],meta_Columns[[#This Row],[Excel Column - Label from Property or Referenced Table]])</f>
        <v>#N/A</v>
      </c>
      <c r="BB362" s="124"/>
      <c r="BC362" s="125" t="str">
        <f>IF(meta_Columns[[#This Row],[Excel Column - Explicit Excel Formula]]="","",meta_Columns[[#This Row],[Excel Column - Explicit Excel Formula]])</f>
        <v/>
      </c>
      <c r="BD362" s="128"/>
      <c r="BE362" s="128"/>
    </row>
    <row r="363" spans="1:57">
      <c r="A363" s="10" t="s">
        <v>1408</v>
      </c>
      <c r="B363" s="5" t="s">
        <v>546</v>
      </c>
      <c r="C363" s="22" t="str">
        <f xml:space="preserve"> IF( TRIM( meta_Columns[[#This Row],[Kind:src]] ) = "", "",
        INDEX( meta_Classifiers[Display Qualified], MATCH( meta_Columns[[#This Row],[Kind:src]], meta_Classifiers[ID], 0 ) ) )</f>
        <v>ExcelColumn</v>
      </c>
      <c r="D363" s="44" t="str">
        <f>IF(meta_Columns[[#This Row],[Owning Table:src]]="","",INDEX(meta_Classifiers[Package],MATCH(meta_Columns[[#This Row],[Owning Table Instances Class]],meta_Classifiers[ID],0)))</f>
        <v>meta</v>
      </c>
      <c r="E363" s="43"/>
      <c r="F363" s="44" t="str">
        <f>INDEX(meta_Tables[Excel Table - Excel Name],MATCH(meta_Columns[[#This Row],[Owning Table:src]],meta_Tables[ID],0))</f>
        <v>meta_TypedModelElements</v>
      </c>
      <c r="G363" s="44" t="str">
        <f>INDEX(meta_Tables[Instances Class:src],MATCH(meta_Columns[[#This Row],[Owning Table:src]],meta_Tables[ID],0))</f>
        <v>_TypedModelElement</v>
      </c>
      <c r="H363" s="11" t="s">
        <v>1011</v>
      </c>
      <c r="I363" s="43" t="str">
        <f xml:space="preserve"> IF( TRIM( meta_Columns[[#This Row],[Owning Table:src]] ) = "", "",
        INDEX( meta_Tables[Display Qualified], MATCH( meta_Columns[[#This Row],[Owning Table:src]], meta_Tables[ID], 0 ) ) )</f>
        <v>meta::TypedModelElements</v>
      </c>
      <c r="K363" s="22" t="str">
        <f>IF(TRIM(meta_Columns[[#This Row],[Referenced Table:src]])="","",
    INDEX(meta_Tables[Display Qualified],MATCH(meta_Columns[[#This Row],[Referenced Table:src]],meta_Tables[ID],0)))</f>
        <v/>
      </c>
      <c r="L363" s="8"/>
      <c r="M363" s="22"/>
      <c r="N363" s="8" t="str">
        <f>IF(meta_Columns[[#This Row],[Excel Column - Excel Formula]]="","x","")</f>
        <v>x</v>
      </c>
      <c r="O363" s="22"/>
      <c r="P363" s="8" t="str">
        <f>IF(meta_Columns[[#This Row],[Referenced Table:src]]="","",INDEX(meta_Tables[Instances Class],MATCH(meta_Columns[[#This Row],[Referenced Table:src]],meta_Tables[ID],0)))</f>
        <v/>
      </c>
      <c r="Q3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meta::Function.parametersDisplay</v>
      </c>
      <c r="R363" s="8"/>
      <c r="S363" s="22" t="str">
        <f xml:space="preserve"> IF( TRIM( meta_Columns[[#This Row],[Property:src]] ) = "", "",
        INDEX( meta_TypedModelElements[Display Qualified], MATCH( meta_Columns[[#This Row],[Property:src]], meta_TypedModelElements[ID], 0 ) ) )</f>
        <v/>
      </c>
      <c r="T363" s="22"/>
      <c r="U363" s="8" t="e">
        <f>INDEX(meta_Classifiers[Class - Generalization:src], MATCH(meta_Columns[[#This Row],[Generalization 5]],meta_Classifiers[ID],0))</f>
        <v>#N/A</v>
      </c>
      <c r="V363" s="8" t="e">
        <f>INDEX(meta_Classifiers[Class - Generalization:src], MATCH(meta_Columns[[#This Row],[Generalization 4]],meta_Classifiers[ID],0))</f>
        <v>#N/A</v>
      </c>
      <c r="W363" s="8" t="e">
        <f>INDEX(meta_Classifiers[Class - Generalization:src], MATCH(meta_Columns[[#This Row],[Generalization 3]],meta_Classifiers[ID],0))</f>
        <v>#N/A</v>
      </c>
      <c r="X363" s="8" t="str">
        <f>INDEX(meta_Classifiers[Class - Generalization:src], MATCH(meta_Columns[[#This Row],[Generalization 2]],meta_Classifiers[ID],0))</f>
        <v/>
      </c>
      <c r="Y363" s="8" t="str">
        <f>INDEX(meta_Classifiers[Class - Generalization:src], MATCH(meta_Columns[[#This Row],[Generalization 1]],meta_Classifiers[ID],0))</f>
        <v>_Object</v>
      </c>
      <c r="Z363" s="8" t="str">
        <f>INDEX(meta_Classifiers[Class - Generalization:src], MATCH(meta_Columns[[#This Row],[Owning Table Instances Class]],meta_Classifiers[ID],0))</f>
        <v>_NamedElement</v>
      </c>
      <c r="AA3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3" s="8" t="b">
        <f>_xlfn.IFNA(
INDEX(meta_Classifiers[Class - Generalization:src],MATCH(
INDEX(meta_Classifiers[Class - Generalization:src],MATCH(meta_Columns[[#This Row],[Property Owning Class]],meta_Classifiers[ID],0)),meta_Classifiers[ID],0))
=meta_Columns[[#This Row],[Owning Table Instances Class]],FALSE)</f>
        <v>0</v>
      </c>
      <c r="AG363" s="8" t="b">
        <f>_xlfn.IFNA(INDEX(meta_Classifiers[Class - Generalization:src],MATCH(meta_Columns[[#This Row],[Property Owning Class]],meta_Classifiers[ID],0))=meta_Columns[[#This Row],[Owning Table Instances Class]],FALSE)</f>
        <v>0</v>
      </c>
      <c r="AH3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3" s="8" t="e">
        <f>INDEX(meta_Classifiers[Name],MATCH(INDEX(meta_TypedModelElements[Property - Owning Class:src],MATCH(meta_Columns[[#This Row],[Property]],meta_TypedModelElements[ID],0)),meta_Classifiers[ID],0))</f>
        <v>#N/A</v>
      </c>
      <c r="AJ363" s="8" t="e">
        <f>INDEX(meta_TypedModelElements[Property - Owning Class:src],MATCH(meta_Columns[[#This Row],[Property]],meta_TypedModelElements[ID],0))</f>
        <v>#N/A</v>
      </c>
      <c r="AK363" s="8" t="e">
        <f>INDEX(meta_TypedModelElements[Kind:src],MATCH(meta_Columns[[#This Row],[Property]],meta_TypedModelElements[ID],0))</f>
        <v>#N/A</v>
      </c>
      <c r="AL363" s="8" t="e">
        <f>INDEX(meta_TypedModelElements[Name or Type],MATCH(meta_Columns[[#This Row],[Property]],meta_TypedModelElements[ID],0))</f>
        <v>#N/A</v>
      </c>
      <c r="AM363" s="8" t="e">
        <f>INDEX(meta_TypedModelElements[Property - Changeable],MATCH(meta_Columns[[#This Row],[Property]],meta_TypedModelElements[ID],0))</f>
        <v>#N/A</v>
      </c>
      <c r="AN363" s="43">
        <v>16</v>
      </c>
      <c r="AO363" s="22">
        <v>9</v>
      </c>
      <c r="AP3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3" s="8" t="str">
        <f xml:space="preserve"> IF(meta_Columns[[#This Row],[Property Owning Class is Specialization of Instance Class]],meta_Columns[[#This Row],[Property Owning Class Name]]&amp;" - ","")</f>
        <v/>
      </c>
      <c r="AR3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Display</v>
      </c>
      <c r="AT363" s="8" t="str">
        <f>IFERROR(LEFT(meta_Columns[[#This Row],[Excel Column - Label Actual without Semantic Case]],FIND("-",
meta_Columns[[#This Row],[Excel Column - Label Actual without Semantic Case]])-2),"")</f>
        <v>Function</v>
      </c>
      <c r="AU3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Display</v>
      </c>
      <c r="AV3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Display</v>
      </c>
      <c r="AX363" s="22"/>
      <c r="AY363" s="8" t="str">
        <f>meta_Columns[[#This Row],[Owning Table]]&amp;"."&amp;meta_Columns[[#This Row],[Excel Column - Label]]</f>
        <v>meta::TypedModelElements.Function - Parameters Display</v>
      </c>
      <c r="AZ363" s="43" t="s">
        <v>358</v>
      </c>
      <c r="BA363" s="44" t="str">
        <f>IF(TRIM(meta_Columns[[#This Row],[Excel Column - Label Overwrite]])&lt;&gt;"",meta_Columns[[#This Row],[Excel Column - Label Overwrite]],meta_Columns[[#This Row],[Excel Column - Label from Property or Referenced Table]])</f>
        <v>Function - Parameters Display</v>
      </c>
      <c r="BB363" s="43"/>
      <c r="BC363" s="44" t="str">
        <f>IF(meta_Columns[[#This Row],[Excel Column - Explicit Excel Formula]]="","",meta_Columns[[#This Row],[Excel Column - Explicit Excel Formula]])</f>
        <v/>
      </c>
      <c r="BD363" s="5"/>
      <c r="BE363" s="5"/>
    </row>
    <row r="364" spans="1:57">
      <c r="A364" s="10" t="s">
        <v>1409</v>
      </c>
      <c r="B364" s="5" t="s">
        <v>546</v>
      </c>
      <c r="C364" s="22" t="str">
        <f xml:space="preserve"> IF( TRIM( meta_Columns[[#This Row],[Kind:src]] ) = "", "",
        INDEX( meta_Classifiers[Display Qualified], MATCH( meta_Columns[[#This Row],[Kind:src]], meta_Classifiers[ID], 0 ) ) )</f>
        <v>ExcelColumn</v>
      </c>
      <c r="D364" s="44" t="str">
        <f>IF(meta_Columns[[#This Row],[Owning Table:src]]="","",INDEX(meta_Classifiers[Package],MATCH(meta_Columns[[#This Row],[Owning Table Instances Class]],meta_Classifiers[ID],0)))</f>
        <v>meta</v>
      </c>
      <c r="E364" s="43"/>
      <c r="F364" s="44" t="str">
        <f>INDEX(meta_Tables[Excel Table - Excel Name],MATCH(meta_Columns[[#This Row],[Owning Table:src]],meta_Tables[ID],0))</f>
        <v>meta_TypedModelElements</v>
      </c>
      <c r="G364" s="44" t="str">
        <f>INDEX(meta_Tables[Instances Class:src],MATCH(meta_Columns[[#This Row],[Owning Table:src]],meta_Tables[ID],0))</f>
        <v>_TypedModelElement</v>
      </c>
      <c r="H364" s="11" t="s">
        <v>1011</v>
      </c>
      <c r="I364" s="43" t="str">
        <f xml:space="preserve"> IF( TRIM( meta_Columns[[#This Row],[Owning Table:src]] ) = "", "",
        INDEX( meta_Tables[Display Qualified], MATCH( meta_Columns[[#This Row],[Owning Table:src]], meta_Tables[ID], 0 ) ) )</f>
        <v>meta::TypedModelElements</v>
      </c>
      <c r="K364" s="22" t="str">
        <f>IF(TRIM(meta_Columns[[#This Row],[Referenced Table:src]])="","",
    INDEX(meta_Tables[Display Qualified],MATCH(meta_Columns[[#This Row],[Referenced Table:src]],meta_Tables[ID],0)))</f>
        <v/>
      </c>
      <c r="L364" s="8"/>
      <c r="M364" s="22"/>
      <c r="N364" s="8" t="str">
        <f>IF(meta_Columns[[#This Row],[Excel Column - Excel Formula]]="","x","")</f>
        <v>x</v>
      </c>
      <c r="O364" s="22"/>
      <c r="P364" s="8" t="str">
        <f>IF(meta_Columns[[#This Row],[Referenced Table:src]]="","",INDEX(meta_Tables[Instances Class],MATCH(meta_Columns[[#This Row],[Referenced Table:src]],meta_Tables[ID],0)))</f>
        <v/>
      </c>
      <c r="Q3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meta::Function.parametersInVBA_Header</v>
      </c>
      <c r="R364" s="8"/>
      <c r="S364" s="22" t="str">
        <f xml:space="preserve"> IF( TRIM( meta_Columns[[#This Row],[Property:src]] ) = "", "",
        INDEX( meta_TypedModelElements[Display Qualified], MATCH( meta_Columns[[#This Row],[Property:src]], meta_TypedModelElements[ID], 0 ) ) )</f>
        <v/>
      </c>
      <c r="T364" s="22"/>
      <c r="U364" s="8" t="e">
        <f>INDEX(meta_Classifiers[Class - Generalization:src], MATCH(meta_Columns[[#This Row],[Generalization 5]],meta_Classifiers[ID],0))</f>
        <v>#N/A</v>
      </c>
      <c r="V364" s="8" t="e">
        <f>INDEX(meta_Classifiers[Class - Generalization:src], MATCH(meta_Columns[[#This Row],[Generalization 4]],meta_Classifiers[ID],0))</f>
        <v>#N/A</v>
      </c>
      <c r="W364" s="8" t="e">
        <f>INDEX(meta_Classifiers[Class - Generalization:src], MATCH(meta_Columns[[#This Row],[Generalization 3]],meta_Classifiers[ID],0))</f>
        <v>#N/A</v>
      </c>
      <c r="X364" s="8" t="str">
        <f>INDEX(meta_Classifiers[Class - Generalization:src], MATCH(meta_Columns[[#This Row],[Generalization 2]],meta_Classifiers[ID],0))</f>
        <v/>
      </c>
      <c r="Y364" s="8" t="str">
        <f>INDEX(meta_Classifiers[Class - Generalization:src], MATCH(meta_Columns[[#This Row],[Generalization 1]],meta_Classifiers[ID],0))</f>
        <v>_Object</v>
      </c>
      <c r="Z364" s="8" t="str">
        <f>INDEX(meta_Classifiers[Class - Generalization:src], MATCH(meta_Columns[[#This Row],[Owning Table Instances Class]],meta_Classifiers[ID],0))</f>
        <v>_NamedElement</v>
      </c>
      <c r="AA3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4" s="8" t="b">
        <f>_xlfn.IFNA(
INDEX(meta_Classifiers[Class - Generalization:src],MATCH(
INDEX(meta_Classifiers[Class - Generalization:src],MATCH(meta_Columns[[#This Row],[Property Owning Class]],meta_Classifiers[ID],0)),meta_Classifiers[ID],0))
=meta_Columns[[#This Row],[Owning Table Instances Class]],FALSE)</f>
        <v>0</v>
      </c>
      <c r="AG364" s="8" t="b">
        <f>_xlfn.IFNA(INDEX(meta_Classifiers[Class - Generalization:src],MATCH(meta_Columns[[#This Row],[Property Owning Class]],meta_Classifiers[ID],0))=meta_Columns[[#This Row],[Owning Table Instances Class]],FALSE)</f>
        <v>0</v>
      </c>
      <c r="AH3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4" s="8" t="e">
        <f>INDEX(meta_Classifiers[Name],MATCH(INDEX(meta_TypedModelElements[Property - Owning Class:src],MATCH(meta_Columns[[#This Row],[Property]],meta_TypedModelElements[ID],0)),meta_Classifiers[ID],0))</f>
        <v>#N/A</v>
      </c>
      <c r="AJ364" s="8" t="e">
        <f>INDEX(meta_TypedModelElements[Property - Owning Class:src],MATCH(meta_Columns[[#This Row],[Property]],meta_TypedModelElements[ID],0))</f>
        <v>#N/A</v>
      </c>
      <c r="AK364" s="8" t="e">
        <f>INDEX(meta_TypedModelElements[Kind:src],MATCH(meta_Columns[[#This Row],[Property]],meta_TypedModelElements[ID],0))</f>
        <v>#N/A</v>
      </c>
      <c r="AL364" s="8" t="e">
        <f>INDEX(meta_TypedModelElements[Name or Type],MATCH(meta_Columns[[#This Row],[Property]],meta_TypedModelElements[ID],0))</f>
        <v>#N/A</v>
      </c>
      <c r="AM364" s="8" t="e">
        <f>INDEX(meta_TypedModelElements[Property - Changeable],MATCH(meta_Columns[[#This Row],[Property]],meta_TypedModelElements[ID],0))</f>
        <v>#N/A</v>
      </c>
      <c r="AN364" s="43">
        <v>17</v>
      </c>
      <c r="AO364" s="22">
        <v>10</v>
      </c>
      <c r="AP3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4" s="8" t="str">
        <f xml:space="preserve"> IF(meta_Columns[[#This Row],[Property Owning Class is Specialization of Instance Class]],meta_Columns[[#This Row],[Property Owning Class Name]]&amp;" - ","")</f>
        <v/>
      </c>
      <c r="AR3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in VBA Header</v>
      </c>
      <c r="AT364" s="8" t="str">
        <f>IFERROR(LEFT(meta_Columns[[#This Row],[Excel Column - Label Actual without Semantic Case]],FIND("-",
meta_Columns[[#This Row],[Excel Column - Label Actual without Semantic Case]])-2),"")</f>
        <v>Function</v>
      </c>
      <c r="AU3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in VBA Header</v>
      </c>
      <c r="AV3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in VBA Header</v>
      </c>
      <c r="AX364" s="22"/>
      <c r="AY364" s="8" t="str">
        <f>meta_Columns[[#This Row],[Owning Table]]&amp;"."&amp;meta_Columns[[#This Row],[Excel Column - Label]]</f>
        <v>meta::TypedModelElements.Function - Parameters in VBA Header</v>
      </c>
      <c r="AZ364" s="43" t="s">
        <v>444</v>
      </c>
      <c r="BA364" s="44" t="str">
        <f>IF(TRIM(meta_Columns[[#This Row],[Excel Column - Label Overwrite]])&lt;&gt;"",meta_Columns[[#This Row],[Excel Column - Label Overwrite]],meta_Columns[[#This Row],[Excel Column - Label from Property or Referenced Table]])</f>
        <v>Function - Parameters in VBA Header</v>
      </c>
      <c r="BB364" s="43"/>
      <c r="BC364" s="44" t="str">
        <f>IF(meta_Columns[[#This Row],[Excel Column - Explicit Excel Formula]]="","",meta_Columns[[#This Row],[Excel Column - Explicit Excel Formula]])</f>
        <v/>
      </c>
      <c r="BD364" s="5"/>
      <c r="BE364" s="5"/>
    </row>
    <row r="365" spans="1:57">
      <c r="A365" s="10" t="s">
        <v>1308</v>
      </c>
      <c r="B365" s="5" t="s">
        <v>546</v>
      </c>
      <c r="C365" s="22" t="str">
        <f xml:space="preserve"> IF( TRIM( meta_Columns[[#This Row],[Kind:src]] ) = "", "",
        INDEX( meta_Classifiers[Display Qualified], MATCH( meta_Columns[[#This Row],[Kind:src]], meta_Classifiers[ID], 0 ) ) )</f>
        <v>ExcelColumn</v>
      </c>
      <c r="D365" s="44" t="str">
        <f>IF(meta_Columns[[#This Row],[Owning Table:src]]="","",INDEX(meta_Classifiers[Package],MATCH(meta_Columns[[#This Row],[Owning Table Instances Class]],meta_Classifiers[ID],0)))</f>
        <v>meta</v>
      </c>
      <c r="E365" s="43"/>
      <c r="F365" s="44" t="str">
        <f>INDEX(meta_Tables[Excel Table - Excel Name],MATCH(meta_Columns[[#This Row],[Owning Table:src]],meta_Tables[ID],0))</f>
        <v>meta_TypedModelElements</v>
      </c>
      <c r="G365" s="44" t="str">
        <f>INDEX(meta_Tables[Instances Class:src],MATCH(meta_Columns[[#This Row],[Owning Table:src]],meta_Tables[ID],0))</f>
        <v>_TypedModelElement</v>
      </c>
      <c r="H365" s="11" t="s">
        <v>1011</v>
      </c>
      <c r="I365" s="43" t="str">
        <f xml:space="preserve"> IF( TRIM( meta_Columns[[#This Row],[Owning Table:src]] ) = "", "",
        INDEX( meta_Tables[Display Qualified], MATCH( meta_Columns[[#This Row],[Owning Table:src]], meta_Tables[ID], 0 ) ) )</f>
        <v>meta::TypedModelElements</v>
      </c>
      <c r="K365" s="22" t="str">
        <f>IF(TRIM(meta_Columns[[#This Row],[Referenced Table:src]])="","",
    INDEX(meta_Tables[Display Qualified],MATCH(meta_Columns[[#This Row],[Referenced Table:src]],meta_Tables[ID],0)))</f>
        <v/>
      </c>
      <c r="L365" s="8"/>
      <c r="M365" s="22"/>
      <c r="N365" s="8" t="str">
        <f>IF(meta_Columns[[#This Row],[Excel Column - Excel Formula]]="","x","")</f>
        <v/>
      </c>
      <c r="O365" s="22"/>
      <c r="P365" s="8" t="str">
        <f>IF(meta_Columns[[#This Row],[Referenced Table:src]]="","",INDEX(meta_Tables[Instances Class],MATCH(meta_Columns[[#This Row],[Referenced Table:src]],meta_Tables[ID],0)))</f>
        <v/>
      </c>
      <c r="Q3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5" s="8" t="s">
        <v>478</v>
      </c>
      <c r="S365" s="22" t="str">
        <f xml:space="preserve"> IF( TRIM( meta_Columns[[#This Row],[Property:src]] ) = "", "",
        INDEX( meta_TypedModelElements[Display Qualified], MATCH( meta_Columns[[#This Row],[Property:src]], meta_TypedModelElements[ID], 0 ) ) )</f>
        <v>meta::Object.display</v>
      </c>
      <c r="T365" s="22" t="s">
        <v>477</v>
      </c>
      <c r="U365" s="8" t="e">
        <f>INDEX(meta_Classifiers[Class - Generalization:src], MATCH(meta_Columns[[#This Row],[Generalization 5]],meta_Classifiers[ID],0))</f>
        <v>#N/A</v>
      </c>
      <c r="V365" s="8" t="e">
        <f>INDEX(meta_Classifiers[Class - Generalization:src], MATCH(meta_Columns[[#This Row],[Generalization 4]],meta_Classifiers[ID],0))</f>
        <v>#N/A</v>
      </c>
      <c r="W365" s="8" t="e">
        <f>INDEX(meta_Classifiers[Class - Generalization:src], MATCH(meta_Columns[[#This Row],[Generalization 3]],meta_Classifiers[ID],0))</f>
        <v>#N/A</v>
      </c>
      <c r="X365" s="8" t="str">
        <f>INDEX(meta_Classifiers[Class - Generalization:src], MATCH(meta_Columns[[#This Row],[Generalization 2]],meta_Classifiers[ID],0))</f>
        <v/>
      </c>
      <c r="Y365" s="8" t="str">
        <f>INDEX(meta_Classifiers[Class - Generalization:src], MATCH(meta_Columns[[#This Row],[Generalization 1]],meta_Classifiers[ID],0))</f>
        <v>_Object</v>
      </c>
      <c r="Z365" s="8" t="str">
        <f>INDEX(meta_Classifiers[Class - Generalization:src], MATCH(meta_Columns[[#This Row],[Owning Table Instances Class]],meta_Classifiers[ID],0))</f>
        <v>_NamedElement</v>
      </c>
      <c r="AA3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5" s="8" t="b">
        <f>_xlfn.IFNA(
INDEX(meta_Classifiers[Class - Generalization:src],MATCH(
INDEX(meta_Classifiers[Class - Generalization:src],MATCH(meta_Columns[[#This Row],[Property Owning Class]],meta_Classifiers[ID],0)),meta_Classifiers[ID],0))
=meta_Columns[[#This Row],[Owning Table Instances Class]],FALSE)</f>
        <v>0</v>
      </c>
      <c r="AG365" s="8" t="b">
        <f>_xlfn.IFNA(INDEX(meta_Classifiers[Class - Generalization:src],MATCH(meta_Columns[[#This Row],[Property Owning Class]],meta_Classifiers[ID],0))=meta_Columns[[#This Row],[Owning Table Instances Class]],FALSE)</f>
        <v>0</v>
      </c>
      <c r="AH3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5" s="8" t="str">
        <f>INDEX(meta_Classifiers[Name],MATCH(INDEX(meta_TypedModelElements[Property - Owning Class:src],MATCH(meta_Columns[[#This Row],[Property]],meta_TypedModelElements[ID],0)),meta_Classifiers[ID],0))</f>
        <v>Object</v>
      </c>
      <c r="AJ365" s="8" t="str">
        <f>INDEX(meta_TypedModelElements[Property - Owning Class:src],MATCH(meta_Columns[[#This Row],[Property]],meta_TypedModelElements[ID],0))</f>
        <v>_Object</v>
      </c>
      <c r="AK365" s="8" t="str">
        <f>INDEX(meta_TypedModelElements[Kind:src],MATCH(meta_Columns[[#This Row],[Property]],meta_TypedModelElements[ID],0))</f>
        <v>_Attribute</v>
      </c>
      <c r="AL365" s="8" t="str">
        <f>INDEX(meta_TypedModelElements[Name or Type],MATCH(meta_Columns[[#This Row],[Property]],meta_TypedModelElements[ID],0))</f>
        <v>Display</v>
      </c>
      <c r="AM365" s="8">
        <f>INDEX(meta_TypedModelElements[Property - Changeable],MATCH(meta_Columns[[#This Row],[Property]],meta_TypedModelElements[ID],0))</f>
        <v>0</v>
      </c>
      <c r="AN365" s="43">
        <v>18</v>
      </c>
      <c r="AO365" s="22"/>
      <c r="AP3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65" s="8" t="str">
        <f xml:space="preserve"> IF(meta_Columns[[#This Row],[Property Owning Class is Specialization of Instance Class]],meta_Columns[[#This Row],[Property Owning Class Name]]&amp;" - ","")</f>
        <v/>
      </c>
      <c r="AR3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65" s="8" t="str">
        <f>IFERROR(LEFT(meta_Columns[[#This Row],[Excel Column - Label Actual without Semantic Case]],FIND("-",
meta_Columns[[#This Row],[Excel Column - Label Actual without Semantic Case]])-2),"")</f>
        <v/>
      </c>
      <c r="AU3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65" s="22"/>
      <c r="AY365" s="8" t="str">
        <f>meta_Columns[[#This Row],[Owning Table]]&amp;"."&amp;meta_Columns[[#This Row],[Excel Column - Label]]</f>
        <v>meta::TypedModelElements.Display</v>
      </c>
      <c r="AZ365" s="43" t="s">
        <v>32</v>
      </c>
      <c r="BA365" s="44" t="str">
        <f>IF(TRIM(meta_Columns[[#This Row],[Excel Column - Label Overwrite]])&lt;&gt;"",meta_Columns[[#This Row],[Excel Column - Label Overwrite]],meta_Columns[[#This Row],[Excel Column - Label from Property or Referenced Table]])</f>
        <v>Display</v>
      </c>
      <c r="BB365" s="43" t="s">
        <v>875</v>
      </c>
      <c r="BC365" s="44" t="str">
        <f>IF(meta_Columns[[#This Row],[Excel Column - Explicit Excel Formula]]="","",meta_Columns[[#This Row],[Excel Column - Explicit Excel Formula]])</f>
        <v>Formula:=IF([@[Containing Class:display]]="","",[@[Containing Class:display]]&amp;".")&amp;[@[Display without Class]]</v>
      </c>
      <c r="BD365" s="5"/>
      <c r="BE365" s="5"/>
    </row>
    <row r="366" spans="1:57">
      <c r="A366" s="10" t="s">
        <v>1309</v>
      </c>
      <c r="B366" s="5" t="s">
        <v>546</v>
      </c>
      <c r="C366" s="22" t="str">
        <f xml:space="preserve"> IF( TRIM( meta_Columns[[#This Row],[Kind:src]] ) = "", "",
        INDEX( meta_Classifiers[Display Qualified], MATCH( meta_Columns[[#This Row],[Kind:src]], meta_Classifiers[ID], 0 ) ) )</f>
        <v>ExcelColumn</v>
      </c>
      <c r="D366" s="44" t="str">
        <f>IF(meta_Columns[[#This Row],[Owning Table:src]]="","",INDEX(meta_Classifiers[Package],MATCH(meta_Columns[[#This Row],[Owning Table Instances Class]],meta_Classifiers[ID],0)))</f>
        <v>meta</v>
      </c>
      <c r="E366" s="43"/>
      <c r="F366" s="44" t="str">
        <f>INDEX(meta_Tables[Excel Table - Excel Name],MATCH(meta_Columns[[#This Row],[Owning Table:src]],meta_Tables[ID],0))</f>
        <v>meta_TypedModelElements</v>
      </c>
      <c r="G366" s="44" t="str">
        <f>INDEX(meta_Tables[Instances Class:src],MATCH(meta_Columns[[#This Row],[Owning Table:src]],meta_Tables[ID],0))</f>
        <v>_TypedModelElement</v>
      </c>
      <c r="H366" s="11" t="s">
        <v>1011</v>
      </c>
      <c r="I366" s="43" t="str">
        <f xml:space="preserve"> IF( TRIM( meta_Columns[[#This Row],[Owning Table:src]] ) = "", "",
        INDEX( meta_Tables[Display Qualified], MATCH( meta_Columns[[#This Row],[Owning Table:src]], meta_Tables[ID], 0 ) ) )</f>
        <v>meta::TypedModelElements</v>
      </c>
      <c r="K366" s="22" t="str">
        <f>IF(TRIM(meta_Columns[[#This Row],[Referenced Table:src]])="","",
    INDEX(meta_Tables[Display Qualified],MATCH(meta_Columns[[#This Row],[Referenced Table:src]],meta_Tables[ID],0)))</f>
        <v/>
      </c>
      <c r="L366" s="8"/>
      <c r="M366" s="22"/>
      <c r="N366" s="8" t="str">
        <f>IF(meta_Columns[[#This Row],[Excel Column - Excel Formula]]="","x","")</f>
        <v/>
      </c>
      <c r="O366" s="22"/>
      <c r="P366" s="8" t="str">
        <f>IF(meta_Columns[[#This Row],[Referenced Table:src]]="","",INDEX(meta_Tables[Instances Class],MATCH(meta_Columns[[#This Row],[Referenced Table:src]],meta_Tables[ID],0)))</f>
        <v/>
      </c>
      <c r="Q3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meta::TypedModelElement.nameOrTypeCamelCaseLower</v>
      </c>
      <c r="R366" s="8"/>
      <c r="S366" s="22" t="str">
        <f xml:space="preserve"> IF( TRIM( meta_Columns[[#This Row],[Property:src]] ) = "", "",
        INDEX( meta_TypedModelElements[Display Qualified], MATCH( meta_Columns[[#This Row],[Property:src]], meta_TypedModelElements[ID], 0 ) ) )</f>
        <v/>
      </c>
      <c r="T366" s="22"/>
      <c r="U366" s="8" t="e">
        <f>INDEX(meta_Classifiers[Class - Generalization:src], MATCH(meta_Columns[[#This Row],[Generalization 5]],meta_Classifiers[ID],0))</f>
        <v>#N/A</v>
      </c>
      <c r="V366" s="8" t="e">
        <f>INDEX(meta_Classifiers[Class - Generalization:src], MATCH(meta_Columns[[#This Row],[Generalization 4]],meta_Classifiers[ID],0))</f>
        <v>#N/A</v>
      </c>
      <c r="W366" s="8" t="e">
        <f>INDEX(meta_Classifiers[Class - Generalization:src], MATCH(meta_Columns[[#This Row],[Generalization 3]],meta_Classifiers[ID],0))</f>
        <v>#N/A</v>
      </c>
      <c r="X366" s="8" t="str">
        <f>INDEX(meta_Classifiers[Class - Generalization:src], MATCH(meta_Columns[[#This Row],[Generalization 2]],meta_Classifiers[ID],0))</f>
        <v/>
      </c>
      <c r="Y366" s="8" t="str">
        <f>INDEX(meta_Classifiers[Class - Generalization:src], MATCH(meta_Columns[[#This Row],[Generalization 1]],meta_Classifiers[ID],0))</f>
        <v>_Object</v>
      </c>
      <c r="Z366" s="8" t="str">
        <f>INDEX(meta_Classifiers[Class - Generalization:src], MATCH(meta_Columns[[#This Row],[Owning Table Instances Class]],meta_Classifiers[ID],0))</f>
        <v>_NamedElement</v>
      </c>
      <c r="AA3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6" s="8" t="b">
        <f>_xlfn.IFNA(
INDEX(meta_Classifiers[Class - Generalization:src],MATCH(
INDEX(meta_Classifiers[Class - Generalization:src],MATCH(meta_Columns[[#This Row],[Property Owning Class]],meta_Classifiers[ID],0)),meta_Classifiers[ID],0))
=meta_Columns[[#This Row],[Owning Table Instances Class]],FALSE)</f>
        <v>0</v>
      </c>
      <c r="AG366" s="8" t="b">
        <f>_xlfn.IFNA(INDEX(meta_Classifiers[Class - Generalization:src],MATCH(meta_Columns[[#This Row],[Property Owning Class]],meta_Classifiers[ID],0))=meta_Columns[[#This Row],[Owning Table Instances Class]],FALSE)</f>
        <v>0</v>
      </c>
      <c r="AH3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6" s="8" t="e">
        <f>INDEX(meta_Classifiers[Name],MATCH(INDEX(meta_TypedModelElements[Property - Owning Class:src],MATCH(meta_Columns[[#This Row],[Property]],meta_TypedModelElements[ID],0)),meta_Classifiers[ID],0))</f>
        <v>#N/A</v>
      </c>
      <c r="AJ366" s="8" t="e">
        <f>INDEX(meta_TypedModelElements[Property - Owning Class:src],MATCH(meta_Columns[[#This Row],[Property]],meta_TypedModelElements[ID],0))</f>
        <v>#N/A</v>
      </c>
      <c r="AK366" s="8" t="e">
        <f>INDEX(meta_TypedModelElements[Kind:src],MATCH(meta_Columns[[#This Row],[Property]],meta_TypedModelElements[ID],0))</f>
        <v>#N/A</v>
      </c>
      <c r="AL366" s="8" t="e">
        <f>INDEX(meta_TypedModelElements[Name or Type],MATCH(meta_Columns[[#This Row],[Property]],meta_TypedModelElements[ID],0))</f>
        <v>#N/A</v>
      </c>
      <c r="AM366" s="8" t="e">
        <f>INDEX(meta_TypedModelElements[Property - Changeable],MATCH(meta_Columns[[#This Row],[Property]],meta_TypedModelElements[ID],0))</f>
        <v>#N/A</v>
      </c>
      <c r="AN366" s="43">
        <v>19</v>
      </c>
      <c r="AO366" s="22"/>
      <c r="AP3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6" s="8" t="str">
        <f xml:space="preserve"> IF(meta_Columns[[#This Row],[Property Owning Class is Specialization of Instance Class]],meta_Columns[[#This Row],[Property Owning Class Name]]&amp;" - ","")</f>
        <v/>
      </c>
      <c r="AR3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 Camel Case Lower</v>
      </c>
      <c r="AT366" s="8" t="str">
        <f>IFERROR(LEFT(meta_Columns[[#This Row],[Excel Column - Label Actual without Semantic Case]],FIND("-",
meta_Columns[[#This Row],[Excel Column - Label Actual without Semantic Case]])-2),"")</f>
        <v/>
      </c>
      <c r="AU3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 Camel Case Lower</v>
      </c>
      <c r="AV3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 Camel Case Lower</v>
      </c>
      <c r="AX366" s="22"/>
      <c r="AY366" s="8" t="str">
        <f>meta_Columns[[#This Row],[Owning Table]]&amp;"."&amp;meta_Columns[[#This Row],[Excel Column - Label]]</f>
        <v>meta::TypedModelElements.Name or Type Camel Case Lower</v>
      </c>
      <c r="AZ366" s="43" t="s">
        <v>442</v>
      </c>
      <c r="BA366" s="44" t="str">
        <f>IF(TRIM(meta_Columns[[#This Row],[Excel Column - Label Overwrite]])&lt;&gt;"",meta_Columns[[#This Row],[Excel Column - Label Overwrite]],meta_Columns[[#This Row],[Excel Column - Label from Property or Referenced Table]])</f>
        <v>Name or Type Camel Case Lower</v>
      </c>
      <c r="BB366" s="43" t="s">
        <v>1410</v>
      </c>
      <c r="BC366" s="44" t="str">
        <f>IF(meta_Columns[[#This Row],[Excel Column - Explicit Excel Formula]]="","",meta_Columns[[#This Row],[Excel Column - Explicit Excel Formula]])</f>
        <v>Formula:=camelCaseLower([@[Name or Type]])</v>
      </c>
      <c r="BD366" s="5"/>
      <c r="BE366" s="5"/>
    </row>
    <row r="367" spans="1:57">
      <c r="A367" s="10" t="s">
        <v>1310</v>
      </c>
      <c r="B367" s="5" t="s">
        <v>546</v>
      </c>
      <c r="C367" s="22" t="str">
        <f xml:space="preserve"> IF( TRIM( meta_Columns[[#This Row],[Kind:src]] ) = "", "",
        INDEX( meta_Classifiers[Display Qualified], MATCH( meta_Columns[[#This Row],[Kind:src]], meta_Classifiers[ID], 0 ) ) )</f>
        <v>ExcelColumn</v>
      </c>
      <c r="D367" s="44" t="str">
        <f>IF(meta_Columns[[#This Row],[Owning Table:src]]="","",INDEX(meta_Classifiers[Package],MATCH(meta_Columns[[#This Row],[Owning Table Instances Class]],meta_Classifiers[ID],0)))</f>
        <v>meta</v>
      </c>
      <c r="E367" s="43"/>
      <c r="F367" s="44" t="str">
        <f>INDEX(meta_Tables[Excel Table - Excel Name],MATCH(meta_Columns[[#This Row],[Owning Table:src]],meta_Tables[ID],0))</f>
        <v>meta_TypedModelElements</v>
      </c>
      <c r="G367" s="44" t="str">
        <f>INDEX(meta_Tables[Instances Class:src],MATCH(meta_Columns[[#This Row],[Owning Table:src]],meta_Tables[ID],0))</f>
        <v>_TypedModelElement</v>
      </c>
      <c r="H367" s="11" t="s">
        <v>1011</v>
      </c>
      <c r="I367" s="43" t="str">
        <f xml:space="preserve"> IF( TRIM( meta_Columns[[#This Row],[Owning Table:src]] ) = "", "",
        INDEX( meta_Tables[Display Qualified], MATCH( meta_Columns[[#This Row],[Owning Table:src]], meta_Tables[ID], 0 ) ) )</f>
        <v>meta::TypedModelElements</v>
      </c>
      <c r="K367" s="22" t="str">
        <f>IF(TRIM(meta_Columns[[#This Row],[Referenced Table:src]])="","",
    INDEX(meta_Tables[Display Qualified],MATCH(meta_Columns[[#This Row],[Referenced Table:src]],meta_Tables[ID],0)))</f>
        <v/>
      </c>
      <c r="L367" s="8"/>
      <c r="M367" s="22"/>
      <c r="N367" s="8" t="str">
        <f>IF(meta_Columns[[#This Row],[Excel Column - Excel Formula]]="","x","")</f>
        <v/>
      </c>
      <c r="O367" s="22"/>
      <c r="P367" s="8" t="str">
        <f>IF(meta_Columns[[#This Row],[Referenced Table:src]]="","",INDEX(meta_Tables[Instances Class],MATCH(meta_Columns[[#This Row],[Referenced Table:src]],meta_Tables[ID],0)))</f>
        <v/>
      </c>
      <c r="Q3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meta::TypedModelElement.displayWithoutClass</v>
      </c>
      <c r="R367" s="8"/>
      <c r="S367" s="22" t="str">
        <f xml:space="preserve"> IF( TRIM( meta_Columns[[#This Row],[Property:src]] ) = "", "",
        INDEX( meta_TypedModelElements[Display Qualified], MATCH( meta_Columns[[#This Row],[Property:src]], meta_TypedModelElements[ID], 0 ) ) )</f>
        <v/>
      </c>
      <c r="T367" s="22"/>
      <c r="U367" s="8" t="e">
        <f>INDEX(meta_Classifiers[Class - Generalization:src], MATCH(meta_Columns[[#This Row],[Generalization 5]],meta_Classifiers[ID],0))</f>
        <v>#N/A</v>
      </c>
      <c r="V367" s="8" t="e">
        <f>INDEX(meta_Classifiers[Class - Generalization:src], MATCH(meta_Columns[[#This Row],[Generalization 4]],meta_Classifiers[ID],0))</f>
        <v>#N/A</v>
      </c>
      <c r="W367" s="8" t="e">
        <f>INDEX(meta_Classifiers[Class - Generalization:src], MATCH(meta_Columns[[#This Row],[Generalization 3]],meta_Classifiers[ID],0))</f>
        <v>#N/A</v>
      </c>
      <c r="X367" s="8" t="str">
        <f>INDEX(meta_Classifiers[Class - Generalization:src], MATCH(meta_Columns[[#This Row],[Generalization 2]],meta_Classifiers[ID],0))</f>
        <v/>
      </c>
      <c r="Y367" s="8" t="str">
        <f>INDEX(meta_Classifiers[Class - Generalization:src], MATCH(meta_Columns[[#This Row],[Generalization 1]],meta_Classifiers[ID],0))</f>
        <v>_Object</v>
      </c>
      <c r="Z367" s="8" t="str">
        <f>INDEX(meta_Classifiers[Class - Generalization:src], MATCH(meta_Columns[[#This Row],[Owning Table Instances Class]],meta_Classifiers[ID],0))</f>
        <v>_NamedElement</v>
      </c>
      <c r="AA3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7" s="8" t="b">
        <f>_xlfn.IFNA(
INDEX(meta_Classifiers[Class - Generalization:src],MATCH(
INDEX(meta_Classifiers[Class - Generalization:src],MATCH(meta_Columns[[#This Row],[Property Owning Class]],meta_Classifiers[ID],0)),meta_Classifiers[ID],0))
=meta_Columns[[#This Row],[Owning Table Instances Class]],FALSE)</f>
        <v>0</v>
      </c>
      <c r="AG367" s="8" t="b">
        <f>_xlfn.IFNA(INDEX(meta_Classifiers[Class - Generalization:src],MATCH(meta_Columns[[#This Row],[Property Owning Class]],meta_Classifiers[ID],0))=meta_Columns[[#This Row],[Owning Table Instances Class]],FALSE)</f>
        <v>0</v>
      </c>
      <c r="AH3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7" s="8" t="e">
        <f>INDEX(meta_Classifiers[Name],MATCH(INDEX(meta_TypedModelElements[Property - Owning Class:src],MATCH(meta_Columns[[#This Row],[Property]],meta_TypedModelElements[ID],0)),meta_Classifiers[ID],0))</f>
        <v>#N/A</v>
      </c>
      <c r="AJ367" s="8" t="e">
        <f>INDEX(meta_TypedModelElements[Property - Owning Class:src],MATCH(meta_Columns[[#This Row],[Property]],meta_TypedModelElements[ID],0))</f>
        <v>#N/A</v>
      </c>
      <c r="AK367" s="8" t="e">
        <f>INDEX(meta_TypedModelElements[Kind:src],MATCH(meta_Columns[[#This Row],[Property]],meta_TypedModelElements[ID],0))</f>
        <v>#N/A</v>
      </c>
      <c r="AL367" s="8" t="e">
        <f>INDEX(meta_TypedModelElements[Name or Type],MATCH(meta_Columns[[#This Row],[Property]],meta_TypedModelElements[ID],0))</f>
        <v>#N/A</v>
      </c>
      <c r="AM367" s="8" t="e">
        <f>INDEX(meta_TypedModelElements[Property - Changeable],MATCH(meta_Columns[[#This Row],[Property]],meta_TypedModelElements[ID],0))</f>
        <v>#N/A</v>
      </c>
      <c r="AN367" s="43">
        <v>20</v>
      </c>
      <c r="AO367" s="22"/>
      <c r="AP3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7" s="8" t="str">
        <f xml:space="preserve"> IF(meta_Columns[[#This Row],[Property Owning Class is Specialization of Instance Class]],meta_Columns[[#This Row],[Property Owning Class Name]]&amp;" - ","")</f>
        <v/>
      </c>
      <c r="AR3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without Class</v>
      </c>
      <c r="AT367" s="8" t="str">
        <f>IFERROR(LEFT(meta_Columns[[#This Row],[Excel Column - Label Actual without Semantic Case]],FIND("-",
meta_Columns[[#This Row],[Excel Column - Label Actual without Semantic Case]])-2),"")</f>
        <v/>
      </c>
      <c r="AU3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without Class</v>
      </c>
      <c r="AV3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without Class</v>
      </c>
      <c r="AX367" s="22"/>
      <c r="AY367" s="8" t="str">
        <f>meta_Columns[[#This Row],[Owning Table]]&amp;"."&amp;meta_Columns[[#This Row],[Excel Column - Label]]</f>
        <v>meta::TypedModelElements.Display without Class</v>
      </c>
      <c r="AZ367" s="43" t="s">
        <v>443</v>
      </c>
      <c r="BA367" s="44" t="str">
        <f>IF(TRIM(meta_Columns[[#This Row],[Excel Column - Label Overwrite]])&lt;&gt;"",meta_Columns[[#This Row],[Excel Column - Label Overwrite]],meta_Columns[[#This Row],[Excel Column - Label from Property or Referenced Table]])</f>
        <v>Display without Class</v>
      </c>
      <c r="BB367" s="43" t="s">
        <v>953</v>
      </c>
      <c r="BC367" s="44" t="str">
        <f>IF(meta_Columns[[#This Row],[Excel Column - Explicit Excel Formula]]="","",meta_Columns[[#This Row],[Excel Column - Explicit Excel Formula]])</f>
        <v>Formula:=IF([@[Name or Type]]="","",[@[Name or Type Camel Case Lower]])&amp;IF([@[Kind:srcLastSaved]]="_Function","("&amp;[@[Function - Parameters Display]]&amp;")","")</v>
      </c>
      <c r="BD367" s="5"/>
      <c r="BE367" s="5"/>
    </row>
    <row r="368" spans="1:57">
      <c r="A368" s="10" t="s">
        <v>1311</v>
      </c>
      <c r="B368" s="5" t="s">
        <v>546</v>
      </c>
      <c r="C368" s="22" t="str">
        <f xml:space="preserve"> IF( TRIM( meta_Columns[[#This Row],[Kind:src]] ) = "", "",
        INDEX( meta_Classifiers[Display Qualified], MATCH( meta_Columns[[#This Row],[Kind:src]], meta_Classifiers[ID], 0 ) ) )</f>
        <v>ExcelColumn</v>
      </c>
      <c r="D368" s="44" t="str">
        <f>IF(meta_Columns[[#This Row],[Owning Table:src]]="","",INDEX(meta_Classifiers[Package],MATCH(meta_Columns[[#This Row],[Owning Table Instances Class]],meta_Classifiers[ID],0)))</f>
        <v>meta</v>
      </c>
      <c r="E368" s="43"/>
      <c r="F368" s="44" t="str">
        <f>INDEX(meta_Tables[Excel Table - Excel Name],MATCH(meta_Columns[[#This Row],[Owning Table:src]],meta_Tables[ID],0))</f>
        <v>meta_TypedModelElements</v>
      </c>
      <c r="G368" s="44" t="str">
        <f>INDEX(meta_Tables[Instances Class:src],MATCH(meta_Columns[[#This Row],[Owning Table:src]],meta_Tables[ID],0))</f>
        <v>_TypedModelElement</v>
      </c>
      <c r="H368" s="11" t="s">
        <v>1011</v>
      </c>
      <c r="I368" s="43" t="str">
        <f xml:space="preserve"> IF( TRIM( meta_Columns[[#This Row],[Owning Table:src]] ) = "", "",
        INDEX( meta_Tables[Display Qualified], MATCH( meta_Columns[[#This Row],[Owning Table:src]], meta_Tables[ID], 0 ) ) )</f>
        <v>meta::TypedModelElements</v>
      </c>
      <c r="K368" s="22" t="str">
        <f>IF(TRIM(meta_Columns[[#This Row],[Referenced Table:src]])="","",
    INDEX(meta_Tables[Display Qualified],MATCH(meta_Columns[[#This Row],[Referenced Table:src]],meta_Tables[ID],0)))</f>
        <v/>
      </c>
      <c r="L368" s="8"/>
      <c r="M368" s="22"/>
      <c r="N368" s="8" t="str">
        <f>IF(meta_Columns[[#This Row],[Excel Column - Excel Formula]]="","x","")</f>
        <v/>
      </c>
      <c r="O368" s="22"/>
      <c r="P368" s="8" t="str">
        <f>IF(meta_Columns[[#This Row],[Referenced Table:src]]="","",INDEX(meta_Tables[Instances Class],MATCH(meta_Columns[[#This Row],[Referenced Table:src]],meta_Tables[ID],0)))</f>
        <v/>
      </c>
      <c r="Q3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v>
      </c>
      <c r="R368" s="8"/>
      <c r="S368" s="22" t="str">
        <f xml:space="preserve"> IF( TRIM( meta_Columns[[#This Row],[Property:src]] ) = "", "",
        INDEX( meta_TypedModelElements[Display Qualified], MATCH( meta_Columns[[#This Row],[Property:src]], meta_TypedModelElements[ID], 0 ) ) )</f>
        <v/>
      </c>
      <c r="T368" s="22"/>
      <c r="U368" s="8" t="e">
        <f>INDEX(meta_Classifiers[Class - Generalization:src], MATCH(meta_Columns[[#This Row],[Generalization 5]],meta_Classifiers[ID],0))</f>
        <v>#N/A</v>
      </c>
      <c r="V368" s="8" t="e">
        <f>INDEX(meta_Classifiers[Class - Generalization:src], MATCH(meta_Columns[[#This Row],[Generalization 4]],meta_Classifiers[ID],0))</f>
        <v>#N/A</v>
      </c>
      <c r="W368" s="8" t="e">
        <f>INDEX(meta_Classifiers[Class - Generalization:src], MATCH(meta_Columns[[#This Row],[Generalization 3]],meta_Classifiers[ID],0))</f>
        <v>#N/A</v>
      </c>
      <c r="X368" s="8" t="str">
        <f>INDEX(meta_Classifiers[Class - Generalization:src], MATCH(meta_Columns[[#This Row],[Generalization 2]],meta_Classifiers[ID],0))</f>
        <v/>
      </c>
      <c r="Y368" s="8" t="str">
        <f>INDEX(meta_Classifiers[Class - Generalization:src], MATCH(meta_Columns[[#This Row],[Generalization 1]],meta_Classifiers[ID],0))</f>
        <v>_Object</v>
      </c>
      <c r="Z368" s="8" t="str">
        <f>INDEX(meta_Classifiers[Class - Generalization:src], MATCH(meta_Columns[[#This Row],[Owning Table Instances Class]],meta_Classifiers[ID],0))</f>
        <v>_NamedElement</v>
      </c>
      <c r="AA3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8" s="8" t="b">
        <f>_xlfn.IFNA(
INDEX(meta_Classifiers[Class - Generalization:src],MATCH(
INDEX(meta_Classifiers[Class - Generalization:src],MATCH(meta_Columns[[#This Row],[Property Owning Class]],meta_Classifiers[ID],0)),meta_Classifiers[ID],0))
=meta_Columns[[#This Row],[Owning Table Instances Class]],FALSE)</f>
        <v>0</v>
      </c>
      <c r="AG368" s="8" t="b">
        <f>_xlfn.IFNA(INDEX(meta_Classifiers[Class - Generalization:src],MATCH(meta_Columns[[#This Row],[Property Owning Class]],meta_Classifiers[ID],0))=meta_Columns[[#This Row],[Owning Table Instances Class]],FALSE)</f>
        <v>0</v>
      </c>
      <c r="AH3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8" s="8" t="e">
        <f>INDEX(meta_Classifiers[Name],MATCH(INDEX(meta_TypedModelElements[Property - Owning Class:src],MATCH(meta_Columns[[#This Row],[Property]],meta_TypedModelElements[ID],0)),meta_Classifiers[ID],0))</f>
        <v>#N/A</v>
      </c>
      <c r="AJ368" s="8" t="e">
        <f>INDEX(meta_TypedModelElements[Property - Owning Class:src],MATCH(meta_Columns[[#This Row],[Property]],meta_TypedModelElements[ID],0))</f>
        <v>#N/A</v>
      </c>
      <c r="AK368" s="8" t="e">
        <f>INDEX(meta_TypedModelElements[Kind:src],MATCH(meta_Columns[[#This Row],[Property]],meta_TypedModelElements[ID],0))</f>
        <v>#N/A</v>
      </c>
      <c r="AL368" s="8" t="e">
        <f>INDEX(meta_TypedModelElements[Name or Type],MATCH(meta_Columns[[#This Row],[Property]],meta_TypedModelElements[ID],0))</f>
        <v>#N/A</v>
      </c>
      <c r="AM368" s="8" t="e">
        <f>INDEX(meta_TypedModelElements[Property - Changeable],MATCH(meta_Columns[[#This Row],[Property]],meta_TypedModelElements[ID],0))</f>
        <v>#N/A</v>
      </c>
      <c r="AN368" s="43">
        <v>21</v>
      </c>
      <c r="AO368" s="22"/>
      <c r="AP3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8" s="8" t="str">
        <f xml:space="preserve"> IF(meta_Columns[[#This Row],[Property Owning Class is Specialization of Instance Class]],meta_Columns[[#This Row],[Property Owning Class Name]]&amp;" - ","")</f>
        <v/>
      </c>
      <c r="AR3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v>
      </c>
      <c r="AT368" s="8" t="str">
        <f>IFERROR(LEFT(meta_Columns[[#This Row],[Excel Column - Label Actual without Semantic Case]],FIND("-",
meta_Columns[[#This Row],[Excel Column - Label Actual without Semantic Case]])-2),"")</f>
        <v/>
      </c>
      <c r="AU3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v>
      </c>
      <c r="AV3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v>
      </c>
      <c r="AX368" s="22"/>
      <c r="AY368" s="8" t="str">
        <f>meta_Columns[[#This Row],[Owning Table]]&amp;"."&amp;meta_Columns[[#This Row],[Excel Column - Label]]</f>
        <v>meta::TypedModelElements.Name or Type</v>
      </c>
      <c r="AZ368" s="43" t="s">
        <v>245</v>
      </c>
      <c r="BA368" s="44" t="str">
        <f>IF(TRIM(meta_Columns[[#This Row],[Excel Column - Label Overwrite]])&lt;&gt;"",meta_Columns[[#This Row],[Excel Column - Label Overwrite]],meta_Columns[[#This Row],[Excel Column - Label from Property or Referenced Table]])</f>
        <v>Name or Type</v>
      </c>
      <c r="BB368" s="43" t="s">
        <v>1436</v>
      </c>
      <c r="BC368" s="44" t="str">
        <f>IF(meta_Columns[[#This Row],[Excel Column - Explicit Excel Formula]]="","",meta_Columns[[#This Row],[Excel Column - Explicit Excel Formula]])</f>
        <v>Formula:=IF([@[Kind:src]]="_Function",INDEX([Name or Type],MATCH([@[Function - Owning Property:src]],[ID],0)),IF(TRIM([@Name])="",[@[Type Name]],[@Name]))</v>
      </c>
      <c r="BD368" s="5"/>
      <c r="BE368" s="5" t="s">
        <v>232</v>
      </c>
    </row>
    <row r="369" spans="1:57">
      <c r="A369" s="10" t="s">
        <v>1312</v>
      </c>
      <c r="B369" s="5" t="s">
        <v>546</v>
      </c>
      <c r="C369" s="22" t="str">
        <f xml:space="preserve"> IF( TRIM( meta_Columns[[#This Row],[Kind:src]] ) = "", "",
        INDEX( meta_Classifiers[Display Qualified], MATCH( meta_Columns[[#This Row],[Kind:src]], meta_Classifiers[ID], 0 ) ) )</f>
        <v>ExcelColumn</v>
      </c>
      <c r="D369" s="44" t="str">
        <f>IF(meta_Columns[[#This Row],[Owning Table:src]]="","",INDEX(meta_Classifiers[Package],MATCH(meta_Columns[[#This Row],[Owning Table Instances Class]],meta_Classifiers[ID],0)))</f>
        <v>meta</v>
      </c>
      <c r="E369" s="43"/>
      <c r="F369" s="44" t="str">
        <f>INDEX(meta_Tables[Excel Table - Excel Name],MATCH(meta_Columns[[#This Row],[Owning Table:src]],meta_Tables[ID],0))</f>
        <v>meta_TypedModelElements</v>
      </c>
      <c r="G369" s="44" t="str">
        <f>INDEX(meta_Tables[Instances Class:src],MATCH(meta_Columns[[#This Row],[Owning Table:src]],meta_Tables[ID],0))</f>
        <v>_TypedModelElement</v>
      </c>
      <c r="H369" s="11" t="s">
        <v>1011</v>
      </c>
      <c r="I369" s="43" t="str">
        <f xml:space="preserve"> IF( TRIM( meta_Columns[[#This Row],[Owning Table:src]] ) = "", "",
        INDEX( meta_Tables[Display Qualified], MATCH( meta_Columns[[#This Row],[Owning Table:src]], meta_Tables[ID], 0 ) ) )</f>
        <v>meta::TypedModelElements</v>
      </c>
      <c r="K369" s="22" t="str">
        <f>IF(TRIM(meta_Columns[[#This Row],[Referenced Table:src]])="","",
    INDEX(meta_Tables[Display Qualified],MATCH(meta_Columns[[#This Row],[Referenced Table:src]],meta_Tables[ID],0)))</f>
        <v/>
      </c>
      <c r="L369" s="8"/>
      <c r="M369" s="22"/>
      <c r="N369" s="8" t="str">
        <f>IF(meta_Columns[[#This Row],[Excel Column - Excel Formula]]="","x","")</f>
        <v>x</v>
      </c>
      <c r="O369" s="22"/>
      <c r="P369" s="8" t="str">
        <f>IF(meta_Columns[[#This Row],[Referenced Table:src]]="","",INDEX(meta_Tables[Instances Class],MATCH(meta_Columns[[#This Row],[Referenced Table:src]],meta_Tables[ID],0)))</f>
        <v/>
      </c>
      <c r="Q3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9" s="8" t="s">
        <v>249</v>
      </c>
      <c r="S369" s="22" t="str">
        <f xml:space="preserve"> IF( TRIM( meta_Columns[[#This Row],[Property:src]] ) = "", "",
        INDEX( meta_TypedModelElements[Display Qualified], MATCH( meta_Columns[[#This Row],[Property:src]], meta_TypedModelElements[ID], 0 ) ) )</f>
        <v>meta::NamedElement.name</v>
      </c>
      <c r="T369" s="22" t="s">
        <v>42</v>
      </c>
      <c r="U369" s="8" t="e">
        <f>INDEX(meta_Classifiers[Class - Generalization:src], MATCH(meta_Columns[[#This Row],[Generalization 5]],meta_Classifiers[ID],0))</f>
        <v>#N/A</v>
      </c>
      <c r="V369" s="8" t="e">
        <f>INDEX(meta_Classifiers[Class - Generalization:src], MATCH(meta_Columns[[#This Row],[Generalization 4]],meta_Classifiers[ID],0))</f>
        <v>#N/A</v>
      </c>
      <c r="W369" s="8" t="e">
        <f>INDEX(meta_Classifiers[Class - Generalization:src], MATCH(meta_Columns[[#This Row],[Generalization 3]],meta_Classifiers[ID],0))</f>
        <v>#N/A</v>
      </c>
      <c r="X369" s="8" t="str">
        <f>INDEX(meta_Classifiers[Class - Generalization:src], MATCH(meta_Columns[[#This Row],[Generalization 2]],meta_Classifiers[ID],0))</f>
        <v/>
      </c>
      <c r="Y369" s="8" t="str">
        <f>INDEX(meta_Classifiers[Class - Generalization:src], MATCH(meta_Columns[[#This Row],[Generalization 1]],meta_Classifiers[ID],0))</f>
        <v>_Object</v>
      </c>
      <c r="Z369" s="8" t="str">
        <f>INDEX(meta_Classifiers[Class - Generalization:src], MATCH(meta_Columns[[#This Row],[Owning Table Instances Class]],meta_Classifiers[ID],0))</f>
        <v>_NamedElement</v>
      </c>
      <c r="AA3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9" s="8" t="b">
        <f>_xlfn.IFNA(
INDEX(meta_Classifiers[Class - Generalization:src],MATCH(
INDEX(meta_Classifiers[Class - Generalization:src],MATCH(meta_Columns[[#This Row],[Property Owning Class]],meta_Classifiers[ID],0)),meta_Classifiers[ID],0))
=meta_Columns[[#This Row],[Owning Table Instances Class]],FALSE)</f>
        <v>0</v>
      </c>
      <c r="AG369" s="8" t="b">
        <f>_xlfn.IFNA(INDEX(meta_Classifiers[Class - Generalization:src],MATCH(meta_Columns[[#This Row],[Property Owning Class]],meta_Classifiers[ID],0))=meta_Columns[[#This Row],[Owning Table Instances Class]],FALSE)</f>
        <v>0</v>
      </c>
      <c r="AH3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9" s="8" t="str">
        <f>INDEX(meta_Classifiers[Name],MATCH(INDEX(meta_TypedModelElements[Property - Owning Class:src],MATCH(meta_Columns[[#This Row],[Property]],meta_TypedModelElements[ID],0)),meta_Classifiers[ID],0))</f>
        <v>Named Element</v>
      </c>
      <c r="AJ369" s="8" t="str">
        <f>INDEX(meta_TypedModelElements[Property - Owning Class:src],MATCH(meta_Columns[[#This Row],[Property]],meta_TypedModelElements[ID],0))</f>
        <v>_NamedElement</v>
      </c>
      <c r="AK369" s="8" t="str">
        <f>INDEX(meta_TypedModelElements[Kind:src],MATCH(meta_Columns[[#This Row],[Property]],meta_TypedModelElements[ID],0))</f>
        <v>_Attribute</v>
      </c>
      <c r="AL369" s="8" t="str">
        <f>INDEX(meta_TypedModelElements[Name or Type],MATCH(meta_Columns[[#This Row],[Property]],meta_TypedModelElements[ID],0))</f>
        <v>Name</v>
      </c>
      <c r="AM369" s="8" t="str">
        <f>INDEX(meta_TypedModelElements[Property - Changeable],MATCH(meta_Columns[[#This Row],[Property]],meta_TypedModelElements[ID],0))</f>
        <v>x</v>
      </c>
      <c r="AN369" s="43">
        <v>22</v>
      </c>
      <c r="AO369" s="22">
        <v>11</v>
      </c>
      <c r="AP3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69" s="8" t="str">
        <f xml:space="preserve"> IF(meta_Columns[[#This Row],[Property Owning Class is Specialization of Instance Class]],meta_Columns[[#This Row],[Property Owning Class Name]]&amp;" - ","")</f>
        <v/>
      </c>
      <c r="AR3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69" s="8" t="str">
        <f>IFERROR(LEFT(meta_Columns[[#This Row],[Excel Column - Label Actual without Semantic Case]],FIND("-",
meta_Columns[[#This Row],[Excel Column - Label Actual without Semantic Case]])-2),"")</f>
        <v/>
      </c>
      <c r="AU3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69" s="22"/>
      <c r="AY369" s="8" t="str">
        <f>meta_Columns[[#This Row],[Owning Table]]&amp;"."&amp;meta_Columns[[#This Row],[Excel Column - Label]]</f>
        <v>meta::TypedModelElements.Name</v>
      </c>
      <c r="AZ369" s="43" t="s">
        <v>1</v>
      </c>
      <c r="BA369" s="44" t="str">
        <f>IF(TRIM(meta_Columns[[#This Row],[Excel Column - Label Overwrite]])&lt;&gt;"",meta_Columns[[#This Row],[Excel Column - Label Overwrite]],meta_Columns[[#This Row],[Excel Column - Label from Property or Referenced Table]])</f>
        <v>Name</v>
      </c>
      <c r="BB369" s="43"/>
      <c r="BC369" s="44" t="str">
        <f>IF(meta_Columns[[#This Row],[Excel Column - Explicit Excel Formula]]="","",meta_Columns[[#This Row],[Excel Column - Explicit Excel Formula]])</f>
        <v/>
      </c>
      <c r="BD369" s="5"/>
      <c r="BE369" s="5"/>
    </row>
    <row r="370" spans="1:57">
      <c r="A370" s="10" t="s">
        <v>1313</v>
      </c>
      <c r="B370" s="5" t="s">
        <v>546</v>
      </c>
      <c r="C370" s="22" t="str">
        <f xml:space="preserve"> IF( TRIM( meta_Columns[[#This Row],[Kind:src]] ) = "", "",
        INDEX( meta_Classifiers[Display Qualified], MATCH( meta_Columns[[#This Row],[Kind:src]], meta_Classifiers[ID], 0 ) ) )</f>
        <v>ExcelColumn</v>
      </c>
      <c r="D370" s="44" t="str">
        <f>IF(meta_Columns[[#This Row],[Owning Table:src]]="","",INDEX(meta_Classifiers[Package],MATCH(meta_Columns[[#This Row],[Owning Table Instances Class]],meta_Classifiers[ID],0)))</f>
        <v>meta</v>
      </c>
      <c r="E370" s="43"/>
      <c r="F370" s="44" t="str">
        <f>INDEX(meta_Tables[Excel Table - Excel Name],MATCH(meta_Columns[[#This Row],[Owning Table:src]],meta_Tables[ID],0))</f>
        <v>meta_TypedModelElements</v>
      </c>
      <c r="G370" s="44" t="str">
        <f>INDEX(meta_Tables[Instances Class:src],MATCH(meta_Columns[[#This Row],[Owning Table:src]],meta_Tables[ID],0))</f>
        <v>_TypedModelElement</v>
      </c>
      <c r="H370" s="11" t="s">
        <v>1011</v>
      </c>
      <c r="I370" s="43" t="str">
        <f xml:space="preserve"> IF( TRIM( meta_Columns[[#This Row],[Owning Table:src]] ) = "", "",
        INDEX( meta_Tables[Display Qualified], MATCH( meta_Columns[[#This Row],[Owning Table:src]], meta_Tables[ID], 0 ) ) )</f>
        <v>meta::TypedModelElements</v>
      </c>
      <c r="K370" s="22" t="str">
        <f>IF(TRIM(meta_Columns[[#This Row],[Referenced Table:src]])="","",
    INDEX(meta_Tables[Display Qualified],MATCH(meta_Columns[[#This Row],[Referenced Table:src]],meta_Tables[ID],0)))</f>
        <v/>
      </c>
      <c r="L370" s="8"/>
      <c r="M370" s="22"/>
      <c r="N370" s="8" t="str">
        <f>IF(meta_Columns[[#This Row],[Excel Column - Excel Formula]]="","x","")</f>
        <v/>
      </c>
      <c r="O370" s="22"/>
      <c r="P370" s="8" t="str">
        <f>IF(meta_Columns[[#This Row],[Referenced Table:src]]="","",INDEX(meta_Tables[Instances Class],MATCH(meta_Columns[[#This Row],[Referenced Table:src]],meta_Tables[ID],0)))</f>
        <v/>
      </c>
      <c r="Q3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meta::TypedModelElement.typeSuperType7</v>
      </c>
      <c r="R370" s="8"/>
      <c r="S370" s="22" t="str">
        <f xml:space="preserve"> IF( TRIM( meta_Columns[[#This Row],[Property:src]] ) = "", "",
        INDEX( meta_TypedModelElements[Display Qualified], MATCH( meta_Columns[[#This Row],[Property:src]], meta_TypedModelElements[ID], 0 ) ) )</f>
        <v/>
      </c>
      <c r="T370" s="22"/>
      <c r="U370" s="8" t="e">
        <f>INDEX(meta_Classifiers[Class - Generalization:src], MATCH(meta_Columns[[#This Row],[Generalization 5]],meta_Classifiers[ID],0))</f>
        <v>#N/A</v>
      </c>
      <c r="V370" s="8" t="e">
        <f>INDEX(meta_Classifiers[Class - Generalization:src], MATCH(meta_Columns[[#This Row],[Generalization 4]],meta_Classifiers[ID],0))</f>
        <v>#N/A</v>
      </c>
      <c r="W370" s="8" t="e">
        <f>INDEX(meta_Classifiers[Class - Generalization:src], MATCH(meta_Columns[[#This Row],[Generalization 3]],meta_Classifiers[ID],0))</f>
        <v>#N/A</v>
      </c>
      <c r="X370" s="8" t="str">
        <f>INDEX(meta_Classifiers[Class - Generalization:src], MATCH(meta_Columns[[#This Row],[Generalization 2]],meta_Classifiers[ID],0))</f>
        <v/>
      </c>
      <c r="Y370" s="8" t="str">
        <f>INDEX(meta_Classifiers[Class - Generalization:src], MATCH(meta_Columns[[#This Row],[Generalization 1]],meta_Classifiers[ID],0))</f>
        <v>_Object</v>
      </c>
      <c r="Z370" s="8" t="str">
        <f>INDEX(meta_Classifiers[Class - Generalization:src], MATCH(meta_Columns[[#This Row],[Owning Table Instances Class]],meta_Classifiers[ID],0))</f>
        <v>_NamedElement</v>
      </c>
      <c r="AA3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0" s="8" t="b">
        <f>_xlfn.IFNA(
INDEX(meta_Classifiers[Class - Generalization:src],MATCH(
INDEX(meta_Classifiers[Class - Generalization:src],MATCH(meta_Columns[[#This Row],[Property Owning Class]],meta_Classifiers[ID],0)),meta_Classifiers[ID],0))
=meta_Columns[[#This Row],[Owning Table Instances Class]],FALSE)</f>
        <v>0</v>
      </c>
      <c r="AG370" s="8" t="b">
        <f>_xlfn.IFNA(INDEX(meta_Classifiers[Class - Generalization:src],MATCH(meta_Columns[[#This Row],[Property Owning Class]],meta_Classifiers[ID],0))=meta_Columns[[#This Row],[Owning Table Instances Class]],FALSE)</f>
        <v>0</v>
      </c>
      <c r="AH3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0" s="8" t="e">
        <f>INDEX(meta_Classifiers[Name],MATCH(INDEX(meta_TypedModelElements[Property - Owning Class:src],MATCH(meta_Columns[[#This Row],[Property]],meta_TypedModelElements[ID],0)),meta_Classifiers[ID],0))</f>
        <v>#N/A</v>
      </c>
      <c r="AJ370" s="8" t="e">
        <f>INDEX(meta_TypedModelElements[Property - Owning Class:src],MATCH(meta_Columns[[#This Row],[Property]],meta_TypedModelElements[ID],0))</f>
        <v>#N/A</v>
      </c>
      <c r="AK370" s="8" t="e">
        <f>INDEX(meta_TypedModelElements[Kind:src],MATCH(meta_Columns[[#This Row],[Property]],meta_TypedModelElements[ID],0))</f>
        <v>#N/A</v>
      </c>
      <c r="AL370" s="8" t="e">
        <f>INDEX(meta_TypedModelElements[Name or Type],MATCH(meta_Columns[[#This Row],[Property]],meta_TypedModelElements[ID],0))</f>
        <v>#N/A</v>
      </c>
      <c r="AM370" s="8" t="e">
        <f>INDEX(meta_TypedModelElements[Property - Changeable],MATCH(meta_Columns[[#This Row],[Property]],meta_TypedModelElements[ID],0))</f>
        <v>#N/A</v>
      </c>
      <c r="AN370" s="43">
        <v>23</v>
      </c>
      <c r="AO370" s="22"/>
      <c r="AP3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0" s="8" t="str">
        <f xml:space="preserve"> IF(meta_Columns[[#This Row],[Property Owning Class is Specialization of Instance Class]],meta_Columns[[#This Row],[Property Owning Class Name]]&amp;" - ","")</f>
        <v/>
      </c>
      <c r="AR3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7</v>
      </c>
      <c r="AT370" s="8" t="str">
        <f>IFERROR(LEFT(meta_Columns[[#This Row],[Excel Column - Label Actual without Semantic Case]],FIND("-",
meta_Columns[[#This Row],[Excel Column - Label Actual without Semantic Case]])-2),"")</f>
        <v/>
      </c>
      <c r="AU3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7</v>
      </c>
      <c r="AV3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7</v>
      </c>
      <c r="AX370" s="22"/>
      <c r="AY370" s="8" t="str">
        <f>meta_Columns[[#This Row],[Owning Table]]&amp;"."&amp;meta_Columns[[#This Row],[Excel Column - Label]]</f>
        <v>meta::TypedModelElements.Type Super Type 7</v>
      </c>
      <c r="AZ370" s="43" t="s">
        <v>417</v>
      </c>
      <c r="BA370" s="44" t="str">
        <f>IF(TRIM(meta_Columns[[#This Row],[Excel Column - Label Overwrite]])&lt;&gt;"",meta_Columns[[#This Row],[Excel Column - Label Overwrite]],meta_Columns[[#This Row],[Excel Column - Label from Property or Referenced Table]])</f>
        <v>Type Super Type 7</v>
      </c>
      <c r="BB370" s="43" t="s">
        <v>1522</v>
      </c>
      <c r="BC370" s="44" t="str">
        <f>IF(meta_Columns[[#This Row],[Excel Column - Explicit Excel Formula]]="","",meta_Columns[[#This Row],[Excel Column - Explicit Excel Formula]])</f>
        <v>Formula:=INDEX(#REF!,MATCH([@[Type Super Type 6]],meta_Classifiers[ID],0))</v>
      </c>
      <c r="BD370" s="5"/>
      <c r="BE370" s="5"/>
    </row>
    <row r="371" spans="1:57">
      <c r="A371" s="10" t="s">
        <v>1314</v>
      </c>
      <c r="B371" s="5" t="s">
        <v>546</v>
      </c>
      <c r="C371" s="22" t="str">
        <f xml:space="preserve"> IF( TRIM( meta_Columns[[#This Row],[Kind:src]] ) = "", "",
        INDEX( meta_Classifiers[Display Qualified], MATCH( meta_Columns[[#This Row],[Kind:src]], meta_Classifiers[ID], 0 ) ) )</f>
        <v>ExcelColumn</v>
      </c>
      <c r="D371" s="44" t="str">
        <f>IF(meta_Columns[[#This Row],[Owning Table:src]]="","",INDEX(meta_Classifiers[Package],MATCH(meta_Columns[[#This Row],[Owning Table Instances Class]],meta_Classifiers[ID],0)))</f>
        <v>meta</v>
      </c>
      <c r="E371" s="43"/>
      <c r="F371" s="44" t="str">
        <f>INDEX(meta_Tables[Excel Table - Excel Name],MATCH(meta_Columns[[#This Row],[Owning Table:src]],meta_Tables[ID],0))</f>
        <v>meta_TypedModelElements</v>
      </c>
      <c r="G371" s="44" t="str">
        <f>INDEX(meta_Tables[Instances Class:src],MATCH(meta_Columns[[#This Row],[Owning Table:src]],meta_Tables[ID],0))</f>
        <v>_TypedModelElement</v>
      </c>
      <c r="H371" s="11" t="s">
        <v>1011</v>
      </c>
      <c r="I371" s="43" t="str">
        <f xml:space="preserve"> IF( TRIM( meta_Columns[[#This Row],[Owning Table:src]] ) = "", "",
        INDEX( meta_Tables[Display Qualified], MATCH( meta_Columns[[#This Row],[Owning Table:src]], meta_Tables[ID], 0 ) ) )</f>
        <v>meta::TypedModelElements</v>
      </c>
      <c r="K371" s="22" t="str">
        <f>IF(TRIM(meta_Columns[[#This Row],[Referenced Table:src]])="","",
    INDEX(meta_Tables[Display Qualified],MATCH(meta_Columns[[#This Row],[Referenced Table:src]],meta_Tables[ID],0)))</f>
        <v/>
      </c>
      <c r="L371" s="8"/>
      <c r="M371" s="22"/>
      <c r="N371" s="8" t="str">
        <f>IF(meta_Columns[[#This Row],[Excel Column - Excel Formula]]="","x","")</f>
        <v/>
      </c>
      <c r="O371" s="22"/>
      <c r="P371" s="8" t="str">
        <f>IF(meta_Columns[[#This Row],[Referenced Table:src]]="","",INDEX(meta_Tables[Instances Class],MATCH(meta_Columns[[#This Row],[Referenced Table:src]],meta_Tables[ID],0)))</f>
        <v/>
      </c>
      <c r="Q3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meta::TypedModelElement.typeSuperType6</v>
      </c>
      <c r="R371" s="8"/>
      <c r="S371" s="22" t="str">
        <f xml:space="preserve"> IF( TRIM( meta_Columns[[#This Row],[Property:src]] ) = "", "",
        INDEX( meta_TypedModelElements[Display Qualified], MATCH( meta_Columns[[#This Row],[Property:src]], meta_TypedModelElements[ID], 0 ) ) )</f>
        <v/>
      </c>
      <c r="T371" s="22"/>
      <c r="U371" s="8" t="e">
        <f>INDEX(meta_Classifiers[Class - Generalization:src], MATCH(meta_Columns[[#This Row],[Generalization 5]],meta_Classifiers[ID],0))</f>
        <v>#N/A</v>
      </c>
      <c r="V371" s="8" t="e">
        <f>INDEX(meta_Classifiers[Class - Generalization:src], MATCH(meta_Columns[[#This Row],[Generalization 4]],meta_Classifiers[ID],0))</f>
        <v>#N/A</v>
      </c>
      <c r="W371" s="8" t="e">
        <f>INDEX(meta_Classifiers[Class - Generalization:src], MATCH(meta_Columns[[#This Row],[Generalization 3]],meta_Classifiers[ID],0))</f>
        <v>#N/A</v>
      </c>
      <c r="X371" s="8" t="str">
        <f>INDEX(meta_Classifiers[Class - Generalization:src], MATCH(meta_Columns[[#This Row],[Generalization 2]],meta_Classifiers[ID],0))</f>
        <v/>
      </c>
      <c r="Y371" s="8" t="str">
        <f>INDEX(meta_Classifiers[Class - Generalization:src], MATCH(meta_Columns[[#This Row],[Generalization 1]],meta_Classifiers[ID],0))</f>
        <v>_Object</v>
      </c>
      <c r="Z371" s="8" t="str">
        <f>INDEX(meta_Classifiers[Class - Generalization:src], MATCH(meta_Columns[[#This Row],[Owning Table Instances Class]],meta_Classifiers[ID],0))</f>
        <v>_NamedElement</v>
      </c>
      <c r="AA3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1" s="8" t="b">
        <f>_xlfn.IFNA(
INDEX(meta_Classifiers[Class - Generalization:src],MATCH(
INDEX(meta_Classifiers[Class - Generalization:src],MATCH(meta_Columns[[#This Row],[Property Owning Class]],meta_Classifiers[ID],0)),meta_Classifiers[ID],0))
=meta_Columns[[#This Row],[Owning Table Instances Class]],FALSE)</f>
        <v>0</v>
      </c>
      <c r="AG371" s="8" t="b">
        <f>_xlfn.IFNA(INDEX(meta_Classifiers[Class - Generalization:src],MATCH(meta_Columns[[#This Row],[Property Owning Class]],meta_Classifiers[ID],0))=meta_Columns[[#This Row],[Owning Table Instances Class]],FALSE)</f>
        <v>0</v>
      </c>
      <c r="AH3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1" s="8" t="e">
        <f>INDEX(meta_Classifiers[Name],MATCH(INDEX(meta_TypedModelElements[Property - Owning Class:src],MATCH(meta_Columns[[#This Row],[Property]],meta_TypedModelElements[ID],0)),meta_Classifiers[ID],0))</f>
        <v>#N/A</v>
      </c>
      <c r="AJ371" s="8" t="e">
        <f>INDEX(meta_TypedModelElements[Property - Owning Class:src],MATCH(meta_Columns[[#This Row],[Property]],meta_TypedModelElements[ID],0))</f>
        <v>#N/A</v>
      </c>
      <c r="AK371" s="8" t="e">
        <f>INDEX(meta_TypedModelElements[Kind:src],MATCH(meta_Columns[[#This Row],[Property]],meta_TypedModelElements[ID],0))</f>
        <v>#N/A</v>
      </c>
      <c r="AL371" s="8" t="e">
        <f>INDEX(meta_TypedModelElements[Name or Type],MATCH(meta_Columns[[#This Row],[Property]],meta_TypedModelElements[ID],0))</f>
        <v>#N/A</v>
      </c>
      <c r="AM371" s="8" t="e">
        <f>INDEX(meta_TypedModelElements[Property - Changeable],MATCH(meta_Columns[[#This Row],[Property]],meta_TypedModelElements[ID],0))</f>
        <v>#N/A</v>
      </c>
      <c r="AN371" s="43">
        <v>24</v>
      </c>
      <c r="AO371" s="22"/>
      <c r="AP3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1" s="8" t="str">
        <f xml:space="preserve"> IF(meta_Columns[[#This Row],[Property Owning Class is Specialization of Instance Class]],meta_Columns[[#This Row],[Property Owning Class Name]]&amp;" - ","")</f>
        <v/>
      </c>
      <c r="AR3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6</v>
      </c>
      <c r="AT371" s="8" t="str">
        <f>IFERROR(LEFT(meta_Columns[[#This Row],[Excel Column - Label Actual without Semantic Case]],FIND("-",
meta_Columns[[#This Row],[Excel Column - Label Actual without Semantic Case]])-2),"")</f>
        <v/>
      </c>
      <c r="AU3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6</v>
      </c>
      <c r="AV3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6</v>
      </c>
      <c r="AX371" s="22"/>
      <c r="AY371" s="8" t="str">
        <f>meta_Columns[[#This Row],[Owning Table]]&amp;"."&amp;meta_Columns[[#This Row],[Excel Column - Label]]</f>
        <v>meta::TypedModelElements.Type Super Type 6</v>
      </c>
      <c r="AZ371" s="43" t="s">
        <v>418</v>
      </c>
      <c r="BA371" s="44" t="str">
        <f>IF(TRIM(meta_Columns[[#This Row],[Excel Column - Label Overwrite]])&lt;&gt;"",meta_Columns[[#This Row],[Excel Column - Label Overwrite]],meta_Columns[[#This Row],[Excel Column - Label from Property or Referenced Table]])</f>
        <v>Type Super Type 6</v>
      </c>
      <c r="BB371" s="43" t="s">
        <v>1523</v>
      </c>
      <c r="BC371" s="44" t="str">
        <f>IF(meta_Columns[[#This Row],[Excel Column - Explicit Excel Formula]]="","",meta_Columns[[#This Row],[Excel Column - Explicit Excel Formula]])</f>
        <v>Formula:=INDEX(#REF!,MATCH([@[Type Super Type 5]],meta_Classifiers[ID],0))</v>
      </c>
      <c r="BD371" s="5"/>
      <c r="BE371" s="5"/>
    </row>
    <row r="372" spans="1:57">
      <c r="A372" s="10" t="s">
        <v>1315</v>
      </c>
      <c r="B372" s="5" t="s">
        <v>546</v>
      </c>
      <c r="C372" s="22" t="str">
        <f xml:space="preserve"> IF( TRIM( meta_Columns[[#This Row],[Kind:src]] ) = "", "",
        INDEX( meta_Classifiers[Display Qualified], MATCH( meta_Columns[[#This Row],[Kind:src]], meta_Classifiers[ID], 0 ) ) )</f>
        <v>ExcelColumn</v>
      </c>
      <c r="D372" s="44" t="str">
        <f>IF(meta_Columns[[#This Row],[Owning Table:src]]="","",INDEX(meta_Classifiers[Package],MATCH(meta_Columns[[#This Row],[Owning Table Instances Class]],meta_Classifiers[ID],0)))</f>
        <v>meta</v>
      </c>
      <c r="E372" s="43"/>
      <c r="F372" s="44" t="str">
        <f>INDEX(meta_Tables[Excel Table - Excel Name],MATCH(meta_Columns[[#This Row],[Owning Table:src]],meta_Tables[ID],0))</f>
        <v>meta_TypedModelElements</v>
      </c>
      <c r="G372" s="44" t="str">
        <f>INDEX(meta_Tables[Instances Class:src],MATCH(meta_Columns[[#This Row],[Owning Table:src]],meta_Tables[ID],0))</f>
        <v>_TypedModelElement</v>
      </c>
      <c r="H372" s="11" t="s">
        <v>1011</v>
      </c>
      <c r="I372" s="43" t="str">
        <f xml:space="preserve"> IF( TRIM( meta_Columns[[#This Row],[Owning Table:src]] ) = "", "",
        INDEX( meta_Tables[Display Qualified], MATCH( meta_Columns[[#This Row],[Owning Table:src]], meta_Tables[ID], 0 ) ) )</f>
        <v>meta::TypedModelElements</v>
      </c>
      <c r="K372" s="22" t="str">
        <f>IF(TRIM(meta_Columns[[#This Row],[Referenced Table:src]])="","",
    INDEX(meta_Tables[Display Qualified],MATCH(meta_Columns[[#This Row],[Referenced Table:src]],meta_Tables[ID],0)))</f>
        <v/>
      </c>
      <c r="L372" s="8"/>
      <c r="M372" s="22"/>
      <c r="N372" s="8" t="str">
        <f>IF(meta_Columns[[#This Row],[Excel Column - Excel Formula]]="","x","")</f>
        <v/>
      </c>
      <c r="O372" s="22"/>
      <c r="P372" s="8" t="str">
        <f>IF(meta_Columns[[#This Row],[Referenced Table:src]]="","",INDEX(meta_Tables[Instances Class],MATCH(meta_Columns[[#This Row],[Referenced Table:src]],meta_Tables[ID],0)))</f>
        <v/>
      </c>
      <c r="Q3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meta::TypedModelElement.typeSuperType5</v>
      </c>
      <c r="R372" s="8"/>
      <c r="S372" s="22" t="str">
        <f xml:space="preserve"> IF( TRIM( meta_Columns[[#This Row],[Property:src]] ) = "", "",
        INDEX( meta_TypedModelElements[Display Qualified], MATCH( meta_Columns[[#This Row],[Property:src]], meta_TypedModelElements[ID], 0 ) ) )</f>
        <v/>
      </c>
      <c r="T372" s="22"/>
      <c r="U372" s="8" t="e">
        <f>INDEX(meta_Classifiers[Class - Generalization:src], MATCH(meta_Columns[[#This Row],[Generalization 5]],meta_Classifiers[ID],0))</f>
        <v>#N/A</v>
      </c>
      <c r="V372" s="8" t="e">
        <f>INDEX(meta_Classifiers[Class - Generalization:src], MATCH(meta_Columns[[#This Row],[Generalization 4]],meta_Classifiers[ID],0))</f>
        <v>#N/A</v>
      </c>
      <c r="W372" s="8" t="e">
        <f>INDEX(meta_Classifiers[Class - Generalization:src], MATCH(meta_Columns[[#This Row],[Generalization 3]],meta_Classifiers[ID],0))</f>
        <v>#N/A</v>
      </c>
      <c r="X372" s="8" t="str">
        <f>INDEX(meta_Classifiers[Class - Generalization:src], MATCH(meta_Columns[[#This Row],[Generalization 2]],meta_Classifiers[ID],0))</f>
        <v/>
      </c>
      <c r="Y372" s="8" t="str">
        <f>INDEX(meta_Classifiers[Class - Generalization:src], MATCH(meta_Columns[[#This Row],[Generalization 1]],meta_Classifiers[ID],0))</f>
        <v>_Object</v>
      </c>
      <c r="Z372" s="8" t="str">
        <f>INDEX(meta_Classifiers[Class - Generalization:src], MATCH(meta_Columns[[#This Row],[Owning Table Instances Class]],meta_Classifiers[ID],0))</f>
        <v>_NamedElement</v>
      </c>
      <c r="AA3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2" s="8" t="b">
        <f>_xlfn.IFNA(
INDEX(meta_Classifiers[Class - Generalization:src],MATCH(
INDEX(meta_Classifiers[Class - Generalization:src],MATCH(meta_Columns[[#This Row],[Property Owning Class]],meta_Classifiers[ID],0)),meta_Classifiers[ID],0))
=meta_Columns[[#This Row],[Owning Table Instances Class]],FALSE)</f>
        <v>0</v>
      </c>
      <c r="AG372" s="8" t="b">
        <f>_xlfn.IFNA(INDEX(meta_Classifiers[Class - Generalization:src],MATCH(meta_Columns[[#This Row],[Property Owning Class]],meta_Classifiers[ID],0))=meta_Columns[[#This Row],[Owning Table Instances Class]],FALSE)</f>
        <v>0</v>
      </c>
      <c r="AH3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2" s="8" t="e">
        <f>INDEX(meta_Classifiers[Name],MATCH(INDEX(meta_TypedModelElements[Property - Owning Class:src],MATCH(meta_Columns[[#This Row],[Property]],meta_TypedModelElements[ID],0)),meta_Classifiers[ID],0))</f>
        <v>#N/A</v>
      </c>
      <c r="AJ372" s="8" t="e">
        <f>INDEX(meta_TypedModelElements[Property - Owning Class:src],MATCH(meta_Columns[[#This Row],[Property]],meta_TypedModelElements[ID],0))</f>
        <v>#N/A</v>
      </c>
      <c r="AK372" s="8" t="e">
        <f>INDEX(meta_TypedModelElements[Kind:src],MATCH(meta_Columns[[#This Row],[Property]],meta_TypedModelElements[ID],0))</f>
        <v>#N/A</v>
      </c>
      <c r="AL372" s="8" t="e">
        <f>INDEX(meta_TypedModelElements[Name or Type],MATCH(meta_Columns[[#This Row],[Property]],meta_TypedModelElements[ID],0))</f>
        <v>#N/A</v>
      </c>
      <c r="AM372" s="8" t="e">
        <f>INDEX(meta_TypedModelElements[Property - Changeable],MATCH(meta_Columns[[#This Row],[Property]],meta_TypedModelElements[ID],0))</f>
        <v>#N/A</v>
      </c>
      <c r="AN372" s="43">
        <v>25</v>
      </c>
      <c r="AO372" s="22"/>
      <c r="AP3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2" s="8" t="str">
        <f xml:space="preserve"> IF(meta_Columns[[#This Row],[Property Owning Class is Specialization of Instance Class]],meta_Columns[[#This Row],[Property Owning Class Name]]&amp;" - ","")</f>
        <v/>
      </c>
      <c r="AR3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5</v>
      </c>
      <c r="AT372" s="8" t="str">
        <f>IFERROR(LEFT(meta_Columns[[#This Row],[Excel Column - Label Actual without Semantic Case]],FIND("-",
meta_Columns[[#This Row],[Excel Column - Label Actual without Semantic Case]])-2),"")</f>
        <v/>
      </c>
      <c r="AU3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5</v>
      </c>
      <c r="AV3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5</v>
      </c>
      <c r="AX372" s="22"/>
      <c r="AY372" s="8" t="str">
        <f>meta_Columns[[#This Row],[Owning Table]]&amp;"."&amp;meta_Columns[[#This Row],[Excel Column - Label]]</f>
        <v>meta::TypedModelElements.Type Super Type 5</v>
      </c>
      <c r="AZ372" s="43" t="s">
        <v>419</v>
      </c>
      <c r="BA372" s="44" t="str">
        <f>IF(TRIM(meta_Columns[[#This Row],[Excel Column - Label Overwrite]])&lt;&gt;"",meta_Columns[[#This Row],[Excel Column - Label Overwrite]],meta_Columns[[#This Row],[Excel Column - Label from Property or Referenced Table]])</f>
        <v>Type Super Type 5</v>
      </c>
      <c r="BB372" s="43" t="s">
        <v>1524</v>
      </c>
      <c r="BC372" s="44" t="str">
        <f>IF(meta_Columns[[#This Row],[Excel Column - Explicit Excel Formula]]="","",meta_Columns[[#This Row],[Excel Column - Explicit Excel Formula]])</f>
        <v>Formula:=INDEX(#REF!,MATCH([@[Type Super Type 4]],meta_Classifiers[ID],0))</v>
      </c>
      <c r="BD372" s="5"/>
      <c r="BE372" s="5"/>
    </row>
    <row r="373" spans="1:57">
      <c r="A373" s="10" t="s">
        <v>1316</v>
      </c>
      <c r="B373" s="5" t="s">
        <v>546</v>
      </c>
      <c r="C373" s="22" t="str">
        <f xml:space="preserve"> IF( TRIM( meta_Columns[[#This Row],[Kind:src]] ) = "", "",
        INDEX( meta_Classifiers[Display Qualified], MATCH( meta_Columns[[#This Row],[Kind:src]], meta_Classifiers[ID], 0 ) ) )</f>
        <v>ExcelColumn</v>
      </c>
      <c r="D373" s="44" t="str">
        <f>IF(meta_Columns[[#This Row],[Owning Table:src]]="","",INDEX(meta_Classifiers[Package],MATCH(meta_Columns[[#This Row],[Owning Table Instances Class]],meta_Classifiers[ID],0)))</f>
        <v>meta</v>
      </c>
      <c r="E373" s="43"/>
      <c r="F373" s="44" t="str">
        <f>INDEX(meta_Tables[Excel Table - Excel Name],MATCH(meta_Columns[[#This Row],[Owning Table:src]],meta_Tables[ID],0))</f>
        <v>meta_TypedModelElements</v>
      </c>
      <c r="G373" s="44" t="str">
        <f>INDEX(meta_Tables[Instances Class:src],MATCH(meta_Columns[[#This Row],[Owning Table:src]],meta_Tables[ID],0))</f>
        <v>_TypedModelElement</v>
      </c>
      <c r="H373" s="11" t="s">
        <v>1011</v>
      </c>
      <c r="I373" s="43" t="str">
        <f xml:space="preserve"> IF( TRIM( meta_Columns[[#This Row],[Owning Table:src]] ) = "", "",
        INDEX( meta_Tables[Display Qualified], MATCH( meta_Columns[[#This Row],[Owning Table:src]], meta_Tables[ID], 0 ) ) )</f>
        <v>meta::TypedModelElements</v>
      </c>
      <c r="K373" s="22" t="str">
        <f>IF(TRIM(meta_Columns[[#This Row],[Referenced Table:src]])="","",
    INDEX(meta_Tables[Display Qualified],MATCH(meta_Columns[[#This Row],[Referenced Table:src]],meta_Tables[ID],0)))</f>
        <v/>
      </c>
      <c r="L373" s="8"/>
      <c r="M373" s="22"/>
      <c r="N373" s="8" t="str">
        <f>IF(meta_Columns[[#This Row],[Excel Column - Excel Formula]]="","x","")</f>
        <v/>
      </c>
      <c r="O373" s="22"/>
      <c r="P373" s="8" t="str">
        <f>IF(meta_Columns[[#This Row],[Referenced Table:src]]="","",INDEX(meta_Tables[Instances Class],MATCH(meta_Columns[[#This Row],[Referenced Table:src]],meta_Tables[ID],0)))</f>
        <v/>
      </c>
      <c r="Q3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meta::TypedModelElement.typeSuperType4</v>
      </c>
      <c r="R373" s="8"/>
      <c r="S373" s="22" t="str">
        <f xml:space="preserve"> IF( TRIM( meta_Columns[[#This Row],[Property:src]] ) = "", "",
        INDEX( meta_TypedModelElements[Display Qualified], MATCH( meta_Columns[[#This Row],[Property:src]], meta_TypedModelElements[ID], 0 ) ) )</f>
        <v/>
      </c>
      <c r="T373" s="22"/>
      <c r="U373" s="8" t="e">
        <f>INDEX(meta_Classifiers[Class - Generalization:src], MATCH(meta_Columns[[#This Row],[Generalization 5]],meta_Classifiers[ID],0))</f>
        <v>#N/A</v>
      </c>
      <c r="V373" s="8" t="e">
        <f>INDEX(meta_Classifiers[Class - Generalization:src], MATCH(meta_Columns[[#This Row],[Generalization 4]],meta_Classifiers[ID],0))</f>
        <v>#N/A</v>
      </c>
      <c r="W373" s="8" t="e">
        <f>INDEX(meta_Classifiers[Class - Generalization:src], MATCH(meta_Columns[[#This Row],[Generalization 3]],meta_Classifiers[ID],0))</f>
        <v>#N/A</v>
      </c>
      <c r="X373" s="8" t="str">
        <f>INDEX(meta_Classifiers[Class - Generalization:src], MATCH(meta_Columns[[#This Row],[Generalization 2]],meta_Classifiers[ID],0))</f>
        <v/>
      </c>
      <c r="Y373" s="8" t="str">
        <f>INDEX(meta_Classifiers[Class - Generalization:src], MATCH(meta_Columns[[#This Row],[Generalization 1]],meta_Classifiers[ID],0))</f>
        <v>_Object</v>
      </c>
      <c r="Z373" s="8" t="str">
        <f>INDEX(meta_Classifiers[Class - Generalization:src], MATCH(meta_Columns[[#This Row],[Owning Table Instances Class]],meta_Classifiers[ID],0))</f>
        <v>_NamedElement</v>
      </c>
      <c r="AA3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3" s="8" t="b">
        <f>_xlfn.IFNA(
INDEX(meta_Classifiers[Class - Generalization:src],MATCH(
INDEX(meta_Classifiers[Class - Generalization:src],MATCH(meta_Columns[[#This Row],[Property Owning Class]],meta_Classifiers[ID],0)),meta_Classifiers[ID],0))
=meta_Columns[[#This Row],[Owning Table Instances Class]],FALSE)</f>
        <v>0</v>
      </c>
      <c r="AG373" s="8" t="b">
        <f>_xlfn.IFNA(INDEX(meta_Classifiers[Class - Generalization:src],MATCH(meta_Columns[[#This Row],[Property Owning Class]],meta_Classifiers[ID],0))=meta_Columns[[#This Row],[Owning Table Instances Class]],FALSE)</f>
        <v>0</v>
      </c>
      <c r="AH3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3" s="8" t="e">
        <f>INDEX(meta_Classifiers[Name],MATCH(INDEX(meta_TypedModelElements[Property - Owning Class:src],MATCH(meta_Columns[[#This Row],[Property]],meta_TypedModelElements[ID],0)),meta_Classifiers[ID],0))</f>
        <v>#N/A</v>
      </c>
      <c r="AJ373" s="8" t="e">
        <f>INDEX(meta_TypedModelElements[Property - Owning Class:src],MATCH(meta_Columns[[#This Row],[Property]],meta_TypedModelElements[ID],0))</f>
        <v>#N/A</v>
      </c>
      <c r="AK373" s="8" t="e">
        <f>INDEX(meta_TypedModelElements[Kind:src],MATCH(meta_Columns[[#This Row],[Property]],meta_TypedModelElements[ID],0))</f>
        <v>#N/A</v>
      </c>
      <c r="AL373" s="8" t="e">
        <f>INDEX(meta_TypedModelElements[Name or Type],MATCH(meta_Columns[[#This Row],[Property]],meta_TypedModelElements[ID],0))</f>
        <v>#N/A</v>
      </c>
      <c r="AM373" s="8" t="e">
        <f>INDEX(meta_TypedModelElements[Property - Changeable],MATCH(meta_Columns[[#This Row],[Property]],meta_TypedModelElements[ID],0))</f>
        <v>#N/A</v>
      </c>
      <c r="AN373" s="43">
        <v>26</v>
      </c>
      <c r="AO373" s="22"/>
      <c r="AP3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3" s="8" t="str">
        <f xml:space="preserve"> IF(meta_Columns[[#This Row],[Property Owning Class is Specialization of Instance Class]],meta_Columns[[#This Row],[Property Owning Class Name]]&amp;" - ","")</f>
        <v/>
      </c>
      <c r="AR3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4</v>
      </c>
      <c r="AT373" s="8" t="str">
        <f>IFERROR(LEFT(meta_Columns[[#This Row],[Excel Column - Label Actual without Semantic Case]],FIND("-",
meta_Columns[[#This Row],[Excel Column - Label Actual without Semantic Case]])-2),"")</f>
        <v/>
      </c>
      <c r="AU3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4</v>
      </c>
      <c r="AV3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4</v>
      </c>
      <c r="AX373" s="22"/>
      <c r="AY373" s="8" t="str">
        <f>meta_Columns[[#This Row],[Owning Table]]&amp;"."&amp;meta_Columns[[#This Row],[Excel Column - Label]]</f>
        <v>meta::TypedModelElements.Type Super Type 4</v>
      </c>
      <c r="AZ373" s="43" t="s">
        <v>414</v>
      </c>
      <c r="BA373" s="44" t="str">
        <f>IF(TRIM(meta_Columns[[#This Row],[Excel Column - Label Overwrite]])&lt;&gt;"",meta_Columns[[#This Row],[Excel Column - Label Overwrite]],meta_Columns[[#This Row],[Excel Column - Label from Property or Referenced Table]])</f>
        <v>Type Super Type 4</v>
      </c>
      <c r="BB373" s="43" t="s">
        <v>1525</v>
      </c>
      <c r="BC373" s="44" t="str">
        <f>IF(meta_Columns[[#This Row],[Excel Column - Explicit Excel Formula]]="","",meta_Columns[[#This Row],[Excel Column - Explicit Excel Formula]])</f>
        <v>Formula:=INDEX(#REF!,MATCH([@[Type Super Type 3]],meta_Classifiers[ID],0))</v>
      </c>
      <c r="BD373" s="5"/>
      <c r="BE373" s="5"/>
    </row>
    <row r="374" spans="1:57">
      <c r="A374" s="10" t="s">
        <v>1317</v>
      </c>
      <c r="B374" s="5" t="s">
        <v>546</v>
      </c>
      <c r="C374" s="22" t="str">
        <f xml:space="preserve"> IF( TRIM( meta_Columns[[#This Row],[Kind:src]] ) = "", "",
        INDEX( meta_Classifiers[Display Qualified], MATCH( meta_Columns[[#This Row],[Kind:src]], meta_Classifiers[ID], 0 ) ) )</f>
        <v>ExcelColumn</v>
      </c>
      <c r="D374" s="44" t="str">
        <f>IF(meta_Columns[[#This Row],[Owning Table:src]]="","",INDEX(meta_Classifiers[Package],MATCH(meta_Columns[[#This Row],[Owning Table Instances Class]],meta_Classifiers[ID],0)))</f>
        <v>meta</v>
      </c>
      <c r="E374" s="43"/>
      <c r="F374" s="44" t="str">
        <f>INDEX(meta_Tables[Excel Table - Excel Name],MATCH(meta_Columns[[#This Row],[Owning Table:src]],meta_Tables[ID],0))</f>
        <v>meta_TypedModelElements</v>
      </c>
      <c r="G374" s="44" t="str">
        <f>INDEX(meta_Tables[Instances Class:src],MATCH(meta_Columns[[#This Row],[Owning Table:src]],meta_Tables[ID],0))</f>
        <v>_TypedModelElement</v>
      </c>
      <c r="H374" s="11" t="s">
        <v>1011</v>
      </c>
      <c r="I374" s="43" t="str">
        <f xml:space="preserve"> IF( TRIM( meta_Columns[[#This Row],[Owning Table:src]] ) = "", "",
        INDEX( meta_Tables[Display Qualified], MATCH( meta_Columns[[#This Row],[Owning Table:src]], meta_Tables[ID], 0 ) ) )</f>
        <v>meta::TypedModelElements</v>
      </c>
      <c r="K374" s="22" t="str">
        <f>IF(TRIM(meta_Columns[[#This Row],[Referenced Table:src]])="","",
    INDEX(meta_Tables[Display Qualified],MATCH(meta_Columns[[#This Row],[Referenced Table:src]],meta_Tables[ID],0)))</f>
        <v/>
      </c>
      <c r="L374" s="8"/>
      <c r="M374" s="22"/>
      <c r="N374" s="8" t="str">
        <f>IF(meta_Columns[[#This Row],[Excel Column - Excel Formula]]="","x","")</f>
        <v/>
      </c>
      <c r="O374" s="22"/>
      <c r="P374" s="8" t="str">
        <f>IF(meta_Columns[[#This Row],[Referenced Table:src]]="","",INDEX(meta_Tables[Instances Class],MATCH(meta_Columns[[#This Row],[Referenced Table:src]],meta_Tables[ID],0)))</f>
        <v/>
      </c>
      <c r="Q3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meta::TypedModelElement.typeSuperType3</v>
      </c>
      <c r="R374" s="8"/>
      <c r="S374" s="22" t="str">
        <f xml:space="preserve"> IF( TRIM( meta_Columns[[#This Row],[Property:src]] ) = "", "",
        INDEX( meta_TypedModelElements[Display Qualified], MATCH( meta_Columns[[#This Row],[Property:src]], meta_TypedModelElements[ID], 0 ) ) )</f>
        <v/>
      </c>
      <c r="T374" s="22"/>
      <c r="U374" s="8" t="e">
        <f>INDEX(meta_Classifiers[Class - Generalization:src], MATCH(meta_Columns[[#This Row],[Generalization 5]],meta_Classifiers[ID],0))</f>
        <v>#N/A</v>
      </c>
      <c r="V374" s="8" t="e">
        <f>INDEX(meta_Classifiers[Class - Generalization:src], MATCH(meta_Columns[[#This Row],[Generalization 4]],meta_Classifiers[ID],0))</f>
        <v>#N/A</v>
      </c>
      <c r="W374" s="8" t="e">
        <f>INDEX(meta_Classifiers[Class - Generalization:src], MATCH(meta_Columns[[#This Row],[Generalization 3]],meta_Classifiers[ID],0))</f>
        <v>#N/A</v>
      </c>
      <c r="X374" s="8" t="str">
        <f>INDEX(meta_Classifiers[Class - Generalization:src], MATCH(meta_Columns[[#This Row],[Generalization 2]],meta_Classifiers[ID],0))</f>
        <v/>
      </c>
      <c r="Y374" s="8" t="str">
        <f>INDEX(meta_Classifiers[Class - Generalization:src], MATCH(meta_Columns[[#This Row],[Generalization 1]],meta_Classifiers[ID],0))</f>
        <v>_Object</v>
      </c>
      <c r="Z374" s="8" t="str">
        <f>INDEX(meta_Classifiers[Class - Generalization:src], MATCH(meta_Columns[[#This Row],[Owning Table Instances Class]],meta_Classifiers[ID],0))</f>
        <v>_NamedElement</v>
      </c>
      <c r="AA3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4" s="8" t="b">
        <f>_xlfn.IFNA(
INDEX(meta_Classifiers[Class - Generalization:src],MATCH(
INDEX(meta_Classifiers[Class - Generalization:src],MATCH(meta_Columns[[#This Row],[Property Owning Class]],meta_Classifiers[ID],0)),meta_Classifiers[ID],0))
=meta_Columns[[#This Row],[Owning Table Instances Class]],FALSE)</f>
        <v>0</v>
      </c>
      <c r="AG374" s="8" t="b">
        <f>_xlfn.IFNA(INDEX(meta_Classifiers[Class - Generalization:src],MATCH(meta_Columns[[#This Row],[Property Owning Class]],meta_Classifiers[ID],0))=meta_Columns[[#This Row],[Owning Table Instances Class]],FALSE)</f>
        <v>0</v>
      </c>
      <c r="AH3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4" s="8" t="e">
        <f>INDEX(meta_Classifiers[Name],MATCH(INDEX(meta_TypedModelElements[Property - Owning Class:src],MATCH(meta_Columns[[#This Row],[Property]],meta_TypedModelElements[ID],0)),meta_Classifiers[ID],0))</f>
        <v>#N/A</v>
      </c>
      <c r="AJ374" s="8" t="e">
        <f>INDEX(meta_TypedModelElements[Property - Owning Class:src],MATCH(meta_Columns[[#This Row],[Property]],meta_TypedModelElements[ID],0))</f>
        <v>#N/A</v>
      </c>
      <c r="AK374" s="8" t="e">
        <f>INDEX(meta_TypedModelElements[Kind:src],MATCH(meta_Columns[[#This Row],[Property]],meta_TypedModelElements[ID],0))</f>
        <v>#N/A</v>
      </c>
      <c r="AL374" s="8" t="e">
        <f>INDEX(meta_TypedModelElements[Name or Type],MATCH(meta_Columns[[#This Row],[Property]],meta_TypedModelElements[ID],0))</f>
        <v>#N/A</v>
      </c>
      <c r="AM374" s="8" t="e">
        <f>INDEX(meta_TypedModelElements[Property - Changeable],MATCH(meta_Columns[[#This Row],[Property]],meta_TypedModelElements[ID],0))</f>
        <v>#N/A</v>
      </c>
      <c r="AN374" s="43">
        <v>27</v>
      </c>
      <c r="AO374" s="22"/>
      <c r="AP3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4" s="8" t="str">
        <f xml:space="preserve"> IF(meta_Columns[[#This Row],[Property Owning Class is Specialization of Instance Class]],meta_Columns[[#This Row],[Property Owning Class Name]]&amp;" - ","")</f>
        <v/>
      </c>
      <c r="AR3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3</v>
      </c>
      <c r="AT374" s="8" t="str">
        <f>IFERROR(LEFT(meta_Columns[[#This Row],[Excel Column - Label Actual without Semantic Case]],FIND("-",
meta_Columns[[#This Row],[Excel Column - Label Actual without Semantic Case]])-2),"")</f>
        <v/>
      </c>
      <c r="AU3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3</v>
      </c>
      <c r="AV3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3</v>
      </c>
      <c r="AX374" s="22"/>
      <c r="AY374" s="8" t="str">
        <f>meta_Columns[[#This Row],[Owning Table]]&amp;"."&amp;meta_Columns[[#This Row],[Excel Column - Label]]</f>
        <v>meta::TypedModelElements.Type Super Type 3</v>
      </c>
      <c r="AZ374" s="43" t="s">
        <v>415</v>
      </c>
      <c r="BA374" s="44" t="str">
        <f>IF(TRIM(meta_Columns[[#This Row],[Excel Column - Label Overwrite]])&lt;&gt;"",meta_Columns[[#This Row],[Excel Column - Label Overwrite]],meta_Columns[[#This Row],[Excel Column - Label from Property or Referenced Table]])</f>
        <v>Type Super Type 3</v>
      </c>
      <c r="BB374" s="43" t="s">
        <v>1526</v>
      </c>
      <c r="BC374" s="44" t="str">
        <f>IF(meta_Columns[[#This Row],[Excel Column - Explicit Excel Formula]]="","",meta_Columns[[#This Row],[Excel Column - Explicit Excel Formula]])</f>
        <v>Formula:=INDEX(#REF!,MATCH([@[Type Super Type 2]],meta_Classifiers[ID],0))</v>
      </c>
      <c r="BD374" s="5"/>
      <c r="BE374" s="5"/>
    </row>
    <row r="375" spans="1:57">
      <c r="A375" s="10" t="s">
        <v>1318</v>
      </c>
      <c r="B375" s="5" t="s">
        <v>546</v>
      </c>
      <c r="C375" s="22" t="str">
        <f xml:space="preserve"> IF( TRIM( meta_Columns[[#This Row],[Kind:src]] ) = "", "",
        INDEX( meta_Classifiers[Display Qualified], MATCH( meta_Columns[[#This Row],[Kind:src]], meta_Classifiers[ID], 0 ) ) )</f>
        <v>ExcelColumn</v>
      </c>
      <c r="D375" s="44" t="str">
        <f>IF(meta_Columns[[#This Row],[Owning Table:src]]="","",INDEX(meta_Classifiers[Package],MATCH(meta_Columns[[#This Row],[Owning Table Instances Class]],meta_Classifiers[ID],0)))</f>
        <v>meta</v>
      </c>
      <c r="E375" s="43"/>
      <c r="F375" s="44" t="str">
        <f>INDEX(meta_Tables[Excel Table - Excel Name],MATCH(meta_Columns[[#This Row],[Owning Table:src]],meta_Tables[ID],0))</f>
        <v>meta_TypedModelElements</v>
      </c>
      <c r="G375" s="44" t="str">
        <f>INDEX(meta_Tables[Instances Class:src],MATCH(meta_Columns[[#This Row],[Owning Table:src]],meta_Tables[ID],0))</f>
        <v>_TypedModelElement</v>
      </c>
      <c r="H375" s="11" t="s">
        <v>1011</v>
      </c>
      <c r="I375" s="43" t="str">
        <f xml:space="preserve"> IF( TRIM( meta_Columns[[#This Row],[Owning Table:src]] ) = "", "",
        INDEX( meta_Tables[Display Qualified], MATCH( meta_Columns[[#This Row],[Owning Table:src]], meta_Tables[ID], 0 ) ) )</f>
        <v>meta::TypedModelElements</v>
      </c>
      <c r="K375" s="22" t="str">
        <f>IF(TRIM(meta_Columns[[#This Row],[Referenced Table:src]])="","",
    INDEX(meta_Tables[Display Qualified],MATCH(meta_Columns[[#This Row],[Referenced Table:src]],meta_Tables[ID],0)))</f>
        <v/>
      </c>
      <c r="L375" s="8"/>
      <c r="M375" s="22"/>
      <c r="N375" s="8" t="str">
        <f>IF(meta_Columns[[#This Row],[Excel Column - Excel Formula]]="","x","")</f>
        <v/>
      </c>
      <c r="O375" s="22"/>
      <c r="P375" s="8" t="str">
        <f>IF(meta_Columns[[#This Row],[Referenced Table:src]]="","",INDEX(meta_Tables[Instances Class],MATCH(meta_Columns[[#This Row],[Referenced Table:src]],meta_Tables[ID],0)))</f>
        <v/>
      </c>
      <c r="Q3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meta::TypedModelElement.typeSuperType2</v>
      </c>
      <c r="R375" s="8"/>
      <c r="S375" s="22" t="str">
        <f xml:space="preserve"> IF( TRIM( meta_Columns[[#This Row],[Property:src]] ) = "", "",
        INDEX( meta_TypedModelElements[Display Qualified], MATCH( meta_Columns[[#This Row],[Property:src]], meta_TypedModelElements[ID], 0 ) ) )</f>
        <v/>
      </c>
      <c r="T375" s="22"/>
      <c r="U375" s="8" t="e">
        <f>INDEX(meta_Classifiers[Class - Generalization:src], MATCH(meta_Columns[[#This Row],[Generalization 5]],meta_Classifiers[ID],0))</f>
        <v>#N/A</v>
      </c>
      <c r="V375" s="8" t="e">
        <f>INDEX(meta_Classifiers[Class - Generalization:src], MATCH(meta_Columns[[#This Row],[Generalization 4]],meta_Classifiers[ID],0))</f>
        <v>#N/A</v>
      </c>
      <c r="W375" s="8" t="e">
        <f>INDEX(meta_Classifiers[Class - Generalization:src], MATCH(meta_Columns[[#This Row],[Generalization 3]],meta_Classifiers[ID],0))</f>
        <v>#N/A</v>
      </c>
      <c r="X375" s="8" t="str">
        <f>INDEX(meta_Classifiers[Class - Generalization:src], MATCH(meta_Columns[[#This Row],[Generalization 2]],meta_Classifiers[ID],0))</f>
        <v/>
      </c>
      <c r="Y375" s="8" t="str">
        <f>INDEX(meta_Classifiers[Class - Generalization:src], MATCH(meta_Columns[[#This Row],[Generalization 1]],meta_Classifiers[ID],0))</f>
        <v>_Object</v>
      </c>
      <c r="Z375" s="8" t="str">
        <f>INDEX(meta_Classifiers[Class - Generalization:src], MATCH(meta_Columns[[#This Row],[Owning Table Instances Class]],meta_Classifiers[ID],0))</f>
        <v>_NamedElement</v>
      </c>
      <c r="AA3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5" s="8" t="b">
        <f>_xlfn.IFNA(
INDEX(meta_Classifiers[Class - Generalization:src],MATCH(
INDEX(meta_Classifiers[Class - Generalization:src],MATCH(meta_Columns[[#This Row],[Property Owning Class]],meta_Classifiers[ID],0)),meta_Classifiers[ID],0))
=meta_Columns[[#This Row],[Owning Table Instances Class]],FALSE)</f>
        <v>0</v>
      </c>
      <c r="AG375" s="8" t="b">
        <f>_xlfn.IFNA(INDEX(meta_Classifiers[Class - Generalization:src],MATCH(meta_Columns[[#This Row],[Property Owning Class]],meta_Classifiers[ID],0))=meta_Columns[[#This Row],[Owning Table Instances Class]],FALSE)</f>
        <v>0</v>
      </c>
      <c r="AH3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5" s="8" t="e">
        <f>INDEX(meta_Classifiers[Name],MATCH(INDEX(meta_TypedModelElements[Property - Owning Class:src],MATCH(meta_Columns[[#This Row],[Property]],meta_TypedModelElements[ID],0)),meta_Classifiers[ID],0))</f>
        <v>#N/A</v>
      </c>
      <c r="AJ375" s="8" t="e">
        <f>INDEX(meta_TypedModelElements[Property - Owning Class:src],MATCH(meta_Columns[[#This Row],[Property]],meta_TypedModelElements[ID],0))</f>
        <v>#N/A</v>
      </c>
      <c r="AK375" s="8" t="e">
        <f>INDEX(meta_TypedModelElements[Kind:src],MATCH(meta_Columns[[#This Row],[Property]],meta_TypedModelElements[ID],0))</f>
        <v>#N/A</v>
      </c>
      <c r="AL375" s="8" t="e">
        <f>INDEX(meta_TypedModelElements[Name or Type],MATCH(meta_Columns[[#This Row],[Property]],meta_TypedModelElements[ID],0))</f>
        <v>#N/A</v>
      </c>
      <c r="AM375" s="8" t="e">
        <f>INDEX(meta_TypedModelElements[Property - Changeable],MATCH(meta_Columns[[#This Row],[Property]],meta_TypedModelElements[ID],0))</f>
        <v>#N/A</v>
      </c>
      <c r="AN375" s="43">
        <v>28</v>
      </c>
      <c r="AO375" s="22"/>
      <c r="AP3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5" s="8" t="str">
        <f xml:space="preserve"> IF(meta_Columns[[#This Row],[Property Owning Class is Specialization of Instance Class]],meta_Columns[[#This Row],[Property Owning Class Name]]&amp;" - ","")</f>
        <v/>
      </c>
      <c r="AR3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2</v>
      </c>
      <c r="AT375" s="8" t="str">
        <f>IFERROR(LEFT(meta_Columns[[#This Row],[Excel Column - Label Actual without Semantic Case]],FIND("-",
meta_Columns[[#This Row],[Excel Column - Label Actual without Semantic Case]])-2),"")</f>
        <v/>
      </c>
      <c r="AU3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2</v>
      </c>
      <c r="AV3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2</v>
      </c>
      <c r="AX375" s="22"/>
      <c r="AY375" s="8" t="str">
        <f>meta_Columns[[#This Row],[Owning Table]]&amp;"."&amp;meta_Columns[[#This Row],[Excel Column - Label]]</f>
        <v>meta::TypedModelElements.Type Super Type 2</v>
      </c>
      <c r="AZ375" s="43" t="s">
        <v>416</v>
      </c>
      <c r="BA375" s="44" t="str">
        <f>IF(TRIM(meta_Columns[[#This Row],[Excel Column - Label Overwrite]])&lt;&gt;"",meta_Columns[[#This Row],[Excel Column - Label Overwrite]],meta_Columns[[#This Row],[Excel Column - Label from Property or Referenced Table]])</f>
        <v>Type Super Type 2</v>
      </c>
      <c r="BB375" s="43" t="s">
        <v>1527</v>
      </c>
      <c r="BC375" s="44" t="str">
        <f>IF(meta_Columns[[#This Row],[Excel Column - Explicit Excel Formula]]="","",meta_Columns[[#This Row],[Excel Column - Explicit Excel Formula]])</f>
        <v>Formula:=INDEX(#REF!,MATCH([@[Type Super Type 1]],meta_Classifiers[ID],0))</v>
      </c>
      <c r="BD375" s="5"/>
      <c r="BE375" s="5"/>
    </row>
    <row r="376" spans="1:57">
      <c r="A376" s="10" t="s">
        <v>1319</v>
      </c>
      <c r="B376" s="5" t="s">
        <v>546</v>
      </c>
      <c r="C376" s="22" t="str">
        <f xml:space="preserve"> IF( TRIM( meta_Columns[[#This Row],[Kind:src]] ) = "", "",
        INDEX( meta_Classifiers[Display Qualified], MATCH( meta_Columns[[#This Row],[Kind:src]], meta_Classifiers[ID], 0 ) ) )</f>
        <v>ExcelColumn</v>
      </c>
      <c r="D376" s="44" t="str">
        <f>IF(meta_Columns[[#This Row],[Owning Table:src]]="","",INDEX(meta_Classifiers[Package],MATCH(meta_Columns[[#This Row],[Owning Table Instances Class]],meta_Classifiers[ID],0)))</f>
        <v>meta</v>
      </c>
      <c r="E376" s="43"/>
      <c r="F376" s="44" t="str">
        <f>INDEX(meta_Tables[Excel Table - Excel Name],MATCH(meta_Columns[[#This Row],[Owning Table:src]],meta_Tables[ID],0))</f>
        <v>meta_TypedModelElements</v>
      </c>
      <c r="G376" s="44" t="str">
        <f>INDEX(meta_Tables[Instances Class:src],MATCH(meta_Columns[[#This Row],[Owning Table:src]],meta_Tables[ID],0))</f>
        <v>_TypedModelElement</v>
      </c>
      <c r="H376" s="11" t="s">
        <v>1011</v>
      </c>
      <c r="I376" s="43" t="str">
        <f xml:space="preserve"> IF( TRIM( meta_Columns[[#This Row],[Owning Table:src]] ) = "", "",
        INDEX( meta_Tables[Display Qualified], MATCH( meta_Columns[[#This Row],[Owning Table:src]], meta_Tables[ID], 0 ) ) )</f>
        <v>meta::TypedModelElements</v>
      </c>
      <c r="K376" s="22" t="str">
        <f>IF(TRIM(meta_Columns[[#This Row],[Referenced Table:src]])="","",
    INDEX(meta_Tables[Display Qualified],MATCH(meta_Columns[[#This Row],[Referenced Table:src]],meta_Tables[ID],0)))</f>
        <v/>
      </c>
      <c r="L376" s="8"/>
      <c r="M376" s="22"/>
      <c r="N376" s="8" t="str">
        <f>IF(meta_Columns[[#This Row],[Excel Column - Excel Formula]]="","x","")</f>
        <v/>
      </c>
      <c r="O376" s="22"/>
      <c r="P376" s="8" t="str">
        <f>IF(meta_Columns[[#This Row],[Referenced Table:src]]="","",INDEX(meta_Tables[Instances Class],MATCH(meta_Columns[[#This Row],[Referenced Table:src]],meta_Tables[ID],0)))</f>
        <v/>
      </c>
      <c r="Q3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meta::TypedModelElement.typeSuperType1</v>
      </c>
      <c r="R376" s="8"/>
      <c r="S376" s="22" t="str">
        <f xml:space="preserve"> IF( TRIM( meta_Columns[[#This Row],[Property:src]] ) = "", "",
        INDEX( meta_TypedModelElements[Display Qualified], MATCH( meta_Columns[[#This Row],[Property:src]], meta_TypedModelElements[ID], 0 ) ) )</f>
        <v/>
      </c>
      <c r="T376" s="22"/>
      <c r="U376" s="8" t="e">
        <f>INDEX(meta_Classifiers[Class - Generalization:src], MATCH(meta_Columns[[#This Row],[Generalization 5]],meta_Classifiers[ID],0))</f>
        <v>#N/A</v>
      </c>
      <c r="V376" s="8" t="e">
        <f>INDEX(meta_Classifiers[Class - Generalization:src], MATCH(meta_Columns[[#This Row],[Generalization 4]],meta_Classifiers[ID],0))</f>
        <v>#N/A</v>
      </c>
      <c r="W376" s="8" t="e">
        <f>INDEX(meta_Classifiers[Class - Generalization:src], MATCH(meta_Columns[[#This Row],[Generalization 3]],meta_Classifiers[ID],0))</f>
        <v>#N/A</v>
      </c>
      <c r="X376" s="8" t="str">
        <f>INDEX(meta_Classifiers[Class - Generalization:src], MATCH(meta_Columns[[#This Row],[Generalization 2]],meta_Classifiers[ID],0))</f>
        <v/>
      </c>
      <c r="Y376" s="8" t="str">
        <f>INDEX(meta_Classifiers[Class - Generalization:src], MATCH(meta_Columns[[#This Row],[Generalization 1]],meta_Classifiers[ID],0))</f>
        <v>_Object</v>
      </c>
      <c r="Z376" s="8" t="str">
        <f>INDEX(meta_Classifiers[Class - Generalization:src], MATCH(meta_Columns[[#This Row],[Owning Table Instances Class]],meta_Classifiers[ID],0))</f>
        <v>_NamedElement</v>
      </c>
      <c r="AA3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6" s="8" t="b">
        <f>_xlfn.IFNA(
INDEX(meta_Classifiers[Class - Generalization:src],MATCH(
INDEX(meta_Classifiers[Class - Generalization:src],MATCH(meta_Columns[[#This Row],[Property Owning Class]],meta_Classifiers[ID],0)),meta_Classifiers[ID],0))
=meta_Columns[[#This Row],[Owning Table Instances Class]],FALSE)</f>
        <v>0</v>
      </c>
      <c r="AG376" s="8" t="b">
        <f>_xlfn.IFNA(INDEX(meta_Classifiers[Class - Generalization:src],MATCH(meta_Columns[[#This Row],[Property Owning Class]],meta_Classifiers[ID],0))=meta_Columns[[#This Row],[Owning Table Instances Class]],FALSE)</f>
        <v>0</v>
      </c>
      <c r="AH3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6" s="8" t="e">
        <f>INDEX(meta_Classifiers[Name],MATCH(INDEX(meta_TypedModelElements[Property - Owning Class:src],MATCH(meta_Columns[[#This Row],[Property]],meta_TypedModelElements[ID],0)),meta_Classifiers[ID],0))</f>
        <v>#N/A</v>
      </c>
      <c r="AJ376" s="8" t="e">
        <f>INDEX(meta_TypedModelElements[Property - Owning Class:src],MATCH(meta_Columns[[#This Row],[Property]],meta_TypedModelElements[ID],0))</f>
        <v>#N/A</v>
      </c>
      <c r="AK376" s="8" t="e">
        <f>INDEX(meta_TypedModelElements[Kind:src],MATCH(meta_Columns[[#This Row],[Property]],meta_TypedModelElements[ID],0))</f>
        <v>#N/A</v>
      </c>
      <c r="AL376" s="8" t="e">
        <f>INDEX(meta_TypedModelElements[Name or Type],MATCH(meta_Columns[[#This Row],[Property]],meta_TypedModelElements[ID],0))</f>
        <v>#N/A</v>
      </c>
      <c r="AM376" s="8" t="e">
        <f>INDEX(meta_TypedModelElements[Property - Changeable],MATCH(meta_Columns[[#This Row],[Property]],meta_TypedModelElements[ID],0))</f>
        <v>#N/A</v>
      </c>
      <c r="AN376" s="43">
        <v>29</v>
      </c>
      <c r="AO376" s="22"/>
      <c r="AP3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6" s="8" t="str">
        <f xml:space="preserve"> IF(meta_Columns[[#This Row],[Property Owning Class is Specialization of Instance Class]],meta_Columns[[#This Row],[Property Owning Class Name]]&amp;" - ","")</f>
        <v/>
      </c>
      <c r="AR3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1</v>
      </c>
      <c r="AT376" s="8" t="str">
        <f>IFERROR(LEFT(meta_Columns[[#This Row],[Excel Column - Label Actual without Semantic Case]],FIND("-",
meta_Columns[[#This Row],[Excel Column - Label Actual without Semantic Case]])-2),"")</f>
        <v/>
      </c>
      <c r="AU3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1</v>
      </c>
      <c r="AV3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1</v>
      </c>
      <c r="AX376" s="22"/>
      <c r="AY376" s="8" t="str">
        <f>meta_Columns[[#This Row],[Owning Table]]&amp;"."&amp;meta_Columns[[#This Row],[Excel Column - Label]]</f>
        <v>meta::TypedModelElements.Type Super Type 1</v>
      </c>
      <c r="AZ376" s="43" t="s">
        <v>413</v>
      </c>
      <c r="BA376" s="44" t="str">
        <f>IF(TRIM(meta_Columns[[#This Row],[Excel Column - Label Overwrite]])&lt;&gt;"",meta_Columns[[#This Row],[Excel Column - Label Overwrite]],meta_Columns[[#This Row],[Excel Column - Label from Property or Referenced Table]])</f>
        <v>Type Super Type 1</v>
      </c>
      <c r="BB376" s="43" t="s">
        <v>1528</v>
      </c>
      <c r="BC376" s="44" t="str">
        <f>IF(meta_Columns[[#This Row],[Excel Column - Explicit Excel Formula]]="","",meta_Columns[[#This Row],[Excel Column - Explicit Excel Formula]])</f>
        <v>Formula:=INDEX(#REF!,MATCH([@[Type:src]],meta_Classifiers[ID],0))</v>
      </c>
      <c r="BD376" s="5"/>
      <c r="BE376" s="5"/>
    </row>
    <row r="377" spans="1:57">
      <c r="A377" s="10" t="s">
        <v>1320</v>
      </c>
      <c r="B377" s="5" t="s">
        <v>546</v>
      </c>
      <c r="C377" s="22" t="str">
        <f xml:space="preserve"> IF( TRIM( meta_Columns[[#This Row],[Kind:src]] ) = "", "",
        INDEX( meta_Classifiers[Display Qualified], MATCH( meta_Columns[[#This Row],[Kind:src]], meta_Classifiers[ID], 0 ) ) )</f>
        <v>ExcelColumn</v>
      </c>
      <c r="D377" s="44" t="str">
        <f>IF(meta_Columns[[#This Row],[Owning Table:src]]="","",INDEX(meta_Classifiers[Package],MATCH(meta_Columns[[#This Row],[Owning Table Instances Class]],meta_Classifiers[ID],0)))</f>
        <v>meta</v>
      </c>
      <c r="E377" s="43"/>
      <c r="F377" s="44" t="str">
        <f>INDEX(meta_Tables[Excel Table - Excel Name],MATCH(meta_Columns[[#This Row],[Owning Table:src]],meta_Tables[ID],0))</f>
        <v>meta_TypedModelElements</v>
      </c>
      <c r="G377" s="44" t="str">
        <f>INDEX(meta_Tables[Instances Class:src],MATCH(meta_Columns[[#This Row],[Owning Table:src]],meta_Tables[ID],0))</f>
        <v>_TypedModelElement</v>
      </c>
      <c r="H377" s="11" t="s">
        <v>1011</v>
      </c>
      <c r="I377" s="43" t="str">
        <f xml:space="preserve"> IF( TRIM( meta_Columns[[#This Row],[Owning Table:src]] ) = "", "",
        INDEX( meta_Tables[Display Qualified], MATCH( meta_Columns[[#This Row],[Owning Table:src]], meta_Tables[ID], 0 ) ) )</f>
        <v>meta::TypedModelElements</v>
      </c>
      <c r="K377" s="22" t="str">
        <f>IF(TRIM(meta_Columns[[#This Row],[Referenced Table:src]])="","",
    INDEX(meta_Tables[Display Qualified],MATCH(meta_Columns[[#This Row],[Referenced Table:src]],meta_Tables[ID],0)))</f>
        <v/>
      </c>
      <c r="L377" s="8"/>
      <c r="M377" s="22"/>
      <c r="N377" s="8" t="str">
        <f>IF(meta_Columns[[#This Row],[Excel Column - Excel Formula]]="","x","")</f>
        <v/>
      </c>
      <c r="O377" s="22"/>
      <c r="P377" s="8" t="str">
        <f>IF(meta_Columns[[#This Row],[Referenced Table:src]]="","",INDEX(meta_Tables[Instances Class],MATCH(meta_Columns[[#This Row],[Referenced Table:src]],meta_Tables[ID],0)))</f>
        <v/>
      </c>
      <c r="Q3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7" s="8"/>
      <c r="S377" s="22" t="str">
        <f xml:space="preserve"> IF( TRIM( meta_Columns[[#This Row],[Property:src]] ) = "", "",
        INDEX( meta_TypedModelElements[Display Qualified], MATCH( meta_Columns[[#This Row],[Property:src]], meta_TypedModelElements[ID], 0 ) ) )</f>
        <v/>
      </c>
      <c r="T377" s="22"/>
      <c r="U377" s="8" t="e">
        <f>INDEX(meta_Classifiers[Class - Generalization:src], MATCH(meta_Columns[[#This Row],[Generalization 5]],meta_Classifiers[ID],0))</f>
        <v>#N/A</v>
      </c>
      <c r="V377" s="8" t="e">
        <f>INDEX(meta_Classifiers[Class - Generalization:src], MATCH(meta_Columns[[#This Row],[Generalization 4]],meta_Classifiers[ID],0))</f>
        <v>#N/A</v>
      </c>
      <c r="W377" s="8" t="e">
        <f>INDEX(meta_Classifiers[Class - Generalization:src], MATCH(meta_Columns[[#This Row],[Generalization 3]],meta_Classifiers[ID],0))</f>
        <v>#N/A</v>
      </c>
      <c r="X377" s="8" t="str">
        <f>INDEX(meta_Classifiers[Class - Generalization:src], MATCH(meta_Columns[[#This Row],[Generalization 2]],meta_Classifiers[ID],0))</f>
        <v/>
      </c>
      <c r="Y377" s="8" t="str">
        <f>INDEX(meta_Classifiers[Class - Generalization:src], MATCH(meta_Columns[[#This Row],[Generalization 1]],meta_Classifiers[ID],0))</f>
        <v>_Object</v>
      </c>
      <c r="Z377" s="8" t="str">
        <f>INDEX(meta_Classifiers[Class - Generalization:src], MATCH(meta_Columns[[#This Row],[Owning Table Instances Class]],meta_Classifiers[ID],0))</f>
        <v>_NamedElement</v>
      </c>
      <c r="AA3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7" s="8" t="b">
        <f>_xlfn.IFNA(
INDEX(meta_Classifiers[Class - Generalization:src],MATCH(
INDEX(meta_Classifiers[Class - Generalization:src],MATCH(meta_Columns[[#This Row],[Property Owning Class]],meta_Classifiers[ID],0)),meta_Classifiers[ID],0))
=meta_Columns[[#This Row],[Owning Table Instances Class]],FALSE)</f>
        <v>0</v>
      </c>
      <c r="AG377" s="8" t="b">
        <f>_xlfn.IFNA(INDEX(meta_Classifiers[Class - Generalization:src],MATCH(meta_Columns[[#This Row],[Property Owning Class]],meta_Classifiers[ID],0))=meta_Columns[[#This Row],[Owning Table Instances Class]],FALSE)</f>
        <v>0</v>
      </c>
      <c r="AH3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7" s="8" t="e">
        <f>INDEX(meta_Classifiers[Name],MATCH(INDEX(meta_TypedModelElements[Property - Owning Class:src],MATCH(meta_Columns[[#This Row],[Property]],meta_TypedModelElements[ID],0)),meta_Classifiers[ID],0))</f>
        <v>#N/A</v>
      </c>
      <c r="AJ377" s="8" t="e">
        <f>INDEX(meta_TypedModelElements[Property - Owning Class:src],MATCH(meta_Columns[[#This Row],[Property]],meta_TypedModelElements[ID],0))</f>
        <v>#N/A</v>
      </c>
      <c r="AK377" s="8" t="e">
        <f>INDEX(meta_TypedModelElements[Kind:src],MATCH(meta_Columns[[#This Row],[Property]],meta_TypedModelElements[ID],0))</f>
        <v>#N/A</v>
      </c>
      <c r="AL377" s="8" t="e">
        <f>INDEX(meta_TypedModelElements[Name or Type],MATCH(meta_Columns[[#This Row],[Property]],meta_TypedModelElements[ID],0))</f>
        <v>#N/A</v>
      </c>
      <c r="AM377" s="8" t="e">
        <f>INDEX(meta_TypedModelElements[Property - Changeable],MATCH(meta_Columns[[#This Row],[Property]],meta_TypedModelElements[ID],0))</f>
        <v>#N/A</v>
      </c>
      <c r="AN377" s="43">
        <v>30</v>
      </c>
      <c r="AO377" s="22"/>
      <c r="AP3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7" s="8" t="str">
        <f xml:space="preserve"> IF(meta_Columns[[#This Row],[Property Owning Class is Specialization of Instance Class]],meta_Columns[[#This Row],[Property Owning Class Name]]&amp;" - ","")</f>
        <v/>
      </c>
      <c r="AR3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7" s="8" t="str">
        <f>IFERROR(LEFT(meta_Columns[[#This Row],[Excel Column - Label Actual without Semantic Case]],FIND("-",
meta_Columns[[#This Row],[Excel Column - Label Actual without Semantic Case]])-2),"")</f>
        <v/>
      </c>
      <c r="AU3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Derived:display</v>
      </c>
      <c r="AX377" s="22"/>
      <c r="AY377" s="8" t="str">
        <f>meta_Columns[[#This Row],[Owning Table]]&amp;"."&amp;meta_Columns[[#This Row],[Excel Column - Label]]</f>
        <v>meta::TypedModelElements.Type Derived:display</v>
      </c>
      <c r="AZ377" s="43" t="s">
        <v>446</v>
      </c>
      <c r="BA377" s="44" t="str">
        <f>IF(TRIM(meta_Columns[[#This Row],[Excel Column - Label Overwrite]])&lt;&gt;"",meta_Columns[[#This Row],[Excel Column - Label Overwrite]],meta_Columns[[#This Row],[Excel Column - Label from Property or Referenced Table]])</f>
        <v>Type Derived:display</v>
      </c>
      <c r="BB377" s="43" t="s">
        <v>1411</v>
      </c>
      <c r="BC377" s="44" t="str">
        <f>IF(meta_Columns[[#This Row],[Excel Column - Explicit Excel Formula]]="","",meta_Columns[[#This Row],[Excel Column - Explicit Excel Formula]])</f>
        <v>Formula:=IF([@[Kind:srcLastSaved]]&lt;&gt;"_Function",[@Type],INDEX([Type],MATCH([@[Function - Owning Property:src]],[ID],0)))</v>
      </c>
      <c r="BD377" s="5"/>
      <c r="BE377" s="5"/>
    </row>
    <row r="378" spans="1:57">
      <c r="A378" s="10" t="s">
        <v>1321</v>
      </c>
      <c r="B378" s="5" t="s">
        <v>546</v>
      </c>
      <c r="C378" s="22" t="str">
        <f xml:space="preserve"> IF( TRIM( meta_Columns[[#This Row],[Kind:src]] ) = "", "",
        INDEX( meta_Classifiers[Display Qualified], MATCH( meta_Columns[[#This Row],[Kind:src]], meta_Classifiers[ID], 0 ) ) )</f>
        <v>ExcelColumn</v>
      </c>
      <c r="D378" s="44" t="str">
        <f>IF(meta_Columns[[#This Row],[Owning Table:src]]="","",INDEX(meta_Classifiers[Package],MATCH(meta_Columns[[#This Row],[Owning Table Instances Class]],meta_Classifiers[ID],0)))</f>
        <v>meta</v>
      </c>
      <c r="E378" s="43"/>
      <c r="F378" s="44" t="str">
        <f>INDEX(meta_Tables[Excel Table - Excel Name],MATCH(meta_Columns[[#This Row],[Owning Table:src]],meta_Tables[ID],0))</f>
        <v>meta_TypedModelElements</v>
      </c>
      <c r="G378" s="44" t="str">
        <f>INDEX(meta_Tables[Instances Class:src],MATCH(meta_Columns[[#This Row],[Owning Table:src]],meta_Tables[ID],0))</f>
        <v>_TypedModelElement</v>
      </c>
      <c r="H378" s="11" t="s">
        <v>1011</v>
      </c>
      <c r="I378" s="43" t="str">
        <f xml:space="preserve"> IF( TRIM( meta_Columns[[#This Row],[Owning Table:src]] ) = "", "",
        INDEX( meta_Tables[Display Qualified], MATCH( meta_Columns[[#This Row],[Owning Table:src]], meta_Tables[ID], 0 ) ) )</f>
        <v>meta::TypedModelElements</v>
      </c>
      <c r="K378" s="22" t="str">
        <f>IF(TRIM(meta_Columns[[#This Row],[Referenced Table:src]])="","",
    INDEX(meta_Tables[Display Qualified],MATCH(meta_Columns[[#This Row],[Referenced Table:src]],meta_Tables[ID],0)))</f>
        <v/>
      </c>
      <c r="L378" s="8"/>
      <c r="M378" s="22"/>
      <c r="N378" s="8" t="str">
        <f>IF(meta_Columns[[#This Row],[Excel Column - Excel Formula]]="","x","")</f>
        <v/>
      </c>
      <c r="O378" s="22"/>
      <c r="P378" s="8" t="str">
        <f>IF(meta_Columns[[#This Row],[Referenced Table:src]]="","",INDEX(meta_Tables[Instances Class],MATCH(meta_Columns[[#This Row],[Referenced Table:src]],meta_Tables[ID],0)))</f>
        <v/>
      </c>
      <c r="Q3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8" s="8"/>
      <c r="S378" s="22" t="str">
        <f xml:space="preserve"> IF( TRIM( meta_Columns[[#This Row],[Property:src]] ) = "", "",
        INDEX( meta_TypedModelElements[Display Qualified], MATCH( meta_Columns[[#This Row],[Property:src]], meta_TypedModelElements[ID], 0 ) ) )</f>
        <v/>
      </c>
      <c r="T378" s="22"/>
      <c r="U378" s="8" t="e">
        <f>INDEX(meta_Classifiers[Class - Generalization:src], MATCH(meta_Columns[[#This Row],[Generalization 5]],meta_Classifiers[ID],0))</f>
        <v>#N/A</v>
      </c>
      <c r="V378" s="8" t="e">
        <f>INDEX(meta_Classifiers[Class - Generalization:src], MATCH(meta_Columns[[#This Row],[Generalization 4]],meta_Classifiers[ID],0))</f>
        <v>#N/A</v>
      </c>
      <c r="W378" s="8" t="e">
        <f>INDEX(meta_Classifiers[Class - Generalization:src], MATCH(meta_Columns[[#This Row],[Generalization 3]],meta_Classifiers[ID],0))</f>
        <v>#N/A</v>
      </c>
      <c r="X378" s="8" t="str">
        <f>INDEX(meta_Classifiers[Class - Generalization:src], MATCH(meta_Columns[[#This Row],[Generalization 2]],meta_Classifiers[ID],0))</f>
        <v/>
      </c>
      <c r="Y378" s="8" t="str">
        <f>INDEX(meta_Classifiers[Class - Generalization:src], MATCH(meta_Columns[[#This Row],[Generalization 1]],meta_Classifiers[ID],0))</f>
        <v>_Object</v>
      </c>
      <c r="Z378" s="8" t="str">
        <f>INDEX(meta_Classifiers[Class - Generalization:src], MATCH(meta_Columns[[#This Row],[Owning Table Instances Class]],meta_Classifiers[ID],0))</f>
        <v>_NamedElement</v>
      </c>
      <c r="AA3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8" s="8" t="b">
        <f>_xlfn.IFNA(
INDEX(meta_Classifiers[Class - Generalization:src],MATCH(
INDEX(meta_Classifiers[Class - Generalization:src],MATCH(meta_Columns[[#This Row],[Property Owning Class]],meta_Classifiers[ID],0)),meta_Classifiers[ID],0))
=meta_Columns[[#This Row],[Owning Table Instances Class]],FALSE)</f>
        <v>0</v>
      </c>
      <c r="AG378" s="8" t="b">
        <f>_xlfn.IFNA(INDEX(meta_Classifiers[Class - Generalization:src],MATCH(meta_Columns[[#This Row],[Property Owning Class]],meta_Classifiers[ID],0))=meta_Columns[[#This Row],[Owning Table Instances Class]],FALSE)</f>
        <v>0</v>
      </c>
      <c r="AH3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8" s="8" t="e">
        <f>INDEX(meta_Classifiers[Name],MATCH(INDEX(meta_TypedModelElements[Property - Owning Class:src],MATCH(meta_Columns[[#This Row],[Property]],meta_TypedModelElements[ID],0)),meta_Classifiers[ID],0))</f>
        <v>#N/A</v>
      </c>
      <c r="AJ378" s="8" t="e">
        <f>INDEX(meta_TypedModelElements[Property - Owning Class:src],MATCH(meta_Columns[[#This Row],[Property]],meta_TypedModelElements[ID],0))</f>
        <v>#N/A</v>
      </c>
      <c r="AK378" s="8" t="e">
        <f>INDEX(meta_TypedModelElements[Kind:src],MATCH(meta_Columns[[#This Row],[Property]],meta_TypedModelElements[ID],0))</f>
        <v>#N/A</v>
      </c>
      <c r="AL378" s="8" t="e">
        <f>INDEX(meta_TypedModelElements[Name or Type],MATCH(meta_Columns[[#This Row],[Property]],meta_TypedModelElements[ID],0))</f>
        <v>#N/A</v>
      </c>
      <c r="AM378" s="8" t="e">
        <f>INDEX(meta_TypedModelElements[Property - Changeable],MATCH(meta_Columns[[#This Row],[Property]],meta_TypedModelElements[ID],0))</f>
        <v>#N/A</v>
      </c>
      <c r="AN378" s="43">
        <v>31</v>
      </c>
      <c r="AO378" s="22"/>
      <c r="AP3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8" s="8" t="str">
        <f xml:space="preserve"> IF(meta_Columns[[#This Row],[Property Owning Class is Specialization of Instance Class]],meta_Columns[[#This Row],[Property Owning Class Name]]&amp;" - ","")</f>
        <v/>
      </c>
      <c r="AR3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8" s="8" t="str">
        <f>IFERROR(LEFT(meta_Columns[[#This Row],[Excel Column - Label Actual without Semantic Case]],FIND("-",
meta_Columns[[#This Row],[Excel Column - Label Actual without Semantic Case]])-2),"")</f>
        <v/>
      </c>
      <c r="AU3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v>
      </c>
      <c r="AX378" s="22"/>
      <c r="AY378" s="8" t="str">
        <f>meta_Columns[[#This Row],[Owning Table]]&amp;"."&amp;meta_Columns[[#This Row],[Excel Column - Label]]</f>
        <v>meta::TypedModelElements.Type Derived</v>
      </c>
      <c r="AZ378" s="43" t="s">
        <v>423</v>
      </c>
      <c r="BA378" s="44" t="str">
        <f>IF(TRIM(meta_Columns[[#This Row],[Excel Column - Label Overwrite]])&lt;&gt;"",meta_Columns[[#This Row],[Excel Column - Label Overwrite]],meta_Columns[[#This Row],[Excel Column - Label from Property or Referenced Table]])</f>
        <v>Type Derived</v>
      </c>
      <c r="BB378" s="43" t="s">
        <v>1412</v>
      </c>
      <c r="BC378" s="44" t="str">
        <f>IF(meta_Columns[[#This Row],[Excel Column - Explicit Excel Formula]]="","",meta_Columns[[#This Row],[Excel Column - Explicit Excel Formula]])</f>
        <v>Formula:=IF([@[Kind:srcLastSaved]]&lt;&gt;"_Function",[@[Type:src]],INDEX([Type:src],MATCH([@[Function - Owning Property:src]],[ID],0)))</v>
      </c>
      <c r="BD378" s="5"/>
      <c r="BE378" s="5"/>
    </row>
    <row r="379" spans="1:57">
      <c r="A379" s="10" t="s">
        <v>1437</v>
      </c>
      <c r="B379" s="5" t="s">
        <v>546</v>
      </c>
      <c r="C379" s="22" t="str">
        <f xml:space="preserve"> IF( TRIM( meta_Columns[[#This Row],[Kind:src]] ) = "", "",
        INDEX( meta_Classifiers[Display Qualified], MATCH( meta_Columns[[#This Row],[Kind:src]], meta_Classifiers[ID], 0 ) ) )</f>
        <v>ExcelColumn</v>
      </c>
      <c r="D379" s="44" t="str">
        <f>IF(meta_Columns[[#This Row],[Owning Table:src]]="","",INDEX(meta_Classifiers[Package],MATCH(meta_Columns[[#This Row],[Owning Table Instances Class]],meta_Classifiers[ID],0)))</f>
        <v>meta</v>
      </c>
      <c r="E379" s="43"/>
      <c r="F379" s="44" t="str">
        <f>INDEX(meta_Tables[Excel Table - Excel Name],MATCH(meta_Columns[[#This Row],[Owning Table:src]],meta_Tables[ID],0))</f>
        <v>meta_TypedModelElements</v>
      </c>
      <c r="G379" s="44" t="str">
        <f>INDEX(meta_Tables[Instances Class:src],MATCH(meta_Columns[[#This Row],[Owning Table:src]],meta_Tables[ID],0))</f>
        <v>_TypedModelElement</v>
      </c>
      <c r="H379" s="11" t="s">
        <v>1011</v>
      </c>
      <c r="I379" s="43" t="str">
        <f xml:space="preserve"> IF( TRIM( meta_Columns[[#This Row],[Owning Table:src]] ) = "", "",
        INDEX( meta_Tables[Display Qualified], MATCH( meta_Columns[[#This Row],[Owning Table:src]], meta_Tables[ID], 0 ) ) )</f>
        <v>meta::TypedModelElements</v>
      </c>
      <c r="K379" s="22" t="str">
        <f>IF(TRIM(meta_Columns[[#This Row],[Referenced Table:src]])="","",
    INDEX(meta_Tables[Display Qualified],MATCH(meta_Columns[[#This Row],[Referenced Table:src]],meta_Tables[ID],0)))</f>
        <v/>
      </c>
      <c r="L379" s="8"/>
      <c r="M379" s="22"/>
      <c r="N379" s="8" t="str">
        <f>IF(meta_Columns[[#This Row],[Excel Column - Excel Formula]]="","x","")</f>
        <v/>
      </c>
      <c r="O379" s="22"/>
      <c r="P379" s="8" t="str">
        <f>IF(meta_Columns[[#This Row],[Referenced Table:src]]="","",INDEX(meta_Tables[Instances Class],MATCH(meta_Columns[[#This Row],[Referenced Table:src]],meta_Tables[ID],0)))</f>
        <v/>
      </c>
      <c r="Q3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meta::TypedModelElement.typeName</v>
      </c>
      <c r="R379" s="8"/>
      <c r="S379" s="22" t="str">
        <f xml:space="preserve"> IF( TRIM( meta_Columns[[#This Row],[Property:src]] ) = "", "",
        INDEX( meta_TypedModelElements[Display Qualified], MATCH( meta_Columns[[#This Row],[Property:src]], meta_TypedModelElements[ID], 0 ) ) )</f>
        <v/>
      </c>
      <c r="T379" s="22"/>
      <c r="U379" s="8" t="e">
        <f>INDEX(meta_Classifiers[Class - Generalization:src], MATCH(meta_Columns[[#This Row],[Generalization 5]],meta_Classifiers[ID],0))</f>
        <v>#N/A</v>
      </c>
      <c r="V379" s="8" t="e">
        <f>INDEX(meta_Classifiers[Class - Generalization:src], MATCH(meta_Columns[[#This Row],[Generalization 4]],meta_Classifiers[ID],0))</f>
        <v>#N/A</v>
      </c>
      <c r="W379" s="8" t="e">
        <f>INDEX(meta_Classifiers[Class - Generalization:src], MATCH(meta_Columns[[#This Row],[Generalization 3]],meta_Classifiers[ID],0))</f>
        <v>#N/A</v>
      </c>
      <c r="X379" s="8" t="str">
        <f>INDEX(meta_Classifiers[Class - Generalization:src], MATCH(meta_Columns[[#This Row],[Generalization 2]],meta_Classifiers[ID],0))</f>
        <v/>
      </c>
      <c r="Y379" s="8" t="str">
        <f>INDEX(meta_Classifiers[Class - Generalization:src], MATCH(meta_Columns[[#This Row],[Generalization 1]],meta_Classifiers[ID],0))</f>
        <v>_Object</v>
      </c>
      <c r="Z379" s="8" t="str">
        <f>INDEX(meta_Classifiers[Class - Generalization:src], MATCH(meta_Columns[[#This Row],[Owning Table Instances Class]],meta_Classifiers[ID],0))</f>
        <v>_NamedElement</v>
      </c>
      <c r="AA3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9" s="8" t="b">
        <f>_xlfn.IFNA(
INDEX(meta_Classifiers[Class - Generalization:src],MATCH(
INDEX(meta_Classifiers[Class - Generalization:src],MATCH(meta_Columns[[#This Row],[Property Owning Class]],meta_Classifiers[ID],0)),meta_Classifiers[ID],0))
=meta_Columns[[#This Row],[Owning Table Instances Class]],FALSE)</f>
        <v>0</v>
      </c>
      <c r="AG379" s="8" t="b">
        <f>_xlfn.IFNA(INDEX(meta_Classifiers[Class - Generalization:src],MATCH(meta_Columns[[#This Row],[Property Owning Class]],meta_Classifiers[ID],0))=meta_Columns[[#This Row],[Owning Table Instances Class]],FALSE)</f>
        <v>0</v>
      </c>
      <c r="AH3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9" s="8" t="e">
        <f>INDEX(meta_Classifiers[Name],MATCH(INDEX(meta_TypedModelElements[Property - Owning Class:src],MATCH(meta_Columns[[#This Row],[Property]],meta_TypedModelElements[ID],0)),meta_Classifiers[ID],0))</f>
        <v>#N/A</v>
      </c>
      <c r="AJ379" s="8" t="e">
        <f>INDEX(meta_TypedModelElements[Property - Owning Class:src],MATCH(meta_Columns[[#This Row],[Property]],meta_TypedModelElements[ID],0))</f>
        <v>#N/A</v>
      </c>
      <c r="AK379" s="8" t="e">
        <f>INDEX(meta_TypedModelElements[Kind:src],MATCH(meta_Columns[[#This Row],[Property]],meta_TypedModelElements[ID],0))</f>
        <v>#N/A</v>
      </c>
      <c r="AL379" s="8" t="e">
        <f>INDEX(meta_TypedModelElements[Name or Type],MATCH(meta_Columns[[#This Row],[Property]],meta_TypedModelElements[ID],0))</f>
        <v>#N/A</v>
      </c>
      <c r="AM379" s="8" t="e">
        <f>INDEX(meta_TypedModelElements[Property - Changeable],MATCH(meta_Columns[[#This Row],[Property]],meta_TypedModelElements[ID],0))</f>
        <v>#N/A</v>
      </c>
      <c r="AN379" s="43">
        <v>32</v>
      </c>
      <c r="AO379" s="22"/>
      <c r="AP3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9" s="8" t="str">
        <f xml:space="preserve"> IF(meta_Columns[[#This Row],[Property Owning Class is Specialization of Instance Class]],meta_Columns[[#This Row],[Property Owning Class Name]]&amp;" - ","")</f>
        <v/>
      </c>
      <c r="AR3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Name</v>
      </c>
      <c r="AT379" s="8" t="str">
        <f>IFERROR(LEFT(meta_Columns[[#This Row],[Excel Column - Label Actual without Semantic Case]],FIND("-",
meta_Columns[[#This Row],[Excel Column - Label Actual without Semantic Case]])-2),"")</f>
        <v/>
      </c>
      <c r="AU3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Name</v>
      </c>
      <c r="AV3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Name</v>
      </c>
      <c r="AX379" s="22"/>
      <c r="AY379" s="8" t="str">
        <f>meta_Columns[[#This Row],[Owning Table]]&amp;"."&amp;meta_Columns[[#This Row],[Excel Column - Label]]</f>
        <v>meta::TypedModelElements.Type Name</v>
      </c>
      <c r="AZ379" s="43" t="s">
        <v>1434</v>
      </c>
      <c r="BA379" s="44" t="str">
        <f>IF(TRIM(meta_Columns[[#This Row],[Excel Column - Label Overwrite]])&lt;&gt;"",meta_Columns[[#This Row],[Excel Column - Label Overwrite]],meta_Columns[[#This Row],[Excel Column - Label from Property or Referenced Table]])</f>
        <v>Type Name</v>
      </c>
      <c r="BB379" s="43" t="s">
        <v>1438</v>
      </c>
      <c r="BC379" s="44" t="str">
        <f>IF(meta_Columns[[#This Row],[Excel Column - Explicit Excel Formula]]="","",meta_Columns[[#This Row],[Excel Column - Explicit Excel Formula]])</f>
        <v>Formula:=IF([@[Type:src]]="","",INDEX(meta_Classifiers[Name],MATCH([@[Type:src]],meta_Classifiers[ID],0)))</v>
      </c>
      <c r="BD379" s="5"/>
      <c r="BE379" s="5"/>
    </row>
    <row r="380" spans="1:57">
      <c r="A380" s="10" t="s">
        <v>1413</v>
      </c>
      <c r="B380" s="5" t="s">
        <v>546</v>
      </c>
      <c r="C380" s="22" t="str">
        <f xml:space="preserve"> IF( TRIM( meta_Columns[[#This Row],[Kind:src]] ) = "", "",
        INDEX( meta_Classifiers[Display Qualified], MATCH( meta_Columns[[#This Row],[Kind:src]], meta_Classifiers[ID], 0 ) ) )</f>
        <v>ExcelColumn</v>
      </c>
      <c r="D380" s="44" t="str">
        <f>IF(meta_Columns[[#This Row],[Owning Table:src]]="","",INDEX(meta_Classifiers[Package],MATCH(meta_Columns[[#This Row],[Owning Table Instances Class]],meta_Classifiers[ID],0)))</f>
        <v>meta</v>
      </c>
      <c r="E380" s="43"/>
      <c r="F380" s="44" t="str">
        <f>INDEX(meta_Tables[Excel Table - Excel Name],MATCH(meta_Columns[[#This Row],[Owning Table:src]],meta_Tables[ID],0))</f>
        <v>meta_TypedModelElements</v>
      </c>
      <c r="G380" s="44" t="str">
        <f>INDEX(meta_Tables[Instances Class:src],MATCH(meta_Columns[[#This Row],[Owning Table:src]],meta_Tables[ID],0))</f>
        <v>_TypedModelElement</v>
      </c>
      <c r="H380" s="11" t="s">
        <v>1011</v>
      </c>
      <c r="I380" s="43" t="str">
        <f xml:space="preserve"> IF( TRIM( meta_Columns[[#This Row],[Owning Table:src]] ) = "", "",
        INDEX( meta_Tables[Display Qualified], MATCH( meta_Columns[[#This Row],[Owning Table:src]], meta_Tables[ID], 0 ) ) )</f>
        <v>meta::TypedModelElements</v>
      </c>
      <c r="K380" s="22" t="str">
        <f>IF(TRIM(meta_Columns[[#This Row],[Referenced Table:src]])="","",
    INDEX(meta_Tables[Display Qualified],MATCH(meta_Columns[[#This Row],[Referenced Table:src]],meta_Tables[ID],0)))</f>
        <v/>
      </c>
      <c r="L380" s="8"/>
      <c r="M380" s="22"/>
      <c r="N380" s="8" t="str">
        <f>IF(meta_Columns[[#This Row],[Excel Column - Excel Formula]]="","x","")</f>
        <v/>
      </c>
      <c r="O380" s="22"/>
      <c r="P380" s="8" t="str">
        <f>IF(meta_Columns[[#This Row],[Referenced Table:src]]="","",INDEX(meta_Tables[Instances Class],MATCH(meta_Columns[[#This Row],[Referenced Table:src]],meta_Tables[ID],0)))</f>
        <v/>
      </c>
      <c r="Q3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0" s="8"/>
      <c r="S380" s="22" t="str">
        <f xml:space="preserve"> IF( TRIM( meta_Columns[[#This Row],[Property:src]] ) = "", "",
        INDEX( meta_TypedModelElements[Display Qualified], MATCH( meta_Columns[[#This Row],[Property:src]], meta_TypedModelElements[ID], 0 ) ) )</f>
        <v/>
      </c>
      <c r="T380" s="22"/>
      <c r="U380" s="8" t="e">
        <f>INDEX(meta_Classifiers[Class - Generalization:src], MATCH(meta_Columns[[#This Row],[Generalization 5]],meta_Classifiers[ID],0))</f>
        <v>#N/A</v>
      </c>
      <c r="V380" s="8" t="e">
        <f>INDEX(meta_Classifiers[Class - Generalization:src], MATCH(meta_Columns[[#This Row],[Generalization 4]],meta_Classifiers[ID],0))</f>
        <v>#N/A</v>
      </c>
      <c r="W380" s="8" t="e">
        <f>INDEX(meta_Classifiers[Class - Generalization:src], MATCH(meta_Columns[[#This Row],[Generalization 3]],meta_Classifiers[ID],0))</f>
        <v>#N/A</v>
      </c>
      <c r="X380" s="8" t="str">
        <f>INDEX(meta_Classifiers[Class - Generalization:src], MATCH(meta_Columns[[#This Row],[Generalization 2]],meta_Classifiers[ID],0))</f>
        <v/>
      </c>
      <c r="Y380" s="8" t="str">
        <f>INDEX(meta_Classifiers[Class - Generalization:src], MATCH(meta_Columns[[#This Row],[Generalization 1]],meta_Classifiers[ID],0))</f>
        <v>_Object</v>
      </c>
      <c r="Z380" s="8" t="str">
        <f>INDEX(meta_Classifiers[Class - Generalization:src], MATCH(meta_Columns[[#This Row],[Owning Table Instances Class]],meta_Classifiers[ID],0))</f>
        <v>_NamedElement</v>
      </c>
      <c r="AA3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0" s="8" t="b">
        <f>_xlfn.IFNA(
INDEX(meta_Classifiers[Class - Generalization:src],MATCH(
INDEX(meta_Classifiers[Class - Generalization:src],MATCH(meta_Columns[[#This Row],[Property Owning Class]],meta_Classifiers[ID],0)),meta_Classifiers[ID],0))
=meta_Columns[[#This Row],[Owning Table Instances Class]],FALSE)</f>
        <v>0</v>
      </c>
      <c r="AG380" s="8" t="b">
        <f>_xlfn.IFNA(INDEX(meta_Classifiers[Class - Generalization:src],MATCH(meta_Columns[[#This Row],[Property Owning Class]],meta_Classifiers[ID],0))=meta_Columns[[#This Row],[Owning Table Instances Class]],FALSE)</f>
        <v>0</v>
      </c>
      <c r="AH3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0" s="8" t="e">
        <f>INDEX(meta_Classifiers[Name],MATCH(INDEX(meta_TypedModelElements[Property - Owning Class:src],MATCH(meta_Columns[[#This Row],[Property]],meta_TypedModelElements[ID],0)),meta_Classifiers[ID],0))</f>
        <v>#N/A</v>
      </c>
      <c r="AJ380" s="8" t="e">
        <f>INDEX(meta_TypedModelElements[Property - Owning Class:src],MATCH(meta_Columns[[#This Row],[Property]],meta_TypedModelElements[ID],0))</f>
        <v>#N/A</v>
      </c>
      <c r="AK380" s="8" t="e">
        <f>INDEX(meta_TypedModelElements[Kind:src],MATCH(meta_Columns[[#This Row],[Property]],meta_TypedModelElements[ID],0))</f>
        <v>#N/A</v>
      </c>
      <c r="AL380" s="8" t="e">
        <f>INDEX(meta_TypedModelElements[Name or Type],MATCH(meta_Columns[[#This Row],[Property]],meta_TypedModelElements[ID],0))</f>
        <v>#N/A</v>
      </c>
      <c r="AM380" s="8" t="e">
        <f>INDEX(meta_TypedModelElements[Property - Changeable],MATCH(meta_Columns[[#This Row],[Property]],meta_TypedModelElements[ID],0))</f>
        <v>#N/A</v>
      </c>
      <c r="AN380" s="43">
        <v>33</v>
      </c>
      <c r="AO380" s="22"/>
      <c r="AP3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0" s="8" t="str">
        <f xml:space="preserve"> IF(meta_Columns[[#This Row],[Property Owning Class is Specialization of Instance Class]],meta_Columns[[#This Row],[Property Owning Class Name]]&amp;" - ","")</f>
        <v/>
      </c>
      <c r="AR3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0" s="8" t="str">
        <f>IFERROR(LEFT(meta_Columns[[#This Row],[Excel Column - Label Actual without Semantic Case]],FIND("-",
meta_Columns[[#This Row],[Excel Column - Label Actual without Semantic Case]])-2),"")</f>
        <v/>
      </c>
      <c r="AU3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Type:src</v>
      </c>
      <c r="AX380" s="22"/>
      <c r="AY380" s="8" t="str">
        <f>meta_Columns[[#This Row],[Owning Table]]&amp;"."&amp;meta_Columns[[#This Row],[Excel Column - Label]]</f>
        <v>meta::TypedModelElements.Type:src</v>
      </c>
      <c r="AZ380" s="43" t="s">
        <v>1004</v>
      </c>
      <c r="BA380" s="44" t="str">
        <f>IF(TRIM(meta_Columns[[#This Row],[Excel Column - Label Overwrite]])&lt;&gt;"",meta_Columns[[#This Row],[Excel Column - Label Overwrite]],meta_Columns[[#This Row],[Excel Column - Label from Property or Referenced Table]])</f>
        <v>Type:src</v>
      </c>
      <c r="BB380" s="43" t="s">
        <v>1414</v>
      </c>
      <c r="BC380" s="44" t="str">
        <f>IF(meta_Columns[[#This Row],[Excel Column - Explicit Excel Formula]]="","",meta_Columns[[#This Row],[Excel Column - Explicit Excel Formula]])</f>
        <v>Formula:=IF([@[Type:srcLastSaved]]&lt;&gt;"", [@[Type:srcLastSaved]],
   IF([@Type]="","",
      INDEX(meta_Classifiers[ID],
         MATCH([@Type],meta_Classifiers[Display Qualified],0))))</v>
      </c>
      <c r="BD380" s="5"/>
      <c r="BE380" s="5"/>
    </row>
    <row r="381" spans="1:57">
      <c r="A381" s="10" t="s">
        <v>1415</v>
      </c>
      <c r="B381" s="5" t="s">
        <v>546</v>
      </c>
      <c r="C381" s="22" t="str">
        <f xml:space="preserve"> IF( TRIM( meta_Columns[[#This Row],[Kind:src]] ) = "", "",
        INDEX( meta_Classifiers[Display Qualified], MATCH( meta_Columns[[#This Row],[Kind:src]], meta_Classifiers[ID], 0 ) ) )</f>
        <v>ExcelColumn</v>
      </c>
      <c r="D381" s="44" t="str">
        <f>IF(meta_Columns[[#This Row],[Owning Table:src]]="","",INDEX(meta_Classifiers[Package],MATCH(meta_Columns[[#This Row],[Owning Table Instances Class]],meta_Classifiers[ID],0)))</f>
        <v>meta</v>
      </c>
      <c r="E381" s="43"/>
      <c r="F381" s="44" t="str">
        <f>INDEX(meta_Tables[Excel Table - Excel Name],MATCH(meta_Columns[[#This Row],[Owning Table:src]],meta_Tables[ID],0))</f>
        <v>meta_TypedModelElements</v>
      </c>
      <c r="G381" s="44" t="str">
        <f>INDEX(meta_Tables[Instances Class:src],MATCH(meta_Columns[[#This Row],[Owning Table:src]],meta_Tables[ID],0))</f>
        <v>_TypedModelElement</v>
      </c>
      <c r="H381" s="11" t="s">
        <v>1011</v>
      </c>
      <c r="I381" s="43" t="str">
        <f xml:space="preserve"> IF( TRIM( meta_Columns[[#This Row],[Owning Table:src]] ) = "", "",
        INDEX( meta_Tables[Display Qualified], MATCH( meta_Columns[[#This Row],[Owning Table:src]], meta_Tables[ID], 0 ) ) )</f>
        <v>meta::TypedModelElements</v>
      </c>
      <c r="K381" s="22" t="str">
        <f>IF(TRIM(meta_Columns[[#This Row],[Referenced Table:src]])="","",
    INDEX(meta_Tables[Display Qualified],MATCH(meta_Columns[[#This Row],[Referenced Table:src]],meta_Tables[ID],0)))</f>
        <v/>
      </c>
      <c r="L381" s="8"/>
      <c r="M381" s="22"/>
      <c r="N381" s="8" t="str">
        <f>IF(meta_Columns[[#This Row],[Excel Column - Excel Formula]]="","x","")</f>
        <v>x</v>
      </c>
      <c r="O381" s="22"/>
      <c r="P381" s="8" t="str">
        <f>IF(meta_Columns[[#This Row],[Referenced Table:src]]="","",INDEX(meta_Tables[Instances Class],MATCH(meta_Columns[[#This Row],[Referenced Table:src]],meta_Tables[ID],0)))</f>
        <v/>
      </c>
      <c r="Q3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1" s="8"/>
      <c r="S381" s="22" t="str">
        <f xml:space="preserve"> IF( TRIM( meta_Columns[[#This Row],[Property:src]] ) = "", "",
        INDEX( meta_TypedModelElements[Display Qualified], MATCH( meta_Columns[[#This Row],[Property:src]], meta_TypedModelElements[ID], 0 ) ) )</f>
        <v/>
      </c>
      <c r="T381" s="22"/>
      <c r="U381" s="8" t="e">
        <f>INDEX(meta_Classifiers[Class - Generalization:src], MATCH(meta_Columns[[#This Row],[Generalization 5]],meta_Classifiers[ID],0))</f>
        <v>#N/A</v>
      </c>
      <c r="V381" s="8" t="e">
        <f>INDEX(meta_Classifiers[Class - Generalization:src], MATCH(meta_Columns[[#This Row],[Generalization 4]],meta_Classifiers[ID],0))</f>
        <v>#N/A</v>
      </c>
      <c r="W381" s="8" t="e">
        <f>INDEX(meta_Classifiers[Class - Generalization:src], MATCH(meta_Columns[[#This Row],[Generalization 3]],meta_Classifiers[ID],0))</f>
        <v>#N/A</v>
      </c>
      <c r="X381" s="8" t="str">
        <f>INDEX(meta_Classifiers[Class - Generalization:src], MATCH(meta_Columns[[#This Row],[Generalization 2]],meta_Classifiers[ID],0))</f>
        <v/>
      </c>
      <c r="Y381" s="8" t="str">
        <f>INDEX(meta_Classifiers[Class - Generalization:src], MATCH(meta_Columns[[#This Row],[Generalization 1]],meta_Classifiers[ID],0))</f>
        <v>_Object</v>
      </c>
      <c r="Z381" s="8" t="str">
        <f>INDEX(meta_Classifiers[Class - Generalization:src], MATCH(meta_Columns[[#This Row],[Owning Table Instances Class]],meta_Classifiers[ID],0))</f>
        <v>_NamedElement</v>
      </c>
      <c r="AA3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1" s="8" t="b">
        <f>_xlfn.IFNA(
INDEX(meta_Classifiers[Class - Generalization:src],MATCH(
INDEX(meta_Classifiers[Class - Generalization:src],MATCH(meta_Columns[[#This Row],[Property Owning Class]],meta_Classifiers[ID],0)),meta_Classifiers[ID],0))
=meta_Columns[[#This Row],[Owning Table Instances Class]],FALSE)</f>
        <v>0</v>
      </c>
      <c r="AG381" s="8" t="b">
        <f>_xlfn.IFNA(INDEX(meta_Classifiers[Class - Generalization:src],MATCH(meta_Columns[[#This Row],[Property Owning Class]],meta_Classifiers[ID],0))=meta_Columns[[#This Row],[Owning Table Instances Class]],FALSE)</f>
        <v>0</v>
      </c>
      <c r="AH3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1" s="8" t="e">
        <f>INDEX(meta_Classifiers[Name],MATCH(INDEX(meta_TypedModelElements[Property - Owning Class:src],MATCH(meta_Columns[[#This Row],[Property]],meta_TypedModelElements[ID],0)),meta_Classifiers[ID],0))</f>
        <v>#N/A</v>
      </c>
      <c r="AJ381" s="8" t="e">
        <f>INDEX(meta_TypedModelElements[Property - Owning Class:src],MATCH(meta_Columns[[#This Row],[Property]],meta_TypedModelElements[ID],0))</f>
        <v>#N/A</v>
      </c>
      <c r="AK381" s="8" t="e">
        <f>INDEX(meta_TypedModelElements[Kind:src],MATCH(meta_Columns[[#This Row],[Property]],meta_TypedModelElements[ID],0))</f>
        <v>#N/A</v>
      </c>
      <c r="AL381" s="8" t="e">
        <f>INDEX(meta_TypedModelElements[Name or Type],MATCH(meta_Columns[[#This Row],[Property]],meta_TypedModelElements[ID],0))</f>
        <v>#N/A</v>
      </c>
      <c r="AM381" s="8" t="e">
        <f>INDEX(meta_TypedModelElements[Property - Changeable],MATCH(meta_Columns[[#This Row],[Property]],meta_TypedModelElements[ID],0))</f>
        <v>#N/A</v>
      </c>
      <c r="AN381" s="43">
        <v>34</v>
      </c>
      <c r="AO381" s="22">
        <v>13</v>
      </c>
      <c r="AP3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1" s="8" t="str">
        <f xml:space="preserve"> IF(meta_Columns[[#This Row],[Property Owning Class is Specialization of Instance Class]],meta_Columns[[#This Row],[Property Owning Class Name]]&amp;" - ","")</f>
        <v/>
      </c>
      <c r="AR3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1" s="8" t="str">
        <f>IFERROR(LEFT(meta_Columns[[#This Row],[Excel Column - Label Actual without Semantic Case]],FIND("-",
meta_Columns[[#This Row],[Excel Column - Label Actual without Semantic Case]])-2),"")</f>
        <v/>
      </c>
      <c r="AU3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v>
      </c>
      <c r="AX381" s="22"/>
      <c r="AY381" s="8" t="str">
        <f>meta_Columns[[#This Row],[Owning Table]]&amp;"."&amp;meta_Columns[[#This Row],[Excel Column - Label]]</f>
        <v>meta::TypedModelElements.Type</v>
      </c>
      <c r="AZ381" s="43" t="s">
        <v>4</v>
      </c>
      <c r="BA381" s="44" t="str">
        <f>IF(TRIM(meta_Columns[[#This Row],[Excel Column - Label Overwrite]])&lt;&gt;"",meta_Columns[[#This Row],[Excel Column - Label Overwrite]],meta_Columns[[#This Row],[Excel Column - Label from Property or Referenced Table]])</f>
        <v>Type</v>
      </c>
      <c r="BB381" s="43"/>
      <c r="BC381" s="44" t="str">
        <f>IF(meta_Columns[[#This Row],[Excel Column - Explicit Excel Formula]]="","",meta_Columns[[#This Row],[Excel Column - Explicit Excel Formula]])</f>
        <v/>
      </c>
      <c r="BD381" s="5" t="s">
        <v>1461</v>
      </c>
      <c r="BE381" s="5"/>
    </row>
    <row r="382" spans="1:57">
      <c r="A382" s="10" t="s">
        <v>1416</v>
      </c>
      <c r="B382" s="5" t="s">
        <v>546</v>
      </c>
      <c r="C382" s="22" t="str">
        <f xml:space="preserve"> IF( TRIM( meta_Columns[[#This Row],[Kind:src]] ) = "", "",
        INDEX( meta_Classifiers[Display Qualified], MATCH( meta_Columns[[#This Row],[Kind:src]], meta_Classifiers[ID], 0 ) ) )</f>
        <v>ExcelColumn</v>
      </c>
      <c r="D382" s="44" t="str">
        <f>IF(meta_Columns[[#This Row],[Owning Table:src]]="","",INDEX(meta_Classifiers[Package],MATCH(meta_Columns[[#This Row],[Owning Table Instances Class]],meta_Classifiers[ID],0)))</f>
        <v>meta</v>
      </c>
      <c r="E382" s="43"/>
      <c r="F382" s="44" t="str">
        <f>INDEX(meta_Tables[Excel Table - Excel Name],MATCH(meta_Columns[[#This Row],[Owning Table:src]],meta_Tables[ID],0))</f>
        <v>meta_TypedModelElements</v>
      </c>
      <c r="G382" s="44" t="str">
        <f>INDEX(meta_Tables[Instances Class:src],MATCH(meta_Columns[[#This Row],[Owning Table:src]],meta_Tables[ID],0))</f>
        <v>_TypedModelElement</v>
      </c>
      <c r="H382" s="11" t="s">
        <v>1011</v>
      </c>
      <c r="I382" s="43" t="str">
        <f xml:space="preserve"> IF( TRIM( meta_Columns[[#This Row],[Owning Table:src]] ) = "", "",
        INDEX( meta_Tables[Display Qualified], MATCH( meta_Columns[[#This Row],[Owning Table:src]], meta_Tables[ID], 0 ) ) )</f>
        <v>meta::TypedModelElements</v>
      </c>
      <c r="K382" s="22" t="str">
        <f>IF(TRIM(meta_Columns[[#This Row],[Referenced Table:src]])="","",
    INDEX(meta_Tables[Display Qualified],MATCH(meta_Columns[[#This Row],[Referenced Table:src]],meta_Tables[ID],0)))</f>
        <v/>
      </c>
      <c r="L382" s="8"/>
      <c r="M382" s="22"/>
      <c r="N382" s="8" t="str">
        <f>IF(meta_Columns[[#This Row],[Excel Column - Excel Formula]]="","x","")</f>
        <v>x</v>
      </c>
      <c r="O382" s="22"/>
      <c r="P382" s="8" t="str">
        <f>IF(meta_Columns[[#This Row],[Referenced Table:src]]="","",INDEX(meta_Tables[Instances Class],MATCH(meta_Columns[[#This Row],[Referenced Table:src]],meta_Tables[ID],0)))</f>
        <v/>
      </c>
      <c r="Q3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meta::Feature.arity</v>
      </c>
      <c r="R382" s="8"/>
      <c r="S382" s="22" t="str">
        <f xml:space="preserve"> IF( TRIM( meta_Columns[[#This Row],[Property:src]] ) = "", "",
        INDEX( meta_TypedModelElements[Display Qualified], MATCH( meta_Columns[[#This Row],[Property:src]], meta_TypedModelElements[ID], 0 ) ) )</f>
        <v/>
      </c>
      <c r="T382" s="22"/>
      <c r="U382" s="8" t="e">
        <f>INDEX(meta_Classifiers[Class - Generalization:src], MATCH(meta_Columns[[#This Row],[Generalization 5]],meta_Classifiers[ID],0))</f>
        <v>#N/A</v>
      </c>
      <c r="V382" s="8" t="e">
        <f>INDEX(meta_Classifiers[Class - Generalization:src], MATCH(meta_Columns[[#This Row],[Generalization 4]],meta_Classifiers[ID],0))</f>
        <v>#N/A</v>
      </c>
      <c r="W382" s="8" t="e">
        <f>INDEX(meta_Classifiers[Class - Generalization:src], MATCH(meta_Columns[[#This Row],[Generalization 3]],meta_Classifiers[ID],0))</f>
        <v>#N/A</v>
      </c>
      <c r="X382" s="8" t="str">
        <f>INDEX(meta_Classifiers[Class - Generalization:src], MATCH(meta_Columns[[#This Row],[Generalization 2]],meta_Classifiers[ID],0))</f>
        <v/>
      </c>
      <c r="Y382" s="8" t="str">
        <f>INDEX(meta_Classifiers[Class - Generalization:src], MATCH(meta_Columns[[#This Row],[Generalization 1]],meta_Classifiers[ID],0))</f>
        <v>_Object</v>
      </c>
      <c r="Z382" s="8" t="str">
        <f>INDEX(meta_Classifiers[Class - Generalization:src], MATCH(meta_Columns[[#This Row],[Owning Table Instances Class]],meta_Classifiers[ID],0))</f>
        <v>_NamedElement</v>
      </c>
      <c r="AA3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2" s="8" t="b">
        <f>_xlfn.IFNA(
INDEX(meta_Classifiers[Class - Generalization:src],MATCH(
INDEX(meta_Classifiers[Class - Generalization:src],MATCH(meta_Columns[[#This Row],[Property Owning Class]],meta_Classifiers[ID],0)),meta_Classifiers[ID],0))
=meta_Columns[[#This Row],[Owning Table Instances Class]],FALSE)</f>
        <v>0</v>
      </c>
      <c r="AG382" s="8" t="b">
        <f>_xlfn.IFNA(INDEX(meta_Classifiers[Class - Generalization:src],MATCH(meta_Columns[[#This Row],[Property Owning Class]],meta_Classifiers[ID],0))=meta_Columns[[#This Row],[Owning Table Instances Class]],FALSE)</f>
        <v>0</v>
      </c>
      <c r="AH3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2" s="8" t="e">
        <f>INDEX(meta_Classifiers[Name],MATCH(INDEX(meta_TypedModelElements[Property - Owning Class:src],MATCH(meta_Columns[[#This Row],[Property]],meta_TypedModelElements[ID],0)),meta_Classifiers[ID],0))</f>
        <v>#N/A</v>
      </c>
      <c r="AJ382" s="8" t="e">
        <f>INDEX(meta_TypedModelElements[Property - Owning Class:src],MATCH(meta_Columns[[#This Row],[Property]],meta_TypedModelElements[ID],0))</f>
        <v>#N/A</v>
      </c>
      <c r="AK382" s="8" t="e">
        <f>INDEX(meta_TypedModelElements[Kind:src],MATCH(meta_Columns[[#This Row],[Property]],meta_TypedModelElements[ID],0))</f>
        <v>#N/A</v>
      </c>
      <c r="AL382" s="8" t="e">
        <f>INDEX(meta_TypedModelElements[Name or Type],MATCH(meta_Columns[[#This Row],[Property]],meta_TypedModelElements[ID],0))</f>
        <v>#N/A</v>
      </c>
      <c r="AM382" s="8" t="e">
        <f>INDEX(meta_TypedModelElements[Property - Changeable],MATCH(meta_Columns[[#This Row],[Property]],meta_TypedModelElements[ID],0))</f>
        <v>#N/A</v>
      </c>
      <c r="AN382" s="43">
        <v>35</v>
      </c>
      <c r="AO382" s="22">
        <v>14</v>
      </c>
      <c r="AP3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2" s="8" t="str">
        <f xml:space="preserve"> IF(meta_Columns[[#This Row],[Property Owning Class is Specialization of Instance Class]],meta_Columns[[#This Row],[Property Owning Class Name]]&amp;" - ","")</f>
        <v/>
      </c>
      <c r="AR3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Arity</v>
      </c>
      <c r="AT382" s="8" t="str">
        <f>IFERROR(LEFT(meta_Columns[[#This Row],[Excel Column - Label Actual without Semantic Case]],FIND("-",
meta_Columns[[#This Row],[Excel Column - Label Actual without Semantic Case]])-2),"")</f>
        <v>Feature</v>
      </c>
      <c r="AU3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Arity</v>
      </c>
      <c r="AV3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Arity</v>
      </c>
      <c r="AX382" s="22"/>
      <c r="AY382" s="8" t="str">
        <f>meta_Columns[[#This Row],[Owning Table]]&amp;"."&amp;meta_Columns[[#This Row],[Excel Column - Label]]</f>
        <v>meta::TypedModelElements.Feature - Arity</v>
      </c>
      <c r="AZ382" s="43" t="s">
        <v>497</v>
      </c>
      <c r="BA382" s="44" t="str">
        <f>IF(TRIM(meta_Columns[[#This Row],[Excel Column - Label Overwrite]])&lt;&gt;"",meta_Columns[[#This Row],[Excel Column - Label Overwrite]],meta_Columns[[#This Row],[Excel Column - Label from Property or Referenced Table]])</f>
        <v>Feature - Arity</v>
      </c>
      <c r="BB382" s="43"/>
      <c r="BC382" s="44" t="str">
        <f>IF(meta_Columns[[#This Row],[Excel Column - Explicit Excel Formula]]="","",meta_Columns[[#This Row],[Excel Column - Explicit Excel Formula]])</f>
        <v/>
      </c>
      <c r="BD382" s="5"/>
      <c r="BE382" s="5"/>
    </row>
    <row r="383" spans="1:57">
      <c r="A383" s="10" t="s">
        <v>1417</v>
      </c>
      <c r="B383" s="5" t="s">
        <v>546</v>
      </c>
      <c r="C383" s="22" t="str">
        <f xml:space="preserve"> IF( TRIM( meta_Columns[[#This Row],[Kind:src]] ) = "", "",
        INDEX( meta_Classifiers[Display Qualified], MATCH( meta_Columns[[#This Row],[Kind:src]], meta_Classifiers[ID], 0 ) ) )</f>
        <v>ExcelColumn</v>
      </c>
      <c r="D383" s="44" t="str">
        <f>IF(meta_Columns[[#This Row],[Owning Table:src]]="","",INDEX(meta_Classifiers[Package],MATCH(meta_Columns[[#This Row],[Owning Table Instances Class]],meta_Classifiers[ID],0)))</f>
        <v>meta</v>
      </c>
      <c r="E383" s="43"/>
      <c r="F383" s="44" t="str">
        <f>INDEX(meta_Tables[Excel Table - Excel Name],MATCH(meta_Columns[[#This Row],[Owning Table:src]],meta_Tables[ID],0))</f>
        <v>meta_TypedModelElements</v>
      </c>
      <c r="G383" s="44" t="str">
        <f>INDEX(meta_Tables[Instances Class:src],MATCH(meta_Columns[[#This Row],[Owning Table:src]],meta_Tables[ID],0))</f>
        <v>_TypedModelElement</v>
      </c>
      <c r="H383" s="11" t="s">
        <v>1011</v>
      </c>
      <c r="I383" s="43" t="str">
        <f xml:space="preserve"> IF( TRIM( meta_Columns[[#This Row],[Owning Table:src]] ) = "", "",
        INDEX( meta_Tables[Display Qualified], MATCH( meta_Columns[[#This Row],[Owning Table:src]], meta_Tables[ID], 0 ) ) )</f>
        <v>meta::TypedModelElements</v>
      </c>
      <c r="K383" s="22" t="str">
        <f>IF(TRIM(meta_Columns[[#This Row],[Referenced Table:src]])="","",
    INDEX(meta_Tables[Display Qualified],MATCH(meta_Columns[[#This Row],[Referenced Table:src]],meta_Tables[ID],0)))</f>
        <v/>
      </c>
      <c r="L383" s="8"/>
      <c r="M383" s="22"/>
      <c r="N383" s="8" t="str">
        <f>IF(meta_Columns[[#This Row],[Excel Column - Excel Formula]]="","x","")</f>
        <v>x</v>
      </c>
      <c r="O383" s="22"/>
      <c r="P383" s="8" t="str">
        <f>IF(meta_Columns[[#This Row],[Referenced Table:src]]="","",INDEX(meta_Tables[Instances Class],MATCH(meta_Columns[[#This Row],[Referenced Table:src]],meta_Tables[ID],0)))</f>
        <v/>
      </c>
      <c r="Q3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meta::Property.changeable</v>
      </c>
      <c r="R383" s="8"/>
      <c r="S383" s="22" t="str">
        <f xml:space="preserve"> IF( TRIM( meta_Columns[[#This Row],[Property:src]] ) = "", "",
        INDEX( meta_TypedModelElements[Display Qualified], MATCH( meta_Columns[[#This Row],[Property:src]], meta_TypedModelElements[ID], 0 ) ) )</f>
        <v/>
      </c>
      <c r="T383" s="22"/>
      <c r="U383" s="8" t="e">
        <f>INDEX(meta_Classifiers[Class - Generalization:src], MATCH(meta_Columns[[#This Row],[Generalization 5]],meta_Classifiers[ID],0))</f>
        <v>#N/A</v>
      </c>
      <c r="V383" s="8" t="e">
        <f>INDEX(meta_Classifiers[Class - Generalization:src], MATCH(meta_Columns[[#This Row],[Generalization 4]],meta_Classifiers[ID],0))</f>
        <v>#N/A</v>
      </c>
      <c r="W383" s="8" t="e">
        <f>INDEX(meta_Classifiers[Class - Generalization:src], MATCH(meta_Columns[[#This Row],[Generalization 3]],meta_Classifiers[ID],0))</f>
        <v>#N/A</v>
      </c>
      <c r="X383" s="8" t="str">
        <f>INDEX(meta_Classifiers[Class - Generalization:src], MATCH(meta_Columns[[#This Row],[Generalization 2]],meta_Classifiers[ID],0))</f>
        <v/>
      </c>
      <c r="Y383" s="8" t="str">
        <f>INDEX(meta_Classifiers[Class - Generalization:src], MATCH(meta_Columns[[#This Row],[Generalization 1]],meta_Classifiers[ID],0))</f>
        <v>_Object</v>
      </c>
      <c r="Z383" s="8" t="str">
        <f>INDEX(meta_Classifiers[Class - Generalization:src], MATCH(meta_Columns[[#This Row],[Owning Table Instances Class]],meta_Classifiers[ID],0))</f>
        <v>_NamedElement</v>
      </c>
      <c r="AA3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3" s="8" t="b">
        <f>_xlfn.IFNA(
INDEX(meta_Classifiers[Class - Generalization:src],MATCH(
INDEX(meta_Classifiers[Class - Generalization:src],MATCH(meta_Columns[[#This Row],[Property Owning Class]],meta_Classifiers[ID],0)),meta_Classifiers[ID],0))
=meta_Columns[[#This Row],[Owning Table Instances Class]],FALSE)</f>
        <v>0</v>
      </c>
      <c r="AG383" s="8" t="b">
        <f>_xlfn.IFNA(INDEX(meta_Classifiers[Class - Generalization:src],MATCH(meta_Columns[[#This Row],[Property Owning Class]],meta_Classifiers[ID],0))=meta_Columns[[#This Row],[Owning Table Instances Class]],FALSE)</f>
        <v>0</v>
      </c>
      <c r="AH3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3" s="8" t="e">
        <f>INDEX(meta_Classifiers[Name],MATCH(INDEX(meta_TypedModelElements[Property - Owning Class:src],MATCH(meta_Columns[[#This Row],[Property]],meta_TypedModelElements[ID],0)),meta_Classifiers[ID],0))</f>
        <v>#N/A</v>
      </c>
      <c r="AJ383" s="8" t="e">
        <f>INDEX(meta_TypedModelElements[Property - Owning Class:src],MATCH(meta_Columns[[#This Row],[Property]],meta_TypedModelElements[ID],0))</f>
        <v>#N/A</v>
      </c>
      <c r="AK383" s="8" t="e">
        <f>INDEX(meta_TypedModelElements[Kind:src],MATCH(meta_Columns[[#This Row],[Property]],meta_TypedModelElements[ID],0))</f>
        <v>#N/A</v>
      </c>
      <c r="AL383" s="8" t="e">
        <f>INDEX(meta_TypedModelElements[Name or Type],MATCH(meta_Columns[[#This Row],[Property]],meta_TypedModelElements[ID],0))</f>
        <v>#N/A</v>
      </c>
      <c r="AM383" s="8" t="e">
        <f>INDEX(meta_TypedModelElements[Property - Changeable],MATCH(meta_Columns[[#This Row],[Property]],meta_TypedModelElements[ID],0))</f>
        <v>#N/A</v>
      </c>
      <c r="AN383" s="43">
        <v>36</v>
      </c>
      <c r="AO383" s="22">
        <v>15</v>
      </c>
      <c r="AP3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3" s="8" t="str">
        <f xml:space="preserve"> IF(meta_Columns[[#This Row],[Property Owning Class is Specialization of Instance Class]],meta_Columns[[#This Row],[Property Owning Class Name]]&amp;" - ","")</f>
        <v/>
      </c>
      <c r="AR3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Changeable</v>
      </c>
      <c r="AT383" s="8" t="str">
        <f>IFERROR(LEFT(meta_Columns[[#This Row],[Excel Column - Label Actual without Semantic Case]],FIND("-",
meta_Columns[[#This Row],[Excel Column - Label Actual without Semantic Case]])-2),"")</f>
        <v>Property</v>
      </c>
      <c r="AU3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Changeable</v>
      </c>
      <c r="AV3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Changeable</v>
      </c>
      <c r="AX383" s="22"/>
      <c r="AY383" s="8" t="str">
        <f>meta_Columns[[#This Row],[Owning Table]]&amp;"."&amp;meta_Columns[[#This Row],[Excel Column - Label]]</f>
        <v>meta::TypedModelElements.Property - Changeable</v>
      </c>
      <c r="AZ383" s="43" t="s">
        <v>498</v>
      </c>
      <c r="BA383" s="44" t="str">
        <f>IF(TRIM(meta_Columns[[#This Row],[Excel Column - Label Overwrite]])&lt;&gt;"",meta_Columns[[#This Row],[Excel Column - Label Overwrite]],meta_Columns[[#This Row],[Excel Column - Label from Property or Referenced Table]])</f>
        <v>Property - Changeable</v>
      </c>
      <c r="BB383" s="43"/>
      <c r="BC383" s="44" t="str">
        <f>IF(meta_Columns[[#This Row],[Excel Column - Explicit Excel Formula]]="","",meta_Columns[[#This Row],[Excel Column - Explicit Excel Formula]])</f>
        <v/>
      </c>
      <c r="BD383" s="5"/>
      <c r="BE383" s="5"/>
    </row>
    <row r="384" spans="1:57">
      <c r="A384" s="10" t="s">
        <v>1418</v>
      </c>
      <c r="B384" s="5" t="s">
        <v>546</v>
      </c>
      <c r="C384" s="22" t="str">
        <f xml:space="preserve"> IF( TRIM( meta_Columns[[#This Row],[Kind:src]] ) = "", "",
        INDEX( meta_Classifiers[Display Qualified], MATCH( meta_Columns[[#This Row],[Kind:src]], meta_Classifiers[ID], 0 ) ) )</f>
        <v>ExcelColumn</v>
      </c>
      <c r="D384" s="44" t="str">
        <f>IF(meta_Columns[[#This Row],[Owning Table:src]]="","",INDEX(meta_Classifiers[Package],MATCH(meta_Columns[[#This Row],[Owning Table Instances Class]],meta_Classifiers[ID],0)))</f>
        <v>meta</v>
      </c>
      <c r="E384" s="43"/>
      <c r="F384" s="44" t="str">
        <f>INDEX(meta_Tables[Excel Table - Excel Name],MATCH(meta_Columns[[#This Row],[Owning Table:src]],meta_Tables[ID],0))</f>
        <v>meta_TypedModelElements</v>
      </c>
      <c r="G384" s="44" t="str">
        <f>INDEX(meta_Tables[Instances Class:src],MATCH(meta_Columns[[#This Row],[Owning Table:src]],meta_Tables[ID],0))</f>
        <v>_TypedModelElement</v>
      </c>
      <c r="H384" s="11" t="s">
        <v>1011</v>
      </c>
      <c r="I384" s="43" t="str">
        <f xml:space="preserve"> IF( TRIM( meta_Columns[[#This Row],[Owning Table:src]] ) = "", "",
        INDEX( meta_Tables[Display Qualified], MATCH( meta_Columns[[#This Row],[Owning Table:src]], meta_Tables[ID], 0 ) ) )</f>
        <v>meta::TypedModelElements</v>
      </c>
      <c r="K384" s="22" t="str">
        <f>IF(TRIM(meta_Columns[[#This Row],[Referenced Table:src]])="","",
    INDEX(meta_Tables[Display Qualified],MATCH(meta_Columns[[#This Row],[Referenced Table:src]],meta_Tables[ID],0)))</f>
        <v/>
      </c>
      <c r="L384" s="8"/>
      <c r="M384" s="22"/>
      <c r="N384" s="8" t="str">
        <f>IF(meta_Columns[[#This Row],[Excel Column - Excel Formula]]="","x","")</f>
        <v/>
      </c>
      <c r="O384" s="22"/>
      <c r="P384" s="8" t="str">
        <f>IF(meta_Columns[[#This Row],[Referenced Table:src]]="","",INDEX(meta_Tables[Instances Class],MATCH(meta_Columns[[#This Row],[Referenced Table:src]],meta_Tables[ID],0)))</f>
        <v/>
      </c>
      <c r="Q3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4" s="8"/>
      <c r="S384" s="22" t="str">
        <f xml:space="preserve"> IF( TRIM( meta_Columns[[#This Row],[Property:src]] ) = "", "",
        INDEX( meta_TypedModelElements[Display Qualified], MATCH( meta_Columns[[#This Row],[Property:src]], meta_TypedModelElements[ID], 0 ) ) )</f>
        <v/>
      </c>
      <c r="T384" s="22"/>
      <c r="U384" s="8" t="e">
        <f>INDEX(meta_Classifiers[Class - Generalization:src], MATCH(meta_Columns[[#This Row],[Generalization 5]],meta_Classifiers[ID],0))</f>
        <v>#N/A</v>
      </c>
      <c r="V384" s="8" t="e">
        <f>INDEX(meta_Classifiers[Class - Generalization:src], MATCH(meta_Columns[[#This Row],[Generalization 4]],meta_Classifiers[ID],0))</f>
        <v>#N/A</v>
      </c>
      <c r="W384" s="8" t="e">
        <f>INDEX(meta_Classifiers[Class - Generalization:src], MATCH(meta_Columns[[#This Row],[Generalization 3]],meta_Classifiers[ID],0))</f>
        <v>#N/A</v>
      </c>
      <c r="X384" s="8" t="str">
        <f>INDEX(meta_Classifiers[Class - Generalization:src], MATCH(meta_Columns[[#This Row],[Generalization 2]],meta_Classifiers[ID],0))</f>
        <v/>
      </c>
      <c r="Y384" s="8" t="str">
        <f>INDEX(meta_Classifiers[Class - Generalization:src], MATCH(meta_Columns[[#This Row],[Generalization 1]],meta_Classifiers[ID],0))</f>
        <v>_Object</v>
      </c>
      <c r="Z384" s="8" t="str">
        <f>INDEX(meta_Classifiers[Class - Generalization:src], MATCH(meta_Columns[[#This Row],[Owning Table Instances Class]],meta_Classifiers[ID],0))</f>
        <v>_NamedElement</v>
      </c>
      <c r="AA3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4" s="8" t="b">
        <f>_xlfn.IFNA(
INDEX(meta_Classifiers[Class - Generalization:src],MATCH(
INDEX(meta_Classifiers[Class - Generalization:src],MATCH(meta_Columns[[#This Row],[Property Owning Class]],meta_Classifiers[ID],0)),meta_Classifiers[ID],0))
=meta_Columns[[#This Row],[Owning Table Instances Class]],FALSE)</f>
        <v>0</v>
      </c>
      <c r="AG384" s="8" t="b">
        <f>_xlfn.IFNA(INDEX(meta_Classifiers[Class - Generalization:src],MATCH(meta_Columns[[#This Row],[Property Owning Class]],meta_Classifiers[ID],0))=meta_Columns[[#This Row],[Owning Table Instances Class]],FALSE)</f>
        <v>0</v>
      </c>
      <c r="AH3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4" s="8" t="e">
        <f>INDEX(meta_Classifiers[Name],MATCH(INDEX(meta_TypedModelElements[Property - Owning Class:src],MATCH(meta_Columns[[#This Row],[Property]],meta_TypedModelElements[ID],0)),meta_Classifiers[ID],0))</f>
        <v>#N/A</v>
      </c>
      <c r="AJ384" s="8" t="e">
        <f>INDEX(meta_TypedModelElements[Property - Owning Class:src],MATCH(meta_Columns[[#This Row],[Property]],meta_TypedModelElements[ID],0))</f>
        <v>#N/A</v>
      </c>
      <c r="AK384" s="8" t="e">
        <f>INDEX(meta_TypedModelElements[Kind:src],MATCH(meta_Columns[[#This Row],[Property]],meta_TypedModelElements[ID],0))</f>
        <v>#N/A</v>
      </c>
      <c r="AL384" s="8" t="e">
        <f>INDEX(meta_TypedModelElements[Name or Type],MATCH(meta_Columns[[#This Row],[Property]],meta_TypedModelElements[ID],0))</f>
        <v>#N/A</v>
      </c>
      <c r="AM384" s="8" t="e">
        <f>INDEX(meta_TypedModelElements[Property - Changeable],MATCH(meta_Columns[[#This Row],[Property]],meta_TypedModelElements[ID],0))</f>
        <v>#N/A</v>
      </c>
      <c r="AN384" s="43">
        <v>37</v>
      </c>
      <c r="AO384" s="22"/>
      <c r="AP3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4" s="8" t="str">
        <f xml:space="preserve"> IF(meta_Columns[[#This Row],[Property Owning Class is Specialization of Instance Class]],meta_Columns[[#This Row],[Property Owning Class Name]]&amp;" - ","")</f>
        <v/>
      </c>
      <c r="AR3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4" s="8" t="str">
        <f>IFERROR(LEFT(meta_Columns[[#This Row],[Excel Column - Label Actual without Semantic Case]],FIND("-",
meta_Columns[[#This Row],[Excel Column - Label Actual without Semantic Case]])-2),"")</f>
        <v>Reference</v>
      </c>
      <c r="AU3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Opposite:src</v>
      </c>
      <c r="AX384" s="22"/>
      <c r="AY384" s="8" t="str">
        <f>meta_Columns[[#This Row],[Owning Table]]&amp;"."&amp;meta_Columns[[#This Row],[Excel Column - Label]]</f>
        <v>meta::TypedModelElements.Reference - Opposite:src</v>
      </c>
      <c r="AZ384" s="43" t="s">
        <v>1003</v>
      </c>
      <c r="BA384" s="44" t="str">
        <f>IF(TRIM(meta_Columns[[#This Row],[Excel Column - Label Overwrite]])&lt;&gt;"",meta_Columns[[#This Row],[Excel Column - Label Overwrite]],meta_Columns[[#This Row],[Excel Column - Label from Property or Referenced Table]])</f>
        <v>Reference - Opposite:src</v>
      </c>
      <c r="BB384" s="43" t="s">
        <v>1419</v>
      </c>
      <c r="BC384" s="44" t="str">
        <f>IF(meta_Columns[[#This Row],[Excel Column - Explicit Excel Formula]]="","",meta_Columns[[#This Row],[Excel Column - Explicit Excel Formula]])</f>
        <v>Formula:=IF([@[Reference - Opposite:srcLastSaved]]&lt;&gt;"", [@[Reference - Opposite:srcLastSaved]],
   IF([@[Reference - Opposite]]="","",
      INDEX([ID],
         MATCH([@[Reference - Opposite]],[Display Qualified],0))))</v>
      </c>
      <c r="BD384" s="5"/>
      <c r="BE384" s="5"/>
    </row>
    <row r="385" spans="1:57">
      <c r="A385" s="10" t="s">
        <v>1322</v>
      </c>
      <c r="B385" s="5" t="s">
        <v>546</v>
      </c>
      <c r="C385" s="22" t="str">
        <f xml:space="preserve"> IF( TRIM( meta_Columns[[#This Row],[Kind:src]] ) = "", "",
        INDEX( meta_Classifiers[Display Qualified], MATCH( meta_Columns[[#This Row],[Kind:src]], meta_Classifiers[ID], 0 ) ) )</f>
        <v>ExcelColumn</v>
      </c>
      <c r="D385" s="44" t="str">
        <f>IF(meta_Columns[[#This Row],[Owning Table:src]]="","",INDEX(meta_Classifiers[Package],MATCH(meta_Columns[[#This Row],[Owning Table Instances Class]],meta_Classifiers[ID],0)))</f>
        <v>meta</v>
      </c>
      <c r="E385" s="43"/>
      <c r="F385" s="44" t="str">
        <f>INDEX(meta_Tables[Excel Table - Excel Name],MATCH(meta_Columns[[#This Row],[Owning Table:src]],meta_Tables[ID],0))</f>
        <v>meta_TypedModelElements</v>
      </c>
      <c r="G385" s="44" t="str">
        <f>INDEX(meta_Tables[Instances Class:src],MATCH(meta_Columns[[#This Row],[Owning Table:src]],meta_Tables[ID],0))</f>
        <v>_TypedModelElement</v>
      </c>
      <c r="H385" s="11" t="s">
        <v>1011</v>
      </c>
      <c r="I385" s="43" t="str">
        <f xml:space="preserve"> IF( TRIM( meta_Columns[[#This Row],[Owning Table:src]] ) = "", "",
        INDEX( meta_Tables[Display Qualified], MATCH( meta_Columns[[#This Row],[Owning Table:src]], meta_Tables[ID], 0 ) ) )</f>
        <v>meta::TypedModelElements</v>
      </c>
      <c r="K385" s="22" t="str">
        <f>IF(TRIM(meta_Columns[[#This Row],[Referenced Table:src]])="","",
    INDEX(meta_Tables[Display Qualified],MATCH(meta_Columns[[#This Row],[Referenced Table:src]],meta_Tables[ID],0)))</f>
        <v/>
      </c>
      <c r="L385" s="8"/>
      <c r="M385" s="22"/>
      <c r="N385" s="8" t="str">
        <f>IF(meta_Columns[[#This Row],[Excel Column - Excel Formula]]="","x","")</f>
        <v>x</v>
      </c>
      <c r="O385" s="22"/>
      <c r="P385" s="8" t="str">
        <f>IF(meta_Columns[[#This Row],[Referenced Table:src]]="","",INDEX(meta_Tables[Instances Class],MATCH(meta_Columns[[#This Row],[Referenced Table:src]],meta_Tables[ID],0)))</f>
        <v/>
      </c>
      <c r="Q3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5" s="8"/>
      <c r="S385" s="22" t="str">
        <f xml:space="preserve"> IF( TRIM( meta_Columns[[#This Row],[Property:src]] ) = "", "",
        INDEX( meta_TypedModelElements[Display Qualified], MATCH( meta_Columns[[#This Row],[Property:src]], meta_TypedModelElements[ID], 0 ) ) )</f>
        <v/>
      </c>
      <c r="T385" s="22"/>
      <c r="U385" s="8" t="e">
        <f>INDEX(meta_Classifiers[Class - Generalization:src], MATCH(meta_Columns[[#This Row],[Generalization 5]],meta_Classifiers[ID],0))</f>
        <v>#N/A</v>
      </c>
      <c r="V385" s="8" t="e">
        <f>INDEX(meta_Classifiers[Class - Generalization:src], MATCH(meta_Columns[[#This Row],[Generalization 4]],meta_Classifiers[ID],0))</f>
        <v>#N/A</v>
      </c>
      <c r="W385" s="8" t="e">
        <f>INDEX(meta_Classifiers[Class - Generalization:src], MATCH(meta_Columns[[#This Row],[Generalization 3]],meta_Classifiers[ID],0))</f>
        <v>#N/A</v>
      </c>
      <c r="X385" s="8" t="str">
        <f>INDEX(meta_Classifiers[Class - Generalization:src], MATCH(meta_Columns[[#This Row],[Generalization 2]],meta_Classifiers[ID],0))</f>
        <v/>
      </c>
      <c r="Y385" s="8" t="str">
        <f>INDEX(meta_Classifiers[Class - Generalization:src], MATCH(meta_Columns[[#This Row],[Generalization 1]],meta_Classifiers[ID],0))</f>
        <v>_Object</v>
      </c>
      <c r="Z385" s="8" t="str">
        <f>INDEX(meta_Classifiers[Class - Generalization:src], MATCH(meta_Columns[[#This Row],[Owning Table Instances Class]],meta_Classifiers[ID],0))</f>
        <v>_NamedElement</v>
      </c>
      <c r="AA3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5" s="8" t="b">
        <f>_xlfn.IFNA(
INDEX(meta_Classifiers[Class - Generalization:src],MATCH(
INDEX(meta_Classifiers[Class - Generalization:src],MATCH(meta_Columns[[#This Row],[Property Owning Class]],meta_Classifiers[ID],0)),meta_Classifiers[ID],0))
=meta_Columns[[#This Row],[Owning Table Instances Class]],FALSE)</f>
        <v>0</v>
      </c>
      <c r="AG385" s="8" t="b">
        <f>_xlfn.IFNA(INDEX(meta_Classifiers[Class - Generalization:src],MATCH(meta_Columns[[#This Row],[Property Owning Class]],meta_Classifiers[ID],0))=meta_Columns[[#This Row],[Owning Table Instances Class]],FALSE)</f>
        <v>0</v>
      </c>
      <c r="AH3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5" s="8" t="e">
        <f>INDEX(meta_Classifiers[Name],MATCH(INDEX(meta_TypedModelElements[Property - Owning Class:src],MATCH(meta_Columns[[#This Row],[Property]],meta_TypedModelElements[ID],0)),meta_Classifiers[ID],0))</f>
        <v>#N/A</v>
      </c>
      <c r="AJ385" s="8" t="e">
        <f>INDEX(meta_TypedModelElements[Property - Owning Class:src],MATCH(meta_Columns[[#This Row],[Property]],meta_TypedModelElements[ID],0))</f>
        <v>#N/A</v>
      </c>
      <c r="AK385" s="8" t="e">
        <f>INDEX(meta_TypedModelElements[Kind:src],MATCH(meta_Columns[[#This Row],[Property]],meta_TypedModelElements[ID],0))</f>
        <v>#N/A</v>
      </c>
      <c r="AL385" s="8" t="e">
        <f>INDEX(meta_TypedModelElements[Name or Type],MATCH(meta_Columns[[#This Row],[Property]],meta_TypedModelElements[ID],0))</f>
        <v>#N/A</v>
      </c>
      <c r="AM385" s="8" t="e">
        <f>INDEX(meta_TypedModelElements[Property - Changeable],MATCH(meta_Columns[[#This Row],[Property]],meta_TypedModelElements[ID],0))</f>
        <v>#N/A</v>
      </c>
      <c r="AN385" s="43">
        <v>38</v>
      </c>
      <c r="AO385" s="22">
        <v>17</v>
      </c>
      <c r="AP3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5" s="8" t="str">
        <f xml:space="preserve"> IF(meta_Columns[[#This Row],[Property Owning Class is Specialization of Instance Class]],meta_Columns[[#This Row],[Property Owning Class Name]]&amp;" - ","")</f>
        <v/>
      </c>
      <c r="AR3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5" s="8" t="str">
        <f>IFERROR(LEFT(meta_Columns[[#This Row],[Excel Column - Label Actual without Semantic Case]],FIND("-",
meta_Columns[[#This Row],[Excel Column - Label Actual without Semantic Case]])-2),"")</f>
        <v>Reference</v>
      </c>
      <c r="AU3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v>
      </c>
      <c r="AX385" s="22"/>
      <c r="AY385" s="8" t="str">
        <f>meta_Columns[[#This Row],[Owning Table]]&amp;"."&amp;meta_Columns[[#This Row],[Excel Column - Label]]</f>
        <v>meta::TypedModelElements.Reference - Opposite</v>
      </c>
      <c r="AZ385" s="43" t="s">
        <v>684</v>
      </c>
      <c r="BA385" s="44" t="str">
        <f>IF(TRIM(meta_Columns[[#This Row],[Excel Column - Label Overwrite]])&lt;&gt;"",meta_Columns[[#This Row],[Excel Column - Label Overwrite]],meta_Columns[[#This Row],[Excel Column - Label from Property or Referenced Table]])</f>
        <v>Reference - Opposite</v>
      </c>
      <c r="BB385" s="43"/>
      <c r="BC385" s="44" t="str">
        <f>IF(meta_Columns[[#This Row],[Excel Column - Explicit Excel Formula]]="","",meta_Columns[[#This Row],[Excel Column - Explicit Excel Formula]])</f>
        <v/>
      </c>
      <c r="BD385" s="5" t="s">
        <v>1464</v>
      </c>
      <c r="BE385" s="5"/>
    </row>
    <row r="386" spans="1:57">
      <c r="A386" s="10" t="s">
        <v>1420</v>
      </c>
      <c r="B386" s="5" t="s">
        <v>546</v>
      </c>
      <c r="C386" s="22" t="str">
        <f xml:space="preserve"> IF( TRIM( meta_Columns[[#This Row],[Kind:src]] ) = "", "",
        INDEX( meta_Classifiers[Display Qualified], MATCH( meta_Columns[[#This Row],[Kind:src]], meta_Classifiers[ID], 0 ) ) )</f>
        <v>ExcelColumn</v>
      </c>
      <c r="D386" s="44" t="str">
        <f>IF(meta_Columns[[#This Row],[Owning Table:src]]="","",INDEX(meta_Classifiers[Package],MATCH(meta_Columns[[#This Row],[Owning Table Instances Class]],meta_Classifiers[ID],0)))</f>
        <v>meta</v>
      </c>
      <c r="E386" s="43"/>
      <c r="F386" s="44" t="str">
        <f>INDEX(meta_Tables[Excel Table - Excel Name],MATCH(meta_Columns[[#This Row],[Owning Table:src]],meta_Tables[ID],0))</f>
        <v>meta_TypedModelElements</v>
      </c>
      <c r="G386" s="44" t="str">
        <f>INDEX(meta_Tables[Instances Class:src],MATCH(meta_Columns[[#This Row],[Owning Table:src]],meta_Tables[ID],0))</f>
        <v>_TypedModelElement</v>
      </c>
      <c r="H386" s="11" t="s">
        <v>1011</v>
      </c>
      <c r="I386" s="43" t="str">
        <f xml:space="preserve"> IF( TRIM( meta_Columns[[#This Row],[Owning Table:src]] ) = "", "",
        INDEX( meta_Tables[Display Qualified], MATCH( meta_Columns[[#This Row],[Owning Table:src]], meta_Tables[ID], 0 ) ) )</f>
        <v>meta::TypedModelElements</v>
      </c>
      <c r="K386" s="22" t="str">
        <f>IF(TRIM(meta_Columns[[#This Row],[Referenced Table:src]])="","",
    INDEX(meta_Tables[Display Qualified],MATCH(meta_Columns[[#This Row],[Referenced Table:src]],meta_Tables[ID],0)))</f>
        <v/>
      </c>
      <c r="L386" s="8"/>
      <c r="M386" s="22"/>
      <c r="N386" s="8" t="str">
        <f>IF(meta_Columns[[#This Row],[Excel Column - Excel Formula]]="","x","")</f>
        <v/>
      </c>
      <c r="O386" s="22"/>
      <c r="P386" s="8" t="str">
        <f>IF(meta_Columns[[#This Row],[Referenced Table:src]]="","",INDEX(meta_Tables[Instances Class],MATCH(meta_Columns[[#This Row],[Referenced Table:src]],meta_Tables[ID],0)))</f>
        <v/>
      </c>
      <c r="Q3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6" s="8"/>
      <c r="S386" s="22" t="str">
        <f xml:space="preserve"> IF( TRIM( meta_Columns[[#This Row],[Property:src]] ) = "", "",
        INDEX( meta_TypedModelElements[Display Qualified], MATCH( meta_Columns[[#This Row],[Property:src]], meta_TypedModelElements[ID], 0 ) ) )</f>
        <v/>
      </c>
      <c r="T386" s="22"/>
      <c r="U386" s="8" t="e">
        <f>INDEX(meta_Classifiers[Class - Generalization:src], MATCH(meta_Columns[[#This Row],[Generalization 5]],meta_Classifiers[ID],0))</f>
        <v>#N/A</v>
      </c>
      <c r="V386" s="8" t="e">
        <f>INDEX(meta_Classifiers[Class - Generalization:src], MATCH(meta_Columns[[#This Row],[Generalization 4]],meta_Classifiers[ID],0))</f>
        <v>#N/A</v>
      </c>
      <c r="W386" s="8" t="e">
        <f>INDEX(meta_Classifiers[Class - Generalization:src], MATCH(meta_Columns[[#This Row],[Generalization 3]],meta_Classifiers[ID],0))</f>
        <v>#N/A</v>
      </c>
      <c r="X386" s="8" t="str">
        <f>INDEX(meta_Classifiers[Class - Generalization:src], MATCH(meta_Columns[[#This Row],[Generalization 2]],meta_Classifiers[ID],0))</f>
        <v/>
      </c>
      <c r="Y386" s="8" t="str">
        <f>INDEX(meta_Classifiers[Class - Generalization:src], MATCH(meta_Columns[[#This Row],[Generalization 1]],meta_Classifiers[ID],0))</f>
        <v>_Object</v>
      </c>
      <c r="Z386" s="8" t="str">
        <f>INDEX(meta_Classifiers[Class - Generalization:src], MATCH(meta_Columns[[#This Row],[Owning Table Instances Class]],meta_Classifiers[ID],0))</f>
        <v>_NamedElement</v>
      </c>
      <c r="AA3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6" s="8" t="b">
        <f>_xlfn.IFNA(
INDEX(meta_Classifiers[Class - Generalization:src],MATCH(
INDEX(meta_Classifiers[Class - Generalization:src],MATCH(meta_Columns[[#This Row],[Property Owning Class]],meta_Classifiers[ID],0)),meta_Classifiers[ID],0))
=meta_Columns[[#This Row],[Owning Table Instances Class]],FALSE)</f>
        <v>0</v>
      </c>
      <c r="AG386" s="8" t="b">
        <f>_xlfn.IFNA(INDEX(meta_Classifiers[Class - Generalization:src],MATCH(meta_Columns[[#This Row],[Property Owning Class]],meta_Classifiers[ID],0))=meta_Columns[[#This Row],[Owning Table Instances Class]],FALSE)</f>
        <v>0</v>
      </c>
      <c r="AH3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6" s="8" t="e">
        <f>INDEX(meta_Classifiers[Name],MATCH(INDEX(meta_TypedModelElements[Property - Owning Class:src],MATCH(meta_Columns[[#This Row],[Property]],meta_TypedModelElements[ID],0)),meta_Classifiers[ID],0))</f>
        <v>#N/A</v>
      </c>
      <c r="AJ386" s="8" t="e">
        <f>INDEX(meta_TypedModelElements[Property - Owning Class:src],MATCH(meta_Columns[[#This Row],[Property]],meta_TypedModelElements[ID],0))</f>
        <v>#N/A</v>
      </c>
      <c r="AK386" s="8" t="e">
        <f>INDEX(meta_TypedModelElements[Kind:src],MATCH(meta_Columns[[#This Row],[Property]],meta_TypedModelElements[ID],0))</f>
        <v>#N/A</v>
      </c>
      <c r="AL386" s="8" t="e">
        <f>INDEX(meta_TypedModelElements[Name or Type],MATCH(meta_Columns[[#This Row],[Property]],meta_TypedModelElements[ID],0))</f>
        <v>#N/A</v>
      </c>
      <c r="AM386" s="8" t="e">
        <f>INDEX(meta_TypedModelElements[Property - Changeable],MATCH(meta_Columns[[#This Row],[Property]],meta_TypedModelElements[ID],0))</f>
        <v>#N/A</v>
      </c>
      <c r="AN386" s="43">
        <v>39</v>
      </c>
      <c r="AO386" s="22"/>
      <c r="AP3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6" s="8" t="str">
        <f xml:space="preserve"> IF(meta_Columns[[#This Row],[Property Owning Class is Specialization of Instance Class]],meta_Columns[[#This Row],[Property Owning Class Name]]&amp;" - ","")</f>
        <v/>
      </c>
      <c r="AR3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6" s="8" t="str">
        <f>IFERROR(LEFT(meta_Columns[[#This Row],[Excel Column - Label Actual without Semantic Case]],FIND("-",
meta_Columns[[#This Row],[Excel Column - Label Actual without Semantic Case]])-2),"")</f>
        <v>Reference</v>
      </c>
      <c r="AU3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Property:src</v>
      </c>
      <c r="AX386" s="22"/>
      <c r="AY386" s="8" t="str">
        <f>meta_Columns[[#This Row],[Owning Table]]&amp;"."&amp;meta_Columns[[#This Row],[Excel Column - Label]]</f>
        <v>meta::TypedModelElements.Reference - Display and Select Property:src</v>
      </c>
      <c r="AZ386" s="43" t="s">
        <v>1006</v>
      </c>
      <c r="BA386" s="44" t="str">
        <f>IF(TRIM(meta_Columns[[#This Row],[Excel Column - Label Overwrite]])&lt;&gt;"",meta_Columns[[#This Row],[Excel Column - Label Overwrite]],meta_Columns[[#This Row],[Excel Column - Label from Property or Referenced Table]])</f>
        <v>Reference - Display and Select Property:src</v>
      </c>
      <c r="BB386" s="43" t="s">
        <v>1421</v>
      </c>
      <c r="BC386" s="44" t="str">
        <f>IF(meta_Columns[[#This Row],[Excel Column - Explicit Excel Formula]]="","",meta_Columns[[#This Row],[Excel Column - Explicit Excel Formula]])</f>
        <v>Formula:=IF([@[Reference - Display and Select Property:srcLastSaved]]&lt;&gt;"", [@[Reference - Display and Select Property:srcLastSaved]],
   IF([@[Reference - Display and Select Property]]="","",
      INDEX([ID],
         MATCH([@[Reference - Display and Select Property]],[Display Qualified],0))))</v>
      </c>
      <c r="BD386" s="5"/>
      <c r="BE386" s="5"/>
    </row>
    <row r="387" spans="1:57">
      <c r="A387" s="10" t="s">
        <v>1323</v>
      </c>
      <c r="B387" s="5" t="s">
        <v>546</v>
      </c>
      <c r="C387" s="22" t="str">
        <f xml:space="preserve"> IF( TRIM( meta_Columns[[#This Row],[Kind:src]] ) = "", "",
        INDEX( meta_Classifiers[Display Qualified], MATCH( meta_Columns[[#This Row],[Kind:src]], meta_Classifiers[ID], 0 ) ) )</f>
        <v>ExcelColumn</v>
      </c>
      <c r="D387" s="44" t="str">
        <f>IF(meta_Columns[[#This Row],[Owning Table:src]]="","",INDEX(meta_Classifiers[Package],MATCH(meta_Columns[[#This Row],[Owning Table Instances Class]],meta_Classifiers[ID],0)))</f>
        <v>meta</v>
      </c>
      <c r="E387" s="43"/>
      <c r="F387" s="44" t="str">
        <f>INDEX(meta_Tables[Excel Table - Excel Name],MATCH(meta_Columns[[#This Row],[Owning Table:src]],meta_Tables[ID],0))</f>
        <v>meta_TypedModelElements</v>
      </c>
      <c r="G387" s="44" t="str">
        <f>INDEX(meta_Tables[Instances Class:src],MATCH(meta_Columns[[#This Row],[Owning Table:src]],meta_Tables[ID],0))</f>
        <v>_TypedModelElement</v>
      </c>
      <c r="H387" s="11" t="s">
        <v>1011</v>
      </c>
      <c r="I387" s="43" t="str">
        <f xml:space="preserve"> IF( TRIM( meta_Columns[[#This Row],[Owning Table:src]] ) = "", "",
        INDEX( meta_Tables[Display Qualified], MATCH( meta_Columns[[#This Row],[Owning Table:src]], meta_Tables[ID], 0 ) ) )</f>
        <v>meta::TypedModelElements</v>
      </c>
      <c r="K387" s="22" t="str">
        <f>IF(TRIM(meta_Columns[[#This Row],[Referenced Table:src]])="","",
    INDEX(meta_Tables[Display Qualified],MATCH(meta_Columns[[#This Row],[Referenced Table:src]],meta_Tables[ID],0)))</f>
        <v/>
      </c>
      <c r="L387" s="8"/>
      <c r="M387" s="22"/>
      <c r="N387" s="8" t="str">
        <f>IF(meta_Columns[[#This Row],[Excel Column - Excel Formula]]="","x","")</f>
        <v>x</v>
      </c>
      <c r="O387" s="22"/>
      <c r="P387" s="8" t="str">
        <f>IF(meta_Columns[[#This Row],[Referenced Table:src]]="","",INDEX(meta_Tables[Instances Class],MATCH(meta_Columns[[#This Row],[Referenced Table:src]],meta_Tables[ID],0)))</f>
        <v/>
      </c>
      <c r="Q3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7" s="8"/>
      <c r="S387" s="22" t="str">
        <f xml:space="preserve"> IF( TRIM( meta_Columns[[#This Row],[Property:src]] ) = "", "",
        INDEX( meta_TypedModelElements[Display Qualified], MATCH( meta_Columns[[#This Row],[Property:src]], meta_TypedModelElements[ID], 0 ) ) )</f>
        <v/>
      </c>
      <c r="T387" s="22"/>
      <c r="U387" s="8" t="e">
        <f>INDEX(meta_Classifiers[Class - Generalization:src], MATCH(meta_Columns[[#This Row],[Generalization 5]],meta_Classifiers[ID],0))</f>
        <v>#N/A</v>
      </c>
      <c r="V387" s="8" t="e">
        <f>INDEX(meta_Classifiers[Class - Generalization:src], MATCH(meta_Columns[[#This Row],[Generalization 4]],meta_Classifiers[ID],0))</f>
        <v>#N/A</v>
      </c>
      <c r="W387" s="8" t="e">
        <f>INDEX(meta_Classifiers[Class - Generalization:src], MATCH(meta_Columns[[#This Row],[Generalization 3]],meta_Classifiers[ID],0))</f>
        <v>#N/A</v>
      </c>
      <c r="X387" s="8" t="str">
        <f>INDEX(meta_Classifiers[Class - Generalization:src], MATCH(meta_Columns[[#This Row],[Generalization 2]],meta_Classifiers[ID],0))</f>
        <v/>
      </c>
      <c r="Y387" s="8" t="str">
        <f>INDEX(meta_Classifiers[Class - Generalization:src], MATCH(meta_Columns[[#This Row],[Generalization 1]],meta_Classifiers[ID],0))</f>
        <v>_Object</v>
      </c>
      <c r="Z387" s="8" t="str">
        <f>INDEX(meta_Classifiers[Class - Generalization:src], MATCH(meta_Columns[[#This Row],[Owning Table Instances Class]],meta_Classifiers[ID],0))</f>
        <v>_NamedElement</v>
      </c>
      <c r="AA3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7" s="8" t="b">
        <f>_xlfn.IFNA(
INDEX(meta_Classifiers[Class - Generalization:src],MATCH(
INDEX(meta_Classifiers[Class - Generalization:src],MATCH(meta_Columns[[#This Row],[Property Owning Class]],meta_Classifiers[ID],0)),meta_Classifiers[ID],0))
=meta_Columns[[#This Row],[Owning Table Instances Class]],FALSE)</f>
        <v>0</v>
      </c>
      <c r="AG387" s="8" t="b">
        <f>_xlfn.IFNA(INDEX(meta_Classifiers[Class - Generalization:src],MATCH(meta_Columns[[#This Row],[Property Owning Class]],meta_Classifiers[ID],0))=meta_Columns[[#This Row],[Owning Table Instances Class]],FALSE)</f>
        <v>0</v>
      </c>
      <c r="AH3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7" s="8" t="e">
        <f>INDEX(meta_Classifiers[Name],MATCH(INDEX(meta_TypedModelElements[Property - Owning Class:src],MATCH(meta_Columns[[#This Row],[Property]],meta_TypedModelElements[ID],0)),meta_Classifiers[ID],0))</f>
        <v>#N/A</v>
      </c>
      <c r="AJ387" s="8" t="e">
        <f>INDEX(meta_TypedModelElements[Property - Owning Class:src],MATCH(meta_Columns[[#This Row],[Property]],meta_TypedModelElements[ID],0))</f>
        <v>#N/A</v>
      </c>
      <c r="AK387" s="8" t="e">
        <f>INDEX(meta_TypedModelElements[Kind:src],MATCH(meta_Columns[[#This Row],[Property]],meta_TypedModelElements[ID],0))</f>
        <v>#N/A</v>
      </c>
      <c r="AL387" s="8" t="e">
        <f>INDEX(meta_TypedModelElements[Name or Type],MATCH(meta_Columns[[#This Row],[Property]],meta_TypedModelElements[ID],0))</f>
        <v>#N/A</v>
      </c>
      <c r="AM387" s="8" t="e">
        <f>INDEX(meta_TypedModelElements[Property - Changeable],MATCH(meta_Columns[[#This Row],[Property]],meta_TypedModelElements[ID],0))</f>
        <v>#N/A</v>
      </c>
      <c r="AN387" s="43">
        <v>40</v>
      </c>
      <c r="AO387" s="22">
        <v>19</v>
      </c>
      <c r="AP3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7" s="8" t="str">
        <f xml:space="preserve"> IF(meta_Columns[[#This Row],[Property Owning Class is Specialization of Instance Class]],meta_Columns[[#This Row],[Property Owning Class Name]]&amp;" - ","")</f>
        <v/>
      </c>
      <c r="AR3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7" s="8" t="str">
        <f>IFERROR(LEFT(meta_Columns[[#This Row],[Excel Column - Label Actual without Semantic Case]],FIND("-",
meta_Columns[[#This Row],[Excel Column - Label Actual without Semantic Case]])-2),"")</f>
        <v>Reference</v>
      </c>
      <c r="AU3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v>
      </c>
      <c r="AX387" s="22"/>
      <c r="AY387" s="8" t="str">
        <f>meta_Columns[[#This Row],[Owning Table]]&amp;"."&amp;meta_Columns[[#This Row],[Excel Column - Label]]</f>
        <v>meta::TypedModelElements.Reference - Display and Select Property</v>
      </c>
      <c r="AZ387" s="43" t="s">
        <v>828</v>
      </c>
      <c r="BA387" s="44" t="str">
        <f>IF(TRIM(meta_Columns[[#This Row],[Excel Column - Label Overwrite]])&lt;&gt;"",meta_Columns[[#This Row],[Excel Column - Label Overwrite]],meta_Columns[[#This Row],[Excel Column - Label from Property or Referenced Table]])</f>
        <v>Reference - Display and Select Property</v>
      </c>
      <c r="BB387" s="43"/>
      <c r="BC387" s="44" t="str">
        <f>IF(meta_Columns[[#This Row],[Excel Column - Explicit Excel Formula]]="","",meta_Columns[[#This Row],[Excel Column - Explicit Excel Formula]])</f>
        <v/>
      </c>
      <c r="BD387" s="5" t="s">
        <v>1464</v>
      </c>
      <c r="BE387" s="5"/>
    </row>
    <row r="388" spans="1:57">
      <c r="A388" s="10" t="s">
        <v>1422</v>
      </c>
      <c r="B388" s="5" t="s">
        <v>546</v>
      </c>
      <c r="C388" s="22" t="str">
        <f xml:space="preserve"> IF( TRIM( meta_Columns[[#This Row],[Kind:src]] ) = "", "",
        INDEX( meta_Classifiers[Display Qualified], MATCH( meta_Columns[[#This Row],[Kind:src]], meta_Classifiers[ID], 0 ) ) )</f>
        <v>ExcelColumn</v>
      </c>
      <c r="D388" s="44" t="str">
        <f>IF(meta_Columns[[#This Row],[Owning Table:src]]="","",INDEX(meta_Classifiers[Package],MATCH(meta_Columns[[#This Row],[Owning Table Instances Class]],meta_Classifiers[ID],0)))</f>
        <v>meta</v>
      </c>
      <c r="E388" s="43"/>
      <c r="F388" s="44" t="str">
        <f>INDEX(meta_Tables[Excel Table - Excel Name],MATCH(meta_Columns[[#This Row],[Owning Table:src]],meta_Tables[ID],0))</f>
        <v>meta_TypedModelElements</v>
      </c>
      <c r="G388" s="44" t="str">
        <f>INDEX(meta_Tables[Instances Class:src],MATCH(meta_Columns[[#This Row],[Owning Table:src]],meta_Tables[ID],0))</f>
        <v>_TypedModelElement</v>
      </c>
      <c r="H388" s="11" t="s">
        <v>1011</v>
      </c>
      <c r="I388" s="43" t="str">
        <f xml:space="preserve"> IF( TRIM( meta_Columns[[#This Row],[Owning Table:src]] ) = "", "",
        INDEX( meta_Tables[Display Qualified], MATCH( meta_Columns[[#This Row],[Owning Table:src]], meta_Tables[ID], 0 ) ) )</f>
        <v>meta::TypedModelElements</v>
      </c>
      <c r="K388" s="22" t="str">
        <f>IF(TRIM(meta_Columns[[#This Row],[Referenced Table:src]])="","",
    INDEX(meta_Tables[Display Qualified],MATCH(meta_Columns[[#This Row],[Referenced Table:src]],meta_Tables[ID],0)))</f>
        <v/>
      </c>
      <c r="L388" s="8"/>
      <c r="M388" s="22"/>
      <c r="N388" s="8" t="str">
        <f>IF(meta_Columns[[#This Row],[Excel Column - Excel Formula]]="","x","")</f>
        <v>x</v>
      </c>
      <c r="O388" s="22"/>
      <c r="P388" s="8" t="str">
        <f>IF(meta_Columns[[#This Row],[Referenced Table:src]]="","",INDEX(meta_Tables[Instances Class],MATCH(meta_Columns[[#This Row],[Referenced Table:src]],meta_Tables[ID],0)))</f>
        <v/>
      </c>
      <c r="Q3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meta::Parameter.position</v>
      </c>
      <c r="R388" s="8"/>
      <c r="S388" s="22" t="str">
        <f xml:space="preserve"> IF( TRIM( meta_Columns[[#This Row],[Property:src]] ) = "", "",
        INDEX( meta_TypedModelElements[Display Qualified], MATCH( meta_Columns[[#This Row],[Property:src]], meta_TypedModelElements[ID], 0 ) ) )</f>
        <v/>
      </c>
      <c r="T388" s="22"/>
      <c r="U388" s="8" t="e">
        <f>INDEX(meta_Classifiers[Class - Generalization:src], MATCH(meta_Columns[[#This Row],[Generalization 5]],meta_Classifiers[ID],0))</f>
        <v>#N/A</v>
      </c>
      <c r="V388" s="8" t="e">
        <f>INDEX(meta_Classifiers[Class - Generalization:src], MATCH(meta_Columns[[#This Row],[Generalization 4]],meta_Classifiers[ID],0))</f>
        <v>#N/A</v>
      </c>
      <c r="W388" s="8" t="e">
        <f>INDEX(meta_Classifiers[Class - Generalization:src], MATCH(meta_Columns[[#This Row],[Generalization 3]],meta_Classifiers[ID],0))</f>
        <v>#N/A</v>
      </c>
      <c r="X388" s="8" t="str">
        <f>INDEX(meta_Classifiers[Class - Generalization:src], MATCH(meta_Columns[[#This Row],[Generalization 2]],meta_Classifiers[ID],0))</f>
        <v/>
      </c>
      <c r="Y388" s="8" t="str">
        <f>INDEX(meta_Classifiers[Class - Generalization:src], MATCH(meta_Columns[[#This Row],[Generalization 1]],meta_Classifiers[ID],0))</f>
        <v>_Object</v>
      </c>
      <c r="Z388" s="8" t="str">
        <f>INDEX(meta_Classifiers[Class - Generalization:src], MATCH(meta_Columns[[#This Row],[Owning Table Instances Class]],meta_Classifiers[ID],0))</f>
        <v>_NamedElement</v>
      </c>
      <c r="AA3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8" s="8" t="b">
        <f>_xlfn.IFNA(
INDEX(meta_Classifiers[Class - Generalization:src],MATCH(
INDEX(meta_Classifiers[Class - Generalization:src],MATCH(meta_Columns[[#This Row],[Property Owning Class]],meta_Classifiers[ID],0)),meta_Classifiers[ID],0))
=meta_Columns[[#This Row],[Owning Table Instances Class]],FALSE)</f>
        <v>0</v>
      </c>
      <c r="AG388" s="8" t="b">
        <f>_xlfn.IFNA(INDEX(meta_Classifiers[Class - Generalization:src],MATCH(meta_Columns[[#This Row],[Property Owning Class]],meta_Classifiers[ID],0))=meta_Columns[[#This Row],[Owning Table Instances Class]],FALSE)</f>
        <v>0</v>
      </c>
      <c r="AH3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8" s="8" t="e">
        <f>INDEX(meta_Classifiers[Name],MATCH(INDEX(meta_TypedModelElements[Property - Owning Class:src],MATCH(meta_Columns[[#This Row],[Property]],meta_TypedModelElements[ID],0)),meta_Classifiers[ID],0))</f>
        <v>#N/A</v>
      </c>
      <c r="AJ388" s="8" t="e">
        <f>INDEX(meta_TypedModelElements[Property - Owning Class:src],MATCH(meta_Columns[[#This Row],[Property]],meta_TypedModelElements[ID],0))</f>
        <v>#N/A</v>
      </c>
      <c r="AK388" s="8" t="e">
        <f>INDEX(meta_TypedModelElements[Kind:src],MATCH(meta_Columns[[#This Row],[Property]],meta_TypedModelElements[ID],0))</f>
        <v>#N/A</v>
      </c>
      <c r="AL388" s="8" t="e">
        <f>INDEX(meta_TypedModelElements[Name or Type],MATCH(meta_Columns[[#This Row],[Property]],meta_TypedModelElements[ID],0))</f>
        <v>#N/A</v>
      </c>
      <c r="AM388" s="8" t="e">
        <f>INDEX(meta_TypedModelElements[Property - Changeable],MATCH(meta_Columns[[#This Row],[Property]],meta_TypedModelElements[ID],0))</f>
        <v>#N/A</v>
      </c>
      <c r="AN388" s="43">
        <v>41</v>
      </c>
      <c r="AO388" s="22">
        <v>20</v>
      </c>
      <c r="AP3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8" s="8" t="str">
        <f xml:space="preserve"> IF(meta_Columns[[#This Row],[Property Owning Class is Specialization of Instance Class]],meta_Columns[[#This Row],[Property Owning Class Name]]&amp;" - ","")</f>
        <v/>
      </c>
      <c r="AR3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Position</v>
      </c>
      <c r="AT388" s="8" t="str">
        <f>IFERROR(LEFT(meta_Columns[[#This Row],[Excel Column - Label Actual without Semantic Case]],FIND("-",
meta_Columns[[#This Row],[Excel Column - Label Actual without Semantic Case]])-2),"")</f>
        <v>Parameter</v>
      </c>
      <c r="AU3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Position</v>
      </c>
      <c r="AV3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Position</v>
      </c>
      <c r="AX388" s="22"/>
      <c r="AY388" s="8" t="str">
        <f>meta_Columns[[#This Row],[Owning Table]]&amp;"."&amp;meta_Columns[[#This Row],[Excel Column - Label]]</f>
        <v>meta::TypedModelElements.Parameter - Position</v>
      </c>
      <c r="AZ388" s="43" t="s">
        <v>467</v>
      </c>
      <c r="BA388" s="44" t="str">
        <f>IF(TRIM(meta_Columns[[#This Row],[Excel Column - Label Overwrite]])&lt;&gt;"",meta_Columns[[#This Row],[Excel Column - Label Overwrite]],meta_Columns[[#This Row],[Excel Column - Label from Property or Referenced Table]])</f>
        <v>Parameter - Position</v>
      </c>
      <c r="BB388" s="43"/>
      <c r="BC388" s="44" t="str">
        <f>IF(meta_Columns[[#This Row],[Excel Column - Explicit Excel Formula]]="","",meta_Columns[[#This Row],[Excel Column - Explicit Excel Formula]])</f>
        <v/>
      </c>
      <c r="BD388" s="5"/>
      <c r="BE388" s="5"/>
    </row>
    <row r="389" spans="1:57">
      <c r="A389" s="10" t="s">
        <v>1423</v>
      </c>
      <c r="B389" s="5" t="s">
        <v>546</v>
      </c>
      <c r="C389" s="22" t="str">
        <f xml:space="preserve"> IF( TRIM( meta_Columns[[#This Row],[Kind:src]] ) = "", "",
        INDEX( meta_Classifiers[Display Qualified], MATCH( meta_Columns[[#This Row],[Kind:src]], meta_Classifiers[ID], 0 ) ) )</f>
        <v>ExcelColumn</v>
      </c>
      <c r="D389" s="44" t="str">
        <f>IF(meta_Columns[[#This Row],[Owning Table:src]]="","",INDEX(meta_Classifiers[Package],MATCH(meta_Columns[[#This Row],[Owning Table Instances Class]],meta_Classifiers[ID],0)))</f>
        <v>meta</v>
      </c>
      <c r="E389" s="43"/>
      <c r="F389" s="44" t="str">
        <f>INDEX(meta_Tables[Excel Table - Excel Name],MATCH(meta_Columns[[#This Row],[Owning Table:src]],meta_Tables[ID],0))</f>
        <v>meta_TypedModelElements</v>
      </c>
      <c r="G389" s="44" t="str">
        <f>INDEX(meta_Tables[Instances Class:src],MATCH(meta_Columns[[#This Row],[Owning Table:src]],meta_Tables[ID],0))</f>
        <v>_TypedModelElement</v>
      </c>
      <c r="H389" s="11" t="s">
        <v>1011</v>
      </c>
      <c r="I389" s="43" t="str">
        <f xml:space="preserve"> IF( TRIM( meta_Columns[[#This Row],[Owning Table:src]] ) = "", "",
        INDEX( meta_Tables[Display Qualified], MATCH( meta_Columns[[#This Row],[Owning Table:src]], meta_Tables[ID], 0 ) ) )</f>
        <v>meta::TypedModelElements</v>
      </c>
      <c r="K389" s="22" t="str">
        <f>IF(TRIM(meta_Columns[[#This Row],[Referenced Table:src]])="","",
    INDEX(meta_Tables[Display Qualified],MATCH(meta_Columns[[#This Row],[Referenced Table:src]],meta_Tables[ID],0)))</f>
        <v/>
      </c>
      <c r="L389" s="8"/>
      <c r="M389" s="22"/>
      <c r="N389" s="8" t="str">
        <f>IF(meta_Columns[[#This Row],[Excel Column - Excel Formula]]="","x","")</f>
        <v/>
      </c>
      <c r="O389" s="22"/>
      <c r="P389" s="8" t="str">
        <f>IF(meta_Columns[[#This Row],[Referenced Table:src]]="","",INDEX(meta_Tables[Instances Class],MATCH(meta_Columns[[#This Row],[Referenced Table:src]],meta_Tables[ID],0)))</f>
        <v/>
      </c>
      <c r="Q3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89" s="8"/>
      <c r="S389" s="22" t="str">
        <f xml:space="preserve"> IF( TRIM( meta_Columns[[#This Row],[Property:src]] ) = "", "",
        INDEX( meta_TypedModelElements[Display Qualified], MATCH( meta_Columns[[#This Row],[Property:src]], meta_TypedModelElements[ID], 0 ) ) )</f>
        <v/>
      </c>
      <c r="T389" s="22"/>
      <c r="U389" s="8" t="e">
        <f>INDEX(meta_Classifiers[Class - Generalization:src], MATCH(meta_Columns[[#This Row],[Generalization 5]],meta_Classifiers[ID],0))</f>
        <v>#N/A</v>
      </c>
      <c r="V389" s="8" t="e">
        <f>INDEX(meta_Classifiers[Class - Generalization:src], MATCH(meta_Columns[[#This Row],[Generalization 4]],meta_Classifiers[ID],0))</f>
        <v>#N/A</v>
      </c>
      <c r="W389" s="8" t="e">
        <f>INDEX(meta_Classifiers[Class - Generalization:src], MATCH(meta_Columns[[#This Row],[Generalization 3]],meta_Classifiers[ID],0))</f>
        <v>#N/A</v>
      </c>
      <c r="X389" s="8" t="str">
        <f>INDEX(meta_Classifiers[Class - Generalization:src], MATCH(meta_Columns[[#This Row],[Generalization 2]],meta_Classifiers[ID],0))</f>
        <v/>
      </c>
      <c r="Y389" s="8" t="str">
        <f>INDEX(meta_Classifiers[Class - Generalization:src], MATCH(meta_Columns[[#This Row],[Generalization 1]],meta_Classifiers[ID],0))</f>
        <v>_Object</v>
      </c>
      <c r="Z389" s="8" t="str">
        <f>INDEX(meta_Classifiers[Class - Generalization:src], MATCH(meta_Columns[[#This Row],[Owning Table Instances Class]],meta_Classifiers[ID],0))</f>
        <v>_NamedElement</v>
      </c>
      <c r="AA3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9" s="8" t="b">
        <f>_xlfn.IFNA(
INDEX(meta_Classifiers[Class - Generalization:src],MATCH(
INDEX(meta_Classifiers[Class - Generalization:src],MATCH(meta_Columns[[#This Row],[Property Owning Class]],meta_Classifiers[ID],0)),meta_Classifiers[ID],0))
=meta_Columns[[#This Row],[Owning Table Instances Class]],FALSE)</f>
        <v>0</v>
      </c>
      <c r="AG389" s="8" t="b">
        <f>_xlfn.IFNA(INDEX(meta_Classifiers[Class - Generalization:src],MATCH(meta_Columns[[#This Row],[Property Owning Class]],meta_Classifiers[ID],0))=meta_Columns[[#This Row],[Owning Table Instances Class]],FALSE)</f>
        <v>0</v>
      </c>
      <c r="AH3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9" s="8" t="e">
        <f>INDEX(meta_Classifiers[Name],MATCH(INDEX(meta_TypedModelElements[Property - Owning Class:src],MATCH(meta_Columns[[#This Row],[Property]],meta_TypedModelElements[ID],0)),meta_Classifiers[ID],0))</f>
        <v>#N/A</v>
      </c>
      <c r="AJ389" s="8" t="e">
        <f>INDEX(meta_TypedModelElements[Property - Owning Class:src],MATCH(meta_Columns[[#This Row],[Property]],meta_TypedModelElements[ID],0))</f>
        <v>#N/A</v>
      </c>
      <c r="AK389" s="8" t="e">
        <f>INDEX(meta_TypedModelElements[Kind:src],MATCH(meta_Columns[[#This Row],[Property]],meta_TypedModelElements[ID],0))</f>
        <v>#N/A</v>
      </c>
      <c r="AL389" s="8" t="e">
        <f>INDEX(meta_TypedModelElements[Name or Type],MATCH(meta_Columns[[#This Row],[Property]],meta_TypedModelElements[ID],0))</f>
        <v>#N/A</v>
      </c>
      <c r="AM389" s="8" t="e">
        <f>INDEX(meta_TypedModelElements[Property - Changeable],MATCH(meta_Columns[[#This Row],[Property]],meta_TypedModelElements[ID],0))</f>
        <v>#N/A</v>
      </c>
      <c r="AN389" s="43">
        <v>42</v>
      </c>
      <c r="AO389" s="22"/>
      <c r="AP3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9" s="8" t="str">
        <f xml:space="preserve"> IF(meta_Columns[[#This Row],[Property Owning Class is Specialization of Instance Class]],meta_Columns[[#This Row],[Property Owning Class Name]]&amp;" - ","")</f>
        <v/>
      </c>
      <c r="AR3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89" s="8" t="str">
        <f>IFERROR(LEFT(meta_Columns[[#This Row],[Excel Column - Label Actual without Semantic Case]],FIND("-",
meta_Columns[[#This Row],[Excel Column - Label Actual without Semantic Case]])-2),"")</f>
        <v>Function</v>
      </c>
      <c r="AU3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Property:src</v>
      </c>
      <c r="AX389" s="22"/>
      <c r="AY389" s="8" t="str">
        <f>meta_Columns[[#This Row],[Owning Table]]&amp;"."&amp;meta_Columns[[#This Row],[Excel Column - Label]]</f>
        <v>meta::TypedModelElements.Function - Owning Property:src</v>
      </c>
      <c r="AZ389" s="43" t="s">
        <v>1005</v>
      </c>
      <c r="BA389" s="44" t="str">
        <f>IF(TRIM(meta_Columns[[#This Row],[Excel Column - Label Overwrite]])&lt;&gt;"",meta_Columns[[#This Row],[Excel Column - Label Overwrite]],meta_Columns[[#This Row],[Excel Column - Label from Property or Referenced Table]])</f>
        <v>Function - Owning Property:src</v>
      </c>
      <c r="BB389" s="43" t="s">
        <v>1424</v>
      </c>
      <c r="BC389" s="44" t="str">
        <f>IF(meta_Columns[[#This Row],[Excel Column - Explicit Excel Formula]]="","",meta_Columns[[#This Row],[Excel Column - Explicit Excel Formula]])</f>
        <v>Formula:=IF([@[Function - Owning Property:srcLastSaved]]&lt;&gt;"", [@[Function - Owning Property:srcLastSaved]],
   IF([@[Function - Owning Property]]="","",
      INDEX([ID],
         MATCH([@[Function - Owning Property]],[Display Qualified],0))))</v>
      </c>
      <c r="BD389" s="5"/>
      <c r="BE389" s="5"/>
    </row>
    <row r="390" spans="1:57">
      <c r="A390" s="10" t="s">
        <v>1425</v>
      </c>
      <c r="B390" s="5" t="s">
        <v>546</v>
      </c>
      <c r="C390" s="22" t="str">
        <f xml:space="preserve"> IF( TRIM( meta_Columns[[#This Row],[Kind:src]] ) = "", "",
        INDEX( meta_Classifiers[Display Qualified], MATCH( meta_Columns[[#This Row],[Kind:src]], meta_Classifiers[ID], 0 ) ) )</f>
        <v>ExcelColumn</v>
      </c>
      <c r="D390" s="44" t="str">
        <f>IF(meta_Columns[[#This Row],[Owning Table:src]]="","",INDEX(meta_Classifiers[Package],MATCH(meta_Columns[[#This Row],[Owning Table Instances Class]],meta_Classifiers[ID],0)))</f>
        <v>meta</v>
      </c>
      <c r="E390" s="43"/>
      <c r="F390" s="44" t="str">
        <f>INDEX(meta_Tables[Excel Table - Excel Name],MATCH(meta_Columns[[#This Row],[Owning Table:src]],meta_Tables[ID],0))</f>
        <v>meta_TypedModelElements</v>
      </c>
      <c r="G390" s="44" t="str">
        <f>INDEX(meta_Tables[Instances Class:src],MATCH(meta_Columns[[#This Row],[Owning Table:src]],meta_Tables[ID],0))</f>
        <v>_TypedModelElement</v>
      </c>
      <c r="H390" s="11" t="s">
        <v>1011</v>
      </c>
      <c r="I390" s="43" t="str">
        <f xml:space="preserve"> IF( TRIM( meta_Columns[[#This Row],[Owning Table:src]] ) = "", "",
        INDEX( meta_Tables[Display Qualified], MATCH( meta_Columns[[#This Row],[Owning Table:src]], meta_Tables[ID], 0 ) ) )</f>
        <v>meta::TypedModelElements</v>
      </c>
      <c r="K390" s="22" t="str">
        <f>IF(TRIM(meta_Columns[[#This Row],[Referenced Table:src]])="","",
    INDEX(meta_Tables[Display Qualified],MATCH(meta_Columns[[#This Row],[Referenced Table:src]],meta_Tables[ID],0)))</f>
        <v/>
      </c>
      <c r="L390" s="8"/>
      <c r="M390" s="22"/>
      <c r="N390" s="8" t="str">
        <f>IF(meta_Columns[[#This Row],[Excel Column - Excel Formula]]="","x","")</f>
        <v>x</v>
      </c>
      <c r="O390" s="22"/>
      <c r="P390" s="8" t="str">
        <f>IF(meta_Columns[[#This Row],[Referenced Table:src]]="","",INDEX(meta_Tables[Instances Class],MATCH(meta_Columns[[#This Row],[Referenced Table:src]],meta_Tables[ID],0)))</f>
        <v/>
      </c>
      <c r="Q3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90" s="8"/>
      <c r="S390" s="22" t="str">
        <f xml:space="preserve"> IF( TRIM( meta_Columns[[#This Row],[Property:src]] ) = "", "",
        INDEX( meta_TypedModelElements[Display Qualified], MATCH( meta_Columns[[#This Row],[Property:src]], meta_TypedModelElements[ID], 0 ) ) )</f>
        <v/>
      </c>
      <c r="T390" s="22"/>
      <c r="U390" s="8" t="e">
        <f>INDEX(meta_Classifiers[Class - Generalization:src], MATCH(meta_Columns[[#This Row],[Generalization 5]],meta_Classifiers[ID],0))</f>
        <v>#N/A</v>
      </c>
      <c r="V390" s="8" t="e">
        <f>INDEX(meta_Classifiers[Class - Generalization:src], MATCH(meta_Columns[[#This Row],[Generalization 4]],meta_Classifiers[ID],0))</f>
        <v>#N/A</v>
      </c>
      <c r="W390" s="8" t="e">
        <f>INDEX(meta_Classifiers[Class - Generalization:src], MATCH(meta_Columns[[#This Row],[Generalization 3]],meta_Classifiers[ID],0))</f>
        <v>#N/A</v>
      </c>
      <c r="X390" s="8" t="str">
        <f>INDEX(meta_Classifiers[Class - Generalization:src], MATCH(meta_Columns[[#This Row],[Generalization 2]],meta_Classifiers[ID],0))</f>
        <v/>
      </c>
      <c r="Y390" s="8" t="str">
        <f>INDEX(meta_Classifiers[Class - Generalization:src], MATCH(meta_Columns[[#This Row],[Generalization 1]],meta_Classifiers[ID],0))</f>
        <v>_Object</v>
      </c>
      <c r="Z390" s="8" t="str">
        <f>INDEX(meta_Classifiers[Class - Generalization:src], MATCH(meta_Columns[[#This Row],[Owning Table Instances Class]],meta_Classifiers[ID],0))</f>
        <v>_NamedElement</v>
      </c>
      <c r="AA3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0" s="8" t="b">
        <f>_xlfn.IFNA(
INDEX(meta_Classifiers[Class - Generalization:src],MATCH(
INDEX(meta_Classifiers[Class - Generalization:src],MATCH(meta_Columns[[#This Row],[Property Owning Class]],meta_Classifiers[ID],0)),meta_Classifiers[ID],0))
=meta_Columns[[#This Row],[Owning Table Instances Class]],FALSE)</f>
        <v>0</v>
      </c>
      <c r="AG390" s="8" t="b">
        <f>_xlfn.IFNA(INDEX(meta_Classifiers[Class - Generalization:src],MATCH(meta_Columns[[#This Row],[Property Owning Class]],meta_Classifiers[ID],0))=meta_Columns[[#This Row],[Owning Table Instances Class]],FALSE)</f>
        <v>0</v>
      </c>
      <c r="AH3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0" s="8" t="e">
        <f>INDEX(meta_Classifiers[Name],MATCH(INDEX(meta_TypedModelElements[Property - Owning Class:src],MATCH(meta_Columns[[#This Row],[Property]],meta_TypedModelElements[ID],0)),meta_Classifiers[ID],0))</f>
        <v>#N/A</v>
      </c>
      <c r="AJ390" s="8" t="e">
        <f>INDEX(meta_TypedModelElements[Property - Owning Class:src],MATCH(meta_Columns[[#This Row],[Property]],meta_TypedModelElements[ID],0))</f>
        <v>#N/A</v>
      </c>
      <c r="AK390" s="8" t="e">
        <f>INDEX(meta_TypedModelElements[Kind:src],MATCH(meta_Columns[[#This Row],[Property]],meta_TypedModelElements[ID],0))</f>
        <v>#N/A</v>
      </c>
      <c r="AL390" s="8" t="e">
        <f>INDEX(meta_TypedModelElements[Name or Type],MATCH(meta_Columns[[#This Row],[Property]],meta_TypedModelElements[ID],0))</f>
        <v>#N/A</v>
      </c>
      <c r="AM390" s="8" t="e">
        <f>INDEX(meta_TypedModelElements[Property - Changeable],MATCH(meta_Columns[[#This Row],[Property]],meta_TypedModelElements[ID],0))</f>
        <v>#N/A</v>
      </c>
      <c r="AN390" s="43">
        <v>43</v>
      </c>
      <c r="AO390" s="22">
        <v>22</v>
      </c>
      <c r="AP3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0" s="8" t="str">
        <f xml:space="preserve"> IF(meta_Columns[[#This Row],[Property Owning Class is Specialization of Instance Class]],meta_Columns[[#This Row],[Property Owning Class Name]]&amp;" - ","")</f>
        <v/>
      </c>
      <c r="AR3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90" s="8" t="str">
        <f>IFERROR(LEFT(meta_Columns[[#This Row],[Excel Column - Label Actual without Semantic Case]],FIND("-",
meta_Columns[[#This Row],[Excel Column - Label Actual without Semantic Case]])-2),"")</f>
        <v>Function</v>
      </c>
      <c r="AU3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v>
      </c>
      <c r="AX390" s="22"/>
      <c r="AY390" s="8" t="str">
        <f>meta_Columns[[#This Row],[Owning Table]]&amp;"."&amp;meta_Columns[[#This Row],[Excel Column - Label]]</f>
        <v>meta::TypedModelElements.Function - Owning Property</v>
      </c>
      <c r="AZ390" s="43" t="s">
        <v>314</v>
      </c>
      <c r="BA390" s="44" t="str">
        <f>IF(TRIM(meta_Columns[[#This Row],[Excel Column - Label Overwrite]])&lt;&gt;"",meta_Columns[[#This Row],[Excel Column - Label Overwrite]],meta_Columns[[#This Row],[Excel Column - Label from Property or Referenced Table]])</f>
        <v>Function - Owning Property</v>
      </c>
      <c r="BB390" s="43"/>
      <c r="BC390" s="44" t="str">
        <f>IF(meta_Columns[[#This Row],[Excel Column - Explicit Excel Formula]]="","",meta_Columns[[#This Row],[Excel Column - Explicit Excel Formula]])</f>
        <v/>
      </c>
      <c r="BD390" s="5" t="s">
        <v>1464</v>
      </c>
      <c r="BE390" s="5"/>
    </row>
    <row r="391" spans="1:57">
      <c r="A391" s="10" t="s">
        <v>1324</v>
      </c>
      <c r="B391" s="5" t="s">
        <v>546</v>
      </c>
      <c r="C391" s="22" t="str">
        <f xml:space="preserve"> IF( TRIM( meta_Columns[[#This Row],[Kind:src]] ) = "", "",
        INDEX( meta_Classifiers[Display Qualified], MATCH( meta_Columns[[#This Row],[Kind:src]], meta_Classifiers[ID], 0 ) ) )</f>
        <v>ExcelColumn</v>
      </c>
      <c r="D391" s="44" t="str">
        <f>IF(meta_Columns[[#This Row],[Owning Table:src]]="","",INDEX(meta_Classifiers[Package],MATCH(meta_Columns[[#This Row],[Owning Table Instances Class]],meta_Classifiers[ID],0)))</f>
        <v>meta</v>
      </c>
      <c r="E391" s="43"/>
      <c r="F391" s="44" t="str">
        <f>INDEX(meta_Tables[Excel Table - Excel Name],MATCH(meta_Columns[[#This Row],[Owning Table:src]],meta_Tables[ID],0))</f>
        <v>meta_TypedModelElements</v>
      </c>
      <c r="G391" s="44" t="str">
        <f>INDEX(meta_Tables[Instances Class:src],MATCH(meta_Columns[[#This Row],[Owning Table:src]],meta_Tables[ID],0))</f>
        <v>_TypedModelElement</v>
      </c>
      <c r="H391" s="11" t="s">
        <v>1011</v>
      </c>
      <c r="I391" s="43" t="str">
        <f xml:space="preserve"> IF( TRIM( meta_Columns[[#This Row],[Owning Table:src]] ) = "", "",
        INDEX( meta_Tables[Display Qualified], MATCH( meta_Columns[[#This Row],[Owning Table:src]], meta_Tables[ID], 0 ) ) )</f>
        <v>meta::TypedModelElements</v>
      </c>
      <c r="K391" s="22" t="str">
        <f>IF(TRIM(meta_Columns[[#This Row],[Referenced Table:src]])="","",
    INDEX(meta_Tables[Display Qualified],MATCH(meta_Columns[[#This Row],[Referenced Table:src]],meta_Tables[ID],0)))</f>
        <v/>
      </c>
      <c r="L391" s="8"/>
      <c r="M391" s="22"/>
      <c r="N391" s="8" t="str">
        <f>IF(meta_Columns[[#This Row],[Excel Column - Excel Formula]]="","x","")</f>
        <v>x</v>
      </c>
      <c r="O391" s="22"/>
      <c r="P391" s="8" t="str">
        <f>IF(meta_Columns[[#This Row],[Referenced Table:src]]="","",INDEX(meta_Tables[Instances Class],MATCH(meta_Columns[[#This Row],[Referenced Table:src]],meta_Tables[ID],0)))</f>
        <v/>
      </c>
      <c r="Q3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meta::Parameter.businessKey</v>
      </c>
      <c r="R391" s="8"/>
      <c r="S391" s="22" t="str">
        <f xml:space="preserve"> IF( TRIM( meta_Columns[[#This Row],[Property:src]] ) = "", "",
        INDEX( meta_TypedModelElements[Display Qualified], MATCH( meta_Columns[[#This Row],[Property:src]], meta_TypedModelElements[ID], 0 ) ) )</f>
        <v/>
      </c>
      <c r="T391" s="22"/>
      <c r="U391" s="8" t="e">
        <f>INDEX(meta_Classifiers[Class - Generalization:src], MATCH(meta_Columns[[#This Row],[Generalization 5]],meta_Classifiers[ID],0))</f>
        <v>#N/A</v>
      </c>
      <c r="V391" s="8" t="e">
        <f>INDEX(meta_Classifiers[Class - Generalization:src], MATCH(meta_Columns[[#This Row],[Generalization 4]],meta_Classifiers[ID],0))</f>
        <v>#N/A</v>
      </c>
      <c r="W391" s="8" t="e">
        <f>INDEX(meta_Classifiers[Class - Generalization:src], MATCH(meta_Columns[[#This Row],[Generalization 3]],meta_Classifiers[ID],0))</f>
        <v>#N/A</v>
      </c>
      <c r="X391" s="8" t="str">
        <f>INDEX(meta_Classifiers[Class - Generalization:src], MATCH(meta_Columns[[#This Row],[Generalization 2]],meta_Classifiers[ID],0))</f>
        <v/>
      </c>
      <c r="Y391" s="8" t="str">
        <f>INDEX(meta_Classifiers[Class - Generalization:src], MATCH(meta_Columns[[#This Row],[Generalization 1]],meta_Classifiers[ID],0))</f>
        <v>_Object</v>
      </c>
      <c r="Z391" s="8" t="str">
        <f>INDEX(meta_Classifiers[Class - Generalization:src], MATCH(meta_Columns[[#This Row],[Owning Table Instances Class]],meta_Classifiers[ID],0))</f>
        <v>_NamedElement</v>
      </c>
      <c r="AA3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1" s="8" t="b">
        <f>_xlfn.IFNA(
INDEX(meta_Classifiers[Class - Generalization:src],MATCH(
INDEX(meta_Classifiers[Class - Generalization:src],MATCH(meta_Columns[[#This Row],[Property Owning Class]],meta_Classifiers[ID],0)),meta_Classifiers[ID],0))
=meta_Columns[[#This Row],[Owning Table Instances Class]],FALSE)</f>
        <v>0</v>
      </c>
      <c r="AG391" s="8" t="b">
        <f>_xlfn.IFNA(INDEX(meta_Classifiers[Class - Generalization:src],MATCH(meta_Columns[[#This Row],[Property Owning Class]],meta_Classifiers[ID],0))=meta_Columns[[#This Row],[Owning Table Instances Class]],FALSE)</f>
        <v>0</v>
      </c>
      <c r="AH3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1" s="8" t="e">
        <f>INDEX(meta_Classifiers[Name],MATCH(INDEX(meta_TypedModelElements[Property - Owning Class:src],MATCH(meta_Columns[[#This Row],[Property]],meta_TypedModelElements[ID],0)),meta_Classifiers[ID],0))</f>
        <v>#N/A</v>
      </c>
      <c r="AJ391" s="8" t="e">
        <f>INDEX(meta_TypedModelElements[Property - Owning Class:src],MATCH(meta_Columns[[#This Row],[Property]],meta_TypedModelElements[ID],0))</f>
        <v>#N/A</v>
      </c>
      <c r="AK391" s="8" t="e">
        <f>INDEX(meta_TypedModelElements[Kind:src],MATCH(meta_Columns[[#This Row],[Property]],meta_TypedModelElements[ID],0))</f>
        <v>#N/A</v>
      </c>
      <c r="AL391" s="8" t="e">
        <f>INDEX(meta_TypedModelElements[Name or Type],MATCH(meta_Columns[[#This Row],[Property]],meta_TypedModelElements[ID],0))</f>
        <v>#N/A</v>
      </c>
      <c r="AM391" s="8" t="e">
        <f>INDEX(meta_TypedModelElements[Property - Changeable],MATCH(meta_Columns[[#This Row],[Property]],meta_TypedModelElements[ID],0))</f>
        <v>#N/A</v>
      </c>
      <c r="AN391" s="43">
        <v>44</v>
      </c>
      <c r="AO391" s="22">
        <v>23</v>
      </c>
      <c r="AP3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1" s="8" t="str">
        <f xml:space="preserve"> IF(meta_Columns[[#This Row],[Property Owning Class is Specialization of Instance Class]],meta_Columns[[#This Row],[Property Owning Class Name]]&amp;" - ","")</f>
        <v/>
      </c>
      <c r="AR3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Key</v>
      </c>
      <c r="AT391" s="8" t="str">
        <f>IFERROR(LEFT(meta_Columns[[#This Row],[Excel Column - Label Actual without Semantic Case]],FIND("-",
meta_Columns[[#This Row],[Excel Column - Label Actual without Semantic Case]])-2),"")</f>
        <v>Parameter</v>
      </c>
      <c r="AU3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Business Key</v>
      </c>
      <c r="AV3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Business Key</v>
      </c>
      <c r="AX391" s="22"/>
      <c r="AY391" s="8" t="str">
        <f>meta_Columns[[#This Row],[Owning Table]]&amp;"."&amp;meta_Columns[[#This Row],[Excel Column - Label]]</f>
        <v>meta::TypedModelElements.Parameter - Business Key</v>
      </c>
      <c r="AZ391" s="43" t="s">
        <v>353</v>
      </c>
      <c r="BA391" s="44" t="str">
        <f>IF(TRIM(meta_Columns[[#This Row],[Excel Column - Label Overwrite]])&lt;&gt;"",meta_Columns[[#This Row],[Excel Column - Label Overwrite]],meta_Columns[[#This Row],[Excel Column - Label from Property or Referenced Table]])</f>
        <v>Parameter - Business Key</v>
      </c>
      <c r="BB391" s="43"/>
      <c r="BC391" s="44" t="str">
        <f>IF(meta_Columns[[#This Row],[Excel Column - Explicit Excel Formula]]="","",meta_Columns[[#This Row],[Excel Column - Explicit Excel Formula]])</f>
        <v/>
      </c>
      <c r="BD391" s="5"/>
      <c r="BE391" s="5"/>
    </row>
    <row r="392" spans="1:57">
      <c r="A392" s="10" t="s">
        <v>1426</v>
      </c>
      <c r="B392" s="5" t="s">
        <v>546</v>
      </c>
      <c r="C392" s="22" t="str">
        <f xml:space="preserve"> IF( TRIM( meta_Columns[[#This Row],[Kind:src]] ) = "", "",
        INDEX( meta_Classifiers[Display Qualified], MATCH( meta_Columns[[#This Row],[Kind:src]], meta_Classifiers[ID], 0 ) ) )</f>
        <v>ExcelColumn</v>
      </c>
      <c r="D392" s="44" t="str">
        <f>IF(meta_Columns[[#This Row],[Owning Table:src]]="","",INDEX(meta_Classifiers[Package],MATCH(meta_Columns[[#This Row],[Owning Table Instances Class]],meta_Classifiers[ID],0)))</f>
        <v>meta</v>
      </c>
      <c r="E392" s="43"/>
      <c r="F392" s="44" t="str">
        <f>INDEX(meta_Tables[Excel Table - Excel Name],MATCH(meta_Columns[[#This Row],[Owning Table:src]],meta_Tables[ID],0))</f>
        <v>meta_TypedModelElements</v>
      </c>
      <c r="G392" s="44" t="str">
        <f>INDEX(meta_Tables[Instances Class:src],MATCH(meta_Columns[[#This Row],[Owning Table:src]],meta_Tables[ID],0))</f>
        <v>_TypedModelElement</v>
      </c>
      <c r="H392" s="11" t="s">
        <v>1011</v>
      </c>
      <c r="I392" s="43" t="str">
        <f xml:space="preserve"> IF( TRIM( meta_Columns[[#This Row],[Owning Table:src]] ) = "", "",
        INDEX( meta_Tables[Display Qualified], MATCH( meta_Columns[[#This Row],[Owning Table:src]], meta_Tables[ID], 0 ) ) )</f>
        <v>meta::TypedModelElements</v>
      </c>
      <c r="K392" s="22" t="str">
        <f>IF(TRIM(meta_Columns[[#This Row],[Referenced Table:src]])="","",
    INDEX(meta_Tables[Display Qualified],MATCH(meta_Columns[[#This Row],[Referenced Table:src]],meta_Tables[ID],0)))</f>
        <v/>
      </c>
      <c r="L392" s="8"/>
      <c r="M392" s="22"/>
      <c r="N392" s="8" t="str">
        <f>IF(meta_Columns[[#This Row],[Excel Column - Excel Formula]]="","x","")</f>
        <v/>
      </c>
      <c r="O392" s="22"/>
      <c r="P392" s="8" t="str">
        <f>IF(meta_Columns[[#This Row],[Referenced Table:src]]="","",INDEX(meta_Tables[Instances Class],MATCH(meta_Columns[[#This Row],[Referenced Table:src]],meta_Tables[ID],0)))</f>
        <v/>
      </c>
      <c r="Q3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meta::Parameter.owningFunction</v>
      </c>
      <c r="R392" s="8"/>
      <c r="S392" s="22" t="str">
        <f xml:space="preserve"> IF( TRIM( meta_Columns[[#This Row],[Property:src]] ) = "", "",
        INDEX( meta_TypedModelElements[Display Qualified], MATCH( meta_Columns[[#This Row],[Property:src]], meta_TypedModelElements[ID], 0 ) ) )</f>
        <v/>
      </c>
      <c r="T392" s="22"/>
      <c r="U392" s="8" t="e">
        <f>INDEX(meta_Classifiers[Class - Generalization:src], MATCH(meta_Columns[[#This Row],[Generalization 5]],meta_Classifiers[ID],0))</f>
        <v>#N/A</v>
      </c>
      <c r="V392" s="8" t="e">
        <f>INDEX(meta_Classifiers[Class - Generalization:src], MATCH(meta_Columns[[#This Row],[Generalization 4]],meta_Classifiers[ID],0))</f>
        <v>#N/A</v>
      </c>
      <c r="W392" s="8" t="e">
        <f>INDEX(meta_Classifiers[Class - Generalization:src], MATCH(meta_Columns[[#This Row],[Generalization 3]],meta_Classifiers[ID],0))</f>
        <v>#N/A</v>
      </c>
      <c r="X392" s="8" t="str">
        <f>INDEX(meta_Classifiers[Class - Generalization:src], MATCH(meta_Columns[[#This Row],[Generalization 2]],meta_Classifiers[ID],0))</f>
        <v/>
      </c>
      <c r="Y392" s="8" t="str">
        <f>INDEX(meta_Classifiers[Class - Generalization:src], MATCH(meta_Columns[[#This Row],[Generalization 1]],meta_Classifiers[ID],0))</f>
        <v>_Object</v>
      </c>
      <c r="Z392" s="8" t="str">
        <f>INDEX(meta_Classifiers[Class - Generalization:src], MATCH(meta_Columns[[#This Row],[Owning Table Instances Class]],meta_Classifiers[ID],0))</f>
        <v>_NamedElement</v>
      </c>
      <c r="AA3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2" s="8" t="b">
        <f>_xlfn.IFNA(
INDEX(meta_Classifiers[Class - Generalization:src],MATCH(
INDEX(meta_Classifiers[Class - Generalization:src],MATCH(meta_Columns[[#This Row],[Property Owning Class]],meta_Classifiers[ID],0)),meta_Classifiers[ID],0))
=meta_Columns[[#This Row],[Owning Table Instances Class]],FALSE)</f>
        <v>0</v>
      </c>
      <c r="AG392" s="8" t="b">
        <f>_xlfn.IFNA(INDEX(meta_Classifiers[Class - Generalization:src],MATCH(meta_Columns[[#This Row],[Property Owning Class]],meta_Classifiers[ID],0))=meta_Columns[[#This Row],[Owning Table Instances Class]],FALSE)</f>
        <v>0</v>
      </c>
      <c r="AH3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2" s="8" t="e">
        <f>INDEX(meta_Classifiers[Name],MATCH(INDEX(meta_TypedModelElements[Property - Owning Class:src],MATCH(meta_Columns[[#This Row],[Property]],meta_TypedModelElements[ID],0)),meta_Classifiers[ID],0))</f>
        <v>#N/A</v>
      </c>
      <c r="AJ392" s="8" t="e">
        <f>INDEX(meta_TypedModelElements[Property - Owning Class:src],MATCH(meta_Columns[[#This Row],[Property]],meta_TypedModelElements[ID],0))</f>
        <v>#N/A</v>
      </c>
      <c r="AK392" s="8" t="e">
        <f>INDEX(meta_TypedModelElements[Kind:src],MATCH(meta_Columns[[#This Row],[Property]],meta_TypedModelElements[ID],0))</f>
        <v>#N/A</v>
      </c>
      <c r="AL392" s="8" t="e">
        <f>INDEX(meta_TypedModelElements[Name or Type],MATCH(meta_Columns[[#This Row],[Property]],meta_TypedModelElements[ID],0))</f>
        <v>#N/A</v>
      </c>
      <c r="AM392" s="8" t="e">
        <f>INDEX(meta_TypedModelElements[Property - Changeable],MATCH(meta_Columns[[#This Row],[Property]],meta_TypedModelElements[ID],0))</f>
        <v>#N/A</v>
      </c>
      <c r="AN392" s="43">
        <v>45</v>
      </c>
      <c r="AO392" s="22"/>
      <c r="AP3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2" s="8" t="str">
        <f xml:space="preserve"> IF(meta_Columns[[#This Row],[Property Owning Class is Specialization of Instance Class]],meta_Columns[[#This Row],[Property Owning Class Name]]&amp;" - ","")</f>
        <v/>
      </c>
      <c r="AR3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2" s="8" t="str">
        <f>IFERROR(LEFT(meta_Columns[[#This Row],[Excel Column - Label Actual without Semantic Case]],FIND("-",
meta_Columns[[#This Row],[Excel Column - Label Actual without Semantic Case]])-2),"")</f>
        <v>Parameter</v>
      </c>
      <c r="AU3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Function:src</v>
      </c>
      <c r="AX392" s="22"/>
      <c r="AY392" s="8" t="str">
        <f>meta_Columns[[#This Row],[Owning Table]]&amp;"."&amp;meta_Columns[[#This Row],[Excel Column - Label]]</f>
        <v>meta::TypedModelElements.Parameter - Owning Function:src</v>
      </c>
      <c r="AZ392" s="43" t="s">
        <v>1007</v>
      </c>
      <c r="BA392" s="44" t="str">
        <f>IF(TRIM(meta_Columns[[#This Row],[Excel Column - Label Overwrite]])&lt;&gt;"",meta_Columns[[#This Row],[Excel Column - Label Overwrite]],meta_Columns[[#This Row],[Excel Column - Label from Property or Referenced Table]])</f>
        <v>Parameter - Owning Function:src</v>
      </c>
      <c r="BB392" s="43" t="s">
        <v>1427</v>
      </c>
      <c r="BC392" s="44" t="str">
        <f>IF(meta_Columns[[#This Row],[Excel Column - Explicit Excel Formula]]="","",meta_Columns[[#This Row],[Excel Column - Explicit Excel Formula]])</f>
        <v>Formula:=IF([@[Parameter - Owning Function:srcLastSaved]]&lt;&gt;"", [@[Parameter - Owning Function:srcLastSaved]],
   IF([@[Parameter - Owning Function]]="","",
      INDEX([ID],
         MATCH([@[Parameter - Owning Function]],[Display Qualified],0))))</v>
      </c>
      <c r="BD392" s="5"/>
      <c r="BE392" s="5"/>
    </row>
    <row r="393" spans="1:57">
      <c r="A393" s="10" t="s">
        <v>1325</v>
      </c>
      <c r="B393" s="5" t="s">
        <v>546</v>
      </c>
      <c r="C393" s="22" t="str">
        <f xml:space="preserve"> IF( TRIM( meta_Columns[[#This Row],[Kind:src]] ) = "", "",
        INDEX( meta_Classifiers[Display Qualified], MATCH( meta_Columns[[#This Row],[Kind:src]], meta_Classifiers[ID], 0 ) ) )</f>
        <v>ExcelColumn</v>
      </c>
      <c r="D393" s="44" t="str">
        <f>IF(meta_Columns[[#This Row],[Owning Table:src]]="","",INDEX(meta_Classifiers[Package],MATCH(meta_Columns[[#This Row],[Owning Table Instances Class]],meta_Classifiers[ID],0)))</f>
        <v>meta</v>
      </c>
      <c r="E393" s="43"/>
      <c r="F393" s="44" t="str">
        <f>INDEX(meta_Tables[Excel Table - Excel Name],MATCH(meta_Columns[[#This Row],[Owning Table:src]],meta_Tables[ID],0))</f>
        <v>meta_TypedModelElements</v>
      </c>
      <c r="G393" s="44" t="str">
        <f>INDEX(meta_Tables[Instances Class:src],MATCH(meta_Columns[[#This Row],[Owning Table:src]],meta_Tables[ID],0))</f>
        <v>_TypedModelElement</v>
      </c>
      <c r="H393" s="11" t="s">
        <v>1011</v>
      </c>
      <c r="I393" s="43" t="str">
        <f xml:space="preserve"> IF( TRIM( meta_Columns[[#This Row],[Owning Table:src]] ) = "", "",
        INDEX( meta_Tables[Display Qualified], MATCH( meta_Columns[[#This Row],[Owning Table:src]], meta_Tables[ID], 0 ) ) )</f>
        <v>meta::TypedModelElements</v>
      </c>
      <c r="K393" s="22" t="str">
        <f>IF(TRIM(meta_Columns[[#This Row],[Referenced Table:src]])="","",
    INDEX(meta_Tables[Display Qualified],MATCH(meta_Columns[[#This Row],[Referenced Table:src]],meta_Tables[ID],0)))</f>
        <v/>
      </c>
      <c r="L393" s="8"/>
      <c r="M393" s="22"/>
      <c r="N393" s="8" t="str">
        <f>IF(meta_Columns[[#This Row],[Excel Column - Excel Formula]]="","x","")</f>
        <v>x</v>
      </c>
      <c r="O393" s="22"/>
      <c r="P393" s="8" t="str">
        <f>IF(meta_Columns[[#This Row],[Referenced Table:src]]="","",INDEX(meta_Tables[Instances Class],MATCH(meta_Columns[[#This Row],[Referenced Table:src]],meta_Tables[ID],0)))</f>
        <v/>
      </c>
      <c r="Q3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3" s="8" t="s">
        <v>563</v>
      </c>
      <c r="S393" s="22" t="str">
        <f xml:space="preserve"> IF( TRIM( meta_Columns[[#This Row],[Property:src]] ) = "", "",
        INDEX( meta_TypedModelElements[Display Qualified], MATCH( meta_Columns[[#This Row],[Property:src]], meta_TypedModelElements[ID], 0 ) ) )</f>
        <v>meta::Parameter.owningFunction</v>
      </c>
      <c r="T393" s="22" t="s">
        <v>42</v>
      </c>
      <c r="U393" s="8" t="e">
        <f>INDEX(meta_Classifiers[Class - Generalization:src], MATCH(meta_Columns[[#This Row],[Generalization 5]],meta_Classifiers[ID],0))</f>
        <v>#N/A</v>
      </c>
      <c r="V393" s="8" t="e">
        <f>INDEX(meta_Classifiers[Class - Generalization:src], MATCH(meta_Columns[[#This Row],[Generalization 4]],meta_Classifiers[ID],0))</f>
        <v>#N/A</v>
      </c>
      <c r="W393" s="8" t="e">
        <f>INDEX(meta_Classifiers[Class - Generalization:src], MATCH(meta_Columns[[#This Row],[Generalization 3]],meta_Classifiers[ID],0))</f>
        <v>#N/A</v>
      </c>
      <c r="X393" s="8" t="str">
        <f>INDEX(meta_Classifiers[Class - Generalization:src], MATCH(meta_Columns[[#This Row],[Generalization 2]],meta_Classifiers[ID],0))</f>
        <v/>
      </c>
      <c r="Y393" s="8" t="str">
        <f>INDEX(meta_Classifiers[Class - Generalization:src], MATCH(meta_Columns[[#This Row],[Generalization 1]],meta_Classifiers[ID],0))</f>
        <v>_Object</v>
      </c>
      <c r="Z393" s="8" t="str">
        <f>INDEX(meta_Classifiers[Class - Generalization:src], MATCH(meta_Columns[[#This Row],[Owning Table Instances Class]],meta_Classifiers[ID],0))</f>
        <v>_NamedElement</v>
      </c>
      <c r="AA3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3" s="8" t="b">
        <f>_xlfn.IFNA(
INDEX(meta_Classifiers[Class - Generalization:src],MATCH(
INDEX(meta_Classifiers[Class - Generalization:src],MATCH(meta_Columns[[#This Row],[Property Owning Class]],meta_Classifiers[ID],0)),meta_Classifiers[ID],0))
=meta_Columns[[#This Row],[Owning Table Instances Class]],FALSE)</f>
        <v>0</v>
      </c>
      <c r="AG393" s="8" t="b">
        <f>_xlfn.IFNA(INDEX(meta_Classifiers[Class - Generalization:src],MATCH(meta_Columns[[#This Row],[Property Owning Class]],meta_Classifiers[ID],0))=meta_Columns[[#This Row],[Owning Table Instances Class]],FALSE)</f>
        <v>1</v>
      </c>
      <c r="AH39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393" s="8" t="str">
        <f>INDEX(meta_Classifiers[Name],MATCH(INDEX(meta_TypedModelElements[Property - Owning Class:src],MATCH(meta_Columns[[#This Row],[Property]],meta_TypedModelElements[ID],0)),meta_Classifiers[ID],0))</f>
        <v>Parameter</v>
      </c>
      <c r="AJ393" s="8" t="str">
        <f>INDEX(meta_TypedModelElements[Property - Owning Class:src],MATCH(meta_Columns[[#This Row],[Property]],meta_TypedModelElements[ID],0))</f>
        <v>_Parameter</v>
      </c>
      <c r="AK393" s="8" t="str">
        <f>INDEX(meta_TypedModelElements[Kind:src],MATCH(meta_Columns[[#This Row],[Property]],meta_TypedModelElements[ID],0))</f>
        <v>_Reference</v>
      </c>
      <c r="AL393" s="8" t="str">
        <f>INDEX(meta_TypedModelElements[Name or Type],MATCH(meta_Columns[[#This Row],[Property]],meta_TypedModelElements[ID],0))</f>
        <v>Owning Function</v>
      </c>
      <c r="AM393" s="8" t="str">
        <f>INDEX(meta_TypedModelElements[Property - Changeable],MATCH(meta_Columns[[#This Row],[Property]],meta_TypedModelElements[ID],0))</f>
        <v>x</v>
      </c>
      <c r="AN393" s="43">
        <v>46</v>
      </c>
      <c r="AO393" s="22">
        <v>25</v>
      </c>
      <c r="AP3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Parameter - Owning Function:src</v>
      </c>
      <c r="AQ393" s="8" t="str">
        <f xml:space="preserve"> IF(meta_Columns[[#This Row],[Property Owning Class is Specialization of Instance Class]],meta_Columns[[#This Row],[Property Owning Class Name]]&amp;" - ","")</f>
        <v xml:space="preserve">Parameter - </v>
      </c>
      <c r="AR3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Parameter - Owning Function:src</v>
      </c>
      <c r="AS3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3" s="8" t="str">
        <f>IFERROR(LEFT(meta_Columns[[#This Row],[Excel Column - Label Actual without Semantic Case]],FIND("-",
meta_Columns[[#This Row],[Excel Column - Label Actual without Semantic Case]])-2),"")</f>
        <v>Parameter</v>
      </c>
      <c r="AU3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v>
      </c>
      <c r="AX393" s="22"/>
      <c r="AY393" s="8" t="str">
        <f>meta_Columns[[#This Row],[Owning Table]]&amp;"."&amp;meta_Columns[[#This Row],[Excel Column - Label]]</f>
        <v>meta::TypedModelElements.Parameter - Owning Function</v>
      </c>
      <c r="AZ393" s="43" t="s">
        <v>315</v>
      </c>
      <c r="BA393" s="44" t="str">
        <f>IF(TRIM(meta_Columns[[#This Row],[Excel Column - Label Overwrite]])&lt;&gt;"",meta_Columns[[#This Row],[Excel Column - Label Overwrite]],meta_Columns[[#This Row],[Excel Column - Label from Property or Referenced Table]])</f>
        <v>Parameter - Owning Function</v>
      </c>
      <c r="BB393" s="43"/>
      <c r="BC393" s="44" t="str">
        <f>IF(meta_Columns[[#This Row],[Excel Column - Explicit Excel Formula]]="","",meta_Columns[[#This Row],[Excel Column - Explicit Excel Formula]])</f>
        <v/>
      </c>
      <c r="BD393" s="5" t="s">
        <v>1464</v>
      </c>
      <c r="BE393" s="5"/>
    </row>
    <row r="394" spans="1:57">
      <c r="A394" s="10" t="s">
        <v>1846</v>
      </c>
      <c r="B394" s="5" t="s">
        <v>546</v>
      </c>
      <c r="C394" s="22" t="str">
        <f xml:space="preserve"> IF( TRIM( meta_Columns[[#This Row],[Kind:src]] ) = "", "",
        INDEX( meta_Classifiers[Display Qualified], MATCH( meta_Columns[[#This Row],[Kind:src]], meta_Classifiers[ID], 0 ) ) )</f>
        <v>ExcelColumn</v>
      </c>
      <c r="D394" s="44" t="str">
        <f>IF(meta_Columns[[#This Row],[Owning Table:src]]="","",INDEX(meta_Classifiers[Package],MATCH(meta_Columns[[#This Row],[Owning Table Instances Class]],meta_Classifiers[ID],0)))</f>
        <v>meta</v>
      </c>
      <c r="E394" s="43"/>
      <c r="F394" s="44" t="str">
        <f>INDEX(meta_Tables[Excel Table - Excel Name],MATCH(meta_Columns[[#This Row],[Owning Table:src]],meta_Tables[ID],0))</f>
        <v>meta_TypedModelElements</v>
      </c>
      <c r="G394" s="44" t="str">
        <f>INDEX(meta_Tables[Instances Class:src],MATCH(meta_Columns[[#This Row],[Owning Table:src]],meta_Tables[ID],0))</f>
        <v>_TypedModelElement</v>
      </c>
      <c r="H394" s="11" t="s">
        <v>1011</v>
      </c>
      <c r="I394" s="43" t="str">
        <f xml:space="preserve"> IF( TRIM( meta_Columns[[#This Row],[Owning Table:src]] ) = "", "",
        INDEX( meta_Tables[Display Qualified], MATCH( meta_Columns[[#This Row],[Owning Table:src]], meta_Tables[ID], 0 ) ) )</f>
        <v>meta::TypedModelElements</v>
      </c>
      <c r="K394" s="22" t="str">
        <f>IF(TRIM(meta_Columns[[#This Row],[Referenced Table:src]])="","",
    INDEX(meta_Tables[Display Qualified],MATCH(meta_Columns[[#This Row],[Referenced Table:src]],meta_Tables[ID],0)))</f>
        <v/>
      </c>
      <c r="L394" s="8"/>
      <c r="M394" s="22"/>
      <c r="N394" s="8" t="str">
        <f>IF(meta_Columns[[#This Row],[Excel Column - Excel Formula]]="","x","")</f>
        <v>x</v>
      </c>
      <c r="O394" s="22"/>
      <c r="P394" s="8" t="str">
        <f>IF(meta_Columns[[#This Row],[Referenced Table:src]]="","",INDEX(meta_Tables[Instances Class],MATCH(meta_Columns[[#This Row],[Referenced Table:src]],meta_Tables[ID],0)))</f>
        <v/>
      </c>
      <c r="Q3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4" s="8"/>
      <c r="S394" s="22" t="str">
        <f xml:space="preserve"> IF( TRIM( meta_Columns[[#This Row],[Property:src]] ) = "", "",
        INDEX( meta_TypedModelElements[Display Qualified], MATCH( meta_Columns[[#This Row],[Property:src]], meta_TypedModelElements[ID], 0 ) ) )</f>
        <v/>
      </c>
      <c r="T394" s="22"/>
      <c r="U394" s="8" t="e">
        <f>INDEX(meta_Classifiers[Class - Generalization:src], MATCH(meta_Columns[[#This Row],[Generalization 5]],meta_Classifiers[ID],0))</f>
        <v>#N/A</v>
      </c>
      <c r="V394" s="8" t="e">
        <f>INDEX(meta_Classifiers[Class - Generalization:src], MATCH(meta_Columns[[#This Row],[Generalization 4]],meta_Classifiers[ID],0))</f>
        <v>#N/A</v>
      </c>
      <c r="W394" s="8" t="e">
        <f>INDEX(meta_Classifiers[Class - Generalization:src], MATCH(meta_Columns[[#This Row],[Generalization 3]],meta_Classifiers[ID],0))</f>
        <v>#N/A</v>
      </c>
      <c r="X394" s="8" t="str">
        <f>INDEX(meta_Classifiers[Class - Generalization:src], MATCH(meta_Columns[[#This Row],[Generalization 2]],meta_Classifiers[ID],0))</f>
        <v/>
      </c>
      <c r="Y394" s="8" t="str">
        <f>INDEX(meta_Classifiers[Class - Generalization:src], MATCH(meta_Columns[[#This Row],[Generalization 1]],meta_Classifiers[ID],0))</f>
        <v>_Object</v>
      </c>
      <c r="Z394" s="8" t="str">
        <f>INDEX(meta_Classifiers[Class - Generalization:src], MATCH(meta_Columns[[#This Row],[Owning Table Instances Class]],meta_Classifiers[ID],0))</f>
        <v>_NamedElement</v>
      </c>
      <c r="AA3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4" s="8" t="b">
        <f>_xlfn.IFNA(
INDEX(meta_Classifiers[Class - Generalization:src],MATCH(
INDEX(meta_Classifiers[Class - Generalization:src],MATCH(meta_Columns[[#This Row],[Property Owning Class]],meta_Classifiers[ID],0)),meta_Classifiers[ID],0))
=meta_Columns[[#This Row],[Owning Table Instances Class]],FALSE)</f>
        <v>0</v>
      </c>
      <c r="AG394" s="8" t="b">
        <f>_xlfn.IFNA(INDEX(meta_Classifiers[Class - Generalization:src],MATCH(meta_Columns[[#This Row],[Property Owning Class]],meta_Classifiers[ID],0))=meta_Columns[[#This Row],[Owning Table Instances Class]],FALSE)</f>
        <v>0</v>
      </c>
      <c r="AH3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4" s="8" t="e">
        <f>INDEX(meta_Classifiers[Name],MATCH(INDEX(meta_TypedModelElements[Property - Owning Class:src],MATCH(meta_Columns[[#This Row],[Property]],meta_TypedModelElements[ID],0)),meta_Classifiers[ID],0))</f>
        <v>#N/A</v>
      </c>
      <c r="AJ394" s="8" t="e">
        <f>INDEX(meta_TypedModelElements[Property - Owning Class:src],MATCH(meta_Columns[[#This Row],[Property]],meta_TypedModelElements[ID],0))</f>
        <v>#N/A</v>
      </c>
      <c r="AK394" s="8" t="e">
        <f>INDEX(meta_TypedModelElements[Kind:src],MATCH(meta_Columns[[#This Row],[Property]],meta_TypedModelElements[ID],0))</f>
        <v>#N/A</v>
      </c>
      <c r="AL394" s="8" t="e">
        <f>INDEX(meta_TypedModelElements[Name or Type],MATCH(meta_Columns[[#This Row],[Property]],meta_TypedModelElements[ID],0))</f>
        <v>#N/A</v>
      </c>
      <c r="AM394" s="8" t="e">
        <f>INDEX(meta_TypedModelElements[Property - Changeable],MATCH(meta_Columns[[#This Row],[Property]],meta_TypedModelElements[ID],0))</f>
        <v>#N/A</v>
      </c>
      <c r="AN394" s="43">
        <v>47</v>
      </c>
      <c r="AO394" s="22">
        <v>26</v>
      </c>
      <c r="AP3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4" s="8" t="str">
        <f xml:space="preserve"> IF(meta_Columns[[#This Row],[Property Owning Class is Specialization of Instance Class]],meta_Columns[[#This Row],[Property Owning Class Name]]&amp;" - ","")</f>
        <v/>
      </c>
      <c r="AR3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4" s="8" t="str">
        <f>IFERROR(LEFT(meta_Columns[[#This Row],[Excel Column - Label Actual without Semantic Case]],FIND("-",
meta_Columns[[#This Row],[Excel Column - Label Actual without Semantic Case]])-2),"")</f>
        <v>Property</v>
      </c>
      <c r="AU3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srcLastSaved</v>
      </c>
      <c r="AW3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Property:srcLastSaved</v>
      </c>
      <c r="AX394" s="22"/>
      <c r="AY394" s="8" t="str">
        <f>meta_Columns[[#This Row],[Owning Table]]&amp;"."&amp;meta_Columns[[#This Row],[Excel Column - Label]]</f>
        <v>meta::TypedModelElements.Property - Using Property:src</v>
      </c>
      <c r="AZ394" s="43" t="s">
        <v>1847</v>
      </c>
      <c r="BA394" s="44" t="str">
        <f>IF(TRIM(meta_Columns[[#This Row],[Excel Column - Label Overwrite]])&lt;&gt;"",meta_Columns[[#This Row],[Excel Column - Label Overwrite]],meta_Columns[[#This Row],[Excel Column - Label from Property or Referenced Table]])</f>
        <v>Property - Using Property:src</v>
      </c>
      <c r="BB394" s="43"/>
      <c r="BC394" s="44" t="str">
        <f>IF(meta_Columns[[#This Row],[Excel Column - Explicit Excel Formula]]="","",meta_Columns[[#This Row],[Excel Column - Explicit Excel Formula]])</f>
        <v/>
      </c>
      <c r="BD394" s="5"/>
      <c r="BE394" s="5"/>
    </row>
    <row r="395" spans="1:57">
      <c r="A395" s="10" t="s">
        <v>1326</v>
      </c>
      <c r="B395" s="5" t="s">
        <v>546</v>
      </c>
      <c r="C395" s="22" t="str">
        <f xml:space="preserve"> IF( TRIM( meta_Columns[[#This Row],[Kind:src]] ) = "", "",
        INDEX( meta_Classifiers[Display Qualified], MATCH( meta_Columns[[#This Row],[Kind:src]], meta_Classifiers[ID], 0 ) ) )</f>
        <v>ExcelColumn</v>
      </c>
      <c r="D395" s="44" t="str">
        <f>IF(meta_Columns[[#This Row],[Owning Table:src]]="","",INDEX(meta_Classifiers[Package],MATCH(meta_Columns[[#This Row],[Owning Table Instances Class]],meta_Classifiers[ID],0)))</f>
        <v>meta</v>
      </c>
      <c r="E395" s="43"/>
      <c r="F395" s="44" t="str">
        <f>INDEX(meta_Tables[Excel Table - Excel Name],MATCH(meta_Columns[[#This Row],[Owning Table:src]],meta_Tables[ID],0))</f>
        <v>meta_TypedModelElements</v>
      </c>
      <c r="G395" s="44" t="str">
        <f>INDEX(meta_Tables[Instances Class:src],MATCH(meta_Columns[[#This Row],[Owning Table:src]],meta_Tables[ID],0))</f>
        <v>_TypedModelElement</v>
      </c>
      <c r="H395" s="11" t="s">
        <v>1011</v>
      </c>
      <c r="I395" s="43" t="str">
        <f xml:space="preserve"> IF( TRIM( meta_Columns[[#This Row],[Owning Table:src]] ) = "", "",
        INDEX( meta_Tables[Display Qualified], MATCH( meta_Columns[[#This Row],[Owning Table:src]], meta_Tables[ID], 0 ) ) )</f>
        <v>meta::TypedModelElements</v>
      </c>
      <c r="K395" s="22" t="str">
        <f>IF(TRIM(meta_Columns[[#This Row],[Referenced Table:src]])="","",
    INDEX(meta_Tables[Display Qualified],MATCH(meta_Columns[[#This Row],[Referenced Table:src]],meta_Tables[ID],0)))</f>
        <v/>
      </c>
      <c r="L395" s="8"/>
      <c r="M395" s="22"/>
      <c r="N395" s="8" t="str">
        <f>IF(meta_Columns[[#This Row],[Excel Column - Excel Formula]]="","x","")</f>
        <v>x</v>
      </c>
      <c r="O395" s="22"/>
      <c r="P395" s="8" t="str">
        <f>IF(meta_Columns[[#This Row],[Referenced Table:src]]="","",INDEX(meta_Tables[Instances Class],MATCH(meta_Columns[[#This Row],[Referenced Table:src]],meta_Tables[ID],0)))</f>
        <v/>
      </c>
      <c r="Q3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5" s="8"/>
      <c r="S395" s="22" t="str">
        <f xml:space="preserve"> IF( TRIM( meta_Columns[[#This Row],[Property:src]] ) = "", "",
        INDEX( meta_TypedModelElements[Display Qualified], MATCH( meta_Columns[[#This Row],[Property:src]], meta_TypedModelElements[ID], 0 ) ) )</f>
        <v/>
      </c>
      <c r="T395" s="22"/>
      <c r="U395" s="8" t="e">
        <f>INDEX(meta_Classifiers[Class - Generalization:src], MATCH(meta_Columns[[#This Row],[Generalization 5]],meta_Classifiers[ID],0))</f>
        <v>#N/A</v>
      </c>
      <c r="V395" s="8" t="e">
        <f>INDEX(meta_Classifiers[Class - Generalization:src], MATCH(meta_Columns[[#This Row],[Generalization 4]],meta_Classifiers[ID],0))</f>
        <v>#N/A</v>
      </c>
      <c r="W395" s="8" t="e">
        <f>INDEX(meta_Classifiers[Class - Generalization:src], MATCH(meta_Columns[[#This Row],[Generalization 3]],meta_Classifiers[ID],0))</f>
        <v>#N/A</v>
      </c>
      <c r="X395" s="8" t="str">
        <f>INDEX(meta_Classifiers[Class - Generalization:src], MATCH(meta_Columns[[#This Row],[Generalization 2]],meta_Classifiers[ID],0))</f>
        <v/>
      </c>
      <c r="Y395" s="8" t="str">
        <f>INDEX(meta_Classifiers[Class - Generalization:src], MATCH(meta_Columns[[#This Row],[Generalization 1]],meta_Classifiers[ID],0))</f>
        <v>_Object</v>
      </c>
      <c r="Z395" s="8" t="str">
        <f>INDEX(meta_Classifiers[Class - Generalization:src], MATCH(meta_Columns[[#This Row],[Owning Table Instances Class]],meta_Classifiers[ID],0))</f>
        <v>_NamedElement</v>
      </c>
      <c r="AA3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5" s="8" t="b">
        <f>_xlfn.IFNA(
INDEX(meta_Classifiers[Class - Generalization:src],MATCH(
INDEX(meta_Classifiers[Class - Generalization:src],MATCH(meta_Columns[[#This Row],[Property Owning Class]],meta_Classifiers[ID],0)),meta_Classifiers[ID],0))
=meta_Columns[[#This Row],[Owning Table Instances Class]],FALSE)</f>
        <v>0</v>
      </c>
      <c r="AG395" s="8" t="b">
        <f>_xlfn.IFNA(INDEX(meta_Classifiers[Class - Generalization:src],MATCH(meta_Columns[[#This Row],[Property Owning Class]],meta_Classifiers[ID],0))=meta_Columns[[#This Row],[Owning Table Instances Class]],FALSE)</f>
        <v>0</v>
      </c>
      <c r="AH3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5" s="8" t="e">
        <f>INDEX(meta_Classifiers[Name],MATCH(INDEX(meta_TypedModelElements[Property - Owning Class:src],MATCH(meta_Columns[[#This Row],[Property]],meta_TypedModelElements[ID],0)),meta_Classifiers[ID],0))</f>
        <v>#N/A</v>
      </c>
      <c r="AJ395" s="8" t="e">
        <f>INDEX(meta_TypedModelElements[Property - Owning Class:src],MATCH(meta_Columns[[#This Row],[Property]],meta_TypedModelElements[ID],0))</f>
        <v>#N/A</v>
      </c>
      <c r="AK395" s="8" t="e">
        <f>INDEX(meta_TypedModelElements[Kind:src],MATCH(meta_Columns[[#This Row],[Property]],meta_TypedModelElements[ID],0))</f>
        <v>#N/A</v>
      </c>
      <c r="AL395" s="8" t="e">
        <f>INDEX(meta_TypedModelElements[Name or Type],MATCH(meta_Columns[[#This Row],[Property]],meta_TypedModelElements[ID],0))</f>
        <v>#N/A</v>
      </c>
      <c r="AM395" s="8" t="e">
        <f>INDEX(meta_TypedModelElements[Property - Changeable],MATCH(meta_Columns[[#This Row],[Property]],meta_TypedModelElements[ID],0))</f>
        <v>#N/A</v>
      </c>
      <c r="AN395" s="43">
        <v>48</v>
      </c>
      <c r="AO395" s="22">
        <v>27</v>
      </c>
      <c r="AP3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5" s="8" t="str">
        <f xml:space="preserve"> IF(meta_Columns[[#This Row],[Property Owning Class is Specialization of Instance Class]],meta_Columns[[#This Row],[Property Owning Class Name]]&amp;" - ","")</f>
        <v/>
      </c>
      <c r="AR3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5" s="8" t="str">
        <f>IFERROR(LEFT(meta_Columns[[#This Row],[Excel Column - Label Actual without Semantic Case]],FIND("-",
meta_Columns[[#This Row],[Excel Column - Label Actual without Semantic Case]])-2),"")</f>
        <v>Property</v>
      </c>
      <c r="AU3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v>
      </c>
      <c r="AX395" s="22"/>
      <c r="AY395" s="8" t="str">
        <f>meta_Columns[[#This Row],[Owning Table]]&amp;"."&amp;meta_Columns[[#This Row],[Excel Column - Label]]</f>
        <v>meta::TypedModelElements.Property - Using Property</v>
      </c>
      <c r="AZ395" s="43" t="s">
        <v>354</v>
      </c>
      <c r="BA395" s="44" t="str">
        <f>IF(TRIM(meta_Columns[[#This Row],[Excel Column - Label Overwrite]])&lt;&gt;"",meta_Columns[[#This Row],[Excel Column - Label Overwrite]],meta_Columns[[#This Row],[Excel Column - Label from Property or Referenced Table]])</f>
        <v>Property - Using Property</v>
      </c>
      <c r="BB395" s="43"/>
      <c r="BC395" s="44" t="str">
        <f>IF(meta_Columns[[#This Row],[Excel Column - Explicit Excel Formula]]="","",meta_Columns[[#This Row],[Excel Column - Explicit Excel Formula]])</f>
        <v/>
      </c>
      <c r="BD395" s="5" t="s">
        <v>1464</v>
      </c>
      <c r="BE395" s="5"/>
    </row>
    <row r="396" spans="1:57">
      <c r="A396" s="10" t="s">
        <v>1327</v>
      </c>
      <c r="B396" s="5" t="s">
        <v>546</v>
      </c>
      <c r="C396" s="22" t="str">
        <f xml:space="preserve"> IF( TRIM( meta_Columns[[#This Row],[Kind:src]] ) = "", "",
        INDEX( meta_Classifiers[Display Qualified], MATCH( meta_Columns[[#This Row],[Kind:src]], meta_Classifiers[ID], 0 ) ) )</f>
        <v>ExcelColumn</v>
      </c>
      <c r="D396" s="44" t="str">
        <f>IF(meta_Columns[[#This Row],[Owning Table:src]]="","",INDEX(meta_Classifiers[Package],MATCH(meta_Columns[[#This Row],[Owning Table Instances Class]],meta_Classifiers[ID],0)))</f>
        <v>meta</v>
      </c>
      <c r="E396" s="43"/>
      <c r="F396" s="44" t="str">
        <f>INDEX(meta_Tables[Excel Table - Excel Name],MATCH(meta_Columns[[#This Row],[Owning Table:src]],meta_Tables[ID],0))</f>
        <v>meta_TypedModelElements</v>
      </c>
      <c r="G396" s="44" t="str">
        <f>INDEX(meta_Tables[Instances Class:src],MATCH(meta_Columns[[#This Row],[Owning Table:src]],meta_Tables[ID],0))</f>
        <v>_TypedModelElement</v>
      </c>
      <c r="H396" s="11" t="s">
        <v>1011</v>
      </c>
      <c r="I396" s="43" t="str">
        <f xml:space="preserve"> IF( TRIM( meta_Columns[[#This Row],[Owning Table:src]] ) = "", "",
        INDEX( meta_Tables[Display Qualified], MATCH( meta_Columns[[#This Row],[Owning Table:src]], meta_Tables[ID], 0 ) ) )</f>
        <v>meta::TypedModelElements</v>
      </c>
      <c r="K396" s="22" t="str">
        <f>IF(TRIM(meta_Columns[[#This Row],[Referenced Table:src]])="","",
    INDEX(meta_Tables[Display Qualified],MATCH(meta_Columns[[#This Row],[Referenced Table:src]],meta_Tables[ID],0)))</f>
        <v/>
      </c>
      <c r="L396" s="8"/>
      <c r="M396" s="22"/>
      <c r="N396" s="8" t="str">
        <f>IF(meta_Columns[[#This Row],[Excel Column - Excel Formula]]="","x","")</f>
        <v/>
      </c>
      <c r="O396" s="22"/>
      <c r="P396" s="8" t="str">
        <f>IF(meta_Columns[[#This Row],[Referenced Table:src]]="","",INDEX(meta_Tables[Instances Class],MATCH(meta_Columns[[#This Row],[Referenced Table:src]],meta_Tables[ID],0)))</f>
        <v/>
      </c>
      <c r="Q3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meta::Reference.referencedExcelTable</v>
      </c>
      <c r="R396" s="8"/>
      <c r="S396" s="22" t="str">
        <f xml:space="preserve"> IF( TRIM( meta_Columns[[#This Row],[Property:src]] ) = "", "",
        INDEX( meta_TypedModelElements[Display Qualified], MATCH( meta_Columns[[#This Row],[Property:src]], meta_TypedModelElements[ID], 0 ) ) )</f>
        <v/>
      </c>
      <c r="T396" s="22"/>
      <c r="U396" s="8" t="e">
        <f>INDEX(meta_Classifiers[Class - Generalization:src], MATCH(meta_Columns[[#This Row],[Generalization 5]],meta_Classifiers[ID],0))</f>
        <v>#N/A</v>
      </c>
      <c r="V396" s="8" t="e">
        <f>INDEX(meta_Classifiers[Class - Generalization:src], MATCH(meta_Columns[[#This Row],[Generalization 4]],meta_Classifiers[ID],0))</f>
        <v>#N/A</v>
      </c>
      <c r="W396" s="8" t="e">
        <f>INDEX(meta_Classifiers[Class - Generalization:src], MATCH(meta_Columns[[#This Row],[Generalization 3]],meta_Classifiers[ID],0))</f>
        <v>#N/A</v>
      </c>
      <c r="X396" s="8" t="str">
        <f>INDEX(meta_Classifiers[Class - Generalization:src], MATCH(meta_Columns[[#This Row],[Generalization 2]],meta_Classifiers[ID],0))</f>
        <v/>
      </c>
      <c r="Y396" s="8" t="str">
        <f>INDEX(meta_Classifiers[Class - Generalization:src], MATCH(meta_Columns[[#This Row],[Generalization 1]],meta_Classifiers[ID],0))</f>
        <v>_Object</v>
      </c>
      <c r="Z396" s="8" t="str">
        <f>INDEX(meta_Classifiers[Class - Generalization:src], MATCH(meta_Columns[[#This Row],[Owning Table Instances Class]],meta_Classifiers[ID],0))</f>
        <v>_NamedElement</v>
      </c>
      <c r="AA3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6" s="8" t="b">
        <f>_xlfn.IFNA(
INDEX(meta_Classifiers[Class - Generalization:src],MATCH(
INDEX(meta_Classifiers[Class - Generalization:src],MATCH(meta_Columns[[#This Row],[Property Owning Class]],meta_Classifiers[ID],0)),meta_Classifiers[ID],0))
=meta_Columns[[#This Row],[Owning Table Instances Class]],FALSE)</f>
        <v>0</v>
      </c>
      <c r="AG396" s="8" t="b">
        <f>_xlfn.IFNA(INDEX(meta_Classifiers[Class - Generalization:src],MATCH(meta_Columns[[#This Row],[Property Owning Class]],meta_Classifiers[ID],0))=meta_Columns[[#This Row],[Owning Table Instances Class]],FALSE)</f>
        <v>0</v>
      </c>
      <c r="AH3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6" s="8" t="e">
        <f>INDEX(meta_Classifiers[Name],MATCH(INDEX(meta_TypedModelElements[Property - Owning Class:src],MATCH(meta_Columns[[#This Row],[Property]],meta_TypedModelElements[ID],0)),meta_Classifiers[ID],0))</f>
        <v>#N/A</v>
      </c>
      <c r="AJ396" s="8" t="e">
        <f>INDEX(meta_TypedModelElements[Property - Owning Class:src],MATCH(meta_Columns[[#This Row],[Property]],meta_TypedModelElements[ID],0))</f>
        <v>#N/A</v>
      </c>
      <c r="AK396" s="8" t="e">
        <f>INDEX(meta_TypedModelElements[Kind:src],MATCH(meta_Columns[[#This Row],[Property]],meta_TypedModelElements[ID],0))</f>
        <v>#N/A</v>
      </c>
      <c r="AL396" s="8" t="e">
        <f>INDEX(meta_TypedModelElements[Name or Type],MATCH(meta_Columns[[#This Row],[Property]],meta_TypedModelElements[ID],0))</f>
        <v>#N/A</v>
      </c>
      <c r="AM396" s="8" t="e">
        <f>INDEX(meta_TypedModelElements[Property - Changeable],MATCH(meta_Columns[[#This Row],[Property]],meta_TypedModelElements[ID],0))</f>
        <v>#N/A</v>
      </c>
      <c r="AN396" s="43">
        <v>49</v>
      </c>
      <c r="AO396" s="22"/>
      <c r="AP3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6" s="8" t="str">
        <f xml:space="preserve"> IF(meta_Columns[[#This Row],[Property Owning Class is Specialization of Instance Class]],meta_Columns[[#This Row],[Property Owning Class Name]]&amp;" - ","")</f>
        <v/>
      </c>
      <c r="AR3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Referenced Excel Table</v>
      </c>
      <c r="AT396" s="8" t="str">
        <f>IFERROR(LEFT(meta_Columns[[#This Row],[Excel Column - Label Actual without Semantic Case]],FIND("-",
meta_Columns[[#This Row],[Excel Column - Label Actual without Semantic Case]])-2),"")</f>
        <v>Reference</v>
      </c>
      <c r="AU3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Referenced Excel Table</v>
      </c>
      <c r="AV3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Referenced Excel Table</v>
      </c>
      <c r="AX396" s="22"/>
      <c r="AY396" s="8" t="str">
        <f>meta_Columns[[#This Row],[Owning Table]]&amp;"."&amp;meta_Columns[[#This Row],[Excel Column - Label]]</f>
        <v>meta::TypedModelElements.Reference - Referenced Excel Table</v>
      </c>
      <c r="AZ396" s="43" t="s">
        <v>412</v>
      </c>
      <c r="BA396" s="44" t="str">
        <f>IF(TRIM(meta_Columns[[#This Row],[Excel Column - Label Overwrite]])&lt;&gt;"",meta_Columns[[#This Row],[Excel Column - Label Overwrite]],meta_Columns[[#This Row],[Excel Column - Label from Property or Referenced Table]])</f>
        <v>Reference - Referenced Excel Table</v>
      </c>
      <c r="BB396" s="43" t="s">
        <v>1428</v>
      </c>
      <c r="BC396" s="44" t="str">
        <f>IF(meta_Columns[[#This Row],[Excel Column - Explicit Excel Formula]]="","",meta_Columns[[#This Row],[Excel Column - Explicit Excel Formula]])</f>
        <v>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v>
      </c>
      <c r="BD396" s="5"/>
      <c r="BE396" s="5"/>
    </row>
    <row r="397" spans="1:57">
      <c r="A397" s="10" t="s">
        <v>1328</v>
      </c>
      <c r="B397" s="5" t="s">
        <v>546</v>
      </c>
      <c r="C397" s="22" t="str">
        <f xml:space="preserve"> IF( TRIM( meta_Columns[[#This Row],[Kind:src]] ) = "", "",
        INDEX( meta_Classifiers[Display Qualified], MATCH( meta_Columns[[#This Row],[Kind:src]], meta_Classifiers[ID], 0 ) ) )</f>
        <v>ExcelColumn</v>
      </c>
      <c r="D397" s="44" t="str">
        <f>IF(meta_Columns[[#This Row],[Owning Table:src]]="","",INDEX(meta_Classifiers[Package],MATCH(meta_Columns[[#This Row],[Owning Table Instances Class]],meta_Classifiers[ID],0)))</f>
        <v>meta</v>
      </c>
      <c r="E397" s="43"/>
      <c r="F397" s="44" t="str">
        <f>INDEX(meta_Tables[Excel Table - Excel Name],MATCH(meta_Columns[[#This Row],[Owning Table:src]],meta_Tables[ID],0))</f>
        <v>meta_TypedModelElements</v>
      </c>
      <c r="G397" s="44" t="str">
        <f>INDEX(meta_Tables[Instances Class:src],MATCH(meta_Columns[[#This Row],[Owning Table:src]],meta_Tables[ID],0))</f>
        <v>_TypedModelElement</v>
      </c>
      <c r="H397" s="11" t="s">
        <v>1011</v>
      </c>
      <c r="I397" s="43" t="str">
        <f xml:space="preserve"> IF( TRIM( meta_Columns[[#This Row],[Owning Table:src]] ) = "", "",
        INDEX( meta_Tables[Display Qualified], MATCH( meta_Columns[[#This Row],[Owning Table:src]], meta_Tables[ID], 0 ) ) )</f>
        <v>meta::TypedModelElements</v>
      </c>
      <c r="K397" s="22" t="str">
        <f>IF(TRIM(meta_Columns[[#This Row],[Referenced Table:src]])="","",
    INDEX(meta_Tables[Display Qualified],MATCH(meta_Columns[[#This Row],[Referenced Table:src]],meta_Tables[ID],0)))</f>
        <v/>
      </c>
      <c r="L397" s="8"/>
      <c r="M397" s="22"/>
      <c r="N397" s="8" t="str">
        <f>IF(meta_Columns[[#This Row],[Excel Column - Excel Formula]]="","x","")</f>
        <v/>
      </c>
      <c r="O397" s="22"/>
      <c r="P397" s="8" t="str">
        <f>IF(meta_Columns[[#This Row],[Referenced Table:src]]="","",INDEX(meta_Tables[Instances Class],MATCH(meta_Columns[[#This Row],[Referenced Table:src]],meta_Tables[ID],0)))</f>
        <v/>
      </c>
      <c r="Q3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meta::Reference.referingColumnInExcel</v>
      </c>
      <c r="R397" s="8"/>
      <c r="S397" s="22" t="str">
        <f xml:space="preserve"> IF( TRIM( meta_Columns[[#This Row],[Property:src]] ) = "", "",
        INDEX( meta_TypedModelElements[Display Qualified], MATCH( meta_Columns[[#This Row],[Property:src]], meta_TypedModelElements[ID], 0 ) ) )</f>
        <v/>
      </c>
      <c r="T397" s="22"/>
      <c r="U397" s="8" t="e">
        <f>INDEX(meta_Classifiers[Class - Generalization:src], MATCH(meta_Columns[[#This Row],[Generalization 5]],meta_Classifiers[ID],0))</f>
        <v>#N/A</v>
      </c>
      <c r="V397" s="8" t="e">
        <f>INDEX(meta_Classifiers[Class - Generalization:src], MATCH(meta_Columns[[#This Row],[Generalization 4]],meta_Classifiers[ID],0))</f>
        <v>#N/A</v>
      </c>
      <c r="W397" s="8" t="e">
        <f>INDEX(meta_Classifiers[Class - Generalization:src], MATCH(meta_Columns[[#This Row],[Generalization 3]],meta_Classifiers[ID],0))</f>
        <v>#N/A</v>
      </c>
      <c r="X397" s="8" t="str">
        <f>INDEX(meta_Classifiers[Class - Generalization:src], MATCH(meta_Columns[[#This Row],[Generalization 2]],meta_Classifiers[ID],0))</f>
        <v/>
      </c>
      <c r="Y397" s="8" t="str">
        <f>INDEX(meta_Classifiers[Class - Generalization:src], MATCH(meta_Columns[[#This Row],[Generalization 1]],meta_Classifiers[ID],0))</f>
        <v>_Object</v>
      </c>
      <c r="Z397" s="8" t="str">
        <f>INDEX(meta_Classifiers[Class - Generalization:src], MATCH(meta_Columns[[#This Row],[Owning Table Instances Class]],meta_Classifiers[ID],0))</f>
        <v>_NamedElement</v>
      </c>
      <c r="AA3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7" s="8" t="b">
        <f>_xlfn.IFNA(
INDEX(meta_Classifiers[Class - Generalization:src],MATCH(
INDEX(meta_Classifiers[Class - Generalization:src],MATCH(meta_Columns[[#This Row],[Property Owning Class]],meta_Classifiers[ID],0)),meta_Classifiers[ID],0))
=meta_Columns[[#This Row],[Owning Table Instances Class]],FALSE)</f>
        <v>0</v>
      </c>
      <c r="AG397" s="8" t="b">
        <f>_xlfn.IFNA(INDEX(meta_Classifiers[Class - Generalization:src],MATCH(meta_Columns[[#This Row],[Property Owning Class]],meta_Classifiers[ID],0))=meta_Columns[[#This Row],[Owning Table Instances Class]],FALSE)</f>
        <v>0</v>
      </c>
      <c r="AH3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7" s="8" t="e">
        <f>INDEX(meta_Classifiers[Name],MATCH(INDEX(meta_TypedModelElements[Property - Owning Class:src],MATCH(meta_Columns[[#This Row],[Property]],meta_TypedModelElements[ID],0)),meta_Classifiers[ID],0))</f>
        <v>#N/A</v>
      </c>
      <c r="AJ397" s="8" t="e">
        <f>INDEX(meta_TypedModelElements[Property - Owning Class:src],MATCH(meta_Columns[[#This Row],[Property]],meta_TypedModelElements[ID],0))</f>
        <v>#N/A</v>
      </c>
      <c r="AK397" s="8" t="e">
        <f>INDEX(meta_TypedModelElements[Kind:src],MATCH(meta_Columns[[#This Row],[Property]],meta_TypedModelElements[ID],0))</f>
        <v>#N/A</v>
      </c>
      <c r="AL397" s="8" t="e">
        <f>INDEX(meta_TypedModelElements[Name or Type],MATCH(meta_Columns[[#This Row],[Property]],meta_TypedModelElements[ID],0))</f>
        <v>#N/A</v>
      </c>
      <c r="AM397" s="8" t="e">
        <f>INDEX(meta_TypedModelElements[Property - Changeable],MATCH(meta_Columns[[#This Row],[Property]],meta_TypedModelElements[ID],0))</f>
        <v>#N/A</v>
      </c>
      <c r="AN397" s="43">
        <v>50</v>
      </c>
      <c r="AO397" s="22"/>
      <c r="AP3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7" s="8" t="str">
        <f xml:space="preserve"> IF(meta_Columns[[#This Row],[Property Owning Class is Specialization of Instance Class]],meta_Columns[[#This Row],[Property Owning Class Name]]&amp;" - ","")</f>
        <v/>
      </c>
      <c r="AR3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Refering Column in Excel</v>
      </c>
      <c r="AT397" s="8" t="str">
        <f>IFERROR(LEFT(meta_Columns[[#This Row],[Excel Column - Label Actual without Semantic Case]],FIND("-",
meta_Columns[[#This Row],[Excel Column - Label Actual without Semantic Case]])-2),"")</f>
        <v>Reference</v>
      </c>
      <c r="AU3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Refering Column in Excel</v>
      </c>
      <c r="AV3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Refering Column in Excel</v>
      </c>
      <c r="AX397" s="22"/>
      <c r="AY397" s="8" t="str">
        <f>meta_Columns[[#This Row],[Owning Table]]&amp;"."&amp;meta_Columns[[#This Row],[Excel Column - Label]]</f>
        <v>meta::TypedModelElements.Reference - Refering Column in Excel</v>
      </c>
      <c r="AZ397" s="43" t="s">
        <v>420</v>
      </c>
      <c r="BA397" s="44" t="str">
        <f>IF(TRIM(meta_Columns[[#This Row],[Excel Column - Label Overwrite]])&lt;&gt;"",meta_Columns[[#This Row],[Excel Column - Label Overwrite]],meta_Columns[[#This Row],[Excel Column - Label from Property or Referenced Table]])</f>
        <v>Reference - Refering Column in Excel</v>
      </c>
      <c r="BB397" s="43" t="s">
        <v>876</v>
      </c>
      <c r="BC397" s="44" t="str">
        <f>IF(meta_Columns[[#This Row],[Excel Column - Explicit Excel Formula]]="","",meta_Columns[[#This Row],[Excel Column - Explicit Excel Formula]])</f>
        <v>Formula:="[@["&amp;[@[Name or Type]]&amp;":src]]"</v>
      </c>
      <c r="BD397" s="5"/>
      <c r="BE397" s="5"/>
    </row>
    <row r="398" spans="1:57">
      <c r="A398" s="10" t="s">
        <v>1329</v>
      </c>
      <c r="B398" s="5" t="s">
        <v>546</v>
      </c>
      <c r="C398" s="22" t="str">
        <f xml:space="preserve"> IF( TRIM( meta_Columns[[#This Row],[Kind:src]] ) = "", "",
        INDEX( meta_Classifiers[Display Qualified], MATCH( meta_Columns[[#This Row],[Kind:src]], meta_Classifiers[ID], 0 ) ) )</f>
        <v>ExcelColumn</v>
      </c>
      <c r="D398" s="44" t="str">
        <f>IF(meta_Columns[[#This Row],[Owning Table:src]]="","",INDEX(meta_Classifiers[Package],MATCH(meta_Columns[[#This Row],[Owning Table Instances Class]],meta_Classifiers[ID],0)))</f>
        <v>meta</v>
      </c>
      <c r="E398" s="43"/>
      <c r="F398" s="44" t="str">
        <f>INDEX(meta_Tables[Excel Table - Excel Name],MATCH(meta_Columns[[#This Row],[Owning Table:src]],meta_Tables[ID],0))</f>
        <v>meta_TypedModelElements</v>
      </c>
      <c r="G398" s="44" t="str">
        <f>INDEX(meta_Tables[Instances Class:src],MATCH(meta_Columns[[#This Row],[Owning Table:src]],meta_Tables[ID],0))</f>
        <v>_TypedModelElement</v>
      </c>
      <c r="H398" s="11" t="s">
        <v>1011</v>
      </c>
      <c r="I398" s="43" t="str">
        <f xml:space="preserve"> IF( TRIM( meta_Columns[[#This Row],[Owning Table:src]] ) = "", "",
        INDEX( meta_Tables[Display Qualified], MATCH( meta_Columns[[#This Row],[Owning Table:src]], meta_Tables[ID], 0 ) ) )</f>
        <v>meta::TypedModelElements</v>
      </c>
      <c r="K398" s="22" t="str">
        <f>IF(TRIM(meta_Columns[[#This Row],[Referenced Table:src]])="","",
    INDEX(meta_Tables[Display Qualified],MATCH(meta_Columns[[#This Row],[Referenced Table:src]],meta_Tables[ID],0)))</f>
        <v/>
      </c>
      <c r="L398" s="8"/>
      <c r="M398" s="22"/>
      <c r="N398" s="8" t="str">
        <f>IF(meta_Columns[[#This Row],[Excel Column - Excel Formula]]="","x","")</f>
        <v/>
      </c>
      <c r="O398" s="22"/>
      <c r="P398" s="8" t="str">
        <f>IF(meta_Columns[[#This Row],[Referenced Table:src]]="","",INDEX(meta_Tables[Instances Class],MATCH(meta_Columns[[#This Row],[Referenced Table:src]],meta_Tables[ID],0)))</f>
        <v/>
      </c>
      <c r="Q3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meta::Reference.excelFormulaForDisplay</v>
      </c>
      <c r="R398" s="8"/>
      <c r="S398" s="22" t="str">
        <f xml:space="preserve"> IF( TRIM( meta_Columns[[#This Row],[Property:src]] ) = "", "",
        INDEX( meta_TypedModelElements[Display Qualified], MATCH( meta_Columns[[#This Row],[Property:src]], meta_TypedModelElements[ID], 0 ) ) )</f>
        <v/>
      </c>
      <c r="T398" s="22"/>
      <c r="U398" s="8" t="e">
        <f>INDEX(meta_Classifiers[Class - Generalization:src], MATCH(meta_Columns[[#This Row],[Generalization 5]],meta_Classifiers[ID],0))</f>
        <v>#N/A</v>
      </c>
      <c r="V398" s="8" t="e">
        <f>INDEX(meta_Classifiers[Class - Generalization:src], MATCH(meta_Columns[[#This Row],[Generalization 4]],meta_Classifiers[ID],0))</f>
        <v>#N/A</v>
      </c>
      <c r="W398" s="8" t="e">
        <f>INDEX(meta_Classifiers[Class - Generalization:src], MATCH(meta_Columns[[#This Row],[Generalization 3]],meta_Classifiers[ID],0))</f>
        <v>#N/A</v>
      </c>
      <c r="X398" s="8" t="str">
        <f>INDEX(meta_Classifiers[Class - Generalization:src], MATCH(meta_Columns[[#This Row],[Generalization 2]],meta_Classifiers[ID],0))</f>
        <v/>
      </c>
      <c r="Y398" s="8" t="str">
        <f>INDEX(meta_Classifiers[Class - Generalization:src], MATCH(meta_Columns[[#This Row],[Generalization 1]],meta_Classifiers[ID],0))</f>
        <v>_Object</v>
      </c>
      <c r="Z398" s="8" t="str">
        <f>INDEX(meta_Classifiers[Class - Generalization:src], MATCH(meta_Columns[[#This Row],[Owning Table Instances Class]],meta_Classifiers[ID],0))</f>
        <v>_NamedElement</v>
      </c>
      <c r="AA3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8" s="8" t="b">
        <f>_xlfn.IFNA(
INDEX(meta_Classifiers[Class - Generalization:src],MATCH(
INDEX(meta_Classifiers[Class - Generalization:src],MATCH(meta_Columns[[#This Row],[Property Owning Class]],meta_Classifiers[ID],0)),meta_Classifiers[ID],0))
=meta_Columns[[#This Row],[Owning Table Instances Class]],FALSE)</f>
        <v>0</v>
      </c>
      <c r="AG398" s="8" t="b">
        <f>_xlfn.IFNA(INDEX(meta_Classifiers[Class - Generalization:src],MATCH(meta_Columns[[#This Row],[Property Owning Class]],meta_Classifiers[ID],0))=meta_Columns[[#This Row],[Owning Table Instances Class]],FALSE)</f>
        <v>0</v>
      </c>
      <c r="AH3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8" s="8" t="e">
        <f>INDEX(meta_Classifiers[Name],MATCH(INDEX(meta_TypedModelElements[Property - Owning Class:src],MATCH(meta_Columns[[#This Row],[Property]],meta_TypedModelElements[ID],0)),meta_Classifiers[ID],0))</f>
        <v>#N/A</v>
      </c>
      <c r="AJ398" s="8" t="e">
        <f>INDEX(meta_TypedModelElements[Property - Owning Class:src],MATCH(meta_Columns[[#This Row],[Property]],meta_TypedModelElements[ID],0))</f>
        <v>#N/A</v>
      </c>
      <c r="AK398" s="8" t="e">
        <f>INDEX(meta_TypedModelElements[Kind:src],MATCH(meta_Columns[[#This Row],[Property]],meta_TypedModelElements[ID],0))</f>
        <v>#N/A</v>
      </c>
      <c r="AL398" s="8" t="e">
        <f>INDEX(meta_TypedModelElements[Name or Type],MATCH(meta_Columns[[#This Row],[Property]],meta_TypedModelElements[ID],0))</f>
        <v>#N/A</v>
      </c>
      <c r="AM398" s="8" t="e">
        <f>INDEX(meta_TypedModelElements[Property - Changeable],MATCH(meta_Columns[[#This Row],[Property]],meta_TypedModelElements[ID],0))</f>
        <v>#N/A</v>
      </c>
      <c r="AN398" s="43">
        <v>51</v>
      </c>
      <c r="AO398" s="22"/>
      <c r="AP3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8" s="8" t="str">
        <f xml:space="preserve"> IF(meta_Columns[[#This Row],[Property Owning Class is Specialization of Instance Class]],meta_Columns[[#This Row],[Property Owning Class Name]]&amp;" - ","")</f>
        <v/>
      </c>
      <c r="AR3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Formula for Display</v>
      </c>
      <c r="AT398" s="8" t="str">
        <f>IFERROR(LEFT(meta_Columns[[#This Row],[Excel Column - Label Actual without Semantic Case]],FIND("-",
meta_Columns[[#This Row],[Excel Column - Label Actual without Semantic Case]])-2),"")</f>
        <v>Reference</v>
      </c>
      <c r="AU3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Excel Formula for Display</v>
      </c>
      <c r="AV3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Excel Formula for Display</v>
      </c>
      <c r="AX398" s="22"/>
      <c r="AY398" s="8" t="str">
        <f>meta_Columns[[#This Row],[Owning Table]]&amp;"."&amp;meta_Columns[[#This Row],[Excel Column - Label]]</f>
        <v>meta::TypedModelElements.Reference - Excel Formula for Display</v>
      </c>
      <c r="AZ398" s="43" t="s">
        <v>411</v>
      </c>
      <c r="BA398" s="44" t="str">
        <f>IF(TRIM(meta_Columns[[#This Row],[Excel Column - Label Overwrite]])&lt;&gt;"",meta_Columns[[#This Row],[Excel Column - Label Overwrite]],meta_Columns[[#This Row],[Excel Column - Label from Property or Referenced Table]])</f>
        <v>Reference - Excel Formula for Display</v>
      </c>
      <c r="BB398" s="43" t="s">
        <v>954</v>
      </c>
      <c r="BC398" s="44" t="str">
        <f>IF(meta_Columns[[#This Row],[Excel Column - Explicit Excel Formula]]="","",meta_Columns[[#This Row],[Excel Column - Explicit Excel Formula]])</f>
        <v>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v>
      </c>
      <c r="BD398" s="5"/>
      <c r="BE398" s="5"/>
    </row>
    <row r="399" spans="1:57">
      <c r="A399" s="10" t="s">
        <v>1330</v>
      </c>
      <c r="B399" s="5" t="s">
        <v>546</v>
      </c>
      <c r="C399" s="22" t="str">
        <f xml:space="preserve"> IF( TRIM( meta_Columns[[#This Row],[Kind:src]] ) = "", "",
        INDEX( meta_Classifiers[Display Qualified], MATCH( meta_Columns[[#This Row],[Kind:src]], meta_Classifiers[ID], 0 ) ) )</f>
        <v>ExcelColumn</v>
      </c>
      <c r="D399" s="44" t="str">
        <f>IF(meta_Columns[[#This Row],[Owning Table:src]]="","",INDEX(meta_Classifiers[Package],MATCH(meta_Columns[[#This Row],[Owning Table Instances Class]],meta_Classifiers[ID],0)))</f>
        <v>meta</v>
      </c>
      <c r="E399" s="43"/>
      <c r="F399" s="44" t="str">
        <f>INDEX(meta_Tables[Excel Table - Excel Name],MATCH(meta_Columns[[#This Row],[Owning Table:src]],meta_Tables[ID],0))</f>
        <v>meta_TypedModelElements</v>
      </c>
      <c r="G399" s="44" t="str">
        <f>INDEX(meta_Tables[Instances Class:src],MATCH(meta_Columns[[#This Row],[Owning Table:src]],meta_Tables[ID],0))</f>
        <v>_TypedModelElement</v>
      </c>
      <c r="H399" s="11" t="s">
        <v>1011</v>
      </c>
      <c r="I399" s="43" t="str">
        <f xml:space="preserve"> IF( TRIM( meta_Columns[[#This Row],[Owning Table:src]] ) = "", "",
        INDEX( meta_Tables[Display Qualified], MATCH( meta_Columns[[#This Row],[Owning Table:src]], meta_Tables[ID], 0 ) ) )</f>
        <v>meta::TypedModelElements</v>
      </c>
      <c r="K399" s="22" t="str">
        <f>IF(TRIM(meta_Columns[[#This Row],[Referenced Table:src]])="","",
    INDEX(meta_Tables[Display Qualified],MATCH(meta_Columns[[#This Row],[Referenced Table:src]],meta_Tables[ID],0)))</f>
        <v/>
      </c>
      <c r="L399" s="8"/>
      <c r="M399" s="22"/>
      <c r="N399" s="8" t="str">
        <f>IF(meta_Columns[[#This Row],[Excel Column - Excel Formula]]="","x","")</f>
        <v/>
      </c>
      <c r="O399" s="22"/>
      <c r="P399" s="8" t="str">
        <f>IF(meta_Columns[[#This Row],[Referenced Table:src]]="","",INDEX(meta_Tables[Instances Class],MATCH(meta_Columns[[#This Row],[Referenced Table:src]],meta_Tables[ID],0)))</f>
        <v/>
      </c>
      <c r="Q3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meta::Reference.vBA_ForIdChangeInSupertype</v>
      </c>
      <c r="R399" s="8"/>
      <c r="S399" s="22" t="str">
        <f xml:space="preserve"> IF( TRIM( meta_Columns[[#This Row],[Property:src]] ) = "", "",
        INDEX( meta_TypedModelElements[Display Qualified], MATCH( meta_Columns[[#This Row],[Property:src]], meta_TypedModelElements[ID], 0 ) ) )</f>
        <v/>
      </c>
      <c r="T399" s="22"/>
      <c r="U399" s="8" t="e">
        <f>INDEX(meta_Classifiers[Class - Generalization:src], MATCH(meta_Columns[[#This Row],[Generalization 5]],meta_Classifiers[ID],0))</f>
        <v>#N/A</v>
      </c>
      <c r="V399" s="8" t="e">
        <f>INDEX(meta_Classifiers[Class - Generalization:src], MATCH(meta_Columns[[#This Row],[Generalization 4]],meta_Classifiers[ID],0))</f>
        <v>#N/A</v>
      </c>
      <c r="W399" s="8" t="e">
        <f>INDEX(meta_Classifiers[Class - Generalization:src], MATCH(meta_Columns[[#This Row],[Generalization 3]],meta_Classifiers[ID],0))</f>
        <v>#N/A</v>
      </c>
      <c r="X399" s="8" t="str">
        <f>INDEX(meta_Classifiers[Class - Generalization:src], MATCH(meta_Columns[[#This Row],[Generalization 2]],meta_Classifiers[ID],0))</f>
        <v/>
      </c>
      <c r="Y399" s="8" t="str">
        <f>INDEX(meta_Classifiers[Class - Generalization:src], MATCH(meta_Columns[[#This Row],[Generalization 1]],meta_Classifiers[ID],0))</f>
        <v>_Object</v>
      </c>
      <c r="Z399" s="8" t="str">
        <f>INDEX(meta_Classifiers[Class - Generalization:src], MATCH(meta_Columns[[#This Row],[Owning Table Instances Class]],meta_Classifiers[ID],0))</f>
        <v>_NamedElement</v>
      </c>
      <c r="AA3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9" s="8" t="b">
        <f>_xlfn.IFNA(
INDEX(meta_Classifiers[Class - Generalization:src],MATCH(
INDEX(meta_Classifiers[Class - Generalization:src],MATCH(meta_Columns[[#This Row],[Property Owning Class]],meta_Classifiers[ID],0)),meta_Classifiers[ID],0))
=meta_Columns[[#This Row],[Owning Table Instances Class]],FALSE)</f>
        <v>0</v>
      </c>
      <c r="AG399" s="8" t="b">
        <f>_xlfn.IFNA(INDEX(meta_Classifiers[Class - Generalization:src],MATCH(meta_Columns[[#This Row],[Property Owning Class]],meta_Classifiers[ID],0))=meta_Columns[[#This Row],[Owning Table Instances Class]],FALSE)</f>
        <v>0</v>
      </c>
      <c r="AH3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9" s="8" t="e">
        <f>INDEX(meta_Classifiers[Name],MATCH(INDEX(meta_TypedModelElements[Property - Owning Class:src],MATCH(meta_Columns[[#This Row],[Property]],meta_TypedModelElements[ID],0)),meta_Classifiers[ID],0))</f>
        <v>#N/A</v>
      </c>
      <c r="AJ399" s="8" t="e">
        <f>INDEX(meta_TypedModelElements[Property - Owning Class:src],MATCH(meta_Columns[[#This Row],[Property]],meta_TypedModelElements[ID],0))</f>
        <v>#N/A</v>
      </c>
      <c r="AK399" s="8" t="e">
        <f>INDEX(meta_TypedModelElements[Kind:src],MATCH(meta_Columns[[#This Row],[Property]],meta_TypedModelElements[ID],0))</f>
        <v>#N/A</v>
      </c>
      <c r="AL399" s="8" t="e">
        <f>INDEX(meta_TypedModelElements[Name or Type],MATCH(meta_Columns[[#This Row],[Property]],meta_TypedModelElements[ID],0))</f>
        <v>#N/A</v>
      </c>
      <c r="AM399" s="8" t="e">
        <f>INDEX(meta_TypedModelElements[Property - Changeable],MATCH(meta_Columns[[#This Row],[Property]],meta_TypedModelElements[ID],0))</f>
        <v>#N/A</v>
      </c>
      <c r="AN399" s="43">
        <v>52</v>
      </c>
      <c r="AO399" s="22"/>
      <c r="AP3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9" s="8" t="str">
        <f xml:space="preserve"> IF(meta_Columns[[#This Row],[Property Owning Class is Specialization of Instance Class]],meta_Columns[[#This Row],[Property Owning Class Name]]&amp;" - ","")</f>
        <v/>
      </c>
      <c r="AR3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Supertype</v>
      </c>
      <c r="AT399" s="8" t="str">
        <f>IFERROR(LEFT(meta_Columns[[#This Row],[Excel Column - Label Actual without Semantic Case]],FIND("-",
meta_Columns[[#This Row],[Excel Column - Label Actual without Semantic Case]])-2),"")</f>
        <v>Reference</v>
      </c>
      <c r="AU3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VBA for Id Change in Supertype</v>
      </c>
      <c r="AV3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VBA for Id Change in Supertype</v>
      </c>
      <c r="AX399" s="22"/>
      <c r="AY399" s="8" t="str">
        <f>meta_Columns[[#This Row],[Owning Table]]&amp;"."&amp;meta_Columns[[#This Row],[Excel Column - Label]]</f>
        <v>meta::TypedModelElements.Reference - VBA for Id Change in Supertype</v>
      </c>
      <c r="AZ399" s="43" t="s">
        <v>435</v>
      </c>
      <c r="BA399" s="44" t="str">
        <f>IF(TRIM(meta_Columns[[#This Row],[Excel Column - Label Overwrite]])&lt;&gt;"",meta_Columns[[#This Row],[Excel Column - Label Overwrite]],meta_Columns[[#This Row],[Excel Column - Label from Property or Referenced Table]])</f>
        <v>Reference - VBA for Id Change in Supertype</v>
      </c>
      <c r="BB399" s="43" t="s">
        <v>955</v>
      </c>
      <c r="BC399" s="44" t="str">
        <f>IF(meta_Columns[[#This Row],[Excel Column - Explicit Excel Formula]]="","",meta_Columns[[#This Row],[Excel Column - Explicit Excel Formula]])</f>
        <v>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399" s="5"/>
      <c r="BE399" s="5"/>
    </row>
    <row r="400" spans="1:57">
      <c r="A400" s="10" t="s">
        <v>1331</v>
      </c>
      <c r="B400" s="5" t="s">
        <v>546</v>
      </c>
      <c r="C400" s="22" t="str">
        <f xml:space="preserve"> IF( TRIM( meta_Columns[[#This Row],[Kind:src]] ) = "", "",
        INDEX( meta_Classifiers[Display Qualified], MATCH( meta_Columns[[#This Row],[Kind:src]], meta_Classifiers[ID], 0 ) ) )</f>
        <v>ExcelColumn</v>
      </c>
      <c r="D400" s="44" t="str">
        <f>IF(meta_Columns[[#This Row],[Owning Table:src]]="","",INDEX(meta_Classifiers[Package],MATCH(meta_Columns[[#This Row],[Owning Table Instances Class]],meta_Classifiers[ID],0)))</f>
        <v>meta</v>
      </c>
      <c r="E400" s="43"/>
      <c r="F400" s="44" t="str">
        <f>INDEX(meta_Tables[Excel Table - Excel Name],MATCH(meta_Columns[[#This Row],[Owning Table:src]],meta_Tables[ID],0))</f>
        <v>meta_TypedModelElements</v>
      </c>
      <c r="G400" s="44" t="str">
        <f>INDEX(meta_Tables[Instances Class:src],MATCH(meta_Columns[[#This Row],[Owning Table:src]],meta_Tables[ID],0))</f>
        <v>_TypedModelElement</v>
      </c>
      <c r="H400" s="11" t="s">
        <v>1011</v>
      </c>
      <c r="I400" s="43" t="str">
        <f xml:space="preserve"> IF( TRIM( meta_Columns[[#This Row],[Owning Table:src]] ) = "", "",
        INDEX( meta_Tables[Display Qualified], MATCH( meta_Columns[[#This Row],[Owning Table:src]], meta_Tables[ID], 0 ) ) )</f>
        <v>meta::TypedModelElements</v>
      </c>
      <c r="K400" s="22" t="str">
        <f>IF(TRIM(meta_Columns[[#This Row],[Referenced Table:src]])="","",
    INDEX(meta_Tables[Display Qualified],MATCH(meta_Columns[[#This Row],[Referenced Table:src]],meta_Tables[ID],0)))</f>
        <v/>
      </c>
      <c r="L400" s="8"/>
      <c r="M400" s="22"/>
      <c r="N400" s="8" t="str">
        <f>IF(meta_Columns[[#This Row],[Excel Column - Excel Formula]]="","x","")</f>
        <v/>
      </c>
      <c r="O400" s="22"/>
      <c r="P400" s="8" t="str">
        <f>IF(meta_Columns[[#This Row],[Referenced Table:src]]="","",INDEX(meta_Tables[Instances Class],MATCH(meta_Columns[[#This Row],[Referenced Table:src]],meta_Tables[ID],0)))</f>
        <v/>
      </c>
      <c r="Q4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400" s="8"/>
      <c r="S400" s="22" t="str">
        <f xml:space="preserve"> IF( TRIM( meta_Columns[[#This Row],[Property:src]] ) = "", "",
        INDEX( meta_TypedModelElements[Display Qualified], MATCH( meta_Columns[[#This Row],[Property:src]], meta_TypedModelElements[ID], 0 ) ) )</f>
        <v/>
      </c>
      <c r="T400" s="22"/>
      <c r="U400" s="8" t="e">
        <f>INDEX(meta_Classifiers[Class - Generalization:src], MATCH(meta_Columns[[#This Row],[Generalization 5]],meta_Classifiers[ID],0))</f>
        <v>#N/A</v>
      </c>
      <c r="V400" s="8" t="e">
        <f>INDEX(meta_Classifiers[Class - Generalization:src], MATCH(meta_Columns[[#This Row],[Generalization 4]],meta_Classifiers[ID],0))</f>
        <v>#N/A</v>
      </c>
      <c r="W400" s="8" t="e">
        <f>INDEX(meta_Classifiers[Class - Generalization:src], MATCH(meta_Columns[[#This Row],[Generalization 3]],meta_Classifiers[ID],0))</f>
        <v>#N/A</v>
      </c>
      <c r="X400" s="8" t="str">
        <f>INDEX(meta_Classifiers[Class - Generalization:src], MATCH(meta_Columns[[#This Row],[Generalization 2]],meta_Classifiers[ID],0))</f>
        <v/>
      </c>
      <c r="Y400" s="8" t="str">
        <f>INDEX(meta_Classifiers[Class - Generalization:src], MATCH(meta_Columns[[#This Row],[Generalization 1]],meta_Classifiers[ID],0))</f>
        <v>_Object</v>
      </c>
      <c r="Z400" s="8" t="str">
        <f>INDEX(meta_Classifiers[Class - Generalization:src], MATCH(meta_Columns[[#This Row],[Owning Table Instances Class]],meta_Classifiers[ID],0))</f>
        <v>_NamedElement</v>
      </c>
      <c r="AA4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0" s="8" t="b">
        <f>_xlfn.IFNA(
INDEX(meta_Classifiers[Class - Generalization:src],MATCH(
INDEX(meta_Classifiers[Class - Generalization:src],MATCH(meta_Columns[[#This Row],[Property Owning Class]],meta_Classifiers[ID],0)),meta_Classifiers[ID],0))
=meta_Columns[[#This Row],[Owning Table Instances Class]],FALSE)</f>
        <v>0</v>
      </c>
      <c r="AG400" s="8" t="b">
        <f>_xlfn.IFNA(INDEX(meta_Classifiers[Class - Generalization:src],MATCH(meta_Columns[[#This Row],[Property Owning Class]],meta_Classifiers[ID],0))=meta_Columns[[#This Row],[Owning Table Instances Class]],FALSE)</f>
        <v>0</v>
      </c>
      <c r="AH4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0" s="8" t="e">
        <f>INDEX(meta_Classifiers[Name],MATCH(INDEX(meta_TypedModelElements[Property - Owning Class:src],MATCH(meta_Columns[[#This Row],[Property]],meta_TypedModelElements[ID],0)),meta_Classifiers[ID],0))</f>
        <v>#N/A</v>
      </c>
      <c r="AJ400" s="8" t="e">
        <f>INDEX(meta_TypedModelElements[Property - Owning Class:src],MATCH(meta_Columns[[#This Row],[Property]],meta_TypedModelElements[ID],0))</f>
        <v>#N/A</v>
      </c>
      <c r="AK400" s="8" t="e">
        <f>INDEX(meta_TypedModelElements[Kind:src],MATCH(meta_Columns[[#This Row],[Property]],meta_TypedModelElements[ID],0))</f>
        <v>#N/A</v>
      </c>
      <c r="AL400" s="8" t="e">
        <f>INDEX(meta_TypedModelElements[Name or Type],MATCH(meta_Columns[[#This Row],[Property]],meta_TypedModelElements[ID],0))</f>
        <v>#N/A</v>
      </c>
      <c r="AM400" s="8" t="e">
        <f>INDEX(meta_TypedModelElements[Property - Changeable],MATCH(meta_Columns[[#This Row],[Property]],meta_TypedModelElements[ID],0))</f>
        <v>#N/A</v>
      </c>
      <c r="AN400" s="43">
        <v>53</v>
      </c>
      <c r="AO400" s="22"/>
      <c r="AP4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0" s="8" t="str">
        <f xml:space="preserve"> IF(meta_Columns[[#This Row],[Property Owning Class is Specialization of Instance Class]],meta_Columns[[#This Row],[Property Owning Class Name]]&amp;" - ","")</f>
        <v/>
      </c>
      <c r="AR4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Subtype</v>
      </c>
      <c r="AT400" s="8" t="str">
        <f>IFERROR(LEFT(meta_Columns[[#This Row],[Excel Column - Label Actual without Semantic Case]],FIND("-",
meta_Columns[[#This Row],[Excel Column - Label Actual without Semantic Case]])-2),"")</f>
        <v>Referencce</v>
      </c>
      <c r="AU4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Referencce - VBA for Id Change in Subtype</v>
      </c>
      <c r="AV4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Referencce - VBA for Id Change in Subtype</v>
      </c>
      <c r="AX400" s="22"/>
      <c r="AY400" s="8" t="str">
        <f>meta_Columns[[#This Row],[Owning Table]]&amp;"."&amp;meta_Columns[[#This Row],[Excel Column - Label]]</f>
        <v>meta::TypedModelElements.Referencce - VBA for Id Change in Subtype</v>
      </c>
      <c r="AZ400" s="43" t="s">
        <v>434</v>
      </c>
      <c r="BA400" s="44" t="str">
        <f>IF(TRIM(meta_Columns[[#This Row],[Excel Column - Label Overwrite]])&lt;&gt;"",meta_Columns[[#This Row],[Excel Column - Label Overwrite]],meta_Columns[[#This Row],[Excel Column - Label from Property or Referenced Table]])</f>
        <v>Referencce - VBA for Id Change in Subtype</v>
      </c>
      <c r="BB400" s="43" t="s">
        <v>956</v>
      </c>
      <c r="BC400" s="44" t="str">
        <f>IF(meta_Columns[[#This Row],[Excel Column - Explicit Excel Formula]]="","",meta_Columns[[#This Row],[Excel Column - Explicit Excel Formula]])</f>
        <v>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400" s="5"/>
      <c r="BE400" s="5"/>
    </row>
    <row r="401" spans="1:57">
      <c r="A401" s="10" t="s">
        <v>1332</v>
      </c>
      <c r="B401" s="5" t="s">
        <v>546</v>
      </c>
      <c r="C401" s="22" t="str">
        <f xml:space="preserve"> IF( TRIM( meta_Columns[[#This Row],[Kind:src]] ) = "", "",
        INDEX( meta_Classifiers[Display Qualified], MATCH( meta_Columns[[#This Row],[Kind:src]], meta_Classifiers[ID], 0 ) ) )</f>
        <v>ExcelColumn</v>
      </c>
      <c r="D401" s="44" t="str">
        <f>IF(meta_Columns[[#This Row],[Owning Table:src]]="","",INDEX(meta_Classifiers[Package],MATCH(meta_Columns[[#This Row],[Owning Table Instances Class]],meta_Classifiers[ID],0)))</f>
        <v>meta</v>
      </c>
      <c r="E401" s="43"/>
      <c r="F401" s="44" t="str">
        <f>INDEX(meta_Tables[Excel Table - Excel Name],MATCH(meta_Columns[[#This Row],[Owning Table:src]],meta_Tables[ID],0))</f>
        <v>meta_TypedModelElements</v>
      </c>
      <c r="G401" s="44" t="str">
        <f>INDEX(meta_Tables[Instances Class:src],MATCH(meta_Columns[[#This Row],[Owning Table:src]],meta_Tables[ID],0))</f>
        <v>_TypedModelElement</v>
      </c>
      <c r="H401" s="11" t="s">
        <v>1011</v>
      </c>
      <c r="I401" s="43" t="str">
        <f xml:space="preserve"> IF( TRIM( meta_Columns[[#This Row],[Owning Table:src]] ) = "", "",
        INDEX( meta_Tables[Display Qualified], MATCH( meta_Columns[[#This Row],[Owning Table:src]], meta_Tables[ID], 0 ) ) )</f>
        <v>meta::TypedModelElements</v>
      </c>
      <c r="K401" s="22" t="str">
        <f>IF(TRIM(meta_Columns[[#This Row],[Referenced Table:src]])="","",
    INDEX(meta_Tables[Display Qualified],MATCH(meta_Columns[[#This Row],[Referenced Table:src]],meta_Tables[ID],0)))</f>
        <v/>
      </c>
      <c r="L401" s="8"/>
      <c r="M401" s="22"/>
      <c r="N401" s="8" t="str">
        <f>IF(meta_Columns[[#This Row],[Excel Column - Excel Formula]]="","x","")</f>
        <v>x</v>
      </c>
      <c r="O401" s="22"/>
      <c r="P401" s="8" t="str">
        <f>IF(meta_Columns[[#This Row],[Referenced Table:src]]="","",INDEX(meta_Tables[Instances Class],MATCH(meta_Columns[[#This Row],[Referenced Table:src]],meta_Tables[ID],0)))</f>
        <v/>
      </c>
      <c r="Q4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meta::Reference.code</v>
      </c>
      <c r="R401" s="8"/>
      <c r="S401" s="22" t="str">
        <f xml:space="preserve"> IF( TRIM( meta_Columns[[#This Row],[Property:src]] ) = "", "",
        INDEX( meta_TypedModelElements[Display Qualified], MATCH( meta_Columns[[#This Row],[Property:src]], meta_TypedModelElements[ID], 0 ) ) )</f>
        <v/>
      </c>
      <c r="T401" s="22"/>
      <c r="U401" s="8" t="e">
        <f>INDEX(meta_Classifiers[Class - Generalization:src], MATCH(meta_Columns[[#This Row],[Generalization 5]],meta_Classifiers[ID],0))</f>
        <v>#N/A</v>
      </c>
      <c r="V401" s="8" t="e">
        <f>INDEX(meta_Classifiers[Class - Generalization:src], MATCH(meta_Columns[[#This Row],[Generalization 4]],meta_Classifiers[ID],0))</f>
        <v>#N/A</v>
      </c>
      <c r="W401" s="8" t="e">
        <f>INDEX(meta_Classifiers[Class - Generalization:src], MATCH(meta_Columns[[#This Row],[Generalization 3]],meta_Classifiers[ID],0))</f>
        <v>#N/A</v>
      </c>
      <c r="X401" s="8" t="str">
        <f>INDEX(meta_Classifiers[Class - Generalization:src], MATCH(meta_Columns[[#This Row],[Generalization 2]],meta_Classifiers[ID],0))</f>
        <v/>
      </c>
      <c r="Y401" s="8" t="str">
        <f>INDEX(meta_Classifiers[Class - Generalization:src], MATCH(meta_Columns[[#This Row],[Generalization 1]],meta_Classifiers[ID],0))</f>
        <v>_Object</v>
      </c>
      <c r="Z401" s="8" t="str">
        <f>INDEX(meta_Classifiers[Class - Generalization:src], MATCH(meta_Columns[[#This Row],[Owning Table Instances Class]],meta_Classifiers[ID],0))</f>
        <v>_NamedElement</v>
      </c>
      <c r="AA4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1" s="8" t="b">
        <f>_xlfn.IFNA(
INDEX(meta_Classifiers[Class - Generalization:src],MATCH(
INDEX(meta_Classifiers[Class - Generalization:src],MATCH(meta_Columns[[#This Row],[Property Owning Class]],meta_Classifiers[ID],0)),meta_Classifiers[ID],0))
=meta_Columns[[#This Row],[Owning Table Instances Class]],FALSE)</f>
        <v>0</v>
      </c>
      <c r="AG401" s="8" t="b">
        <f>_xlfn.IFNA(INDEX(meta_Classifiers[Class - Generalization:src],MATCH(meta_Columns[[#This Row],[Property Owning Class]],meta_Classifiers[ID],0))=meta_Columns[[#This Row],[Owning Table Instances Class]],FALSE)</f>
        <v>0</v>
      </c>
      <c r="AH4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1" s="8" t="e">
        <f>INDEX(meta_Classifiers[Name],MATCH(INDEX(meta_TypedModelElements[Property - Owning Class:src],MATCH(meta_Columns[[#This Row],[Property]],meta_TypedModelElements[ID],0)),meta_Classifiers[ID],0))</f>
        <v>#N/A</v>
      </c>
      <c r="AJ401" s="8" t="e">
        <f>INDEX(meta_TypedModelElements[Property - Owning Class:src],MATCH(meta_Columns[[#This Row],[Property]],meta_TypedModelElements[ID],0))</f>
        <v>#N/A</v>
      </c>
      <c r="AK401" s="8" t="e">
        <f>INDEX(meta_TypedModelElements[Kind:src],MATCH(meta_Columns[[#This Row],[Property]],meta_TypedModelElements[ID],0))</f>
        <v>#N/A</v>
      </c>
      <c r="AL401" s="8" t="e">
        <f>INDEX(meta_TypedModelElements[Name or Type],MATCH(meta_Columns[[#This Row],[Property]],meta_TypedModelElements[ID],0))</f>
        <v>#N/A</v>
      </c>
      <c r="AM401" s="8" t="e">
        <f>INDEX(meta_TypedModelElements[Property - Changeable],MATCH(meta_Columns[[#This Row],[Property]],meta_TypedModelElements[ID],0))</f>
        <v>#N/A</v>
      </c>
      <c r="AN401" s="43">
        <v>54</v>
      </c>
      <c r="AO401" s="22">
        <v>28</v>
      </c>
      <c r="AP4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1" s="8" t="str">
        <f xml:space="preserve"> IF(meta_Columns[[#This Row],[Property Owning Class is Specialization of Instance Class]],meta_Columns[[#This Row],[Property Owning Class Name]]&amp;" - ","")</f>
        <v/>
      </c>
      <c r="AR4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Code</v>
      </c>
      <c r="AT401" s="8" t="str">
        <f>IFERROR(LEFT(meta_Columns[[#This Row],[Excel Column - Label Actual without Semantic Case]],FIND("-",
meta_Columns[[#This Row],[Excel Column - Label Actual without Semantic Case]])-2),"")</f>
        <v>Reference</v>
      </c>
      <c r="AU4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Code</v>
      </c>
      <c r="AV4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Code</v>
      </c>
      <c r="AX401" s="22"/>
      <c r="AY401" s="8" t="str">
        <f>meta_Columns[[#This Row],[Owning Table]]&amp;"."&amp;meta_Columns[[#This Row],[Excel Column - Label]]</f>
        <v>meta::TypedModelElements.Reference - Code</v>
      </c>
      <c r="AZ401" s="43" t="s">
        <v>437</v>
      </c>
      <c r="BA401" s="44" t="str">
        <f>IF(TRIM(meta_Columns[[#This Row],[Excel Column - Label Overwrite]])&lt;&gt;"",meta_Columns[[#This Row],[Excel Column - Label Overwrite]],meta_Columns[[#This Row],[Excel Column - Label from Property or Referenced Table]])</f>
        <v>Reference - Code</v>
      </c>
      <c r="BB401" s="43"/>
      <c r="BC401" s="44" t="str">
        <f>IF(meta_Columns[[#This Row],[Excel Column - Explicit Excel Formula]]="","",meta_Columns[[#This Row],[Excel Column - Explicit Excel Formula]])</f>
        <v/>
      </c>
      <c r="BD401" s="5"/>
      <c r="BE401" s="5"/>
    </row>
    <row r="402" spans="1:57">
      <c r="A402" s="10" t="s">
        <v>1333</v>
      </c>
      <c r="B402" s="5" t="s">
        <v>546</v>
      </c>
      <c r="C402" s="22" t="str">
        <f xml:space="preserve"> IF( TRIM( meta_Columns[[#This Row],[Kind:src]] ) = "", "",
        INDEX( meta_Classifiers[Display Qualified], MATCH( meta_Columns[[#This Row],[Kind:src]], meta_Classifiers[ID], 0 ) ) )</f>
        <v>ExcelColumn</v>
      </c>
      <c r="D402" s="44" t="str">
        <f>IF(meta_Columns[[#This Row],[Owning Table:src]]="","",INDEX(meta_Classifiers[Package],MATCH(meta_Columns[[#This Row],[Owning Table Instances Class]],meta_Classifiers[ID],0)))</f>
        <v>meta</v>
      </c>
      <c r="E402" s="43"/>
      <c r="F402" s="44" t="str">
        <f>INDEX(meta_Tables[Excel Table - Excel Name],MATCH(meta_Columns[[#This Row],[Owning Table:src]],meta_Tables[ID],0))</f>
        <v>meta_TypedModelElements</v>
      </c>
      <c r="G402" s="44" t="str">
        <f>INDEX(meta_Tables[Instances Class:src],MATCH(meta_Columns[[#This Row],[Owning Table:src]],meta_Tables[ID],0))</f>
        <v>_TypedModelElement</v>
      </c>
      <c r="H402" s="11" t="s">
        <v>1011</v>
      </c>
      <c r="I402" s="43" t="str">
        <f xml:space="preserve"> IF( TRIM( meta_Columns[[#This Row],[Owning Table:src]] ) = "", "",
        INDEX( meta_Tables[Display Qualified], MATCH( meta_Columns[[#This Row],[Owning Table:src]], meta_Tables[ID], 0 ) ) )</f>
        <v>meta::TypedModelElements</v>
      </c>
      <c r="K402" s="22" t="str">
        <f>IF(TRIM(meta_Columns[[#This Row],[Referenced Table:src]])="","",
    INDEX(meta_Tables[Display Qualified],MATCH(meta_Columns[[#This Row],[Referenced Table:src]],meta_Tables[ID],0)))</f>
        <v/>
      </c>
      <c r="L402" s="8"/>
      <c r="M402" s="22"/>
      <c r="N402" s="8" t="str">
        <f>IF(meta_Columns[[#This Row],[Excel Column - Excel Formula]]="","x","")</f>
        <v/>
      </c>
      <c r="O402" s="22"/>
      <c r="P402" s="8" t="str">
        <f>IF(meta_Columns[[#This Row],[Referenced Table:src]]="","",INDEX(meta_Tables[Instances Class],MATCH(meta_Columns[[#This Row],[Referenced Table:src]],meta_Tables[ID],0)))</f>
        <v/>
      </c>
      <c r="Q4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meta::Feature.vBA_Type</v>
      </c>
      <c r="R402" s="8"/>
      <c r="S402" s="22" t="str">
        <f xml:space="preserve"> IF( TRIM( meta_Columns[[#This Row],[Property:src]] ) = "", "",
        INDEX( meta_TypedModelElements[Display Qualified], MATCH( meta_Columns[[#This Row],[Property:src]], meta_TypedModelElements[ID], 0 ) ) )</f>
        <v/>
      </c>
      <c r="T402" s="22"/>
      <c r="U402" s="8" t="e">
        <f>INDEX(meta_Classifiers[Class - Generalization:src], MATCH(meta_Columns[[#This Row],[Generalization 5]],meta_Classifiers[ID],0))</f>
        <v>#N/A</v>
      </c>
      <c r="V402" s="8" t="e">
        <f>INDEX(meta_Classifiers[Class - Generalization:src], MATCH(meta_Columns[[#This Row],[Generalization 4]],meta_Classifiers[ID],0))</f>
        <v>#N/A</v>
      </c>
      <c r="W402" s="8" t="e">
        <f>INDEX(meta_Classifiers[Class - Generalization:src], MATCH(meta_Columns[[#This Row],[Generalization 3]],meta_Classifiers[ID],0))</f>
        <v>#N/A</v>
      </c>
      <c r="X402" s="8" t="str">
        <f>INDEX(meta_Classifiers[Class - Generalization:src], MATCH(meta_Columns[[#This Row],[Generalization 2]],meta_Classifiers[ID],0))</f>
        <v/>
      </c>
      <c r="Y402" s="8" t="str">
        <f>INDEX(meta_Classifiers[Class - Generalization:src], MATCH(meta_Columns[[#This Row],[Generalization 1]],meta_Classifiers[ID],0))</f>
        <v>_Object</v>
      </c>
      <c r="Z402" s="8" t="str">
        <f>INDEX(meta_Classifiers[Class - Generalization:src], MATCH(meta_Columns[[#This Row],[Owning Table Instances Class]],meta_Classifiers[ID],0))</f>
        <v>_NamedElement</v>
      </c>
      <c r="AA4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2" s="8" t="b">
        <f>_xlfn.IFNA(
INDEX(meta_Classifiers[Class - Generalization:src],MATCH(
INDEX(meta_Classifiers[Class - Generalization:src],MATCH(meta_Columns[[#This Row],[Property Owning Class]],meta_Classifiers[ID],0)),meta_Classifiers[ID],0))
=meta_Columns[[#This Row],[Owning Table Instances Class]],FALSE)</f>
        <v>0</v>
      </c>
      <c r="AG402" s="8" t="b">
        <f>_xlfn.IFNA(INDEX(meta_Classifiers[Class - Generalization:src],MATCH(meta_Columns[[#This Row],[Property Owning Class]],meta_Classifiers[ID],0))=meta_Columns[[#This Row],[Owning Table Instances Class]],FALSE)</f>
        <v>0</v>
      </c>
      <c r="AH4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2" s="8" t="e">
        <f>INDEX(meta_Classifiers[Name],MATCH(INDEX(meta_TypedModelElements[Property - Owning Class:src],MATCH(meta_Columns[[#This Row],[Property]],meta_TypedModelElements[ID],0)),meta_Classifiers[ID],0))</f>
        <v>#N/A</v>
      </c>
      <c r="AJ402" s="8" t="e">
        <f>INDEX(meta_TypedModelElements[Property - Owning Class:src],MATCH(meta_Columns[[#This Row],[Property]],meta_TypedModelElements[ID],0))</f>
        <v>#N/A</v>
      </c>
      <c r="AK402" s="8" t="e">
        <f>INDEX(meta_TypedModelElements[Kind:src],MATCH(meta_Columns[[#This Row],[Property]],meta_TypedModelElements[ID],0))</f>
        <v>#N/A</v>
      </c>
      <c r="AL402" s="8" t="e">
        <f>INDEX(meta_TypedModelElements[Name or Type],MATCH(meta_Columns[[#This Row],[Property]],meta_TypedModelElements[ID],0))</f>
        <v>#N/A</v>
      </c>
      <c r="AM402" s="8" t="e">
        <f>INDEX(meta_TypedModelElements[Property - Changeable],MATCH(meta_Columns[[#This Row],[Property]],meta_TypedModelElements[ID],0))</f>
        <v>#N/A</v>
      </c>
      <c r="AN402" s="43">
        <v>55</v>
      </c>
      <c r="AO402" s="22"/>
      <c r="AP4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2" s="8" t="str">
        <f xml:space="preserve"> IF(meta_Columns[[#This Row],[Property Owning Class is Specialization of Instance Class]],meta_Columns[[#This Row],[Property Owning Class Name]]&amp;" - ","")</f>
        <v/>
      </c>
      <c r="AR4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Type</v>
      </c>
      <c r="AT402" s="8" t="str">
        <f>IFERROR(LEFT(meta_Columns[[#This Row],[Excel Column - Label Actual without Semantic Case]],FIND("-",
meta_Columns[[#This Row],[Excel Column - Label Actual without Semantic Case]])-2),"")</f>
        <v>Feature</v>
      </c>
      <c r="AU4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Type</v>
      </c>
      <c r="AV4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Type</v>
      </c>
      <c r="AX402" s="22"/>
      <c r="AY402" s="8" t="str">
        <f>meta_Columns[[#This Row],[Owning Table]]&amp;"."&amp;meta_Columns[[#This Row],[Excel Column - Label]]</f>
        <v>meta::TypedModelElements.Feature - VBA Type</v>
      </c>
      <c r="AZ402" s="43" t="s">
        <v>440</v>
      </c>
      <c r="BA402" s="44" t="str">
        <f>IF(TRIM(meta_Columns[[#This Row],[Excel Column - Label Overwrite]])&lt;&gt;"",meta_Columns[[#This Row],[Excel Column - Label Overwrite]],meta_Columns[[#This Row],[Excel Column - Label from Property or Referenced Table]])</f>
        <v>Feature - VBA Type</v>
      </c>
      <c r="BB402" s="43" t="s">
        <v>957</v>
      </c>
      <c r="BC402" s="44" t="str">
        <f>IF(meta_Columns[[#This Row],[Excel Column - Explicit Excel Formula]]="","",meta_Columns[[#This Row],[Excel Column - Explicit Excel Formula]])</f>
        <v>Formula:=IF([@[Kind:srcLastSaved]]="_Parameter","",IF(AND([@Package]="util",[@[Containing Class]]=0), "public", "method"))</v>
      </c>
      <c r="BD402" s="5"/>
      <c r="BE402" s="5"/>
    </row>
    <row r="403" spans="1:57">
      <c r="A403" s="10" t="s">
        <v>1334</v>
      </c>
      <c r="B403" s="5" t="s">
        <v>546</v>
      </c>
      <c r="C403" s="22" t="str">
        <f xml:space="preserve"> IF( TRIM( meta_Columns[[#This Row],[Kind:src]] ) = "", "",
        INDEX( meta_Classifiers[Display Qualified], MATCH( meta_Columns[[#This Row],[Kind:src]], meta_Classifiers[ID], 0 ) ) )</f>
        <v>ExcelColumn</v>
      </c>
      <c r="D403" s="44" t="str">
        <f>IF(meta_Columns[[#This Row],[Owning Table:src]]="","",INDEX(meta_Classifiers[Package],MATCH(meta_Columns[[#This Row],[Owning Table Instances Class]],meta_Classifiers[ID],0)))</f>
        <v>meta</v>
      </c>
      <c r="E403" s="43"/>
      <c r="F403" s="44" t="str">
        <f>INDEX(meta_Tables[Excel Table - Excel Name],MATCH(meta_Columns[[#This Row],[Owning Table:src]],meta_Tables[ID],0))</f>
        <v>meta_TypedModelElements</v>
      </c>
      <c r="G403" s="44" t="str">
        <f>INDEX(meta_Tables[Instances Class:src],MATCH(meta_Columns[[#This Row],[Owning Table:src]],meta_Tables[ID],0))</f>
        <v>_TypedModelElement</v>
      </c>
      <c r="H403" s="11" t="s">
        <v>1011</v>
      </c>
      <c r="I403" s="43" t="str">
        <f xml:space="preserve"> IF( TRIM( meta_Columns[[#This Row],[Owning Table:src]] ) = "", "",
        INDEX( meta_Tables[Display Qualified], MATCH( meta_Columns[[#This Row],[Owning Table:src]], meta_Tables[ID], 0 ) ) )</f>
        <v>meta::TypedModelElements</v>
      </c>
      <c r="K403" s="22" t="str">
        <f>IF(TRIM(meta_Columns[[#This Row],[Referenced Table:src]])="","",
    INDEX(meta_Tables[Display Qualified],MATCH(meta_Columns[[#This Row],[Referenced Table:src]],meta_Tables[ID],0)))</f>
        <v/>
      </c>
      <c r="L403" s="8"/>
      <c r="M403" s="22"/>
      <c r="N403" s="8" t="str">
        <f>IF(meta_Columns[[#This Row],[Excel Column - Excel Formula]]="","x","")</f>
        <v>x</v>
      </c>
      <c r="O403" s="22"/>
      <c r="P403" s="8" t="str">
        <f>IF(meta_Columns[[#This Row],[Referenced Table:src]]="","",INDEX(meta_Tables[Instances Class],MATCH(meta_Columns[[#This Row],[Referenced Table:src]],meta_Tables[ID],0)))</f>
        <v/>
      </c>
      <c r="Q4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meta::Feature.manualVBA_Header</v>
      </c>
      <c r="R403" s="8"/>
      <c r="S403" s="22" t="str">
        <f xml:space="preserve"> IF( TRIM( meta_Columns[[#This Row],[Property:src]] ) = "", "",
        INDEX( meta_TypedModelElements[Display Qualified], MATCH( meta_Columns[[#This Row],[Property:src]], meta_TypedModelElements[ID], 0 ) ) )</f>
        <v/>
      </c>
      <c r="T403" s="22"/>
      <c r="U403" s="8" t="e">
        <f>INDEX(meta_Classifiers[Class - Generalization:src], MATCH(meta_Columns[[#This Row],[Generalization 5]],meta_Classifiers[ID],0))</f>
        <v>#N/A</v>
      </c>
      <c r="V403" s="8" t="e">
        <f>INDEX(meta_Classifiers[Class - Generalization:src], MATCH(meta_Columns[[#This Row],[Generalization 4]],meta_Classifiers[ID],0))</f>
        <v>#N/A</v>
      </c>
      <c r="W403" s="8" t="e">
        <f>INDEX(meta_Classifiers[Class - Generalization:src], MATCH(meta_Columns[[#This Row],[Generalization 3]],meta_Classifiers[ID],0))</f>
        <v>#N/A</v>
      </c>
      <c r="X403" s="8" t="str">
        <f>INDEX(meta_Classifiers[Class - Generalization:src], MATCH(meta_Columns[[#This Row],[Generalization 2]],meta_Classifiers[ID],0))</f>
        <v/>
      </c>
      <c r="Y403" s="8" t="str">
        <f>INDEX(meta_Classifiers[Class - Generalization:src], MATCH(meta_Columns[[#This Row],[Generalization 1]],meta_Classifiers[ID],0))</f>
        <v>_Object</v>
      </c>
      <c r="Z403" s="8" t="str">
        <f>INDEX(meta_Classifiers[Class - Generalization:src], MATCH(meta_Columns[[#This Row],[Owning Table Instances Class]],meta_Classifiers[ID],0))</f>
        <v>_NamedElement</v>
      </c>
      <c r="AA4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3" s="8" t="b">
        <f>_xlfn.IFNA(
INDEX(meta_Classifiers[Class - Generalization:src],MATCH(
INDEX(meta_Classifiers[Class - Generalization:src],MATCH(meta_Columns[[#This Row],[Property Owning Class]],meta_Classifiers[ID],0)),meta_Classifiers[ID],0))
=meta_Columns[[#This Row],[Owning Table Instances Class]],FALSE)</f>
        <v>0</v>
      </c>
      <c r="AG403" s="8" t="b">
        <f>_xlfn.IFNA(INDEX(meta_Classifiers[Class - Generalization:src],MATCH(meta_Columns[[#This Row],[Property Owning Class]],meta_Classifiers[ID],0))=meta_Columns[[#This Row],[Owning Table Instances Class]],FALSE)</f>
        <v>0</v>
      </c>
      <c r="AH4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3" s="8" t="e">
        <f>INDEX(meta_Classifiers[Name],MATCH(INDEX(meta_TypedModelElements[Property - Owning Class:src],MATCH(meta_Columns[[#This Row],[Property]],meta_TypedModelElements[ID],0)),meta_Classifiers[ID],0))</f>
        <v>#N/A</v>
      </c>
      <c r="AJ403" s="8" t="e">
        <f>INDEX(meta_TypedModelElements[Property - Owning Class:src],MATCH(meta_Columns[[#This Row],[Property]],meta_TypedModelElements[ID],0))</f>
        <v>#N/A</v>
      </c>
      <c r="AK403" s="8" t="e">
        <f>INDEX(meta_TypedModelElements[Kind:src],MATCH(meta_Columns[[#This Row],[Property]],meta_TypedModelElements[ID],0))</f>
        <v>#N/A</v>
      </c>
      <c r="AL403" s="8" t="e">
        <f>INDEX(meta_TypedModelElements[Name or Type],MATCH(meta_Columns[[#This Row],[Property]],meta_TypedModelElements[ID],0))</f>
        <v>#N/A</v>
      </c>
      <c r="AM403" s="8" t="e">
        <f>INDEX(meta_TypedModelElements[Property - Changeable],MATCH(meta_Columns[[#This Row],[Property]],meta_TypedModelElements[ID],0))</f>
        <v>#N/A</v>
      </c>
      <c r="AN403" s="43">
        <v>56</v>
      </c>
      <c r="AO403" s="22">
        <v>29</v>
      </c>
      <c r="AP4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3" s="8" t="str">
        <f xml:space="preserve"> IF(meta_Columns[[#This Row],[Property Owning Class is Specialization of Instance Class]],meta_Columns[[#This Row],[Property Owning Class Name]]&amp;" - ","")</f>
        <v/>
      </c>
      <c r="AR4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Header</v>
      </c>
      <c r="AT403" s="8" t="str">
        <f>IFERROR(LEFT(meta_Columns[[#This Row],[Excel Column - Label Actual without Semantic Case]],FIND("-",
meta_Columns[[#This Row],[Excel Column - Label Actual without Semantic Case]])-2),"")</f>
        <v>Feature</v>
      </c>
      <c r="AU4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Header</v>
      </c>
      <c r="AV4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Header</v>
      </c>
      <c r="AX403" s="22"/>
      <c r="AY403" s="8" t="str">
        <f>meta_Columns[[#This Row],[Owning Table]]&amp;"."&amp;meta_Columns[[#This Row],[Excel Column - Label]]</f>
        <v>meta::TypedModelElements.Feature - Manual VBA Header</v>
      </c>
      <c r="AZ403" s="43" t="s">
        <v>554</v>
      </c>
      <c r="BA403" s="44" t="str">
        <f>IF(TRIM(meta_Columns[[#This Row],[Excel Column - Label Overwrite]])&lt;&gt;"",meta_Columns[[#This Row],[Excel Column - Label Overwrite]],meta_Columns[[#This Row],[Excel Column - Label from Property or Referenced Table]])</f>
        <v>Feature - Manual VBA Header</v>
      </c>
      <c r="BB403" s="43"/>
      <c r="BC403" s="44" t="str">
        <f>IF(meta_Columns[[#This Row],[Excel Column - Explicit Excel Formula]]="","",meta_Columns[[#This Row],[Excel Column - Explicit Excel Formula]])</f>
        <v/>
      </c>
      <c r="BD403" s="5"/>
      <c r="BE403" s="5"/>
    </row>
    <row r="404" spans="1:57">
      <c r="A404" s="10" t="s">
        <v>1335</v>
      </c>
      <c r="B404" s="5" t="s">
        <v>546</v>
      </c>
      <c r="C404" s="22" t="str">
        <f xml:space="preserve"> IF( TRIM( meta_Columns[[#This Row],[Kind:src]] ) = "", "",
        INDEX( meta_Classifiers[Display Qualified], MATCH( meta_Columns[[#This Row],[Kind:src]], meta_Classifiers[ID], 0 ) ) )</f>
        <v>ExcelColumn</v>
      </c>
      <c r="D404" s="44" t="str">
        <f>IF(meta_Columns[[#This Row],[Owning Table:src]]="","",INDEX(meta_Classifiers[Package],MATCH(meta_Columns[[#This Row],[Owning Table Instances Class]],meta_Classifiers[ID],0)))</f>
        <v>meta</v>
      </c>
      <c r="E404" s="43"/>
      <c r="F404" s="44" t="str">
        <f>INDEX(meta_Tables[Excel Table - Excel Name],MATCH(meta_Columns[[#This Row],[Owning Table:src]],meta_Tables[ID],0))</f>
        <v>meta_TypedModelElements</v>
      </c>
      <c r="G404" s="44" t="str">
        <f>INDEX(meta_Tables[Instances Class:src],MATCH(meta_Columns[[#This Row],[Owning Table:src]],meta_Tables[ID],0))</f>
        <v>_TypedModelElement</v>
      </c>
      <c r="H404" s="11" t="s">
        <v>1011</v>
      </c>
      <c r="I404" s="43" t="str">
        <f xml:space="preserve"> IF( TRIM( meta_Columns[[#This Row],[Owning Table:src]] ) = "", "",
        INDEX( meta_Tables[Display Qualified], MATCH( meta_Columns[[#This Row],[Owning Table:src]], meta_Tables[ID], 0 ) ) )</f>
        <v>meta::TypedModelElements</v>
      </c>
      <c r="K404" s="22" t="str">
        <f>IF(TRIM(meta_Columns[[#This Row],[Referenced Table:src]])="","",
    INDEX(meta_Tables[Display Qualified],MATCH(meta_Columns[[#This Row],[Referenced Table:src]],meta_Tables[ID],0)))</f>
        <v/>
      </c>
      <c r="L404" s="8"/>
      <c r="M404" s="22"/>
      <c r="N404" s="8" t="str">
        <f>IF(meta_Columns[[#This Row],[Excel Column - Excel Formula]]="","x","")</f>
        <v/>
      </c>
      <c r="O404" s="22"/>
      <c r="P404" s="8" t="str">
        <f>IF(meta_Columns[[#This Row],[Referenced Table:src]]="","",INDEX(meta_Tables[Instances Class],MATCH(meta_Columns[[#This Row],[Referenced Table:src]],meta_Tables[ID],0)))</f>
        <v/>
      </c>
      <c r="Q4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meta::Feature.vBA_Header</v>
      </c>
      <c r="R404" s="8"/>
      <c r="S404" s="22" t="str">
        <f xml:space="preserve"> IF( TRIM( meta_Columns[[#This Row],[Property:src]] ) = "", "",
        INDEX( meta_TypedModelElements[Display Qualified], MATCH( meta_Columns[[#This Row],[Property:src]], meta_TypedModelElements[ID], 0 ) ) )</f>
        <v/>
      </c>
      <c r="T404" s="22"/>
      <c r="U404" s="8" t="e">
        <f>INDEX(meta_Classifiers[Class - Generalization:src], MATCH(meta_Columns[[#This Row],[Generalization 5]],meta_Classifiers[ID],0))</f>
        <v>#N/A</v>
      </c>
      <c r="V404" s="8" t="e">
        <f>INDEX(meta_Classifiers[Class - Generalization:src], MATCH(meta_Columns[[#This Row],[Generalization 4]],meta_Classifiers[ID],0))</f>
        <v>#N/A</v>
      </c>
      <c r="W404" s="8" t="e">
        <f>INDEX(meta_Classifiers[Class - Generalization:src], MATCH(meta_Columns[[#This Row],[Generalization 3]],meta_Classifiers[ID],0))</f>
        <v>#N/A</v>
      </c>
      <c r="X404" s="8" t="str">
        <f>INDEX(meta_Classifiers[Class - Generalization:src], MATCH(meta_Columns[[#This Row],[Generalization 2]],meta_Classifiers[ID],0))</f>
        <v/>
      </c>
      <c r="Y404" s="8" t="str">
        <f>INDEX(meta_Classifiers[Class - Generalization:src], MATCH(meta_Columns[[#This Row],[Generalization 1]],meta_Classifiers[ID],0))</f>
        <v>_Object</v>
      </c>
      <c r="Z404" s="8" t="str">
        <f>INDEX(meta_Classifiers[Class - Generalization:src], MATCH(meta_Columns[[#This Row],[Owning Table Instances Class]],meta_Classifiers[ID],0))</f>
        <v>_NamedElement</v>
      </c>
      <c r="AA4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4" s="8" t="b">
        <f>_xlfn.IFNA(
INDEX(meta_Classifiers[Class - Generalization:src],MATCH(
INDEX(meta_Classifiers[Class - Generalization:src],MATCH(meta_Columns[[#This Row],[Property Owning Class]],meta_Classifiers[ID],0)),meta_Classifiers[ID],0))
=meta_Columns[[#This Row],[Owning Table Instances Class]],FALSE)</f>
        <v>0</v>
      </c>
      <c r="AG404" s="8" t="b">
        <f>_xlfn.IFNA(INDEX(meta_Classifiers[Class - Generalization:src],MATCH(meta_Columns[[#This Row],[Property Owning Class]],meta_Classifiers[ID],0))=meta_Columns[[#This Row],[Owning Table Instances Class]],FALSE)</f>
        <v>0</v>
      </c>
      <c r="AH4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4" s="8" t="e">
        <f>INDEX(meta_Classifiers[Name],MATCH(INDEX(meta_TypedModelElements[Property - Owning Class:src],MATCH(meta_Columns[[#This Row],[Property]],meta_TypedModelElements[ID],0)),meta_Classifiers[ID],0))</f>
        <v>#N/A</v>
      </c>
      <c r="AJ404" s="8" t="e">
        <f>INDEX(meta_TypedModelElements[Property - Owning Class:src],MATCH(meta_Columns[[#This Row],[Property]],meta_TypedModelElements[ID],0))</f>
        <v>#N/A</v>
      </c>
      <c r="AK404" s="8" t="e">
        <f>INDEX(meta_TypedModelElements[Kind:src],MATCH(meta_Columns[[#This Row],[Property]],meta_TypedModelElements[ID],0))</f>
        <v>#N/A</v>
      </c>
      <c r="AL404" s="8" t="e">
        <f>INDEX(meta_TypedModelElements[Name or Type],MATCH(meta_Columns[[#This Row],[Property]],meta_TypedModelElements[ID],0))</f>
        <v>#N/A</v>
      </c>
      <c r="AM404" s="8" t="e">
        <f>INDEX(meta_TypedModelElements[Property - Changeable],MATCH(meta_Columns[[#This Row],[Property]],meta_TypedModelElements[ID],0))</f>
        <v>#N/A</v>
      </c>
      <c r="AN404" s="43">
        <v>57</v>
      </c>
      <c r="AO404" s="22"/>
      <c r="AP4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4" s="8" t="str">
        <f xml:space="preserve"> IF(meta_Columns[[#This Row],[Property Owning Class is Specialization of Instance Class]],meta_Columns[[#This Row],[Property Owning Class Name]]&amp;" - ","")</f>
        <v/>
      </c>
      <c r="AR4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Header</v>
      </c>
      <c r="AT404" s="8" t="str">
        <f>IFERROR(LEFT(meta_Columns[[#This Row],[Excel Column - Label Actual without Semantic Case]],FIND("-",
meta_Columns[[#This Row],[Excel Column - Label Actual without Semantic Case]])-2),"")</f>
        <v>Feature</v>
      </c>
      <c r="AU4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Header</v>
      </c>
      <c r="AV4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Header</v>
      </c>
      <c r="AX404" s="22"/>
      <c r="AY404" s="8" t="str">
        <f>meta_Columns[[#This Row],[Owning Table]]&amp;"."&amp;meta_Columns[[#This Row],[Excel Column - Label]]</f>
        <v>meta::TypedModelElements.Feature - VBA Header</v>
      </c>
      <c r="AZ404" s="43" t="s">
        <v>439</v>
      </c>
      <c r="BA404" s="44" t="str">
        <f>IF(TRIM(meta_Columns[[#This Row],[Excel Column - Label Overwrite]])&lt;&gt;"",meta_Columns[[#This Row],[Excel Column - Label Overwrite]],meta_Columns[[#This Row],[Excel Column - Label from Property or Referenced Table]])</f>
        <v>Feature - VBA Header</v>
      </c>
      <c r="BB404" s="43" t="s">
        <v>877</v>
      </c>
      <c r="BC404" s="44" t="str">
        <f>IF(meta_Columns[[#This Row],[Excel Column - Explicit Excel Formula]]="","",meta_Columns[[#This Row],[Excel Column - Explicit Excel Formula]])</f>
        <v>Formula:=IF([@[Feature - VBA Type]]="public","Public Function "&amp;[@[Name or Type Camel Case Lower]]&amp;"("&amp;[@[Function - Parameters in VBA Header]]&amp;") As "&amp;[@[Type Derived:display]],
IF([@[Feature - VBA Type]]="method","METHOD:TODO",""))</v>
      </c>
      <c r="BD404" s="5"/>
      <c r="BE404" s="5"/>
    </row>
    <row r="405" spans="1:57">
      <c r="A405" s="10" t="s">
        <v>1336</v>
      </c>
      <c r="B405" s="5" t="s">
        <v>546</v>
      </c>
      <c r="C405" s="22" t="str">
        <f xml:space="preserve"> IF( TRIM( meta_Columns[[#This Row],[Kind:src]] ) = "", "",
        INDEX( meta_Classifiers[Display Qualified], MATCH( meta_Columns[[#This Row],[Kind:src]], meta_Classifiers[ID], 0 ) ) )</f>
        <v>ExcelColumn</v>
      </c>
      <c r="D405" s="44" t="str">
        <f>IF(meta_Columns[[#This Row],[Owning Table:src]]="","",INDEX(meta_Classifiers[Package],MATCH(meta_Columns[[#This Row],[Owning Table Instances Class]],meta_Classifiers[ID],0)))</f>
        <v>meta</v>
      </c>
      <c r="E405" s="43"/>
      <c r="F405" s="44" t="str">
        <f>INDEX(meta_Tables[Excel Table - Excel Name],MATCH(meta_Columns[[#This Row],[Owning Table:src]],meta_Tables[ID],0))</f>
        <v>meta_TypedModelElements</v>
      </c>
      <c r="G405" s="44" t="str">
        <f>INDEX(meta_Tables[Instances Class:src],MATCH(meta_Columns[[#This Row],[Owning Table:src]],meta_Tables[ID],0))</f>
        <v>_TypedModelElement</v>
      </c>
      <c r="H405" s="11" t="s">
        <v>1011</v>
      </c>
      <c r="I405" s="43" t="str">
        <f xml:space="preserve"> IF( TRIM( meta_Columns[[#This Row],[Owning Table:src]] ) = "", "",
        INDEX( meta_Tables[Display Qualified], MATCH( meta_Columns[[#This Row],[Owning Table:src]], meta_Tables[ID], 0 ) ) )</f>
        <v>meta::TypedModelElements</v>
      </c>
      <c r="K405" s="22" t="str">
        <f>IF(TRIM(meta_Columns[[#This Row],[Referenced Table:src]])="","",
    INDEX(meta_Tables[Display Qualified],MATCH(meta_Columns[[#This Row],[Referenced Table:src]],meta_Tables[ID],0)))</f>
        <v/>
      </c>
      <c r="L405" s="8"/>
      <c r="M405" s="22"/>
      <c r="N405" s="8" t="str">
        <f>IF(meta_Columns[[#This Row],[Excel Column - Excel Formula]]="","x","")</f>
        <v>x</v>
      </c>
      <c r="O405" s="22"/>
      <c r="P405" s="8" t="str">
        <f>IF(meta_Columns[[#This Row],[Referenced Table:src]]="","",INDEX(meta_Tables[Instances Class],MATCH(meta_Columns[[#This Row],[Referenced Table:src]],meta_Tables[ID],0)))</f>
        <v/>
      </c>
      <c r="Q4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v>
      </c>
      <c r="R405" s="8"/>
      <c r="S405" s="22" t="str">
        <f xml:space="preserve"> IF( TRIM( meta_Columns[[#This Row],[Property:src]] ) = "", "",
        INDEX( meta_TypedModelElements[Display Qualified], MATCH( meta_Columns[[#This Row],[Property:src]], meta_TypedModelElements[ID], 0 ) ) )</f>
        <v/>
      </c>
      <c r="T405" s="22"/>
      <c r="U405" s="8" t="e">
        <f>INDEX(meta_Classifiers[Class - Generalization:src], MATCH(meta_Columns[[#This Row],[Generalization 5]],meta_Classifiers[ID],0))</f>
        <v>#N/A</v>
      </c>
      <c r="V405" s="8" t="e">
        <f>INDEX(meta_Classifiers[Class - Generalization:src], MATCH(meta_Columns[[#This Row],[Generalization 4]],meta_Classifiers[ID],0))</f>
        <v>#N/A</v>
      </c>
      <c r="W405" s="8" t="e">
        <f>INDEX(meta_Classifiers[Class - Generalization:src], MATCH(meta_Columns[[#This Row],[Generalization 3]],meta_Classifiers[ID],0))</f>
        <v>#N/A</v>
      </c>
      <c r="X405" s="8" t="str">
        <f>INDEX(meta_Classifiers[Class - Generalization:src], MATCH(meta_Columns[[#This Row],[Generalization 2]],meta_Classifiers[ID],0))</f>
        <v/>
      </c>
      <c r="Y405" s="8" t="str">
        <f>INDEX(meta_Classifiers[Class - Generalization:src], MATCH(meta_Columns[[#This Row],[Generalization 1]],meta_Classifiers[ID],0))</f>
        <v>_Object</v>
      </c>
      <c r="Z405" s="8" t="str">
        <f>INDEX(meta_Classifiers[Class - Generalization:src], MATCH(meta_Columns[[#This Row],[Owning Table Instances Class]],meta_Classifiers[ID],0))</f>
        <v>_NamedElement</v>
      </c>
      <c r="AA4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5" s="8" t="b">
        <f>_xlfn.IFNA(
INDEX(meta_Classifiers[Class - Generalization:src],MATCH(
INDEX(meta_Classifiers[Class - Generalization:src],MATCH(meta_Columns[[#This Row],[Property Owning Class]],meta_Classifiers[ID],0)),meta_Classifiers[ID],0))
=meta_Columns[[#This Row],[Owning Table Instances Class]],FALSE)</f>
        <v>0</v>
      </c>
      <c r="AG405" s="8" t="b">
        <f>_xlfn.IFNA(INDEX(meta_Classifiers[Class - Generalization:src],MATCH(meta_Columns[[#This Row],[Property Owning Class]],meta_Classifiers[ID],0))=meta_Columns[[#This Row],[Owning Table Instances Class]],FALSE)</f>
        <v>0</v>
      </c>
      <c r="AH4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5" s="8" t="e">
        <f>INDEX(meta_Classifiers[Name],MATCH(INDEX(meta_TypedModelElements[Property - Owning Class:src],MATCH(meta_Columns[[#This Row],[Property]],meta_TypedModelElements[ID],0)),meta_Classifiers[ID],0))</f>
        <v>#N/A</v>
      </c>
      <c r="AJ405" s="8" t="e">
        <f>INDEX(meta_TypedModelElements[Property - Owning Class:src],MATCH(meta_Columns[[#This Row],[Property]],meta_TypedModelElements[ID],0))</f>
        <v>#N/A</v>
      </c>
      <c r="AK405" s="8" t="e">
        <f>INDEX(meta_TypedModelElements[Kind:src],MATCH(meta_Columns[[#This Row],[Property]],meta_TypedModelElements[ID],0))</f>
        <v>#N/A</v>
      </c>
      <c r="AL405" s="8" t="e">
        <f>INDEX(meta_TypedModelElements[Name or Type],MATCH(meta_Columns[[#This Row],[Property]],meta_TypedModelElements[ID],0))</f>
        <v>#N/A</v>
      </c>
      <c r="AM405" s="8" t="e">
        <f>INDEX(meta_TypedModelElements[Property - Changeable],MATCH(meta_Columns[[#This Row],[Property]],meta_TypedModelElements[ID],0))</f>
        <v>#N/A</v>
      </c>
      <c r="AN405" s="43">
        <v>58</v>
      </c>
      <c r="AO405" s="22">
        <v>30</v>
      </c>
      <c r="AP4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5" s="8" t="str">
        <f xml:space="preserve"> IF(meta_Columns[[#This Row],[Property Owning Class is Specialization of Instance Class]],meta_Columns[[#This Row],[Property Owning Class Name]]&amp;" - ","")</f>
        <v/>
      </c>
      <c r="AR4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v>
      </c>
      <c r="AT405" s="8" t="str">
        <f>IFERROR(LEFT(meta_Columns[[#This Row],[Excel Column - Label Actual without Semantic Case]],FIND("-",
meta_Columns[[#This Row],[Excel Column - Label Actual without Semantic Case]])-2),"")</f>
        <v>Feature</v>
      </c>
      <c r="AU4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v>
      </c>
      <c r="AV4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v>
      </c>
      <c r="AX405" s="22"/>
      <c r="AY405" s="8" t="str">
        <f>meta_Columns[[#This Row],[Owning Table]]&amp;"."&amp;meta_Columns[[#This Row],[Excel Column - Label]]</f>
        <v>meta::TypedModelElements.Feature - VBA</v>
      </c>
      <c r="AZ405" s="43" t="s">
        <v>438</v>
      </c>
      <c r="BA405" s="44" t="str">
        <f>IF(TRIM(meta_Columns[[#This Row],[Excel Column - Label Overwrite]])&lt;&gt;"",meta_Columns[[#This Row],[Excel Column - Label Overwrite]],meta_Columns[[#This Row],[Excel Column - Label from Property or Referenced Table]])</f>
        <v>Feature - VBA</v>
      </c>
      <c r="BB405" s="43"/>
      <c r="BC405" s="44" t="str">
        <f>IF(meta_Columns[[#This Row],[Excel Column - Explicit Excel Formula]]="","",meta_Columns[[#This Row],[Excel Column - Explicit Excel Formula]])</f>
        <v/>
      </c>
      <c r="BD405" s="5"/>
      <c r="BE405" s="5"/>
    </row>
    <row r="406" spans="1:57">
      <c r="A406" s="10" t="s">
        <v>1337</v>
      </c>
      <c r="B406" s="5" t="s">
        <v>546</v>
      </c>
      <c r="C406" s="22" t="str">
        <f xml:space="preserve"> IF( TRIM( meta_Columns[[#This Row],[Kind:src]] ) = "", "",
        INDEX( meta_Classifiers[Display Qualified], MATCH( meta_Columns[[#This Row],[Kind:src]], meta_Classifiers[ID], 0 ) ) )</f>
        <v>ExcelColumn</v>
      </c>
      <c r="D406" s="44" t="str">
        <f>IF(meta_Columns[[#This Row],[Owning Table:src]]="","",INDEX(meta_Classifiers[Package],MATCH(meta_Columns[[#This Row],[Owning Table Instances Class]],meta_Classifiers[ID],0)))</f>
        <v>meta</v>
      </c>
      <c r="E406" s="43"/>
      <c r="F406" s="44" t="str">
        <f>INDEX(meta_Tables[Excel Table - Excel Name],MATCH(meta_Columns[[#This Row],[Owning Table:src]],meta_Tables[ID],0))</f>
        <v>meta_TypedModelElements</v>
      </c>
      <c r="G406" s="44" t="str">
        <f>INDEX(meta_Tables[Instances Class:src],MATCH(meta_Columns[[#This Row],[Owning Table:src]],meta_Tables[ID],0))</f>
        <v>_TypedModelElement</v>
      </c>
      <c r="H406" s="11" t="s">
        <v>1011</v>
      </c>
      <c r="I406" s="43" t="str">
        <f xml:space="preserve"> IF( TRIM( meta_Columns[[#This Row],[Owning Table:src]] ) = "", "",
        INDEX( meta_Tables[Display Qualified], MATCH( meta_Columns[[#This Row],[Owning Table:src]], meta_Tables[ID], 0 ) ) )</f>
        <v>meta::TypedModelElements</v>
      </c>
      <c r="K406" s="22" t="str">
        <f>IF(TRIM(meta_Columns[[#This Row],[Referenced Table:src]])="","",
    INDEX(meta_Tables[Display Qualified],MATCH(meta_Columns[[#This Row],[Referenced Table:src]],meta_Tables[ID],0)))</f>
        <v/>
      </c>
      <c r="L406" s="8"/>
      <c r="M406" s="22"/>
      <c r="N406" s="8" t="str">
        <f>IF(meta_Columns[[#This Row],[Excel Column - Excel Formula]]="","x","")</f>
        <v>x</v>
      </c>
      <c r="O406" s="22"/>
      <c r="P406" s="8" t="str">
        <f>IF(meta_Columns[[#This Row],[Referenced Table:src]]="","",INDEX(meta_Tables[Instances Class],MATCH(meta_Columns[[#This Row],[Referenced Table:src]],meta_Tables[ID],0)))</f>
        <v/>
      </c>
      <c r="Q4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meta::Feature.manualVBA_Body</v>
      </c>
      <c r="R406" s="8"/>
      <c r="S406" s="22" t="str">
        <f xml:space="preserve"> IF( TRIM( meta_Columns[[#This Row],[Property:src]] ) = "", "",
        INDEX( meta_TypedModelElements[Display Qualified], MATCH( meta_Columns[[#This Row],[Property:src]], meta_TypedModelElements[ID], 0 ) ) )</f>
        <v/>
      </c>
      <c r="T406" s="22"/>
      <c r="U406" s="8" t="e">
        <f>INDEX(meta_Classifiers[Class - Generalization:src], MATCH(meta_Columns[[#This Row],[Generalization 5]],meta_Classifiers[ID],0))</f>
        <v>#N/A</v>
      </c>
      <c r="V406" s="8" t="e">
        <f>INDEX(meta_Classifiers[Class - Generalization:src], MATCH(meta_Columns[[#This Row],[Generalization 4]],meta_Classifiers[ID],0))</f>
        <v>#N/A</v>
      </c>
      <c r="W406" s="8" t="e">
        <f>INDEX(meta_Classifiers[Class - Generalization:src], MATCH(meta_Columns[[#This Row],[Generalization 3]],meta_Classifiers[ID],0))</f>
        <v>#N/A</v>
      </c>
      <c r="X406" s="8" t="str">
        <f>INDEX(meta_Classifiers[Class - Generalization:src], MATCH(meta_Columns[[#This Row],[Generalization 2]],meta_Classifiers[ID],0))</f>
        <v/>
      </c>
      <c r="Y406" s="8" t="str">
        <f>INDEX(meta_Classifiers[Class - Generalization:src], MATCH(meta_Columns[[#This Row],[Generalization 1]],meta_Classifiers[ID],0))</f>
        <v>_Object</v>
      </c>
      <c r="Z406" s="8" t="str">
        <f>INDEX(meta_Classifiers[Class - Generalization:src], MATCH(meta_Columns[[#This Row],[Owning Table Instances Class]],meta_Classifiers[ID],0))</f>
        <v>_NamedElement</v>
      </c>
      <c r="AA4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6" s="8" t="b">
        <f>_xlfn.IFNA(
INDEX(meta_Classifiers[Class - Generalization:src],MATCH(
INDEX(meta_Classifiers[Class - Generalization:src],MATCH(meta_Columns[[#This Row],[Property Owning Class]],meta_Classifiers[ID],0)),meta_Classifiers[ID],0))
=meta_Columns[[#This Row],[Owning Table Instances Class]],FALSE)</f>
        <v>0</v>
      </c>
      <c r="AG406" s="8" t="b">
        <f>_xlfn.IFNA(INDEX(meta_Classifiers[Class - Generalization:src],MATCH(meta_Columns[[#This Row],[Property Owning Class]],meta_Classifiers[ID],0))=meta_Columns[[#This Row],[Owning Table Instances Class]],FALSE)</f>
        <v>0</v>
      </c>
      <c r="AH4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6" s="8" t="e">
        <f>INDEX(meta_Classifiers[Name],MATCH(INDEX(meta_TypedModelElements[Property - Owning Class:src],MATCH(meta_Columns[[#This Row],[Property]],meta_TypedModelElements[ID],0)),meta_Classifiers[ID],0))</f>
        <v>#N/A</v>
      </c>
      <c r="AJ406" s="8" t="e">
        <f>INDEX(meta_TypedModelElements[Property - Owning Class:src],MATCH(meta_Columns[[#This Row],[Property]],meta_TypedModelElements[ID],0))</f>
        <v>#N/A</v>
      </c>
      <c r="AK406" s="8" t="e">
        <f>INDEX(meta_TypedModelElements[Kind:src],MATCH(meta_Columns[[#This Row],[Property]],meta_TypedModelElements[ID],0))</f>
        <v>#N/A</v>
      </c>
      <c r="AL406" s="8" t="e">
        <f>INDEX(meta_TypedModelElements[Name or Type],MATCH(meta_Columns[[#This Row],[Property]],meta_TypedModelElements[ID],0))</f>
        <v>#N/A</v>
      </c>
      <c r="AM406" s="8" t="e">
        <f>INDEX(meta_TypedModelElements[Property - Changeable],MATCH(meta_Columns[[#This Row],[Property]],meta_TypedModelElements[ID],0))</f>
        <v>#N/A</v>
      </c>
      <c r="AN406" s="43">
        <v>59</v>
      </c>
      <c r="AO406" s="22">
        <v>31</v>
      </c>
      <c r="AP4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6" s="8" t="str">
        <f xml:space="preserve"> IF(meta_Columns[[#This Row],[Property Owning Class is Specialization of Instance Class]],meta_Columns[[#This Row],[Property Owning Class Name]]&amp;" - ","")</f>
        <v/>
      </c>
      <c r="AR4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Body</v>
      </c>
      <c r="AT406" s="8" t="str">
        <f>IFERROR(LEFT(meta_Columns[[#This Row],[Excel Column - Label Actual without Semantic Case]],FIND("-",
meta_Columns[[#This Row],[Excel Column - Label Actual without Semantic Case]])-2),"")</f>
        <v>Feature</v>
      </c>
      <c r="AU4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Body</v>
      </c>
      <c r="AV4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Body</v>
      </c>
      <c r="AX406" s="22"/>
      <c r="AY406" s="8" t="str">
        <f>meta_Columns[[#This Row],[Owning Table]]&amp;"."&amp;meta_Columns[[#This Row],[Excel Column - Label]]</f>
        <v>meta::TypedModelElements.Feature - Manual VBA Body</v>
      </c>
      <c r="AZ406" s="43" t="s">
        <v>555</v>
      </c>
      <c r="BA406" s="44" t="str">
        <f>IF(TRIM(meta_Columns[[#This Row],[Excel Column - Label Overwrite]])&lt;&gt;"",meta_Columns[[#This Row],[Excel Column - Label Overwrite]],meta_Columns[[#This Row],[Excel Column - Label from Property or Referenced Table]])</f>
        <v>Feature - Manual VBA Body</v>
      </c>
      <c r="BB406" s="43"/>
      <c r="BC406" s="44" t="str">
        <f>IF(meta_Columns[[#This Row],[Excel Column - Explicit Excel Formula]]="","",meta_Columns[[#This Row],[Excel Column - Explicit Excel Formula]])</f>
        <v/>
      </c>
      <c r="BD406" s="5"/>
      <c r="BE406" s="5"/>
    </row>
    <row r="407" spans="1:57">
      <c r="A407" s="10" t="s">
        <v>1338</v>
      </c>
      <c r="B407" s="5" t="s">
        <v>546</v>
      </c>
      <c r="C407" s="22" t="str">
        <f xml:space="preserve"> IF( TRIM( meta_Columns[[#This Row],[Kind:src]] ) = "", "",
        INDEX( meta_Classifiers[Display Qualified], MATCH( meta_Columns[[#This Row],[Kind:src]], meta_Classifiers[ID], 0 ) ) )</f>
        <v>ExcelColumn</v>
      </c>
      <c r="D407" s="44" t="str">
        <f>IF(meta_Columns[[#This Row],[Owning Table:src]]="","",INDEX(meta_Classifiers[Package],MATCH(meta_Columns[[#This Row],[Owning Table Instances Class]],meta_Classifiers[ID],0)))</f>
        <v>meta</v>
      </c>
      <c r="E407" s="43"/>
      <c r="F407" s="44" t="str">
        <f>INDEX(meta_Tables[Excel Table - Excel Name],MATCH(meta_Columns[[#This Row],[Owning Table:src]],meta_Tables[ID],0))</f>
        <v>meta_TypedModelElements</v>
      </c>
      <c r="G407" s="44" t="str">
        <f>INDEX(meta_Tables[Instances Class:src],MATCH(meta_Columns[[#This Row],[Owning Table:src]],meta_Tables[ID],0))</f>
        <v>_TypedModelElement</v>
      </c>
      <c r="H407" s="11" t="s">
        <v>1011</v>
      </c>
      <c r="I407" s="43" t="str">
        <f xml:space="preserve"> IF( TRIM( meta_Columns[[#This Row],[Owning Table:src]] ) = "", "",
        INDEX( meta_Tables[Display Qualified], MATCH( meta_Columns[[#This Row],[Owning Table:src]], meta_Tables[ID], 0 ) ) )</f>
        <v>meta::TypedModelElements</v>
      </c>
      <c r="K407" s="22" t="str">
        <f>IF(TRIM(meta_Columns[[#This Row],[Referenced Table:src]])="","",
    INDEX(meta_Tables[Display Qualified],MATCH(meta_Columns[[#This Row],[Referenced Table:src]],meta_Tables[ID],0)))</f>
        <v/>
      </c>
      <c r="L407" s="8"/>
      <c r="M407" s="22"/>
      <c r="N407" s="8" t="str">
        <f>IF(meta_Columns[[#This Row],[Excel Column - Excel Formula]]="","x","")</f>
        <v>x</v>
      </c>
      <c r="O407" s="22"/>
      <c r="P407" s="8" t="str">
        <f>IF(meta_Columns[[#This Row],[Referenced Table:src]]="","",INDEX(meta_Tables[Instances Class],MATCH(meta_Columns[[#This Row],[Referenced Table:src]],meta_Tables[ID],0)))</f>
        <v/>
      </c>
      <c r="Q4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meta::Feature.vBA_Body</v>
      </c>
      <c r="R407" s="8"/>
      <c r="S407" s="22" t="str">
        <f xml:space="preserve"> IF( TRIM( meta_Columns[[#This Row],[Property:src]] ) = "", "",
        INDEX( meta_TypedModelElements[Display Qualified], MATCH( meta_Columns[[#This Row],[Property:src]], meta_TypedModelElements[ID], 0 ) ) )</f>
        <v/>
      </c>
      <c r="T407" s="22"/>
      <c r="U407" s="8" t="e">
        <f>INDEX(meta_Classifiers[Class - Generalization:src], MATCH(meta_Columns[[#This Row],[Generalization 5]],meta_Classifiers[ID],0))</f>
        <v>#N/A</v>
      </c>
      <c r="V407" s="8" t="e">
        <f>INDEX(meta_Classifiers[Class - Generalization:src], MATCH(meta_Columns[[#This Row],[Generalization 4]],meta_Classifiers[ID],0))</f>
        <v>#N/A</v>
      </c>
      <c r="W407" s="8" t="e">
        <f>INDEX(meta_Classifiers[Class - Generalization:src], MATCH(meta_Columns[[#This Row],[Generalization 3]],meta_Classifiers[ID],0))</f>
        <v>#N/A</v>
      </c>
      <c r="X407" s="8" t="str">
        <f>INDEX(meta_Classifiers[Class - Generalization:src], MATCH(meta_Columns[[#This Row],[Generalization 2]],meta_Classifiers[ID],0))</f>
        <v/>
      </c>
      <c r="Y407" s="8" t="str">
        <f>INDEX(meta_Classifiers[Class - Generalization:src], MATCH(meta_Columns[[#This Row],[Generalization 1]],meta_Classifiers[ID],0))</f>
        <v>_Object</v>
      </c>
      <c r="Z407" s="8" t="str">
        <f>INDEX(meta_Classifiers[Class - Generalization:src], MATCH(meta_Columns[[#This Row],[Owning Table Instances Class]],meta_Classifiers[ID],0))</f>
        <v>_NamedElement</v>
      </c>
      <c r="AA4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7" s="8" t="b">
        <f>_xlfn.IFNA(
INDEX(meta_Classifiers[Class - Generalization:src],MATCH(
INDEX(meta_Classifiers[Class - Generalization:src],MATCH(meta_Columns[[#This Row],[Property Owning Class]],meta_Classifiers[ID],0)),meta_Classifiers[ID],0))
=meta_Columns[[#This Row],[Owning Table Instances Class]],FALSE)</f>
        <v>0</v>
      </c>
      <c r="AG407" s="8" t="b">
        <f>_xlfn.IFNA(INDEX(meta_Classifiers[Class - Generalization:src],MATCH(meta_Columns[[#This Row],[Property Owning Class]],meta_Classifiers[ID],0))=meta_Columns[[#This Row],[Owning Table Instances Class]],FALSE)</f>
        <v>0</v>
      </c>
      <c r="AH4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7" s="8" t="e">
        <f>INDEX(meta_Classifiers[Name],MATCH(INDEX(meta_TypedModelElements[Property - Owning Class:src],MATCH(meta_Columns[[#This Row],[Property]],meta_TypedModelElements[ID],0)),meta_Classifiers[ID],0))</f>
        <v>#N/A</v>
      </c>
      <c r="AJ407" s="8" t="e">
        <f>INDEX(meta_TypedModelElements[Property - Owning Class:src],MATCH(meta_Columns[[#This Row],[Property]],meta_TypedModelElements[ID],0))</f>
        <v>#N/A</v>
      </c>
      <c r="AK407" s="8" t="e">
        <f>INDEX(meta_TypedModelElements[Kind:src],MATCH(meta_Columns[[#This Row],[Property]],meta_TypedModelElements[ID],0))</f>
        <v>#N/A</v>
      </c>
      <c r="AL407" s="8" t="e">
        <f>INDEX(meta_TypedModelElements[Name or Type],MATCH(meta_Columns[[#This Row],[Property]],meta_TypedModelElements[ID],0))</f>
        <v>#N/A</v>
      </c>
      <c r="AM407" s="8" t="e">
        <f>INDEX(meta_TypedModelElements[Property - Changeable],MATCH(meta_Columns[[#This Row],[Property]],meta_TypedModelElements[ID],0))</f>
        <v>#N/A</v>
      </c>
      <c r="AN407" s="43">
        <v>60</v>
      </c>
      <c r="AO407" s="22">
        <v>32</v>
      </c>
      <c r="AP4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7" s="8" t="str">
        <f xml:space="preserve"> IF(meta_Columns[[#This Row],[Property Owning Class is Specialization of Instance Class]],meta_Columns[[#This Row],[Property Owning Class Name]]&amp;" - ","")</f>
        <v/>
      </c>
      <c r="AR4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Body</v>
      </c>
      <c r="AT407" s="8" t="str">
        <f>IFERROR(LEFT(meta_Columns[[#This Row],[Excel Column - Label Actual without Semantic Case]],FIND("-",
meta_Columns[[#This Row],[Excel Column - Label Actual without Semantic Case]])-2),"")</f>
        <v>Feature</v>
      </c>
      <c r="AU4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Body</v>
      </c>
      <c r="AV4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Body</v>
      </c>
      <c r="AX407" s="22"/>
      <c r="AY407" s="8" t="str">
        <f>meta_Columns[[#This Row],[Owning Table]]&amp;"."&amp;meta_Columns[[#This Row],[Excel Column - Label]]</f>
        <v>meta::TypedModelElements.Feature - VBA Body</v>
      </c>
      <c r="AZ407" s="43" t="s">
        <v>556</v>
      </c>
      <c r="BA407" s="44" t="str">
        <f>IF(TRIM(meta_Columns[[#This Row],[Excel Column - Label Overwrite]])&lt;&gt;"",meta_Columns[[#This Row],[Excel Column - Label Overwrite]],meta_Columns[[#This Row],[Excel Column - Label from Property or Referenced Table]])</f>
        <v>Feature - VBA Body</v>
      </c>
      <c r="BB407" s="43"/>
      <c r="BC407" s="44" t="str">
        <f>IF(meta_Columns[[#This Row],[Excel Column - Explicit Excel Formula]]="","",meta_Columns[[#This Row],[Excel Column - Explicit Excel Formula]])</f>
        <v/>
      </c>
      <c r="BD407" s="5"/>
      <c r="BE407" s="5"/>
    </row>
    <row r="408" spans="1:57">
      <c r="A408" s="10" t="s">
        <v>1339</v>
      </c>
      <c r="B408" s="5" t="s">
        <v>546</v>
      </c>
      <c r="C408" s="22" t="str">
        <f xml:space="preserve"> IF( TRIM( meta_Columns[[#This Row],[Kind:src]] ) = "", "",
        INDEX( meta_Classifiers[Display Qualified], MATCH( meta_Columns[[#This Row],[Kind:src]], meta_Classifiers[ID], 0 ) ) )</f>
        <v>ExcelColumn</v>
      </c>
      <c r="D408" s="44" t="str">
        <f>IF(meta_Columns[[#This Row],[Owning Table:src]]="","",INDEX(meta_Classifiers[Package],MATCH(meta_Columns[[#This Row],[Owning Table Instances Class]],meta_Classifiers[ID],0)))</f>
        <v>meta</v>
      </c>
      <c r="E408" s="43"/>
      <c r="F408" s="44" t="str">
        <f>INDEX(meta_Tables[Excel Table - Excel Name],MATCH(meta_Columns[[#This Row],[Owning Table:src]],meta_Tables[ID],0))</f>
        <v>meta_TypedModelElements</v>
      </c>
      <c r="G408" s="44" t="str">
        <f>INDEX(meta_Tables[Instances Class:src],MATCH(meta_Columns[[#This Row],[Owning Table:src]],meta_Tables[ID],0))</f>
        <v>_TypedModelElement</v>
      </c>
      <c r="H408" s="11" t="s">
        <v>1011</v>
      </c>
      <c r="I408" s="43" t="str">
        <f xml:space="preserve"> IF( TRIM( meta_Columns[[#This Row],[Owning Table:src]] ) = "", "",
        INDEX( meta_Tables[Display Qualified], MATCH( meta_Columns[[#This Row],[Owning Table:src]], meta_Tables[ID], 0 ) ) )</f>
        <v>meta::TypedModelElements</v>
      </c>
      <c r="K408" s="22" t="str">
        <f>IF(TRIM(meta_Columns[[#This Row],[Referenced Table:src]])="","",
    INDEX(meta_Tables[Display Qualified],MATCH(meta_Columns[[#This Row],[Referenced Table:src]],meta_Tables[ID],0)))</f>
        <v/>
      </c>
      <c r="L408" s="8"/>
      <c r="M408" s="22"/>
      <c r="N408" s="8" t="str">
        <f>IF(meta_Columns[[#This Row],[Excel Column - Excel Formula]]="","x","")</f>
        <v>x</v>
      </c>
      <c r="O408" s="22"/>
      <c r="P408" s="8" t="str">
        <f>IF(meta_Columns[[#This Row],[Referenced Table:src]]="","",INDEX(meta_Tables[Instances Class],MATCH(meta_Columns[[#This Row],[Referenced Table:src]],meta_Tables[ID],0)))</f>
        <v/>
      </c>
      <c r="Q4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meta::Feature.vBA_Code</v>
      </c>
      <c r="R408" s="8"/>
      <c r="S408" s="22" t="str">
        <f xml:space="preserve"> IF( TRIM( meta_Columns[[#This Row],[Property:src]] ) = "", "",
        INDEX( meta_TypedModelElements[Display Qualified], MATCH( meta_Columns[[#This Row],[Property:src]], meta_TypedModelElements[ID], 0 ) ) )</f>
        <v/>
      </c>
      <c r="T408" s="22"/>
      <c r="U408" s="8" t="e">
        <f>INDEX(meta_Classifiers[Class - Generalization:src], MATCH(meta_Columns[[#This Row],[Generalization 5]],meta_Classifiers[ID],0))</f>
        <v>#N/A</v>
      </c>
      <c r="V408" s="8" t="e">
        <f>INDEX(meta_Classifiers[Class - Generalization:src], MATCH(meta_Columns[[#This Row],[Generalization 4]],meta_Classifiers[ID],0))</f>
        <v>#N/A</v>
      </c>
      <c r="W408" s="8" t="e">
        <f>INDEX(meta_Classifiers[Class - Generalization:src], MATCH(meta_Columns[[#This Row],[Generalization 3]],meta_Classifiers[ID],0))</f>
        <v>#N/A</v>
      </c>
      <c r="X408" s="8" t="str">
        <f>INDEX(meta_Classifiers[Class - Generalization:src], MATCH(meta_Columns[[#This Row],[Generalization 2]],meta_Classifiers[ID],0))</f>
        <v/>
      </c>
      <c r="Y408" s="8" t="str">
        <f>INDEX(meta_Classifiers[Class - Generalization:src], MATCH(meta_Columns[[#This Row],[Generalization 1]],meta_Classifiers[ID],0))</f>
        <v>_Object</v>
      </c>
      <c r="Z408" s="8" t="str">
        <f>INDEX(meta_Classifiers[Class - Generalization:src], MATCH(meta_Columns[[#This Row],[Owning Table Instances Class]],meta_Classifiers[ID],0))</f>
        <v>_NamedElement</v>
      </c>
      <c r="AA4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8" s="8" t="b">
        <f>_xlfn.IFNA(
INDEX(meta_Classifiers[Class - Generalization:src],MATCH(
INDEX(meta_Classifiers[Class - Generalization:src],MATCH(meta_Columns[[#This Row],[Property Owning Class]],meta_Classifiers[ID],0)),meta_Classifiers[ID],0))
=meta_Columns[[#This Row],[Owning Table Instances Class]],FALSE)</f>
        <v>0</v>
      </c>
      <c r="AG408" s="8" t="b">
        <f>_xlfn.IFNA(INDEX(meta_Classifiers[Class - Generalization:src],MATCH(meta_Columns[[#This Row],[Property Owning Class]],meta_Classifiers[ID],0))=meta_Columns[[#This Row],[Owning Table Instances Class]],FALSE)</f>
        <v>0</v>
      </c>
      <c r="AH4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8" s="8" t="e">
        <f>INDEX(meta_Classifiers[Name],MATCH(INDEX(meta_TypedModelElements[Property - Owning Class:src],MATCH(meta_Columns[[#This Row],[Property]],meta_TypedModelElements[ID],0)),meta_Classifiers[ID],0))</f>
        <v>#N/A</v>
      </c>
      <c r="AJ408" s="8" t="e">
        <f>INDEX(meta_TypedModelElements[Property - Owning Class:src],MATCH(meta_Columns[[#This Row],[Property]],meta_TypedModelElements[ID],0))</f>
        <v>#N/A</v>
      </c>
      <c r="AK408" s="8" t="e">
        <f>INDEX(meta_TypedModelElements[Kind:src],MATCH(meta_Columns[[#This Row],[Property]],meta_TypedModelElements[ID],0))</f>
        <v>#N/A</v>
      </c>
      <c r="AL408" s="8" t="e">
        <f>INDEX(meta_TypedModelElements[Name or Type],MATCH(meta_Columns[[#This Row],[Property]],meta_TypedModelElements[ID],0))</f>
        <v>#N/A</v>
      </c>
      <c r="AM408" s="8" t="e">
        <f>INDEX(meta_TypedModelElements[Property - Changeable],MATCH(meta_Columns[[#This Row],[Property]],meta_TypedModelElements[ID],0))</f>
        <v>#N/A</v>
      </c>
      <c r="AN408" s="43">
        <v>61</v>
      </c>
      <c r="AO408" s="22">
        <v>33</v>
      </c>
      <c r="AP4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8" s="8" t="str">
        <f xml:space="preserve"> IF(meta_Columns[[#This Row],[Property Owning Class is Specialization of Instance Class]],meta_Columns[[#This Row],[Property Owning Class Name]]&amp;" - ","")</f>
        <v/>
      </c>
      <c r="AR4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Code</v>
      </c>
      <c r="AT408" s="8" t="str">
        <f>IFERROR(LEFT(meta_Columns[[#This Row],[Excel Column - Label Actual without Semantic Case]],FIND("-",
meta_Columns[[#This Row],[Excel Column - Label Actual without Semantic Case]])-2),"")</f>
        <v>Feature</v>
      </c>
      <c r="AU4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Code</v>
      </c>
      <c r="AV4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Code</v>
      </c>
      <c r="AX408" s="22"/>
      <c r="AY408" s="8" t="str">
        <f>meta_Columns[[#This Row],[Owning Table]]&amp;"."&amp;meta_Columns[[#This Row],[Excel Column - Label]]</f>
        <v>meta::TypedModelElements.Feature - VBA Code</v>
      </c>
      <c r="AZ408" s="43" t="s">
        <v>553</v>
      </c>
      <c r="BA408" s="44" t="str">
        <f>IF(TRIM(meta_Columns[[#This Row],[Excel Column - Label Overwrite]])&lt;&gt;"",meta_Columns[[#This Row],[Excel Column - Label Overwrite]],meta_Columns[[#This Row],[Excel Column - Label from Property or Referenced Table]])</f>
        <v>Feature - VBA Code</v>
      </c>
      <c r="BB408" s="43"/>
      <c r="BC408" s="44" t="str">
        <f>IF(meta_Columns[[#This Row],[Excel Column - Explicit Excel Formula]]="","",meta_Columns[[#This Row],[Excel Column - Explicit Excel Formula]])</f>
        <v/>
      </c>
      <c r="BD408" s="5"/>
      <c r="BE408" s="5"/>
    </row>
    <row r="409" spans="1:57">
      <c r="A409" s="10" t="s">
        <v>1340</v>
      </c>
      <c r="B409" s="5" t="s">
        <v>546</v>
      </c>
      <c r="C409" s="22" t="str">
        <f xml:space="preserve"> IF( TRIM( meta_Columns[[#This Row],[Kind:src]] ) = "", "",
        INDEX( meta_Classifiers[Display Qualified], MATCH( meta_Columns[[#This Row],[Kind:src]], meta_Classifiers[ID], 0 ) ) )</f>
        <v>ExcelColumn</v>
      </c>
      <c r="D409" s="44" t="str">
        <f>IF(meta_Columns[[#This Row],[Owning Table:src]]="","",INDEX(meta_Classifiers[Package],MATCH(meta_Columns[[#This Row],[Owning Table Instances Class]],meta_Classifiers[ID],0)))</f>
        <v>meta</v>
      </c>
      <c r="E409" s="43"/>
      <c r="F409" s="44" t="str">
        <f>INDEX(meta_Tables[Excel Table - Excel Name],MATCH(meta_Columns[[#This Row],[Owning Table:src]],meta_Tables[ID],0))</f>
        <v>meta_TypedModelElements</v>
      </c>
      <c r="G409" s="44" t="str">
        <f>INDEX(meta_Tables[Instances Class:src],MATCH(meta_Columns[[#This Row],[Owning Table:src]],meta_Tables[ID],0))</f>
        <v>_TypedModelElement</v>
      </c>
      <c r="H409" s="11" t="s">
        <v>1011</v>
      </c>
      <c r="I409" s="43" t="str">
        <f xml:space="preserve"> IF( TRIM( meta_Columns[[#This Row],[Owning Table:src]] ) = "", "",
        INDEX( meta_Tables[Display Qualified], MATCH( meta_Columns[[#This Row],[Owning Table:src]], meta_Tables[ID], 0 ) ) )</f>
        <v>meta::TypedModelElements</v>
      </c>
      <c r="K409" s="22" t="str">
        <f>IF(TRIM(meta_Columns[[#This Row],[Referenced Table:src]])="","",
    INDEX(meta_Tables[Display Qualified],MATCH(meta_Columns[[#This Row],[Referenced Table:src]],meta_Tables[ID],0)))</f>
        <v/>
      </c>
      <c r="L409" s="8"/>
      <c r="M409" s="22"/>
      <c r="N409" s="8" t="str">
        <f>IF(meta_Columns[[#This Row],[Excel Column - Excel Formula]]="","x","")</f>
        <v>x</v>
      </c>
      <c r="O409" s="22"/>
      <c r="P409" s="8" t="str">
        <f>IF(meta_Columns[[#This Row],[Referenced Table:src]]="","",INDEX(meta_Tables[Instances Class],MATCH(meta_Columns[[#This Row],[Referenced Table:src]],meta_Tables[ID],0)))</f>
        <v/>
      </c>
      <c r="Q4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meta::TypedModelElement.code</v>
      </c>
      <c r="R409" s="8"/>
      <c r="S409" s="22" t="str">
        <f xml:space="preserve"> IF( TRIM( meta_Columns[[#This Row],[Property:src]] ) = "", "",
        INDEX( meta_TypedModelElements[Display Qualified], MATCH( meta_Columns[[#This Row],[Property:src]], meta_TypedModelElements[ID], 0 ) ) )</f>
        <v/>
      </c>
      <c r="T409" s="22"/>
      <c r="U409" s="8" t="e">
        <f>INDEX(meta_Classifiers[Class - Generalization:src], MATCH(meta_Columns[[#This Row],[Generalization 5]],meta_Classifiers[ID],0))</f>
        <v>#N/A</v>
      </c>
      <c r="V409" s="8" t="e">
        <f>INDEX(meta_Classifiers[Class - Generalization:src], MATCH(meta_Columns[[#This Row],[Generalization 4]],meta_Classifiers[ID],0))</f>
        <v>#N/A</v>
      </c>
      <c r="W409" s="8" t="e">
        <f>INDEX(meta_Classifiers[Class - Generalization:src], MATCH(meta_Columns[[#This Row],[Generalization 3]],meta_Classifiers[ID],0))</f>
        <v>#N/A</v>
      </c>
      <c r="X409" s="8" t="str">
        <f>INDEX(meta_Classifiers[Class - Generalization:src], MATCH(meta_Columns[[#This Row],[Generalization 2]],meta_Classifiers[ID],0))</f>
        <v/>
      </c>
      <c r="Y409" s="8" t="str">
        <f>INDEX(meta_Classifiers[Class - Generalization:src], MATCH(meta_Columns[[#This Row],[Generalization 1]],meta_Classifiers[ID],0))</f>
        <v>_Object</v>
      </c>
      <c r="Z409" s="8" t="str">
        <f>INDEX(meta_Classifiers[Class - Generalization:src], MATCH(meta_Columns[[#This Row],[Owning Table Instances Class]],meta_Classifiers[ID],0))</f>
        <v>_NamedElement</v>
      </c>
      <c r="AA4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9" s="8" t="b">
        <f>_xlfn.IFNA(
INDEX(meta_Classifiers[Class - Generalization:src],MATCH(
INDEX(meta_Classifiers[Class - Generalization:src],MATCH(meta_Columns[[#This Row],[Property Owning Class]],meta_Classifiers[ID],0)),meta_Classifiers[ID],0))
=meta_Columns[[#This Row],[Owning Table Instances Class]],FALSE)</f>
        <v>0</v>
      </c>
      <c r="AG409" s="8" t="b">
        <f>_xlfn.IFNA(INDEX(meta_Classifiers[Class - Generalization:src],MATCH(meta_Columns[[#This Row],[Property Owning Class]],meta_Classifiers[ID],0))=meta_Columns[[#This Row],[Owning Table Instances Class]],FALSE)</f>
        <v>0</v>
      </c>
      <c r="AH4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9" s="8" t="e">
        <f>INDEX(meta_Classifiers[Name],MATCH(INDEX(meta_TypedModelElements[Property - Owning Class:src],MATCH(meta_Columns[[#This Row],[Property]],meta_TypedModelElements[ID],0)),meta_Classifiers[ID],0))</f>
        <v>#N/A</v>
      </c>
      <c r="AJ409" s="8" t="e">
        <f>INDEX(meta_TypedModelElements[Property - Owning Class:src],MATCH(meta_Columns[[#This Row],[Property]],meta_TypedModelElements[ID],0))</f>
        <v>#N/A</v>
      </c>
      <c r="AK409" s="8" t="e">
        <f>INDEX(meta_TypedModelElements[Kind:src],MATCH(meta_Columns[[#This Row],[Property]],meta_TypedModelElements[ID],0))</f>
        <v>#N/A</v>
      </c>
      <c r="AL409" s="8" t="e">
        <f>INDEX(meta_TypedModelElements[Name or Type],MATCH(meta_Columns[[#This Row],[Property]],meta_TypedModelElements[ID],0))</f>
        <v>#N/A</v>
      </c>
      <c r="AM409" s="8" t="e">
        <f>INDEX(meta_TypedModelElements[Property - Changeable],MATCH(meta_Columns[[#This Row],[Property]],meta_TypedModelElements[ID],0))</f>
        <v>#N/A</v>
      </c>
      <c r="AN409" s="43">
        <v>62</v>
      </c>
      <c r="AO409" s="22">
        <v>34</v>
      </c>
      <c r="AP4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9" s="8" t="str">
        <f xml:space="preserve"> IF(meta_Columns[[#This Row],[Property Owning Class is Specialization of Instance Class]],meta_Columns[[#This Row],[Property Owning Class Name]]&amp;" - ","")</f>
        <v/>
      </c>
      <c r="AR4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Code</v>
      </c>
      <c r="AT409" s="8" t="str">
        <f>IFERROR(LEFT(meta_Columns[[#This Row],[Excel Column - Label Actual without Semantic Case]],FIND("-",
meta_Columns[[#This Row],[Excel Column - Label Actual without Semantic Case]])-2),"")</f>
        <v/>
      </c>
      <c r="AU4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Code</v>
      </c>
      <c r="AV4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Code</v>
      </c>
      <c r="AX409" s="22"/>
      <c r="AY409" s="8" t="str">
        <f>meta_Columns[[#This Row],[Owning Table]]&amp;"."&amp;meta_Columns[[#This Row],[Excel Column - Label]]</f>
        <v>meta::TypedModelElements.Code</v>
      </c>
      <c r="AZ409" s="43" t="s">
        <v>940</v>
      </c>
      <c r="BA409" s="44" t="str">
        <f>IF(TRIM(meta_Columns[[#This Row],[Excel Column - Label Overwrite]])&lt;&gt;"",meta_Columns[[#This Row],[Excel Column - Label Overwrite]],meta_Columns[[#This Row],[Excel Column - Label from Property or Referenced Table]])</f>
        <v>Code</v>
      </c>
      <c r="BB409" s="43"/>
      <c r="BC409" s="44" t="str">
        <f>IF(meta_Columns[[#This Row],[Excel Column - Explicit Excel Formula]]="","",meta_Columns[[#This Row],[Excel Column - Explicit Excel Formula]])</f>
        <v/>
      </c>
      <c r="BD409" s="5"/>
      <c r="BE409" s="5"/>
    </row>
    <row r="410" spans="1:57">
      <c r="A410" s="10" t="s">
        <v>1341</v>
      </c>
      <c r="B410" s="5" t="s">
        <v>546</v>
      </c>
      <c r="C410" s="22" t="str">
        <f xml:space="preserve"> IF( TRIM( meta_Columns[[#This Row],[Kind:src]] ) = "", "",
        INDEX( meta_Classifiers[Display Qualified], MATCH( meta_Columns[[#This Row],[Kind:src]], meta_Classifiers[ID], 0 ) ) )</f>
        <v>ExcelColumn</v>
      </c>
      <c r="D410" s="44" t="str">
        <f>IF(meta_Columns[[#This Row],[Owning Table:src]]="","",INDEX(meta_Classifiers[Package],MATCH(meta_Columns[[#This Row],[Owning Table Instances Class]],meta_Classifiers[ID],0)))</f>
        <v>meta</v>
      </c>
      <c r="E410" s="43"/>
      <c r="F410" s="44" t="str">
        <f>INDEX(meta_Tables[Excel Table - Excel Name],MATCH(meta_Columns[[#This Row],[Owning Table:src]],meta_Tables[ID],0))</f>
        <v>meta_TypedModelElements</v>
      </c>
      <c r="G410" s="44" t="str">
        <f>INDEX(meta_Tables[Instances Class:src],MATCH(meta_Columns[[#This Row],[Owning Table:src]],meta_Tables[ID],0))</f>
        <v>_TypedModelElement</v>
      </c>
      <c r="H410" s="11" t="s">
        <v>1011</v>
      </c>
      <c r="I410" s="43" t="str">
        <f xml:space="preserve"> IF( TRIM( meta_Columns[[#This Row],[Owning Table:src]] ) = "", "",
        INDEX( meta_Tables[Display Qualified], MATCH( meta_Columns[[#This Row],[Owning Table:src]], meta_Tables[ID], 0 ) ) )</f>
        <v>meta::TypedModelElements</v>
      </c>
      <c r="K410" s="22" t="str">
        <f>IF(TRIM(meta_Columns[[#This Row],[Referenced Table:src]])="","",
    INDEX(meta_Tables[Display Qualified],MATCH(meta_Columns[[#This Row],[Referenced Table:src]],meta_Tables[ID],0)))</f>
        <v/>
      </c>
      <c r="L410" s="8"/>
      <c r="M410" s="22"/>
      <c r="N410" s="8" t="str">
        <f>IF(meta_Columns[[#This Row],[Excel Column - Excel Formula]]="","x","")</f>
        <v>x</v>
      </c>
      <c r="O410" s="22"/>
      <c r="P410" s="8" t="str">
        <f>IF(meta_Columns[[#This Row],[Referenced Table:src]]="","",INDEX(meta_Tables[Instances Class],MATCH(meta_Columns[[#This Row],[Referenced Table:src]],meta_Tables[ID],0)))</f>
        <v/>
      </c>
      <c r="Q4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meta::TypedModelElement.description</v>
      </c>
      <c r="R410" s="8"/>
      <c r="S410" s="22" t="str">
        <f xml:space="preserve"> IF( TRIM( meta_Columns[[#This Row],[Property:src]] ) = "", "",
        INDEX( meta_TypedModelElements[Display Qualified], MATCH( meta_Columns[[#This Row],[Property:src]], meta_TypedModelElements[ID], 0 ) ) )</f>
        <v/>
      </c>
      <c r="T410" s="22"/>
      <c r="U410" s="8" t="e">
        <f>INDEX(meta_Classifiers[Class - Generalization:src], MATCH(meta_Columns[[#This Row],[Generalization 5]],meta_Classifiers[ID],0))</f>
        <v>#N/A</v>
      </c>
      <c r="V410" s="8" t="e">
        <f>INDEX(meta_Classifiers[Class - Generalization:src], MATCH(meta_Columns[[#This Row],[Generalization 4]],meta_Classifiers[ID],0))</f>
        <v>#N/A</v>
      </c>
      <c r="W410" s="8" t="e">
        <f>INDEX(meta_Classifiers[Class - Generalization:src], MATCH(meta_Columns[[#This Row],[Generalization 3]],meta_Classifiers[ID],0))</f>
        <v>#N/A</v>
      </c>
      <c r="X410" s="8" t="str">
        <f>INDEX(meta_Classifiers[Class - Generalization:src], MATCH(meta_Columns[[#This Row],[Generalization 2]],meta_Classifiers[ID],0))</f>
        <v/>
      </c>
      <c r="Y410" s="8" t="str">
        <f>INDEX(meta_Classifiers[Class - Generalization:src], MATCH(meta_Columns[[#This Row],[Generalization 1]],meta_Classifiers[ID],0))</f>
        <v>_Object</v>
      </c>
      <c r="Z410" s="8" t="str">
        <f>INDEX(meta_Classifiers[Class - Generalization:src], MATCH(meta_Columns[[#This Row],[Owning Table Instances Class]],meta_Classifiers[ID],0))</f>
        <v>_NamedElement</v>
      </c>
      <c r="AA4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0" s="8" t="b">
        <f>_xlfn.IFNA(
INDEX(meta_Classifiers[Class - Generalization:src],MATCH(
INDEX(meta_Classifiers[Class - Generalization:src],MATCH(meta_Columns[[#This Row],[Property Owning Class]],meta_Classifiers[ID],0)),meta_Classifiers[ID],0))
=meta_Columns[[#This Row],[Owning Table Instances Class]],FALSE)</f>
        <v>0</v>
      </c>
      <c r="AG410" s="8" t="b">
        <f>_xlfn.IFNA(INDEX(meta_Classifiers[Class - Generalization:src],MATCH(meta_Columns[[#This Row],[Property Owning Class]],meta_Classifiers[ID],0))=meta_Columns[[#This Row],[Owning Table Instances Class]],FALSE)</f>
        <v>0</v>
      </c>
      <c r="AH4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0" s="8" t="e">
        <f>INDEX(meta_Classifiers[Name],MATCH(INDEX(meta_TypedModelElements[Property - Owning Class:src],MATCH(meta_Columns[[#This Row],[Property]],meta_TypedModelElements[ID],0)),meta_Classifiers[ID],0))</f>
        <v>#N/A</v>
      </c>
      <c r="AJ410" s="8" t="e">
        <f>INDEX(meta_TypedModelElements[Property - Owning Class:src],MATCH(meta_Columns[[#This Row],[Property]],meta_TypedModelElements[ID],0))</f>
        <v>#N/A</v>
      </c>
      <c r="AK410" s="8" t="e">
        <f>INDEX(meta_TypedModelElements[Kind:src],MATCH(meta_Columns[[#This Row],[Property]],meta_TypedModelElements[ID],0))</f>
        <v>#N/A</v>
      </c>
      <c r="AL410" s="8" t="e">
        <f>INDEX(meta_TypedModelElements[Name or Type],MATCH(meta_Columns[[#This Row],[Property]],meta_TypedModelElements[ID],0))</f>
        <v>#N/A</v>
      </c>
      <c r="AM410" s="8" t="e">
        <f>INDEX(meta_TypedModelElements[Property - Changeable],MATCH(meta_Columns[[#This Row],[Property]],meta_TypedModelElements[ID],0))</f>
        <v>#N/A</v>
      </c>
      <c r="AN410" s="43">
        <v>63</v>
      </c>
      <c r="AO410" s="22">
        <v>35</v>
      </c>
      <c r="AP4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0" s="8" t="str">
        <f xml:space="preserve"> IF(meta_Columns[[#This Row],[Property Owning Class is Specialization of Instance Class]],meta_Columns[[#This Row],[Property Owning Class Name]]&amp;" - ","")</f>
        <v/>
      </c>
      <c r="AR4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Description</v>
      </c>
      <c r="AT410" s="8" t="str">
        <f>IFERROR(LEFT(meta_Columns[[#This Row],[Excel Column - Label Actual without Semantic Case]],FIND("-",
meta_Columns[[#This Row],[Excel Column - Label Actual without Semantic Case]])-2),"")</f>
        <v/>
      </c>
      <c r="AU4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Description</v>
      </c>
      <c r="AV4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Description</v>
      </c>
      <c r="AX410" s="22"/>
      <c r="AY410" s="8" t="str">
        <f>meta_Columns[[#This Row],[Owning Table]]&amp;"."&amp;meta_Columns[[#This Row],[Excel Column - Label]]</f>
        <v>meta::TypedModelElements.Description</v>
      </c>
      <c r="AZ410" s="43" t="s">
        <v>161</v>
      </c>
      <c r="BA410" s="44" t="str">
        <f>IF(TRIM(meta_Columns[[#This Row],[Excel Column - Label Overwrite]])&lt;&gt;"",meta_Columns[[#This Row],[Excel Column - Label Overwrite]],meta_Columns[[#This Row],[Excel Column - Label from Property or Referenced Table]])</f>
        <v>Description</v>
      </c>
      <c r="BB410" s="43"/>
      <c r="BC410" s="44" t="str">
        <f>IF(meta_Columns[[#This Row],[Excel Column - Explicit Excel Formula]]="","",meta_Columns[[#This Row],[Excel Column - Explicit Excel Formula]])</f>
        <v/>
      </c>
      <c r="BD410" s="5"/>
      <c r="BE410" s="5"/>
    </row>
    <row r="411" spans="1:57">
      <c r="A411" s="10" t="s">
        <v>1439</v>
      </c>
      <c r="B411" s="5" t="s">
        <v>546</v>
      </c>
      <c r="C411" s="22" t="str">
        <f xml:space="preserve"> IF( TRIM( meta_Columns[[#This Row],[Kind:src]] ) = "", "",
        INDEX( meta_Classifiers[Display Qualified], MATCH( meta_Columns[[#This Row],[Kind:src]], meta_Classifiers[ID], 0 ) ) )</f>
        <v>ExcelColumn</v>
      </c>
      <c r="D411" s="44" t="str">
        <f>IF(meta_Columns[[#This Row],[Owning Table:src]]="","",INDEX(meta_Classifiers[Package],MATCH(meta_Columns[[#This Row],[Owning Table Instances Class]],meta_Classifiers[ID],0)))</f>
        <v>myxyzpackage</v>
      </c>
      <c r="E411" s="43"/>
      <c r="F411" s="44" t="str">
        <f>INDEX(meta_Tables[Excel Table - Excel Name],MATCH(meta_Columns[[#This Row],[Owning Table:src]],meta_Tables[ID],0))</f>
        <v>myxyzpackage_MyXYZ_Objects</v>
      </c>
      <c r="G411" s="44" t="str">
        <f>INDEX(meta_Tables[Instances Class:src],MATCH(meta_Columns[[#This Row],[Owning Table:src]],meta_Tables[ID],0))</f>
        <v>myxyzpackage::MyXYZ_Object</v>
      </c>
      <c r="H411" s="11" t="s">
        <v>989</v>
      </c>
      <c r="I411" s="43" t="str">
        <f xml:space="preserve"> IF( TRIM( meta_Columns[[#This Row],[Owning Table:src]] ) = "", "",
        INDEX( meta_Tables[Display Qualified], MATCH( meta_Columns[[#This Row],[Owning Table:src]], meta_Tables[ID], 0 ) ) )</f>
        <v>myxyzpackage::MyXYZ_Objects</v>
      </c>
      <c r="K411" s="22" t="str">
        <f>IF(TRIM(meta_Columns[[#This Row],[Referenced Table:src]])="","",
    INDEX(meta_Tables[Display Qualified],MATCH(meta_Columns[[#This Row],[Referenced Table:src]],meta_Tables[ID],0)))</f>
        <v/>
      </c>
      <c r="L411" s="8"/>
      <c r="M411" s="22"/>
      <c r="N411" s="8" t="str">
        <f>IF(meta_Columns[[#This Row],[Excel Column - Excel Formula]]="","x","")</f>
        <v>x</v>
      </c>
      <c r="O411" s="22"/>
      <c r="P411" s="8" t="str">
        <f>IF(meta_Columns[[#This Row],[Referenced Table:src]]="","",INDEX(meta_Tables[Instances Class],MATCH(meta_Columns[[#This Row],[Referenced Table:src]],meta_Tables[ID],0)))</f>
        <v/>
      </c>
      <c r="Q4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1" s="8" t="s">
        <v>246</v>
      </c>
      <c r="S411" s="22" t="str">
        <f xml:space="preserve"> IF( TRIM( meta_Columns[[#This Row],[Property:src]] ) = "", "",
        INDEX( meta_TypedModelElements[Display Qualified], MATCH( meta_Columns[[#This Row],[Property:src]], meta_TypedModelElements[ID], 0 ) ) )</f>
        <v>meta::Object.iD</v>
      </c>
      <c r="T411" s="22"/>
      <c r="U411" s="8" t="e">
        <f>INDEX(meta_Classifiers[Class - Generalization:src], MATCH(meta_Columns[[#This Row],[Generalization 5]],meta_Classifiers[ID],0))</f>
        <v>#N/A</v>
      </c>
      <c r="V411" s="8" t="e">
        <f>INDEX(meta_Classifiers[Class - Generalization:src], MATCH(meta_Columns[[#This Row],[Generalization 4]],meta_Classifiers[ID],0))</f>
        <v>#N/A</v>
      </c>
      <c r="W411" s="8" t="e">
        <f>INDEX(meta_Classifiers[Class - Generalization:src], MATCH(meta_Columns[[#This Row],[Generalization 3]],meta_Classifiers[ID],0))</f>
        <v>#N/A</v>
      </c>
      <c r="X411" s="8" t="e">
        <f>INDEX(meta_Classifiers[Class - Generalization:src], MATCH(meta_Columns[[#This Row],[Generalization 2]],meta_Classifiers[ID],0))</f>
        <v>#N/A</v>
      </c>
      <c r="Y411" s="8" t="str">
        <f>INDEX(meta_Classifiers[Class - Generalization:src], MATCH(meta_Columns[[#This Row],[Generalization 1]],meta_Classifiers[ID],0))</f>
        <v/>
      </c>
      <c r="Z411" s="8" t="str">
        <f>INDEX(meta_Classifiers[Class - Generalization:src], MATCH(meta_Columns[[#This Row],[Owning Table Instances Class]],meta_Classifiers[ID],0))</f>
        <v>_Object</v>
      </c>
      <c r="AA4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1" s="8" t="b">
        <f>_xlfn.IFNA(
INDEX(meta_Classifiers[Class - Generalization:src],MATCH(
INDEX(meta_Classifiers[Class - Generalization:src],MATCH(meta_Columns[[#This Row],[Property Owning Class]],meta_Classifiers[ID],0)),meta_Classifiers[ID],0))
=meta_Columns[[#This Row],[Owning Table Instances Class]],FALSE)</f>
        <v>0</v>
      </c>
      <c r="AG411" s="8" t="b">
        <f>_xlfn.IFNA(INDEX(meta_Classifiers[Class - Generalization:src],MATCH(meta_Columns[[#This Row],[Property Owning Class]],meta_Classifiers[ID],0))=meta_Columns[[#This Row],[Owning Table Instances Class]],FALSE)</f>
        <v>0</v>
      </c>
      <c r="AH4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1" s="8" t="str">
        <f>INDEX(meta_Classifiers[Name],MATCH(INDEX(meta_TypedModelElements[Property - Owning Class:src],MATCH(meta_Columns[[#This Row],[Property]],meta_TypedModelElements[ID],0)),meta_Classifiers[ID],0))</f>
        <v>Object</v>
      </c>
      <c r="AJ411" s="8" t="str">
        <f>INDEX(meta_TypedModelElements[Property - Owning Class:src],MATCH(meta_Columns[[#This Row],[Property]],meta_TypedModelElements[ID],0))</f>
        <v>_Object</v>
      </c>
      <c r="AK411" s="8" t="str">
        <f>INDEX(meta_TypedModelElements[Kind:src],MATCH(meta_Columns[[#This Row],[Property]],meta_TypedModelElements[ID],0))</f>
        <v>_Attribute</v>
      </c>
      <c r="AL411" s="8" t="str">
        <f>INDEX(meta_TypedModelElements[Name or Type],MATCH(meta_Columns[[#This Row],[Property]],meta_TypedModelElements[ID],0))</f>
        <v>ID</v>
      </c>
      <c r="AM411" s="8" t="str">
        <f>INDEX(meta_TypedModelElements[Property - Changeable],MATCH(meta_Columns[[#This Row],[Property]],meta_TypedModelElements[ID],0))</f>
        <v>x</v>
      </c>
      <c r="AN411" s="43">
        <v>1</v>
      </c>
      <c r="AO411" s="22">
        <v>1</v>
      </c>
      <c r="AP4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11" s="8" t="str">
        <f xml:space="preserve"> IF(meta_Columns[[#This Row],[Property Owning Class is Specialization of Instance Class]],meta_Columns[[#This Row],[Property Owning Class Name]]&amp;" - ","")</f>
        <v/>
      </c>
      <c r="AR4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11" s="8" t="str">
        <f>IFERROR(LEFT(meta_Columns[[#This Row],[Excel Column - Label Actual without Semantic Case]],FIND("-",
meta_Columns[[#This Row],[Excel Column - Label Actual without Semantic Case]])-2),"")</f>
        <v/>
      </c>
      <c r="AU4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11" s="22"/>
      <c r="AY411" s="8" t="str">
        <f>meta_Columns[[#This Row],[Owning Table]]&amp;"."&amp;meta_Columns[[#This Row],[Excel Column - Label]]</f>
        <v>myxyzpackage::MyXYZ_Objects.ID</v>
      </c>
      <c r="AZ411" s="43" t="s">
        <v>0</v>
      </c>
      <c r="BA411" s="44" t="str">
        <f>IF(TRIM(meta_Columns[[#This Row],[Excel Column - Label Overwrite]])&lt;&gt;"",meta_Columns[[#This Row],[Excel Column - Label Overwrite]],meta_Columns[[#This Row],[Excel Column - Label from Property or Referenced Table]])</f>
        <v>ID</v>
      </c>
      <c r="BB411" s="43"/>
      <c r="BC411" s="44" t="str">
        <f>IF(meta_Columns[[#This Row],[Excel Column - Explicit Excel Formula]]="","",meta_Columns[[#This Row],[Excel Column - Explicit Excel Formula]])</f>
        <v/>
      </c>
      <c r="BD411" s="5"/>
      <c r="BE411" s="5"/>
    </row>
    <row r="412" spans="1:57">
      <c r="A412" s="10" t="s">
        <v>1440</v>
      </c>
      <c r="B412" s="5" t="s">
        <v>546</v>
      </c>
      <c r="C412" s="22" t="str">
        <f xml:space="preserve"> IF( TRIM( meta_Columns[[#This Row],[Kind:src]] ) = "", "",
        INDEX( meta_Classifiers[Display Qualified], MATCH( meta_Columns[[#This Row],[Kind:src]], meta_Classifiers[ID], 0 ) ) )</f>
        <v>ExcelColumn</v>
      </c>
      <c r="D412" s="44" t="str">
        <f>IF(meta_Columns[[#This Row],[Owning Table:src]]="","",INDEX(meta_Classifiers[Package],MATCH(meta_Columns[[#This Row],[Owning Table Instances Class]],meta_Classifiers[ID],0)))</f>
        <v>myxyzpackage</v>
      </c>
      <c r="E412" s="43"/>
      <c r="F412" s="44" t="str">
        <f>INDEX(meta_Tables[Excel Table - Excel Name],MATCH(meta_Columns[[#This Row],[Owning Table:src]],meta_Tables[ID],0))</f>
        <v>myxyzpackage_MyXYZ_Objects</v>
      </c>
      <c r="G412" s="44" t="str">
        <f>INDEX(meta_Tables[Instances Class:src],MATCH(meta_Columns[[#This Row],[Owning Table:src]],meta_Tables[ID],0))</f>
        <v>myxyzpackage::MyXYZ_Object</v>
      </c>
      <c r="H412" s="11" t="s">
        <v>989</v>
      </c>
      <c r="I412" s="43" t="str">
        <f xml:space="preserve"> IF( TRIM( meta_Columns[[#This Row],[Owning Table:src]] ) = "", "",
        INDEX( meta_Tables[Display Qualified], MATCH( meta_Columns[[#This Row],[Owning Table:src]], meta_Tables[ID], 0 ) ) )</f>
        <v>myxyzpackage::MyXYZ_Objects</v>
      </c>
      <c r="K412" s="22" t="str">
        <f>IF(TRIM(meta_Columns[[#This Row],[Referenced Table:src]])="","",
    INDEX(meta_Tables[Display Qualified],MATCH(meta_Columns[[#This Row],[Referenced Table:src]],meta_Tables[ID],0)))</f>
        <v/>
      </c>
      <c r="L412" s="8"/>
      <c r="M412" s="22"/>
      <c r="N412" s="8" t="str">
        <f>IF(meta_Columns[[#This Row],[Excel Column - Excel Formula]]="","x","")</f>
        <v>x</v>
      </c>
      <c r="O412" s="22"/>
      <c r="P412" s="8" t="str">
        <f>IF(meta_Columns[[#This Row],[Referenced Table:src]]="","",INDEX(meta_Tables[Instances Class],MATCH(meta_Columns[[#This Row],[Referenced Table:src]],meta_Tables[ID],0)))</f>
        <v/>
      </c>
      <c r="Q4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2" s="8" t="s">
        <v>247</v>
      </c>
      <c r="S412" s="22" t="str">
        <f xml:space="preserve"> IF( TRIM( meta_Columns[[#This Row],[Property:src]] ) = "", "",
        INDEX( meta_TypedModelElements[Display Qualified], MATCH( meta_Columns[[#This Row],[Property:src]], meta_TypedModelElements[ID], 0 ) ) )</f>
        <v>meta::Object.kind</v>
      </c>
      <c r="T412" s="22" t="s">
        <v>42</v>
      </c>
      <c r="U412" s="8" t="e">
        <f>INDEX(meta_Classifiers[Class - Generalization:src], MATCH(meta_Columns[[#This Row],[Generalization 5]],meta_Classifiers[ID],0))</f>
        <v>#N/A</v>
      </c>
      <c r="V412" s="8" t="e">
        <f>INDEX(meta_Classifiers[Class - Generalization:src], MATCH(meta_Columns[[#This Row],[Generalization 4]],meta_Classifiers[ID],0))</f>
        <v>#N/A</v>
      </c>
      <c r="W412" s="8" t="e">
        <f>INDEX(meta_Classifiers[Class - Generalization:src], MATCH(meta_Columns[[#This Row],[Generalization 3]],meta_Classifiers[ID],0))</f>
        <v>#N/A</v>
      </c>
      <c r="X412" s="8" t="e">
        <f>INDEX(meta_Classifiers[Class - Generalization:src], MATCH(meta_Columns[[#This Row],[Generalization 2]],meta_Classifiers[ID],0))</f>
        <v>#N/A</v>
      </c>
      <c r="Y412" s="8" t="str">
        <f>INDEX(meta_Classifiers[Class - Generalization:src], MATCH(meta_Columns[[#This Row],[Generalization 1]],meta_Classifiers[ID],0))</f>
        <v/>
      </c>
      <c r="Z412" s="8" t="str">
        <f>INDEX(meta_Classifiers[Class - Generalization:src], MATCH(meta_Columns[[#This Row],[Owning Table Instances Class]],meta_Classifiers[ID],0))</f>
        <v>_Object</v>
      </c>
      <c r="AA4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2" s="8" t="b">
        <f>_xlfn.IFNA(
INDEX(meta_Classifiers[Class - Generalization:src],MATCH(
INDEX(meta_Classifiers[Class - Generalization:src],MATCH(meta_Columns[[#This Row],[Property Owning Class]],meta_Classifiers[ID],0)),meta_Classifiers[ID],0))
=meta_Columns[[#This Row],[Owning Table Instances Class]],FALSE)</f>
        <v>0</v>
      </c>
      <c r="AG412" s="8" t="b">
        <f>_xlfn.IFNA(INDEX(meta_Classifiers[Class - Generalization:src],MATCH(meta_Columns[[#This Row],[Property Owning Class]],meta_Classifiers[ID],0))=meta_Columns[[#This Row],[Owning Table Instances Class]],FALSE)</f>
        <v>0</v>
      </c>
      <c r="AH4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2" s="8" t="str">
        <f>INDEX(meta_Classifiers[Name],MATCH(INDEX(meta_TypedModelElements[Property - Owning Class:src],MATCH(meta_Columns[[#This Row],[Property]],meta_TypedModelElements[ID],0)),meta_Classifiers[ID],0))</f>
        <v>Object</v>
      </c>
      <c r="AJ412" s="8" t="str">
        <f>INDEX(meta_TypedModelElements[Property - Owning Class:src],MATCH(meta_Columns[[#This Row],[Property]],meta_TypedModelElements[ID],0))</f>
        <v>_Object</v>
      </c>
      <c r="AK412" s="8" t="str">
        <f>INDEX(meta_TypedModelElements[Kind:src],MATCH(meta_Columns[[#This Row],[Property]],meta_TypedModelElements[ID],0))</f>
        <v>_Reference</v>
      </c>
      <c r="AL412" s="8" t="str">
        <f>INDEX(meta_TypedModelElements[Name or Type],MATCH(meta_Columns[[#This Row],[Property]],meta_TypedModelElements[ID],0))</f>
        <v>Kind</v>
      </c>
      <c r="AM412" s="8" t="str">
        <f>INDEX(meta_TypedModelElements[Property - Changeable],MATCH(meta_Columns[[#This Row],[Property]],meta_TypedModelElements[ID],0))</f>
        <v>x</v>
      </c>
      <c r="AN412" s="43">
        <v>2</v>
      </c>
      <c r="AO412" s="22">
        <v>2</v>
      </c>
      <c r="AP4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12" s="8" t="str">
        <f xml:space="preserve"> IF(meta_Columns[[#This Row],[Property Owning Class is Specialization of Instance Class]],meta_Columns[[#This Row],[Property Owning Class Name]]&amp;" - ","")</f>
        <v/>
      </c>
      <c r="AR4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2" s="8" t="str">
        <f>IFERROR(LEFT(meta_Columns[[#This Row],[Excel Column - Label Actual without Semantic Case]],FIND("-",
meta_Columns[[#This Row],[Excel Column - Label Actual without Semantic Case]])-2),"")</f>
        <v/>
      </c>
      <c r="AU4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12" s="22"/>
      <c r="AY412" s="8" t="str">
        <f>meta_Columns[[#This Row],[Owning Table]]&amp;"."&amp;meta_Columns[[#This Row],[Excel Column - Label]]</f>
        <v>myxyzpackage::MyXYZ_Objects.Kind:src</v>
      </c>
      <c r="AZ412" s="43" t="s">
        <v>230</v>
      </c>
      <c r="BA412" s="44" t="str">
        <f>IF(TRIM(meta_Columns[[#This Row],[Excel Column - Label Overwrite]])&lt;&gt;"",meta_Columns[[#This Row],[Excel Column - Label Overwrite]],meta_Columns[[#This Row],[Excel Column - Label from Property or Referenced Table]])</f>
        <v>Kind:src</v>
      </c>
      <c r="BB412" s="43"/>
      <c r="BC412" s="44" t="str">
        <f>IF(meta_Columns[[#This Row],[Excel Column - Explicit Excel Formula]]="","",meta_Columns[[#This Row],[Excel Column - Explicit Excel Formula]])</f>
        <v/>
      </c>
      <c r="BD412" s="5"/>
      <c r="BE412" s="5"/>
    </row>
    <row r="413" spans="1:57">
      <c r="A413" s="10" t="s">
        <v>1441</v>
      </c>
      <c r="B413" s="5" t="s">
        <v>546</v>
      </c>
      <c r="C413" s="22" t="str">
        <f xml:space="preserve"> IF( TRIM( meta_Columns[[#This Row],[Kind:src]] ) = "", "",
        INDEX( meta_Classifiers[Display Qualified], MATCH( meta_Columns[[#This Row],[Kind:src]], meta_Classifiers[ID], 0 ) ) )</f>
        <v>ExcelColumn</v>
      </c>
      <c r="D413" s="44" t="str">
        <f>IF(meta_Columns[[#This Row],[Owning Table:src]]="","",INDEX(meta_Classifiers[Package],MATCH(meta_Columns[[#This Row],[Owning Table Instances Class]],meta_Classifiers[ID],0)))</f>
        <v>myxyzpackage</v>
      </c>
      <c r="E413" s="43"/>
      <c r="F413" s="44" t="str">
        <f>INDEX(meta_Tables[Excel Table - Excel Name],MATCH(meta_Columns[[#This Row],[Owning Table:src]],meta_Tables[ID],0))</f>
        <v>myxyzpackage_MyXYZ_Objects</v>
      </c>
      <c r="G413" s="44" t="str">
        <f>INDEX(meta_Tables[Instances Class:src],MATCH(meta_Columns[[#This Row],[Owning Table:src]],meta_Tables[ID],0))</f>
        <v>myxyzpackage::MyXYZ_Object</v>
      </c>
      <c r="H413" s="11" t="s">
        <v>989</v>
      </c>
      <c r="I413" s="43" t="str">
        <f xml:space="preserve"> IF( TRIM( meta_Columns[[#This Row],[Owning Table:src]] ) = "", "",
        INDEX( meta_Tables[Display Qualified], MATCH( meta_Columns[[#This Row],[Owning Table:src]], meta_Tables[ID], 0 ) ) )</f>
        <v>myxyzpackage::MyXYZ_Objects</v>
      </c>
      <c r="K413" s="22" t="str">
        <f>IF(TRIM(meta_Columns[[#This Row],[Referenced Table:src]])="","",
    INDEX(meta_Tables[Display Qualified],MATCH(meta_Columns[[#This Row],[Referenced Table:src]],meta_Tables[ID],0)))</f>
        <v/>
      </c>
      <c r="L413" s="8"/>
      <c r="M413" s="22"/>
      <c r="N413" s="8" t="str">
        <f>IF(meta_Columns[[#This Row],[Excel Column - Excel Formula]]="","x","")</f>
        <v>x</v>
      </c>
      <c r="O413" s="22"/>
      <c r="P413" s="8" t="str">
        <f>IF(meta_Columns[[#This Row],[Referenced Table:src]]="","",INDEX(meta_Tables[Instances Class],MATCH(meta_Columns[[#This Row],[Referenced Table:src]],meta_Tables[ID],0)))</f>
        <v/>
      </c>
      <c r="Q4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3" s="8" t="s">
        <v>247</v>
      </c>
      <c r="S413" s="22" t="str">
        <f xml:space="preserve"> IF( TRIM( meta_Columns[[#This Row],[Property:src]] ) = "", "",
        INDEX( meta_TypedModelElements[Display Qualified], MATCH( meta_Columns[[#This Row],[Property:src]], meta_TypedModelElements[ID], 0 ) ) )</f>
        <v>meta::Object.kind</v>
      </c>
      <c r="T413" s="22"/>
      <c r="U413" s="8" t="e">
        <f>INDEX(meta_Classifiers[Class - Generalization:src], MATCH(meta_Columns[[#This Row],[Generalization 5]],meta_Classifiers[ID],0))</f>
        <v>#N/A</v>
      </c>
      <c r="V413" s="8" t="e">
        <f>INDEX(meta_Classifiers[Class - Generalization:src], MATCH(meta_Columns[[#This Row],[Generalization 4]],meta_Classifiers[ID],0))</f>
        <v>#N/A</v>
      </c>
      <c r="W413" s="8" t="e">
        <f>INDEX(meta_Classifiers[Class - Generalization:src], MATCH(meta_Columns[[#This Row],[Generalization 3]],meta_Classifiers[ID],0))</f>
        <v>#N/A</v>
      </c>
      <c r="X413" s="8" t="e">
        <f>INDEX(meta_Classifiers[Class - Generalization:src], MATCH(meta_Columns[[#This Row],[Generalization 2]],meta_Classifiers[ID],0))</f>
        <v>#N/A</v>
      </c>
      <c r="Y413" s="8" t="str">
        <f>INDEX(meta_Classifiers[Class - Generalization:src], MATCH(meta_Columns[[#This Row],[Generalization 1]],meta_Classifiers[ID],0))</f>
        <v/>
      </c>
      <c r="Z413" s="8" t="str">
        <f>INDEX(meta_Classifiers[Class - Generalization:src], MATCH(meta_Columns[[#This Row],[Owning Table Instances Class]],meta_Classifiers[ID],0))</f>
        <v>_Object</v>
      </c>
      <c r="AA4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3" s="8" t="b">
        <f>_xlfn.IFNA(
INDEX(meta_Classifiers[Class - Generalization:src],MATCH(
INDEX(meta_Classifiers[Class - Generalization:src],MATCH(meta_Columns[[#This Row],[Property Owning Class]],meta_Classifiers[ID],0)),meta_Classifiers[ID],0))
=meta_Columns[[#This Row],[Owning Table Instances Class]],FALSE)</f>
        <v>0</v>
      </c>
      <c r="AG413" s="8" t="b">
        <f>_xlfn.IFNA(INDEX(meta_Classifiers[Class - Generalization:src],MATCH(meta_Columns[[#This Row],[Property Owning Class]],meta_Classifiers[ID],0))=meta_Columns[[#This Row],[Owning Table Instances Class]],FALSE)</f>
        <v>0</v>
      </c>
      <c r="AH4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3" s="8" t="str">
        <f>INDEX(meta_Classifiers[Name],MATCH(INDEX(meta_TypedModelElements[Property - Owning Class:src],MATCH(meta_Columns[[#This Row],[Property]],meta_TypedModelElements[ID],0)),meta_Classifiers[ID],0))</f>
        <v>Object</v>
      </c>
      <c r="AJ413" s="8" t="str">
        <f>INDEX(meta_TypedModelElements[Property - Owning Class:src],MATCH(meta_Columns[[#This Row],[Property]],meta_TypedModelElements[ID],0))</f>
        <v>_Object</v>
      </c>
      <c r="AK413" s="8" t="str">
        <f>INDEX(meta_TypedModelElements[Kind:src],MATCH(meta_Columns[[#This Row],[Property]],meta_TypedModelElements[ID],0))</f>
        <v>_Reference</v>
      </c>
      <c r="AL413" s="8" t="str">
        <f>INDEX(meta_TypedModelElements[Name or Type],MATCH(meta_Columns[[#This Row],[Property]],meta_TypedModelElements[ID],0))</f>
        <v>Kind</v>
      </c>
      <c r="AM413" s="8" t="str">
        <f>INDEX(meta_TypedModelElements[Property - Changeable],MATCH(meta_Columns[[#This Row],[Property]],meta_TypedModelElements[ID],0))</f>
        <v>x</v>
      </c>
      <c r="AN413" s="43">
        <v>3</v>
      </c>
      <c r="AO413" s="22">
        <v>3</v>
      </c>
      <c r="AP4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13" s="8" t="str">
        <f xml:space="preserve"> IF(meta_Columns[[#This Row],[Property Owning Class is Specialization of Instance Class]],meta_Columns[[#This Row],[Property Owning Class Name]]&amp;" - ","")</f>
        <v/>
      </c>
      <c r="AR4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3" s="8" t="str">
        <f>IFERROR(LEFT(meta_Columns[[#This Row],[Excel Column - Label Actual without Semantic Case]],FIND("-",
meta_Columns[[#This Row],[Excel Column - Label Actual without Semantic Case]])-2),"")</f>
        <v/>
      </c>
      <c r="AU4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13" s="22"/>
      <c r="AY413" s="8" t="str">
        <f>meta_Columns[[#This Row],[Owning Table]]&amp;"."&amp;meta_Columns[[#This Row],[Excel Column - Label]]</f>
        <v>myxyzpackage::MyXYZ_Objects.Kind</v>
      </c>
      <c r="AZ413" s="43" t="s">
        <v>5</v>
      </c>
      <c r="BA413" s="44" t="str">
        <f>IF(TRIM(meta_Columns[[#This Row],[Excel Column - Label Overwrite]])&lt;&gt;"",meta_Columns[[#This Row],[Excel Column - Label Overwrite]],meta_Columns[[#This Row],[Excel Column - Label from Property or Referenced Table]])</f>
        <v>Kind</v>
      </c>
      <c r="BB413" s="43"/>
      <c r="BC413" s="44" t="str">
        <f>IF(meta_Columns[[#This Row],[Excel Column - Explicit Excel Formula]]="","",meta_Columns[[#This Row],[Excel Column - Explicit Excel Formula]])</f>
        <v/>
      </c>
      <c r="BD413" s="5"/>
      <c r="BE413" s="5"/>
    </row>
    <row r="414" spans="1:57">
      <c r="A414" s="10" t="s">
        <v>1442</v>
      </c>
      <c r="B414" s="5" t="s">
        <v>546</v>
      </c>
      <c r="C414" s="22" t="str">
        <f xml:space="preserve"> IF( TRIM( meta_Columns[[#This Row],[Kind:src]] ) = "", "",
        INDEX( meta_Classifiers[Display Qualified], MATCH( meta_Columns[[#This Row],[Kind:src]], meta_Classifiers[ID], 0 ) ) )</f>
        <v>ExcelColumn</v>
      </c>
      <c r="D414" s="44" t="str">
        <f>IF(meta_Columns[[#This Row],[Owning Table:src]]="","",INDEX(meta_Classifiers[Package],MATCH(meta_Columns[[#This Row],[Owning Table Instances Class]],meta_Classifiers[ID],0)))</f>
        <v>myxyzpackage</v>
      </c>
      <c r="E414" s="43"/>
      <c r="F414" s="44" t="str">
        <f>INDEX(meta_Tables[Excel Table - Excel Name],MATCH(meta_Columns[[#This Row],[Owning Table:src]],meta_Tables[ID],0))</f>
        <v>myxyzpackage_MyXYZ_Objects</v>
      </c>
      <c r="G414" s="44" t="str">
        <f>INDEX(meta_Tables[Instances Class:src],MATCH(meta_Columns[[#This Row],[Owning Table:src]],meta_Tables[ID],0))</f>
        <v>myxyzpackage::MyXYZ_Object</v>
      </c>
      <c r="H414" s="11" t="s">
        <v>989</v>
      </c>
      <c r="I414" s="43" t="str">
        <f xml:space="preserve"> IF( TRIM( meta_Columns[[#This Row],[Owning Table:src]] ) = "", "",
        INDEX( meta_Tables[Display Qualified], MATCH( meta_Columns[[#This Row],[Owning Table:src]], meta_Tables[ID], 0 ) ) )</f>
        <v>myxyzpackage::MyXYZ_Objects</v>
      </c>
      <c r="K414" s="22" t="str">
        <f>IF(TRIM(meta_Columns[[#This Row],[Referenced Table:src]])="","",
    INDEX(meta_Tables[Display Qualified],MATCH(meta_Columns[[#This Row],[Referenced Table:src]],meta_Tables[ID],0)))</f>
        <v/>
      </c>
      <c r="L414" s="8"/>
      <c r="M414" s="22"/>
      <c r="N414" s="8" t="str">
        <f>IF(meta_Columns[[#This Row],[Excel Column - Excel Formula]]="","x","")</f>
        <v>x</v>
      </c>
      <c r="O414" s="22"/>
      <c r="P414" s="8" t="str">
        <f>IF(meta_Columns[[#This Row],[Referenced Table:src]]="","",INDEX(meta_Tables[Instances Class],MATCH(meta_Columns[[#This Row],[Referenced Table:src]],meta_Tables[ID],0)))</f>
        <v/>
      </c>
      <c r="Q4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4" s="8" t="s">
        <v>248</v>
      </c>
      <c r="S414" s="22" t="str">
        <f xml:space="preserve"> IF( TRIM( meta_Columns[[#This Row],[Property:src]] ) = "", "",
        INDEX( meta_TypedModelElements[Display Qualified], MATCH( meta_Columns[[#This Row],[Property:src]], meta_TypedModelElements[ID], 0 ) ) )</f>
        <v>meta::Object.package</v>
      </c>
      <c r="T414" s="22"/>
      <c r="U414" s="8" t="e">
        <f>INDEX(meta_Classifiers[Class - Generalization:src], MATCH(meta_Columns[[#This Row],[Generalization 5]],meta_Classifiers[ID],0))</f>
        <v>#N/A</v>
      </c>
      <c r="V414" s="8" t="e">
        <f>INDEX(meta_Classifiers[Class - Generalization:src], MATCH(meta_Columns[[#This Row],[Generalization 4]],meta_Classifiers[ID],0))</f>
        <v>#N/A</v>
      </c>
      <c r="W414" s="8" t="e">
        <f>INDEX(meta_Classifiers[Class - Generalization:src], MATCH(meta_Columns[[#This Row],[Generalization 3]],meta_Classifiers[ID],0))</f>
        <v>#N/A</v>
      </c>
      <c r="X414" s="8" t="e">
        <f>INDEX(meta_Classifiers[Class - Generalization:src], MATCH(meta_Columns[[#This Row],[Generalization 2]],meta_Classifiers[ID],0))</f>
        <v>#N/A</v>
      </c>
      <c r="Y414" s="8" t="str">
        <f>INDEX(meta_Classifiers[Class - Generalization:src], MATCH(meta_Columns[[#This Row],[Generalization 1]],meta_Classifiers[ID],0))</f>
        <v/>
      </c>
      <c r="Z414" s="8" t="str">
        <f>INDEX(meta_Classifiers[Class - Generalization:src], MATCH(meta_Columns[[#This Row],[Owning Table Instances Class]],meta_Classifiers[ID],0))</f>
        <v>_Object</v>
      </c>
      <c r="AA4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4" s="8" t="b">
        <f>_xlfn.IFNA(
INDEX(meta_Classifiers[Class - Generalization:src],MATCH(
INDEX(meta_Classifiers[Class - Generalization:src],MATCH(meta_Columns[[#This Row],[Property Owning Class]],meta_Classifiers[ID],0)),meta_Classifiers[ID],0))
=meta_Columns[[#This Row],[Owning Table Instances Class]],FALSE)</f>
        <v>0</v>
      </c>
      <c r="AG414" s="8" t="b">
        <f>_xlfn.IFNA(INDEX(meta_Classifiers[Class - Generalization:src],MATCH(meta_Columns[[#This Row],[Property Owning Class]],meta_Classifiers[ID],0))=meta_Columns[[#This Row],[Owning Table Instances Class]],FALSE)</f>
        <v>0</v>
      </c>
      <c r="AH4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4" s="8" t="str">
        <f>INDEX(meta_Classifiers[Name],MATCH(INDEX(meta_TypedModelElements[Property - Owning Class:src],MATCH(meta_Columns[[#This Row],[Property]],meta_TypedModelElements[ID],0)),meta_Classifiers[ID],0))</f>
        <v>Object</v>
      </c>
      <c r="AJ414" s="8" t="str">
        <f>INDEX(meta_TypedModelElements[Property - Owning Class:src],MATCH(meta_Columns[[#This Row],[Property]],meta_TypedModelElements[ID],0))</f>
        <v>_Object</v>
      </c>
      <c r="AK414" s="8" t="str">
        <f>INDEX(meta_TypedModelElements[Kind:src],MATCH(meta_Columns[[#This Row],[Property]],meta_TypedModelElements[ID],0))</f>
        <v>_Attribute</v>
      </c>
      <c r="AL414" s="8" t="str">
        <f>INDEX(meta_TypedModelElements[Name or Type],MATCH(meta_Columns[[#This Row],[Property]],meta_TypedModelElements[ID],0))</f>
        <v>Package</v>
      </c>
      <c r="AM414" s="8" t="str">
        <f>INDEX(meta_TypedModelElements[Property - Changeable],MATCH(meta_Columns[[#This Row],[Property]],meta_TypedModelElements[ID],0))</f>
        <v>x</v>
      </c>
      <c r="AN414" s="43">
        <v>4</v>
      </c>
      <c r="AO414" s="22">
        <v>4</v>
      </c>
      <c r="AP4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4" s="8" t="str">
        <f xml:space="preserve"> IF(meta_Columns[[#This Row],[Property Owning Class is Specialization of Instance Class]],meta_Columns[[#This Row],[Property Owning Class Name]]&amp;" - ","")</f>
        <v/>
      </c>
      <c r="AR4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4" s="8" t="str">
        <f>IFERROR(LEFT(meta_Columns[[#This Row],[Excel Column - Label Actual without Semantic Case]],FIND("-",
meta_Columns[[#This Row],[Excel Column - Label Actual without Semantic Case]])-2),"")</f>
        <v/>
      </c>
      <c r="AU4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4" s="22"/>
      <c r="AY414" s="8" t="str">
        <f>meta_Columns[[#This Row],[Owning Table]]&amp;"."&amp;meta_Columns[[#This Row],[Excel Column - Label]]</f>
        <v>myxyzpackage::MyXYZ_Objects.Package</v>
      </c>
      <c r="AZ414" s="43" t="s">
        <v>120</v>
      </c>
      <c r="BA414" s="44" t="str">
        <f>IF(TRIM(meta_Columns[[#This Row],[Excel Column - Label Overwrite]])&lt;&gt;"",meta_Columns[[#This Row],[Excel Column - Label Overwrite]],meta_Columns[[#This Row],[Excel Column - Label from Property or Referenced Table]])</f>
        <v>Package</v>
      </c>
      <c r="BB414" s="43"/>
      <c r="BC414" s="44" t="str">
        <f>IF(meta_Columns[[#This Row],[Excel Column - Explicit Excel Formula]]="","",meta_Columns[[#This Row],[Excel Column - Explicit Excel Formula]])</f>
        <v/>
      </c>
      <c r="BD414" s="5"/>
      <c r="BE414" s="5"/>
    </row>
    <row r="415" spans="1:57">
      <c r="A415" s="10" t="s">
        <v>1443</v>
      </c>
      <c r="B415" s="5" t="s">
        <v>546</v>
      </c>
      <c r="C415" s="22" t="str">
        <f xml:space="preserve"> IF( TRIM( meta_Columns[[#This Row],[Kind:src]] ) = "", "",
        INDEX( meta_Classifiers[Display Qualified], MATCH( meta_Columns[[#This Row],[Kind:src]], meta_Classifiers[ID], 0 ) ) )</f>
        <v>ExcelColumn</v>
      </c>
      <c r="D415" s="44" t="str">
        <f>IF(meta_Columns[[#This Row],[Owning Table:src]]="","",INDEX(meta_Classifiers[Package],MATCH(meta_Columns[[#This Row],[Owning Table Instances Class]],meta_Classifiers[ID],0)))</f>
        <v>myxyzpackage</v>
      </c>
      <c r="E415" s="43"/>
      <c r="F415" s="44" t="str">
        <f>INDEX(meta_Tables[Excel Table - Excel Name],MATCH(meta_Columns[[#This Row],[Owning Table:src]],meta_Tables[ID],0))</f>
        <v>myxyzpackage_MyXYZ_Objects</v>
      </c>
      <c r="G415" s="44" t="str">
        <f>INDEX(meta_Tables[Instances Class:src],MATCH(meta_Columns[[#This Row],[Owning Table:src]],meta_Tables[ID],0))</f>
        <v>myxyzpackage::MyXYZ_Object</v>
      </c>
      <c r="H415" s="11" t="s">
        <v>989</v>
      </c>
      <c r="I415" s="43" t="str">
        <f xml:space="preserve"> IF( TRIM( meta_Columns[[#This Row],[Owning Table:src]] ) = "", "",
        INDEX( meta_Tables[Display Qualified], MATCH( meta_Columns[[#This Row],[Owning Table:src]], meta_Tables[ID], 0 ) ) )</f>
        <v>myxyzpackage::MyXYZ_Objects</v>
      </c>
      <c r="K415" s="22" t="str">
        <f>IF(TRIM(meta_Columns[[#This Row],[Referenced Table:src]])="","",
    INDEX(meta_Tables[Display Qualified],MATCH(meta_Columns[[#This Row],[Referenced Table:src]],meta_Tables[ID],0)))</f>
        <v/>
      </c>
      <c r="L415" s="8"/>
      <c r="M415" s="22"/>
      <c r="N415" s="8" t="str">
        <f>IF(meta_Columns[[#This Row],[Excel Column - Excel Formula]]="","x","")</f>
        <v>x</v>
      </c>
      <c r="O415" s="22"/>
      <c r="P415" s="8" t="str">
        <f>IF(meta_Columns[[#This Row],[Referenced Table:src]]="","",INDEX(meta_Tables[Instances Class],MATCH(meta_Columns[[#This Row],[Referenced Table:src]],meta_Tables[ID],0)))</f>
        <v/>
      </c>
      <c r="Q4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5" s="8" t="s">
        <v>460</v>
      </c>
      <c r="S415" s="22" t="str">
        <f xml:space="preserve"> IF( TRIM( meta_Columns[[#This Row],[Property:src]] ) = "", "",
        INDEX( meta_TypedModelElements[Display Qualified], MATCH( meta_Columns[[#This Row],[Property:src]], meta_TypedModelElements[ID], 0 ) ) )</f>
        <v>meta::Object.subPackage</v>
      </c>
      <c r="T415" s="22"/>
      <c r="U415" s="8" t="e">
        <f>INDEX(meta_Classifiers[Class - Generalization:src], MATCH(meta_Columns[[#This Row],[Generalization 5]],meta_Classifiers[ID],0))</f>
        <v>#N/A</v>
      </c>
      <c r="V415" s="8" t="e">
        <f>INDEX(meta_Classifiers[Class - Generalization:src], MATCH(meta_Columns[[#This Row],[Generalization 4]],meta_Classifiers[ID],0))</f>
        <v>#N/A</v>
      </c>
      <c r="W415" s="8" t="e">
        <f>INDEX(meta_Classifiers[Class - Generalization:src], MATCH(meta_Columns[[#This Row],[Generalization 3]],meta_Classifiers[ID],0))</f>
        <v>#N/A</v>
      </c>
      <c r="X415" s="8" t="e">
        <f>INDEX(meta_Classifiers[Class - Generalization:src], MATCH(meta_Columns[[#This Row],[Generalization 2]],meta_Classifiers[ID],0))</f>
        <v>#N/A</v>
      </c>
      <c r="Y415" s="8" t="str">
        <f>INDEX(meta_Classifiers[Class - Generalization:src], MATCH(meta_Columns[[#This Row],[Generalization 1]],meta_Classifiers[ID],0))</f>
        <v/>
      </c>
      <c r="Z415" s="8" t="str">
        <f>INDEX(meta_Classifiers[Class - Generalization:src], MATCH(meta_Columns[[#This Row],[Owning Table Instances Class]],meta_Classifiers[ID],0))</f>
        <v>_Object</v>
      </c>
      <c r="AA4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5" s="8" t="b">
        <f>_xlfn.IFNA(
INDEX(meta_Classifiers[Class - Generalization:src],MATCH(
INDEX(meta_Classifiers[Class - Generalization:src],MATCH(meta_Columns[[#This Row],[Property Owning Class]],meta_Classifiers[ID],0)),meta_Classifiers[ID],0))
=meta_Columns[[#This Row],[Owning Table Instances Class]],FALSE)</f>
        <v>0</v>
      </c>
      <c r="AG415" s="8" t="b">
        <f>_xlfn.IFNA(INDEX(meta_Classifiers[Class - Generalization:src],MATCH(meta_Columns[[#This Row],[Property Owning Class]],meta_Classifiers[ID],0))=meta_Columns[[#This Row],[Owning Table Instances Class]],FALSE)</f>
        <v>0</v>
      </c>
      <c r="AH4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5" s="8" t="str">
        <f>INDEX(meta_Classifiers[Name],MATCH(INDEX(meta_TypedModelElements[Property - Owning Class:src],MATCH(meta_Columns[[#This Row],[Property]],meta_TypedModelElements[ID],0)),meta_Classifiers[ID],0))</f>
        <v>Object</v>
      </c>
      <c r="AJ415" s="8" t="str">
        <f>INDEX(meta_TypedModelElements[Property - Owning Class:src],MATCH(meta_Columns[[#This Row],[Property]],meta_TypedModelElements[ID],0))</f>
        <v>_Object</v>
      </c>
      <c r="AK415" s="8" t="str">
        <f>INDEX(meta_TypedModelElements[Kind:src],MATCH(meta_Columns[[#This Row],[Property]],meta_TypedModelElements[ID],0))</f>
        <v>_Attribute</v>
      </c>
      <c r="AL415" s="8" t="str">
        <f>INDEX(meta_TypedModelElements[Name or Type],MATCH(meta_Columns[[#This Row],[Property]],meta_TypedModelElements[ID],0))</f>
        <v>Sub Package</v>
      </c>
      <c r="AM415" s="8" t="str">
        <f>INDEX(meta_TypedModelElements[Property - Changeable],MATCH(meta_Columns[[#This Row],[Property]],meta_TypedModelElements[ID],0))</f>
        <v>x</v>
      </c>
      <c r="AN415" s="43">
        <v>5</v>
      </c>
      <c r="AO415" s="22">
        <v>5</v>
      </c>
      <c r="AP4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15" s="8" t="str">
        <f xml:space="preserve"> IF(meta_Columns[[#This Row],[Property Owning Class is Specialization of Instance Class]],meta_Columns[[#This Row],[Property Owning Class Name]]&amp;" - ","")</f>
        <v/>
      </c>
      <c r="AR4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415" s="8" t="str">
        <f>IFERROR(LEFT(meta_Columns[[#This Row],[Excel Column - Label Actual without Semantic Case]],FIND("-",
meta_Columns[[#This Row],[Excel Column - Label Actual without Semantic Case]])-2),"")</f>
        <v/>
      </c>
      <c r="AU4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4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415" s="22"/>
      <c r="AY415" s="8" t="str">
        <f>meta_Columns[[#This Row],[Owning Table]]&amp;"."&amp;meta_Columns[[#This Row],[Excel Column - Label]]</f>
        <v>myxyzpackage::MyXYZ_Objects.Sub Package</v>
      </c>
      <c r="AZ415" s="43" t="s">
        <v>461</v>
      </c>
      <c r="BA415" s="44" t="str">
        <f>IF(TRIM(meta_Columns[[#This Row],[Excel Column - Label Overwrite]])&lt;&gt;"",meta_Columns[[#This Row],[Excel Column - Label Overwrite]],meta_Columns[[#This Row],[Excel Column - Label from Property or Referenced Table]])</f>
        <v>Sub Package</v>
      </c>
      <c r="BB415" s="43"/>
      <c r="BC415" s="44" t="str">
        <f>IF(meta_Columns[[#This Row],[Excel Column - Explicit Excel Formula]]="","",meta_Columns[[#This Row],[Excel Column - Explicit Excel Formula]])</f>
        <v/>
      </c>
      <c r="BD415" s="5"/>
      <c r="BE415" s="5"/>
    </row>
    <row r="416" spans="1:57">
      <c r="A416" s="10" t="s">
        <v>1444</v>
      </c>
      <c r="B416" s="5" t="s">
        <v>546</v>
      </c>
      <c r="C416" s="22" t="str">
        <f xml:space="preserve"> IF( TRIM( meta_Columns[[#This Row],[Kind:src]] ) = "", "",
        INDEX( meta_Classifiers[Display Qualified], MATCH( meta_Columns[[#This Row],[Kind:src]], meta_Classifiers[ID], 0 ) ) )</f>
        <v>ExcelColumn</v>
      </c>
      <c r="D416" s="44" t="str">
        <f>IF(meta_Columns[[#This Row],[Owning Table:src]]="","",INDEX(meta_Classifiers[Package],MATCH(meta_Columns[[#This Row],[Owning Table Instances Class]],meta_Classifiers[ID],0)))</f>
        <v>myxyzpackage</v>
      </c>
      <c r="E416" s="43"/>
      <c r="F416" s="44" t="str">
        <f>INDEX(meta_Tables[Excel Table - Excel Name],MATCH(meta_Columns[[#This Row],[Owning Table:src]],meta_Tables[ID],0))</f>
        <v>myxyzpackage_MyXYZ_Objects</v>
      </c>
      <c r="G416" s="44" t="str">
        <f>INDEX(meta_Tables[Instances Class:src],MATCH(meta_Columns[[#This Row],[Owning Table:src]],meta_Tables[ID],0))</f>
        <v>myxyzpackage::MyXYZ_Object</v>
      </c>
      <c r="H416" s="11" t="s">
        <v>989</v>
      </c>
      <c r="I416" s="43" t="str">
        <f xml:space="preserve"> IF( TRIM( meta_Columns[[#This Row],[Owning Table:src]] ) = "", "",
        INDEX( meta_Tables[Display Qualified], MATCH( meta_Columns[[#This Row],[Owning Table:src]], meta_Tables[ID], 0 ) ) )</f>
        <v>myxyzpackage::MyXYZ_Objects</v>
      </c>
      <c r="K416" s="22" t="str">
        <f>IF(TRIM(meta_Columns[[#This Row],[Referenced Table:src]])="","",
    INDEX(meta_Tables[Display Qualified],MATCH(meta_Columns[[#This Row],[Referenced Table:src]],meta_Tables[ID],0)))</f>
        <v/>
      </c>
      <c r="L416" s="8"/>
      <c r="M416" s="22"/>
      <c r="N416" s="8" t="str">
        <f>IF(meta_Columns[[#This Row],[Excel Column - Excel Formula]]="","x","")</f>
        <v>x</v>
      </c>
      <c r="O416" s="22"/>
      <c r="P416" s="8" t="str">
        <f>IF(meta_Columns[[#This Row],[Referenced Table:src]]="","",INDEX(meta_Tables[Instances Class],MATCH(meta_Columns[[#This Row],[Referenced Table:src]],meta_Tables[ID],0)))</f>
        <v/>
      </c>
      <c r="Q4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6" s="8"/>
      <c r="S416" s="22" t="str">
        <f xml:space="preserve"> IF( TRIM( meta_Columns[[#This Row],[Property:src]] ) = "", "",
        INDEX( meta_TypedModelElements[Display Qualified], MATCH( meta_Columns[[#This Row],[Property:src]], meta_TypedModelElements[ID], 0 ) ) )</f>
        <v/>
      </c>
      <c r="T416" s="22"/>
      <c r="U416" s="8" t="e">
        <f>INDEX(meta_Classifiers[Class - Generalization:src], MATCH(meta_Columns[[#This Row],[Generalization 5]],meta_Classifiers[ID],0))</f>
        <v>#N/A</v>
      </c>
      <c r="V416" s="8" t="e">
        <f>INDEX(meta_Classifiers[Class - Generalization:src], MATCH(meta_Columns[[#This Row],[Generalization 4]],meta_Classifiers[ID],0))</f>
        <v>#N/A</v>
      </c>
      <c r="W416" s="8" t="e">
        <f>INDEX(meta_Classifiers[Class - Generalization:src], MATCH(meta_Columns[[#This Row],[Generalization 3]],meta_Classifiers[ID],0))</f>
        <v>#N/A</v>
      </c>
      <c r="X416" s="8" t="e">
        <f>INDEX(meta_Classifiers[Class - Generalization:src], MATCH(meta_Columns[[#This Row],[Generalization 2]],meta_Classifiers[ID],0))</f>
        <v>#N/A</v>
      </c>
      <c r="Y416" s="8" t="str">
        <f>INDEX(meta_Classifiers[Class - Generalization:src], MATCH(meta_Columns[[#This Row],[Generalization 1]],meta_Classifiers[ID],0))</f>
        <v/>
      </c>
      <c r="Z416" s="8" t="str">
        <f>INDEX(meta_Classifiers[Class - Generalization:src], MATCH(meta_Columns[[#This Row],[Owning Table Instances Class]],meta_Classifiers[ID],0))</f>
        <v>_Object</v>
      </c>
      <c r="AA4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6" s="8" t="b">
        <f>_xlfn.IFNA(
INDEX(meta_Classifiers[Class - Generalization:src],MATCH(
INDEX(meta_Classifiers[Class - Generalization:src],MATCH(meta_Columns[[#This Row],[Property Owning Class]],meta_Classifiers[ID],0)),meta_Classifiers[ID],0))
=meta_Columns[[#This Row],[Owning Table Instances Class]],FALSE)</f>
        <v>0</v>
      </c>
      <c r="AG416" s="8" t="b">
        <f>_xlfn.IFNA(INDEX(meta_Classifiers[Class - Generalization:src],MATCH(meta_Columns[[#This Row],[Property Owning Class]],meta_Classifiers[ID],0))=meta_Columns[[#This Row],[Owning Table Instances Class]],FALSE)</f>
        <v>0</v>
      </c>
      <c r="AH4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6" s="8" t="e">
        <f>INDEX(meta_Classifiers[Name],MATCH(INDEX(meta_TypedModelElements[Property - Owning Class:src],MATCH(meta_Columns[[#This Row],[Property]],meta_TypedModelElements[ID],0)),meta_Classifiers[ID],0))</f>
        <v>#N/A</v>
      </c>
      <c r="AJ416" s="8" t="e">
        <f>INDEX(meta_TypedModelElements[Property - Owning Class:src],MATCH(meta_Columns[[#This Row],[Property]],meta_TypedModelElements[ID],0))</f>
        <v>#N/A</v>
      </c>
      <c r="AK416" s="8" t="e">
        <f>INDEX(meta_TypedModelElements[Kind:src],MATCH(meta_Columns[[#This Row],[Property]],meta_TypedModelElements[ID],0))</f>
        <v>#N/A</v>
      </c>
      <c r="AL416" s="8" t="e">
        <f>INDEX(meta_TypedModelElements[Name or Type],MATCH(meta_Columns[[#This Row],[Property]],meta_TypedModelElements[ID],0))</f>
        <v>#N/A</v>
      </c>
      <c r="AM416" s="8" t="e">
        <f>INDEX(meta_TypedModelElements[Property - Changeable],MATCH(meta_Columns[[#This Row],[Property]],meta_TypedModelElements[ID],0))</f>
        <v>#N/A</v>
      </c>
      <c r="AN416" s="43">
        <v>6</v>
      </c>
      <c r="AO416" s="22">
        <v>6</v>
      </c>
      <c r="AP4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6" s="8" t="str">
        <f xml:space="preserve"> IF(meta_Columns[[#This Row],[Property Owning Class is Specialization of Instance Class]],meta_Columns[[#This Row],[Property Owning Class Name]]&amp;" - ","")</f>
        <v/>
      </c>
      <c r="AR4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6" s="8" t="str">
        <f>IFERROR(LEFT(meta_Columns[[#This Row],[Excel Column - Label Actual without Semantic Case]],FIND("-",
meta_Columns[[#This Row],[Excel Column - Label Actual without Semantic Case]])-2),"")</f>
        <v/>
      </c>
      <c r="AU4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4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416" s="22"/>
      <c r="AY416" s="8" t="str">
        <f>meta_Columns[[#This Row],[Owning Table]]&amp;"."&amp;meta_Columns[[#This Row],[Excel Column - Label]]</f>
        <v>myxyzpackage::MyXYZ_Objects.Display:q</v>
      </c>
      <c r="AZ416" s="43" t="s">
        <v>141</v>
      </c>
      <c r="BA416" s="44" t="str">
        <f>IF(TRIM(meta_Columns[[#This Row],[Excel Column - Label Overwrite]])&lt;&gt;"",meta_Columns[[#This Row],[Excel Column - Label Overwrite]],meta_Columns[[#This Row],[Excel Column - Label from Property or Referenced Table]])</f>
        <v>Display:q</v>
      </c>
      <c r="BB416" s="43"/>
      <c r="BC416" s="44" t="str">
        <f>IF(meta_Columns[[#This Row],[Excel Column - Explicit Excel Formula]]="","",meta_Columns[[#This Row],[Excel Column - Explicit Excel Formula]])</f>
        <v/>
      </c>
      <c r="BD416" s="5"/>
      <c r="BE416" s="5"/>
    </row>
    <row r="417" spans="1:57">
      <c r="A417" s="10" t="s">
        <v>1445</v>
      </c>
      <c r="B417" s="5" t="s">
        <v>546</v>
      </c>
      <c r="C417" s="22" t="str">
        <f xml:space="preserve"> IF( TRIM( meta_Columns[[#This Row],[Kind:src]] ) = "", "",
        INDEX( meta_Classifiers[Display Qualified], MATCH( meta_Columns[[#This Row],[Kind:src]], meta_Classifiers[ID], 0 ) ) )</f>
        <v>ExcelColumn</v>
      </c>
      <c r="D417" s="44" t="str">
        <f>IF(meta_Columns[[#This Row],[Owning Table:src]]="","",INDEX(meta_Classifiers[Package],MATCH(meta_Columns[[#This Row],[Owning Table Instances Class]],meta_Classifiers[ID],0)))</f>
        <v>myxyzpackage</v>
      </c>
      <c r="E417" s="43"/>
      <c r="F417" s="44" t="str">
        <f>INDEX(meta_Tables[Excel Table - Excel Name],MATCH(meta_Columns[[#This Row],[Owning Table:src]],meta_Tables[ID],0))</f>
        <v>myxyzpackage_MyXYZ_Objects</v>
      </c>
      <c r="G417" s="44" t="str">
        <f>INDEX(meta_Tables[Instances Class:src],MATCH(meta_Columns[[#This Row],[Owning Table:src]],meta_Tables[ID],0))</f>
        <v>myxyzpackage::MyXYZ_Object</v>
      </c>
      <c r="H417" s="11" t="s">
        <v>989</v>
      </c>
      <c r="I417" s="43" t="str">
        <f xml:space="preserve"> IF( TRIM( meta_Columns[[#This Row],[Owning Table:src]] ) = "", "",
        INDEX( meta_Tables[Display Qualified], MATCH( meta_Columns[[#This Row],[Owning Table:src]], meta_Tables[ID], 0 ) ) )</f>
        <v>myxyzpackage::MyXYZ_Objects</v>
      </c>
      <c r="K417" s="22" t="str">
        <f>IF(TRIM(meta_Columns[[#This Row],[Referenced Table:src]])="","",
    INDEX(meta_Tables[Display Qualified],MATCH(meta_Columns[[#This Row],[Referenced Table:src]],meta_Tables[ID],0)))</f>
        <v/>
      </c>
      <c r="L417" s="8"/>
      <c r="M417" s="22"/>
      <c r="N417" s="8" t="str">
        <f>IF(meta_Columns[[#This Row],[Excel Column - Excel Formula]]="","x","")</f>
        <v>x</v>
      </c>
      <c r="O417" s="22"/>
      <c r="P417" s="8" t="str">
        <f>IF(meta_Columns[[#This Row],[Referenced Table:src]]="","",INDEX(meta_Tables[Instances Class],MATCH(meta_Columns[[#This Row],[Referenced Table:src]],meta_Tables[ID],0)))</f>
        <v/>
      </c>
      <c r="Q4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7" s="8"/>
      <c r="S417" s="22" t="str">
        <f xml:space="preserve"> IF( TRIM( meta_Columns[[#This Row],[Property:src]] ) = "", "",
        INDEX( meta_TypedModelElements[Display Qualified], MATCH( meta_Columns[[#This Row],[Property:src]], meta_TypedModelElements[ID], 0 ) ) )</f>
        <v/>
      </c>
      <c r="T417" s="22"/>
      <c r="U417" s="8" t="e">
        <f>INDEX(meta_Classifiers[Class - Generalization:src], MATCH(meta_Columns[[#This Row],[Generalization 5]],meta_Classifiers[ID],0))</f>
        <v>#N/A</v>
      </c>
      <c r="V417" s="8" t="e">
        <f>INDEX(meta_Classifiers[Class - Generalization:src], MATCH(meta_Columns[[#This Row],[Generalization 4]],meta_Classifiers[ID],0))</f>
        <v>#N/A</v>
      </c>
      <c r="W417" s="8" t="e">
        <f>INDEX(meta_Classifiers[Class - Generalization:src], MATCH(meta_Columns[[#This Row],[Generalization 3]],meta_Classifiers[ID],0))</f>
        <v>#N/A</v>
      </c>
      <c r="X417" s="8" t="e">
        <f>INDEX(meta_Classifiers[Class - Generalization:src], MATCH(meta_Columns[[#This Row],[Generalization 2]],meta_Classifiers[ID],0))</f>
        <v>#N/A</v>
      </c>
      <c r="Y417" s="8" t="str">
        <f>INDEX(meta_Classifiers[Class - Generalization:src], MATCH(meta_Columns[[#This Row],[Generalization 1]],meta_Classifiers[ID],0))</f>
        <v/>
      </c>
      <c r="Z417" s="8" t="str">
        <f>INDEX(meta_Classifiers[Class - Generalization:src], MATCH(meta_Columns[[#This Row],[Owning Table Instances Class]],meta_Classifiers[ID],0))</f>
        <v>_Object</v>
      </c>
      <c r="AA4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7" s="8" t="b">
        <f>_xlfn.IFNA(
INDEX(meta_Classifiers[Class - Generalization:src],MATCH(
INDEX(meta_Classifiers[Class - Generalization:src],MATCH(meta_Columns[[#This Row],[Property Owning Class]],meta_Classifiers[ID],0)),meta_Classifiers[ID],0))
=meta_Columns[[#This Row],[Owning Table Instances Class]],FALSE)</f>
        <v>0</v>
      </c>
      <c r="AG417" s="8" t="b">
        <f>_xlfn.IFNA(INDEX(meta_Classifiers[Class - Generalization:src],MATCH(meta_Columns[[#This Row],[Property Owning Class]],meta_Classifiers[ID],0))=meta_Columns[[#This Row],[Owning Table Instances Class]],FALSE)</f>
        <v>0</v>
      </c>
      <c r="AH4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7" s="8" t="e">
        <f>INDEX(meta_Classifiers[Name],MATCH(INDEX(meta_TypedModelElements[Property - Owning Class:src],MATCH(meta_Columns[[#This Row],[Property]],meta_TypedModelElements[ID],0)),meta_Classifiers[ID],0))</f>
        <v>#N/A</v>
      </c>
      <c r="AJ417" s="8" t="e">
        <f>INDEX(meta_TypedModelElements[Property - Owning Class:src],MATCH(meta_Columns[[#This Row],[Property]],meta_TypedModelElements[ID],0))</f>
        <v>#N/A</v>
      </c>
      <c r="AK417" s="8" t="e">
        <f>INDEX(meta_TypedModelElements[Kind:src],MATCH(meta_Columns[[#This Row],[Property]],meta_TypedModelElements[ID],0))</f>
        <v>#N/A</v>
      </c>
      <c r="AL417" s="8" t="e">
        <f>INDEX(meta_TypedModelElements[Name or Type],MATCH(meta_Columns[[#This Row],[Property]],meta_TypedModelElements[ID],0))</f>
        <v>#N/A</v>
      </c>
      <c r="AM417" s="8" t="e">
        <f>INDEX(meta_TypedModelElements[Property - Changeable],MATCH(meta_Columns[[#This Row],[Property]],meta_TypedModelElements[ID],0))</f>
        <v>#N/A</v>
      </c>
      <c r="AN417" s="43">
        <v>7</v>
      </c>
      <c r="AO417" s="22">
        <v>7</v>
      </c>
      <c r="AP4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7" s="8" t="str">
        <f xml:space="preserve"> IF(meta_Columns[[#This Row],[Property Owning Class is Specialization of Instance Class]],meta_Columns[[#This Row],[Property Owning Class Name]]&amp;" - ","")</f>
        <v/>
      </c>
      <c r="AR4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7" s="8" t="str">
        <f>IFERROR(LEFT(meta_Columns[[#This Row],[Excel Column - Label Actual without Semantic Case]],FIND("-",
meta_Columns[[#This Row],[Excel Column - Label Actual without Semantic Case]])-2),"")</f>
        <v/>
      </c>
      <c r="AU4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417" s="22"/>
      <c r="AY417" s="8" t="str">
        <f>meta_Columns[[#This Row],[Owning Table]]&amp;"."&amp;meta_Columns[[#This Row],[Excel Column - Label]]</f>
        <v>myxyzpackage::MyXYZ_Objects.Display</v>
      </c>
      <c r="AZ417" s="43" t="s">
        <v>32</v>
      </c>
      <c r="BA417" s="44" t="str">
        <f>IF(TRIM(meta_Columns[[#This Row],[Excel Column - Label Overwrite]])&lt;&gt;"",meta_Columns[[#This Row],[Excel Column - Label Overwrite]],meta_Columns[[#This Row],[Excel Column - Label from Property or Referenced Table]])</f>
        <v>Display</v>
      </c>
      <c r="BB417" s="43"/>
      <c r="BC417" s="44" t="str">
        <f>IF(meta_Columns[[#This Row],[Excel Column - Explicit Excel Formula]]="","",meta_Columns[[#This Row],[Excel Column - Explicit Excel Formula]])</f>
        <v/>
      </c>
      <c r="BD417" s="5"/>
      <c r="BE417" s="5"/>
    </row>
    <row r="418" spans="1:57">
      <c r="A418" s="10" t="s">
        <v>1446</v>
      </c>
      <c r="B418" s="5" t="s">
        <v>546</v>
      </c>
      <c r="C418" s="22" t="str">
        <f xml:space="preserve"> IF( TRIM( meta_Columns[[#This Row],[Kind:src]] ) = "", "",
        INDEX( meta_Classifiers[Display Qualified], MATCH( meta_Columns[[#This Row],[Kind:src]], meta_Classifiers[ID], 0 ) ) )</f>
        <v>ExcelColumn</v>
      </c>
      <c r="D418" s="44" t="str">
        <f>IF(meta_Columns[[#This Row],[Owning Table:src]]="","",INDEX(meta_Classifiers[Package],MATCH(meta_Columns[[#This Row],[Owning Table Instances Class]],meta_Classifiers[ID],0)))</f>
        <v>myxyzpackage</v>
      </c>
      <c r="E418" s="43"/>
      <c r="F418" s="44" t="str">
        <f>INDEX(meta_Tables[Excel Table - Excel Name],MATCH(meta_Columns[[#This Row],[Owning Table:src]],meta_Tables[ID],0))</f>
        <v>myxyzpackage_MyXYZ_Objects</v>
      </c>
      <c r="G418" s="44" t="str">
        <f>INDEX(meta_Tables[Instances Class:src],MATCH(meta_Columns[[#This Row],[Owning Table:src]],meta_Tables[ID],0))</f>
        <v>myxyzpackage::MyXYZ_Object</v>
      </c>
      <c r="H418" s="11" t="s">
        <v>989</v>
      </c>
      <c r="I418" s="43" t="str">
        <f xml:space="preserve"> IF( TRIM( meta_Columns[[#This Row],[Owning Table:src]] ) = "", "",
        INDEX( meta_Tables[Display Qualified], MATCH( meta_Columns[[#This Row],[Owning Table:src]], meta_Tables[ID], 0 ) ) )</f>
        <v>myxyzpackage::MyXYZ_Objects</v>
      </c>
      <c r="K418" s="22" t="str">
        <f>IF(TRIM(meta_Columns[[#This Row],[Referenced Table:src]])="","",
    INDEX(meta_Tables[Display Qualified],MATCH(meta_Columns[[#This Row],[Referenced Table:src]],meta_Tables[ID],0)))</f>
        <v/>
      </c>
      <c r="L418" s="8"/>
      <c r="M418" s="22"/>
      <c r="N418" s="8" t="str">
        <f>IF(meta_Columns[[#This Row],[Excel Column - Excel Formula]]="","x","")</f>
        <v>x</v>
      </c>
      <c r="O418" s="22"/>
      <c r="P418" s="8" t="str">
        <f>IF(meta_Columns[[#This Row],[Referenced Table:src]]="","",INDEX(meta_Tables[Instances Class],MATCH(meta_Columns[[#This Row],[Referenced Table:src]],meta_Tables[ID],0)))</f>
        <v/>
      </c>
      <c r="Q4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myxyzpackage::MyXYZ_Object.myXYZ_Column</v>
      </c>
      <c r="R418" s="8"/>
      <c r="S418" s="22" t="str">
        <f xml:space="preserve"> IF( TRIM( meta_Columns[[#This Row],[Property:src]] ) = "", "",
        INDEX( meta_TypedModelElements[Display Qualified], MATCH( meta_Columns[[#This Row],[Property:src]], meta_TypedModelElements[ID], 0 ) ) )</f>
        <v/>
      </c>
      <c r="T418" s="22"/>
      <c r="U418" s="8" t="e">
        <f>INDEX(meta_Classifiers[Class - Generalization:src], MATCH(meta_Columns[[#This Row],[Generalization 5]],meta_Classifiers[ID],0))</f>
        <v>#N/A</v>
      </c>
      <c r="V418" s="8" t="e">
        <f>INDEX(meta_Classifiers[Class - Generalization:src], MATCH(meta_Columns[[#This Row],[Generalization 4]],meta_Classifiers[ID],0))</f>
        <v>#N/A</v>
      </c>
      <c r="W418" s="8" t="e">
        <f>INDEX(meta_Classifiers[Class - Generalization:src], MATCH(meta_Columns[[#This Row],[Generalization 3]],meta_Classifiers[ID],0))</f>
        <v>#N/A</v>
      </c>
      <c r="X418" s="8" t="e">
        <f>INDEX(meta_Classifiers[Class - Generalization:src], MATCH(meta_Columns[[#This Row],[Generalization 2]],meta_Classifiers[ID],0))</f>
        <v>#N/A</v>
      </c>
      <c r="Y418" s="8" t="str">
        <f>INDEX(meta_Classifiers[Class - Generalization:src], MATCH(meta_Columns[[#This Row],[Generalization 1]],meta_Classifiers[ID],0))</f>
        <v/>
      </c>
      <c r="Z418" s="8" t="str">
        <f>INDEX(meta_Classifiers[Class - Generalization:src], MATCH(meta_Columns[[#This Row],[Owning Table Instances Class]],meta_Classifiers[ID],0))</f>
        <v>_Object</v>
      </c>
      <c r="AA4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8" s="8" t="b">
        <f>_xlfn.IFNA(
INDEX(meta_Classifiers[Class - Generalization:src],MATCH(
INDEX(meta_Classifiers[Class - Generalization:src],MATCH(meta_Columns[[#This Row],[Property Owning Class]],meta_Classifiers[ID],0)),meta_Classifiers[ID],0))
=meta_Columns[[#This Row],[Owning Table Instances Class]],FALSE)</f>
        <v>0</v>
      </c>
      <c r="AG418" s="8" t="b">
        <f>_xlfn.IFNA(INDEX(meta_Classifiers[Class - Generalization:src],MATCH(meta_Columns[[#This Row],[Property Owning Class]],meta_Classifiers[ID],0))=meta_Columns[[#This Row],[Owning Table Instances Class]],FALSE)</f>
        <v>0</v>
      </c>
      <c r="AH4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8" s="8" t="e">
        <f>INDEX(meta_Classifiers[Name],MATCH(INDEX(meta_TypedModelElements[Property - Owning Class:src],MATCH(meta_Columns[[#This Row],[Property]],meta_TypedModelElements[ID],0)),meta_Classifiers[ID],0))</f>
        <v>#N/A</v>
      </c>
      <c r="AJ418" s="8" t="e">
        <f>INDEX(meta_TypedModelElements[Property - Owning Class:src],MATCH(meta_Columns[[#This Row],[Property]],meta_TypedModelElements[ID],0))</f>
        <v>#N/A</v>
      </c>
      <c r="AK418" s="8" t="e">
        <f>INDEX(meta_TypedModelElements[Kind:src],MATCH(meta_Columns[[#This Row],[Property]],meta_TypedModelElements[ID],0))</f>
        <v>#N/A</v>
      </c>
      <c r="AL418" s="8" t="e">
        <f>INDEX(meta_TypedModelElements[Name or Type],MATCH(meta_Columns[[#This Row],[Property]],meta_TypedModelElements[ID],0))</f>
        <v>#N/A</v>
      </c>
      <c r="AM418" s="8" t="e">
        <f>INDEX(meta_TypedModelElements[Property - Changeable],MATCH(meta_Columns[[#This Row],[Property]],meta_TypedModelElements[ID],0))</f>
        <v>#N/A</v>
      </c>
      <c r="AN418" s="43">
        <v>8</v>
      </c>
      <c r="AO418" s="22">
        <v>8</v>
      </c>
      <c r="AP4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8" s="8" t="str">
        <f xml:space="preserve"> IF(meta_Columns[[#This Row],[Property Owning Class is Specialization of Instance Class]],meta_Columns[[#This Row],[Property Owning Class Name]]&amp;" - ","")</f>
        <v/>
      </c>
      <c r="AR4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My XYZ Column</v>
      </c>
      <c r="AT418" s="8" t="str">
        <f>IFERROR(LEFT(meta_Columns[[#This Row],[Excel Column - Label Actual without Semantic Case]],FIND("-",
meta_Columns[[#This Row],[Excel Column - Label Actual without Semantic Case]])-2),"")</f>
        <v/>
      </c>
      <c r="AU4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My XYZ Column</v>
      </c>
      <c r="AV4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My XYZ Column</v>
      </c>
      <c r="AX418" s="22"/>
      <c r="AY418" s="8" t="str">
        <f>meta_Columns[[#This Row],[Owning Table]]&amp;"."&amp;meta_Columns[[#This Row],[Excel Column - Label]]</f>
        <v>myxyzpackage::MyXYZ_Objects.My XYZ Column</v>
      </c>
      <c r="AZ418" s="43" t="s">
        <v>746</v>
      </c>
      <c r="BA418" s="44" t="str">
        <f>IF(TRIM(meta_Columns[[#This Row],[Excel Column - Label Overwrite]])&lt;&gt;"",meta_Columns[[#This Row],[Excel Column - Label Overwrite]],meta_Columns[[#This Row],[Excel Column - Label from Property or Referenced Table]])</f>
        <v>My XYZ Column</v>
      </c>
      <c r="BB418" s="43"/>
      <c r="BC418" s="44" t="str">
        <f>IF(meta_Columns[[#This Row],[Excel Column - Explicit Excel Formula]]="","",meta_Columns[[#This Row],[Excel Column - Explicit Excel Formula]])</f>
        <v/>
      </c>
      <c r="BD418" s="5"/>
      <c r="BE418" s="5"/>
    </row>
    <row r="419" spans="1:57">
      <c r="A419" s="10" t="s">
        <v>1447</v>
      </c>
      <c r="B419" s="5" t="s">
        <v>546</v>
      </c>
      <c r="C419" s="22" t="str">
        <f xml:space="preserve"> IF( TRIM( meta_Columns[[#This Row],[Kind:src]] ) = "", "",
        INDEX( meta_Classifiers[Display Qualified], MATCH( meta_Columns[[#This Row],[Kind:src]], meta_Classifiers[ID], 0 ) ) )</f>
        <v>ExcelColumn</v>
      </c>
      <c r="D419" s="44" t="str">
        <f>IF(meta_Columns[[#This Row],[Owning Table:src]]="","",INDEX(meta_Classifiers[Package],MATCH(meta_Columns[[#This Row],[Owning Table Instances Class]],meta_Classifiers[ID],0)))</f>
        <v>myxyzpackage</v>
      </c>
      <c r="E419" s="43"/>
      <c r="F419" s="44" t="str">
        <f>INDEX(meta_Tables[Excel Table - Excel Name],MATCH(meta_Columns[[#This Row],[Owning Table:src]],meta_Tables[ID],0))</f>
        <v>myxyzpackage_MyXYZ_Objects</v>
      </c>
      <c r="G419" s="44" t="str">
        <f>INDEX(meta_Tables[Instances Class:src],MATCH(meta_Columns[[#This Row],[Owning Table:src]],meta_Tables[ID],0))</f>
        <v>myxyzpackage::MyXYZ_Object</v>
      </c>
      <c r="H419" s="11" t="s">
        <v>989</v>
      </c>
      <c r="I419" s="43" t="str">
        <f xml:space="preserve"> IF( TRIM( meta_Columns[[#This Row],[Owning Table:src]] ) = "", "",
        INDEX( meta_Tables[Display Qualified], MATCH( meta_Columns[[#This Row],[Owning Table:src]], meta_Tables[ID], 0 ) ) )</f>
        <v>myxyzpackage::MyXYZ_Objects</v>
      </c>
      <c r="K419" s="22" t="str">
        <f>IF(TRIM(meta_Columns[[#This Row],[Referenced Table:src]])="","",
    INDEX(meta_Tables[Display Qualified],MATCH(meta_Columns[[#This Row],[Referenced Table:src]],meta_Tables[ID],0)))</f>
        <v/>
      </c>
      <c r="L419" s="8"/>
      <c r="M419" s="22"/>
      <c r="N419" s="8" t="str">
        <f>IF(meta_Columns[[#This Row],[Excel Column - Excel Formula]]="","x","")</f>
        <v>x</v>
      </c>
      <c r="O419" s="22"/>
      <c r="P419" s="8" t="str">
        <f>IF(meta_Columns[[#This Row],[Referenced Table:src]]="","",INDEX(meta_Tables[Instances Class],MATCH(meta_Columns[[#This Row],[Referenced Table:src]],meta_Tables[ID],0)))</f>
        <v/>
      </c>
      <c r="Q4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myxyzpackage::MyXYZ_Object.definition</v>
      </c>
      <c r="R419" s="8"/>
      <c r="S419" s="22" t="str">
        <f xml:space="preserve"> IF( TRIM( meta_Columns[[#This Row],[Property:src]] ) = "", "",
        INDEX( meta_TypedModelElements[Display Qualified], MATCH( meta_Columns[[#This Row],[Property:src]], meta_TypedModelElements[ID], 0 ) ) )</f>
        <v/>
      </c>
      <c r="T419" s="22"/>
      <c r="U419" s="8" t="e">
        <f>INDEX(meta_Classifiers[Class - Generalization:src], MATCH(meta_Columns[[#This Row],[Generalization 5]],meta_Classifiers[ID],0))</f>
        <v>#N/A</v>
      </c>
      <c r="V419" s="8" t="e">
        <f>INDEX(meta_Classifiers[Class - Generalization:src], MATCH(meta_Columns[[#This Row],[Generalization 4]],meta_Classifiers[ID],0))</f>
        <v>#N/A</v>
      </c>
      <c r="W419" s="8" t="e">
        <f>INDEX(meta_Classifiers[Class - Generalization:src], MATCH(meta_Columns[[#This Row],[Generalization 3]],meta_Classifiers[ID],0))</f>
        <v>#N/A</v>
      </c>
      <c r="X419" s="8" t="e">
        <f>INDEX(meta_Classifiers[Class - Generalization:src], MATCH(meta_Columns[[#This Row],[Generalization 2]],meta_Classifiers[ID],0))</f>
        <v>#N/A</v>
      </c>
      <c r="Y419" s="8" t="str">
        <f>INDEX(meta_Classifiers[Class - Generalization:src], MATCH(meta_Columns[[#This Row],[Generalization 1]],meta_Classifiers[ID],0))</f>
        <v/>
      </c>
      <c r="Z419" s="8" t="str">
        <f>INDEX(meta_Classifiers[Class - Generalization:src], MATCH(meta_Columns[[#This Row],[Owning Table Instances Class]],meta_Classifiers[ID],0))</f>
        <v>_Object</v>
      </c>
      <c r="AA4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9" s="8" t="b">
        <f>_xlfn.IFNA(
INDEX(meta_Classifiers[Class - Generalization:src],MATCH(
INDEX(meta_Classifiers[Class - Generalization:src],MATCH(meta_Columns[[#This Row],[Property Owning Class]],meta_Classifiers[ID],0)),meta_Classifiers[ID],0))
=meta_Columns[[#This Row],[Owning Table Instances Class]],FALSE)</f>
        <v>0</v>
      </c>
      <c r="AG419" s="8" t="b">
        <f>_xlfn.IFNA(INDEX(meta_Classifiers[Class - Generalization:src],MATCH(meta_Columns[[#This Row],[Property Owning Class]],meta_Classifiers[ID],0))=meta_Columns[[#This Row],[Owning Table Instances Class]],FALSE)</f>
        <v>0</v>
      </c>
      <c r="AH4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9" s="8" t="e">
        <f>INDEX(meta_Classifiers[Name],MATCH(INDEX(meta_TypedModelElements[Property - Owning Class:src],MATCH(meta_Columns[[#This Row],[Property]],meta_TypedModelElements[ID],0)),meta_Classifiers[ID],0))</f>
        <v>#N/A</v>
      </c>
      <c r="AJ419" s="8" t="e">
        <f>INDEX(meta_TypedModelElements[Property - Owning Class:src],MATCH(meta_Columns[[#This Row],[Property]],meta_TypedModelElements[ID],0))</f>
        <v>#N/A</v>
      </c>
      <c r="AK419" s="8" t="e">
        <f>INDEX(meta_TypedModelElements[Kind:src],MATCH(meta_Columns[[#This Row],[Property]],meta_TypedModelElements[ID],0))</f>
        <v>#N/A</v>
      </c>
      <c r="AL419" s="8" t="e">
        <f>INDEX(meta_TypedModelElements[Name or Type],MATCH(meta_Columns[[#This Row],[Property]],meta_TypedModelElements[ID],0))</f>
        <v>#N/A</v>
      </c>
      <c r="AM419" s="8" t="e">
        <f>INDEX(meta_TypedModelElements[Property - Changeable],MATCH(meta_Columns[[#This Row],[Property]],meta_TypedModelElements[ID],0))</f>
        <v>#N/A</v>
      </c>
      <c r="AN419" s="43">
        <v>9</v>
      </c>
      <c r="AO419" s="22">
        <v>9</v>
      </c>
      <c r="AP4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9" s="8" t="str">
        <f xml:space="preserve"> IF(meta_Columns[[#This Row],[Property Owning Class is Specialization of Instance Class]],meta_Columns[[#This Row],[Property Owning Class Name]]&amp;" - ","")</f>
        <v/>
      </c>
      <c r="AR4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419" s="8" t="str">
        <f>IFERROR(LEFT(meta_Columns[[#This Row],[Excel Column - Label Actual without Semantic Case]],FIND("-",
meta_Columns[[#This Row],[Excel Column - Label Actual without Semantic Case]])-2),"")</f>
        <v/>
      </c>
      <c r="AU4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4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419" s="22"/>
      <c r="AY419" s="8" t="str">
        <f>meta_Columns[[#This Row],[Owning Table]]&amp;"."&amp;meta_Columns[[#This Row],[Excel Column - Label]]</f>
        <v>myxyzpackage::MyXYZ_Objects.Definition</v>
      </c>
      <c r="AZ419" s="43" t="s">
        <v>84</v>
      </c>
      <c r="BA419" s="44" t="str">
        <f>IF(TRIM(meta_Columns[[#This Row],[Excel Column - Label Overwrite]])&lt;&gt;"",meta_Columns[[#This Row],[Excel Column - Label Overwrite]],meta_Columns[[#This Row],[Excel Column - Label from Property or Referenced Table]])</f>
        <v>Definition</v>
      </c>
      <c r="BB419" s="43"/>
      <c r="BC419" s="44" t="str">
        <f>IF(meta_Columns[[#This Row],[Excel Column - Explicit Excel Formula]]="","",meta_Columns[[#This Row],[Excel Column - Explicit Excel Formula]])</f>
        <v/>
      </c>
      <c r="BD419" s="5"/>
      <c r="BE419" s="5"/>
    </row>
    <row r="420" spans="1:57">
      <c r="A420" s="10" t="s">
        <v>1456</v>
      </c>
      <c r="B420" s="5" t="s">
        <v>546</v>
      </c>
      <c r="C420" s="22" t="str">
        <f xml:space="preserve"> IF( TRIM( meta_Columns[[#This Row],[Kind:src]] ) = "", "",
        INDEX( meta_Classifiers[Display Qualified], MATCH( meta_Columns[[#This Row],[Kind:src]], meta_Classifiers[ID], 0 ) ) )</f>
        <v>ExcelColumn</v>
      </c>
      <c r="D420" s="44" t="str">
        <f>IF(meta_Columns[[#This Row],[Owning Table:src]]="","",INDEX(meta_Classifiers[Package],MATCH(meta_Columns[[#This Row],[Owning Table Instances Class]],meta_Classifiers[ID],0)))</f>
        <v>myxyzpackage</v>
      </c>
      <c r="E420" s="43"/>
      <c r="F420" s="44" t="str">
        <f>INDEX(meta_Tables[Excel Table - Excel Name],MATCH(meta_Columns[[#This Row],[Owning Table:src]],meta_Tables[ID],0))</f>
        <v>test_NewTable</v>
      </c>
      <c r="G420" s="44" t="str">
        <f>INDEX(meta_Tables[Instances Class:src],MATCH(meta_Columns[[#This Row],[Owning Table:src]],meta_Tables[ID],0))</f>
        <v>myxyzpackage::MyXYZ_Object</v>
      </c>
      <c r="H420" s="11" t="s">
        <v>1453</v>
      </c>
      <c r="I420" s="43" t="str">
        <f xml:space="preserve"> IF( TRIM( meta_Columns[[#This Row],[Owning Table:src]] ) = "", "",
        INDEX( meta_Tables[Display Qualified], MATCH( meta_Columns[[#This Row],[Owning Table:src]], meta_Tables[ID], 0 ) ) )</f>
        <v>test::NewTable</v>
      </c>
      <c r="K420" s="22" t="str">
        <f>IF(TRIM(meta_Columns[[#This Row],[Referenced Table:src]])="","",
    INDEX(meta_Tables[Display Qualified],MATCH(meta_Columns[[#This Row],[Referenced Table:src]],meta_Tables[ID],0)))</f>
        <v/>
      </c>
      <c r="L420" s="8"/>
      <c r="M420" s="22"/>
      <c r="N420" s="8" t="str">
        <f>IF(meta_Columns[[#This Row],[Excel Column - Excel Formula]]="","x","")</f>
        <v>x</v>
      </c>
      <c r="O420" s="22"/>
      <c r="P420" s="8" t="str">
        <f>IF(meta_Columns[[#This Row],[Referenced Table:src]]="","",INDEX(meta_Tables[Instances Class],MATCH(meta_Columns[[#This Row],[Referenced Table:src]],meta_Tables[ID],0)))</f>
        <v/>
      </c>
      <c r="Q4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0" s="8" t="s">
        <v>246</v>
      </c>
      <c r="S420" s="22" t="str">
        <f xml:space="preserve"> IF( TRIM( meta_Columns[[#This Row],[Property:src]] ) = "", "",
        INDEX( meta_TypedModelElements[Display Qualified], MATCH( meta_Columns[[#This Row],[Property:src]], meta_TypedModelElements[ID], 0 ) ) )</f>
        <v>meta::Object.iD</v>
      </c>
      <c r="T420" s="22"/>
      <c r="U420" s="8" t="e">
        <f>INDEX(meta_Classifiers[Class - Generalization:src], MATCH(meta_Columns[[#This Row],[Generalization 5]],meta_Classifiers[ID],0))</f>
        <v>#N/A</v>
      </c>
      <c r="V420" s="8" t="e">
        <f>INDEX(meta_Classifiers[Class - Generalization:src], MATCH(meta_Columns[[#This Row],[Generalization 4]],meta_Classifiers[ID],0))</f>
        <v>#N/A</v>
      </c>
      <c r="W420" s="8" t="e">
        <f>INDEX(meta_Classifiers[Class - Generalization:src], MATCH(meta_Columns[[#This Row],[Generalization 3]],meta_Classifiers[ID],0))</f>
        <v>#N/A</v>
      </c>
      <c r="X420" s="8" t="e">
        <f>INDEX(meta_Classifiers[Class - Generalization:src], MATCH(meta_Columns[[#This Row],[Generalization 2]],meta_Classifiers[ID],0))</f>
        <v>#N/A</v>
      </c>
      <c r="Y420" s="8" t="str">
        <f>INDEX(meta_Classifiers[Class - Generalization:src], MATCH(meta_Columns[[#This Row],[Generalization 1]],meta_Classifiers[ID],0))</f>
        <v/>
      </c>
      <c r="Z420" s="8" t="str">
        <f>INDEX(meta_Classifiers[Class - Generalization:src], MATCH(meta_Columns[[#This Row],[Owning Table Instances Class]],meta_Classifiers[ID],0))</f>
        <v>_Object</v>
      </c>
      <c r="AA4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0" s="8" t="b">
        <f>_xlfn.IFNA(
INDEX(meta_Classifiers[Class - Generalization:src],MATCH(
INDEX(meta_Classifiers[Class - Generalization:src],MATCH(meta_Columns[[#This Row],[Property Owning Class]],meta_Classifiers[ID],0)),meta_Classifiers[ID],0))
=meta_Columns[[#This Row],[Owning Table Instances Class]],FALSE)</f>
        <v>0</v>
      </c>
      <c r="AG420" s="8" t="b">
        <f>_xlfn.IFNA(INDEX(meta_Classifiers[Class - Generalization:src],MATCH(meta_Columns[[#This Row],[Property Owning Class]],meta_Classifiers[ID],0))=meta_Columns[[#This Row],[Owning Table Instances Class]],FALSE)</f>
        <v>0</v>
      </c>
      <c r="AH4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0" s="8" t="str">
        <f>INDEX(meta_Classifiers[Name],MATCH(INDEX(meta_TypedModelElements[Property - Owning Class:src],MATCH(meta_Columns[[#This Row],[Property]],meta_TypedModelElements[ID],0)),meta_Classifiers[ID],0))</f>
        <v>Object</v>
      </c>
      <c r="AJ420" s="8" t="str">
        <f>INDEX(meta_TypedModelElements[Property - Owning Class:src],MATCH(meta_Columns[[#This Row],[Property]],meta_TypedModelElements[ID],0))</f>
        <v>_Object</v>
      </c>
      <c r="AK420" s="8" t="str">
        <f>INDEX(meta_TypedModelElements[Kind:src],MATCH(meta_Columns[[#This Row],[Property]],meta_TypedModelElements[ID],0))</f>
        <v>_Attribute</v>
      </c>
      <c r="AL420" s="8" t="str">
        <f>INDEX(meta_TypedModelElements[Name or Type],MATCH(meta_Columns[[#This Row],[Property]],meta_TypedModelElements[ID],0))</f>
        <v>ID</v>
      </c>
      <c r="AM420" s="8" t="str">
        <f>INDEX(meta_TypedModelElements[Property - Changeable],MATCH(meta_Columns[[#This Row],[Property]],meta_TypedModelElements[ID],0))</f>
        <v>x</v>
      </c>
      <c r="AN420" s="43">
        <v>1</v>
      </c>
      <c r="AO420" s="22">
        <v>1</v>
      </c>
      <c r="AP42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20" s="8" t="str">
        <f xml:space="preserve"> IF(meta_Columns[[#This Row],[Property Owning Class is Specialization of Instance Class]],meta_Columns[[#This Row],[Property Owning Class Name]]&amp;" - ","")</f>
        <v/>
      </c>
      <c r="AR42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20" s="8" t="str">
        <f>IFERROR(LEFT(meta_Columns[[#This Row],[Excel Column - Label Actual without Semantic Case]],FIND("-",
meta_Columns[[#This Row],[Excel Column - Label Actual without Semantic Case]])-2),"")</f>
        <v/>
      </c>
      <c r="AU4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20" s="22"/>
      <c r="AY420" s="8" t="str">
        <f>meta_Columns[[#This Row],[Owning Table]]&amp;"."&amp;meta_Columns[[#This Row],[Excel Column - Label]]</f>
        <v>test::NewTable.ID</v>
      </c>
      <c r="AZ420" s="43" t="s">
        <v>0</v>
      </c>
      <c r="BA420" s="44" t="str">
        <f>IF(TRIM(meta_Columns[[#This Row],[Excel Column - Label Overwrite]])&lt;&gt;"",meta_Columns[[#This Row],[Excel Column - Label Overwrite]],meta_Columns[[#This Row],[Excel Column - Label from Property or Referenced Table]])</f>
        <v>ID</v>
      </c>
      <c r="BB420" s="43"/>
      <c r="BC420" s="44" t="str">
        <f>IF(meta_Columns[[#This Row],[Excel Column - Explicit Excel Formula]]="","",meta_Columns[[#This Row],[Excel Column - Explicit Excel Formula]])</f>
        <v/>
      </c>
      <c r="BD420" s="5"/>
      <c r="BE420" s="5"/>
    </row>
    <row r="421" spans="1:57">
      <c r="A421" s="10" t="s">
        <v>1457</v>
      </c>
      <c r="B421" s="5" t="s">
        <v>546</v>
      </c>
      <c r="C421" s="22" t="str">
        <f xml:space="preserve"> IF( TRIM( meta_Columns[[#This Row],[Kind:src]] ) = "", "",
        INDEX( meta_Classifiers[Display Qualified], MATCH( meta_Columns[[#This Row],[Kind:src]], meta_Classifiers[ID], 0 ) ) )</f>
        <v>ExcelColumn</v>
      </c>
      <c r="D421" s="44" t="str">
        <f>IF(meta_Columns[[#This Row],[Owning Table:src]]="","",INDEX(meta_Classifiers[Package],MATCH(meta_Columns[[#This Row],[Owning Table Instances Class]],meta_Classifiers[ID],0)))</f>
        <v>myxyzpackage</v>
      </c>
      <c r="E421" s="43"/>
      <c r="F421" s="44" t="str">
        <f>INDEX(meta_Tables[Excel Table - Excel Name],MATCH(meta_Columns[[#This Row],[Owning Table:src]],meta_Tables[ID],0))</f>
        <v>test_NewTable</v>
      </c>
      <c r="G421" s="44" t="str">
        <f>INDEX(meta_Tables[Instances Class:src],MATCH(meta_Columns[[#This Row],[Owning Table:src]],meta_Tables[ID],0))</f>
        <v>myxyzpackage::MyXYZ_Object</v>
      </c>
      <c r="H421" s="11" t="s">
        <v>1453</v>
      </c>
      <c r="I421" s="43" t="str">
        <f xml:space="preserve"> IF( TRIM( meta_Columns[[#This Row],[Owning Table:src]] ) = "", "",
        INDEX( meta_Tables[Display Qualified], MATCH( meta_Columns[[#This Row],[Owning Table:src]], meta_Tables[ID], 0 ) ) )</f>
        <v>test::NewTable</v>
      </c>
      <c r="K421" s="22" t="str">
        <f>IF(TRIM(meta_Columns[[#This Row],[Referenced Table:src]])="","",
    INDEX(meta_Tables[Display Qualified],MATCH(meta_Columns[[#This Row],[Referenced Table:src]],meta_Tables[ID],0)))</f>
        <v/>
      </c>
      <c r="L421" s="8"/>
      <c r="M421" s="22"/>
      <c r="N421" s="8" t="str">
        <f>IF(meta_Columns[[#This Row],[Excel Column - Excel Formula]]="","x","")</f>
        <v>x</v>
      </c>
      <c r="O421" s="22"/>
      <c r="P421" s="8" t="str">
        <f>IF(meta_Columns[[#This Row],[Referenced Table:src]]="","",INDEX(meta_Tables[Instances Class],MATCH(meta_Columns[[#This Row],[Referenced Table:src]],meta_Tables[ID],0)))</f>
        <v/>
      </c>
      <c r="Q4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myxyzpackage::MyXYZ_Object.test1</v>
      </c>
      <c r="R421" s="8"/>
      <c r="S421" s="22" t="str">
        <f xml:space="preserve"> IF( TRIM( meta_Columns[[#This Row],[Property:src]] ) = "", "",
        INDEX( meta_TypedModelElements[Display Qualified], MATCH( meta_Columns[[#This Row],[Property:src]], meta_TypedModelElements[ID], 0 ) ) )</f>
        <v/>
      </c>
      <c r="T421" s="22"/>
      <c r="U421" s="8" t="e">
        <f>INDEX(meta_Classifiers[Class - Generalization:src], MATCH(meta_Columns[[#This Row],[Generalization 5]],meta_Classifiers[ID],0))</f>
        <v>#N/A</v>
      </c>
      <c r="V421" s="8" t="e">
        <f>INDEX(meta_Classifiers[Class - Generalization:src], MATCH(meta_Columns[[#This Row],[Generalization 4]],meta_Classifiers[ID],0))</f>
        <v>#N/A</v>
      </c>
      <c r="W421" s="8" t="e">
        <f>INDEX(meta_Classifiers[Class - Generalization:src], MATCH(meta_Columns[[#This Row],[Generalization 3]],meta_Classifiers[ID],0))</f>
        <v>#N/A</v>
      </c>
      <c r="X421" s="8" t="e">
        <f>INDEX(meta_Classifiers[Class - Generalization:src], MATCH(meta_Columns[[#This Row],[Generalization 2]],meta_Classifiers[ID],0))</f>
        <v>#N/A</v>
      </c>
      <c r="Y421" s="8" t="str">
        <f>INDEX(meta_Classifiers[Class - Generalization:src], MATCH(meta_Columns[[#This Row],[Generalization 1]],meta_Classifiers[ID],0))</f>
        <v/>
      </c>
      <c r="Z421" s="8" t="str">
        <f>INDEX(meta_Classifiers[Class - Generalization:src], MATCH(meta_Columns[[#This Row],[Owning Table Instances Class]],meta_Classifiers[ID],0))</f>
        <v>_Object</v>
      </c>
      <c r="AA4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1" s="8" t="b">
        <f>_xlfn.IFNA(
INDEX(meta_Classifiers[Class - Generalization:src],MATCH(
INDEX(meta_Classifiers[Class - Generalization:src],MATCH(meta_Columns[[#This Row],[Property Owning Class]],meta_Classifiers[ID],0)),meta_Classifiers[ID],0))
=meta_Columns[[#This Row],[Owning Table Instances Class]],FALSE)</f>
        <v>0</v>
      </c>
      <c r="AG421" s="8" t="b">
        <f>_xlfn.IFNA(INDEX(meta_Classifiers[Class - Generalization:src],MATCH(meta_Columns[[#This Row],[Property Owning Class]],meta_Classifiers[ID],0))=meta_Columns[[#This Row],[Owning Table Instances Class]],FALSE)</f>
        <v>0</v>
      </c>
      <c r="AH4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1" s="8" t="e">
        <f>INDEX(meta_Classifiers[Name],MATCH(INDEX(meta_TypedModelElements[Property - Owning Class:src],MATCH(meta_Columns[[#This Row],[Property]],meta_TypedModelElements[ID],0)),meta_Classifiers[ID],0))</f>
        <v>#N/A</v>
      </c>
      <c r="AJ421" s="8" t="e">
        <f>INDEX(meta_TypedModelElements[Property - Owning Class:src],MATCH(meta_Columns[[#This Row],[Property]],meta_TypedModelElements[ID],0))</f>
        <v>#N/A</v>
      </c>
      <c r="AK421" s="8" t="e">
        <f>INDEX(meta_TypedModelElements[Kind:src],MATCH(meta_Columns[[#This Row],[Property]],meta_TypedModelElements[ID],0))</f>
        <v>#N/A</v>
      </c>
      <c r="AL421" s="8" t="e">
        <f>INDEX(meta_TypedModelElements[Name or Type],MATCH(meta_Columns[[#This Row],[Property]],meta_TypedModelElements[ID],0))</f>
        <v>#N/A</v>
      </c>
      <c r="AM421" s="8" t="e">
        <f>INDEX(meta_TypedModelElements[Property - Changeable],MATCH(meta_Columns[[#This Row],[Property]],meta_TypedModelElements[ID],0))</f>
        <v>#N/A</v>
      </c>
      <c r="AN421" s="43">
        <v>2</v>
      </c>
      <c r="AO421" s="22">
        <v>2</v>
      </c>
      <c r="AP4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1" s="8" t="str">
        <f xml:space="preserve"> IF(meta_Columns[[#This Row],[Property Owning Class is Specialization of Instance Class]],meta_Columns[[#This Row],[Property Owning Class Name]]&amp;" - ","")</f>
        <v/>
      </c>
      <c r="AR4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1</v>
      </c>
      <c r="AT421" s="8" t="str">
        <f>IFERROR(LEFT(meta_Columns[[#This Row],[Excel Column - Label Actual without Semantic Case]],FIND("-",
meta_Columns[[#This Row],[Excel Column - Label Actual without Semantic Case]])-2),"")</f>
        <v/>
      </c>
      <c r="AU4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1</v>
      </c>
      <c r="AV4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1</v>
      </c>
      <c r="AX421" s="22"/>
      <c r="AY421" s="8" t="str">
        <f>meta_Columns[[#This Row],[Owning Table]]&amp;"."&amp;meta_Columns[[#This Row],[Excel Column - Label]]</f>
        <v>test::NewTable.Test 1</v>
      </c>
      <c r="AZ421" s="43" t="s">
        <v>1451</v>
      </c>
      <c r="BA421" s="44" t="str">
        <f>IF(TRIM(meta_Columns[[#This Row],[Excel Column - Label Overwrite]])&lt;&gt;"",meta_Columns[[#This Row],[Excel Column - Label Overwrite]],meta_Columns[[#This Row],[Excel Column - Label from Property or Referenced Table]])</f>
        <v>Test 1</v>
      </c>
      <c r="BB421" s="43"/>
      <c r="BC421" s="44" t="str">
        <f>IF(meta_Columns[[#This Row],[Excel Column - Explicit Excel Formula]]="","",meta_Columns[[#This Row],[Excel Column - Explicit Excel Formula]])</f>
        <v/>
      </c>
      <c r="BD421" s="5"/>
      <c r="BE421" s="5"/>
    </row>
    <row r="422" spans="1:57">
      <c r="A422" s="10" t="s">
        <v>1458</v>
      </c>
      <c r="B422" s="5" t="s">
        <v>546</v>
      </c>
      <c r="C422" s="22" t="str">
        <f xml:space="preserve"> IF( TRIM( meta_Columns[[#This Row],[Kind:src]] ) = "", "",
        INDEX( meta_Classifiers[Display Qualified], MATCH( meta_Columns[[#This Row],[Kind:src]], meta_Classifiers[ID], 0 ) ) )</f>
        <v>ExcelColumn</v>
      </c>
      <c r="D422" s="44" t="str">
        <f>IF(meta_Columns[[#This Row],[Owning Table:src]]="","",INDEX(meta_Classifiers[Package],MATCH(meta_Columns[[#This Row],[Owning Table Instances Class]],meta_Classifiers[ID],0)))</f>
        <v>myxyzpackage</v>
      </c>
      <c r="E422" s="43"/>
      <c r="F422" s="44" t="str">
        <f>INDEX(meta_Tables[Excel Table - Excel Name],MATCH(meta_Columns[[#This Row],[Owning Table:src]],meta_Tables[ID],0))</f>
        <v>test_NewTable</v>
      </c>
      <c r="G422" s="44" t="str">
        <f>INDEX(meta_Tables[Instances Class:src],MATCH(meta_Columns[[#This Row],[Owning Table:src]],meta_Tables[ID],0))</f>
        <v>myxyzpackage::MyXYZ_Object</v>
      </c>
      <c r="H422" s="11" t="s">
        <v>1453</v>
      </c>
      <c r="I422" s="43" t="str">
        <f xml:space="preserve"> IF( TRIM( meta_Columns[[#This Row],[Owning Table:src]] ) = "", "",
        INDEX( meta_Tables[Display Qualified], MATCH( meta_Columns[[#This Row],[Owning Table:src]], meta_Tables[ID], 0 ) ) )</f>
        <v>test::NewTable</v>
      </c>
      <c r="K422" s="22" t="str">
        <f>IF(TRIM(meta_Columns[[#This Row],[Referenced Table:src]])="","",
    INDEX(meta_Tables[Display Qualified],MATCH(meta_Columns[[#This Row],[Referenced Table:src]],meta_Tables[ID],0)))</f>
        <v/>
      </c>
      <c r="L422" s="8"/>
      <c r="M422" s="22"/>
      <c r="N422" s="8" t="str">
        <f>IF(meta_Columns[[#This Row],[Excel Column - Excel Formula]]="","x","")</f>
        <v>x</v>
      </c>
      <c r="O422" s="22"/>
      <c r="P422" s="8" t="str">
        <f>IF(meta_Columns[[#This Row],[Referenced Table:src]]="","",INDEX(meta_Tables[Instances Class],MATCH(meta_Columns[[#This Row],[Referenced Table:src]],meta_Tables[ID],0)))</f>
        <v/>
      </c>
      <c r="Q4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myxyzpackage::MyXYZ_Object.test2</v>
      </c>
      <c r="R422" s="8"/>
      <c r="S422" s="22" t="str">
        <f xml:space="preserve"> IF( TRIM( meta_Columns[[#This Row],[Property:src]] ) = "", "",
        INDEX( meta_TypedModelElements[Display Qualified], MATCH( meta_Columns[[#This Row],[Property:src]], meta_TypedModelElements[ID], 0 ) ) )</f>
        <v/>
      </c>
      <c r="T422" s="22"/>
      <c r="U422" s="8" t="e">
        <f>INDEX(meta_Classifiers[Class - Generalization:src], MATCH(meta_Columns[[#This Row],[Generalization 5]],meta_Classifiers[ID],0))</f>
        <v>#N/A</v>
      </c>
      <c r="V422" s="8" t="e">
        <f>INDEX(meta_Classifiers[Class - Generalization:src], MATCH(meta_Columns[[#This Row],[Generalization 4]],meta_Classifiers[ID],0))</f>
        <v>#N/A</v>
      </c>
      <c r="W422" s="8" t="e">
        <f>INDEX(meta_Classifiers[Class - Generalization:src], MATCH(meta_Columns[[#This Row],[Generalization 3]],meta_Classifiers[ID],0))</f>
        <v>#N/A</v>
      </c>
      <c r="X422" s="8" t="e">
        <f>INDEX(meta_Classifiers[Class - Generalization:src], MATCH(meta_Columns[[#This Row],[Generalization 2]],meta_Classifiers[ID],0))</f>
        <v>#N/A</v>
      </c>
      <c r="Y422" s="8" t="str">
        <f>INDEX(meta_Classifiers[Class - Generalization:src], MATCH(meta_Columns[[#This Row],[Generalization 1]],meta_Classifiers[ID],0))</f>
        <v/>
      </c>
      <c r="Z422" s="8" t="str">
        <f>INDEX(meta_Classifiers[Class - Generalization:src], MATCH(meta_Columns[[#This Row],[Owning Table Instances Class]],meta_Classifiers[ID],0))</f>
        <v>_Object</v>
      </c>
      <c r="AA4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2" s="8" t="b">
        <f>_xlfn.IFNA(
INDEX(meta_Classifiers[Class - Generalization:src],MATCH(
INDEX(meta_Classifiers[Class - Generalization:src],MATCH(meta_Columns[[#This Row],[Property Owning Class]],meta_Classifiers[ID],0)),meta_Classifiers[ID],0))
=meta_Columns[[#This Row],[Owning Table Instances Class]],FALSE)</f>
        <v>0</v>
      </c>
      <c r="AG422" s="8" t="b">
        <f>_xlfn.IFNA(INDEX(meta_Classifiers[Class - Generalization:src],MATCH(meta_Columns[[#This Row],[Property Owning Class]],meta_Classifiers[ID],0))=meta_Columns[[#This Row],[Owning Table Instances Class]],FALSE)</f>
        <v>0</v>
      </c>
      <c r="AH4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2" s="8" t="e">
        <f>INDEX(meta_Classifiers[Name],MATCH(INDEX(meta_TypedModelElements[Property - Owning Class:src],MATCH(meta_Columns[[#This Row],[Property]],meta_TypedModelElements[ID],0)),meta_Classifiers[ID],0))</f>
        <v>#N/A</v>
      </c>
      <c r="AJ422" s="8" t="e">
        <f>INDEX(meta_TypedModelElements[Property - Owning Class:src],MATCH(meta_Columns[[#This Row],[Property]],meta_TypedModelElements[ID],0))</f>
        <v>#N/A</v>
      </c>
      <c r="AK422" s="8" t="e">
        <f>INDEX(meta_TypedModelElements[Kind:src],MATCH(meta_Columns[[#This Row],[Property]],meta_TypedModelElements[ID],0))</f>
        <v>#N/A</v>
      </c>
      <c r="AL422" s="8" t="e">
        <f>INDEX(meta_TypedModelElements[Name or Type],MATCH(meta_Columns[[#This Row],[Property]],meta_TypedModelElements[ID],0))</f>
        <v>#N/A</v>
      </c>
      <c r="AM422" s="8" t="e">
        <f>INDEX(meta_TypedModelElements[Property - Changeable],MATCH(meta_Columns[[#This Row],[Property]],meta_TypedModelElements[ID],0))</f>
        <v>#N/A</v>
      </c>
      <c r="AN422" s="43">
        <v>3</v>
      </c>
      <c r="AO422" s="22">
        <v>3</v>
      </c>
      <c r="AP4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2" s="8" t="str">
        <f xml:space="preserve"> IF(meta_Columns[[#This Row],[Property Owning Class is Specialization of Instance Class]],meta_Columns[[#This Row],[Property Owning Class Name]]&amp;" - ","")</f>
        <v/>
      </c>
      <c r="AR4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2</v>
      </c>
      <c r="AT422" s="8" t="str">
        <f>IFERROR(LEFT(meta_Columns[[#This Row],[Excel Column - Label Actual without Semantic Case]],FIND("-",
meta_Columns[[#This Row],[Excel Column - Label Actual without Semantic Case]])-2),"")</f>
        <v/>
      </c>
      <c r="AU4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2</v>
      </c>
      <c r="AV4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2</v>
      </c>
      <c r="AX422" s="22"/>
      <c r="AY422" s="8" t="str">
        <f>meta_Columns[[#This Row],[Owning Table]]&amp;"."&amp;meta_Columns[[#This Row],[Excel Column - Label]]</f>
        <v>test::NewTable.Test 2</v>
      </c>
      <c r="AZ422" s="43" t="s">
        <v>1452</v>
      </c>
      <c r="BA422" s="44" t="str">
        <f>IF(TRIM(meta_Columns[[#This Row],[Excel Column - Label Overwrite]])&lt;&gt;"",meta_Columns[[#This Row],[Excel Column - Label Overwrite]],meta_Columns[[#This Row],[Excel Column - Label from Property or Referenced Table]])</f>
        <v>Test 2</v>
      </c>
      <c r="BB422" s="43"/>
      <c r="BC422" s="44" t="str">
        <f>IF(meta_Columns[[#This Row],[Excel Column - Explicit Excel Formula]]="","",meta_Columns[[#This Row],[Excel Column - Explicit Excel Formula]])</f>
        <v/>
      </c>
      <c r="BD422" s="8" t="s">
        <v>1461</v>
      </c>
      <c r="BE422" s="5"/>
    </row>
    <row r="423" spans="1:57">
      <c r="R423" s="8"/>
    </row>
  </sheetData>
  <phoneticPr fontId="2" type="noConversion"/>
  <conditionalFormatting sqref="BA2:BA422">
    <cfRule type="expression" dxfId="14" priority="1">
      <formula>BA2&lt;&gt;AP2</formula>
    </cfRule>
  </conditionalFormatting>
  <dataValidations count="4">
    <dataValidation type="list" allowBlank="1" showInputMessage="1" showErrorMessage="1" sqref="S2:S76 S78:S422" xr:uid="{1E80A08B-4642-4122-B2B1-7B1F4351E9BB}">
      <formula1>INDIRECT("meta_TypedModelElements[Property Display Qualified]")</formula1>
    </dataValidation>
    <dataValidation type="list" allowBlank="1" showInputMessage="1" showErrorMessage="1" sqref="K2:K422 I2:I422" xr:uid="{E97D69D8-E756-418B-8192-E68E98D16886}">
      <formula1>INDIRECT("meta_Tables[Display Qualified]")</formula1>
    </dataValidation>
    <dataValidation type="list" allowBlank="1" showInputMessage="1" showErrorMessage="1" sqref="C2:C422" xr:uid="{A7B32047-3FEF-4B6A-9E37-81BBB7F6CA6F}">
      <formula1>INDIRECT("meta_Classifiers[Display Qualified]")</formula1>
    </dataValidation>
    <dataValidation type="list" allowBlank="1" sqref="M2:M422" xr:uid="{202D02B7-6D1C-4537-8DF2-977E037A6D47}">
      <formula1>INDIRECT("meta_Columns[Display Qualified]")</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9333D-CD65-5140-BD46-6D215C865632}">
  <sheetPr codeName="Sheet1">
    <tabColor rgb="FFFFC000"/>
  </sheetPr>
  <dimension ref="A1:J157"/>
  <sheetViews>
    <sheetView workbookViewId="0">
      <selection activeCell="B2" sqref="B2:B137"/>
    </sheetView>
  </sheetViews>
  <sheetFormatPr defaultColWidth="10.85546875" defaultRowHeight="15"/>
  <cols>
    <col min="1" max="1" width="26.7109375" style="5" bestFit="1" customWidth="1"/>
    <col min="2" max="3" width="21.140625" style="5" bestFit="1" customWidth="1"/>
    <col min="4" max="5" width="13.85546875" style="5" bestFit="1" customWidth="1"/>
    <col min="6" max="6" width="20.7109375" style="5" bestFit="1" customWidth="1"/>
    <col min="7" max="10" width="24.28515625" style="5" customWidth="1"/>
    <col min="11" max="16384" width="10.85546875" style="5"/>
  </cols>
  <sheetData>
    <row r="1" spans="1:10" ht="30">
      <c r="A1" s="5" t="s">
        <v>0</v>
      </c>
      <c r="B1" s="5" t="s">
        <v>18</v>
      </c>
      <c r="C1" s="5" t="s">
        <v>1473</v>
      </c>
      <c r="D1" s="5" t="s">
        <v>1474</v>
      </c>
      <c r="E1" s="5" t="s">
        <v>1475</v>
      </c>
      <c r="F1" s="5" t="s">
        <v>1476</v>
      </c>
      <c r="G1" s="5" t="s">
        <v>1477</v>
      </c>
      <c r="H1" s="5" t="s">
        <v>1478</v>
      </c>
      <c r="I1" s="7" t="s">
        <v>1556</v>
      </c>
      <c r="J1" s="7" t="s">
        <v>1557</v>
      </c>
    </row>
    <row r="2" spans="1:10">
      <c r="A2" s="5" t="s">
        <v>1479</v>
      </c>
      <c r="I2" s="7" t="b">
        <f>meta_Names[[#This Row],[Business]]=meta_Names[[#This Row],[Business from Camel]]</f>
        <v>1</v>
      </c>
      <c r="J2" s="7" t="b">
        <f>meta_Names[[#This Row],[Business]]=meta_Names[[#This Row],[String]]</f>
        <v>1</v>
      </c>
    </row>
    <row r="3" spans="1:10">
      <c r="B3" s="120" t="s">
        <v>231</v>
      </c>
      <c r="C3" s="120" t="s">
        <v>231</v>
      </c>
      <c r="D3" s="5" t="s">
        <v>231</v>
      </c>
      <c r="E3" s="5" t="s">
        <v>1692</v>
      </c>
      <c r="F3" s="120" t="s">
        <v>231</v>
      </c>
      <c r="G3" s="5" t="s">
        <v>231</v>
      </c>
      <c r="H3" s="5" t="s">
        <v>1692</v>
      </c>
      <c r="I3" s="7"/>
      <c r="J3" s="7"/>
    </row>
    <row r="4" spans="1:10">
      <c r="B4" s="120" t="s">
        <v>777</v>
      </c>
      <c r="C4" s="120" t="s">
        <v>777</v>
      </c>
      <c r="D4" s="5" t="s">
        <v>777</v>
      </c>
      <c r="E4" s="5" t="s">
        <v>1693</v>
      </c>
      <c r="F4" s="120" t="s">
        <v>777</v>
      </c>
      <c r="G4" s="5" t="s">
        <v>777</v>
      </c>
      <c r="H4" s="5" t="s">
        <v>1693</v>
      </c>
      <c r="I4" s="7"/>
      <c r="J4" s="7"/>
    </row>
    <row r="5" spans="1:10">
      <c r="B5" s="120" t="s">
        <v>120</v>
      </c>
      <c r="C5" s="120" t="s">
        <v>120</v>
      </c>
      <c r="D5" s="5" t="s">
        <v>120</v>
      </c>
      <c r="E5" s="5" t="s">
        <v>1611</v>
      </c>
      <c r="F5" s="120" t="s">
        <v>120</v>
      </c>
      <c r="G5" s="5" t="s">
        <v>120</v>
      </c>
      <c r="H5" s="5" t="s">
        <v>1611</v>
      </c>
      <c r="I5" s="7"/>
      <c r="J5" s="7"/>
    </row>
    <row r="6" spans="1:10">
      <c r="B6" s="120" t="s">
        <v>640</v>
      </c>
      <c r="C6" s="120" t="s">
        <v>640</v>
      </c>
      <c r="D6" s="5" t="s">
        <v>820</v>
      </c>
      <c r="E6" s="5" t="s">
        <v>1694</v>
      </c>
      <c r="F6" s="120" t="s">
        <v>640</v>
      </c>
      <c r="G6" s="5" t="s">
        <v>820</v>
      </c>
      <c r="H6" s="5" t="s">
        <v>1694</v>
      </c>
      <c r="I6" s="7"/>
      <c r="J6" s="7"/>
    </row>
    <row r="7" spans="1:10">
      <c r="B7" s="120" t="s">
        <v>574</v>
      </c>
      <c r="C7" s="120" t="s">
        <v>574</v>
      </c>
      <c r="D7" s="5" t="s">
        <v>574</v>
      </c>
      <c r="E7" s="5" t="s">
        <v>1618</v>
      </c>
      <c r="F7" s="120" t="s">
        <v>574</v>
      </c>
      <c r="G7" s="5" t="s">
        <v>574</v>
      </c>
      <c r="H7" s="5" t="s">
        <v>1618</v>
      </c>
      <c r="I7" s="7"/>
      <c r="J7" s="7"/>
    </row>
    <row r="8" spans="1:10">
      <c r="B8" s="120" t="s">
        <v>575</v>
      </c>
      <c r="C8" s="120" t="s">
        <v>575</v>
      </c>
      <c r="D8" s="5" t="s">
        <v>831</v>
      </c>
      <c r="E8" s="5" t="s">
        <v>1695</v>
      </c>
      <c r="F8" s="120" t="s">
        <v>575</v>
      </c>
      <c r="G8" s="5" t="s">
        <v>831</v>
      </c>
      <c r="H8" s="5" t="s">
        <v>1695</v>
      </c>
      <c r="I8" s="7"/>
      <c r="J8" s="7"/>
    </row>
    <row r="9" spans="1:10">
      <c r="B9" s="120" t="s">
        <v>576</v>
      </c>
      <c r="C9" s="120" t="s">
        <v>576</v>
      </c>
      <c r="D9" s="5" t="s">
        <v>832</v>
      </c>
      <c r="E9" s="5" t="s">
        <v>1696</v>
      </c>
      <c r="F9" s="120" t="s">
        <v>576</v>
      </c>
      <c r="G9" s="5" t="s">
        <v>832</v>
      </c>
      <c r="H9" s="5" t="s">
        <v>1696</v>
      </c>
      <c r="I9" s="7"/>
      <c r="J9" s="7"/>
    </row>
    <row r="10" spans="1:10">
      <c r="B10" s="120" t="s">
        <v>577</v>
      </c>
      <c r="C10" s="120" t="s">
        <v>577</v>
      </c>
      <c r="D10" s="5" t="s">
        <v>833</v>
      </c>
      <c r="E10" s="5" t="s">
        <v>1697</v>
      </c>
      <c r="F10" s="120" t="s">
        <v>577</v>
      </c>
      <c r="G10" s="5" t="s">
        <v>833</v>
      </c>
      <c r="H10" s="5" t="s">
        <v>1697</v>
      </c>
      <c r="I10" s="7"/>
      <c r="J10" s="7"/>
    </row>
    <row r="11" spans="1:10">
      <c r="B11" s="120" t="s">
        <v>637</v>
      </c>
      <c r="C11" s="120" t="s">
        <v>637</v>
      </c>
      <c r="D11" s="5" t="s">
        <v>834</v>
      </c>
      <c r="E11" s="5" t="s">
        <v>1698</v>
      </c>
      <c r="F11" s="120" t="s">
        <v>637</v>
      </c>
      <c r="G11" s="5" t="s">
        <v>834</v>
      </c>
      <c r="H11" s="5" t="s">
        <v>1698</v>
      </c>
      <c r="I11" s="7"/>
      <c r="J11" s="7"/>
    </row>
    <row r="12" spans="1:10">
      <c r="B12" s="120" t="s">
        <v>20</v>
      </c>
      <c r="C12" s="120" t="s">
        <v>20</v>
      </c>
      <c r="D12" s="5" t="s">
        <v>1699</v>
      </c>
      <c r="E12" s="5" t="s">
        <v>1700</v>
      </c>
      <c r="F12" s="120" t="s">
        <v>20</v>
      </c>
      <c r="G12" s="5" t="s">
        <v>1699</v>
      </c>
      <c r="H12" s="5" t="s">
        <v>1700</v>
      </c>
      <c r="I12" s="7"/>
      <c r="J12" s="7"/>
    </row>
    <row r="13" spans="1:10">
      <c r="B13" s="120" t="s">
        <v>790</v>
      </c>
      <c r="C13" s="120" t="s">
        <v>790</v>
      </c>
      <c r="D13" s="5" t="s">
        <v>1701</v>
      </c>
      <c r="E13" s="5" t="s">
        <v>1702</v>
      </c>
      <c r="F13" s="120" t="s">
        <v>790</v>
      </c>
      <c r="G13" s="5" t="s">
        <v>1701</v>
      </c>
      <c r="H13" s="5" t="s">
        <v>1702</v>
      </c>
      <c r="I13" s="7"/>
      <c r="J13" s="7"/>
    </row>
    <row r="14" spans="1:10">
      <c r="B14" s="120" t="s">
        <v>10</v>
      </c>
      <c r="C14" s="120" t="s">
        <v>10</v>
      </c>
      <c r="D14" s="5" t="s">
        <v>10</v>
      </c>
      <c r="E14" s="5" t="s">
        <v>1703</v>
      </c>
      <c r="F14" s="120" t="s">
        <v>10</v>
      </c>
      <c r="G14" s="5" t="s">
        <v>10</v>
      </c>
      <c r="H14" s="5" t="s">
        <v>1703</v>
      </c>
      <c r="I14" s="7"/>
      <c r="J14" s="7"/>
    </row>
    <row r="15" spans="1:10">
      <c r="B15" s="120" t="s">
        <v>6</v>
      </c>
      <c r="C15" s="120" t="s">
        <v>6</v>
      </c>
      <c r="D15" s="5" t="s">
        <v>6</v>
      </c>
      <c r="E15" s="5" t="s">
        <v>1704</v>
      </c>
      <c r="F15" s="120" t="s">
        <v>6</v>
      </c>
      <c r="G15" s="5" t="s">
        <v>6</v>
      </c>
      <c r="H15" s="5" t="s">
        <v>1704</v>
      </c>
      <c r="I15" s="7"/>
      <c r="J15" s="7"/>
    </row>
    <row r="16" spans="1:10">
      <c r="B16" s="120" t="s">
        <v>47</v>
      </c>
      <c r="C16" s="120" t="s">
        <v>47</v>
      </c>
      <c r="D16" s="5" t="s">
        <v>47</v>
      </c>
      <c r="E16" s="5" t="s">
        <v>1705</v>
      </c>
      <c r="F16" s="120" t="s">
        <v>47</v>
      </c>
      <c r="G16" s="5" t="s">
        <v>47</v>
      </c>
      <c r="H16" s="5" t="s">
        <v>1705</v>
      </c>
      <c r="I16" s="7"/>
      <c r="J16" s="7"/>
    </row>
    <row r="17" spans="2:10">
      <c r="B17" s="120" t="s">
        <v>12</v>
      </c>
      <c r="C17" s="120" t="s">
        <v>12</v>
      </c>
      <c r="D17" s="5" t="s">
        <v>12</v>
      </c>
      <c r="E17" s="5" t="s">
        <v>1668</v>
      </c>
      <c r="F17" s="120" t="s">
        <v>12</v>
      </c>
      <c r="G17" s="5" t="s">
        <v>12</v>
      </c>
      <c r="H17" s="5" t="s">
        <v>1668</v>
      </c>
      <c r="I17" s="7"/>
      <c r="J17" s="7"/>
    </row>
    <row r="18" spans="2:10">
      <c r="B18" s="120" t="s">
        <v>87</v>
      </c>
      <c r="C18" s="120" t="s">
        <v>87</v>
      </c>
      <c r="D18" s="5" t="s">
        <v>87</v>
      </c>
      <c r="E18" s="5" t="s">
        <v>1706</v>
      </c>
      <c r="F18" s="120" t="s">
        <v>87</v>
      </c>
      <c r="G18" s="5" t="s">
        <v>87</v>
      </c>
      <c r="H18" s="5" t="s">
        <v>1706</v>
      </c>
      <c r="I18" s="7"/>
      <c r="J18" s="7"/>
    </row>
    <row r="19" spans="2:10">
      <c r="B19" s="120" t="s">
        <v>88</v>
      </c>
      <c r="C19" s="120" t="s">
        <v>88</v>
      </c>
      <c r="D19" s="5" t="s">
        <v>88</v>
      </c>
      <c r="E19" s="5" t="s">
        <v>1707</v>
      </c>
      <c r="F19" s="120" t="s">
        <v>88</v>
      </c>
      <c r="G19" s="5" t="s">
        <v>88</v>
      </c>
      <c r="H19" s="5" t="s">
        <v>1707</v>
      </c>
      <c r="I19" s="7"/>
      <c r="J19" s="7"/>
    </row>
    <row r="20" spans="2:10">
      <c r="B20" s="120" t="s">
        <v>7</v>
      </c>
      <c r="C20" s="120" t="s">
        <v>7</v>
      </c>
      <c r="D20" s="5" t="s">
        <v>7</v>
      </c>
      <c r="E20" s="5" t="s">
        <v>1708</v>
      </c>
      <c r="F20" s="120" t="s">
        <v>7</v>
      </c>
      <c r="G20" s="5" t="s">
        <v>7</v>
      </c>
      <c r="H20" s="5" t="s">
        <v>1708</v>
      </c>
      <c r="I20" s="7"/>
      <c r="J20" s="7"/>
    </row>
    <row r="21" spans="2:10">
      <c r="B21" s="120" t="s">
        <v>14</v>
      </c>
      <c r="C21" s="120" t="s">
        <v>14</v>
      </c>
      <c r="D21" s="5" t="s">
        <v>14</v>
      </c>
      <c r="E21" s="5" t="s">
        <v>1636</v>
      </c>
      <c r="F21" s="120" t="s">
        <v>14</v>
      </c>
      <c r="G21" s="5" t="s">
        <v>14</v>
      </c>
      <c r="H21" s="5" t="s">
        <v>1636</v>
      </c>
      <c r="I21" s="7"/>
      <c r="J21" s="7"/>
    </row>
    <row r="22" spans="2:10">
      <c r="B22" s="120" t="s">
        <v>15</v>
      </c>
      <c r="C22" s="120" t="s">
        <v>15</v>
      </c>
      <c r="D22" s="5" t="s">
        <v>15</v>
      </c>
      <c r="E22" s="5" t="s">
        <v>1709</v>
      </c>
      <c r="F22" s="120" t="s">
        <v>15</v>
      </c>
      <c r="G22" s="5" t="s">
        <v>15</v>
      </c>
      <c r="H22" s="5" t="s">
        <v>1709</v>
      </c>
      <c r="I22" s="7"/>
      <c r="J22" s="7"/>
    </row>
    <row r="23" spans="2:10">
      <c r="B23" s="120" t="s">
        <v>16</v>
      </c>
      <c r="C23" s="120" t="s">
        <v>16</v>
      </c>
      <c r="D23" s="5" t="s">
        <v>16</v>
      </c>
      <c r="E23" s="5" t="s">
        <v>1710</v>
      </c>
      <c r="F23" s="120" t="s">
        <v>16</v>
      </c>
      <c r="G23" s="5" t="s">
        <v>16</v>
      </c>
      <c r="H23" s="5" t="s">
        <v>1710</v>
      </c>
      <c r="I23" s="7"/>
      <c r="J23" s="7"/>
    </row>
    <row r="24" spans="2:10">
      <c r="B24" s="120" t="s">
        <v>687</v>
      </c>
      <c r="C24" s="120" t="s">
        <v>687</v>
      </c>
      <c r="D24" s="5" t="s">
        <v>1711</v>
      </c>
      <c r="E24" s="5" t="s">
        <v>1712</v>
      </c>
      <c r="F24" s="120" t="s">
        <v>687</v>
      </c>
      <c r="G24" s="5" t="s">
        <v>1711</v>
      </c>
      <c r="H24" s="5" t="s">
        <v>1712</v>
      </c>
      <c r="I24" s="7"/>
      <c r="J24" s="7"/>
    </row>
    <row r="25" spans="2:10">
      <c r="B25" s="120" t="s">
        <v>688</v>
      </c>
      <c r="C25" s="120" t="s">
        <v>688</v>
      </c>
      <c r="D25" s="5" t="s">
        <v>1713</v>
      </c>
      <c r="E25" s="5" t="s">
        <v>1714</v>
      </c>
      <c r="F25" s="120" t="s">
        <v>688</v>
      </c>
      <c r="G25" s="5" t="s">
        <v>1713</v>
      </c>
      <c r="H25" s="5" t="s">
        <v>1714</v>
      </c>
      <c r="I25" s="7"/>
      <c r="J25" s="7"/>
    </row>
    <row r="26" spans="2:10">
      <c r="B26" s="120" t="s">
        <v>86</v>
      </c>
      <c r="C26" s="120" t="s">
        <v>86</v>
      </c>
      <c r="D26" s="5" t="s">
        <v>1715</v>
      </c>
      <c r="E26" s="5" t="s">
        <v>1716</v>
      </c>
      <c r="F26" s="120" t="s">
        <v>86</v>
      </c>
      <c r="G26" s="5" t="s">
        <v>1715</v>
      </c>
      <c r="H26" s="5" t="s">
        <v>1716</v>
      </c>
      <c r="I26" s="7"/>
      <c r="J26" s="7"/>
    </row>
    <row r="27" spans="2:10">
      <c r="B27" s="120" t="s">
        <v>8</v>
      </c>
      <c r="C27" s="120" t="s">
        <v>8</v>
      </c>
      <c r="D27" s="5" t="s">
        <v>8</v>
      </c>
      <c r="E27" s="5" t="s">
        <v>1717</v>
      </c>
      <c r="F27" s="120" t="s">
        <v>8</v>
      </c>
      <c r="G27" s="5" t="s">
        <v>8</v>
      </c>
      <c r="H27" s="5" t="s">
        <v>1717</v>
      </c>
      <c r="I27" s="7"/>
      <c r="J27" s="7"/>
    </row>
    <row r="28" spans="2:10">
      <c r="B28" s="120" t="s">
        <v>542</v>
      </c>
      <c r="C28" s="120" t="s">
        <v>542</v>
      </c>
      <c r="D28" s="5" t="s">
        <v>1718</v>
      </c>
      <c r="E28" s="5" t="s">
        <v>1719</v>
      </c>
      <c r="F28" s="120" t="s">
        <v>542</v>
      </c>
      <c r="G28" s="5" t="s">
        <v>1718</v>
      </c>
      <c r="H28" s="5" t="s">
        <v>1719</v>
      </c>
      <c r="I28" s="7"/>
      <c r="J28" s="7"/>
    </row>
    <row r="29" spans="2:10">
      <c r="B29" s="120" t="s">
        <v>458</v>
      </c>
      <c r="C29" s="120" t="s">
        <v>458</v>
      </c>
      <c r="D29" s="5" t="s">
        <v>458</v>
      </c>
      <c r="E29" s="5" t="s">
        <v>1720</v>
      </c>
      <c r="F29" s="120" t="s">
        <v>458</v>
      </c>
      <c r="G29" s="5" t="s">
        <v>458</v>
      </c>
      <c r="H29" s="5" t="s">
        <v>1720</v>
      </c>
      <c r="I29" s="7"/>
      <c r="J29" s="7"/>
    </row>
    <row r="30" spans="2:10">
      <c r="B30" s="120" t="s">
        <v>547</v>
      </c>
      <c r="C30" s="120" t="s">
        <v>547</v>
      </c>
      <c r="D30" s="5" t="s">
        <v>1721</v>
      </c>
      <c r="E30" s="5" t="s">
        <v>1722</v>
      </c>
      <c r="F30" s="120" t="s">
        <v>547</v>
      </c>
      <c r="G30" s="5" t="s">
        <v>1721</v>
      </c>
      <c r="H30" s="5" t="s">
        <v>1722</v>
      </c>
      <c r="I30" s="7"/>
      <c r="J30" s="7"/>
    </row>
    <row r="31" spans="2:10">
      <c r="B31" s="120" t="s">
        <v>46</v>
      </c>
      <c r="C31" s="120" t="s">
        <v>46</v>
      </c>
      <c r="D31" s="5" t="s">
        <v>46</v>
      </c>
      <c r="E31" s="5" t="s">
        <v>1723</v>
      </c>
      <c r="F31" s="120" t="s">
        <v>46</v>
      </c>
      <c r="G31" s="5" t="s">
        <v>46</v>
      </c>
      <c r="H31" s="5" t="s">
        <v>1723</v>
      </c>
      <c r="I31" s="7"/>
      <c r="J31" s="7"/>
    </row>
    <row r="32" spans="2:10">
      <c r="B32" s="120" t="s">
        <v>44</v>
      </c>
      <c r="C32" s="120" t="s">
        <v>44</v>
      </c>
      <c r="D32" s="5" t="s">
        <v>923</v>
      </c>
      <c r="E32" s="5" t="s">
        <v>1724</v>
      </c>
      <c r="F32" s="120" t="s">
        <v>44</v>
      </c>
      <c r="G32" s="5" t="s">
        <v>923</v>
      </c>
      <c r="H32" s="5" t="s">
        <v>1724</v>
      </c>
      <c r="I32" s="7"/>
      <c r="J32" s="7"/>
    </row>
    <row r="33" spans="2:10">
      <c r="B33" s="120" t="s">
        <v>45</v>
      </c>
      <c r="C33" s="120" t="s">
        <v>45</v>
      </c>
      <c r="D33" s="5" t="s">
        <v>924</v>
      </c>
      <c r="E33" s="5" t="s">
        <v>1725</v>
      </c>
      <c r="F33" s="120" t="s">
        <v>45</v>
      </c>
      <c r="G33" s="5" t="s">
        <v>924</v>
      </c>
      <c r="H33" s="5" t="s">
        <v>1725</v>
      </c>
      <c r="I33" s="7"/>
      <c r="J33" s="7"/>
    </row>
    <row r="34" spans="2:10">
      <c r="B34" s="120" t="s">
        <v>98</v>
      </c>
      <c r="C34" s="120" t="s">
        <v>98</v>
      </c>
      <c r="D34" s="5" t="s">
        <v>927</v>
      </c>
      <c r="E34" s="5" t="s">
        <v>1726</v>
      </c>
      <c r="F34" s="120" t="s">
        <v>98</v>
      </c>
      <c r="G34" s="5" t="s">
        <v>927</v>
      </c>
      <c r="H34" s="5" t="s">
        <v>1726</v>
      </c>
      <c r="I34" s="7"/>
      <c r="J34" s="7"/>
    </row>
    <row r="35" spans="2:10">
      <c r="B35" s="120" t="s">
        <v>29</v>
      </c>
      <c r="C35" s="120" t="s">
        <v>29</v>
      </c>
      <c r="D35" s="5" t="s">
        <v>29</v>
      </c>
      <c r="E35" s="5" t="s">
        <v>1670</v>
      </c>
      <c r="F35" s="120" t="s">
        <v>29</v>
      </c>
      <c r="G35" s="5" t="s">
        <v>29</v>
      </c>
      <c r="H35" s="5" t="s">
        <v>1670</v>
      </c>
      <c r="I35" s="7"/>
      <c r="J35" s="7"/>
    </row>
    <row r="36" spans="2:10">
      <c r="B36" s="120" t="s">
        <v>28</v>
      </c>
      <c r="C36" s="120" t="s">
        <v>28</v>
      </c>
      <c r="D36" s="5" t="s">
        <v>28</v>
      </c>
      <c r="E36" s="5" t="s">
        <v>1679</v>
      </c>
      <c r="F36" s="120" t="s">
        <v>28</v>
      </c>
      <c r="G36" s="5" t="s">
        <v>28</v>
      </c>
      <c r="H36" s="5" t="s">
        <v>1679</v>
      </c>
      <c r="I36" s="7"/>
      <c r="J36" s="7"/>
    </row>
    <row r="37" spans="2:10">
      <c r="B37" s="120" t="s">
        <v>9</v>
      </c>
      <c r="C37" s="120" t="s">
        <v>9</v>
      </c>
      <c r="D37" s="5" t="s">
        <v>9</v>
      </c>
      <c r="E37" s="5" t="s">
        <v>1727</v>
      </c>
      <c r="F37" s="120" t="s">
        <v>9</v>
      </c>
      <c r="G37" s="5" t="s">
        <v>9</v>
      </c>
      <c r="H37" s="5" t="s">
        <v>1727</v>
      </c>
      <c r="I37" s="7"/>
      <c r="J37" s="7"/>
    </row>
    <row r="38" spans="2:10">
      <c r="B38" s="120" t="s">
        <v>32</v>
      </c>
      <c r="C38" s="120" t="s">
        <v>32</v>
      </c>
      <c r="D38" s="5" t="s">
        <v>32</v>
      </c>
      <c r="E38" s="5" t="s">
        <v>476</v>
      </c>
      <c r="F38" s="120" t="s">
        <v>32</v>
      </c>
      <c r="G38" s="5" t="s">
        <v>32</v>
      </c>
      <c r="H38" s="5" t="s">
        <v>476</v>
      </c>
      <c r="I38" s="7"/>
      <c r="J38" s="7"/>
    </row>
    <row r="39" spans="2:10">
      <c r="B39" s="120" t="s">
        <v>95</v>
      </c>
      <c r="C39" s="120" t="s">
        <v>95</v>
      </c>
      <c r="D39" s="5" t="s">
        <v>95</v>
      </c>
      <c r="E39" s="5" t="s">
        <v>1728</v>
      </c>
      <c r="F39" s="120" t="s">
        <v>95</v>
      </c>
      <c r="G39" s="5" t="s">
        <v>95</v>
      </c>
      <c r="H39" s="5" t="s">
        <v>1728</v>
      </c>
      <c r="I39" s="7"/>
      <c r="J39" s="7"/>
    </row>
    <row r="40" spans="2:10">
      <c r="B40" s="120" t="s">
        <v>1691</v>
      </c>
      <c r="C40" s="120" t="s">
        <v>1691</v>
      </c>
      <c r="D40" s="5" t="s">
        <v>1729</v>
      </c>
      <c r="E40" s="5" t="s">
        <v>1730</v>
      </c>
      <c r="F40" s="120" t="s">
        <v>1691</v>
      </c>
      <c r="G40" s="5" t="s">
        <v>1729</v>
      </c>
      <c r="H40" s="5" t="s">
        <v>1730</v>
      </c>
      <c r="I40" s="7"/>
      <c r="J40" s="7"/>
    </row>
    <row r="41" spans="2:10">
      <c r="B41" s="120" t="s">
        <v>33</v>
      </c>
      <c r="C41" s="120" t="s">
        <v>33</v>
      </c>
      <c r="D41" s="5" t="s">
        <v>33</v>
      </c>
      <c r="E41" s="5" t="s">
        <v>477</v>
      </c>
      <c r="F41" s="120" t="s">
        <v>33</v>
      </c>
      <c r="G41" s="5" t="s">
        <v>33</v>
      </c>
      <c r="H41" s="5" t="s">
        <v>477</v>
      </c>
      <c r="I41" s="7"/>
      <c r="J41" s="7"/>
    </row>
    <row r="42" spans="2:10">
      <c r="B42" s="120" t="s">
        <v>34</v>
      </c>
      <c r="C42" s="120" t="s">
        <v>34</v>
      </c>
      <c r="D42" s="5" t="s">
        <v>34</v>
      </c>
      <c r="E42" s="5" t="s">
        <v>1731</v>
      </c>
      <c r="F42" s="120" t="s">
        <v>34</v>
      </c>
      <c r="G42" s="5" t="s">
        <v>34</v>
      </c>
      <c r="H42" s="5" t="s">
        <v>1731</v>
      </c>
      <c r="I42" s="7"/>
      <c r="J42" s="7"/>
    </row>
    <row r="43" spans="2:10">
      <c r="B43" s="120" t="s">
        <v>35</v>
      </c>
      <c r="C43" s="120" t="s">
        <v>35</v>
      </c>
      <c r="D43" s="5" t="s">
        <v>35</v>
      </c>
      <c r="E43" s="5" t="s">
        <v>1732</v>
      </c>
      <c r="F43" s="120" t="s">
        <v>35</v>
      </c>
      <c r="G43" s="5" t="s">
        <v>35</v>
      </c>
      <c r="H43" s="5" t="s">
        <v>1732</v>
      </c>
      <c r="I43" s="7"/>
      <c r="J43" s="7"/>
    </row>
    <row r="44" spans="2:10">
      <c r="B44" s="120" t="s">
        <v>234</v>
      </c>
      <c r="C44" s="120" t="s">
        <v>234</v>
      </c>
      <c r="D44" s="5" t="s">
        <v>926</v>
      </c>
      <c r="E44" s="5" t="s">
        <v>1733</v>
      </c>
      <c r="F44" s="120" t="s">
        <v>234</v>
      </c>
      <c r="G44" s="5" t="s">
        <v>926</v>
      </c>
      <c r="H44" s="5" t="s">
        <v>1733</v>
      </c>
      <c r="I44" s="7"/>
      <c r="J44" s="7"/>
    </row>
    <row r="45" spans="2:10">
      <c r="B45" s="120" t="s">
        <v>36</v>
      </c>
      <c r="C45" s="120" t="s">
        <v>36</v>
      </c>
      <c r="D45" s="5" t="s">
        <v>1734</v>
      </c>
      <c r="E45" s="5" t="s">
        <v>1735</v>
      </c>
      <c r="F45" s="120" t="s">
        <v>36</v>
      </c>
      <c r="G45" s="5" t="s">
        <v>1734</v>
      </c>
      <c r="H45" s="5" t="s">
        <v>1735</v>
      </c>
      <c r="I45" s="7"/>
      <c r="J45" s="7"/>
    </row>
    <row r="46" spans="2:10">
      <c r="B46" s="120" t="s">
        <v>108</v>
      </c>
      <c r="C46" s="120" t="s">
        <v>108</v>
      </c>
      <c r="D46" s="5" t="s">
        <v>1736</v>
      </c>
      <c r="E46" s="5" t="s">
        <v>1737</v>
      </c>
      <c r="F46" s="120" t="s">
        <v>108</v>
      </c>
      <c r="G46" s="5" t="s">
        <v>1736</v>
      </c>
      <c r="H46" s="5" t="s">
        <v>1737</v>
      </c>
      <c r="I46" s="7"/>
      <c r="J46" s="7"/>
    </row>
    <row r="47" spans="2:10">
      <c r="B47" s="120" t="s">
        <v>37</v>
      </c>
      <c r="C47" s="120" t="s">
        <v>37</v>
      </c>
      <c r="D47" s="5" t="s">
        <v>1738</v>
      </c>
      <c r="E47" s="5" t="s">
        <v>1739</v>
      </c>
      <c r="F47" s="120" t="s">
        <v>37</v>
      </c>
      <c r="G47" s="5" t="s">
        <v>1738</v>
      </c>
      <c r="H47" s="5" t="s">
        <v>1739</v>
      </c>
      <c r="I47" s="7"/>
      <c r="J47" s="7"/>
    </row>
    <row r="48" spans="2:10">
      <c r="B48" s="120" t="s">
        <v>809</v>
      </c>
      <c r="C48" s="120" t="s">
        <v>809</v>
      </c>
      <c r="D48" s="5" t="s">
        <v>1740</v>
      </c>
      <c r="E48" s="5" t="s">
        <v>1741</v>
      </c>
      <c r="F48" s="120" t="s">
        <v>809</v>
      </c>
      <c r="G48" s="5" t="s">
        <v>1740</v>
      </c>
      <c r="H48" s="5" t="s">
        <v>1741</v>
      </c>
      <c r="I48" s="7"/>
      <c r="J48" s="7"/>
    </row>
    <row r="49" spans="2:10">
      <c r="B49" s="120" t="s">
        <v>38</v>
      </c>
      <c r="C49" s="120" t="s">
        <v>38</v>
      </c>
      <c r="D49" s="5" t="s">
        <v>38</v>
      </c>
      <c r="E49" s="5" t="s">
        <v>1742</v>
      </c>
      <c r="F49" s="120" t="s">
        <v>38</v>
      </c>
      <c r="G49" s="5" t="s">
        <v>38</v>
      </c>
      <c r="H49" s="5" t="s">
        <v>1742</v>
      </c>
      <c r="I49" s="7"/>
      <c r="J49" s="7"/>
    </row>
    <row r="50" spans="2:10">
      <c r="B50" s="120" t="s">
        <v>522</v>
      </c>
      <c r="C50" s="120" t="s">
        <v>522</v>
      </c>
      <c r="D50" s="5" t="s">
        <v>925</v>
      </c>
      <c r="E50" s="5" t="s">
        <v>1743</v>
      </c>
      <c r="F50" s="120" t="s">
        <v>522</v>
      </c>
      <c r="G50" s="5" t="s">
        <v>925</v>
      </c>
      <c r="H50" s="5" t="s">
        <v>1743</v>
      </c>
      <c r="I50" s="7"/>
      <c r="J50" s="7"/>
    </row>
    <row r="51" spans="2:10">
      <c r="B51" s="120" t="s">
        <v>523</v>
      </c>
      <c r="C51" s="120" t="s">
        <v>523</v>
      </c>
      <c r="D51" s="5" t="s">
        <v>1744</v>
      </c>
      <c r="E51" s="5" t="s">
        <v>1745</v>
      </c>
      <c r="F51" s="120" t="s">
        <v>523</v>
      </c>
      <c r="G51" s="5" t="s">
        <v>1744</v>
      </c>
      <c r="H51" s="5" t="s">
        <v>1745</v>
      </c>
      <c r="I51" s="7"/>
      <c r="J51" s="7"/>
    </row>
    <row r="52" spans="2:10">
      <c r="B52" s="120" t="s">
        <v>527</v>
      </c>
      <c r="C52" s="120" t="s">
        <v>527</v>
      </c>
      <c r="D52" s="5" t="s">
        <v>1746</v>
      </c>
      <c r="E52" s="5" t="s">
        <v>1747</v>
      </c>
      <c r="F52" s="120" t="s">
        <v>527</v>
      </c>
      <c r="G52" s="5" t="s">
        <v>1746</v>
      </c>
      <c r="H52" s="5" t="s">
        <v>1747</v>
      </c>
      <c r="I52" s="7"/>
      <c r="J52" s="7"/>
    </row>
    <row r="53" spans="2:10">
      <c r="B53" s="120" t="s">
        <v>451</v>
      </c>
      <c r="C53" s="120" t="s">
        <v>451</v>
      </c>
      <c r="D53" s="5" t="s">
        <v>1748</v>
      </c>
      <c r="E53" s="5" t="s">
        <v>1749</v>
      </c>
      <c r="F53" s="120" t="s">
        <v>451</v>
      </c>
      <c r="G53" s="5" t="s">
        <v>1748</v>
      </c>
      <c r="H53" s="5" t="s">
        <v>1749</v>
      </c>
      <c r="I53" s="7"/>
      <c r="J53" s="7"/>
    </row>
    <row r="54" spans="2:10">
      <c r="B54" s="120" t="s">
        <v>48</v>
      </c>
      <c r="C54" s="120" t="s">
        <v>48</v>
      </c>
      <c r="D54" s="5" t="s">
        <v>48</v>
      </c>
      <c r="E54" s="5" t="s">
        <v>1750</v>
      </c>
      <c r="F54" s="120" t="s">
        <v>48</v>
      </c>
      <c r="G54" s="5" t="s">
        <v>48</v>
      </c>
      <c r="H54" s="5" t="s">
        <v>1750</v>
      </c>
      <c r="I54" s="7"/>
      <c r="J54" s="7"/>
    </row>
    <row r="55" spans="2:10">
      <c r="B55" s="120" t="s">
        <v>186</v>
      </c>
      <c r="C55" s="120" t="s">
        <v>186</v>
      </c>
      <c r="D55" s="5" t="s">
        <v>186</v>
      </c>
      <c r="E55" s="5" t="s">
        <v>1751</v>
      </c>
      <c r="F55" s="120" t="s">
        <v>186</v>
      </c>
      <c r="G55" s="5" t="s">
        <v>186</v>
      </c>
      <c r="H55" s="5" t="s">
        <v>1751</v>
      </c>
      <c r="I55" s="7"/>
      <c r="J55" s="7"/>
    </row>
    <row r="56" spans="2:10">
      <c r="B56" s="120" t="s">
        <v>187</v>
      </c>
      <c r="C56" s="120" t="s">
        <v>187</v>
      </c>
      <c r="D56" s="5" t="s">
        <v>187</v>
      </c>
      <c r="E56" s="5" t="s">
        <v>1752</v>
      </c>
      <c r="F56" s="120" t="s">
        <v>187</v>
      </c>
      <c r="G56" s="5" t="s">
        <v>187</v>
      </c>
      <c r="H56" s="5" t="s">
        <v>1752</v>
      </c>
      <c r="I56" s="7"/>
      <c r="J56" s="7"/>
    </row>
    <row r="57" spans="2:10">
      <c r="B57" s="120" t="s">
        <v>183</v>
      </c>
      <c r="C57" s="120" t="s">
        <v>1753</v>
      </c>
      <c r="D57" s="5" t="s">
        <v>1754</v>
      </c>
      <c r="E57" s="5" t="s">
        <v>1755</v>
      </c>
      <c r="F57" s="120" t="s">
        <v>1753</v>
      </c>
      <c r="G57" s="5" t="s">
        <v>1754</v>
      </c>
      <c r="H57" s="5" t="s">
        <v>1755</v>
      </c>
      <c r="I57" s="7"/>
      <c r="J57" s="7"/>
    </row>
    <row r="58" spans="2:10">
      <c r="B58" s="120" t="s">
        <v>18</v>
      </c>
      <c r="C58" s="120" t="s">
        <v>18</v>
      </c>
      <c r="D58" s="5" t="s">
        <v>18</v>
      </c>
      <c r="E58" s="5" t="s">
        <v>1756</v>
      </c>
      <c r="F58" s="120" t="s">
        <v>18</v>
      </c>
      <c r="G58" s="5" t="s">
        <v>18</v>
      </c>
      <c r="H58" s="5" t="s">
        <v>1756</v>
      </c>
      <c r="I58" s="7"/>
      <c r="J58" s="7"/>
    </row>
    <row r="59" spans="2:10">
      <c r="B59" s="120" t="s">
        <v>128</v>
      </c>
      <c r="C59" s="120" t="s">
        <v>128</v>
      </c>
      <c r="D59" s="5" t="s">
        <v>1757</v>
      </c>
      <c r="E59" s="5" t="s">
        <v>1758</v>
      </c>
      <c r="F59" s="120" t="s">
        <v>128</v>
      </c>
      <c r="G59" s="5" t="s">
        <v>1757</v>
      </c>
      <c r="H59" s="5" t="s">
        <v>1758</v>
      </c>
      <c r="I59" s="7"/>
      <c r="J59" s="7"/>
    </row>
    <row r="60" spans="2:10">
      <c r="B60" s="120" t="s">
        <v>129</v>
      </c>
      <c r="C60" s="120" t="s">
        <v>129</v>
      </c>
      <c r="D60" s="5" t="s">
        <v>1759</v>
      </c>
      <c r="E60" s="5" t="s">
        <v>1760</v>
      </c>
      <c r="F60" s="120" t="s">
        <v>129</v>
      </c>
      <c r="G60" s="5" t="s">
        <v>1759</v>
      </c>
      <c r="H60" s="5" t="s">
        <v>1760</v>
      </c>
      <c r="I60" s="7"/>
      <c r="J60" s="7"/>
    </row>
    <row r="61" spans="2:10">
      <c r="B61" s="120" t="s">
        <v>682</v>
      </c>
      <c r="C61" s="120" t="s">
        <v>682</v>
      </c>
      <c r="D61" s="5" t="s">
        <v>682</v>
      </c>
      <c r="E61" s="5" t="s">
        <v>1761</v>
      </c>
      <c r="F61" s="120" t="s">
        <v>682</v>
      </c>
      <c r="G61" s="5" t="s">
        <v>682</v>
      </c>
      <c r="H61" s="5" t="s">
        <v>1761</v>
      </c>
      <c r="I61" s="7"/>
      <c r="J61" s="7"/>
    </row>
    <row r="62" spans="2:10">
      <c r="B62" s="120" t="s">
        <v>465</v>
      </c>
      <c r="C62" s="120" t="s">
        <v>465</v>
      </c>
      <c r="D62" s="5" t="s">
        <v>465</v>
      </c>
      <c r="E62" s="5" t="s">
        <v>1649</v>
      </c>
      <c r="F62" s="120" t="s">
        <v>465</v>
      </c>
      <c r="G62" s="5" t="s">
        <v>465</v>
      </c>
      <c r="H62" s="5" t="s">
        <v>1649</v>
      </c>
      <c r="I62" s="7"/>
      <c r="J62" s="7"/>
    </row>
    <row r="63" spans="2:10">
      <c r="B63" s="120" t="s">
        <v>664</v>
      </c>
      <c r="C63" s="120" t="s">
        <v>664</v>
      </c>
      <c r="D63" s="5" t="s">
        <v>664</v>
      </c>
      <c r="E63" s="5" t="s">
        <v>1762</v>
      </c>
      <c r="F63" s="120" t="s">
        <v>664</v>
      </c>
      <c r="G63" s="5" t="s">
        <v>664</v>
      </c>
      <c r="H63" s="5" t="s">
        <v>1762</v>
      </c>
      <c r="I63" s="7"/>
      <c r="J63" s="7"/>
    </row>
    <row r="64" spans="2:10">
      <c r="B64" s="120" t="s">
        <v>749</v>
      </c>
      <c r="C64" s="120" t="s">
        <v>749</v>
      </c>
      <c r="D64" s="5" t="s">
        <v>1763</v>
      </c>
      <c r="E64" s="5" t="s">
        <v>1764</v>
      </c>
      <c r="F64" s="120" t="s">
        <v>749</v>
      </c>
      <c r="G64" s="5" t="s">
        <v>1763</v>
      </c>
      <c r="H64" s="5" t="s">
        <v>1764</v>
      </c>
      <c r="I64" s="7"/>
      <c r="J64" s="7"/>
    </row>
    <row r="65" spans="2:10">
      <c r="B65" s="120" t="s">
        <v>151</v>
      </c>
      <c r="C65" s="120" t="s">
        <v>151</v>
      </c>
      <c r="D65" s="5" t="s">
        <v>151</v>
      </c>
      <c r="E65" s="5" t="s">
        <v>1560</v>
      </c>
      <c r="F65" s="120" t="s">
        <v>151</v>
      </c>
      <c r="G65" s="5" t="s">
        <v>151</v>
      </c>
      <c r="H65" s="5" t="s">
        <v>1560</v>
      </c>
      <c r="I65" s="7"/>
      <c r="J65" s="7"/>
    </row>
    <row r="66" spans="2:10">
      <c r="B66" s="120" t="s">
        <v>155</v>
      </c>
      <c r="C66" s="120" t="s">
        <v>155</v>
      </c>
      <c r="D66" s="5" t="s">
        <v>155</v>
      </c>
      <c r="E66" s="5" t="s">
        <v>1561</v>
      </c>
      <c r="F66" s="120" t="s">
        <v>155</v>
      </c>
      <c r="G66" s="5" t="s">
        <v>155</v>
      </c>
      <c r="H66" s="5" t="s">
        <v>1561</v>
      </c>
      <c r="I66" s="7"/>
      <c r="J66" s="7"/>
    </row>
    <row r="67" spans="2:10">
      <c r="B67" s="120" t="s">
        <v>156</v>
      </c>
      <c r="C67" s="120" t="s">
        <v>156</v>
      </c>
      <c r="D67" s="5" t="s">
        <v>156</v>
      </c>
      <c r="E67" s="5" t="s">
        <v>1562</v>
      </c>
      <c r="F67" s="120" t="s">
        <v>156</v>
      </c>
      <c r="G67" s="5" t="s">
        <v>156</v>
      </c>
      <c r="H67" s="5" t="s">
        <v>1562</v>
      </c>
      <c r="I67" s="7"/>
      <c r="J67" s="7"/>
    </row>
    <row r="68" spans="2:10">
      <c r="B68" s="120" t="s">
        <v>154</v>
      </c>
      <c r="C68" s="120" t="s">
        <v>154</v>
      </c>
      <c r="D68" s="5" t="s">
        <v>154</v>
      </c>
      <c r="E68" s="5" t="s">
        <v>1563</v>
      </c>
      <c r="F68" s="120" t="s">
        <v>154</v>
      </c>
      <c r="G68" s="5" t="s">
        <v>154</v>
      </c>
      <c r="H68" s="5" t="s">
        <v>1563</v>
      </c>
      <c r="I68" s="7"/>
      <c r="J68" s="7"/>
    </row>
    <row r="69" spans="2:10">
      <c r="B69" s="120" t="s">
        <v>152</v>
      </c>
      <c r="C69" s="120" t="s">
        <v>1564</v>
      </c>
      <c r="D69" s="5" t="s">
        <v>1564</v>
      </c>
      <c r="E69" s="5" t="s">
        <v>1564</v>
      </c>
      <c r="F69" s="120" t="s">
        <v>1564</v>
      </c>
      <c r="G69" s="5" t="s">
        <v>1564</v>
      </c>
      <c r="H69" s="5" t="s">
        <v>1564</v>
      </c>
      <c r="I69" s="7"/>
      <c r="J69" s="7"/>
    </row>
    <row r="70" spans="2:10">
      <c r="B70" s="120" t="s">
        <v>157</v>
      </c>
      <c r="C70" s="120" t="s">
        <v>1565</v>
      </c>
      <c r="D70" s="5" t="s">
        <v>1565</v>
      </c>
      <c r="E70" s="5" t="s">
        <v>1565</v>
      </c>
      <c r="F70" s="120" t="s">
        <v>1565</v>
      </c>
      <c r="G70" s="5" t="s">
        <v>1565</v>
      </c>
      <c r="H70" s="5" t="s">
        <v>1565</v>
      </c>
      <c r="I70" s="7"/>
      <c r="J70" s="7"/>
    </row>
    <row r="71" spans="2:10">
      <c r="B71" s="120" t="s">
        <v>158</v>
      </c>
      <c r="C71" s="120" t="s">
        <v>158</v>
      </c>
      <c r="D71" s="5" t="s">
        <v>158</v>
      </c>
      <c r="E71" s="5" t="s">
        <v>1566</v>
      </c>
      <c r="F71" s="120" t="s">
        <v>158</v>
      </c>
      <c r="G71" s="5" t="s">
        <v>158</v>
      </c>
      <c r="H71" s="5" t="s">
        <v>1566</v>
      </c>
      <c r="I71" s="7"/>
      <c r="J71" s="7"/>
    </row>
    <row r="72" spans="2:10">
      <c r="B72" s="120" t="s">
        <v>153</v>
      </c>
      <c r="C72" s="120" t="s">
        <v>153</v>
      </c>
      <c r="D72" s="5" t="s">
        <v>153</v>
      </c>
      <c r="E72" s="5" t="s">
        <v>1567</v>
      </c>
      <c r="F72" s="120" t="s">
        <v>153</v>
      </c>
      <c r="G72" s="5" t="s">
        <v>153</v>
      </c>
      <c r="H72" s="5" t="s">
        <v>1567</v>
      </c>
      <c r="I72" s="7"/>
      <c r="J72" s="7"/>
    </row>
    <row r="73" spans="2:10">
      <c r="B73" s="120" t="s">
        <v>159</v>
      </c>
      <c r="C73" s="120" t="s">
        <v>159</v>
      </c>
      <c r="D73" s="5" t="s">
        <v>159</v>
      </c>
      <c r="E73" s="5" t="s">
        <v>1568</v>
      </c>
      <c r="F73" s="120" t="s">
        <v>159</v>
      </c>
      <c r="G73" s="5" t="s">
        <v>159</v>
      </c>
      <c r="H73" s="5" t="s">
        <v>1568</v>
      </c>
      <c r="I73" s="7"/>
      <c r="J73" s="7"/>
    </row>
    <row r="74" spans="2:10">
      <c r="B74" s="120" t="s">
        <v>39</v>
      </c>
      <c r="C74" s="120" t="s">
        <v>1569</v>
      </c>
      <c r="D74" s="5" t="s">
        <v>1569</v>
      </c>
      <c r="E74" s="5" t="s">
        <v>39</v>
      </c>
      <c r="F74" s="120" t="s">
        <v>1569</v>
      </c>
      <c r="G74" s="5" t="s">
        <v>1569</v>
      </c>
      <c r="H74" s="5" t="s">
        <v>39</v>
      </c>
      <c r="I74" s="7"/>
      <c r="J74" s="7"/>
    </row>
    <row r="75" spans="2:10">
      <c r="B75" s="120" t="s">
        <v>40</v>
      </c>
      <c r="C75" s="120" t="s">
        <v>1570</v>
      </c>
      <c r="D75" s="5" t="s">
        <v>1570</v>
      </c>
      <c r="E75" s="5" t="s">
        <v>40</v>
      </c>
      <c r="F75" s="120" t="s">
        <v>1570</v>
      </c>
      <c r="G75" s="5" t="s">
        <v>1570</v>
      </c>
      <c r="H75" s="5" t="s">
        <v>40</v>
      </c>
      <c r="I75" s="7"/>
      <c r="J75" s="7"/>
    </row>
    <row r="76" spans="2:10">
      <c r="B76" s="120" t="s">
        <v>41</v>
      </c>
      <c r="C76" s="120" t="s">
        <v>1571</v>
      </c>
      <c r="D76" s="5" t="s">
        <v>1571</v>
      </c>
      <c r="E76" s="5" t="s">
        <v>41</v>
      </c>
      <c r="F76" s="120" t="s">
        <v>1571</v>
      </c>
      <c r="G76" s="5" t="s">
        <v>1571</v>
      </c>
      <c r="H76" s="5" t="s">
        <v>41</v>
      </c>
      <c r="I76" s="7"/>
      <c r="J76" s="7"/>
    </row>
    <row r="77" spans="2:10">
      <c r="B77" s="120" t="s">
        <v>42</v>
      </c>
      <c r="C77" s="120" t="s">
        <v>1572</v>
      </c>
      <c r="D77" s="5" t="s">
        <v>1572</v>
      </c>
      <c r="E77" s="5" t="s">
        <v>42</v>
      </c>
      <c r="F77" s="120" t="s">
        <v>1572</v>
      </c>
      <c r="G77" s="5" t="s">
        <v>1572</v>
      </c>
      <c r="H77" s="5" t="s">
        <v>42</v>
      </c>
      <c r="I77" s="7"/>
      <c r="J77" s="7"/>
    </row>
    <row r="78" spans="2:10">
      <c r="B78" s="120" t="s">
        <v>43</v>
      </c>
      <c r="C78" s="120" t="s">
        <v>1573</v>
      </c>
      <c r="D78" s="5" t="s">
        <v>1573</v>
      </c>
      <c r="E78" s="5" t="s">
        <v>43</v>
      </c>
      <c r="F78" s="120" t="s">
        <v>1573</v>
      </c>
      <c r="G78" s="5" t="s">
        <v>1573</v>
      </c>
      <c r="H78" s="5" t="s">
        <v>43</v>
      </c>
      <c r="I78" s="7"/>
      <c r="J78" s="7"/>
    </row>
    <row r="79" spans="2:10">
      <c r="B79" s="120" t="s">
        <v>82</v>
      </c>
      <c r="C79" s="120" t="s">
        <v>1574</v>
      </c>
      <c r="D79" s="5" t="s">
        <v>1575</v>
      </c>
      <c r="E79" s="5" t="s">
        <v>82</v>
      </c>
      <c r="F79" s="120" t="s">
        <v>1574</v>
      </c>
      <c r="G79" s="5" t="s">
        <v>1575</v>
      </c>
      <c r="H79" s="5" t="s">
        <v>82</v>
      </c>
      <c r="I79" s="7"/>
      <c r="J79" s="7"/>
    </row>
    <row r="80" spans="2:10">
      <c r="B80" s="120" t="s">
        <v>21</v>
      </c>
      <c r="C80" s="120" t="s">
        <v>21</v>
      </c>
      <c r="D80" s="5" t="s">
        <v>1576</v>
      </c>
      <c r="E80" s="5" t="s">
        <v>1577</v>
      </c>
      <c r="F80" s="120" t="s">
        <v>21</v>
      </c>
      <c r="G80" s="5" t="s">
        <v>1576</v>
      </c>
      <c r="H80" s="5" t="s">
        <v>1577</v>
      </c>
      <c r="I80" s="7"/>
      <c r="J80" s="7"/>
    </row>
    <row r="81" spans="2:10">
      <c r="B81" s="120" t="s">
        <v>19</v>
      </c>
      <c r="C81" s="120" t="s">
        <v>19</v>
      </c>
      <c r="D81" s="5" t="s">
        <v>1578</v>
      </c>
      <c r="E81" s="5" t="s">
        <v>1579</v>
      </c>
      <c r="F81" s="120" t="s">
        <v>19</v>
      </c>
      <c r="G81" s="5" t="s">
        <v>1578</v>
      </c>
      <c r="H81" s="5" t="s">
        <v>1579</v>
      </c>
      <c r="I81" s="7"/>
      <c r="J81" s="7"/>
    </row>
    <row r="82" spans="2:10">
      <c r="B82" s="120" t="s">
        <v>22</v>
      </c>
      <c r="C82" s="120" t="s">
        <v>22</v>
      </c>
      <c r="D82" s="5" t="s">
        <v>1580</v>
      </c>
      <c r="E82" s="5" t="s">
        <v>1581</v>
      </c>
      <c r="F82" s="120" t="s">
        <v>22</v>
      </c>
      <c r="G82" s="5" t="s">
        <v>1580</v>
      </c>
      <c r="H82" s="5" t="s">
        <v>1581</v>
      </c>
      <c r="I82" s="7"/>
      <c r="J82" s="7"/>
    </row>
    <row r="83" spans="2:10">
      <c r="B83" s="120" t="s">
        <v>50</v>
      </c>
      <c r="C83" s="120" t="s">
        <v>50</v>
      </c>
      <c r="D83" s="5" t="s">
        <v>1582</v>
      </c>
      <c r="E83" s="5" t="s">
        <v>1583</v>
      </c>
      <c r="F83" s="120" t="s">
        <v>50</v>
      </c>
      <c r="G83" s="5" t="s">
        <v>1582</v>
      </c>
      <c r="H83" s="5" t="s">
        <v>1583</v>
      </c>
      <c r="I83" s="7"/>
      <c r="J83" s="7"/>
    </row>
    <row r="84" spans="2:10">
      <c r="B84" s="120" t="s">
        <v>79</v>
      </c>
      <c r="C84" s="120" t="s">
        <v>79</v>
      </c>
      <c r="D84" s="5" t="s">
        <v>79</v>
      </c>
      <c r="E84" s="5" t="s">
        <v>1584</v>
      </c>
      <c r="F84" s="120" t="s">
        <v>79</v>
      </c>
      <c r="G84" s="5" t="s">
        <v>79</v>
      </c>
      <c r="H84" s="5" t="s">
        <v>1584</v>
      </c>
      <c r="I84" s="7"/>
      <c r="J84" s="7"/>
    </row>
    <row r="85" spans="2:10">
      <c r="B85" s="120" t="s">
        <v>134</v>
      </c>
      <c r="C85" s="120" t="s">
        <v>134</v>
      </c>
      <c r="D85" s="5" t="s">
        <v>1585</v>
      </c>
      <c r="E85" s="5" t="s">
        <v>1585</v>
      </c>
      <c r="F85" s="120" t="s">
        <v>134</v>
      </c>
      <c r="G85" s="5" t="s">
        <v>1585</v>
      </c>
      <c r="H85" s="5" t="s">
        <v>1585</v>
      </c>
      <c r="I85" s="7"/>
      <c r="J85" s="7"/>
    </row>
    <row r="86" spans="2:10">
      <c r="B86" s="120" t="s">
        <v>135</v>
      </c>
      <c r="C86" s="120" t="s">
        <v>135</v>
      </c>
      <c r="D86" s="5" t="s">
        <v>1586</v>
      </c>
      <c r="E86" s="5" t="s">
        <v>1586</v>
      </c>
      <c r="F86" s="120" t="s">
        <v>135</v>
      </c>
      <c r="G86" s="5" t="s">
        <v>1586</v>
      </c>
      <c r="H86" s="5" t="s">
        <v>1586</v>
      </c>
      <c r="I86" s="7"/>
      <c r="J86" s="7"/>
    </row>
    <row r="87" spans="2:10">
      <c r="B87" s="120" t="s">
        <v>226</v>
      </c>
      <c r="C87" s="120" t="s">
        <v>1587</v>
      </c>
      <c r="D87" s="5" t="s">
        <v>1588</v>
      </c>
      <c r="E87" s="5" t="s">
        <v>1588</v>
      </c>
      <c r="F87" s="120" t="s">
        <v>1587</v>
      </c>
      <c r="G87" s="5" t="s">
        <v>1588</v>
      </c>
      <c r="H87" s="5" t="s">
        <v>1588</v>
      </c>
      <c r="I87" s="7"/>
      <c r="J87" s="7"/>
    </row>
    <row r="88" spans="2:10">
      <c r="B88" s="120" t="s">
        <v>80</v>
      </c>
      <c r="C88" s="120" t="s">
        <v>1589</v>
      </c>
      <c r="D88" s="5" t="s">
        <v>1590</v>
      </c>
      <c r="E88" s="5" t="s">
        <v>1591</v>
      </c>
      <c r="F88" s="120" t="s">
        <v>1589</v>
      </c>
      <c r="G88" s="5" t="s">
        <v>1590</v>
      </c>
      <c r="H88" s="5" t="s">
        <v>1591</v>
      </c>
      <c r="I88" s="7"/>
      <c r="J88" s="7"/>
    </row>
    <row r="89" spans="2:10">
      <c r="B89" s="120" t="s">
        <v>1558</v>
      </c>
      <c r="C89" s="120" t="s">
        <v>1600</v>
      </c>
      <c r="D89" s="5" t="s">
        <v>1592</v>
      </c>
      <c r="E89" s="5" t="s">
        <v>1592</v>
      </c>
      <c r="F89" s="120" t="s">
        <v>1600</v>
      </c>
      <c r="G89" s="5" t="s">
        <v>1592</v>
      </c>
      <c r="H89" s="5" t="s">
        <v>1592</v>
      </c>
      <c r="I89" s="7"/>
      <c r="J89" s="7"/>
    </row>
    <row r="90" spans="2:10">
      <c r="B90" s="120" t="s">
        <v>227</v>
      </c>
      <c r="C90" s="120" t="s">
        <v>1593</v>
      </c>
      <c r="D90" s="5" t="s">
        <v>1594</v>
      </c>
      <c r="E90" s="5" t="s">
        <v>1595</v>
      </c>
      <c r="F90" s="120" t="s">
        <v>1593</v>
      </c>
      <c r="G90" s="5" t="s">
        <v>1594</v>
      </c>
      <c r="H90" s="5" t="s">
        <v>1595</v>
      </c>
      <c r="I90" s="7"/>
      <c r="J90" s="7"/>
    </row>
    <row r="91" spans="2:10">
      <c r="B91" s="120" t="s">
        <v>1559</v>
      </c>
      <c r="C91" s="120" t="s">
        <v>1601</v>
      </c>
      <c r="D91" s="5" t="s">
        <v>1596</v>
      </c>
      <c r="E91" s="5" t="s">
        <v>1596</v>
      </c>
      <c r="F91" s="120" t="s">
        <v>1601</v>
      </c>
      <c r="G91" s="5" t="s">
        <v>1596</v>
      </c>
      <c r="H91" s="5" t="s">
        <v>1596</v>
      </c>
      <c r="I91" s="7"/>
      <c r="J91" s="7"/>
    </row>
    <row r="92" spans="2:10">
      <c r="B92" s="120" t="s">
        <v>228</v>
      </c>
      <c r="C92" s="120" t="s">
        <v>1602</v>
      </c>
      <c r="D92" s="5" t="s">
        <v>1597</v>
      </c>
      <c r="E92" s="5" t="s">
        <v>1597</v>
      </c>
      <c r="F92" s="120" t="s">
        <v>1602</v>
      </c>
      <c r="G92" s="5" t="s">
        <v>1597</v>
      </c>
      <c r="H92" s="5" t="s">
        <v>1597</v>
      </c>
      <c r="I92" s="7"/>
      <c r="J92" s="7"/>
    </row>
    <row r="93" spans="2:10">
      <c r="B93" s="120" t="s">
        <v>225</v>
      </c>
      <c r="C93" s="120" t="s">
        <v>1598</v>
      </c>
      <c r="D93" s="5" t="s">
        <v>1599</v>
      </c>
      <c r="E93" s="5" t="s">
        <v>1599</v>
      </c>
      <c r="F93" s="120" t="s">
        <v>1598</v>
      </c>
      <c r="G93" s="5" t="s">
        <v>1599</v>
      </c>
      <c r="H93" s="5" t="s">
        <v>1599</v>
      </c>
      <c r="I93" s="7"/>
      <c r="J93" s="7"/>
    </row>
    <row r="94" spans="2:10">
      <c r="B94" s="120" t="s">
        <v>1604</v>
      </c>
      <c r="C94" s="120" t="s">
        <v>1604</v>
      </c>
      <c r="D94" s="5" t="s">
        <v>1765</v>
      </c>
      <c r="E94" s="5" t="s">
        <v>1766</v>
      </c>
      <c r="F94" s="120" t="s">
        <v>1604</v>
      </c>
      <c r="G94" s="5" t="s">
        <v>1765</v>
      </c>
      <c r="H94" s="5" t="s">
        <v>1766</v>
      </c>
      <c r="I94" s="7"/>
      <c r="J94" s="7"/>
    </row>
    <row r="95" spans="2:10">
      <c r="B95" s="120" t="s">
        <v>2</v>
      </c>
      <c r="C95" s="120" t="s">
        <v>2</v>
      </c>
      <c r="D95" s="5" t="s">
        <v>2</v>
      </c>
      <c r="E95" s="5" t="s">
        <v>1767</v>
      </c>
      <c r="F95" s="120" t="s">
        <v>2</v>
      </c>
      <c r="G95" s="5" t="s">
        <v>2</v>
      </c>
      <c r="H95" s="5" t="s">
        <v>1767</v>
      </c>
      <c r="I95" s="7"/>
      <c r="J95" s="7"/>
    </row>
    <row r="96" spans="2:10">
      <c r="B96" s="120" t="s">
        <v>869</v>
      </c>
      <c r="C96" s="120" t="s">
        <v>869</v>
      </c>
      <c r="D96" s="5" t="s">
        <v>1768</v>
      </c>
      <c r="E96" s="5" t="s">
        <v>1769</v>
      </c>
      <c r="F96" s="120" t="s">
        <v>869</v>
      </c>
      <c r="G96" s="5" t="s">
        <v>1768</v>
      </c>
      <c r="H96" s="5" t="s">
        <v>1769</v>
      </c>
      <c r="I96" s="7"/>
      <c r="J96" s="7"/>
    </row>
    <row r="97" spans="2:10">
      <c r="B97" s="120" t="s">
        <v>456</v>
      </c>
      <c r="C97" s="120" t="s">
        <v>456</v>
      </c>
      <c r="D97" s="5" t="s">
        <v>456</v>
      </c>
      <c r="E97" s="5" t="s">
        <v>1770</v>
      </c>
      <c r="F97" s="120" t="s">
        <v>456</v>
      </c>
      <c r="G97" s="5" t="s">
        <v>456</v>
      </c>
      <c r="H97" s="5" t="s">
        <v>1770</v>
      </c>
      <c r="I97" s="7"/>
      <c r="J97" s="7"/>
    </row>
    <row r="98" spans="2:10">
      <c r="B98" s="120" t="s">
        <v>943</v>
      </c>
      <c r="C98" s="120" t="s">
        <v>943</v>
      </c>
      <c r="D98" s="5" t="s">
        <v>1771</v>
      </c>
      <c r="E98" s="5" t="s">
        <v>1772</v>
      </c>
      <c r="F98" s="120" t="s">
        <v>943</v>
      </c>
      <c r="G98" s="5" t="s">
        <v>1771</v>
      </c>
      <c r="H98" s="5" t="s">
        <v>1772</v>
      </c>
      <c r="I98" s="7"/>
      <c r="J98" s="7"/>
    </row>
    <row r="99" spans="2:10">
      <c r="B99" s="120" t="s">
        <v>73</v>
      </c>
      <c r="C99" s="120" t="s">
        <v>73</v>
      </c>
      <c r="D99" s="5" t="s">
        <v>73</v>
      </c>
      <c r="E99" s="5" t="s">
        <v>1773</v>
      </c>
      <c r="F99" s="120" t="s">
        <v>73</v>
      </c>
      <c r="G99" s="5" t="s">
        <v>73</v>
      </c>
      <c r="H99" s="5" t="s">
        <v>1773</v>
      </c>
      <c r="I99" s="7"/>
      <c r="J99" s="7"/>
    </row>
    <row r="100" spans="2:10">
      <c r="B100" s="120" t="s">
        <v>1483</v>
      </c>
      <c r="C100" s="120" t="s">
        <v>1483</v>
      </c>
      <c r="D100" s="5" t="s">
        <v>1483</v>
      </c>
      <c r="E100" s="5" t="s">
        <v>1774</v>
      </c>
      <c r="F100" s="120" t="s">
        <v>1483</v>
      </c>
      <c r="G100" s="5" t="s">
        <v>1483</v>
      </c>
      <c r="H100" s="5" t="s">
        <v>1774</v>
      </c>
      <c r="I100" s="7"/>
      <c r="J100" s="7"/>
    </row>
    <row r="101" spans="2:10">
      <c r="B101" s="120" t="s">
        <v>3</v>
      </c>
      <c r="C101" s="120" t="s">
        <v>3</v>
      </c>
      <c r="D101" s="5" t="s">
        <v>3</v>
      </c>
      <c r="E101" s="5" t="s">
        <v>1775</v>
      </c>
      <c r="F101" s="120" t="s">
        <v>3</v>
      </c>
      <c r="G101" s="5" t="s">
        <v>3</v>
      </c>
      <c r="H101" s="5" t="s">
        <v>1775</v>
      </c>
      <c r="I101" s="7"/>
      <c r="J101" s="7"/>
    </row>
    <row r="102" spans="2:10">
      <c r="B102" s="120" t="s">
        <v>871</v>
      </c>
      <c r="C102" s="120" t="s">
        <v>871</v>
      </c>
      <c r="D102" s="5" t="s">
        <v>1776</v>
      </c>
      <c r="E102" s="5" t="s">
        <v>1777</v>
      </c>
      <c r="F102" s="120" t="s">
        <v>871</v>
      </c>
      <c r="G102" s="5" t="s">
        <v>1776</v>
      </c>
      <c r="H102" s="5" t="s">
        <v>1777</v>
      </c>
      <c r="I102" s="7"/>
      <c r="J102" s="7"/>
    </row>
    <row r="103" spans="2:10">
      <c r="B103" s="120" t="s">
        <v>585</v>
      </c>
      <c r="C103" s="120" t="s">
        <v>585</v>
      </c>
      <c r="D103" s="5" t="s">
        <v>585</v>
      </c>
      <c r="E103" s="5" t="s">
        <v>1778</v>
      </c>
      <c r="F103" s="120" t="s">
        <v>585</v>
      </c>
      <c r="G103" s="5" t="s">
        <v>585</v>
      </c>
      <c r="H103" s="5" t="s">
        <v>1778</v>
      </c>
      <c r="I103" s="7"/>
      <c r="J103" s="7"/>
    </row>
    <row r="104" spans="2:10">
      <c r="B104" s="120" t="s">
        <v>868</v>
      </c>
      <c r="C104" s="120" t="s">
        <v>868</v>
      </c>
      <c r="D104" s="5" t="s">
        <v>1779</v>
      </c>
      <c r="E104" s="5" t="s">
        <v>1780</v>
      </c>
      <c r="F104" s="120" t="s">
        <v>868</v>
      </c>
      <c r="G104" s="5" t="s">
        <v>1779</v>
      </c>
      <c r="H104" s="5" t="s">
        <v>1780</v>
      </c>
      <c r="I104" s="7"/>
      <c r="J104" s="7"/>
    </row>
    <row r="105" spans="2:10">
      <c r="B105" s="120" t="s">
        <v>237</v>
      </c>
      <c r="C105" s="120" t="s">
        <v>237</v>
      </c>
      <c r="D105" s="5" t="s">
        <v>237</v>
      </c>
      <c r="E105" s="5" t="s">
        <v>1781</v>
      </c>
      <c r="F105" s="120" t="s">
        <v>237</v>
      </c>
      <c r="G105" s="5" t="s">
        <v>237</v>
      </c>
      <c r="H105" s="5" t="s">
        <v>1781</v>
      </c>
      <c r="I105" s="7"/>
      <c r="J105" s="7"/>
    </row>
    <row r="106" spans="2:10">
      <c r="B106" s="120" t="s">
        <v>941</v>
      </c>
      <c r="C106" s="120" t="s">
        <v>941</v>
      </c>
      <c r="D106" s="5" t="s">
        <v>1782</v>
      </c>
      <c r="E106" s="5" t="s">
        <v>1783</v>
      </c>
      <c r="F106" s="120" t="s">
        <v>941</v>
      </c>
      <c r="G106" s="5" t="s">
        <v>1782</v>
      </c>
      <c r="H106" s="5" t="s">
        <v>1783</v>
      </c>
      <c r="I106" s="7"/>
      <c r="J106" s="7"/>
    </row>
    <row r="107" spans="2:10">
      <c r="B107" s="120" t="s">
        <v>124</v>
      </c>
      <c r="C107" s="120" t="s">
        <v>124</v>
      </c>
      <c r="D107" s="5" t="s">
        <v>1784</v>
      </c>
      <c r="E107" s="5" t="s">
        <v>1785</v>
      </c>
      <c r="F107" s="120" t="s">
        <v>124</v>
      </c>
      <c r="G107" s="5" t="s">
        <v>1784</v>
      </c>
      <c r="H107" s="5" t="s">
        <v>1785</v>
      </c>
      <c r="I107" s="7"/>
      <c r="J107" s="7"/>
    </row>
    <row r="108" spans="2:10">
      <c r="B108" s="120" t="s">
        <v>125</v>
      </c>
      <c r="C108" s="120" t="s">
        <v>125</v>
      </c>
      <c r="D108" s="5" t="s">
        <v>1786</v>
      </c>
      <c r="E108" s="5" t="s">
        <v>1787</v>
      </c>
      <c r="F108" s="120" t="s">
        <v>125</v>
      </c>
      <c r="G108" s="5" t="s">
        <v>1786</v>
      </c>
      <c r="H108" s="5" t="s">
        <v>1787</v>
      </c>
      <c r="I108" s="7"/>
      <c r="J108" s="7"/>
    </row>
    <row r="109" spans="2:10">
      <c r="B109" s="120" t="s">
        <v>701</v>
      </c>
      <c r="C109" s="120" t="s">
        <v>701</v>
      </c>
      <c r="D109" s="5" t="s">
        <v>701</v>
      </c>
      <c r="E109" s="5" t="s">
        <v>1788</v>
      </c>
      <c r="F109" s="120" t="s">
        <v>701</v>
      </c>
      <c r="G109" s="5" t="s">
        <v>701</v>
      </c>
      <c r="H109" s="5" t="s">
        <v>1788</v>
      </c>
      <c r="I109" s="7"/>
      <c r="J109" s="7"/>
    </row>
    <row r="110" spans="2:10">
      <c r="B110" s="120" t="s">
        <v>699</v>
      </c>
      <c r="C110" s="120" t="s">
        <v>699</v>
      </c>
      <c r="D110" s="5" t="s">
        <v>699</v>
      </c>
      <c r="E110" s="5" t="s">
        <v>1789</v>
      </c>
      <c r="F110" s="120" t="s">
        <v>699</v>
      </c>
      <c r="G110" s="5" t="s">
        <v>699</v>
      </c>
      <c r="H110" s="5" t="s">
        <v>1789</v>
      </c>
      <c r="I110" s="7"/>
      <c r="J110" s="7"/>
    </row>
    <row r="111" spans="2:10">
      <c r="B111" s="120" t="s">
        <v>700</v>
      </c>
      <c r="C111" s="120" t="s">
        <v>700</v>
      </c>
      <c r="D111" s="5" t="s">
        <v>700</v>
      </c>
      <c r="E111" s="5" t="s">
        <v>1790</v>
      </c>
      <c r="F111" s="120" t="s">
        <v>700</v>
      </c>
      <c r="G111" s="5" t="s">
        <v>700</v>
      </c>
      <c r="H111" s="5" t="s">
        <v>1790</v>
      </c>
      <c r="I111" s="7"/>
      <c r="J111" s="7"/>
    </row>
    <row r="112" spans="2:10">
      <c r="B112" s="120" t="s">
        <v>942</v>
      </c>
      <c r="C112" s="120" t="s">
        <v>942</v>
      </c>
      <c r="D112" s="5" t="s">
        <v>1791</v>
      </c>
      <c r="E112" s="5" t="s">
        <v>1792</v>
      </c>
      <c r="F112" s="120" t="s">
        <v>942</v>
      </c>
      <c r="G112" s="5" t="s">
        <v>1791</v>
      </c>
      <c r="H112" s="5" t="s">
        <v>1792</v>
      </c>
      <c r="I112" s="7"/>
      <c r="J112" s="7"/>
    </row>
    <row r="113" spans="2:10">
      <c r="B113" s="120" t="s">
        <v>1455</v>
      </c>
      <c r="C113" s="120" t="s">
        <v>1455</v>
      </c>
      <c r="D113" s="5" t="s">
        <v>1793</v>
      </c>
      <c r="E113" s="5" t="s">
        <v>1794</v>
      </c>
      <c r="F113" s="120" t="s">
        <v>1455</v>
      </c>
      <c r="G113" s="5" t="s">
        <v>1793</v>
      </c>
      <c r="H113" s="5" t="s">
        <v>1794</v>
      </c>
      <c r="I113" s="7"/>
      <c r="J113" s="7"/>
    </row>
    <row r="114" spans="2:10">
      <c r="B114" s="120" t="s">
        <v>0</v>
      </c>
      <c r="C114" s="120" t="s">
        <v>0</v>
      </c>
      <c r="D114" s="5" t="s">
        <v>0</v>
      </c>
      <c r="E114" s="5" t="s">
        <v>1609</v>
      </c>
      <c r="F114" s="120" t="s">
        <v>0</v>
      </c>
      <c r="G114" s="5" t="s">
        <v>0</v>
      </c>
      <c r="H114" s="5" t="s">
        <v>1609</v>
      </c>
      <c r="I114" s="7"/>
      <c r="J114" s="7"/>
    </row>
    <row r="115" spans="2:10">
      <c r="B115" s="120" t="s">
        <v>5</v>
      </c>
      <c r="C115" s="120" t="s">
        <v>5</v>
      </c>
      <c r="D115" s="5" t="s">
        <v>5</v>
      </c>
      <c r="E115" s="5" t="s">
        <v>1610</v>
      </c>
      <c r="F115" s="120" t="s">
        <v>5</v>
      </c>
      <c r="G115" s="5" t="s">
        <v>5</v>
      </c>
      <c r="H115" s="5" t="s">
        <v>1610</v>
      </c>
      <c r="I115" s="7"/>
      <c r="J115" s="7"/>
    </row>
    <row r="116" spans="2:10">
      <c r="B116" s="120" t="s">
        <v>461</v>
      </c>
      <c r="C116" s="120" t="s">
        <v>1612</v>
      </c>
      <c r="D116" s="5" t="s">
        <v>1613</v>
      </c>
      <c r="E116" s="5" t="s">
        <v>1613</v>
      </c>
      <c r="F116" s="120" t="s">
        <v>1612</v>
      </c>
      <c r="G116" s="5" t="s">
        <v>1613</v>
      </c>
      <c r="H116" s="5" t="s">
        <v>1613</v>
      </c>
      <c r="I116" s="7"/>
      <c r="J116" s="7"/>
    </row>
    <row r="117" spans="2:10">
      <c r="B117" s="120" t="s">
        <v>806</v>
      </c>
      <c r="C117" s="120" t="s">
        <v>806</v>
      </c>
      <c r="D117" s="5" t="s">
        <v>1614</v>
      </c>
      <c r="E117" s="5" t="s">
        <v>1615</v>
      </c>
      <c r="F117" s="120" t="s">
        <v>806</v>
      </c>
      <c r="G117" s="5" t="s">
        <v>1614</v>
      </c>
      <c r="H117" s="5" t="s">
        <v>1615</v>
      </c>
      <c r="I117" s="7"/>
      <c r="J117" s="7"/>
    </row>
    <row r="118" spans="2:10">
      <c r="B118" s="120" t="s">
        <v>84</v>
      </c>
      <c r="C118" s="120" t="s">
        <v>84</v>
      </c>
      <c r="D118" s="5" t="s">
        <v>84</v>
      </c>
      <c r="E118" s="5" t="s">
        <v>1616</v>
      </c>
      <c r="F118" s="120" t="s">
        <v>84</v>
      </c>
      <c r="G118" s="5" t="s">
        <v>84</v>
      </c>
      <c r="H118" s="5" t="s">
        <v>1616</v>
      </c>
      <c r="I118" s="7"/>
      <c r="J118" s="7"/>
    </row>
    <row r="119" spans="2:10">
      <c r="B119" s="120" t="s">
        <v>31</v>
      </c>
      <c r="C119" s="120" t="s">
        <v>31</v>
      </c>
      <c r="D119" s="5" t="s">
        <v>31</v>
      </c>
      <c r="E119" s="5" t="s">
        <v>1617</v>
      </c>
      <c r="F119" s="120" t="s">
        <v>31</v>
      </c>
      <c r="G119" s="5" t="s">
        <v>31</v>
      </c>
      <c r="H119" s="5" t="s">
        <v>1617</v>
      </c>
      <c r="I119" s="7"/>
      <c r="J119" s="7"/>
    </row>
    <row r="120" spans="2:10">
      <c r="B120" s="120" t="s">
        <v>1</v>
      </c>
      <c r="C120" s="120" t="s">
        <v>1</v>
      </c>
      <c r="D120" s="5" t="s">
        <v>1</v>
      </c>
      <c r="E120" s="5" t="s">
        <v>1619</v>
      </c>
      <c r="F120" s="120" t="s">
        <v>1</v>
      </c>
      <c r="G120" s="5" t="s">
        <v>1</v>
      </c>
      <c r="H120" s="5" t="s">
        <v>1619</v>
      </c>
      <c r="I120" s="7"/>
      <c r="J120" s="7"/>
    </row>
    <row r="121" spans="2:10">
      <c r="B121" s="120" t="s">
        <v>224</v>
      </c>
      <c r="C121" s="120" t="s">
        <v>224</v>
      </c>
      <c r="D121" s="5" t="s">
        <v>224</v>
      </c>
      <c r="E121" s="5" t="s">
        <v>1620</v>
      </c>
      <c r="F121" s="120" t="s">
        <v>224</v>
      </c>
      <c r="G121" s="5" t="s">
        <v>224</v>
      </c>
      <c r="H121" s="5" t="s">
        <v>1620</v>
      </c>
      <c r="I121" s="7"/>
      <c r="J121" s="7"/>
    </row>
    <row r="122" spans="2:10">
      <c r="B122" s="120" t="s">
        <v>11</v>
      </c>
      <c r="C122" s="120" t="s">
        <v>11</v>
      </c>
      <c r="D122" s="5" t="s">
        <v>11</v>
      </c>
      <c r="E122" s="5" t="s">
        <v>1621</v>
      </c>
      <c r="F122" s="120" t="s">
        <v>11</v>
      </c>
      <c r="G122" s="5" t="s">
        <v>11</v>
      </c>
      <c r="H122" s="5" t="s">
        <v>1621</v>
      </c>
      <c r="I122" s="7"/>
      <c r="J122" s="7"/>
    </row>
    <row r="123" spans="2:10">
      <c r="B123" s="120" t="s">
        <v>75</v>
      </c>
      <c r="C123" s="120" t="s">
        <v>75</v>
      </c>
      <c r="D123" s="5" t="s">
        <v>1622</v>
      </c>
      <c r="E123" s="5" t="s">
        <v>1623</v>
      </c>
      <c r="F123" s="120" t="s">
        <v>75</v>
      </c>
      <c r="G123" s="5" t="s">
        <v>1622</v>
      </c>
      <c r="H123" s="5" t="s">
        <v>1623</v>
      </c>
      <c r="I123" s="7"/>
      <c r="J123" s="7"/>
    </row>
    <row r="124" spans="2:10">
      <c r="B124" s="120" t="s">
        <v>78</v>
      </c>
      <c r="C124" s="120" t="s">
        <v>1624</v>
      </c>
      <c r="D124" s="5" t="s">
        <v>1625</v>
      </c>
      <c r="E124" s="5" t="s">
        <v>1626</v>
      </c>
      <c r="F124" s="120" t="s">
        <v>1624</v>
      </c>
      <c r="G124" s="5" t="s">
        <v>1625</v>
      </c>
      <c r="H124" s="5" t="s">
        <v>1626</v>
      </c>
      <c r="I124" s="7"/>
      <c r="J124" s="7"/>
    </row>
    <row r="125" spans="2:10">
      <c r="B125" s="120" t="s">
        <v>81</v>
      </c>
      <c r="C125" s="120" t="s">
        <v>81</v>
      </c>
      <c r="D125" s="5" t="s">
        <v>1627</v>
      </c>
      <c r="E125" s="5" t="s">
        <v>1628</v>
      </c>
      <c r="F125" s="120" t="s">
        <v>81</v>
      </c>
      <c r="G125" s="5" t="s">
        <v>1627</v>
      </c>
      <c r="H125" s="5" t="s">
        <v>1628</v>
      </c>
      <c r="I125" s="7"/>
      <c r="J125" s="7"/>
    </row>
    <row r="126" spans="2:10">
      <c r="B126" s="120" t="s">
        <v>801</v>
      </c>
      <c r="C126" s="120" t="s">
        <v>801</v>
      </c>
      <c r="D126" s="5" t="s">
        <v>1629</v>
      </c>
      <c r="E126" s="5" t="s">
        <v>1630</v>
      </c>
      <c r="F126" s="120" t="s">
        <v>801</v>
      </c>
      <c r="G126" s="5" t="s">
        <v>1629</v>
      </c>
      <c r="H126" s="5" t="s">
        <v>1630</v>
      </c>
      <c r="I126" s="7"/>
      <c r="J126" s="7"/>
    </row>
    <row r="127" spans="2:10">
      <c r="B127" s="120" t="s">
        <v>802</v>
      </c>
      <c r="C127" s="120" t="s">
        <v>802</v>
      </c>
      <c r="D127" s="5" t="s">
        <v>1631</v>
      </c>
      <c r="E127" s="5" t="s">
        <v>1632</v>
      </c>
      <c r="F127" s="120" t="s">
        <v>802</v>
      </c>
      <c r="G127" s="5" t="s">
        <v>1631</v>
      </c>
      <c r="H127" s="5" t="s">
        <v>1632</v>
      </c>
      <c r="I127" s="7"/>
      <c r="J127" s="7"/>
    </row>
    <row r="128" spans="2:10">
      <c r="B128" s="120" t="s">
        <v>4</v>
      </c>
      <c r="C128" s="120" t="s">
        <v>4</v>
      </c>
      <c r="D128" s="5" t="s">
        <v>4</v>
      </c>
      <c r="E128" s="5" t="s">
        <v>1633</v>
      </c>
      <c r="F128" s="120" t="s">
        <v>4</v>
      </c>
      <c r="G128" s="5" t="s">
        <v>4</v>
      </c>
      <c r="H128" s="5" t="s">
        <v>1633</v>
      </c>
      <c r="I128" s="7"/>
      <c r="J128" s="7"/>
    </row>
    <row r="129" spans="2:10">
      <c r="B129" s="120" t="s">
        <v>365</v>
      </c>
      <c r="C129" s="120" t="s">
        <v>365</v>
      </c>
      <c r="D129" s="5" t="s">
        <v>1634</v>
      </c>
      <c r="E129" s="5" t="s">
        <v>1635</v>
      </c>
      <c r="F129" s="120" t="s">
        <v>365</v>
      </c>
      <c r="G129" s="5" t="s">
        <v>1634</v>
      </c>
      <c r="H129" s="5" t="s">
        <v>1635</v>
      </c>
      <c r="I129" s="7"/>
      <c r="J129" s="7"/>
    </row>
    <row r="130" spans="2:10">
      <c r="B130" s="120" t="s">
        <v>13</v>
      </c>
      <c r="C130" s="120" t="s">
        <v>13</v>
      </c>
      <c r="D130" s="5" t="s">
        <v>1637</v>
      </c>
      <c r="E130" s="5" t="s">
        <v>1638</v>
      </c>
      <c r="F130" s="120" t="s">
        <v>13</v>
      </c>
      <c r="G130" s="5" t="s">
        <v>1637</v>
      </c>
      <c r="H130" s="5" t="s">
        <v>1638</v>
      </c>
      <c r="I130" s="7"/>
      <c r="J130" s="7"/>
    </row>
    <row r="131" spans="2:10">
      <c r="B131" s="120" t="s">
        <v>481</v>
      </c>
      <c r="C131" s="120" t="s">
        <v>481</v>
      </c>
      <c r="D131" s="5" t="s">
        <v>481</v>
      </c>
      <c r="E131" s="5" t="s">
        <v>1639</v>
      </c>
      <c r="F131" s="120" t="s">
        <v>481</v>
      </c>
      <c r="G131" s="5" t="s">
        <v>481</v>
      </c>
      <c r="H131" s="5" t="s">
        <v>1639</v>
      </c>
      <c r="I131" s="7"/>
      <c r="J131" s="7"/>
    </row>
    <row r="132" spans="2:10">
      <c r="B132" s="120" t="s">
        <v>693</v>
      </c>
      <c r="C132" s="120" t="s">
        <v>1640</v>
      </c>
      <c r="D132" s="5" t="s">
        <v>1640</v>
      </c>
      <c r="E132" s="5" t="s">
        <v>1640</v>
      </c>
      <c r="F132" s="120" t="s">
        <v>1640</v>
      </c>
      <c r="G132" s="5" t="s">
        <v>1640</v>
      </c>
      <c r="H132" s="5" t="s">
        <v>1640</v>
      </c>
      <c r="I132" s="7"/>
      <c r="J132" s="7"/>
    </row>
    <row r="133" spans="2:10">
      <c r="B133" s="120" t="s">
        <v>829</v>
      </c>
      <c r="C133" s="120" t="s">
        <v>829</v>
      </c>
      <c r="D133" s="5" t="s">
        <v>1641</v>
      </c>
      <c r="E133" s="5" t="s">
        <v>1642</v>
      </c>
      <c r="F133" s="120" t="s">
        <v>829</v>
      </c>
      <c r="G133" s="5" t="s">
        <v>1641</v>
      </c>
      <c r="H133" s="5" t="s">
        <v>1642</v>
      </c>
      <c r="I133" s="7"/>
      <c r="J133" s="7"/>
    </row>
    <row r="134" spans="2:10">
      <c r="B134" s="120" t="s">
        <v>91</v>
      </c>
      <c r="C134" s="120" t="s">
        <v>91</v>
      </c>
      <c r="D134" s="5" t="s">
        <v>1643</v>
      </c>
      <c r="E134" s="5" t="s">
        <v>1644</v>
      </c>
      <c r="F134" s="120" t="s">
        <v>91</v>
      </c>
      <c r="G134" s="5" t="s">
        <v>1643</v>
      </c>
      <c r="H134" s="5" t="s">
        <v>1644</v>
      </c>
      <c r="I134" s="7"/>
      <c r="J134" s="7"/>
    </row>
    <row r="135" spans="2:10">
      <c r="B135" s="120" t="s">
        <v>558</v>
      </c>
      <c r="C135" s="120" t="s">
        <v>558</v>
      </c>
      <c r="D135" s="5" t="s">
        <v>1645</v>
      </c>
      <c r="E135" s="5" t="s">
        <v>1646</v>
      </c>
      <c r="F135" s="120" t="s">
        <v>558</v>
      </c>
      <c r="G135" s="5" t="s">
        <v>1645</v>
      </c>
      <c r="H135" s="5" t="s">
        <v>1646</v>
      </c>
      <c r="I135" s="7"/>
      <c r="J135" s="7"/>
    </row>
    <row r="136" spans="2:10">
      <c r="B136" s="120" t="s">
        <v>559</v>
      </c>
      <c r="C136" s="120" t="s">
        <v>559</v>
      </c>
      <c r="D136" s="5" t="s">
        <v>1647</v>
      </c>
      <c r="E136" s="5" t="s">
        <v>1648</v>
      </c>
      <c r="F136" s="120" t="s">
        <v>559</v>
      </c>
      <c r="G136" s="5" t="s">
        <v>1647</v>
      </c>
      <c r="H136" s="5" t="s">
        <v>1648</v>
      </c>
      <c r="I136" s="7"/>
      <c r="J136" s="7"/>
    </row>
    <row r="137" spans="2:10">
      <c r="B137" s="120" t="s">
        <v>562</v>
      </c>
      <c r="C137" s="120" t="s">
        <v>562</v>
      </c>
      <c r="D137" s="5" t="s">
        <v>1650</v>
      </c>
      <c r="E137" s="5" t="s">
        <v>1651</v>
      </c>
      <c r="F137" s="120" t="s">
        <v>562</v>
      </c>
      <c r="G137" s="5" t="s">
        <v>1650</v>
      </c>
      <c r="H137" s="5" t="s">
        <v>1651</v>
      </c>
      <c r="I137" s="7"/>
      <c r="J137" s="7"/>
    </row>
    <row r="138" spans="2:10">
      <c r="B138" s="120" t="s">
        <v>83</v>
      </c>
      <c r="C138" s="120" t="s">
        <v>83</v>
      </c>
      <c r="D138" s="5" t="s">
        <v>1652</v>
      </c>
      <c r="E138" s="5" t="s">
        <v>1653</v>
      </c>
      <c r="F138" s="120" t="s">
        <v>83</v>
      </c>
      <c r="G138" s="5" t="s">
        <v>1652</v>
      </c>
      <c r="H138" s="5" t="s">
        <v>1653</v>
      </c>
      <c r="I138" s="7"/>
      <c r="J138" s="7"/>
    </row>
    <row r="139" spans="2:10">
      <c r="B139" s="120" t="s">
        <v>471</v>
      </c>
      <c r="C139" s="120" t="s">
        <v>471</v>
      </c>
      <c r="D139" s="5" t="s">
        <v>1654</v>
      </c>
      <c r="E139" s="5" t="s">
        <v>1655</v>
      </c>
      <c r="F139" s="120" t="s">
        <v>471</v>
      </c>
      <c r="G139" s="5" t="s">
        <v>1654</v>
      </c>
      <c r="H139" s="5" t="s">
        <v>1655</v>
      </c>
      <c r="I139" s="7"/>
      <c r="J139" s="7"/>
    </row>
    <row r="140" spans="2:10">
      <c r="B140" s="120" t="s">
        <v>74</v>
      </c>
      <c r="C140" s="120" t="s">
        <v>74</v>
      </c>
      <c r="D140" s="5" t="s">
        <v>1656</v>
      </c>
      <c r="E140" s="5" t="s">
        <v>1657</v>
      </c>
      <c r="F140" s="120" t="s">
        <v>74</v>
      </c>
      <c r="G140" s="5" t="s">
        <v>1656</v>
      </c>
      <c r="H140" s="5" t="s">
        <v>1657</v>
      </c>
      <c r="I140" s="7"/>
      <c r="J140" s="7"/>
    </row>
    <row r="141" spans="2:10">
      <c r="B141" s="120" t="s">
        <v>735</v>
      </c>
      <c r="C141" s="120" t="s">
        <v>735</v>
      </c>
      <c r="D141" s="5" t="s">
        <v>1658</v>
      </c>
      <c r="E141" s="5" t="s">
        <v>1659</v>
      </c>
      <c r="F141" s="120" t="s">
        <v>735</v>
      </c>
      <c r="G141" s="5" t="s">
        <v>1658</v>
      </c>
      <c r="H141" s="5" t="s">
        <v>1659</v>
      </c>
      <c r="I141" s="7"/>
      <c r="J141" s="7"/>
    </row>
    <row r="142" spans="2:10">
      <c r="B142" s="120" t="s">
        <v>318</v>
      </c>
      <c r="C142" s="120" t="s">
        <v>318</v>
      </c>
      <c r="D142" s="5" t="s">
        <v>1660</v>
      </c>
      <c r="E142" s="5" t="s">
        <v>1661</v>
      </c>
      <c r="F142" s="120" t="s">
        <v>318</v>
      </c>
      <c r="G142" s="5" t="s">
        <v>1660</v>
      </c>
      <c r="H142" s="5" t="s">
        <v>1661</v>
      </c>
      <c r="I142" s="7"/>
      <c r="J142" s="7"/>
    </row>
    <row r="143" spans="2:10">
      <c r="B143" s="120" t="s">
        <v>320</v>
      </c>
      <c r="C143" s="120" t="s">
        <v>320</v>
      </c>
      <c r="D143" s="5" t="s">
        <v>1662</v>
      </c>
      <c r="E143" s="5" t="s">
        <v>1663</v>
      </c>
      <c r="F143" s="120" t="s">
        <v>320</v>
      </c>
      <c r="G143" s="5" t="s">
        <v>1662</v>
      </c>
      <c r="H143" s="5" t="s">
        <v>1663</v>
      </c>
      <c r="I143" s="7"/>
      <c r="J143" s="7"/>
    </row>
    <row r="144" spans="2:10">
      <c r="B144" s="120" t="s">
        <v>321</v>
      </c>
      <c r="C144" s="120" t="s">
        <v>321</v>
      </c>
      <c r="D144" s="5" t="s">
        <v>1664</v>
      </c>
      <c r="E144" s="5" t="s">
        <v>1665</v>
      </c>
      <c r="F144" s="120" t="s">
        <v>321</v>
      </c>
      <c r="G144" s="5" t="s">
        <v>1664</v>
      </c>
      <c r="H144" s="5" t="s">
        <v>1665</v>
      </c>
      <c r="I144" s="7"/>
      <c r="J144" s="7"/>
    </row>
    <row r="145" spans="2:10">
      <c r="B145" s="120" t="s">
        <v>17</v>
      </c>
      <c r="C145" s="120" t="s">
        <v>17</v>
      </c>
      <c r="D145" s="5" t="s">
        <v>1666</v>
      </c>
      <c r="E145" s="5" t="s">
        <v>1667</v>
      </c>
      <c r="F145" s="120" t="s">
        <v>17</v>
      </c>
      <c r="G145" s="5" t="s">
        <v>1666</v>
      </c>
      <c r="H145" s="5" t="s">
        <v>1667</v>
      </c>
      <c r="I145" s="7"/>
      <c r="J145" s="7"/>
    </row>
    <row r="146" spans="2:10">
      <c r="B146" s="120" t="s">
        <v>30</v>
      </c>
      <c r="C146" s="120" t="s">
        <v>30</v>
      </c>
      <c r="D146" s="5" t="s">
        <v>30</v>
      </c>
      <c r="E146" s="5" t="s">
        <v>1669</v>
      </c>
      <c r="F146" s="120" t="s">
        <v>30</v>
      </c>
      <c r="G146" s="5" t="s">
        <v>30</v>
      </c>
      <c r="H146" s="5" t="s">
        <v>1669</v>
      </c>
      <c r="I146" s="7"/>
      <c r="J146" s="7"/>
    </row>
    <row r="147" spans="2:10">
      <c r="B147" s="120" t="s">
        <v>23</v>
      </c>
      <c r="C147" s="120" t="s">
        <v>23</v>
      </c>
      <c r="D147" s="5" t="s">
        <v>23</v>
      </c>
      <c r="E147" s="5" t="s">
        <v>1671</v>
      </c>
      <c r="F147" s="120" t="s">
        <v>23</v>
      </c>
      <c r="G147" s="5" t="s">
        <v>23</v>
      </c>
      <c r="H147" s="5" t="s">
        <v>1671</v>
      </c>
      <c r="I147" s="7"/>
      <c r="J147" s="7"/>
    </row>
    <row r="148" spans="2:10">
      <c r="B148" s="120" t="s">
        <v>24</v>
      </c>
      <c r="C148" s="120" t="s">
        <v>24</v>
      </c>
      <c r="D148" s="5" t="s">
        <v>1672</v>
      </c>
      <c r="E148" s="5" t="s">
        <v>1673</v>
      </c>
      <c r="F148" s="120" t="s">
        <v>24</v>
      </c>
      <c r="G148" s="5" t="s">
        <v>1672</v>
      </c>
      <c r="H148" s="5" t="s">
        <v>1673</v>
      </c>
      <c r="I148" s="7"/>
      <c r="J148" s="7"/>
    </row>
    <row r="149" spans="2:10">
      <c r="B149" s="120" t="s">
        <v>25</v>
      </c>
      <c r="C149" s="120" t="s">
        <v>25</v>
      </c>
      <c r="D149" s="5" t="s">
        <v>1674</v>
      </c>
      <c r="E149" s="5" t="s">
        <v>1675</v>
      </c>
      <c r="F149" s="120" t="s">
        <v>25</v>
      </c>
      <c r="G149" s="5" t="s">
        <v>1674</v>
      </c>
      <c r="H149" s="5" t="s">
        <v>1675</v>
      </c>
      <c r="I149" s="7"/>
      <c r="J149" s="7"/>
    </row>
    <row r="150" spans="2:10">
      <c r="B150" s="120" t="s">
        <v>26</v>
      </c>
      <c r="C150" s="120" t="s">
        <v>26</v>
      </c>
      <c r="D150" s="5" t="s">
        <v>26</v>
      </c>
      <c r="E150" s="5" t="s">
        <v>1676</v>
      </c>
      <c r="F150" s="120" t="s">
        <v>26</v>
      </c>
      <c r="G150" s="5" t="s">
        <v>26</v>
      </c>
      <c r="H150" s="5" t="s">
        <v>1676</v>
      </c>
      <c r="I150" s="7"/>
      <c r="J150" s="7"/>
    </row>
    <row r="151" spans="2:10">
      <c r="B151" s="120" t="s">
        <v>27</v>
      </c>
      <c r="C151" s="120" t="s">
        <v>27</v>
      </c>
      <c r="D151" s="5" t="s">
        <v>1677</v>
      </c>
      <c r="E151" s="5" t="s">
        <v>1678</v>
      </c>
      <c r="F151" s="120" t="s">
        <v>27</v>
      </c>
      <c r="G151" s="5" t="s">
        <v>1677</v>
      </c>
      <c r="H151" s="5" t="s">
        <v>1678</v>
      </c>
      <c r="I151" s="7"/>
      <c r="J151" s="7"/>
    </row>
    <row r="152" spans="2:10">
      <c r="B152" s="120" t="s">
        <v>76</v>
      </c>
      <c r="C152" s="120" t="s">
        <v>76</v>
      </c>
      <c r="D152" s="5" t="s">
        <v>1680</v>
      </c>
      <c r="E152" s="5" t="s">
        <v>1681</v>
      </c>
      <c r="F152" s="120" t="s">
        <v>76</v>
      </c>
      <c r="G152" s="5" t="s">
        <v>1680</v>
      </c>
      <c r="H152" s="5" t="s">
        <v>1681</v>
      </c>
      <c r="I152" s="7"/>
      <c r="J152" s="7"/>
    </row>
    <row r="153" spans="2:10">
      <c r="B153" s="120" t="s">
        <v>77</v>
      </c>
      <c r="C153" s="120" t="s">
        <v>77</v>
      </c>
      <c r="D153" s="5" t="s">
        <v>1682</v>
      </c>
      <c r="E153" s="5" t="s">
        <v>1683</v>
      </c>
      <c r="F153" s="120" t="s">
        <v>77</v>
      </c>
      <c r="G153" s="5" t="s">
        <v>1682</v>
      </c>
      <c r="H153" s="5" t="s">
        <v>1683</v>
      </c>
      <c r="I153" s="7"/>
      <c r="J153" s="7"/>
    </row>
    <row r="154" spans="2:10">
      <c r="B154" s="120" t="s">
        <v>101</v>
      </c>
      <c r="C154" s="120" t="s">
        <v>101</v>
      </c>
      <c r="D154" s="5" t="s">
        <v>1684</v>
      </c>
      <c r="E154" s="5" t="s">
        <v>1685</v>
      </c>
      <c r="F154" s="120" t="s">
        <v>101</v>
      </c>
      <c r="G154" s="5" t="s">
        <v>1684</v>
      </c>
      <c r="H154" s="5" t="s">
        <v>1685</v>
      </c>
      <c r="I154" s="7"/>
      <c r="J154" s="7"/>
    </row>
    <row r="155" spans="2:10">
      <c r="B155" s="120" t="s">
        <v>107</v>
      </c>
      <c r="C155" s="120" t="s">
        <v>107</v>
      </c>
      <c r="D155" s="5" t="s">
        <v>1686</v>
      </c>
      <c r="E155" s="5" t="s">
        <v>1687</v>
      </c>
      <c r="F155" s="120" t="s">
        <v>107</v>
      </c>
      <c r="G155" s="5" t="s">
        <v>1686</v>
      </c>
      <c r="H155" s="5" t="s">
        <v>1687</v>
      </c>
      <c r="I155" s="7"/>
      <c r="J155" s="7"/>
    </row>
    <row r="156" spans="2:10">
      <c r="B156" s="120" t="s">
        <v>103</v>
      </c>
      <c r="C156" s="120" t="s">
        <v>103</v>
      </c>
      <c r="D156" s="5" t="s">
        <v>103</v>
      </c>
      <c r="E156" s="5" t="s">
        <v>1688</v>
      </c>
      <c r="F156" s="120" t="s">
        <v>103</v>
      </c>
      <c r="G156" s="5" t="s">
        <v>103</v>
      </c>
      <c r="H156" s="5" t="s">
        <v>1688</v>
      </c>
      <c r="I156" s="7"/>
      <c r="J156" s="7"/>
    </row>
    <row r="157" spans="2:10">
      <c r="B157" s="120" t="s">
        <v>784</v>
      </c>
      <c r="C157" s="120" t="s">
        <v>784</v>
      </c>
      <c r="D157" s="5" t="s">
        <v>1689</v>
      </c>
      <c r="E157" s="5" t="s">
        <v>1690</v>
      </c>
      <c r="F157" s="120" t="s">
        <v>784</v>
      </c>
      <c r="G157" s="5" t="s">
        <v>1689</v>
      </c>
      <c r="H157" s="5" t="s">
        <v>1690</v>
      </c>
      <c r="I157" s="7"/>
      <c r="J157" s="7"/>
    </row>
  </sheetData>
  <conditionalFormatting sqref="I2:J157">
    <cfRule type="cellIs" dxfId="13" priority="3" operator="equal">
      <formula>TRUE</formula>
    </cfRule>
  </conditionalFormatting>
  <conditionalFormatting sqref="C2:C157">
    <cfRule type="expression" dxfId="12" priority="4">
      <formula>#REF!&lt;&gt;#REF!</formula>
    </cfRule>
    <cfRule type="expression" dxfId="11" priority="5">
      <formula>#REF!&lt;&gt;#REF!</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eta_Classifiers">
    <tabColor rgb="FF0070C0"/>
  </sheetPr>
  <dimension ref="A1:S65"/>
  <sheetViews>
    <sheetView zoomScale="110" zoomScaleNormal="110" workbookViewId="0">
      <pane xSplit="1" ySplit="2" topLeftCell="C7" activePane="bottomRight" state="frozen"/>
      <selection activeCell="AC18" sqref="AC18"/>
      <selection pane="topRight" activeCell="AC18" sqref="AC18"/>
      <selection pane="bottomLeft" activeCell="AC18" sqref="AC18"/>
      <selection pane="bottomRight" activeCell="K58" sqref="K58"/>
    </sheetView>
  </sheetViews>
  <sheetFormatPr defaultColWidth="11" defaultRowHeight="15" outlineLevelRow="1" outlineLevelCol="2"/>
  <cols>
    <col min="1" max="1" width="11.42578125" style="5" customWidth="1"/>
    <col min="2" max="2" width="23.140625" style="5" hidden="1" customWidth="1" outlineLevel="1"/>
    <col min="3" max="3" width="11" style="5" collapsed="1"/>
    <col min="4" max="4" width="11" style="5" hidden="1" customWidth="1" outlineLevel="1"/>
    <col min="5" max="5" width="13.42578125" style="5" bestFit="1" customWidth="1" collapsed="1"/>
    <col min="6" max="6" width="4" style="5" customWidth="1"/>
    <col min="7" max="9" width="27" style="5" hidden="1" customWidth="1" outlineLevel="2"/>
    <col min="10" max="10" width="23.42578125" style="5" hidden="1" customWidth="1" outlineLevel="1"/>
    <col min="11" max="11" width="20.42578125" style="5" bestFit="1" customWidth="1" collapsed="1"/>
    <col min="12" max="12" width="8.85546875" style="5" customWidth="1"/>
    <col min="13" max="13" width="18.140625" style="5" hidden="1" customWidth="1" outlineLevel="1"/>
    <col min="14" max="14" width="24.42578125" style="5" customWidth="1" collapsed="1"/>
    <col min="15" max="15" width="123.140625" customWidth="1"/>
    <col min="16" max="16" width="25.140625" hidden="1" customWidth="1" outlineLevel="1"/>
    <col min="17" max="17" width="23.140625" style="5" customWidth="1" collapsed="1"/>
    <col min="18" max="18" width="11" style="5" hidden="1" customWidth="1" outlineLevel="1"/>
    <col min="19" max="19" width="11" style="5" collapsed="1"/>
    <col min="20" max="16384" width="11" style="5"/>
  </cols>
  <sheetData>
    <row r="1" spans="1:19" ht="15.75" thickBot="1"/>
    <row r="2" spans="1:19" ht="114.75" thickTop="1" thickBot="1">
      <c r="A2" s="71" t="s">
        <v>0</v>
      </c>
      <c r="B2" s="73" t="s">
        <v>230</v>
      </c>
      <c r="C2" s="73" t="s">
        <v>5</v>
      </c>
      <c r="D2" s="74" t="s">
        <v>663</v>
      </c>
      <c r="E2" s="74" t="s">
        <v>120</v>
      </c>
      <c r="F2" s="74" t="s">
        <v>461</v>
      </c>
      <c r="G2" s="72" t="s">
        <v>806</v>
      </c>
      <c r="H2" s="72" t="s">
        <v>1804</v>
      </c>
      <c r="I2" s="72" t="s">
        <v>1605</v>
      </c>
      <c r="J2" s="72" t="s">
        <v>32</v>
      </c>
      <c r="K2" s="74" t="s">
        <v>1</v>
      </c>
      <c r="L2" s="77" t="s">
        <v>496</v>
      </c>
      <c r="M2" s="73" t="s">
        <v>1001</v>
      </c>
      <c r="N2" s="73" t="s">
        <v>436</v>
      </c>
      <c r="O2" s="77" t="s">
        <v>84</v>
      </c>
      <c r="P2" s="86" t="s">
        <v>1002</v>
      </c>
      <c r="Q2" s="86" t="s">
        <v>798</v>
      </c>
      <c r="R2" s="86" t="s">
        <v>800</v>
      </c>
      <c r="S2" s="86" t="s">
        <v>799</v>
      </c>
    </row>
    <row r="3" spans="1:19" ht="15.75" hidden="1" outlineLevel="1" thickTop="1">
      <c r="A3" s="5" t="s">
        <v>588</v>
      </c>
      <c r="B3" s="5" t="s">
        <v>163</v>
      </c>
      <c r="C3" s="75" t="str">
        <f xml:space="preserve"> IF( TRIM( meta_Classifiers[[#This Row],[Kind:src]] ) = "", "",
        INDEX( meta_Classifiers[Display Qualified], MATCH( meta_Classifiers[[#This Row],[Kind:src]], meta_Classifiers[ID], 0 ) ) )</f>
        <v>Class</v>
      </c>
      <c r="D3" s="75">
        <v>1</v>
      </c>
      <c r="E3" s="75"/>
      <c r="F3" s="75"/>
      <c r="G3" s="5" t="str">
        <f>IF(LEFT(meta_Classifiers[[#This Row],[ID]],1)="_",RIGHT(meta_Classifiers[[#This Row],[ID]],LEN(meta_Classifiers[[#This Row],[ID]])-1),IF(TRIM(meta_Classifiers[[#This Row],[Package]])="","",TRIM(LOWER(meta_Classifiers[[#This Row],[Package]]))&amp;"::")&amp;meta_Classifiers[[#This Row],[Display]])</f>
        <v>ClassifiersRowTemplate</v>
      </c>
      <c r="H3" s="5" t="str">
        <f>IF(TRIM(meta_Classifiers[[#This Row],[Package]])="","",TRIM(LOWER(meta_Classifiers[[#This Row],[Package]]))&amp;"::")&amp;meta_Classifiers[[#This Row],[Display]]</f>
        <v/>
      </c>
      <c r="I3" s="5" t="str">
        <f>IF(meta_Classifiers[[#This Row],[Kind:src]]="_Class",meta_Classifiers[[#This Row],[Display Qualified]],"")</f>
        <v>ClassifiersRowTemplate</v>
      </c>
      <c r="J3" s="5" t="str" cm="1">
        <f t="array" ref="J3">_xlfn.IFNA(INDEX(meta_Names[Camel Upper], MATCH(meta_Classifiers[[#This Row],[Name]],meta_Names[String],0)),camelCaseUpper(meta_Classifiers[[#This Row],[Name]]))</f>
        <v/>
      </c>
      <c r="K3" s="92"/>
      <c r="L3" s="75"/>
      <c r="M3" s="5" t="s">
        <v>1470</v>
      </c>
      <c r="N3" s="75" t="str">
        <f xml:space="preserve"> IF( TRIM( meta_Classifiers[[#This Row],[Class - Generalization:src]] ) = "", "",
        INDEX( meta_Classifiers[Display Qualified], MATCH( meta_Classifiers[[#This Row],[Class - Generalization:src]], meta_Classifiers[ID], 0 ) ) )</f>
        <v/>
      </c>
      <c r="O3" s="78"/>
      <c r="P3" s="95"/>
      <c r="Q3" s="85" t="str">
        <f xml:space="preserve"> IF( TRIM( meta_Classifiers[[#This Row],[Class - Display Property:src]] ) = "", "",
        INDEX( meta_TypedModelElements[Display Qualified], MATCH( meta_Classifiers[[#This Row],[Class - Display Property:src]], meta_TypedModelElements[ID], 0 ) ) )</f>
        <v/>
      </c>
      <c r="R3"/>
      <c r="S3" s="85" t="str">
        <f xml:space="preserve"> IF( TRIM( meta_Classifiers[[#This Row],[Class - Business ID Property:src]] ) = "", "",
        INDEX( meta_TypedModelElements[Display Qualified], MATCH( meta_Classifiers[[#This Row],[Class - Business ID Property:src]], meta_TypedModelElements[ID], 0 ) ) )</f>
        <v/>
      </c>
    </row>
    <row r="4" spans="1:19" ht="165.75" hidden="1" collapsed="1" thickTop="1">
      <c r="A4" s="5" t="s">
        <v>160</v>
      </c>
      <c r="B4" s="5" t="s">
        <v>163</v>
      </c>
      <c r="C4" s="75" t="str">
        <f xml:space="preserve"> IF( TRIM( meta_Classifiers[[#This Row],[Kind:src]] ) = "", "",
        INDEX( meta_Classifiers[Display Qualified], MATCH( meta_Classifiers[[#This Row],[Kind:src]], meta_Classifiers[ID], 0 ) ) )</f>
        <v>Class</v>
      </c>
      <c r="D4" s="75">
        <v>2</v>
      </c>
      <c r="E4" s="75" t="s">
        <v>142</v>
      </c>
      <c r="F4" s="75"/>
      <c r="G4" s="5" t="str">
        <f>IF(LEFT(meta_Classifiers[[#This Row],[ID]],1)="_",RIGHT(meta_Classifiers[[#This Row],[ID]],LEN(meta_Classifiers[[#This Row],[ID]])-1),IF(TRIM(meta_Classifiers[[#This Row],[Package]])="","",TRIM(LOWER(meta_Classifiers[[#This Row],[Package]]))&amp;"::")&amp;meta_Classifiers[[#This Row],[Display]])</f>
        <v>Object</v>
      </c>
      <c r="H4" s="5" t="str">
        <f>IF(TRIM(meta_Classifiers[[#This Row],[Package]])="","",TRIM(LOWER(meta_Classifiers[[#This Row],[Package]]))&amp;"::")&amp;meta_Classifiers[[#This Row],[Display]]</f>
        <v>meta::Object</v>
      </c>
      <c r="I4" s="5" t="str">
        <f>IF(meta_Classifiers[[#This Row],[Kind:src]]="_Class",meta_Classifiers[[#This Row],[Display Qualified]],"")</f>
        <v>Object</v>
      </c>
      <c r="J4" s="5" t="str" cm="1">
        <f t="array" ref="J4">_xlfn.IFNA(INDEX(meta_Names[Camel Upper], MATCH(meta_Classifiers[[#This Row],[Name]],meta_Names[String],0)),camelCaseUpper(meta_Classifiers[[#This Row],[Name]]))</f>
        <v>Object</v>
      </c>
      <c r="K4" s="92" t="s">
        <v>231</v>
      </c>
      <c r="L4" s="75" t="s">
        <v>232</v>
      </c>
      <c r="M4" s="5" t="s">
        <v>1470</v>
      </c>
      <c r="N4" s="75" t="str">
        <f xml:space="preserve"> IF( TRIM( meta_Classifiers[[#This Row],[Class - Generalization:src]] ) = "", "",
        INDEX( meta_Classifiers[Display Qualified], MATCH( meta_Classifiers[[#This Row],[Class - Generalization:src]], meta_Classifiers[ID], 0 ) ) )</f>
        <v/>
      </c>
      <c r="O4" s="78" t="s">
        <v>779</v>
      </c>
      <c r="P4" s="5" t="s">
        <v>807</v>
      </c>
      <c r="Q4" s="85" t="str">
        <f xml:space="preserve"> IF( TRIM( meta_Classifiers[[#This Row],[Class - Display Property:src]] ) = "", "",
        INDEX( meta_TypedModelElements[Display Qualified], MATCH( meta_Classifiers[[#This Row],[Class - Display Property:src]], meta_TypedModelElements[ID], 0 ) ) )</f>
        <v>meta::Object.displayQualified</v>
      </c>
      <c r="R4"/>
      <c r="S4" s="85" t="str">
        <f xml:space="preserve"> IF( TRIM( meta_Classifiers[[#This Row],[Class - Business ID Property:src]] ) = "", "",
        INDEX( meta_TypedModelElements[Display Qualified], MATCH( meta_Classifiers[[#This Row],[Class - Business ID Property:src]], meta_TypedModelElements[ID], 0 ) ) )</f>
        <v/>
      </c>
    </row>
    <row r="5" spans="1:19" ht="150.75" hidden="1" thickTop="1">
      <c r="A5" s="5" t="s">
        <v>776</v>
      </c>
      <c r="B5" s="5" t="s">
        <v>163</v>
      </c>
      <c r="C5" s="75" t="str">
        <f xml:space="preserve"> IF( TRIM( meta_Classifiers[[#This Row],[Kind:src]] ) = "", "",
        INDEX( meta_Classifiers[Display Qualified], MATCH( meta_Classifiers[[#This Row],[Kind:src]], meta_Classifiers[ID], 0 ) ) )</f>
        <v>Class</v>
      </c>
      <c r="D5" s="75"/>
      <c r="E5" s="75" t="s">
        <v>142</v>
      </c>
      <c r="F5" s="75"/>
      <c r="G5" s="5" t="str">
        <f>IF(LEFT(meta_Classifiers[[#This Row],[ID]],1)="_",RIGHT(meta_Classifiers[[#This Row],[ID]],LEN(meta_Classifiers[[#This Row],[ID]])-1),IF(TRIM(meta_Classifiers[[#This Row],[Package]])="","",TRIM(LOWER(meta_Classifiers[[#This Row],[Package]]))&amp;"::")&amp;meta_Classifiers[[#This Row],[Display]])</f>
        <v>Row</v>
      </c>
      <c r="H5" s="5" t="str">
        <f>IF(TRIM(meta_Classifiers[[#This Row],[Package]])="","",TRIM(LOWER(meta_Classifiers[[#This Row],[Package]]))&amp;"::")&amp;meta_Classifiers[[#This Row],[Display]]</f>
        <v>meta::Row</v>
      </c>
      <c r="I5" s="5" t="str">
        <f>IF(meta_Classifiers[[#This Row],[Kind:src]]="_Class",meta_Classifiers[[#This Row],[Display Qualified]],"")</f>
        <v>Row</v>
      </c>
      <c r="J5" s="5" t="str" cm="1">
        <f t="array" ref="J5">_xlfn.IFNA(INDEX(meta_Names[Camel Upper], MATCH(meta_Classifiers[[#This Row],[Name]],meta_Names[String],0)),camelCaseUpper(meta_Classifiers[[#This Row],[Name]]))</f>
        <v>Row</v>
      </c>
      <c r="K5" s="92" t="s">
        <v>777</v>
      </c>
      <c r="L5" s="75"/>
      <c r="M5" s="5" t="s">
        <v>160</v>
      </c>
      <c r="N5" s="75" t="str">
        <f xml:space="preserve"> IF( TRIM( meta_Classifiers[[#This Row],[Class - Generalization:src]] ) = "", "",
        INDEX( meta_Classifiers[Display Qualified], MATCH( meta_Classifiers[[#This Row],[Class - Generalization:src]], meta_Classifiers[ID], 0 ) ) )</f>
        <v>Object</v>
      </c>
      <c r="O5" s="78" t="s">
        <v>778</v>
      </c>
      <c r="P5" s="96"/>
      <c r="Q5" s="85" t="str">
        <f xml:space="preserve"> IF( TRIM( meta_Classifiers[[#This Row],[Class - Display Property:src]] ) = "", "",
        INDEX( meta_TypedModelElements[Display Qualified], MATCH( meta_Classifiers[[#This Row],[Class - Display Property:src]], meta_TypedModelElements[ID], 0 ) ) )</f>
        <v/>
      </c>
      <c r="R5"/>
      <c r="S5" s="85" t="str">
        <f xml:space="preserve"> IF( TRIM( meta_Classifiers[[#This Row],[Class - Business ID Property:src]] ) = "", "",
        INDEX( meta_TypedModelElements[Display Qualified], MATCH( meta_Classifiers[[#This Row],[Class - Business ID Property:src]], meta_TypedModelElements[ID], 0 ) ) )</f>
        <v/>
      </c>
    </row>
    <row r="6" spans="1:19" ht="210.75" thickTop="1">
      <c r="A6" s="5" t="s">
        <v>922</v>
      </c>
      <c r="B6" s="5" t="s">
        <v>164</v>
      </c>
      <c r="C6" s="75" t="str">
        <f xml:space="preserve"> IF( TRIM( meta_Classifiers[[#This Row],[Kind:src]] ) = "", "",
        INDEX( meta_Classifiers[Display Qualified], MATCH( meta_Classifiers[[#This Row],[Kind:src]], meta_Classifiers[ID], 0 ) ) )</f>
        <v>Datatype</v>
      </c>
      <c r="D6" s="75">
        <v>3</v>
      </c>
      <c r="E6" s="75" t="s">
        <v>142</v>
      </c>
      <c r="F6" s="75"/>
      <c r="G6" s="5" t="str">
        <f>IF(LEFT(meta_Classifiers[[#This Row],[ID]],1)="_",RIGHT(meta_Classifiers[[#This Row],[ID]],LEN(meta_Classifiers[[#This Row],[ID]])-1),IF(TRIM(meta_Classifiers[[#This Row],[Package]])="","",TRIM(LOWER(meta_Classifiers[[#This Row],[Package]]))&amp;"::")&amp;meta_Classifiers[[#This Row],[Display]])</f>
        <v>Package</v>
      </c>
      <c r="H6" s="5" t="str">
        <f>IF(TRIM(meta_Classifiers[[#This Row],[Package]])="","",TRIM(LOWER(meta_Classifiers[[#This Row],[Package]]))&amp;"::")&amp;meta_Classifiers[[#This Row],[Display]]</f>
        <v>meta::Package</v>
      </c>
      <c r="I6" s="5" t="str">
        <f>IF(meta_Classifiers[[#This Row],[Kind:src]]="_Class",meta_Classifiers[[#This Row],[Display Qualified]],"")</f>
        <v/>
      </c>
      <c r="J6" s="5" t="str" cm="1">
        <f t="array" ref="J6">_xlfn.IFNA(INDEX(meta_Names[Camel Upper], MATCH(meta_Classifiers[[#This Row],[Name]],meta_Names[String],0)),camelCaseUpper(meta_Classifiers[[#This Row],[Name]]))</f>
        <v>Package</v>
      </c>
      <c r="K6" s="92" t="s">
        <v>120</v>
      </c>
      <c r="L6" s="75"/>
      <c r="M6" s="5" t="s">
        <v>1470</v>
      </c>
      <c r="N6" s="75" t="str">
        <f xml:space="preserve"> IF( TRIM( meta_Classifiers[[#This Row],[Class - Generalization:src]] ) = "", "",
        INDEX( meta_Classifiers[Display Qualified], MATCH( meta_Classifiers[[#This Row],[Class - Generalization:src]], meta_Classifiers[ID], 0 ) ) )</f>
        <v/>
      </c>
      <c r="O6" s="78" t="s">
        <v>739</v>
      </c>
      <c r="P6" s="96"/>
      <c r="Q6" s="85" t="str">
        <f xml:space="preserve"> IF( TRIM( meta_Classifiers[[#This Row],[Class - Display Property:src]] ) = "", "",
        INDEX( meta_TypedModelElements[Display Qualified], MATCH( meta_Classifiers[[#This Row],[Class - Display Property:src]], meta_TypedModelElements[ID], 0 ) ) )</f>
        <v/>
      </c>
      <c r="R6"/>
      <c r="S6" s="85" t="str">
        <f xml:space="preserve"> IF( TRIM( meta_Classifiers[[#This Row],[Class - Business ID Property:src]] ) = "", "",
        INDEX( meta_TypedModelElements[Display Qualified], MATCH( meta_Classifiers[[#This Row],[Class - Business ID Property:src]], meta_TypedModelElements[ID], 0 ) ) )</f>
        <v/>
      </c>
    </row>
    <row r="7" spans="1:19" ht="195">
      <c r="A7" s="5" t="s">
        <v>639</v>
      </c>
      <c r="B7" s="5" t="s">
        <v>163</v>
      </c>
      <c r="C7" s="75" t="str">
        <f xml:space="preserve"> IF( TRIM( meta_Classifiers[[#This Row],[Kind:src]] ) = "", "",
        INDEX( meta_Classifiers[Display Qualified], MATCH( meta_Classifiers[[#This Row],[Kind:src]], meta_Classifiers[ID], 0 ) ) )</f>
        <v>Class</v>
      </c>
      <c r="D7" s="75">
        <v>4</v>
      </c>
      <c r="E7" s="75" t="s">
        <v>142</v>
      </c>
      <c r="F7" s="75"/>
      <c r="G7" s="5" t="str">
        <f>IF(LEFT(meta_Classifiers[[#This Row],[ID]],1)="_",RIGHT(meta_Classifiers[[#This Row],[ID]],LEN(meta_Classifiers[[#This Row],[ID]])-1),IF(TRIM(meta_Classifiers[[#This Row],[Package]])="","",TRIM(LOWER(meta_Classifiers[[#This Row],[Package]]))&amp;"::")&amp;meta_Classifiers[[#This Row],[Display]])</f>
        <v>PackageDocumentation</v>
      </c>
      <c r="H7" s="5" t="str">
        <f>IF(TRIM(meta_Classifiers[[#This Row],[Package]])="","",TRIM(LOWER(meta_Classifiers[[#This Row],[Package]]))&amp;"::")&amp;meta_Classifiers[[#This Row],[Display]]</f>
        <v>meta::PackageDocumentation</v>
      </c>
      <c r="I7" s="5" t="str">
        <f>IF(meta_Classifiers[[#This Row],[Kind:src]]="_Class",meta_Classifiers[[#This Row],[Display Qualified]],"")</f>
        <v>PackageDocumentation</v>
      </c>
      <c r="J7" s="5" t="str" cm="1">
        <f t="array" ref="J7">_xlfn.IFNA(INDEX(meta_Names[Camel Upper], MATCH(meta_Classifiers[[#This Row],[Name]],meta_Names[String],0)),camelCaseUpper(meta_Classifiers[[#This Row],[Name]]))</f>
        <v>PackageDocumentation</v>
      </c>
      <c r="K7" s="92" t="s">
        <v>640</v>
      </c>
      <c r="L7" s="75"/>
      <c r="M7" s="5" t="s">
        <v>160</v>
      </c>
      <c r="N7" s="75" t="str">
        <f xml:space="preserve"> IF( TRIM( meta_Classifiers[[#This Row],[Class - Generalization:src]] ) = "", "",
        INDEX( meta_Classifiers[Display Qualified], MATCH( meta_Classifiers[[#This Row],[Class - Generalization:src]], meta_Classifiers[ID], 0 ) ) )</f>
        <v>Object</v>
      </c>
      <c r="O7" s="78" t="s">
        <v>641</v>
      </c>
      <c r="P7" s="96"/>
      <c r="Q7" s="85" t="str">
        <f xml:space="preserve"> IF( TRIM( meta_Classifiers[[#This Row],[Class - Display Property:src]] ) = "", "",
        INDEX( meta_TypedModelElements[Display Qualified], MATCH( meta_Classifiers[[#This Row],[Class - Display Property:src]], meta_TypedModelElements[ID], 0 ) ) )</f>
        <v/>
      </c>
      <c r="R7"/>
      <c r="S7" s="85" t="str">
        <f xml:space="preserve"> IF( TRIM( meta_Classifiers[[#This Row],[Class - Business ID Property:src]] ) = "", "",
        INDEX( meta_TypedModelElements[Display Qualified], MATCH( meta_Classifiers[[#This Row],[Class - Business ID Property:src]], meta_TypedModelElements[ID], 0 ) ) )</f>
        <v/>
      </c>
    </row>
    <row r="8" spans="1:19" ht="315" hidden="1">
      <c r="A8" s="5" t="s">
        <v>570</v>
      </c>
      <c r="B8" s="5" t="s">
        <v>163</v>
      </c>
      <c r="C8" s="75" t="str">
        <f xml:space="preserve"> IF( TRIM( meta_Classifiers[[#This Row],[Kind:src]] ) = "", "",
        INDEX( meta_Classifiers[Display Qualified], MATCH( meta_Classifiers[[#This Row],[Kind:src]], meta_Classifiers[ID], 0 ) ) )</f>
        <v>Class</v>
      </c>
      <c r="D8" s="75">
        <v>5</v>
      </c>
      <c r="E8" s="75" t="s">
        <v>142</v>
      </c>
      <c r="F8" s="75"/>
      <c r="G8" s="5" t="str">
        <f>IF(LEFT(meta_Classifiers[[#This Row],[ID]],1)="_",RIGHT(meta_Classifiers[[#This Row],[ID]],LEN(meta_Classifiers[[#This Row],[ID]])-1),IF(TRIM(meta_Classifiers[[#This Row],[Package]])="","",TRIM(LOWER(meta_Classifiers[[#This Row],[Package]]))&amp;"::")&amp;meta_Classifiers[[#This Row],[Display]])</f>
        <v>Snippet</v>
      </c>
      <c r="H8" s="5" t="str">
        <f>IF(TRIM(meta_Classifiers[[#This Row],[Package]])="","",TRIM(LOWER(meta_Classifiers[[#This Row],[Package]]))&amp;"::")&amp;meta_Classifiers[[#This Row],[Display]]</f>
        <v>meta::Snippet</v>
      </c>
      <c r="I8" s="5" t="str">
        <f>IF(meta_Classifiers[[#This Row],[Kind:src]]="_Class",meta_Classifiers[[#This Row],[Display Qualified]],"")</f>
        <v>Snippet</v>
      </c>
      <c r="J8" s="5" t="str" cm="1">
        <f t="array" ref="J8">_xlfn.IFNA(INDEX(meta_Names[Camel Upper], MATCH(meta_Classifiers[[#This Row],[Name]],meta_Names[String],0)),camelCaseUpper(meta_Classifiers[[#This Row],[Name]]))</f>
        <v>Snippet</v>
      </c>
      <c r="K8" s="92" t="s">
        <v>574</v>
      </c>
      <c r="L8" s="75" t="s">
        <v>232</v>
      </c>
      <c r="M8" s="5" t="s">
        <v>160</v>
      </c>
      <c r="N8" s="75" t="str">
        <f xml:space="preserve"> IF( TRIM( meta_Classifiers[[#This Row],[Class - Generalization:src]] ) = "", "",
        INDEX( meta_Classifiers[Display Qualified], MATCH( meta_Classifiers[[#This Row],[Class - Generalization:src]], meta_Classifiers[ID], 0 ) ) )</f>
        <v>Object</v>
      </c>
      <c r="O8" s="78" t="s">
        <v>579</v>
      </c>
      <c r="P8" s="96"/>
      <c r="Q8" s="85" t="str">
        <f xml:space="preserve"> IF( TRIM( meta_Classifiers[[#This Row],[Class - Display Property:src]] ) = "", "",
        INDEX( meta_TypedModelElements[Display Qualified], MATCH( meta_Classifiers[[#This Row],[Class - Display Property:src]], meta_TypedModelElements[ID], 0 ) ) )</f>
        <v/>
      </c>
      <c r="R8"/>
      <c r="S8" s="85" t="str">
        <f xml:space="preserve"> IF( TRIM( meta_Classifiers[[#This Row],[Class - Business ID Property:src]] ) = "", "",
        INDEX( meta_TypedModelElements[Display Qualified], MATCH( meta_Classifiers[[#This Row],[Class - Business ID Property:src]], meta_TypedModelElements[ID], 0 ) ) )</f>
        <v/>
      </c>
    </row>
    <row r="9" spans="1:19" ht="120" hidden="1">
      <c r="A9" s="5" t="s">
        <v>571</v>
      </c>
      <c r="B9" s="5" t="s">
        <v>163</v>
      </c>
      <c r="C9" s="75" t="str">
        <f xml:space="preserve"> IF( TRIM( meta_Classifiers[[#This Row],[Kind:src]] ) = "", "",
        INDEX( meta_Classifiers[Display Qualified], MATCH( meta_Classifiers[[#This Row],[Kind:src]], meta_Classifiers[ID], 0 ) ) )</f>
        <v>Class</v>
      </c>
      <c r="D9" s="75">
        <v>6</v>
      </c>
      <c r="E9" s="75" t="s">
        <v>142</v>
      </c>
      <c r="F9" s="75"/>
      <c r="G9" s="5" t="str">
        <f>IF(LEFT(meta_Classifiers[[#This Row],[ID]],1)="_",RIGHT(meta_Classifiers[[#This Row],[ID]],LEN(meta_Classifiers[[#This Row],[ID]])-1),IF(TRIM(meta_Classifiers[[#This Row],[Package]])="","",TRIM(LOWER(meta_Classifiers[[#This Row],[Package]]))&amp;"::")&amp;meta_Classifiers[[#This Row],[Display]])</f>
        <v>ModuleSnippet</v>
      </c>
      <c r="H9" s="5" t="str">
        <f>IF(TRIM(meta_Classifiers[[#This Row],[Package]])="","",TRIM(LOWER(meta_Classifiers[[#This Row],[Package]]))&amp;"::")&amp;meta_Classifiers[[#This Row],[Display]]</f>
        <v>meta::ModuleSnippet</v>
      </c>
      <c r="I9" s="5" t="str">
        <f>IF(meta_Classifiers[[#This Row],[Kind:src]]="_Class",meta_Classifiers[[#This Row],[Display Qualified]],"")</f>
        <v>ModuleSnippet</v>
      </c>
      <c r="J9" s="5" t="str" cm="1">
        <f t="array" ref="J9">_xlfn.IFNA(INDEX(meta_Names[Camel Upper], MATCH(meta_Classifiers[[#This Row],[Name]],meta_Names[String],0)),camelCaseUpper(meta_Classifiers[[#This Row],[Name]]))</f>
        <v>ModuleSnippet</v>
      </c>
      <c r="K9" s="92" t="s">
        <v>575</v>
      </c>
      <c r="L9" s="75"/>
      <c r="M9" s="5" t="s">
        <v>570</v>
      </c>
      <c r="N9" s="75" t="str">
        <f xml:space="preserve"> IF( TRIM( meta_Classifiers[[#This Row],[Class - Generalization:src]] ) = "", "",
        INDEX( meta_Classifiers[Display Qualified], MATCH( meta_Classifiers[[#This Row],[Class - Generalization:src]], meta_Classifiers[ID], 0 ) ) )</f>
        <v>Snippet</v>
      </c>
      <c r="O9" s="78" t="s">
        <v>580</v>
      </c>
      <c r="P9" s="96"/>
      <c r="Q9" s="85" t="str">
        <f xml:space="preserve"> IF( TRIM( meta_Classifiers[[#This Row],[Class - Display Property:src]] ) = "", "",
        INDEX( meta_TypedModelElements[Display Qualified], MATCH( meta_Classifiers[[#This Row],[Class - Display Property:src]], meta_TypedModelElements[ID], 0 ) ) )</f>
        <v/>
      </c>
      <c r="R9"/>
      <c r="S9" s="85" t="str">
        <f xml:space="preserve"> IF( TRIM( meta_Classifiers[[#This Row],[Class - Business ID Property:src]] ) = "", "",
        INDEX( meta_TypedModelElements[Display Qualified], MATCH( meta_Classifiers[[#This Row],[Class - Business ID Property:src]], meta_TypedModelElements[ID], 0 ) ) )</f>
        <v/>
      </c>
    </row>
    <row r="10" spans="1:19" ht="120" hidden="1">
      <c r="A10" s="5" t="s">
        <v>572</v>
      </c>
      <c r="B10" s="5" t="s">
        <v>163</v>
      </c>
      <c r="C10" s="75" t="str">
        <f xml:space="preserve"> IF( TRIM( meta_Classifiers[[#This Row],[Kind:src]] ) = "", "",
        INDEX( meta_Classifiers[Display Qualified], MATCH( meta_Classifiers[[#This Row],[Kind:src]], meta_Classifiers[ID], 0 ) ) )</f>
        <v>Class</v>
      </c>
      <c r="D10" s="75">
        <v>7</v>
      </c>
      <c r="E10" s="75" t="s">
        <v>142</v>
      </c>
      <c r="F10" s="75"/>
      <c r="G10" s="5" t="str">
        <f>IF(LEFT(meta_Classifiers[[#This Row],[ID]],1)="_",RIGHT(meta_Classifiers[[#This Row],[ID]],LEN(meta_Classifiers[[#This Row],[ID]])-1),IF(TRIM(meta_Classifiers[[#This Row],[Package]])="","",TRIM(LOWER(meta_Classifiers[[#This Row],[Package]]))&amp;"::")&amp;meta_Classifiers[[#This Row],[Display]])</f>
        <v>ClassSnippet</v>
      </c>
      <c r="H10" s="5" t="str">
        <f>IF(TRIM(meta_Classifiers[[#This Row],[Package]])="","",TRIM(LOWER(meta_Classifiers[[#This Row],[Package]]))&amp;"::")&amp;meta_Classifiers[[#This Row],[Display]]</f>
        <v>meta::ClassSnippet</v>
      </c>
      <c r="I10" s="5" t="str">
        <f>IF(meta_Classifiers[[#This Row],[Kind:src]]="_Class",meta_Classifiers[[#This Row],[Display Qualified]],"")</f>
        <v>ClassSnippet</v>
      </c>
      <c r="J10" s="5" t="str" cm="1">
        <f t="array" ref="J10">_xlfn.IFNA(INDEX(meta_Names[Camel Upper], MATCH(meta_Classifiers[[#This Row],[Name]],meta_Names[String],0)),camelCaseUpper(meta_Classifiers[[#This Row],[Name]]))</f>
        <v>ClassSnippet</v>
      </c>
      <c r="K10" s="92" t="s">
        <v>576</v>
      </c>
      <c r="L10" s="75"/>
      <c r="M10" s="5" t="s">
        <v>570</v>
      </c>
      <c r="N10" s="75" t="str">
        <f xml:space="preserve"> IF( TRIM( meta_Classifiers[[#This Row],[Class - Generalization:src]] ) = "", "",
        INDEX( meta_Classifiers[Display Qualified], MATCH( meta_Classifiers[[#This Row],[Class - Generalization:src]], meta_Classifiers[ID], 0 ) ) )</f>
        <v>Snippet</v>
      </c>
      <c r="O10" s="78" t="s">
        <v>581</v>
      </c>
      <c r="P10" s="96"/>
      <c r="Q10" s="85" t="str">
        <f xml:space="preserve"> IF( TRIM( meta_Classifiers[[#This Row],[Class - Display Property:src]] ) = "", "",
        INDEX( meta_TypedModelElements[Display Qualified], MATCH( meta_Classifiers[[#This Row],[Class - Display Property:src]], meta_TypedModelElements[ID], 0 ) ) )</f>
        <v/>
      </c>
      <c r="R10"/>
      <c r="S10" s="85" t="str">
        <f xml:space="preserve"> IF( TRIM( meta_Classifiers[[#This Row],[Class - Business ID Property:src]] ) = "", "",
        INDEX( meta_TypedModelElements[Display Qualified], MATCH( meta_Classifiers[[#This Row],[Class - Business ID Property:src]], meta_TypedModelElements[ID], 0 ) ) )</f>
        <v/>
      </c>
    </row>
    <row r="11" spans="1:19" hidden="1">
      <c r="A11" s="5" t="s">
        <v>573</v>
      </c>
      <c r="B11" s="5" t="s">
        <v>163</v>
      </c>
      <c r="C11" s="75" t="str">
        <f xml:space="preserve"> IF( TRIM( meta_Classifiers[[#This Row],[Kind:src]] ) = "", "",
        INDEX( meta_Classifiers[Display Qualified], MATCH( meta_Classifiers[[#This Row],[Kind:src]], meta_Classifiers[ID], 0 ) ) )</f>
        <v>Class</v>
      </c>
      <c r="D11" s="75">
        <v>8</v>
      </c>
      <c r="E11" s="75" t="s">
        <v>142</v>
      </c>
      <c r="F11" s="75"/>
      <c r="G11" s="5" t="str">
        <f>IF(LEFT(meta_Classifiers[[#This Row],[ID]],1)="_",RIGHT(meta_Classifiers[[#This Row],[ID]],LEN(meta_Classifiers[[#This Row],[ID]])-1),IF(TRIM(meta_Classifiers[[#This Row],[Package]])="","",TRIM(LOWER(meta_Classifiers[[#This Row],[Package]]))&amp;"::")&amp;meta_Classifiers[[#This Row],[Display]])</f>
        <v>FormSnippet</v>
      </c>
      <c r="H11" s="5" t="str">
        <f>IF(TRIM(meta_Classifiers[[#This Row],[Package]])="","",TRIM(LOWER(meta_Classifiers[[#This Row],[Package]]))&amp;"::")&amp;meta_Classifiers[[#This Row],[Display]]</f>
        <v>meta::FormSnippet</v>
      </c>
      <c r="I11" s="5" t="str">
        <f>IF(meta_Classifiers[[#This Row],[Kind:src]]="_Class",meta_Classifiers[[#This Row],[Display Qualified]],"")</f>
        <v>FormSnippet</v>
      </c>
      <c r="J11" s="5" t="str" cm="1">
        <f t="array" ref="J11">_xlfn.IFNA(INDEX(meta_Names[Camel Upper], MATCH(meta_Classifiers[[#This Row],[Name]],meta_Names[String],0)),camelCaseUpper(meta_Classifiers[[#This Row],[Name]]))</f>
        <v>FormSnippet</v>
      </c>
      <c r="K11" s="92" t="s">
        <v>577</v>
      </c>
      <c r="L11" s="75"/>
      <c r="M11" s="5" t="s">
        <v>570</v>
      </c>
      <c r="N11" s="75" t="str">
        <f xml:space="preserve"> IF( TRIM( meta_Classifiers[[#This Row],[Class - Generalization:src]] ) = "", "",
        INDEX( meta_Classifiers[Display Qualified], MATCH( meta_Classifiers[[#This Row],[Class - Generalization:src]], meta_Classifiers[ID], 0 ) ) )</f>
        <v>Snippet</v>
      </c>
      <c r="O11" s="78" t="s">
        <v>578</v>
      </c>
      <c r="P11" s="96"/>
      <c r="Q11" s="85" t="str">
        <f xml:space="preserve"> IF( TRIM( meta_Classifiers[[#This Row],[Class - Display Property:src]] ) = "", "",
        INDEX( meta_TypedModelElements[Display Qualified], MATCH( meta_Classifiers[[#This Row],[Class - Display Property:src]], meta_TypedModelElements[ID], 0 ) ) )</f>
        <v/>
      </c>
      <c r="R11"/>
      <c r="S11" s="85" t="str">
        <f xml:space="preserve"> IF( TRIM( meta_Classifiers[[#This Row],[Class - Business ID Property:src]] ) = "", "",
        INDEX( meta_TypedModelElements[Display Qualified], MATCH( meta_Classifiers[[#This Row],[Class - Business ID Property:src]], meta_TypedModelElements[ID], 0 ) ) )</f>
        <v/>
      </c>
    </row>
    <row r="12" spans="1:19" ht="30" hidden="1">
      <c r="A12" s="5" t="s">
        <v>594</v>
      </c>
      <c r="B12" s="5" t="s">
        <v>163</v>
      </c>
      <c r="C12" s="75" t="str">
        <f xml:space="preserve"> IF( TRIM( meta_Classifiers[[#This Row],[Kind:src]] ) = "", "",
        INDEX( meta_Classifiers[Display Qualified], MATCH( meta_Classifiers[[#This Row],[Kind:src]], meta_Classifiers[ID], 0 ) ) )</f>
        <v>Class</v>
      </c>
      <c r="D12" s="75">
        <v>9</v>
      </c>
      <c r="E12" s="75" t="s">
        <v>142</v>
      </c>
      <c r="F12" s="75"/>
      <c r="G12" s="5" t="str">
        <f>IF(LEFT(meta_Classifiers[[#This Row],[ID]],1)="_",RIGHT(meta_Classifiers[[#This Row],[ID]],LEN(meta_Classifiers[[#This Row],[ID]])-1),IF(TRIM(meta_Classifiers[[#This Row],[Package]])="","",TRIM(LOWER(meta_Classifiers[[#This Row],[Package]]))&amp;"::")&amp;meta_Classifiers[[#This Row],[Display]])</f>
        <v>ExcelTabSnippet</v>
      </c>
      <c r="H12" s="5" t="str">
        <f>IF(TRIM(meta_Classifiers[[#This Row],[Package]])="","",TRIM(LOWER(meta_Classifiers[[#This Row],[Package]]))&amp;"::")&amp;meta_Classifiers[[#This Row],[Display]]</f>
        <v>meta::ExcelTabSnippet</v>
      </c>
      <c r="I12" s="5" t="str">
        <f>IF(meta_Classifiers[[#This Row],[Kind:src]]="_Class",meta_Classifiers[[#This Row],[Display Qualified]],"")</f>
        <v>ExcelTabSnippet</v>
      </c>
      <c r="J12" s="5" t="str" cm="1">
        <f t="array" ref="J12">_xlfn.IFNA(INDEX(meta_Names[Camel Upper], MATCH(meta_Classifiers[[#This Row],[Name]],meta_Names[String],0)),camelCaseUpper(meta_Classifiers[[#This Row],[Name]]))</f>
        <v>ExcelTabSnippet</v>
      </c>
      <c r="K12" s="92" t="s">
        <v>637</v>
      </c>
      <c r="L12" s="75"/>
      <c r="M12" s="5" t="s">
        <v>570</v>
      </c>
      <c r="N12" s="75" t="str">
        <f xml:space="preserve"> IF( TRIM( meta_Classifiers[[#This Row],[Class - Generalization:src]] ) = "", "",
        INDEX( meta_Classifiers[Display Qualified], MATCH( meta_Classifiers[[#This Row],[Class - Generalization:src]], meta_Classifiers[ID], 0 ) ) )</f>
        <v>Snippet</v>
      </c>
      <c r="O12" s="78" t="s">
        <v>638</v>
      </c>
      <c r="P12" s="96"/>
      <c r="Q12" s="85" t="str">
        <f xml:space="preserve"> IF( TRIM( meta_Classifiers[[#This Row],[Class - Display Property:src]] ) = "", "",
        INDEX( meta_TypedModelElements[Display Qualified], MATCH( meta_Classifiers[[#This Row],[Class - Display Property:src]], meta_TypedModelElements[ID], 0 ) ) )</f>
        <v/>
      </c>
      <c r="R12"/>
      <c r="S12" s="85" t="str">
        <f xml:space="preserve"> IF( TRIM( meta_Classifiers[[#This Row],[Class - Business ID Property:src]] ) = "", "",
        INDEX( meta_TypedModelElements[Display Qualified], MATCH( meta_Classifiers[[#This Row],[Class - Business ID Property:src]], meta_TypedModelElements[ID], 0 ) ) )</f>
        <v/>
      </c>
    </row>
    <row r="13" spans="1:19" ht="30" hidden="1">
      <c r="A13" s="5" t="s">
        <v>210</v>
      </c>
      <c r="B13" s="5" t="s">
        <v>163</v>
      </c>
      <c r="C13" s="75" t="str">
        <f xml:space="preserve"> IF( TRIM( meta_Classifiers[[#This Row],[Kind:src]] ) = "", "",
        INDEX( meta_Classifiers[Display Qualified], MATCH( meta_Classifiers[[#This Row],[Kind:src]], meta_Classifiers[ID], 0 ) ) )</f>
        <v>Class</v>
      </c>
      <c r="D13" s="75">
        <v>10</v>
      </c>
      <c r="E13" s="75" t="s">
        <v>142</v>
      </c>
      <c r="F13" s="75"/>
      <c r="G13" s="5" t="str">
        <f>IF(LEFT(meta_Classifiers[[#This Row],[ID]],1)="_",RIGHT(meta_Classifiers[[#This Row],[ID]],LEN(meta_Classifiers[[#This Row],[ID]])-1),IF(TRIM(meta_Classifiers[[#This Row],[Package]])="","",TRIM(LOWER(meta_Classifiers[[#This Row],[Package]]))&amp;"::")&amp;meta_Classifiers[[#This Row],[Display]])</f>
        <v>NamedElement</v>
      </c>
      <c r="H13" s="5" t="str">
        <f>IF(TRIM(meta_Classifiers[[#This Row],[Package]])="","",TRIM(LOWER(meta_Classifiers[[#This Row],[Package]]))&amp;"::")&amp;meta_Classifiers[[#This Row],[Display]]</f>
        <v>meta::NamedElement</v>
      </c>
      <c r="I13" s="5" t="str">
        <f>IF(meta_Classifiers[[#This Row],[Kind:src]]="_Class",meta_Classifiers[[#This Row],[Display Qualified]],"")</f>
        <v>NamedElement</v>
      </c>
      <c r="J13" s="5" t="str" cm="1">
        <f t="array" ref="J13">_xlfn.IFNA(INDEX(meta_Names[Camel Upper], MATCH(meta_Classifiers[[#This Row],[Name]],meta_Names[String],0)),camelCaseUpper(meta_Classifiers[[#This Row],[Name]]))</f>
        <v>NamedElement</v>
      </c>
      <c r="K13" s="92" t="s">
        <v>20</v>
      </c>
      <c r="L13" s="75" t="s">
        <v>232</v>
      </c>
      <c r="M13" s="5" t="s">
        <v>160</v>
      </c>
      <c r="N13" s="75" t="str">
        <f xml:space="preserve"> IF( TRIM( meta_Classifiers[[#This Row],[Class - Generalization:src]] ) = "", "",
        INDEX( meta_Classifiers[Display Qualified], MATCH( meta_Classifiers[[#This Row],[Class - Generalization:src]], meta_Classifiers[ID], 0 ) ) )</f>
        <v>Object</v>
      </c>
      <c r="O13" s="78" t="s">
        <v>113</v>
      </c>
      <c r="P13" s="96"/>
      <c r="Q13" s="85" t="str">
        <f xml:space="preserve"> IF( TRIM( meta_Classifiers[[#This Row],[Class - Display Property:src]] ) = "", "",
        INDEX( meta_TypedModelElements[Display Qualified], MATCH( meta_Classifiers[[#This Row],[Class - Display Property:src]], meta_TypedModelElements[ID], 0 ) ) )</f>
        <v/>
      </c>
      <c r="R13"/>
      <c r="S13" s="85" t="str">
        <f xml:space="preserve"> IF( TRIM( meta_Classifiers[[#This Row],[Class - Business ID Property:src]] ) = "", "",
        INDEX( meta_TypedModelElements[Display Qualified], MATCH( meta_Classifiers[[#This Row],[Class - Business ID Property:src]], meta_TypedModelElements[ID], 0 ) ) )</f>
        <v/>
      </c>
    </row>
    <row r="14" spans="1:19" ht="45" hidden="1">
      <c r="A14" s="5" t="s">
        <v>791</v>
      </c>
      <c r="B14" s="5" t="s">
        <v>163</v>
      </c>
      <c r="C14" s="75" t="str">
        <f xml:space="preserve"> IF( TRIM( meta_Classifiers[[#This Row],[Kind:src]] ) = "", "",
        INDEX( meta_Classifiers[Display Qualified], MATCH( meta_Classifiers[[#This Row],[Kind:src]], meta_Classifiers[ID], 0 ) ) )</f>
        <v>Class</v>
      </c>
      <c r="D14" s="75">
        <v>11</v>
      </c>
      <c r="E14" s="75" t="s">
        <v>142</v>
      </c>
      <c r="F14" s="75"/>
      <c r="G14" s="5" t="str">
        <f>IF(LEFT(meta_Classifiers[[#This Row],[ID]],1)="_",RIGHT(meta_Classifiers[[#This Row],[ID]],LEN(meta_Classifiers[[#This Row],[ID]])-1),IF(TRIM(meta_Classifiers[[#This Row],[Package]])="","",TRIM(LOWER(meta_Classifiers[[#This Row],[Package]]))&amp;"::")&amp;meta_Classifiers[[#This Row],[Display]])</f>
        <v>TypedModelElement</v>
      </c>
      <c r="H14" s="5" t="str">
        <f>IF(TRIM(meta_Classifiers[[#This Row],[Package]])="","",TRIM(LOWER(meta_Classifiers[[#This Row],[Package]]))&amp;"::")&amp;meta_Classifiers[[#This Row],[Display]]</f>
        <v>meta::TypedModelElement</v>
      </c>
      <c r="I14" s="5" t="str">
        <f>IF(meta_Classifiers[[#This Row],[Kind:src]]="_Class",meta_Classifiers[[#This Row],[Display Qualified]],"")</f>
        <v>TypedModelElement</v>
      </c>
      <c r="J14" s="5" t="str" cm="1">
        <f t="array" ref="J14">_xlfn.IFNA(INDEX(meta_Names[Camel Upper], MATCH(meta_Classifiers[[#This Row],[Name]],meta_Names[String],0)),camelCaseUpper(meta_Classifiers[[#This Row],[Name]]))</f>
        <v>TypedModelElement</v>
      </c>
      <c r="K14" s="92" t="s">
        <v>790</v>
      </c>
      <c r="L14" s="75" t="s">
        <v>232</v>
      </c>
      <c r="M14" s="5" t="s">
        <v>210</v>
      </c>
      <c r="N14" s="75" t="str">
        <f xml:space="preserve"> IF( TRIM( meta_Classifiers[[#This Row],[Class - Generalization:src]] ) = "", "",
        INDEX( meta_Classifiers[Display Qualified], MATCH( meta_Classifiers[[#This Row],[Class - Generalization:src]], meta_Classifiers[ID], 0 ) ) )</f>
        <v>NamedElement</v>
      </c>
      <c r="O14" s="78" t="s">
        <v>114</v>
      </c>
      <c r="P14" s="96"/>
      <c r="Q14" s="85" t="str">
        <f xml:space="preserve"> IF( TRIM( meta_Classifiers[[#This Row],[Class - Display Property:src]] ) = "", "",
        INDEX( meta_TypedModelElements[Display Qualified], MATCH( meta_Classifiers[[#This Row],[Class - Display Property:src]], meta_TypedModelElements[ID], 0 ) ) )</f>
        <v/>
      </c>
      <c r="R14"/>
      <c r="S14" s="85" t="str">
        <f xml:space="preserve"> IF( TRIM( meta_Classifiers[[#This Row],[Class - Business ID Property:src]] ) = "", "",
        INDEX( meta_TypedModelElements[Display Qualified], MATCH( meta_Classifiers[[#This Row],[Class - Business ID Property:src]], meta_TypedModelElements[ID], 0 ) ) )</f>
        <v/>
      </c>
    </row>
    <row r="15" spans="1:19" ht="45" hidden="1">
      <c r="A15" s="5" t="s">
        <v>211</v>
      </c>
      <c r="B15" s="5" t="s">
        <v>163</v>
      </c>
      <c r="C15" s="75" t="str">
        <f xml:space="preserve"> IF( TRIM( meta_Classifiers[[#This Row],[Kind:src]] ) = "", "",
        INDEX( meta_Classifiers[Display Qualified], MATCH( meta_Classifiers[[#This Row],[Kind:src]], meta_Classifiers[ID], 0 ) ) )</f>
        <v>Class</v>
      </c>
      <c r="D15" s="75">
        <v>12</v>
      </c>
      <c r="E15" s="75" t="s">
        <v>142</v>
      </c>
      <c r="F15" s="75"/>
      <c r="G15" s="5" t="str">
        <f>IF(LEFT(meta_Classifiers[[#This Row],[ID]],1)="_",RIGHT(meta_Classifiers[[#This Row],[ID]],LEN(meta_Classifiers[[#This Row],[ID]])-1),IF(TRIM(meta_Classifiers[[#This Row],[Package]])="","",TRIM(LOWER(meta_Classifiers[[#This Row],[Package]]))&amp;"::")&amp;meta_Classifiers[[#This Row],[Display]])</f>
        <v>Classifier</v>
      </c>
      <c r="H15" s="5" t="str">
        <f>IF(TRIM(meta_Classifiers[[#This Row],[Package]])="","",TRIM(LOWER(meta_Classifiers[[#This Row],[Package]]))&amp;"::")&amp;meta_Classifiers[[#This Row],[Display]]</f>
        <v>meta::Classifier</v>
      </c>
      <c r="I15" s="5" t="str">
        <f>IF(meta_Classifiers[[#This Row],[Kind:src]]="_Class",meta_Classifiers[[#This Row],[Display Qualified]],"")</f>
        <v>Classifier</v>
      </c>
      <c r="J15" s="5" t="str" cm="1">
        <f t="array" ref="J15">_xlfn.IFNA(INDEX(meta_Names[Camel Upper], MATCH(meta_Classifiers[[#This Row],[Name]],meta_Names[String],0)),camelCaseUpper(meta_Classifiers[[#This Row],[Name]]))</f>
        <v>Classifier</v>
      </c>
      <c r="K15" s="92" t="s">
        <v>10</v>
      </c>
      <c r="L15" s="75" t="s">
        <v>232</v>
      </c>
      <c r="M15" s="5" t="s">
        <v>210</v>
      </c>
      <c r="N15" s="75" t="str">
        <f xml:space="preserve"> IF( TRIM( meta_Classifiers[[#This Row],[Class - Generalization:src]] ) = "", "",
        INDEX( meta_Classifiers[Display Qualified], MATCH( meta_Classifiers[[#This Row],[Class - Generalization:src]], meta_Classifiers[ID], 0 ) ) )</f>
        <v>NamedElement</v>
      </c>
      <c r="O15" s="78" t="s">
        <v>89</v>
      </c>
      <c r="P15" s="96"/>
      <c r="Q15" s="85" t="str">
        <f xml:space="preserve"> IF( TRIM( meta_Classifiers[[#This Row],[Class - Display Property:src]] ) = "", "",
        INDEX( meta_TypedModelElements[Display Qualified], MATCH( meta_Classifiers[[#This Row],[Class - Display Property:src]], meta_TypedModelElements[ID], 0 ) ) )</f>
        <v/>
      </c>
      <c r="R15"/>
      <c r="S15" s="85" t="str">
        <f xml:space="preserve"> IF( TRIM( meta_Classifiers[[#This Row],[Class - Business ID Property:src]] ) = "", "",
        INDEX( meta_TypedModelElements[Display Qualified], MATCH( meta_Classifiers[[#This Row],[Class - Business ID Property:src]], meta_TypedModelElements[ID], 0 ) ) )</f>
        <v/>
      </c>
    </row>
    <row r="16" spans="1:19" ht="75" hidden="1">
      <c r="A16" s="5" t="s">
        <v>163</v>
      </c>
      <c r="B16" s="5" t="s">
        <v>163</v>
      </c>
      <c r="C16" s="75" t="str">
        <f xml:space="preserve"> IF( TRIM( meta_Classifiers[[#This Row],[Kind:src]] ) = "", "",
        INDEX( meta_Classifiers[Display Qualified], MATCH( meta_Classifiers[[#This Row],[Kind:src]], meta_Classifiers[ID], 0 ) ) )</f>
        <v>Class</v>
      </c>
      <c r="D16" s="75">
        <v>13</v>
      </c>
      <c r="E16" s="75" t="s">
        <v>142</v>
      </c>
      <c r="F16" s="75"/>
      <c r="G16" s="5" t="str">
        <f>IF(LEFT(meta_Classifiers[[#This Row],[ID]],1)="_",RIGHT(meta_Classifiers[[#This Row],[ID]],LEN(meta_Classifiers[[#This Row],[ID]])-1),IF(TRIM(meta_Classifiers[[#This Row],[Package]])="","",TRIM(LOWER(meta_Classifiers[[#This Row],[Package]]))&amp;"::")&amp;meta_Classifiers[[#This Row],[Display]])</f>
        <v>Class</v>
      </c>
      <c r="H16" s="5" t="str">
        <f>IF(TRIM(meta_Classifiers[[#This Row],[Package]])="","",TRIM(LOWER(meta_Classifiers[[#This Row],[Package]]))&amp;"::")&amp;meta_Classifiers[[#This Row],[Display]]</f>
        <v>meta::Class</v>
      </c>
      <c r="I16" s="5" t="str">
        <f>IF(meta_Classifiers[[#This Row],[Kind:src]]="_Class",meta_Classifiers[[#This Row],[Display Qualified]],"")</f>
        <v>Class</v>
      </c>
      <c r="J16" s="5" t="str" cm="1">
        <f t="array" ref="J16">_xlfn.IFNA(INDEX(meta_Names[Camel Upper], MATCH(meta_Classifiers[[#This Row],[Name]],meta_Names[String],0)),camelCaseUpper(meta_Classifiers[[#This Row],[Name]]))</f>
        <v>Class</v>
      </c>
      <c r="K16" s="92" t="s">
        <v>6</v>
      </c>
      <c r="L16" s="75"/>
      <c r="M16" s="5" t="s">
        <v>211</v>
      </c>
      <c r="N16" s="75" t="str">
        <f xml:space="preserve"> IF( TRIM( meta_Classifiers[[#This Row],[Class - Generalization:src]] ) = "", "",
        INDEX( meta_Classifiers[Display Qualified], MATCH( meta_Classifiers[[#This Row],[Class - Generalization:src]], meta_Classifiers[ID], 0 ) ) )</f>
        <v>Classifier</v>
      </c>
      <c r="O16" s="78" t="s">
        <v>602</v>
      </c>
      <c r="P16" s="96"/>
      <c r="Q16" s="85" t="str">
        <f xml:space="preserve"> IF( TRIM( meta_Classifiers[[#This Row],[Class - Display Property:src]] ) = "", "",
        INDEX( meta_TypedModelElements[Display Qualified], MATCH( meta_Classifiers[[#This Row],[Class - Display Property:src]], meta_TypedModelElements[ID], 0 ) ) )</f>
        <v/>
      </c>
      <c r="R16"/>
      <c r="S16" s="85" t="str">
        <f xml:space="preserve"> IF( TRIM( meta_Classifiers[[#This Row],[Class - Business ID Property:src]] ) = "", "",
        INDEX( meta_TypedModelElements[Display Qualified], MATCH( meta_Classifiers[[#This Row],[Class - Business ID Property:src]], meta_TypedModelElements[ID], 0 ) ) )</f>
        <v/>
      </c>
    </row>
    <row r="17" spans="1:19" ht="45" hidden="1">
      <c r="A17" s="5" t="s">
        <v>164</v>
      </c>
      <c r="B17" s="5" t="s">
        <v>163</v>
      </c>
      <c r="C17" s="75" t="str">
        <f xml:space="preserve"> IF( TRIM( meta_Classifiers[[#This Row],[Kind:src]] ) = "", "",
        INDEX( meta_Classifiers[Display Qualified], MATCH( meta_Classifiers[[#This Row],[Kind:src]], meta_Classifiers[ID], 0 ) ) )</f>
        <v>Class</v>
      </c>
      <c r="D17" s="75">
        <v>14</v>
      </c>
      <c r="E17" s="75" t="s">
        <v>142</v>
      </c>
      <c r="F17" s="75"/>
      <c r="G17" s="5" t="str">
        <f>IF(LEFT(meta_Classifiers[[#This Row],[ID]],1)="_",RIGHT(meta_Classifiers[[#This Row],[ID]],LEN(meta_Classifiers[[#This Row],[ID]])-1),IF(TRIM(meta_Classifiers[[#This Row],[Package]])="","",TRIM(LOWER(meta_Classifiers[[#This Row],[Package]]))&amp;"::")&amp;meta_Classifiers[[#This Row],[Display]])</f>
        <v>Datatype</v>
      </c>
      <c r="H17" s="5" t="str">
        <f>IF(TRIM(meta_Classifiers[[#This Row],[Package]])="","",TRIM(LOWER(meta_Classifiers[[#This Row],[Package]]))&amp;"::")&amp;meta_Classifiers[[#This Row],[Display]]</f>
        <v>meta::Datatype</v>
      </c>
      <c r="I17" s="5" t="str">
        <f>IF(meta_Classifiers[[#This Row],[Kind:src]]="_Class",meta_Classifiers[[#This Row],[Display Qualified]],"")</f>
        <v>Datatype</v>
      </c>
      <c r="J17" s="5" t="str" cm="1">
        <f t="array" ref="J17">_xlfn.IFNA(INDEX(meta_Names[Camel Upper], MATCH(meta_Classifiers[[#This Row],[Name]],meta_Names[String],0)),camelCaseUpper(meta_Classifiers[[#This Row],[Name]]))</f>
        <v>Datatype</v>
      </c>
      <c r="K17" s="92" t="s">
        <v>47</v>
      </c>
      <c r="L17" s="75"/>
      <c r="M17" s="5" t="s">
        <v>211</v>
      </c>
      <c r="N17" s="75" t="str">
        <f xml:space="preserve"> IF( TRIM( meta_Classifiers[[#This Row],[Class - Generalization:src]] ) = "", "",
        INDEX( meta_Classifiers[Display Qualified], MATCH( meta_Classifiers[[#This Row],[Class - Generalization:src]], meta_Classifiers[ID], 0 ) ) )</f>
        <v>Classifier</v>
      </c>
      <c r="O17" s="78" t="s">
        <v>603</v>
      </c>
      <c r="P17" s="96"/>
      <c r="Q17" s="85" t="str">
        <f xml:space="preserve"> IF( TRIM( meta_Classifiers[[#This Row],[Class - Display Property:src]] ) = "", "",
        INDEX( meta_TypedModelElements[Display Qualified], MATCH( meta_Classifiers[[#This Row],[Class - Display Property:src]], meta_TypedModelElements[ID], 0 ) ) )</f>
        <v/>
      </c>
      <c r="R17"/>
      <c r="S17" s="85" t="str">
        <f xml:space="preserve"> IF( TRIM( meta_Classifiers[[#This Row],[Class - Business ID Property:src]] ) = "", "",
        INDEX( meta_TypedModelElements[Display Qualified], MATCH( meta_Classifiers[[#This Row],[Class - Business ID Property:src]], meta_TypedModelElements[ID], 0 ) ) )</f>
        <v/>
      </c>
    </row>
    <row r="18" spans="1:19" ht="60" hidden="1">
      <c r="A18" s="5" t="s">
        <v>212</v>
      </c>
      <c r="B18" s="5" t="s">
        <v>163</v>
      </c>
      <c r="C18" s="75" t="str">
        <f xml:space="preserve"> IF( TRIM( meta_Classifiers[[#This Row],[Kind:src]] ) = "", "",
        INDEX( meta_Classifiers[Display Qualified], MATCH( meta_Classifiers[[#This Row],[Kind:src]], meta_Classifiers[ID], 0 ) ) )</f>
        <v>Class</v>
      </c>
      <c r="D18" s="75">
        <v>15</v>
      </c>
      <c r="E18" s="75" t="s">
        <v>142</v>
      </c>
      <c r="F18" s="75"/>
      <c r="G18" s="5" t="str">
        <f>IF(LEFT(meta_Classifiers[[#This Row],[ID]],1)="_",RIGHT(meta_Classifiers[[#This Row],[ID]],LEN(meta_Classifiers[[#This Row],[ID]])-1),IF(TRIM(meta_Classifiers[[#This Row],[Package]])="","",TRIM(LOWER(meta_Classifiers[[#This Row],[Package]]))&amp;"::")&amp;meta_Classifiers[[#This Row],[Display]])</f>
        <v>Feature</v>
      </c>
      <c r="H18" s="5" t="str">
        <f>IF(TRIM(meta_Classifiers[[#This Row],[Package]])="","",TRIM(LOWER(meta_Classifiers[[#This Row],[Package]]))&amp;"::")&amp;meta_Classifiers[[#This Row],[Display]]</f>
        <v>meta::Feature</v>
      </c>
      <c r="I18" s="5" t="str">
        <f>IF(meta_Classifiers[[#This Row],[Kind:src]]="_Class",meta_Classifiers[[#This Row],[Display Qualified]],"")</f>
        <v>Feature</v>
      </c>
      <c r="J18" s="5" t="str" cm="1">
        <f t="array" ref="J18">_xlfn.IFNA(INDEX(meta_Names[Camel Upper], MATCH(meta_Classifiers[[#This Row],[Name]],meta_Names[String],0)),camelCaseUpper(meta_Classifiers[[#This Row],[Name]]))</f>
        <v>Feature</v>
      </c>
      <c r="K18" s="92" t="s">
        <v>12</v>
      </c>
      <c r="L18" s="75" t="s">
        <v>232</v>
      </c>
      <c r="M18" s="5" t="s">
        <v>791</v>
      </c>
      <c r="N18" s="75" t="str">
        <f xml:space="preserve"> IF( TRIM( meta_Classifiers[[#This Row],[Class - Generalization:src]] ) = "", "",
        INDEX( meta_Classifiers[Display Qualified], MATCH( meta_Classifiers[[#This Row],[Class - Generalization:src]], meta_Classifiers[ID], 0 ) ) )</f>
        <v>TypedModelElement</v>
      </c>
      <c r="O18" s="78" t="s">
        <v>115</v>
      </c>
      <c r="P18" s="96"/>
      <c r="Q18" s="85" t="str">
        <f xml:space="preserve"> IF( TRIM( meta_Classifiers[[#This Row],[Class - Display Property:src]] ) = "", "",
        INDEX( meta_TypedModelElements[Display Qualified], MATCH( meta_Classifiers[[#This Row],[Class - Display Property:src]], meta_TypedModelElements[ID], 0 ) ) )</f>
        <v/>
      </c>
      <c r="R18"/>
      <c r="S18" s="85" t="str">
        <f xml:space="preserve"> IF( TRIM( meta_Classifiers[[#This Row],[Class - Business ID Property:src]] ) = "", "",
        INDEX( meta_TypedModelElements[Display Qualified], MATCH( meta_Classifiers[[#This Row],[Class - Business ID Property:src]], meta_TypedModelElements[ID], 0 ) ) )</f>
        <v/>
      </c>
    </row>
    <row r="19" spans="1:19" ht="150" hidden="1">
      <c r="A19" s="5" t="s">
        <v>165</v>
      </c>
      <c r="B19" s="5" t="s">
        <v>163</v>
      </c>
      <c r="C19" s="75" t="str">
        <f xml:space="preserve"> IF( TRIM( meta_Classifiers[[#This Row],[Kind:src]] ) = "", "",
        INDEX( meta_Classifiers[Display Qualified], MATCH( meta_Classifiers[[#This Row],[Kind:src]], meta_Classifiers[ID], 0 ) ) )</f>
        <v>Class</v>
      </c>
      <c r="D19" s="75">
        <v>16</v>
      </c>
      <c r="E19" s="75" t="s">
        <v>142</v>
      </c>
      <c r="F19" s="75"/>
      <c r="G19" s="5" t="str">
        <f>IF(LEFT(meta_Classifiers[[#This Row],[ID]],1)="_",RIGHT(meta_Classifiers[[#This Row],[ID]],LEN(meta_Classifiers[[#This Row],[ID]])-1),IF(TRIM(meta_Classifiers[[#This Row],[Package]])="","",TRIM(LOWER(meta_Classifiers[[#This Row],[Package]]))&amp;"::")&amp;meta_Classifiers[[#This Row],[Display]])</f>
        <v>Function</v>
      </c>
      <c r="H19" s="5" t="str">
        <f>IF(TRIM(meta_Classifiers[[#This Row],[Package]])="","",TRIM(LOWER(meta_Classifiers[[#This Row],[Package]]))&amp;"::")&amp;meta_Classifiers[[#This Row],[Display]]</f>
        <v>meta::Function</v>
      </c>
      <c r="I19" s="5" t="str">
        <f>IF(meta_Classifiers[[#This Row],[Kind:src]]="_Class",meta_Classifiers[[#This Row],[Display Qualified]],"")</f>
        <v>Function</v>
      </c>
      <c r="J19" s="5" t="str" cm="1">
        <f t="array" ref="J19">_xlfn.IFNA(INDEX(meta_Names[Camel Upper], MATCH(meta_Classifiers[[#This Row],[Name]],meta_Names[String],0)),camelCaseUpper(meta_Classifiers[[#This Row],[Name]]))</f>
        <v>Function</v>
      </c>
      <c r="K19" s="92" t="s">
        <v>87</v>
      </c>
      <c r="L19" s="75"/>
      <c r="M19" s="5" t="s">
        <v>212</v>
      </c>
      <c r="N19" s="75" t="str">
        <f xml:space="preserve"> IF( TRIM( meta_Classifiers[[#This Row],[Class - Generalization:src]] ) = "", "",
        INDEX( meta_Classifiers[Display Qualified], MATCH( meta_Classifiers[[#This Row],[Class - Generalization:src]], meta_Classifiers[ID], 0 ) ) )</f>
        <v>Feature</v>
      </c>
      <c r="O19" s="78" t="s">
        <v>116</v>
      </c>
      <c r="P19" s="96"/>
      <c r="Q19" s="85" t="str">
        <f xml:space="preserve"> IF( TRIM( meta_Classifiers[[#This Row],[Class - Display Property:src]] ) = "", "",
        INDEX( meta_TypedModelElements[Display Qualified], MATCH( meta_Classifiers[[#This Row],[Class - Display Property:src]], meta_TypedModelElements[ID], 0 ) ) )</f>
        <v/>
      </c>
      <c r="R19"/>
      <c r="S19" s="85" t="str">
        <f xml:space="preserve"> IF( TRIM( meta_Classifiers[[#This Row],[Class - Business ID Property:src]] ) = "", "",
        INDEX( meta_TypedModelElements[Display Qualified], MATCH( meta_Classifiers[[#This Row],[Class - Business ID Property:src]], meta_TypedModelElements[ID], 0 ) ) )</f>
        <v/>
      </c>
    </row>
    <row r="20" spans="1:19" ht="30" hidden="1">
      <c r="A20" s="5" t="s">
        <v>166</v>
      </c>
      <c r="B20" s="5" t="s">
        <v>163</v>
      </c>
      <c r="C20" s="75" t="str">
        <f xml:space="preserve"> IF( TRIM( meta_Classifiers[[#This Row],[Kind:src]] ) = "", "",
        INDEX( meta_Classifiers[Display Qualified], MATCH( meta_Classifiers[[#This Row],[Kind:src]], meta_Classifiers[ID], 0 ) ) )</f>
        <v>Class</v>
      </c>
      <c r="D20" s="75">
        <v>17</v>
      </c>
      <c r="E20" s="75" t="s">
        <v>142</v>
      </c>
      <c r="F20" s="75"/>
      <c r="G20" s="5" t="str">
        <f>IF(LEFT(meta_Classifiers[[#This Row],[ID]],1)="_",RIGHT(meta_Classifiers[[#This Row],[ID]],LEN(meta_Classifiers[[#This Row],[ID]])-1),IF(TRIM(meta_Classifiers[[#This Row],[Package]])="","",TRIM(LOWER(meta_Classifiers[[#This Row],[Package]]))&amp;"::")&amp;meta_Classifiers[[#This Row],[Display]])</f>
        <v>Parameter</v>
      </c>
      <c r="H20" s="5" t="str">
        <f>IF(TRIM(meta_Classifiers[[#This Row],[Package]])="","",TRIM(LOWER(meta_Classifiers[[#This Row],[Package]]))&amp;"::")&amp;meta_Classifiers[[#This Row],[Display]]</f>
        <v>meta::Parameter</v>
      </c>
      <c r="I20" s="5" t="str">
        <f>IF(meta_Classifiers[[#This Row],[Kind:src]]="_Class",meta_Classifiers[[#This Row],[Display Qualified]],"")</f>
        <v>Parameter</v>
      </c>
      <c r="J20" s="5" t="str" cm="1">
        <f t="array" ref="J20">_xlfn.IFNA(INDEX(meta_Names[Camel Upper], MATCH(meta_Classifiers[[#This Row],[Name]],meta_Names[String],0)),camelCaseUpper(meta_Classifiers[[#This Row],[Name]]))</f>
        <v>Parameter</v>
      </c>
      <c r="K20" s="92" t="s">
        <v>88</v>
      </c>
      <c r="L20" s="75"/>
      <c r="M20" s="5" t="s">
        <v>791</v>
      </c>
      <c r="N20" s="75" t="str">
        <f xml:space="preserve"> IF( TRIM( meta_Classifiers[[#This Row],[Class - Generalization:src]] ) = "", "",
        INDEX( meta_Classifiers[Display Qualified], MATCH( meta_Classifiers[[#This Row],[Class - Generalization:src]], meta_Classifiers[ID], 0 ) ) )</f>
        <v>TypedModelElement</v>
      </c>
      <c r="O20" s="78" t="s">
        <v>90</v>
      </c>
      <c r="P20" s="96"/>
      <c r="Q20" s="85" t="str">
        <f xml:space="preserve"> IF( TRIM( meta_Classifiers[[#This Row],[Class - Display Property:src]] ) = "", "",
        INDEX( meta_TypedModelElements[Display Qualified], MATCH( meta_Classifiers[[#This Row],[Class - Display Property:src]], meta_TypedModelElements[ID], 0 ) ) )</f>
        <v/>
      </c>
      <c r="R20"/>
      <c r="S20" s="85" t="str">
        <f xml:space="preserve"> IF( TRIM( meta_Classifiers[[#This Row],[Class - Business ID Property:src]] ) = "", "",
        INDEX( meta_TypedModelElements[Display Qualified], MATCH( meta_Classifiers[[#This Row],[Class - Business ID Property:src]], meta_TypedModelElements[ID], 0 ) ) )</f>
        <v/>
      </c>
    </row>
    <row r="21" spans="1:19" ht="150" hidden="1">
      <c r="A21" s="5" t="s">
        <v>213</v>
      </c>
      <c r="B21" s="5" t="s">
        <v>163</v>
      </c>
      <c r="C21" s="75" t="str">
        <f xml:space="preserve"> IF( TRIM( meta_Classifiers[[#This Row],[Kind:src]] ) = "", "",
        INDEX( meta_Classifiers[Display Qualified], MATCH( meta_Classifiers[[#This Row],[Kind:src]], meta_Classifiers[ID], 0 ) ) )</f>
        <v>Class</v>
      </c>
      <c r="D21" s="75">
        <v>18</v>
      </c>
      <c r="E21" s="75" t="s">
        <v>142</v>
      </c>
      <c r="F21" s="75"/>
      <c r="G21" s="5" t="str">
        <f>IF(LEFT(meta_Classifiers[[#This Row],[ID]],1)="_",RIGHT(meta_Classifiers[[#This Row],[ID]],LEN(meta_Classifiers[[#This Row],[ID]])-1),IF(TRIM(meta_Classifiers[[#This Row],[Package]])="","",TRIM(LOWER(meta_Classifiers[[#This Row],[Package]]))&amp;"::")&amp;meta_Classifiers[[#This Row],[Display]])</f>
        <v>Property</v>
      </c>
      <c r="H21" s="5" t="str">
        <f>IF(TRIM(meta_Classifiers[[#This Row],[Package]])="","",TRIM(LOWER(meta_Classifiers[[#This Row],[Package]]))&amp;"::")&amp;meta_Classifiers[[#This Row],[Display]]</f>
        <v>meta::Property</v>
      </c>
      <c r="I21" s="5" t="str">
        <f>IF(meta_Classifiers[[#This Row],[Kind:src]]="_Class",meta_Classifiers[[#This Row],[Display Qualified]],"")</f>
        <v>Property</v>
      </c>
      <c r="J21" s="5" t="str" cm="1">
        <f t="array" ref="J21">_xlfn.IFNA(INDEX(meta_Names[Camel Upper], MATCH(meta_Classifiers[[#This Row],[Name]],meta_Names[String],0)),camelCaseUpper(meta_Classifiers[[#This Row],[Name]]))</f>
        <v>Property</v>
      </c>
      <c r="K21" s="92" t="s">
        <v>7</v>
      </c>
      <c r="L21" s="75" t="s">
        <v>232</v>
      </c>
      <c r="M21" s="5" t="s">
        <v>212</v>
      </c>
      <c r="N21" s="75" t="str">
        <f xml:space="preserve"> IF( TRIM( meta_Classifiers[[#This Row],[Class - Generalization:src]] ) = "", "",
        INDEX( meta_Classifiers[Display Qualified], MATCH( meta_Classifiers[[#This Row],[Class - Generalization:src]], meta_Classifiers[ID], 0 ) ) )</f>
        <v>Feature</v>
      </c>
      <c r="O21" s="78" t="s">
        <v>745</v>
      </c>
      <c r="P21" s="96"/>
      <c r="Q21" s="85" t="str">
        <f xml:space="preserve"> IF( TRIM( meta_Classifiers[[#This Row],[Class - Display Property:src]] ) = "", "",
        INDEX( meta_TypedModelElements[Display Qualified], MATCH( meta_Classifiers[[#This Row],[Class - Display Property:src]], meta_TypedModelElements[ID], 0 ) ) )</f>
        <v/>
      </c>
      <c r="R21"/>
      <c r="S21" s="85" t="str">
        <f xml:space="preserve"> IF( TRIM( meta_Classifiers[[#This Row],[Class - Business ID Property:src]] ) = "", "",
        INDEX( meta_TypedModelElements[Display Qualified], MATCH( meta_Classifiers[[#This Row],[Class - Business ID Property:src]], meta_TypedModelElements[ID], 0 ) ) )</f>
        <v/>
      </c>
    </row>
    <row r="22" spans="1:19" ht="30" hidden="1">
      <c r="A22" s="5" t="s">
        <v>214</v>
      </c>
      <c r="B22" s="5" t="s">
        <v>163</v>
      </c>
      <c r="C22" s="75" t="str">
        <f xml:space="preserve"> IF( TRIM( meta_Classifiers[[#This Row],[Kind:src]] ) = "", "",
        INDEX( meta_Classifiers[Display Qualified], MATCH( meta_Classifiers[[#This Row],[Kind:src]], meta_Classifiers[ID], 0 ) ) )</f>
        <v>Class</v>
      </c>
      <c r="D22" s="75">
        <v>19</v>
      </c>
      <c r="E22" s="75" t="s">
        <v>142</v>
      </c>
      <c r="F22" s="75"/>
      <c r="G22" s="5" t="str">
        <f>IF(LEFT(meta_Classifiers[[#This Row],[ID]],1)="_",RIGHT(meta_Classifiers[[#This Row],[ID]],LEN(meta_Classifiers[[#This Row],[ID]])-1),IF(TRIM(meta_Classifiers[[#This Row],[Package]])="","",TRIM(LOWER(meta_Classifiers[[#This Row],[Package]]))&amp;"::")&amp;meta_Classifiers[[#This Row],[Display]])</f>
        <v>Arity</v>
      </c>
      <c r="H22" s="5" t="str">
        <f>IF(TRIM(meta_Classifiers[[#This Row],[Package]])="","",TRIM(LOWER(meta_Classifiers[[#This Row],[Package]]))&amp;"::")&amp;meta_Classifiers[[#This Row],[Display]]</f>
        <v>meta::Arity</v>
      </c>
      <c r="I22" s="5" t="str">
        <f>IF(meta_Classifiers[[#This Row],[Kind:src]]="_Class",meta_Classifiers[[#This Row],[Display Qualified]],"")</f>
        <v>Arity</v>
      </c>
      <c r="J22" s="5" t="str" cm="1">
        <f t="array" ref="J22">_xlfn.IFNA(INDEX(meta_Names[Camel Upper], MATCH(meta_Classifiers[[#This Row],[Name]],meta_Names[String],0)),camelCaseUpper(meta_Classifiers[[#This Row],[Name]]))</f>
        <v>Arity</v>
      </c>
      <c r="K22" s="92" t="s">
        <v>14</v>
      </c>
      <c r="L22" s="75"/>
      <c r="M22" s="5" t="s">
        <v>216</v>
      </c>
      <c r="N22" s="75" t="str">
        <f xml:space="preserve"> IF( TRIM( meta_Classifiers[[#This Row],[Class - Generalization:src]] ) = "", "",
        INDEX( meta_Classifiers[Display Qualified], MATCH( meta_Classifiers[[#This Row],[Class - Generalization:src]], meta_Classifiers[ID], 0 ) ) )</f>
        <v>Literal</v>
      </c>
      <c r="O22" s="78" t="s">
        <v>92</v>
      </c>
      <c r="P22" s="96"/>
      <c r="Q22" s="85" t="str">
        <f xml:space="preserve"> IF( TRIM( meta_Classifiers[[#This Row],[Class - Display Property:src]] ) = "", "",
        INDEX( meta_TypedModelElements[Display Qualified], MATCH( meta_Classifiers[[#This Row],[Class - Display Property:src]], meta_TypedModelElements[ID], 0 ) ) )</f>
        <v/>
      </c>
      <c r="R22"/>
      <c r="S22" s="85" t="str">
        <f xml:space="preserve"> IF( TRIM( meta_Classifiers[[#This Row],[Class - Business ID Property:src]] ) = "", "",
        INDEX( meta_TypedModelElements[Display Qualified], MATCH( meta_Classifiers[[#This Row],[Class - Business ID Property:src]], meta_TypedModelElements[ID], 0 ) ) )</f>
        <v/>
      </c>
    </row>
    <row r="23" spans="1:19" hidden="1">
      <c r="A23" s="5" t="s">
        <v>168</v>
      </c>
      <c r="B23" s="5" t="s">
        <v>163</v>
      </c>
      <c r="C23" s="75" t="str">
        <f xml:space="preserve"> IF( TRIM( meta_Classifiers[[#This Row],[Kind:src]] ) = "", "",
        INDEX( meta_Classifiers[Display Qualified], MATCH( meta_Classifiers[[#This Row],[Kind:src]], meta_Classifiers[ID], 0 ) ) )</f>
        <v>Class</v>
      </c>
      <c r="D23" s="75">
        <v>20</v>
      </c>
      <c r="E23" s="75" t="s">
        <v>142</v>
      </c>
      <c r="F23" s="75"/>
      <c r="G23" s="5" t="str">
        <f>IF(LEFT(meta_Classifiers[[#This Row],[ID]],1)="_",RIGHT(meta_Classifiers[[#This Row],[ID]],LEN(meta_Classifiers[[#This Row],[ID]])-1),IF(TRIM(meta_Classifiers[[#This Row],[Package]])="","",TRIM(LOWER(meta_Classifiers[[#This Row],[Package]]))&amp;"::")&amp;meta_Classifiers[[#This Row],[Display]])</f>
        <v>Attribute</v>
      </c>
      <c r="H23" s="5" t="str">
        <f>IF(TRIM(meta_Classifiers[[#This Row],[Package]])="","",TRIM(LOWER(meta_Classifiers[[#This Row],[Package]]))&amp;"::")&amp;meta_Classifiers[[#This Row],[Display]]</f>
        <v>meta::Attribute</v>
      </c>
      <c r="I23" s="5" t="str">
        <f>IF(meta_Classifiers[[#This Row],[Kind:src]]="_Class",meta_Classifiers[[#This Row],[Display Qualified]],"")</f>
        <v>Attribute</v>
      </c>
      <c r="J23" s="5" t="str" cm="1">
        <f t="array" ref="J23">_xlfn.IFNA(INDEX(meta_Names[Camel Upper], MATCH(meta_Classifiers[[#This Row],[Name]],meta_Names[String],0)),camelCaseUpper(meta_Classifiers[[#This Row],[Name]]))</f>
        <v>Attribute</v>
      </c>
      <c r="K23" s="92" t="s">
        <v>15</v>
      </c>
      <c r="L23" s="75"/>
      <c r="M23" s="5" t="s">
        <v>213</v>
      </c>
      <c r="N23" s="75" t="str">
        <f xml:space="preserve"> IF( TRIM( meta_Classifiers[[#This Row],[Class - Generalization:src]] ) = "", "",
        INDEX( meta_Classifiers[Display Qualified], MATCH( meta_Classifiers[[#This Row],[Class - Generalization:src]], meta_Classifiers[ID], 0 ) ) )</f>
        <v>Property</v>
      </c>
      <c r="O23" s="78" t="s">
        <v>689</v>
      </c>
      <c r="P23" s="96"/>
      <c r="Q23" s="85" t="str">
        <f xml:space="preserve"> IF( TRIM( meta_Classifiers[[#This Row],[Class - Display Property:src]] ) = "", "",
        INDEX( meta_TypedModelElements[Display Qualified], MATCH( meta_Classifiers[[#This Row],[Class - Display Property:src]], meta_TypedModelElements[ID], 0 ) ) )</f>
        <v/>
      </c>
      <c r="R23"/>
      <c r="S23" s="85" t="str">
        <f xml:space="preserve"> IF( TRIM( meta_Classifiers[[#This Row],[Class - Business ID Property:src]] ) = "", "",
        INDEX( meta_TypedModelElements[Display Qualified], MATCH( meta_Classifiers[[#This Row],[Class - Business ID Property:src]], meta_TypedModelElements[ID], 0 ) ) )</f>
        <v/>
      </c>
    </row>
    <row r="24" spans="1:19" hidden="1">
      <c r="A24" s="5" t="s">
        <v>167</v>
      </c>
      <c r="B24" s="5" t="s">
        <v>163</v>
      </c>
      <c r="C24" s="75" t="str">
        <f xml:space="preserve"> IF( TRIM( meta_Classifiers[[#This Row],[Kind:src]] ) = "", "",
        INDEX( meta_Classifiers[Display Qualified], MATCH( meta_Classifiers[[#This Row],[Kind:src]], meta_Classifiers[ID], 0 ) ) )</f>
        <v>Class</v>
      </c>
      <c r="D24" s="75">
        <v>21</v>
      </c>
      <c r="E24" s="75" t="s">
        <v>142</v>
      </c>
      <c r="F24" s="75"/>
      <c r="G24" s="5" t="str">
        <f>IF(LEFT(meta_Classifiers[[#This Row],[ID]],1)="_",RIGHT(meta_Classifiers[[#This Row],[ID]],LEN(meta_Classifiers[[#This Row],[ID]])-1),IF(TRIM(meta_Classifiers[[#This Row],[Package]])="","",TRIM(LOWER(meta_Classifiers[[#This Row],[Package]]))&amp;"::")&amp;meta_Classifiers[[#This Row],[Display]])</f>
        <v>Reference</v>
      </c>
      <c r="H24" s="5" t="str">
        <f>IF(TRIM(meta_Classifiers[[#This Row],[Package]])="","",TRIM(LOWER(meta_Classifiers[[#This Row],[Package]]))&amp;"::")&amp;meta_Classifiers[[#This Row],[Display]]</f>
        <v>meta::Reference</v>
      </c>
      <c r="I24" s="5" t="str">
        <f>IF(meta_Classifiers[[#This Row],[Kind:src]]="_Class",meta_Classifiers[[#This Row],[Display Qualified]],"")</f>
        <v>Reference</v>
      </c>
      <c r="J24" s="5" t="str" cm="1">
        <f t="array" ref="J24">_xlfn.IFNA(INDEX(meta_Names[Camel Upper], MATCH(meta_Classifiers[[#This Row],[Name]],meta_Names[String],0)),camelCaseUpper(meta_Classifiers[[#This Row],[Name]]))</f>
        <v>Reference</v>
      </c>
      <c r="K24" s="92" t="s">
        <v>16</v>
      </c>
      <c r="L24" s="75"/>
      <c r="M24" s="5" t="s">
        <v>213</v>
      </c>
      <c r="N24" s="75" t="str">
        <f xml:space="preserve"> IF( TRIM( meta_Classifiers[[#This Row],[Class - Generalization:src]] ) = "", "",
        INDEX( meta_Classifiers[Display Qualified], MATCH( meta_Classifiers[[#This Row],[Class - Generalization:src]], meta_Classifiers[ID], 0 ) ) )</f>
        <v>Property</v>
      </c>
      <c r="O24" s="78" t="s">
        <v>690</v>
      </c>
      <c r="P24" s="96"/>
      <c r="Q24" s="85" t="str">
        <f xml:space="preserve"> IF( TRIM( meta_Classifiers[[#This Row],[Class - Display Property:src]] ) = "", "",
        INDEX( meta_TypedModelElements[Display Qualified], MATCH( meta_Classifiers[[#This Row],[Class - Display Property:src]], meta_TypedModelElements[ID], 0 ) ) )</f>
        <v/>
      </c>
      <c r="R24"/>
      <c r="S24" s="85" t="str">
        <f xml:space="preserve"> IF( TRIM( meta_Classifiers[[#This Row],[Class - Business ID Property:src]] ) = "", "",
        INDEX( meta_TypedModelElements[Display Qualified], MATCH( meta_Classifiers[[#This Row],[Class - Business ID Property:src]], meta_TypedModelElements[ID], 0 ) ) )</f>
        <v/>
      </c>
    </row>
    <row r="25" spans="1:19" hidden="1">
      <c r="A25" s="5" t="s">
        <v>685</v>
      </c>
      <c r="B25" s="5" t="s">
        <v>163</v>
      </c>
      <c r="C25" s="75" t="str">
        <f xml:space="preserve"> IF( TRIM( meta_Classifiers[[#This Row],[Kind:src]] ) = "", "",
        INDEX( meta_Classifiers[Display Qualified], MATCH( meta_Classifiers[[#This Row],[Kind:src]], meta_Classifiers[ID], 0 ) ) )</f>
        <v>Class</v>
      </c>
      <c r="D25" s="75">
        <v>22</v>
      </c>
      <c r="E25" s="75" t="s">
        <v>142</v>
      </c>
      <c r="F25" s="75"/>
      <c r="G25" s="5" t="str">
        <f>IF(LEFT(meta_Classifiers[[#This Row],[ID]],1)="_",RIGHT(meta_Classifiers[[#This Row],[ID]],LEN(meta_Classifiers[[#This Row],[ID]])-1),IF(TRIM(meta_Classifiers[[#This Row],[Package]])="","",TRIM(LOWER(meta_Classifiers[[#This Row],[Package]]))&amp;"::")&amp;meta_Classifiers[[#This Row],[Display]])</f>
        <v>ContainmentReference</v>
      </c>
      <c r="H25" s="5" t="str">
        <f>IF(TRIM(meta_Classifiers[[#This Row],[Package]])="","",TRIM(LOWER(meta_Classifiers[[#This Row],[Package]]))&amp;"::")&amp;meta_Classifiers[[#This Row],[Display]]</f>
        <v>meta::ContainmentReference</v>
      </c>
      <c r="I25" s="5" t="str">
        <f>IF(meta_Classifiers[[#This Row],[Kind:src]]="_Class",meta_Classifiers[[#This Row],[Display Qualified]],"")</f>
        <v>ContainmentReference</v>
      </c>
      <c r="J25" s="5" t="str" cm="1">
        <f t="array" ref="J25">_xlfn.IFNA(INDEX(meta_Names[Camel Upper], MATCH(meta_Classifiers[[#This Row],[Name]],meta_Names[String],0)),camelCaseUpper(meta_Classifiers[[#This Row],[Name]]))</f>
        <v>ContainmentReference</v>
      </c>
      <c r="K25" s="92" t="s">
        <v>687</v>
      </c>
      <c r="L25" s="75"/>
      <c r="M25" s="5" t="s">
        <v>167</v>
      </c>
      <c r="N25" s="75" t="str">
        <f xml:space="preserve"> IF( TRIM( meta_Classifiers[[#This Row],[Class - Generalization:src]] ) = "", "",
        INDEX( meta_Classifiers[Display Qualified], MATCH( meta_Classifiers[[#This Row],[Class - Generalization:src]], meta_Classifiers[ID], 0 ) ) )</f>
        <v>Reference</v>
      </c>
      <c r="O25" s="78" t="s">
        <v>691</v>
      </c>
      <c r="P25" s="96"/>
      <c r="Q25" s="85" t="str">
        <f xml:space="preserve"> IF( TRIM( meta_Classifiers[[#This Row],[Class - Display Property:src]] ) = "", "",
        INDEX( meta_TypedModelElements[Display Qualified], MATCH( meta_Classifiers[[#This Row],[Class - Display Property:src]], meta_TypedModelElements[ID], 0 ) ) )</f>
        <v/>
      </c>
      <c r="R25"/>
      <c r="S25" s="85" t="str">
        <f xml:space="preserve"> IF( TRIM( meta_Classifiers[[#This Row],[Class - Business ID Property:src]] ) = "", "",
        INDEX( meta_TypedModelElements[Display Qualified], MATCH( meta_Classifiers[[#This Row],[Class - Business ID Property:src]], meta_TypedModelElements[ID], 0 ) ) )</f>
        <v/>
      </c>
    </row>
    <row r="26" spans="1:19" ht="45" hidden="1">
      <c r="A26" s="5" t="s">
        <v>686</v>
      </c>
      <c r="B26" s="5" t="s">
        <v>163</v>
      </c>
      <c r="C26" s="75" t="str">
        <f xml:space="preserve"> IF( TRIM( meta_Classifiers[[#This Row],[Kind:src]] ) = "", "",
        INDEX( meta_Classifiers[Display Qualified], MATCH( meta_Classifiers[[#This Row],[Kind:src]], meta_Classifiers[ID], 0 ) ) )</f>
        <v>Class</v>
      </c>
      <c r="D26" s="75">
        <v>23</v>
      </c>
      <c r="E26" s="75" t="s">
        <v>142</v>
      </c>
      <c r="F26" s="75"/>
      <c r="G26" s="5" t="str">
        <f>IF(LEFT(meta_Classifiers[[#This Row],[ID]],1)="_",RIGHT(meta_Classifiers[[#This Row],[ID]],LEN(meta_Classifiers[[#This Row],[ID]])-1),IF(TRIM(meta_Classifiers[[#This Row],[Package]])="","",TRIM(LOWER(meta_Classifiers[[#This Row],[Package]]))&amp;"::")&amp;meta_Classifiers[[#This Row],[Display]])</f>
        <v>CompositionReference</v>
      </c>
      <c r="H26" s="5" t="str">
        <f>IF(TRIM(meta_Classifiers[[#This Row],[Package]])="","",TRIM(LOWER(meta_Classifiers[[#This Row],[Package]]))&amp;"::")&amp;meta_Classifiers[[#This Row],[Display]]</f>
        <v>meta::CompositionReference</v>
      </c>
      <c r="I26" s="5" t="str">
        <f>IF(meta_Classifiers[[#This Row],[Kind:src]]="_Class",meta_Classifiers[[#This Row],[Display Qualified]],"")</f>
        <v>CompositionReference</v>
      </c>
      <c r="J26" s="5" t="str" cm="1">
        <f t="array" ref="J26">_xlfn.IFNA(INDEX(meta_Names[Camel Upper], MATCH(meta_Classifiers[[#This Row],[Name]],meta_Names[String],0)),camelCaseUpper(meta_Classifiers[[#This Row],[Name]]))</f>
        <v>CompositionReference</v>
      </c>
      <c r="K26" s="92" t="s">
        <v>688</v>
      </c>
      <c r="L26" s="75"/>
      <c r="M26" s="5" t="s">
        <v>685</v>
      </c>
      <c r="N26" s="75" t="str">
        <f xml:space="preserve"> IF( TRIM( meta_Classifiers[[#This Row],[Class - Generalization:src]] ) = "", "",
        INDEX( meta_Classifiers[Display Qualified], MATCH( meta_Classifiers[[#This Row],[Class - Generalization:src]], meta_Classifiers[ID], 0 ) ) )</f>
        <v>ContainmentReference</v>
      </c>
      <c r="O26" s="78" t="s">
        <v>692</v>
      </c>
      <c r="P26" s="96"/>
      <c r="Q26" s="85" t="str">
        <f xml:space="preserve"> IF( TRIM( meta_Classifiers[[#This Row],[Class - Display Property:src]] ) = "", "",
        INDEX( meta_TypedModelElements[Display Qualified], MATCH( meta_Classifiers[[#This Row],[Class - Display Property:src]], meta_TypedModelElements[ID], 0 ) ) )</f>
        <v/>
      </c>
      <c r="R26"/>
      <c r="S26" s="85" t="str">
        <f xml:space="preserve"> IF( TRIM( meta_Classifiers[[#This Row],[Class - Business ID Property:src]] ) = "", "",
        INDEX( meta_TypedModelElements[Display Qualified], MATCH( meta_Classifiers[[#This Row],[Class - Business ID Property:src]], meta_TypedModelElements[ID], 0 ) ) )</f>
        <v/>
      </c>
    </row>
    <row r="27" spans="1:19" ht="30" hidden="1">
      <c r="A27" s="5" t="s">
        <v>215</v>
      </c>
      <c r="B27" s="5" t="s">
        <v>163</v>
      </c>
      <c r="C27" s="75" t="str">
        <f xml:space="preserve"> IF( TRIM( meta_Classifiers[[#This Row],[Kind:src]] ) = "", "",
        INDEX( meta_Classifiers[Display Qualified], MATCH( meta_Classifiers[[#This Row],[Kind:src]], meta_Classifiers[ID], 0 ) ) )</f>
        <v>Class</v>
      </c>
      <c r="D27" s="75">
        <v>24</v>
      </c>
      <c r="E27" s="75" t="s">
        <v>142</v>
      </c>
      <c r="F27" s="75"/>
      <c r="G27" s="5" t="str">
        <f>IF(LEFT(meta_Classifiers[[#This Row],[ID]],1)="_",RIGHT(meta_Classifiers[[#This Row],[ID]],LEN(meta_Classifiers[[#This Row],[ID]])-1),IF(TRIM(meta_Classifiers[[#This Row],[Package]])="","",TRIM(LOWER(meta_Classifiers[[#This Row],[Package]]))&amp;"::")&amp;meta_Classifiers[[#This Row],[Display]])</f>
        <v>PropertyValue</v>
      </c>
      <c r="H27" s="5" t="str">
        <f>IF(TRIM(meta_Classifiers[[#This Row],[Package]])="","",TRIM(LOWER(meta_Classifiers[[#This Row],[Package]]))&amp;"::")&amp;meta_Classifiers[[#This Row],[Display]]</f>
        <v>meta::PropertyValue</v>
      </c>
      <c r="I27" s="5" t="str">
        <f>IF(meta_Classifiers[[#This Row],[Kind:src]]="_Class",meta_Classifiers[[#This Row],[Display Qualified]],"")</f>
        <v>PropertyValue</v>
      </c>
      <c r="J27" s="5" t="str" cm="1">
        <f t="array" ref="J27">_xlfn.IFNA(INDEX(meta_Names[Camel Upper], MATCH(meta_Classifiers[[#This Row],[Name]],meta_Names[String],0)),camelCaseUpper(meta_Classifiers[[#This Row],[Name]]))</f>
        <v>PropertyValue</v>
      </c>
      <c r="K27" s="92" t="s">
        <v>86</v>
      </c>
      <c r="L27" s="75"/>
      <c r="M27" s="5" t="s">
        <v>160</v>
      </c>
      <c r="N27" s="75" t="str">
        <f xml:space="preserve"> IF( TRIM( meta_Classifiers[[#This Row],[Class - Generalization:src]] ) = "", "",
        INDEX( meta_Classifiers[Display Qualified], MATCH( meta_Classifiers[[#This Row],[Class - Generalization:src]], meta_Classifiers[ID], 0 ) ) )</f>
        <v>Object</v>
      </c>
      <c r="O27" s="78" t="s">
        <v>85</v>
      </c>
      <c r="P27" s="96"/>
      <c r="Q27" s="85" t="str">
        <f xml:space="preserve"> IF( TRIM( meta_Classifiers[[#This Row],[Class - Display Property:src]] ) = "", "",
        INDEX( meta_TypedModelElements[Display Qualified], MATCH( meta_Classifiers[[#This Row],[Class - Display Property:src]], meta_TypedModelElements[ID], 0 ) ) )</f>
        <v/>
      </c>
      <c r="R27"/>
      <c r="S27" s="85" t="str">
        <f xml:space="preserve"> IF( TRIM( meta_Classifiers[[#This Row],[Class - Business ID Property:src]] ) = "", "",
        INDEX( meta_TypedModelElements[Display Qualified], MATCH( meta_Classifiers[[#This Row],[Class - Business ID Property:src]], meta_TypedModelElements[ID], 0 ) ) )</f>
        <v/>
      </c>
    </row>
    <row r="28" spans="1:19" ht="45" hidden="1">
      <c r="A28" s="5" t="s">
        <v>169</v>
      </c>
      <c r="B28" s="5" t="s">
        <v>163</v>
      </c>
      <c r="C28" s="75" t="str">
        <f xml:space="preserve"> IF( TRIM( meta_Classifiers[[#This Row],[Kind:src]] ) = "", "",
        INDEX( meta_Classifiers[Display Qualified], MATCH( meta_Classifiers[[#This Row],[Kind:src]], meta_Classifiers[ID], 0 ) ) )</f>
        <v>Class</v>
      </c>
      <c r="D28" s="75">
        <v>25</v>
      </c>
      <c r="E28" s="75" t="s">
        <v>142</v>
      </c>
      <c r="F28" s="75"/>
      <c r="G28" s="5" t="str">
        <f>IF(LEFT(meta_Classifiers[[#This Row],[ID]],1)="_",RIGHT(meta_Classifiers[[#This Row],[ID]],LEN(meta_Classifiers[[#This Row],[ID]])-1),IF(TRIM(meta_Classifiers[[#This Row],[Package]])="","",TRIM(LOWER(meta_Classifiers[[#This Row],[Package]]))&amp;"::")&amp;meta_Classifiers[[#This Row],[Display]])</f>
        <v>Table</v>
      </c>
      <c r="H28" s="5" t="str">
        <f>IF(TRIM(meta_Classifiers[[#This Row],[Package]])="","",TRIM(LOWER(meta_Classifiers[[#This Row],[Package]]))&amp;"::")&amp;meta_Classifiers[[#This Row],[Display]]</f>
        <v>meta::Table</v>
      </c>
      <c r="I28" s="5" t="str">
        <f>IF(meta_Classifiers[[#This Row],[Kind:src]]="_Class",meta_Classifiers[[#This Row],[Display Qualified]],"")</f>
        <v>Table</v>
      </c>
      <c r="J28" s="5" t="str" cm="1">
        <f t="array" ref="J28">_xlfn.IFNA(INDEX(meta_Names[Camel Upper], MATCH(meta_Classifiers[[#This Row],[Name]],meta_Names[String],0)),camelCaseUpper(meta_Classifiers[[#This Row],[Name]]))</f>
        <v>Table</v>
      </c>
      <c r="K28" s="92" t="s">
        <v>8</v>
      </c>
      <c r="L28" s="75"/>
      <c r="M28" s="5" t="s">
        <v>210</v>
      </c>
      <c r="N28" s="75" t="str">
        <f xml:space="preserve"> IF( TRIM( meta_Classifiers[[#This Row],[Class - Generalization:src]] ) = "", "",
        INDEX( meta_Classifiers[Display Qualified], MATCH( meta_Classifiers[[#This Row],[Class - Generalization:src]], meta_Classifiers[ID], 0 ) ) )</f>
        <v>NamedElement</v>
      </c>
      <c r="O28" s="78" t="s">
        <v>170</v>
      </c>
      <c r="P28" s="96"/>
      <c r="Q28" s="85" t="str">
        <f xml:space="preserve"> IF( TRIM( meta_Classifiers[[#This Row],[Class - Display Property:src]] ) = "", "",
        INDEX( meta_TypedModelElements[Display Qualified], MATCH( meta_Classifiers[[#This Row],[Class - Display Property:src]], meta_TypedModelElements[ID], 0 ) ) )</f>
        <v/>
      </c>
      <c r="R28"/>
      <c r="S28" s="85" t="str">
        <f xml:space="preserve"> IF( TRIM( meta_Classifiers[[#This Row],[Class - Business ID Property:src]] ) = "", "",
        INDEX( meta_TypedModelElements[Display Qualified], MATCH( meta_Classifiers[[#This Row],[Class - Business ID Property:src]], meta_TypedModelElements[ID], 0 ) ) )</f>
        <v/>
      </c>
    </row>
    <row r="29" spans="1:19" hidden="1">
      <c r="A29" s="5" t="s">
        <v>541</v>
      </c>
      <c r="B29" s="5" t="s">
        <v>163</v>
      </c>
      <c r="C29" s="75" t="str">
        <f xml:space="preserve"> IF( TRIM( meta_Classifiers[[#This Row],[Kind:src]] ) = "", "",
        INDEX( meta_Classifiers[Display Qualified], MATCH( meta_Classifiers[[#This Row],[Kind:src]], meta_Classifiers[ID], 0 ) ) )</f>
        <v>Class</v>
      </c>
      <c r="D29" s="75">
        <v>26</v>
      </c>
      <c r="E29" s="75" t="s">
        <v>142</v>
      </c>
      <c r="F29" s="75"/>
      <c r="G29" s="5" t="str">
        <f>IF(LEFT(meta_Classifiers[[#This Row],[ID]],1)="_",RIGHT(meta_Classifiers[[#This Row],[ID]],LEN(meta_Classifiers[[#This Row],[ID]])-1),IF(TRIM(meta_Classifiers[[#This Row],[Package]])="","",TRIM(LOWER(meta_Classifiers[[#This Row],[Package]]))&amp;"::")&amp;meta_Classifiers[[#This Row],[Display]])</f>
        <v>ExcelTable</v>
      </c>
      <c r="H29" s="5" t="str">
        <f>IF(TRIM(meta_Classifiers[[#This Row],[Package]])="","",TRIM(LOWER(meta_Classifiers[[#This Row],[Package]]))&amp;"::")&amp;meta_Classifiers[[#This Row],[Display]]</f>
        <v>meta::ExcelTable</v>
      </c>
      <c r="I29" s="5" t="str">
        <f>IF(meta_Classifiers[[#This Row],[Kind:src]]="_Class",meta_Classifiers[[#This Row],[Display Qualified]],"")</f>
        <v>ExcelTable</v>
      </c>
      <c r="J29" s="5" t="str" cm="1">
        <f t="array" ref="J29">_xlfn.IFNA(INDEX(meta_Names[Camel Upper], MATCH(meta_Classifiers[[#This Row],[Name]],meta_Names[String],0)),camelCaseUpper(meta_Classifiers[[#This Row],[Name]]))</f>
        <v>ExcelTable</v>
      </c>
      <c r="K29" s="92" t="s">
        <v>542</v>
      </c>
      <c r="L29" s="75"/>
      <c r="M29" s="5" t="s">
        <v>169</v>
      </c>
      <c r="N29" s="75" t="str">
        <f xml:space="preserve"> IF( TRIM( meta_Classifiers[[#This Row],[Class - Generalization:src]] ) = "", "",
        INDEX( meta_Classifiers[Display Qualified], MATCH( meta_Classifiers[[#This Row],[Class - Generalization:src]], meta_Classifiers[ID], 0 ) ) )</f>
        <v>Table</v>
      </c>
      <c r="O29" s="78"/>
      <c r="P29" s="96"/>
      <c r="Q29" s="85" t="str">
        <f xml:space="preserve"> IF( TRIM( meta_Classifiers[[#This Row],[Class - Display Property:src]] ) = "", "",
        INDEX( meta_TypedModelElements[Display Qualified], MATCH( meta_Classifiers[[#This Row],[Class - Display Property:src]], meta_TypedModelElements[ID], 0 ) ) )</f>
        <v/>
      </c>
      <c r="R29"/>
      <c r="S29" s="85" t="str">
        <f xml:space="preserve"> IF( TRIM( meta_Classifiers[[#This Row],[Class - Business ID Property:src]] ) = "", "",
        INDEX( meta_TypedModelElements[Display Qualified], MATCH( meta_Classifiers[[#This Row],[Class - Business ID Property:src]], meta_TypedModelElements[ID], 0 ) ) )</f>
        <v/>
      </c>
    </row>
    <row r="30" spans="1:19" ht="270" hidden="1">
      <c r="A30" s="5" t="s">
        <v>457</v>
      </c>
      <c r="B30" s="5" t="s">
        <v>163</v>
      </c>
      <c r="C30" s="75" t="str">
        <f xml:space="preserve"> IF( TRIM( meta_Classifiers[[#This Row],[Kind:src]] ) = "", "",
        INDEX( meta_Classifiers[Display Qualified], MATCH( meta_Classifiers[[#This Row],[Kind:src]], meta_Classifiers[ID], 0 ) ) )</f>
        <v>Class</v>
      </c>
      <c r="D30" s="75">
        <v>27</v>
      </c>
      <c r="E30" s="75" t="s">
        <v>142</v>
      </c>
      <c r="F30" s="75"/>
      <c r="G30" s="5" t="str">
        <f>IF(LEFT(meta_Classifiers[[#This Row],[ID]],1)="_",RIGHT(meta_Classifiers[[#This Row],[ID]],LEN(meta_Classifiers[[#This Row],[ID]])-1),IF(TRIM(meta_Classifiers[[#This Row],[Package]])="","",TRIM(LOWER(meta_Classifiers[[#This Row],[Package]]))&amp;"::")&amp;meta_Classifiers[[#This Row],[Display]])</f>
        <v>Column</v>
      </c>
      <c r="H30" s="5" t="str">
        <f>IF(TRIM(meta_Classifiers[[#This Row],[Package]])="","",TRIM(LOWER(meta_Classifiers[[#This Row],[Package]]))&amp;"::")&amp;meta_Classifiers[[#This Row],[Display]]</f>
        <v>meta::Column</v>
      </c>
      <c r="I30" s="5" t="str">
        <f>IF(meta_Classifiers[[#This Row],[Kind:src]]="_Class",meta_Classifiers[[#This Row],[Display Qualified]],"")</f>
        <v>Column</v>
      </c>
      <c r="J30" s="5" t="str" cm="1">
        <f t="array" ref="J30">_xlfn.IFNA(INDEX(meta_Names[Camel Upper], MATCH(meta_Classifiers[[#This Row],[Name]],meta_Names[String],0)),camelCaseUpper(meta_Classifiers[[#This Row],[Name]]))</f>
        <v>Column</v>
      </c>
      <c r="K30" s="92" t="s">
        <v>458</v>
      </c>
      <c r="L30" s="75"/>
      <c r="M30" s="5" t="s">
        <v>210</v>
      </c>
      <c r="N30" s="75" t="str">
        <f xml:space="preserve"> IF( TRIM( meta_Classifiers[[#This Row],[Class - Generalization:src]] ) = "", "",
        INDEX( meta_Classifiers[Display Qualified], MATCH( meta_Classifiers[[#This Row],[Class - Generalization:src]], meta_Classifiers[ID], 0 ) ) )</f>
        <v>NamedElement</v>
      </c>
      <c r="O30" s="78" t="s">
        <v>459</v>
      </c>
      <c r="P30" s="96"/>
      <c r="Q30" s="85" t="str">
        <f xml:space="preserve"> IF( TRIM( meta_Classifiers[[#This Row],[Class - Display Property:src]] ) = "", "",
        INDEX( meta_TypedModelElements[Display Qualified], MATCH( meta_Classifiers[[#This Row],[Class - Display Property:src]], meta_TypedModelElements[ID], 0 ) ) )</f>
        <v/>
      </c>
      <c r="R30"/>
      <c r="S30" s="85" t="str">
        <f xml:space="preserve"> IF( TRIM( meta_Classifiers[[#This Row],[Class - Business ID Property:src]] ) = "", "",
        INDEX( meta_TypedModelElements[Display Qualified], MATCH( meta_Classifiers[[#This Row],[Class - Business ID Property:src]], meta_TypedModelElements[ID], 0 ) ) )</f>
        <v/>
      </c>
    </row>
    <row r="31" spans="1:19" hidden="1">
      <c r="A31" s="5" t="s">
        <v>546</v>
      </c>
      <c r="B31" s="5" t="s">
        <v>163</v>
      </c>
      <c r="C31" s="75" t="str">
        <f xml:space="preserve"> IF( TRIM( meta_Classifiers[[#This Row],[Kind:src]] ) = "", "",
        INDEX( meta_Classifiers[Display Qualified], MATCH( meta_Classifiers[[#This Row],[Kind:src]], meta_Classifiers[ID], 0 ) ) )</f>
        <v>Class</v>
      </c>
      <c r="D31" s="75">
        <v>28</v>
      </c>
      <c r="E31" s="75" t="s">
        <v>142</v>
      </c>
      <c r="F31" s="75"/>
      <c r="G31" s="5" t="str">
        <f>IF(LEFT(meta_Classifiers[[#This Row],[ID]],1)="_",RIGHT(meta_Classifiers[[#This Row],[ID]],LEN(meta_Classifiers[[#This Row],[ID]])-1),IF(TRIM(meta_Classifiers[[#This Row],[Package]])="","",TRIM(LOWER(meta_Classifiers[[#This Row],[Package]]))&amp;"::")&amp;meta_Classifiers[[#This Row],[Display]])</f>
        <v>ExcelColumn</v>
      </c>
      <c r="H31" s="5" t="str">
        <f>IF(TRIM(meta_Classifiers[[#This Row],[Package]])="","",TRIM(LOWER(meta_Classifiers[[#This Row],[Package]]))&amp;"::")&amp;meta_Classifiers[[#This Row],[Display]]</f>
        <v>meta::ExcelColumn</v>
      </c>
      <c r="I31" s="5" t="str">
        <f>IF(meta_Classifiers[[#This Row],[Kind:src]]="_Class",meta_Classifiers[[#This Row],[Display Qualified]],"")</f>
        <v>ExcelColumn</v>
      </c>
      <c r="J31" s="5" t="str" cm="1">
        <f t="array" ref="J31">_xlfn.IFNA(INDEX(meta_Names[Camel Upper], MATCH(meta_Classifiers[[#This Row],[Name]],meta_Names[String],0)),camelCaseUpper(meta_Classifiers[[#This Row],[Name]]))</f>
        <v>ExcelColumn</v>
      </c>
      <c r="K31" s="92" t="s">
        <v>547</v>
      </c>
      <c r="L31" s="75"/>
      <c r="M31" s="5" t="s">
        <v>457</v>
      </c>
      <c r="N31" s="75" t="str">
        <f xml:space="preserve"> IF( TRIM( meta_Classifiers[[#This Row],[Class - Generalization:src]] ) = "", "",
        INDEX( meta_Classifiers[Display Qualified], MATCH( meta_Classifiers[[#This Row],[Class - Generalization:src]], meta_Classifiers[ID], 0 ) ) )</f>
        <v>Column</v>
      </c>
      <c r="O31" s="78"/>
      <c r="P31" s="96"/>
      <c r="Q31" s="85" t="str">
        <f xml:space="preserve"> IF( TRIM( meta_Classifiers[[#This Row],[Class - Display Property:src]] ) = "", "",
        INDEX( meta_TypedModelElements[Display Qualified], MATCH( meta_Classifiers[[#This Row],[Class - Display Property:src]], meta_TypedModelElements[ID], 0 ) ) )</f>
        <v/>
      </c>
      <c r="R31"/>
      <c r="S31" s="85" t="str">
        <f xml:space="preserve"> IF( TRIM( meta_Classifiers[[#This Row],[Class - Business ID Property:src]] ) = "", "",
        INDEX( meta_TypedModelElements[Display Qualified], MATCH( meta_Classifiers[[#This Row],[Class - Business ID Property:src]], meta_TypedModelElements[ID], 0 ) ) )</f>
        <v/>
      </c>
    </row>
    <row r="32" spans="1:19" hidden="1">
      <c r="A32" s="5" t="s">
        <v>216</v>
      </c>
      <c r="B32" s="5" t="s">
        <v>163</v>
      </c>
      <c r="C32" s="75" t="str">
        <f xml:space="preserve"> IF( TRIM( meta_Classifiers[[#This Row],[Kind:src]] ) = "", "",
        INDEX( meta_Classifiers[Display Qualified], MATCH( meta_Classifiers[[#This Row],[Kind:src]], meta_Classifiers[ID], 0 ) ) )</f>
        <v>Class</v>
      </c>
      <c r="D32" s="75">
        <v>29</v>
      </c>
      <c r="E32" s="75" t="s">
        <v>142</v>
      </c>
      <c r="F32" s="75"/>
      <c r="G32" s="5" t="str">
        <f>IF(LEFT(meta_Classifiers[[#This Row],[ID]],1)="_",RIGHT(meta_Classifiers[[#This Row],[ID]],LEN(meta_Classifiers[[#This Row],[ID]])-1),IF(TRIM(meta_Classifiers[[#This Row],[Package]])="","",TRIM(LOWER(meta_Classifiers[[#This Row],[Package]]))&amp;"::")&amp;meta_Classifiers[[#This Row],[Display]])</f>
        <v>Literal</v>
      </c>
      <c r="H32" s="5" t="str">
        <f>IF(TRIM(meta_Classifiers[[#This Row],[Package]])="","",TRIM(LOWER(meta_Classifiers[[#This Row],[Package]]))&amp;"::")&amp;meta_Classifiers[[#This Row],[Display]]</f>
        <v>meta::Literal</v>
      </c>
      <c r="I32" s="5" t="str">
        <f>IF(meta_Classifiers[[#This Row],[Kind:src]]="_Class",meta_Classifiers[[#This Row],[Display Qualified]],"")</f>
        <v>Literal</v>
      </c>
      <c r="J32" s="5" t="str" cm="1">
        <f t="array" ref="J32">_xlfn.IFNA(INDEX(meta_Names[Camel Upper], MATCH(meta_Classifiers[[#This Row],[Name]],meta_Names[String],0)),camelCaseUpper(meta_Classifiers[[#This Row],[Name]]))</f>
        <v>Literal</v>
      </c>
      <c r="K32" s="92" t="s">
        <v>46</v>
      </c>
      <c r="L32" s="75" t="s">
        <v>232</v>
      </c>
      <c r="M32" s="5" t="s">
        <v>210</v>
      </c>
      <c r="N32" s="75" t="str">
        <f xml:space="preserve"> IF( TRIM( meta_Classifiers[[#This Row],[Class - Generalization:src]] ) = "", "",
        INDEX( meta_Classifiers[Display Qualified], MATCH( meta_Classifiers[[#This Row],[Class - Generalization:src]], meta_Classifiers[ID], 0 ) ) )</f>
        <v>NamedElement</v>
      </c>
      <c r="O32" s="78"/>
      <c r="P32" s="96"/>
      <c r="Q32" s="85" t="str">
        <f xml:space="preserve"> IF( TRIM( meta_Classifiers[[#This Row],[Class - Display Property:src]] ) = "", "",
        INDEX( meta_TypedModelElements[Display Qualified], MATCH( meta_Classifiers[[#This Row],[Class - Display Property:src]], meta_TypedModelElements[ID], 0 ) ) )</f>
        <v/>
      </c>
      <c r="R32"/>
      <c r="S32" s="85" t="str">
        <f xml:space="preserve"> IF( TRIM( meta_Classifiers[[#This Row],[Class - Business ID Property:src]] ) = "", "",
        INDEX( meta_TypedModelElements[Display Qualified], MATCH( meta_Classifiers[[#This Row],[Class - Business ID Property:src]], meta_TypedModelElements[ID], 0 ) ) )</f>
        <v/>
      </c>
    </row>
    <row r="33" spans="1:19" ht="409.5" hidden="1">
      <c r="A33" s="5" t="s">
        <v>218</v>
      </c>
      <c r="B33" s="5" t="s">
        <v>163</v>
      </c>
      <c r="C33" s="75" t="str">
        <f xml:space="preserve"> IF( TRIM( meta_Classifiers[[#This Row],[Kind:src]] ) = "", "",
        INDEX( meta_Classifiers[Display Qualified], MATCH( meta_Classifiers[[#This Row],[Kind:src]], meta_Classifiers[ID], 0 ) ) )</f>
        <v>Class</v>
      </c>
      <c r="D33" s="75">
        <v>30</v>
      </c>
      <c r="E33" s="75" t="s">
        <v>142</v>
      </c>
      <c r="F33" s="75"/>
      <c r="G33" s="5" t="str">
        <f>IF(LEFT(meta_Classifiers[[#This Row],[ID]],1)="_",RIGHT(meta_Classifiers[[#This Row],[ID]],LEN(meta_Classifiers[[#This Row],[ID]])-1),IF(TRIM(meta_Classifiers[[#This Row],[Package]])="","",TRIM(LOWER(meta_Classifiers[[#This Row],[Package]]))&amp;"::")&amp;meta_Classifiers[[#This Row],[Display]])</f>
        <v>RulePartType</v>
      </c>
      <c r="H33" s="5" t="str">
        <f>IF(TRIM(meta_Classifiers[[#This Row],[Package]])="","",TRIM(LOWER(meta_Classifiers[[#This Row],[Package]]))&amp;"::")&amp;meta_Classifiers[[#This Row],[Display]]</f>
        <v>meta::RulePartType</v>
      </c>
      <c r="I33" s="5" t="str">
        <f>IF(meta_Classifiers[[#This Row],[Kind:src]]="_Class",meta_Classifiers[[#This Row],[Display Qualified]],"")</f>
        <v>RulePartType</v>
      </c>
      <c r="J33" s="5" t="str" cm="1">
        <f t="array" ref="J33">_xlfn.IFNA(INDEX(meta_Names[Camel Upper], MATCH(meta_Classifiers[[#This Row],[Name]],meta_Names[String],0)),camelCaseUpper(meta_Classifiers[[#This Row],[Name]]))</f>
        <v>RulePartType</v>
      </c>
      <c r="K33" s="92" t="s">
        <v>44</v>
      </c>
      <c r="L33" s="75"/>
      <c r="M33" s="5" t="s">
        <v>216</v>
      </c>
      <c r="N33" s="75" t="str">
        <f xml:space="preserve"> IF( TRIM( meta_Classifiers[[#This Row],[Class - Generalization:src]] ) = "", "",
        INDEX( meta_Classifiers[Display Qualified], MATCH( meta_Classifiers[[#This Row],[Class - Generalization:src]], meta_Classifiers[ID], 0 ) ) )</f>
        <v>Literal</v>
      </c>
      <c r="O33" s="78" t="s">
        <v>138</v>
      </c>
      <c r="P33" s="96"/>
      <c r="Q33" s="85" t="str">
        <f xml:space="preserve"> IF( TRIM( meta_Classifiers[[#This Row],[Class - Display Property:src]] ) = "", "",
        INDEX( meta_TypedModelElements[Display Qualified], MATCH( meta_Classifiers[[#This Row],[Class - Display Property:src]], meta_TypedModelElements[ID], 0 ) ) )</f>
        <v/>
      </c>
      <c r="R33"/>
      <c r="S33" s="85" t="str">
        <f xml:space="preserve"> IF( TRIM( meta_Classifiers[[#This Row],[Class - Business ID Property:src]] ) = "", "",
        INDEX( meta_TypedModelElements[Display Qualified], MATCH( meta_Classifiers[[#This Row],[Class - Business ID Property:src]], meta_TypedModelElements[ID], 0 ) ) )</f>
        <v/>
      </c>
    </row>
    <row r="34" spans="1:19" ht="345" hidden="1">
      <c r="A34" s="5" t="s">
        <v>219</v>
      </c>
      <c r="B34" s="5" t="s">
        <v>163</v>
      </c>
      <c r="C34" s="75" t="str">
        <f xml:space="preserve"> IF( TRIM( meta_Classifiers[[#This Row],[Kind:src]] ) = "", "",
        INDEX( meta_Classifiers[Display Qualified], MATCH( meta_Classifiers[[#This Row],[Kind:src]], meta_Classifiers[ID], 0 ) ) )</f>
        <v>Class</v>
      </c>
      <c r="D34" s="75">
        <v>31</v>
      </c>
      <c r="E34" s="75" t="s">
        <v>142</v>
      </c>
      <c r="F34" s="75"/>
      <c r="G34" s="5" t="str">
        <f>IF(LEFT(meta_Classifiers[[#This Row],[ID]],1)="_",RIGHT(meta_Classifiers[[#This Row],[ID]],LEN(meta_Classifiers[[#This Row],[ID]])-1),IF(TRIM(meta_Classifiers[[#This Row],[Package]])="","",TRIM(LOWER(meta_Classifiers[[#This Row],[Package]]))&amp;"::")&amp;meta_Classifiers[[#This Row],[Display]])</f>
        <v>RuleBaseOption</v>
      </c>
      <c r="H34" s="5" t="str">
        <f>IF(TRIM(meta_Classifiers[[#This Row],[Package]])="","",TRIM(LOWER(meta_Classifiers[[#This Row],[Package]]))&amp;"::")&amp;meta_Classifiers[[#This Row],[Display]]</f>
        <v>meta::RuleBaseOption</v>
      </c>
      <c r="I34" s="5" t="str">
        <f>IF(meta_Classifiers[[#This Row],[Kind:src]]="_Class",meta_Classifiers[[#This Row],[Display Qualified]],"")</f>
        <v>RuleBaseOption</v>
      </c>
      <c r="J34" s="5" t="str" cm="1">
        <f t="array" ref="J34">_xlfn.IFNA(INDEX(meta_Names[Camel Upper], MATCH(meta_Classifiers[[#This Row],[Name]],meta_Names[String],0)),camelCaseUpper(meta_Classifiers[[#This Row],[Name]]))</f>
        <v>RuleBaseOption</v>
      </c>
      <c r="K34" s="92" t="s">
        <v>45</v>
      </c>
      <c r="L34" s="75"/>
      <c r="M34" s="5" t="s">
        <v>216</v>
      </c>
      <c r="N34" s="75" t="str">
        <f xml:space="preserve"> IF( TRIM( meta_Classifiers[[#This Row],[Class - Generalization:src]] ) = "", "",
        INDEX( meta_Classifiers[Display Qualified], MATCH( meta_Classifiers[[#This Row],[Class - Generalization:src]], meta_Classifiers[ID], 0 ) ) )</f>
        <v>Literal</v>
      </c>
      <c r="O34" s="78" t="s">
        <v>118</v>
      </c>
      <c r="P34" s="96"/>
      <c r="Q34" s="85" t="str">
        <f xml:space="preserve"> IF( TRIM( meta_Classifiers[[#This Row],[Class - Display Property:src]] ) = "", "",
        INDEX( meta_TypedModelElements[Display Qualified], MATCH( meta_Classifiers[[#This Row],[Class - Display Property:src]], meta_TypedModelElements[ID], 0 ) ) )</f>
        <v/>
      </c>
      <c r="R34"/>
      <c r="S34" s="85" t="str">
        <f xml:space="preserve"> IF( TRIM( meta_Classifiers[[#This Row],[Class - Business ID Property:src]] ) = "", "",
        INDEX( meta_TypedModelElements[Display Qualified], MATCH( meta_Classifiers[[#This Row],[Class - Business ID Property:src]], meta_TypedModelElements[ID], 0 ) ) )</f>
        <v/>
      </c>
    </row>
    <row r="35" spans="1:19" ht="90" hidden="1">
      <c r="A35" s="5" t="s">
        <v>220</v>
      </c>
      <c r="B35" s="5" t="s">
        <v>163</v>
      </c>
      <c r="C35" s="75" t="str">
        <f xml:space="preserve"> IF( TRIM( meta_Classifiers[[#This Row],[Kind:src]] ) = "", "",
        INDEX( meta_Classifiers[Display Qualified], MATCH( meta_Classifiers[[#This Row],[Kind:src]], meta_Classifiers[ID], 0 ) ) )</f>
        <v>Class</v>
      </c>
      <c r="D35" s="75">
        <v>32</v>
      </c>
      <c r="E35" s="75" t="s">
        <v>142</v>
      </c>
      <c r="F35" s="75"/>
      <c r="G35" s="5" t="str">
        <f>IF(LEFT(meta_Classifiers[[#This Row],[ID]],1)="_",RIGHT(meta_Classifiers[[#This Row],[ID]],LEN(meta_Classifiers[[#This Row],[ID]])-1),IF(TRIM(meta_Classifiers[[#This Row],[Package]])="","",TRIM(LOWER(meta_Classifiers[[#This Row],[Package]]))&amp;"::")&amp;meta_Classifiers[[#This Row],[Display]])</f>
        <v>UpdateMode</v>
      </c>
      <c r="H35" s="5" t="str">
        <f>IF(TRIM(meta_Classifiers[[#This Row],[Package]])="","",TRIM(LOWER(meta_Classifiers[[#This Row],[Package]]))&amp;"::")&amp;meta_Classifiers[[#This Row],[Display]]</f>
        <v>meta::UpdateMode</v>
      </c>
      <c r="I35" s="5" t="str">
        <f>IF(meta_Classifiers[[#This Row],[Kind:src]]="_Class",meta_Classifiers[[#This Row],[Display Qualified]],"")</f>
        <v>UpdateMode</v>
      </c>
      <c r="J35" s="5" t="str" cm="1">
        <f t="array" ref="J35">_xlfn.IFNA(INDEX(meta_Names[Camel Upper], MATCH(meta_Classifiers[[#This Row],[Name]],meta_Names[String],0)),camelCaseUpper(meta_Classifiers[[#This Row],[Name]]))</f>
        <v>UpdateMode</v>
      </c>
      <c r="K35" s="92" t="s">
        <v>98</v>
      </c>
      <c r="L35" s="75"/>
      <c r="M35" s="5" t="s">
        <v>216</v>
      </c>
      <c r="N35" s="75" t="str">
        <f xml:space="preserve"> IF( TRIM( meta_Classifiers[[#This Row],[Class - Generalization:src]] ) = "", "",
        INDEX( meta_Classifiers[Display Qualified], MATCH( meta_Classifiers[[#This Row],[Class - Generalization:src]], meta_Classifiers[ID], 0 ) ) )</f>
        <v>Literal</v>
      </c>
      <c r="O35" s="78" t="s">
        <v>99</v>
      </c>
      <c r="P35" s="96"/>
      <c r="Q35" s="85" t="str">
        <f xml:space="preserve"> IF( TRIM( meta_Classifiers[[#This Row],[Class - Display Property:src]] ) = "", "",
        INDEX( meta_TypedModelElements[Display Qualified], MATCH( meta_Classifiers[[#This Row],[Class - Display Property:src]], meta_TypedModelElements[ID], 0 ) ) )</f>
        <v/>
      </c>
      <c r="R35"/>
      <c r="S35" s="85" t="str">
        <f xml:space="preserve"> IF( TRIM( meta_Classifiers[[#This Row],[Class - Business ID Property:src]] ) = "", "",
        INDEX( meta_TypedModelElements[Display Qualified], MATCH( meta_Classifiers[[#This Row],[Class - Business ID Property:src]], meta_TypedModelElements[ID], 0 ) ) )</f>
        <v/>
      </c>
    </row>
    <row r="36" spans="1:19" ht="30" hidden="1">
      <c r="A36" s="5" t="s">
        <v>221</v>
      </c>
      <c r="B36" s="5" t="s">
        <v>163</v>
      </c>
      <c r="C36" s="75" t="str">
        <f xml:space="preserve"> IF( TRIM( meta_Classifiers[[#This Row],[Kind:src]] ) = "", "",
        INDEX( meta_Classifiers[Display Qualified], MATCH( meta_Classifiers[[#This Row],[Kind:src]], meta_Classifiers[ID], 0 ) ) )</f>
        <v>Class</v>
      </c>
      <c r="D36" s="75">
        <v>33</v>
      </c>
      <c r="E36" s="75" t="s">
        <v>142</v>
      </c>
      <c r="F36" s="75"/>
      <c r="G36" s="5" t="str">
        <f>IF(LEFT(meta_Classifiers[[#This Row],[ID]],1)="_",RIGHT(meta_Classifiers[[#This Row],[ID]],LEN(meta_Classifiers[[#This Row],[ID]])-1),IF(TRIM(meta_Classifiers[[#This Row],[Package]])="","",TRIM(LOWER(meta_Classifiers[[#This Row],[Package]]))&amp;"::")&amp;meta_Classifiers[[#This Row],[Display]])</f>
        <v>Operator</v>
      </c>
      <c r="H36" s="5" t="str">
        <f>IF(TRIM(meta_Classifiers[[#This Row],[Package]])="","",TRIM(LOWER(meta_Classifiers[[#This Row],[Package]]))&amp;"::")&amp;meta_Classifiers[[#This Row],[Display]]</f>
        <v>meta::Operator</v>
      </c>
      <c r="I36" s="5" t="str">
        <f>IF(meta_Classifiers[[#This Row],[Kind:src]]="_Class",meta_Classifiers[[#This Row],[Display Qualified]],"")</f>
        <v>Operator</v>
      </c>
      <c r="J36" s="5" t="str" cm="1">
        <f t="array" ref="J36">_xlfn.IFNA(INDEX(meta_Names[Camel Upper], MATCH(meta_Classifiers[[#This Row],[Name]],meta_Names[String],0)),camelCaseUpper(meta_Classifiers[[#This Row],[Name]]))</f>
        <v>Operator</v>
      </c>
      <c r="K36" s="92" t="s">
        <v>29</v>
      </c>
      <c r="L36" s="75"/>
      <c r="M36" s="5" t="s">
        <v>216</v>
      </c>
      <c r="N36" s="75" t="str">
        <f xml:space="preserve"> IF( TRIM( meta_Classifiers[[#This Row],[Class - Generalization:src]] ) = "", "",
        INDEX( meta_Classifiers[Display Qualified], MATCH( meta_Classifiers[[#This Row],[Class - Generalization:src]], meta_Classifiers[ID], 0 ) ) )</f>
        <v>Literal</v>
      </c>
      <c r="O36" s="78" t="s">
        <v>93</v>
      </c>
      <c r="P36" s="96"/>
      <c r="Q36" s="85" t="str">
        <f xml:space="preserve"> IF( TRIM( meta_Classifiers[[#This Row],[Class - Display Property:src]] ) = "", "",
        INDEX( meta_TypedModelElements[Display Qualified], MATCH( meta_Classifiers[[#This Row],[Class - Display Property:src]], meta_TypedModelElements[ID], 0 ) ) )</f>
        <v/>
      </c>
      <c r="R36"/>
      <c r="S36" s="85" t="str">
        <f xml:space="preserve"> IF( TRIM( meta_Classifiers[[#This Row],[Class - Business ID Property:src]] ) = "", "",
        INDEX( meta_TypedModelElements[Display Qualified], MATCH( meta_Classifiers[[#This Row],[Class - Business ID Property:src]], meta_TypedModelElements[ID], 0 ) ) )</f>
        <v/>
      </c>
    </row>
    <row r="37" spans="1:19" ht="45" hidden="1">
      <c r="A37" s="5" t="s">
        <v>222</v>
      </c>
      <c r="B37" s="5" t="s">
        <v>163</v>
      </c>
      <c r="C37" s="75" t="str">
        <f xml:space="preserve"> IF( TRIM( meta_Classifiers[[#This Row],[Kind:src]] ) = "", "",
        INDEX( meta_Classifiers[Display Qualified], MATCH( meta_Classifiers[[#This Row],[Kind:src]], meta_Classifiers[ID], 0 ) ) )</f>
        <v>Class</v>
      </c>
      <c r="D37" s="75">
        <v>34</v>
      </c>
      <c r="E37" s="75" t="s">
        <v>142</v>
      </c>
      <c r="F37" s="75"/>
      <c r="G37" s="5" t="str">
        <f>IF(LEFT(meta_Classifiers[[#This Row],[ID]],1)="_",RIGHT(meta_Classifiers[[#This Row],[ID]],LEN(meta_Classifiers[[#This Row],[ID]])-1),IF(TRIM(meta_Classifiers[[#This Row],[Package]])="","",TRIM(LOWER(meta_Classifiers[[#This Row],[Package]]))&amp;"::")&amp;meta_Classifiers[[#This Row],[Display]])</f>
        <v>Processor</v>
      </c>
      <c r="H37" s="5" t="str">
        <f>IF(TRIM(meta_Classifiers[[#This Row],[Package]])="","",TRIM(LOWER(meta_Classifiers[[#This Row],[Package]]))&amp;"::")&amp;meta_Classifiers[[#This Row],[Display]]</f>
        <v>meta::Processor</v>
      </c>
      <c r="I37" s="5" t="str">
        <f>IF(meta_Classifiers[[#This Row],[Kind:src]]="_Class",meta_Classifiers[[#This Row],[Display Qualified]],"")</f>
        <v>Processor</v>
      </c>
      <c r="J37" s="5" t="str" cm="1">
        <f t="array" ref="J37">_xlfn.IFNA(INDEX(meta_Names[Camel Upper], MATCH(meta_Classifiers[[#This Row],[Name]],meta_Names[String],0)),camelCaseUpper(meta_Classifiers[[#This Row],[Name]]))</f>
        <v>Processor</v>
      </c>
      <c r="K37" s="92" t="s">
        <v>28</v>
      </c>
      <c r="L37" s="75"/>
      <c r="M37" s="5" t="s">
        <v>216</v>
      </c>
      <c r="N37" s="75" t="str">
        <f xml:space="preserve"> IF( TRIM( meta_Classifiers[[#This Row],[Class - Generalization:src]] ) = "", "",
        INDEX( meta_Classifiers[Display Qualified], MATCH( meta_Classifiers[[#This Row],[Class - Generalization:src]], meta_Classifiers[ID], 0 ) ) )</f>
        <v>Literal</v>
      </c>
      <c r="O37" s="78" t="s">
        <v>94</v>
      </c>
      <c r="P37" s="96"/>
      <c r="Q37" s="85" t="str">
        <f xml:space="preserve"> IF( TRIM( meta_Classifiers[[#This Row],[Class - Display Property:src]] ) = "", "",
        INDEX( meta_TypedModelElements[Display Qualified], MATCH( meta_Classifiers[[#This Row],[Class - Display Property:src]], meta_TypedModelElements[ID], 0 ) ) )</f>
        <v/>
      </c>
      <c r="R37"/>
      <c r="S37" s="85" t="str">
        <f xml:space="preserve"> IF( TRIM( meta_Classifiers[[#This Row],[Class - Business ID Property:src]] ) = "", "",
        INDEX( meta_TypedModelElements[Display Qualified], MATCH( meta_Classifiers[[#This Row],[Class - Business ID Property:src]], meta_TypedModelElements[ID], 0 ) ) )</f>
        <v/>
      </c>
    </row>
    <row r="38" spans="1:19" ht="135" hidden="1">
      <c r="A38" s="5" t="s">
        <v>217</v>
      </c>
      <c r="B38" s="5" t="s">
        <v>163</v>
      </c>
      <c r="C38" s="75" t="str">
        <f xml:space="preserve"> IF( TRIM( meta_Classifiers[[#This Row],[Kind:src]] ) = "", "",
        INDEX( meta_Classifiers[Display Qualified], MATCH( meta_Classifiers[[#This Row],[Kind:src]], meta_Classifiers[ID], 0 ) ) )</f>
        <v>Class</v>
      </c>
      <c r="D38" s="75">
        <v>35</v>
      </c>
      <c r="E38" s="75" t="s">
        <v>142</v>
      </c>
      <c r="F38" s="75"/>
      <c r="G38" s="5" t="str">
        <f>IF(LEFT(meta_Classifiers[[#This Row],[ID]],1)="_",RIGHT(meta_Classifiers[[#This Row],[ID]],LEN(meta_Classifiers[[#This Row],[ID]])-1),IF(TRIM(meta_Classifiers[[#This Row],[Package]])="","",TRIM(LOWER(meta_Classifiers[[#This Row],[Package]]))&amp;"::")&amp;meta_Classifiers[[#This Row],[Display]])</f>
        <v>Rule</v>
      </c>
      <c r="H38" s="5" t="str">
        <f>IF(TRIM(meta_Classifiers[[#This Row],[Package]])="","",TRIM(LOWER(meta_Classifiers[[#This Row],[Package]]))&amp;"::")&amp;meta_Classifiers[[#This Row],[Display]]</f>
        <v>meta::Rule</v>
      </c>
      <c r="I38" s="5" t="str">
        <f>IF(meta_Classifiers[[#This Row],[Kind:src]]="_Class",meta_Classifiers[[#This Row],[Display Qualified]],"")</f>
        <v>Rule</v>
      </c>
      <c r="J38" s="5" t="str" cm="1">
        <f t="array" ref="J38">_xlfn.IFNA(INDEX(meta_Names[Camel Upper], MATCH(meta_Classifiers[[#This Row],[Name]],meta_Names[String],0)),camelCaseUpper(meta_Classifiers[[#This Row],[Name]]))</f>
        <v>Rule</v>
      </c>
      <c r="K38" s="92" t="s">
        <v>9</v>
      </c>
      <c r="L38" s="75" t="s">
        <v>232</v>
      </c>
      <c r="M38" s="5" t="s">
        <v>210</v>
      </c>
      <c r="N38" s="75" t="str">
        <f xml:space="preserve"> IF( TRIM( meta_Classifiers[[#This Row],[Class - Generalization:src]] ) = "", "",
        INDEX( meta_Classifiers[Display Qualified], MATCH( meta_Classifiers[[#This Row],[Class - Generalization:src]], meta_Classifiers[ID], 0 ) ) )</f>
        <v>NamedElement</v>
      </c>
      <c r="O38" s="78" t="s">
        <v>737</v>
      </c>
      <c r="P38" s="96"/>
      <c r="Q38" s="85" t="str">
        <f xml:space="preserve"> IF( TRIM( meta_Classifiers[[#This Row],[Class - Display Property:src]] ) = "", "",
        INDEX( meta_TypedModelElements[Display Qualified], MATCH( meta_Classifiers[[#This Row],[Class - Display Property:src]], meta_TypedModelElements[ID], 0 ) ) )</f>
        <v/>
      </c>
      <c r="R38"/>
      <c r="S38" s="85" t="str">
        <f xml:space="preserve"> IF( TRIM( meta_Classifiers[[#This Row],[Class - Business ID Property:src]] ) = "", "",
        INDEX( meta_TypedModelElements[Display Qualified], MATCH( meta_Classifiers[[#This Row],[Class - Business ID Property:src]], meta_TypedModelElements[ID], 0 ) ) )</f>
        <v/>
      </c>
    </row>
    <row r="39" spans="1:19" ht="105" hidden="1">
      <c r="A39" s="5" t="s">
        <v>171</v>
      </c>
      <c r="B39" s="5" t="s">
        <v>163</v>
      </c>
      <c r="C39" s="75" t="str">
        <f xml:space="preserve"> IF( TRIM( meta_Classifiers[[#This Row],[Kind:src]] ) = "", "",
        INDEX( meta_Classifiers[Display Qualified], MATCH( meta_Classifiers[[#This Row],[Kind:src]], meta_Classifiers[ID], 0 ) ) )</f>
        <v>Class</v>
      </c>
      <c r="D39" s="75">
        <v>36</v>
      </c>
      <c r="E39" s="75" t="s">
        <v>142</v>
      </c>
      <c r="F39" s="75"/>
      <c r="G39" s="5" t="str">
        <f>IF(LEFT(meta_Classifiers[[#This Row],[ID]],1)="_",RIGHT(meta_Classifiers[[#This Row],[ID]],LEN(meta_Classifiers[[#This Row],[ID]])-1),IF(TRIM(meta_Classifiers[[#This Row],[Package]])="","",TRIM(LOWER(meta_Classifiers[[#This Row],[Package]]))&amp;"::")&amp;meta_Classifiers[[#This Row],[Display]])</f>
        <v>Display</v>
      </c>
      <c r="H39" s="5" t="str">
        <f>IF(TRIM(meta_Classifiers[[#This Row],[Package]])="","",TRIM(LOWER(meta_Classifiers[[#This Row],[Package]]))&amp;"::")&amp;meta_Classifiers[[#This Row],[Display]]</f>
        <v>meta::Display</v>
      </c>
      <c r="I39" s="5" t="str">
        <f>IF(meta_Classifiers[[#This Row],[Kind:src]]="_Class",meta_Classifiers[[#This Row],[Display Qualified]],"")</f>
        <v>Display</v>
      </c>
      <c r="J39" s="5" t="str" cm="1">
        <f t="array" ref="J39">_xlfn.IFNA(INDEX(meta_Names[Camel Upper], MATCH(meta_Classifiers[[#This Row],[Name]],meta_Names[String],0)),camelCaseUpper(meta_Classifiers[[#This Row],[Name]]))</f>
        <v>Display</v>
      </c>
      <c r="K39" s="92" t="s">
        <v>32</v>
      </c>
      <c r="L39" s="75"/>
      <c r="M39" s="5" t="s">
        <v>217</v>
      </c>
      <c r="N39" s="75" t="str">
        <f xml:space="preserve"> IF( TRIM( meta_Classifiers[[#This Row],[Class - Generalization:src]] ) = "", "",
        INDEX( meta_Classifiers[Display Qualified], MATCH( meta_Classifiers[[#This Row],[Class - Generalization:src]], meta_Classifiers[ID], 0 ) ) )</f>
        <v>Rule</v>
      </c>
      <c r="O39" s="78" t="s">
        <v>795</v>
      </c>
      <c r="P39" s="96"/>
      <c r="Q39" s="85" t="str">
        <f xml:space="preserve"> IF( TRIM( meta_Classifiers[[#This Row],[Class - Display Property:src]] ) = "", "",
        INDEX( meta_TypedModelElements[Display Qualified], MATCH( meta_Classifiers[[#This Row],[Class - Display Property:src]], meta_TypedModelElements[ID], 0 ) ) )</f>
        <v/>
      </c>
      <c r="R39"/>
      <c r="S39" s="85" t="str">
        <f xml:space="preserve"> IF( TRIM( meta_Classifiers[[#This Row],[Class - Business ID Property:src]] ) = "", "",
        INDEX( meta_TypedModelElements[Display Qualified], MATCH( meta_Classifiers[[#This Row],[Class - Business ID Property:src]], meta_TypedModelElements[ID], 0 ) ) )</f>
        <v/>
      </c>
    </row>
    <row r="40" spans="1:19" hidden="1">
      <c r="A40" s="5" t="s">
        <v>172</v>
      </c>
      <c r="B40" s="5" t="s">
        <v>163</v>
      </c>
      <c r="C40" s="75" t="str">
        <f xml:space="preserve"> IF( TRIM( meta_Classifiers[[#This Row],[Kind:src]] ) = "", "",
        INDEX( meta_Classifiers[Display Qualified], MATCH( meta_Classifiers[[#This Row],[Kind:src]], meta_Classifiers[ID], 0 ) ) )</f>
        <v>Class</v>
      </c>
      <c r="D40" s="75">
        <v>37</v>
      </c>
      <c r="E40" s="75" t="s">
        <v>142</v>
      </c>
      <c r="F40" s="75"/>
      <c r="G40" s="5" t="str">
        <f>IF(LEFT(meta_Classifiers[[#This Row],[ID]],1)="_",RIGHT(meta_Classifiers[[#This Row],[ID]],LEN(meta_Classifiers[[#This Row],[ID]])-1),IF(TRIM(meta_Classifiers[[#This Row],[Package]])="","",TRIM(LOWER(meta_Classifiers[[#This Row],[Package]]))&amp;"::")&amp;meta_Classifiers[[#This Row],[Display]])</f>
        <v>Group</v>
      </c>
      <c r="H40" s="5" t="str">
        <f>IF(TRIM(meta_Classifiers[[#This Row],[Package]])="","",TRIM(LOWER(meta_Classifiers[[#This Row],[Package]]))&amp;"::")&amp;meta_Classifiers[[#This Row],[Display]]</f>
        <v>meta::Group</v>
      </c>
      <c r="I40" s="5" t="str">
        <f>IF(meta_Classifiers[[#This Row],[Kind:src]]="_Class",meta_Classifiers[[#This Row],[Display Qualified]],"")</f>
        <v>Group</v>
      </c>
      <c r="J40" s="5" t="str" cm="1">
        <f t="array" ref="J40">_xlfn.IFNA(INDEX(meta_Names[Camel Upper], MATCH(meta_Classifiers[[#This Row],[Name]],meta_Names[String],0)),camelCaseUpper(meta_Classifiers[[#This Row],[Name]]))</f>
        <v>Group</v>
      </c>
      <c r="K40" s="92" t="s">
        <v>95</v>
      </c>
      <c r="L40" s="75"/>
      <c r="M40" s="5" t="s">
        <v>217</v>
      </c>
      <c r="N40" s="75" t="str">
        <f xml:space="preserve"> IF( TRIM( meta_Classifiers[[#This Row],[Class - Generalization:src]] ) = "", "",
        INDEX( meta_Classifiers[Display Qualified], MATCH( meta_Classifiers[[#This Row],[Class - Generalization:src]], meta_Classifiers[ID], 0 ) ) )</f>
        <v>Rule</v>
      </c>
      <c r="O40" s="78" t="s">
        <v>96</v>
      </c>
      <c r="P40" s="96"/>
      <c r="Q40" s="85" t="str">
        <f xml:space="preserve"> IF( TRIM( meta_Classifiers[[#This Row],[Class - Display Property:src]] ) = "", "",
        INDEX( meta_TypedModelElements[Display Qualified], MATCH( meta_Classifiers[[#This Row],[Class - Display Property:src]], meta_TypedModelElements[ID], 0 ) ) )</f>
        <v/>
      </c>
      <c r="R40"/>
      <c r="S40" s="85" t="str">
        <f xml:space="preserve"> IF( TRIM( meta_Classifiers[[#This Row],[Class - Business ID Property:src]] ) = "", "",
        INDEX( meta_TypedModelElements[Display Qualified], MATCH( meta_Classifiers[[#This Row],[Class - Business ID Property:src]], meta_TypedModelElements[ID], 0 ) ) )</f>
        <v/>
      </c>
    </row>
    <row r="41" spans="1:19" ht="60" hidden="1">
      <c r="A41" s="5" t="s">
        <v>235</v>
      </c>
      <c r="B41" s="5" t="s">
        <v>163</v>
      </c>
      <c r="C41" s="75" t="str">
        <f xml:space="preserve"> IF( TRIM( meta_Classifiers[[#This Row],[Kind:src]] ) = "", "",
        INDEX( meta_Classifiers[Display Qualified], MATCH( meta_Classifiers[[#This Row],[Kind:src]], meta_Classifiers[ID], 0 ) ) )</f>
        <v>Class</v>
      </c>
      <c r="D41" s="75">
        <v>38</v>
      </c>
      <c r="E41" s="75" t="s">
        <v>142</v>
      </c>
      <c r="F41" s="75"/>
      <c r="G41" s="5" t="str">
        <f>IF(LEFT(meta_Classifiers[[#This Row],[ID]],1)="_",RIGHT(meta_Classifiers[[#This Row],[ID]],LEN(meta_Classifiers[[#This Row],[ID]])-1),IF(TRIM(meta_Classifiers[[#This Row],[Package]])="","",TRIM(LOWER(meta_Classifiers[[#This Row],[Package]]))&amp;"::")&amp;meta_Classifiers[[#This Row],[Display]])</f>
        <v>DisplayToObject</v>
      </c>
      <c r="H41" s="5" t="str">
        <f>IF(TRIM(meta_Classifiers[[#This Row],[Package]])="","",TRIM(LOWER(meta_Classifiers[[#This Row],[Package]]))&amp;"::")&amp;meta_Classifiers[[#This Row],[Display]]</f>
        <v>meta::DisplayToObject</v>
      </c>
      <c r="I41" s="5" t="str">
        <f>IF(meta_Classifiers[[#This Row],[Kind:src]]="_Class",meta_Classifiers[[#This Row],[Display Qualified]],"")</f>
        <v>DisplayToObject</v>
      </c>
      <c r="J41" s="5" t="str" cm="1">
        <f t="array" ref="J41">_xlfn.IFNA(INDEX(meta_Names[Camel Upper], MATCH(meta_Classifiers[[#This Row],[Name]],meta_Names[String],0)),camelCaseUpper(meta_Classifiers[[#This Row],[Name]]))</f>
        <v>DisplayToObject</v>
      </c>
      <c r="K41" s="92" t="s">
        <v>1691</v>
      </c>
      <c r="L41" s="75"/>
      <c r="M41" s="5" t="s">
        <v>217</v>
      </c>
      <c r="N41" s="75" t="str">
        <f xml:space="preserve"> IF( TRIM( meta_Classifiers[[#This Row],[Class - Generalization:src]] ) = "", "",
        INDEX( meta_Classifiers[Display Qualified], MATCH( meta_Classifiers[[#This Row],[Class - Generalization:src]], meta_Classifiers[ID], 0 ) ) )</f>
        <v>Rule</v>
      </c>
      <c r="O41" s="78" t="s">
        <v>236</v>
      </c>
      <c r="P41" s="96"/>
      <c r="Q41" s="85" t="str">
        <f xml:space="preserve"> IF( TRIM( meta_Classifiers[[#This Row],[Class - Display Property:src]] ) = "", "",
        INDEX( meta_TypedModelElements[Display Qualified], MATCH( meta_Classifiers[[#This Row],[Class - Display Property:src]], meta_TypedModelElements[ID], 0 ) ) )</f>
        <v/>
      </c>
      <c r="R41"/>
      <c r="S41" s="85" t="str">
        <f xml:space="preserve"> IF( TRIM( meta_Classifiers[[#This Row],[Class - Business ID Property:src]] ) = "", "",
        INDEX( meta_TypedModelElements[Display Qualified], MATCH( meta_Classifiers[[#This Row],[Class - Business ID Property:src]], meta_TypedModelElements[ID], 0 ) ) )</f>
        <v/>
      </c>
    </row>
    <row r="42" spans="1:19" ht="150" hidden="1">
      <c r="A42" s="5" t="s">
        <v>173</v>
      </c>
      <c r="B42" s="5" t="s">
        <v>163</v>
      </c>
      <c r="C42" s="75" t="str">
        <f xml:space="preserve"> IF( TRIM( meta_Classifiers[[#This Row],[Kind:src]] ) = "", "",
        INDEX( meta_Classifiers[Display Qualified], MATCH( meta_Classifiers[[#This Row],[Kind:src]], meta_Classifiers[ID], 0 ) ) )</f>
        <v>Class</v>
      </c>
      <c r="D42" s="75">
        <v>39</v>
      </c>
      <c r="E42" s="75" t="s">
        <v>142</v>
      </c>
      <c r="F42" s="75"/>
      <c r="G42" s="5" t="str">
        <f>IF(LEFT(meta_Classifiers[[#This Row],[ID]],1)="_",RIGHT(meta_Classifiers[[#This Row],[ID]],LEN(meta_Classifiers[[#This Row],[ID]])-1),IF(TRIM(meta_Classifiers[[#This Row],[Package]])="","",TRIM(LOWER(meta_Classifiers[[#This Row],[Package]]))&amp;"::")&amp;meta_Classifiers[[#This Row],[Display]])</f>
        <v>Derive</v>
      </c>
      <c r="H42" s="5" t="str">
        <f>IF(TRIM(meta_Classifiers[[#This Row],[Package]])="","",TRIM(LOWER(meta_Classifiers[[#This Row],[Package]]))&amp;"::")&amp;meta_Classifiers[[#This Row],[Display]]</f>
        <v>meta::Derive</v>
      </c>
      <c r="I42" s="5" t="str">
        <f>IF(meta_Classifiers[[#This Row],[Kind:src]]="_Class",meta_Classifiers[[#This Row],[Display Qualified]],"")</f>
        <v>Derive</v>
      </c>
      <c r="J42" s="5" t="str" cm="1">
        <f t="array" ref="J42">_xlfn.IFNA(INDEX(meta_Names[Camel Upper], MATCH(meta_Classifiers[[#This Row],[Name]],meta_Names[String],0)),camelCaseUpper(meta_Classifiers[[#This Row],[Name]]))</f>
        <v>Derive</v>
      </c>
      <c r="K42" s="92" t="s">
        <v>33</v>
      </c>
      <c r="L42" s="75"/>
      <c r="M42" s="5" t="s">
        <v>217</v>
      </c>
      <c r="N42" s="75" t="str">
        <f xml:space="preserve"> IF( TRIM( meta_Classifiers[[#This Row],[Class - Generalization:src]] ) = "", "",
        INDEX( meta_Classifiers[Display Qualified], MATCH( meta_Classifiers[[#This Row],[Class - Generalization:src]], meta_Classifiers[ID], 0 ) ) )</f>
        <v>Rule</v>
      </c>
      <c r="O42" s="78" t="s">
        <v>117</v>
      </c>
      <c r="P42" s="96"/>
      <c r="Q42" s="85" t="str">
        <f xml:space="preserve"> IF( TRIM( meta_Classifiers[[#This Row],[Class - Display Property:src]] ) = "", "",
        INDEX( meta_TypedModelElements[Display Qualified], MATCH( meta_Classifiers[[#This Row],[Class - Display Property:src]], meta_TypedModelElements[ID], 0 ) ) )</f>
        <v/>
      </c>
      <c r="R42"/>
      <c r="S42" s="85" t="str">
        <f xml:space="preserve"> IF( TRIM( meta_Classifiers[[#This Row],[Class - Business ID Property:src]] ) = "", "",
        INDEX( meta_TypedModelElements[Display Qualified], MATCH( meta_Classifiers[[#This Row],[Class - Business ID Property:src]], meta_TypedModelElements[ID], 0 ) ) )</f>
        <v/>
      </c>
    </row>
    <row r="43" spans="1:19" ht="30" hidden="1">
      <c r="A43" s="5" t="s">
        <v>174</v>
      </c>
      <c r="B43" s="5" t="s">
        <v>163</v>
      </c>
      <c r="C43" s="75" t="str">
        <f xml:space="preserve"> IF( TRIM( meta_Classifiers[[#This Row],[Kind:src]] ) = "", "",
        INDEX( meta_Classifiers[Display Qualified], MATCH( meta_Classifiers[[#This Row],[Kind:src]], meta_Classifiers[ID], 0 ) ) )</f>
        <v>Class</v>
      </c>
      <c r="D43" s="75">
        <v>40</v>
      </c>
      <c r="E43" s="75" t="s">
        <v>142</v>
      </c>
      <c r="F43" s="75"/>
      <c r="G43" s="5" t="str">
        <f>IF(LEFT(meta_Classifiers[[#This Row],[ID]],1)="_",RIGHT(meta_Classifiers[[#This Row],[ID]],LEN(meta_Classifiers[[#This Row],[ID]])-1),IF(TRIM(meta_Classifiers[[#This Row],[Package]])="","",TRIM(LOWER(meta_Classifiers[[#This Row],[Package]]))&amp;"::")&amp;meta_Classifiers[[#This Row],[Display]])</f>
        <v>Choices</v>
      </c>
      <c r="H43" s="5" t="str">
        <f>IF(TRIM(meta_Classifiers[[#This Row],[Package]])="","",TRIM(LOWER(meta_Classifiers[[#This Row],[Package]]))&amp;"::")&amp;meta_Classifiers[[#This Row],[Display]]</f>
        <v>meta::Choices</v>
      </c>
      <c r="I43" s="5" t="str">
        <f>IF(meta_Classifiers[[#This Row],[Kind:src]]="_Class",meta_Classifiers[[#This Row],[Display Qualified]],"")</f>
        <v>Choices</v>
      </c>
      <c r="J43" s="5" t="str" cm="1">
        <f t="array" ref="J43">_xlfn.IFNA(INDEX(meta_Names[Camel Upper], MATCH(meta_Classifiers[[#This Row],[Name]],meta_Names[String],0)),camelCaseUpper(meta_Classifiers[[#This Row],[Name]]))</f>
        <v>Choices</v>
      </c>
      <c r="K43" s="92" t="s">
        <v>34</v>
      </c>
      <c r="L43" s="75"/>
      <c r="M43" s="5" t="s">
        <v>217</v>
      </c>
      <c r="N43" s="75" t="str">
        <f xml:space="preserve"> IF( TRIM( meta_Classifiers[[#This Row],[Class - Generalization:src]] ) = "", "",
        INDEX( meta_Classifiers[Display Qualified], MATCH( meta_Classifiers[[#This Row],[Class - Generalization:src]], meta_Classifiers[ID], 0 ) ) )</f>
        <v>Rule</v>
      </c>
      <c r="O43" s="78" t="s">
        <v>97</v>
      </c>
      <c r="P43" s="96"/>
      <c r="Q43" s="85" t="str">
        <f xml:space="preserve"> IF( TRIM( meta_Classifiers[[#This Row],[Class - Display Property:src]] ) = "", "",
        INDEX( meta_TypedModelElements[Display Qualified], MATCH( meta_Classifiers[[#This Row],[Class - Display Property:src]], meta_TypedModelElements[ID], 0 ) ) )</f>
        <v/>
      </c>
      <c r="R43"/>
      <c r="S43" s="85" t="str">
        <f xml:space="preserve"> IF( TRIM( meta_Classifiers[[#This Row],[Class - Business ID Property:src]] ) = "", "",
        INDEX( meta_TypedModelElements[Display Qualified], MATCH( meta_Classifiers[[#This Row],[Class - Business ID Property:src]], meta_TypedModelElements[ID], 0 ) ) )</f>
        <v/>
      </c>
    </row>
    <row r="44" spans="1:19" ht="105" hidden="1">
      <c r="A44" s="5" t="s">
        <v>175</v>
      </c>
      <c r="B44" s="5" t="s">
        <v>163</v>
      </c>
      <c r="C44" s="75" t="str">
        <f xml:space="preserve"> IF( TRIM( meta_Classifiers[[#This Row],[Kind:src]] ) = "", "",
        INDEX( meta_Classifiers[Display Qualified], MATCH( meta_Classifiers[[#This Row],[Kind:src]], meta_Classifiers[ID], 0 ) ) )</f>
        <v>Class</v>
      </c>
      <c r="D44" s="75">
        <v>41</v>
      </c>
      <c r="E44" s="75" t="s">
        <v>142</v>
      </c>
      <c r="F44" s="75"/>
      <c r="G44" s="5" t="str">
        <f>IF(LEFT(meta_Classifiers[[#This Row],[ID]],1)="_",RIGHT(meta_Classifiers[[#This Row],[ID]],LEN(meta_Classifiers[[#This Row],[ID]])-1),IF(TRIM(meta_Classifiers[[#This Row],[Package]])="","",TRIM(LOWER(meta_Classifiers[[#This Row],[Package]]))&amp;"::")&amp;meta_Classifiers[[#This Row],[Display]])</f>
        <v>Constraint</v>
      </c>
      <c r="H44" s="5" t="str">
        <f>IF(TRIM(meta_Classifiers[[#This Row],[Package]])="","",TRIM(LOWER(meta_Classifiers[[#This Row],[Package]]))&amp;"::")&amp;meta_Classifiers[[#This Row],[Display]]</f>
        <v>meta::Constraint</v>
      </c>
      <c r="I44" s="5" t="str">
        <f>IF(meta_Classifiers[[#This Row],[Kind:src]]="_Class",meta_Classifiers[[#This Row],[Display Qualified]],"")</f>
        <v>Constraint</v>
      </c>
      <c r="J44" s="5" t="str" cm="1">
        <f t="array" ref="J44">_xlfn.IFNA(INDEX(meta_Names[Camel Upper], MATCH(meta_Classifiers[[#This Row],[Name]],meta_Names[String],0)),camelCaseUpper(meta_Classifiers[[#This Row],[Name]]))</f>
        <v>Constraint</v>
      </c>
      <c r="K44" s="92" t="s">
        <v>35</v>
      </c>
      <c r="L44" s="75"/>
      <c r="M44" s="5" t="s">
        <v>217</v>
      </c>
      <c r="N44" s="75" t="str">
        <f xml:space="preserve"> IF( TRIM( meta_Classifiers[[#This Row],[Class - Generalization:src]] ) = "", "",
        INDEX( meta_Classifiers[Display Qualified], MATCH( meta_Classifiers[[#This Row],[Class - Generalization:src]], meta_Classifiers[ID], 0 ) ) )</f>
        <v>Rule</v>
      </c>
      <c r="O44" s="78" t="s">
        <v>100</v>
      </c>
      <c r="P44" s="96"/>
      <c r="Q44" s="85" t="str">
        <f xml:space="preserve"> IF( TRIM( meta_Classifiers[[#This Row],[Class - Display Property:src]] ) = "", "",
        INDEX( meta_TypedModelElements[Display Qualified], MATCH( meta_Classifiers[[#This Row],[Class - Display Property:src]], meta_TypedModelElements[ID], 0 ) ) )</f>
        <v/>
      </c>
      <c r="R44"/>
      <c r="S44" s="85" t="str">
        <f xml:space="preserve"> IF( TRIM( meta_Classifiers[[#This Row],[Class - Business ID Property:src]] ) = "", "",
        INDEX( meta_TypedModelElements[Display Qualified], MATCH( meta_Classifiers[[#This Row],[Class - Business ID Property:src]], meta_TypedModelElements[ID], 0 ) ) )</f>
        <v/>
      </c>
    </row>
    <row r="45" spans="1:19" ht="75" hidden="1">
      <c r="A45" s="5" t="s">
        <v>223</v>
      </c>
      <c r="B45" s="5" t="s">
        <v>163</v>
      </c>
      <c r="C45" s="75" t="str">
        <f xml:space="preserve"> IF( TRIM( meta_Classifiers[[#This Row],[Kind:src]] ) = "", "",
        INDEX( meta_Classifiers[Display Qualified], MATCH( meta_Classifiers[[#This Row],[Kind:src]], meta_Classifiers[ID], 0 ) ) )</f>
        <v>Class</v>
      </c>
      <c r="D45" s="75">
        <v>42</v>
      </c>
      <c r="E45" s="75" t="s">
        <v>142</v>
      </c>
      <c r="F45" s="75"/>
      <c r="G45" s="5" t="str">
        <f>IF(LEFT(meta_Classifiers[[#This Row],[ID]],1)="_",RIGHT(meta_Classifiers[[#This Row],[ID]],LEN(meta_Classifiers[[#This Row],[ID]])-1),IF(TRIM(meta_Classifiers[[#This Row],[Package]])="","",TRIM(LOWER(meta_Classifiers[[#This Row],[Package]]))&amp;"::")&amp;meta_Classifiers[[#This Row],[Display]])</f>
        <v>UpdateRule</v>
      </c>
      <c r="H45" s="5" t="str">
        <f>IF(TRIM(meta_Classifiers[[#This Row],[Package]])="","",TRIM(LOWER(meta_Classifiers[[#This Row],[Package]]))&amp;"::")&amp;meta_Classifiers[[#This Row],[Display]]</f>
        <v>meta::UpdateRule</v>
      </c>
      <c r="I45" s="5" t="str">
        <f>IF(meta_Classifiers[[#This Row],[Kind:src]]="_Class",meta_Classifiers[[#This Row],[Display Qualified]],"")</f>
        <v>UpdateRule</v>
      </c>
      <c r="J45" s="5" t="str" cm="1">
        <f t="array" ref="J45">_xlfn.IFNA(INDEX(meta_Names[Camel Upper], MATCH(meta_Classifiers[[#This Row],[Name]],meta_Names[String],0)),camelCaseUpper(meta_Classifiers[[#This Row],[Name]]))</f>
        <v>UpdateRule</v>
      </c>
      <c r="K45" s="92" t="s">
        <v>234</v>
      </c>
      <c r="L45" s="75" t="s">
        <v>233</v>
      </c>
      <c r="M45" s="5" t="s">
        <v>217</v>
      </c>
      <c r="N45" s="75" t="str">
        <f xml:space="preserve"> IF( TRIM( meta_Classifiers[[#This Row],[Class - Generalization:src]] ) = "", "",
        INDEX( meta_Classifiers[Display Qualified], MATCH( meta_Classifiers[[#This Row],[Class - Generalization:src]], meta_Classifiers[ID], 0 ) ) )</f>
        <v>Rule</v>
      </c>
      <c r="O45" s="78" t="s">
        <v>106</v>
      </c>
      <c r="P45" s="96"/>
      <c r="Q45" s="85" t="str">
        <f xml:space="preserve"> IF( TRIM( meta_Classifiers[[#This Row],[Class - Display Property:src]] ) = "", "",
        INDEX( meta_TypedModelElements[Display Qualified], MATCH( meta_Classifiers[[#This Row],[Class - Display Property:src]], meta_TypedModelElements[ID], 0 ) ) )</f>
        <v/>
      </c>
      <c r="R45"/>
      <c r="S45" s="85" t="str">
        <f xml:space="preserve"> IF( TRIM( meta_Classifiers[[#This Row],[Class - Business ID Property:src]] ) = "", "",
        INDEX( meta_TypedModelElements[Display Qualified], MATCH( meta_Classifiers[[#This Row],[Class - Business ID Property:src]], meta_TypedModelElements[ID], 0 ) ) )</f>
        <v/>
      </c>
    </row>
    <row r="46" spans="1:19" hidden="1">
      <c r="A46" s="5" t="s">
        <v>176</v>
      </c>
      <c r="B46" s="5" t="s">
        <v>163</v>
      </c>
      <c r="C46" s="75" t="str">
        <f xml:space="preserve"> IF( TRIM( meta_Classifiers[[#This Row],[Kind:src]] ) = "", "",
        INDEX( meta_Classifiers[Display Qualified], MATCH( meta_Classifiers[[#This Row],[Kind:src]], meta_Classifiers[ID], 0 ) ) )</f>
        <v>Class</v>
      </c>
      <c r="D46" s="75">
        <v>43</v>
      </c>
      <c r="E46" s="75" t="s">
        <v>142</v>
      </c>
      <c r="F46" s="75"/>
      <c r="G46" s="5" t="str">
        <f>IF(LEFT(meta_Classifiers[[#This Row],[ID]],1)="_",RIGHT(meta_Classifiers[[#This Row],[ID]],LEN(meta_Classifiers[[#This Row],[ID]])-1),IF(TRIM(meta_Classifiers[[#This Row],[Package]])="","",TRIM(LOWER(meta_Classifiers[[#This Row],[Package]]))&amp;"::")&amp;meta_Classifiers[[#This Row],[Display]])</f>
        <v>UpdateLHS</v>
      </c>
      <c r="H46" s="5" t="str">
        <f>IF(TRIM(meta_Classifiers[[#This Row],[Package]])="","",TRIM(LOWER(meta_Classifiers[[#This Row],[Package]]))&amp;"::")&amp;meta_Classifiers[[#This Row],[Display]]</f>
        <v>meta::UpdateLHS</v>
      </c>
      <c r="I46" s="5" t="str">
        <f>IF(meta_Classifiers[[#This Row],[Kind:src]]="_Class",meta_Classifiers[[#This Row],[Display Qualified]],"")</f>
        <v>UpdateLHS</v>
      </c>
      <c r="J46" s="5" t="str" cm="1">
        <f t="array" ref="J46">_xlfn.IFNA(INDEX(meta_Names[Camel Upper], MATCH(meta_Classifiers[[#This Row],[Name]],meta_Names[String],0)),camelCaseUpper(meta_Classifiers[[#This Row],[Name]]))</f>
        <v>UpdateLHS</v>
      </c>
      <c r="K46" s="92" t="s">
        <v>36</v>
      </c>
      <c r="L46" s="75"/>
      <c r="M46" s="5" t="s">
        <v>223</v>
      </c>
      <c r="N46" s="75" t="str">
        <f xml:space="preserve"> IF( TRIM( meta_Classifiers[[#This Row],[Class - Generalization:src]] ) = "", "",
        INDEX( meta_Classifiers[Display Qualified], MATCH( meta_Classifiers[[#This Row],[Class - Generalization:src]], meta_Classifiers[ID], 0 ) ) )</f>
        <v>UpdateRule</v>
      </c>
      <c r="O46" s="78" t="s">
        <v>104</v>
      </c>
      <c r="P46" s="96"/>
      <c r="Q46" s="85" t="str">
        <f xml:space="preserve"> IF( TRIM( meta_Classifiers[[#This Row],[Class - Display Property:src]] ) = "", "",
        INDEX( meta_TypedModelElements[Display Qualified], MATCH( meta_Classifiers[[#This Row],[Class - Display Property:src]], meta_TypedModelElements[ID], 0 ) ) )</f>
        <v/>
      </c>
      <c r="R46"/>
      <c r="S46" s="85" t="str">
        <f xml:space="preserve"> IF( TRIM( meta_Classifiers[[#This Row],[Class - Business ID Property:src]] ) = "", "",
        INDEX( meta_TypedModelElements[Display Qualified], MATCH( meta_Classifiers[[#This Row],[Class - Business ID Property:src]], meta_TypedModelElements[ID], 0 ) ) )</f>
        <v/>
      </c>
    </row>
    <row r="47" spans="1:19" hidden="1">
      <c r="A47" s="5" t="s">
        <v>177</v>
      </c>
      <c r="B47" s="5" t="s">
        <v>163</v>
      </c>
      <c r="C47" s="75" t="str">
        <f xml:space="preserve"> IF( TRIM( meta_Classifiers[[#This Row],[Kind:src]] ) = "", "",
        INDEX( meta_Classifiers[Display Qualified], MATCH( meta_Classifiers[[#This Row],[Kind:src]], meta_Classifiers[ID], 0 ) ) )</f>
        <v>Class</v>
      </c>
      <c r="D47" s="75">
        <v>44</v>
      </c>
      <c r="E47" s="75" t="s">
        <v>142</v>
      </c>
      <c r="F47" s="75"/>
      <c r="G47" s="5" t="str">
        <f>IF(LEFT(meta_Classifiers[[#This Row],[ID]],1)="_",RIGHT(meta_Classifiers[[#This Row],[ID]],LEN(meta_Classifiers[[#This Row],[ID]])-1),IF(TRIM(meta_Classifiers[[#This Row],[Package]])="","",TRIM(LOWER(meta_Classifiers[[#This Row],[Package]]))&amp;"::")&amp;meta_Classifiers[[#This Row],[Display]])</f>
        <v>UpdateLHS_Argument</v>
      </c>
      <c r="H47" s="5" t="str">
        <f>IF(TRIM(meta_Classifiers[[#This Row],[Package]])="","",TRIM(LOWER(meta_Classifiers[[#This Row],[Package]]))&amp;"::")&amp;meta_Classifiers[[#This Row],[Display]]</f>
        <v>meta::UpdateLHS_Argument</v>
      </c>
      <c r="I47" s="5" t="str">
        <f>IF(meta_Classifiers[[#This Row],[Kind:src]]="_Class",meta_Classifiers[[#This Row],[Display Qualified]],"")</f>
        <v>UpdateLHS_Argument</v>
      </c>
      <c r="J47" s="5" t="str" cm="1">
        <f t="array" ref="J47">_xlfn.IFNA(INDEX(meta_Names[Camel Upper], MATCH(meta_Classifiers[[#This Row],[Name]],meta_Names[String],0)),camelCaseUpper(meta_Classifiers[[#This Row],[Name]]))</f>
        <v>UpdateLHS_Argument</v>
      </c>
      <c r="K47" s="92" t="s">
        <v>108</v>
      </c>
      <c r="L47" s="75"/>
      <c r="M47" s="5" t="s">
        <v>223</v>
      </c>
      <c r="N47" s="75" t="str">
        <f xml:space="preserve"> IF( TRIM( meta_Classifiers[[#This Row],[Class - Generalization:src]] ) = "", "",
        INDEX( meta_Classifiers[Display Qualified], MATCH( meta_Classifiers[[#This Row],[Class - Generalization:src]], meta_Classifiers[ID], 0 ) ) )</f>
        <v>UpdateRule</v>
      </c>
      <c r="O47" s="78" t="s">
        <v>109</v>
      </c>
      <c r="P47" s="96"/>
      <c r="Q47" s="85" t="str">
        <f xml:space="preserve"> IF( TRIM( meta_Classifiers[[#This Row],[Class - Display Property:src]] ) = "", "",
        INDEX( meta_TypedModelElements[Display Qualified], MATCH( meta_Classifiers[[#This Row],[Class - Display Property:src]], meta_TypedModelElements[ID], 0 ) ) )</f>
        <v/>
      </c>
      <c r="R47"/>
      <c r="S47" s="85" t="str">
        <f xml:space="preserve"> IF( TRIM( meta_Classifiers[[#This Row],[Class - Business ID Property:src]] ) = "", "",
        INDEX( meta_TypedModelElements[Display Qualified], MATCH( meta_Classifiers[[#This Row],[Class - Business ID Property:src]], meta_TypedModelElements[ID], 0 ) ) )</f>
        <v/>
      </c>
    </row>
    <row r="48" spans="1:19" hidden="1">
      <c r="A48" s="5" t="s">
        <v>178</v>
      </c>
      <c r="B48" s="5" t="s">
        <v>163</v>
      </c>
      <c r="C48" s="75" t="str">
        <f xml:space="preserve"> IF( TRIM( meta_Classifiers[[#This Row],[Kind:src]] ) = "", "",
        INDEX( meta_Classifiers[Display Qualified], MATCH( meta_Classifiers[[#This Row],[Kind:src]], meta_Classifiers[ID], 0 ) ) )</f>
        <v>Class</v>
      </c>
      <c r="D48" s="75">
        <v>45</v>
      </c>
      <c r="E48" s="75" t="s">
        <v>142</v>
      </c>
      <c r="F48" s="75"/>
      <c r="G48" s="5" t="str">
        <f>IF(LEFT(meta_Classifiers[[#This Row],[ID]],1)="_",RIGHT(meta_Classifiers[[#This Row],[ID]],LEN(meta_Classifiers[[#This Row],[ID]])-1),IF(TRIM(meta_Classifiers[[#This Row],[Package]])="","",TRIM(LOWER(meta_Classifiers[[#This Row],[Package]]))&amp;"::")&amp;meta_Classifiers[[#This Row],[Display]])</f>
        <v>UpdateRHS</v>
      </c>
      <c r="H48" s="5" t="str">
        <f>IF(TRIM(meta_Classifiers[[#This Row],[Package]])="","",TRIM(LOWER(meta_Classifiers[[#This Row],[Package]]))&amp;"::")&amp;meta_Classifiers[[#This Row],[Display]]</f>
        <v>meta::UpdateRHS</v>
      </c>
      <c r="I48" s="5" t="str">
        <f>IF(meta_Classifiers[[#This Row],[Kind:src]]="_Class",meta_Classifiers[[#This Row],[Display Qualified]],"")</f>
        <v>UpdateRHS</v>
      </c>
      <c r="J48" s="5" t="str" cm="1">
        <f t="array" ref="J48">_xlfn.IFNA(INDEX(meta_Names[Camel Upper], MATCH(meta_Classifiers[[#This Row],[Name]],meta_Names[String],0)),camelCaseUpper(meta_Classifiers[[#This Row],[Name]]))</f>
        <v>UpdateRHS</v>
      </c>
      <c r="K48" s="92" t="s">
        <v>37</v>
      </c>
      <c r="L48" s="75"/>
      <c r="M48" s="5" t="s">
        <v>223</v>
      </c>
      <c r="N48" s="75" t="str">
        <f xml:space="preserve"> IF( TRIM( meta_Classifiers[[#This Row],[Class - Generalization:src]] ) = "", "",
        INDEX( meta_Classifiers[Display Qualified], MATCH( meta_Classifiers[[#This Row],[Class - Generalization:src]], meta_Classifiers[ID], 0 ) ) )</f>
        <v>UpdateRule</v>
      </c>
      <c r="O48" s="78" t="s">
        <v>105</v>
      </c>
      <c r="P48" s="96"/>
      <c r="Q48" s="85" t="str">
        <f xml:space="preserve"> IF( TRIM( meta_Classifiers[[#This Row],[Class - Display Property:src]] ) = "", "",
        INDEX( meta_TypedModelElements[Display Qualified], MATCH( meta_Classifiers[[#This Row],[Class - Display Property:src]], meta_TypedModelElements[ID], 0 ) ) )</f>
        <v/>
      </c>
      <c r="R48"/>
      <c r="S48" s="85" t="str">
        <f xml:space="preserve"> IF( TRIM( meta_Classifiers[[#This Row],[Class - Business ID Property:src]] ) = "", "",
        INDEX( meta_TypedModelElements[Display Qualified], MATCH( meta_Classifiers[[#This Row],[Class - Business ID Property:src]], meta_TypedModelElements[ID], 0 ) ) )</f>
        <v/>
      </c>
    </row>
    <row r="49" spans="1:19" ht="165" hidden="1">
      <c r="A49" s="5" t="s">
        <v>808</v>
      </c>
      <c r="B49" s="5" t="s">
        <v>163</v>
      </c>
      <c r="C49" s="75" t="str">
        <f xml:space="preserve"> IF( TRIM( meta_Classifiers[[#This Row],[Kind:src]] ) = "", "",
        INDEX( meta_Classifiers[Display Qualified], MATCH( meta_Classifiers[[#This Row],[Kind:src]], meta_Classifiers[ID], 0 ) ) )</f>
        <v>Class</v>
      </c>
      <c r="D49" s="75">
        <v>46</v>
      </c>
      <c r="E49" s="75" t="s">
        <v>142</v>
      </c>
      <c r="F49" s="75"/>
      <c r="G49" s="5" t="str">
        <f>IF(LEFT(meta_Classifiers[[#This Row],[ID]],1)="_",RIGHT(meta_Classifiers[[#This Row],[ID]],LEN(meta_Classifiers[[#This Row],[ID]])-1),IF(TRIM(meta_Classifiers[[#This Row],[Package]])="","",TRIM(LOWER(meta_Classifiers[[#This Row],[Package]]))&amp;"::")&amp;meta_Classifiers[[#This Row],[Display]])</f>
        <v>DoActionRule</v>
      </c>
      <c r="H49" s="5" t="str">
        <f>IF(TRIM(meta_Classifiers[[#This Row],[Package]])="","",TRIM(LOWER(meta_Classifiers[[#This Row],[Package]]))&amp;"::")&amp;meta_Classifiers[[#This Row],[Display]]</f>
        <v>meta::ActionRule</v>
      </c>
      <c r="I49" s="5" t="str">
        <f>IF(meta_Classifiers[[#This Row],[Kind:src]]="_Class",meta_Classifiers[[#This Row],[Display Qualified]],"")</f>
        <v>DoActionRule</v>
      </c>
      <c r="J49" s="5" t="str" cm="1">
        <f t="array" ref="J49">_xlfn.IFNA(INDEX(meta_Names[Camel Upper], MATCH(meta_Classifiers[[#This Row],[Name]],meta_Names[String],0)),camelCaseUpper(meta_Classifiers[[#This Row],[Name]]))</f>
        <v>ActionRule</v>
      </c>
      <c r="K49" s="92" t="s">
        <v>809</v>
      </c>
      <c r="L49" s="98"/>
      <c r="M49" s="5" t="s">
        <v>178</v>
      </c>
      <c r="N49" s="75" t="str">
        <f xml:space="preserve"> IF( TRIM( meta_Classifiers[[#This Row],[Class - Generalization:src]] ) = "", "",
        INDEX( meta_Classifiers[Display Qualified], MATCH( meta_Classifiers[[#This Row],[Class - Generalization:src]], meta_Classifiers[ID], 0 ) ) )</f>
        <v>UpdateRHS</v>
      </c>
      <c r="O49" s="78" t="s">
        <v>811</v>
      </c>
      <c r="P49" s="96"/>
      <c r="Q49" s="85" t="str">
        <f xml:space="preserve"> IF( TRIM( meta_Classifiers[[#This Row],[Class - Display Property:src]] ) = "", "",
        INDEX( meta_TypedModelElements[Display Qualified], MATCH( meta_Classifiers[[#This Row],[Class - Display Property:src]], meta_TypedModelElements[ID], 0 ) ) )</f>
        <v/>
      </c>
      <c r="R49"/>
      <c r="S49" s="85" t="str">
        <f xml:space="preserve"> IF( TRIM( meta_Classifiers[[#This Row],[Class - Business ID Property:src]] ) = "", "",
        INDEX( meta_TypedModelElements[Display Qualified], MATCH( meta_Classifiers[[#This Row],[Class - Business ID Property:src]], meta_TypedModelElements[ID], 0 ) ) )</f>
        <v/>
      </c>
    </row>
    <row r="50" spans="1:19" hidden="1">
      <c r="A50" s="5" t="s">
        <v>179</v>
      </c>
      <c r="B50" s="5" t="s">
        <v>163</v>
      </c>
      <c r="C50" s="75" t="str">
        <f xml:space="preserve"> IF( TRIM( meta_Classifiers[[#This Row],[Kind:src]] ) = "", "",
        INDEX( meta_Classifiers[Display Qualified], MATCH( meta_Classifiers[[#This Row],[Kind:src]], meta_Classifiers[ID], 0 ) ) )</f>
        <v>Class</v>
      </c>
      <c r="D50" s="75">
        <v>47</v>
      </c>
      <c r="E50" s="75" t="s">
        <v>142</v>
      </c>
      <c r="F50" s="75"/>
      <c r="G50" s="5" t="str">
        <f>IF(LEFT(meta_Classifiers[[#This Row],[ID]],1)="_",RIGHT(meta_Classifiers[[#This Row],[ID]],LEN(meta_Classifiers[[#This Row],[ID]])-1),IF(TRIM(meta_Classifiers[[#This Row],[Package]])="","",TRIM(LOWER(meta_Classifiers[[#This Row],[Package]]))&amp;"::")&amp;meta_Classifiers[[#This Row],[Display]])</f>
        <v>Initialization</v>
      </c>
      <c r="H50" s="5" t="str">
        <f>IF(TRIM(meta_Classifiers[[#This Row],[Package]])="","",TRIM(LOWER(meta_Classifiers[[#This Row],[Package]]))&amp;"::")&amp;meta_Classifiers[[#This Row],[Display]]</f>
        <v>meta::Initialization</v>
      </c>
      <c r="I50" s="5" t="str">
        <f>IF(meta_Classifiers[[#This Row],[Kind:src]]="_Class",meta_Classifiers[[#This Row],[Display Qualified]],"")</f>
        <v>Initialization</v>
      </c>
      <c r="J50" s="5" t="str" cm="1">
        <f t="array" ref="J50">_xlfn.IFNA(INDEX(meta_Names[Camel Upper], MATCH(meta_Classifiers[[#This Row],[Name]],meta_Names[String],0)),camelCaseUpper(meta_Classifiers[[#This Row],[Name]]))</f>
        <v>Initialization</v>
      </c>
      <c r="K50" s="92" t="s">
        <v>38</v>
      </c>
      <c r="L50" s="75"/>
      <c r="M50" s="5" t="s">
        <v>217</v>
      </c>
      <c r="N50" s="75" t="str">
        <f xml:space="preserve"> IF( TRIM( meta_Classifiers[[#This Row],[Class - Generalization:src]] ) = "", "",
        INDEX( meta_Classifiers[Display Qualified], MATCH( meta_Classifiers[[#This Row],[Class - Generalization:src]], meta_Classifiers[ID], 0 ) ) )</f>
        <v>Rule</v>
      </c>
      <c r="O50" s="78" t="s">
        <v>110</v>
      </c>
      <c r="P50" s="96"/>
      <c r="Q50" s="85" t="str">
        <f xml:space="preserve"> IF( TRIM( meta_Classifiers[[#This Row],[Class - Display Property:src]] ) = "", "",
        INDEX( meta_TypedModelElements[Display Qualified], MATCH( meta_Classifiers[[#This Row],[Class - Display Property:src]], meta_TypedModelElements[ID], 0 ) ) )</f>
        <v/>
      </c>
      <c r="R50"/>
      <c r="S50" s="85" t="str">
        <f xml:space="preserve"> IF( TRIM( meta_Classifiers[[#This Row],[Class - Business ID Property:src]] ) = "", "",
        INDEX( meta_TypedModelElements[Display Qualified], MATCH( meta_Classifiers[[#This Row],[Class - Business ID Property:src]], meta_TypedModelElements[ID], 0 ) ) )</f>
        <v/>
      </c>
    </row>
    <row r="51" spans="1:19" ht="405" hidden="1">
      <c r="A51" s="5" t="s">
        <v>524</v>
      </c>
      <c r="B51" s="5" t="s">
        <v>163</v>
      </c>
      <c r="C51" s="75" t="str">
        <f xml:space="preserve"> IF( TRIM( meta_Classifiers[[#This Row],[Kind:src]] ) = "", "",
        INDEX( meta_Classifiers[Display Qualified], MATCH( meta_Classifiers[[#This Row],[Kind:src]], meta_Classifiers[ID], 0 ) ) )</f>
        <v>Class</v>
      </c>
      <c r="D51" s="75">
        <v>48</v>
      </c>
      <c r="E51" s="75" t="s">
        <v>142</v>
      </c>
      <c r="F51" s="75"/>
      <c r="G51" s="5" t="str">
        <f>IF(LEFT(meta_Classifiers[[#This Row],[ID]],1)="_",RIGHT(meta_Classifiers[[#This Row],[ID]],LEN(meta_Classifiers[[#This Row],[ID]])-1),IF(TRIM(meta_Classifiers[[#This Row],[Package]])="","",TRIM(LOWER(meta_Classifiers[[#This Row],[Package]]))&amp;"::")&amp;meta_Classifiers[[#This Row],[Display]])</f>
        <v>TablePattern</v>
      </c>
      <c r="H51" s="5" t="str">
        <f>IF(TRIM(meta_Classifiers[[#This Row],[Package]])="","",TRIM(LOWER(meta_Classifiers[[#This Row],[Package]]))&amp;"::")&amp;meta_Classifiers[[#This Row],[Display]]</f>
        <v>meta::TablePattern</v>
      </c>
      <c r="I51" s="5" t="str">
        <f>IF(meta_Classifiers[[#This Row],[Kind:src]]="_Class",meta_Classifiers[[#This Row],[Display Qualified]],"")</f>
        <v>TablePattern</v>
      </c>
      <c r="J51" s="5" t="str" cm="1">
        <f t="array" ref="J51">_xlfn.IFNA(INDEX(meta_Names[Camel Upper], MATCH(meta_Classifiers[[#This Row],[Name]],meta_Names[String],0)),camelCaseUpper(meta_Classifiers[[#This Row],[Name]]))</f>
        <v>TablePattern</v>
      </c>
      <c r="K51" s="92" t="s">
        <v>522</v>
      </c>
      <c r="L51" s="75"/>
      <c r="M51" s="5" t="s">
        <v>210</v>
      </c>
      <c r="N51" s="75" t="str">
        <f xml:space="preserve"> IF( TRIM( meta_Classifiers[[#This Row],[Class - Generalization:src]] ) = "", "",
        INDEX( meta_Classifiers[Display Qualified], MATCH( meta_Classifiers[[#This Row],[Class - Generalization:src]], meta_Classifiers[ID], 0 ) ) )</f>
        <v>NamedElement</v>
      </c>
      <c r="O51" s="78" t="s">
        <v>534</v>
      </c>
      <c r="P51" s="96"/>
      <c r="Q51" s="85" t="str">
        <f xml:space="preserve"> IF( TRIM( meta_Classifiers[[#This Row],[Class - Display Property:src]] ) = "", "",
        INDEX( meta_TypedModelElements[Display Qualified], MATCH( meta_Classifiers[[#This Row],[Class - Display Property:src]], meta_TypedModelElements[ID], 0 ) ) )</f>
        <v/>
      </c>
      <c r="R51"/>
      <c r="S51" s="85" t="str">
        <f xml:space="preserve"> IF( TRIM( meta_Classifiers[[#This Row],[Class - Business ID Property:src]] ) = "", "",
        INDEX( meta_TypedModelElements[Display Qualified], MATCH( meta_Classifiers[[#This Row],[Class - Business ID Property:src]], meta_TypedModelElements[ID], 0 ) ) )</f>
        <v/>
      </c>
    </row>
    <row r="52" spans="1:19" ht="375" hidden="1">
      <c r="A52" s="5" t="s">
        <v>525</v>
      </c>
      <c r="B52" s="5" t="s">
        <v>163</v>
      </c>
      <c r="C52" s="75" t="str">
        <f xml:space="preserve"> IF( TRIM( meta_Classifiers[[#This Row],[Kind:src]] ) = "", "",
        INDEX( meta_Classifiers[Display Qualified], MATCH( meta_Classifiers[[#This Row],[Kind:src]], meta_Classifiers[ID], 0 ) ) )</f>
        <v>Class</v>
      </c>
      <c r="D52" s="75">
        <v>49</v>
      </c>
      <c r="E52" s="75" t="s">
        <v>142</v>
      </c>
      <c r="F52" s="75"/>
      <c r="G52" s="5" t="str">
        <f>IF(LEFT(meta_Classifiers[[#This Row],[ID]],1)="_",RIGHT(meta_Classifiers[[#This Row],[ID]],LEN(meta_Classifiers[[#This Row],[ID]])-1),IF(TRIM(meta_Classifiers[[#This Row],[Package]])="","",TRIM(LOWER(meta_Classifiers[[#This Row],[Package]]))&amp;"::")&amp;meta_Classifiers[[#This Row],[Display]])</f>
        <v>CodeTemplate</v>
      </c>
      <c r="H52" s="5" t="str">
        <f>IF(TRIM(meta_Classifiers[[#This Row],[Package]])="","",TRIM(LOWER(meta_Classifiers[[#This Row],[Package]]))&amp;"::")&amp;meta_Classifiers[[#This Row],[Display]]</f>
        <v>meta::CodeTemplate</v>
      </c>
      <c r="I52" s="5" t="str">
        <f>IF(meta_Classifiers[[#This Row],[Kind:src]]="_Class",meta_Classifiers[[#This Row],[Display Qualified]],"")</f>
        <v>CodeTemplate</v>
      </c>
      <c r="J52" s="5" t="str" cm="1">
        <f t="array" ref="J52">_xlfn.IFNA(INDEX(meta_Names[Camel Upper], MATCH(meta_Classifiers[[#This Row],[Name]],meta_Names[String],0)),camelCaseUpper(meta_Classifiers[[#This Row],[Name]]))</f>
        <v>CodeTemplate</v>
      </c>
      <c r="K52" s="92" t="s">
        <v>523</v>
      </c>
      <c r="L52" s="75"/>
      <c r="M52" s="5" t="s">
        <v>160</v>
      </c>
      <c r="N52" s="75" t="str">
        <f xml:space="preserve"> IF( TRIM( meta_Classifiers[[#This Row],[Class - Generalization:src]] ) = "", "",
        INDEX( meta_Classifiers[Display Qualified], MATCH( meta_Classifiers[[#This Row],[Class - Generalization:src]], meta_Classifiers[ID], 0 ) ) )</f>
        <v>Object</v>
      </c>
      <c r="O52" s="78" t="s">
        <v>535</v>
      </c>
      <c r="P52" s="96"/>
      <c r="Q52" s="85" t="str">
        <f xml:space="preserve"> IF( TRIM( meta_Classifiers[[#This Row],[Class - Display Property:src]] ) = "", "",
        INDEX( meta_TypedModelElements[Display Qualified], MATCH( meta_Classifiers[[#This Row],[Class - Display Property:src]], meta_TypedModelElements[ID], 0 ) ) )</f>
        <v/>
      </c>
      <c r="R52"/>
      <c r="S52" s="85" t="str">
        <f xml:space="preserve"> IF( TRIM( meta_Classifiers[[#This Row],[Class - Business ID Property:src]] ) = "", "",
        INDEX( meta_TypedModelElements[Display Qualified], MATCH( meta_Classifiers[[#This Row],[Class - Business ID Property:src]], meta_TypedModelElements[ID], 0 ) ) )</f>
        <v/>
      </c>
    </row>
    <row r="53" spans="1:19" hidden="1">
      <c r="A53" s="5" t="s">
        <v>526</v>
      </c>
      <c r="B53" s="5" t="s">
        <v>163</v>
      </c>
      <c r="C53" s="75" t="str">
        <f xml:space="preserve"> IF( TRIM( meta_Classifiers[[#This Row],[Kind:src]] ) = "", "",
        INDEX( meta_Classifiers[Display Qualified], MATCH( meta_Classifiers[[#This Row],[Kind:src]], meta_Classifiers[ID], 0 ) ) )</f>
        <v>Class</v>
      </c>
      <c r="D53" s="75">
        <v>50</v>
      </c>
      <c r="E53" s="75" t="s">
        <v>142</v>
      </c>
      <c r="F53" s="75"/>
      <c r="G53" s="5" t="str">
        <f>IF(LEFT(meta_Classifiers[[#This Row],[ID]],1)="_",RIGHT(meta_Classifiers[[#This Row],[ID]],LEN(meta_Classifiers[[#This Row],[ID]])-1),IF(TRIM(meta_Classifiers[[#This Row],[Package]])="","",TRIM(LOWER(meta_Classifiers[[#This Row],[Package]]))&amp;"::")&amp;meta_Classifiers[[#This Row],[Display]])</f>
        <v>VisualBasic</v>
      </c>
      <c r="H53" s="5" t="str">
        <f>IF(TRIM(meta_Classifiers[[#This Row],[Package]])="","",TRIM(LOWER(meta_Classifiers[[#This Row],[Package]]))&amp;"::")&amp;meta_Classifiers[[#This Row],[Display]]</f>
        <v>meta::VisualBasic</v>
      </c>
      <c r="I53" s="5" t="str">
        <f>IF(meta_Classifiers[[#This Row],[Kind:src]]="_Class",meta_Classifiers[[#This Row],[Display Qualified]],"")</f>
        <v>VisualBasic</v>
      </c>
      <c r="J53" s="5" t="str" cm="1">
        <f t="array" ref="J53">_xlfn.IFNA(INDEX(meta_Names[Camel Upper], MATCH(meta_Classifiers[[#This Row],[Name]],meta_Names[String],0)),camelCaseUpper(meta_Classifiers[[#This Row],[Name]]))</f>
        <v>VisualBasic</v>
      </c>
      <c r="K53" s="92" t="s">
        <v>527</v>
      </c>
      <c r="L53" s="75"/>
      <c r="M53" s="5" t="s">
        <v>525</v>
      </c>
      <c r="N53" s="75" t="str">
        <f xml:space="preserve"> IF( TRIM( meta_Classifiers[[#This Row],[Class - Generalization:src]] ) = "", "",
        INDEX( meta_Classifiers[Display Qualified], MATCH( meta_Classifiers[[#This Row],[Class - Generalization:src]], meta_Classifiers[ID], 0 ) ) )</f>
        <v>CodeTemplate</v>
      </c>
      <c r="O53" s="78"/>
      <c r="P53" s="96"/>
      <c r="Q53" s="85" t="str">
        <f xml:space="preserve"> IF( TRIM( meta_Classifiers[[#This Row],[Class - Display Property:src]] ) = "", "",
        INDEX( meta_TypedModelElements[Display Qualified], MATCH( meta_Classifiers[[#This Row],[Class - Display Property:src]], meta_TypedModelElements[ID], 0 ) ) )</f>
        <v/>
      </c>
      <c r="R53"/>
      <c r="S53" s="85" t="str">
        <f xml:space="preserve"> IF( TRIM( meta_Classifiers[[#This Row],[Class - Business ID Property:src]] ) = "", "",
        INDEX( meta_TypedModelElements[Display Qualified], MATCH( meta_Classifiers[[#This Row],[Class - Business ID Property:src]], meta_TypedModelElements[ID], 0 ) ) )</f>
        <v/>
      </c>
    </row>
    <row r="54" spans="1:19" hidden="1">
      <c r="A54" s="5" t="s">
        <v>521</v>
      </c>
      <c r="B54" s="5" t="s">
        <v>163</v>
      </c>
      <c r="C54" s="75" t="str">
        <f xml:space="preserve"> IF( TRIM( meta_Classifiers[[#This Row],[Kind:src]] ) = "", "",
        INDEX( meta_Classifiers[Display Qualified], MATCH( meta_Classifiers[[#This Row],[Kind:src]], meta_Classifiers[ID], 0 ) ) )</f>
        <v>Class</v>
      </c>
      <c r="D54" s="75">
        <v>51</v>
      </c>
      <c r="E54" s="75" t="s">
        <v>142</v>
      </c>
      <c r="F54" s="75"/>
      <c r="G54" s="5" t="str">
        <f>IF(LEFT(meta_Classifiers[[#This Row],[ID]],1)="_",RIGHT(meta_Classifiers[[#This Row],[ID]],LEN(meta_Classifiers[[#This Row],[ID]])-1),IF(TRIM(meta_Classifiers[[#This Row],[Package]])="","",TRIM(LOWER(meta_Classifiers[[#This Row],[Package]]))&amp;"::")&amp;meta_Classifiers[[#This Row],[Display]])</f>
        <v>ExcelFormula</v>
      </c>
      <c r="H54" s="5" t="str">
        <f>IF(TRIM(meta_Classifiers[[#This Row],[Package]])="","",TRIM(LOWER(meta_Classifiers[[#This Row],[Package]]))&amp;"::")&amp;meta_Classifiers[[#This Row],[Display]]</f>
        <v>meta::ExcelFormula</v>
      </c>
      <c r="I54" s="5" t="str">
        <f>IF(meta_Classifiers[[#This Row],[Kind:src]]="_Class",meta_Classifiers[[#This Row],[Display Qualified]],"")</f>
        <v>ExcelFormula</v>
      </c>
      <c r="J54" s="5" t="str" cm="1">
        <f t="array" ref="J54">_xlfn.IFNA(INDEX(meta_Names[Camel Upper], MATCH(meta_Classifiers[[#This Row],[Name]],meta_Names[String],0)),camelCaseUpper(meta_Classifiers[[#This Row],[Name]]))</f>
        <v>ExcelFormula</v>
      </c>
      <c r="K54" s="92" t="s">
        <v>451</v>
      </c>
      <c r="L54" s="75"/>
      <c r="M54" s="5" t="s">
        <v>525</v>
      </c>
      <c r="N54" s="75" t="str">
        <f xml:space="preserve"> IF( TRIM( meta_Classifiers[[#This Row],[Class - Generalization:src]] ) = "", "",
        INDEX( meta_Classifiers[Display Qualified], MATCH( meta_Classifiers[[#This Row],[Class - Generalization:src]], meta_Classifiers[ID], 0 ) ) )</f>
        <v>CodeTemplate</v>
      </c>
      <c r="O54" s="78"/>
      <c r="P54" s="96"/>
      <c r="Q54" s="85" t="str">
        <f xml:space="preserve"> IF( TRIM( meta_Classifiers[[#This Row],[Class - Display Property:src]] ) = "", "",
        INDEX( meta_TypedModelElements[Display Qualified], MATCH( meta_Classifiers[[#This Row],[Class - Display Property:src]], meta_TypedModelElements[ID], 0 ) ) )</f>
        <v/>
      </c>
      <c r="R54"/>
      <c r="S54" s="85" t="str">
        <f xml:space="preserve"> IF( TRIM( meta_Classifiers[[#This Row],[Class - Business ID Property:src]] ) = "", "",
        INDEX( meta_TypedModelElements[Display Qualified], MATCH( meta_Classifiers[[#This Row],[Class - Business ID Property:src]], meta_TypedModelElements[ID], 0 ) ) )</f>
        <v/>
      </c>
    </row>
    <row r="55" spans="1:19" hidden="1">
      <c r="A55" s="5" t="s">
        <v>181</v>
      </c>
      <c r="B55" s="5" t="s">
        <v>164</v>
      </c>
      <c r="C55" s="75" t="str">
        <f xml:space="preserve"> IF( TRIM( meta_Classifiers[[#This Row],[Kind:src]] ) = "", "",
        INDEX( meta_Classifiers[Display Qualified], MATCH( meta_Classifiers[[#This Row],[Kind:src]], meta_Classifiers[ID], 0 ) ) )</f>
        <v>Datatype</v>
      </c>
      <c r="D55" s="75">
        <v>52</v>
      </c>
      <c r="E55" s="75" t="s">
        <v>142</v>
      </c>
      <c r="F55" s="75"/>
      <c r="G55" s="5" t="str">
        <f>IF(LEFT(meta_Classifiers[[#This Row],[ID]],1)="_",RIGHT(meta_Classifiers[[#This Row],[ID]],LEN(meta_Classifiers[[#This Row],[ID]])-1),IF(TRIM(meta_Classifiers[[#This Row],[Package]])="","",TRIM(LOWER(meta_Classifiers[[#This Row],[Package]]))&amp;"::")&amp;meta_Classifiers[[#This Row],[Display]])</f>
        <v>Boolean</v>
      </c>
      <c r="H55" s="5" t="str">
        <f>IF(TRIM(meta_Classifiers[[#This Row],[Package]])="","",TRIM(LOWER(meta_Classifiers[[#This Row],[Package]]))&amp;"::")&amp;meta_Classifiers[[#This Row],[Display]]</f>
        <v>meta::Boolean</v>
      </c>
      <c r="I55" s="5" t="str">
        <f>IF(meta_Classifiers[[#This Row],[Kind:src]]="_Class",meta_Classifiers[[#This Row],[Display Qualified]],"")</f>
        <v/>
      </c>
      <c r="J55" s="5" t="str" cm="1">
        <f t="array" ref="J55">_xlfn.IFNA(INDEX(meta_Names[Camel Upper], MATCH(meta_Classifiers[[#This Row],[Name]],meta_Names[String],0)),camelCaseUpper(meta_Classifiers[[#This Row],[Name]]))</f>
        <v>Boolean</v>
      </c>
      <c r="K55" s="92" t="s">
        <v>48</v>
      </c>
      <c r="L55" s="75"/>
      <c r="M55" s="5" t="s">
        <v>1470</v>
      </c>
      <c r="N55" s="75" t="str">
        <f xml:space="preserve"> IF( TRIM( meta_Classifiers[[#This Row],[Class - Generalization:src]] ) = "", "",
        INDEX( meta_Classifiers[Display Qualified], MATCH( meta_Classifiers[[#This Row],[Class - Generalization:src]], meta_Classifiers[ID], 0 ) ) )</f>
        <v/>
      </c>
      <c r="O55" s="78" t="s">
        <v>111</v>
      </c>
      <c r="P55" s="96"/>
      <c r="Q55" s="85" t="str">
        <f xml:space="preserve"> IF( TRIM( meta_Classifiers[[#This Row],[Class - Display Property:src]] ) = "", "",
        INDEX( meta_TypedModelElements[Display Qualified], MATCH( meta_Classifiers[[#This Row],[Class - Display Property:src]], meta_TypedModelElements[ID], 0 ) ) )</f>
        <v/>
      </c>
      <c r="R55"/>
      <c r="S55" s="85" t="str">
        <f xml:space="preserve"> IF( TRIM( meta_Classifiers[[#This Row],[Class - Business ID Property:src]] ) = "", "",
        INDEX( meta_TypedModelElements[Display Qualified], MATCH( meta_Classifiers[[#This Row],[Class - Business ID Property:src]], meta_TypedModelElements[ID], 0 ) ) )</f>
        <v/>
      </c>
    </row>
    <row r="56" spans="1:19" hidden="1">
      <c r="A56" s="5" t="s">
        <v>184</v>
      </c>
      <c r="B56" s="5" t="s">
        <v>164</v>
      </c>
      <c r="C56" s="75" t="str">
        <f xml:space="preserve"> IF( TRIM( meta_Classifiers[[#This Row],[Kind:src]] ) = "", "",
        INDEX( meta_Classifiers[Display Qualified], MATCH( meta_Classifiers[[#This Row],[Kind:src]], meta_Classifiers[ID], 0 ) ) )</f>
        <v>Datatype</v>
      </c>
      <c r="D56" s="75">
        <v>53</v>
      </c>
      <c r="E56" s="75" t="s">
        <v>142</v>
      </c>
      <c r="F56" s="75"/>
      <c r="G56" s="5" t="str">
        <f>IF(LEFT(meta_Classifiers[[#This Row],[ID]],1)="_",RIGHT(meta_Classifiers[[#This Row],[ID]],LEN(meta_Classifiers[[#This Row],[ID]])-1),IF(TRIM(meta_Classifiers[[#This Row],[Package]])="","",TRIM(LOWER(meta_Classifiers[[#This Row],[Package]]))&amp;"::")&amp;meta_Classifiers[[#This Row],[Display]])</f>
        <v>Integer</v>
      </c>
      <c r="H56" s="5" t="str">
        <f>IF(TRIM(meta_Classifiers[[#This Row],[Package]])="","",TRIM(LOWER(meta_Classifiers[[#This Row],[Package]]))&amp;"::")&amp;meta_Classifiers[[#This Row],[Display]]</f>
        <v>meta::Integer</v>
      </c>
      <c r="I56" s="5" t="str">
        <f>IF(meta_Classifiers[[#This Row],[Kind:src]]="_Class",meta_Classifiers[[#This Row],[Display Qualified]],"")</f>
        <v/>
      </c>
      <c r="J56" s="5" t="str" cm="1">
        <f t="array" ref="J56">_xlfn.IFNA(INDEX(meta_Names[Camel Upper], MATCH(meta_Classifiers[[#This Row],[Name]],meta_Names[String],0)),camelCaseUpper(meta_Classifiers[[#This Row],[Name]]))</f>
        <v>Integer</v>
      </c>
      <c r="K56" s="92" t="s">
        <v>186</v>
      </c>
      <c r="L56" s="75"/>
      <c r="M56" s="5" t="s">
        <v>1470</v>
      </c>
      <c r="N56" s="75" t="str">
        <f xml:space="preserve"> IF( TRIM( meta_Classifiers[[#This Row],[Class - Generalization:src]] ) = "", "",
        INDEX( meta_Classifiers[Display Qualified], MATCH( meta_Classifiers[[#This Row],[Class - Generalization:src]], meta_Classifiers[ID], 0 ) ) )</f>
        <v/>
      </c>
      <c r="O56" s="78"/>
      <c r="P56" s="96"/>
      <c r="Q56" s="85" t="str">
        <f xml:space="preserve"> IF( TRIM( meta_Classifiers[[#This Row],[Class - Display Property:src]] ) = "", "",
        INDEX( meta_TypedModelElements[Display Qualified], MATCH( meta_Classifiers[[#This Row],[Class - Display Property:src]], meta_TypedModelElements[ID], 0 ) ) )</f>
        <v/>
      </c>
      <c r="R56"/>
      <c r="S56" s="85" t="str">
        <f xml:space="preserve"> IF( TRIM( meta_Classifiers[[#This Row],[Class - Business ID Property:src]] ) = "", "",
        INDEX( meta_TypedModelElements[Display Qualified], MATCH( meta_Classifiers[[#This Row],[Class - Business ID Property:src]], meta_TypedModelElements[ID], 0 ) ) )</f>
        <v/>
      </c>
    </row>
    <row r="57" spans="1:19" hidden="1">
      <c r="A57" s="5" t="s">
        <v>185</v>
      </c>
      <c r="B57" s="5" t="s">
        <v>164</v>
      </c>
      <c r="C57" s="75" t="str">
        <f xml:space="preserve"> IF( TRIM( meta_Classifiers[[#This Row],[Kind:src]] ) = "", "",
        INDEX( meta_Classifiers[Display Qualified], MATCH( meta_Classifiers[[#This Row],[Kind:src]], meta_Classifiers[ID], 0 ) ) )</f>
        <v>Datatype</v>
      </c>
      <c r="D57" s="75">
        <v>54</v>
      </c>
      <c r="E57" s="75" t="s">
        <v>142</v>
      </c>
      <c r="F57" s="75"/>
      <c r="G57" s="5" t="str">
        <f>IF(LEFT(meta_Classifiers[[#This Row],[ID]],1)="_",RIGHT(meta_Classifiers[[#This Row],[ID]],LEN(meta_Classifiers[[#This Row],[ID]])-1),IF(TRIM(meta_Classifiers[[#This Row],[Package]])="","",TRIM(LOWER(meta_Classifiers[[#This Row],[Package]]))&amp;"::")&amp;meta_Classifiers[[#This Row],[Display]])</f>
        <v>Real</v>
      </c>
      <c r="H57" s="5" t="str">
        <f>IF(TRIM(meta_Classifiers[[#This Row],[Package]])="","",TRIM(LOWER(meta_Classifiers[[#This Row],[Package]]))&amp;"::")&amp;meta_Classifiers[[#This Row],[Display]]</f>
        <v>meta::Real</v>
      </c>
      <c r="I57" s="5" t="str">
        <f>IF(meta_Classifiers[[#This Row],[Kind:src]]="_Class",meta_Classifiers[[#This Row],[Display Qualified]],"")</f>
        <v/>
      </c>
      <c r="J57" s="5" t="str" cm="1">
        <f t="array" ref="J57">_xlfn.IFNA(INDEX(meta_Names[Camel Upper], MATCH(meta_Classifiers[[#This Row],[Name]],meta_Names[String],0)),camelCaseUpper(meta_Classifiers[[#This Row],[Name]]))</f>
        <v>Real</v>
      </c>
      <c r="K57" s="92" t="s">
        <v>187</v>
      </c>
      <c r="L57" s="75"/>
      <c r="M57" s="5" t="s">
        <v>1470</v>
      </c>
      <c r="N57" s="75" t="str">
        <f xml:space="preserve"> IF( TRIM( meta_Classifiers[[#This Row],[Class - Generalization:src]] ) = "", "",
        INDEX( meta_Classifiers[Display Qualified], MATCH( meta_Classifiers[[#This Row],[Class - Generalization:src]], meta_Classifiers[ID], 0 ) ) )</f>
        <v/>
      </c>
      <c r="O57" s="78"/>
      <c r="P57" s="96"/>
      <c r="Q57" s="85" t="str">
        <f xml:space="preserve"> IF( TRIM( meta_Classifiers[[#This Row],[Class - Display Property:src]] ) = "", "",
        INDEX( meta_TypedModelElements[Display Qualified], MATCH( meta_Classifiers[[#This Row],[Class - Display Property:src]], meta_TypedModelElements[ID], 0 ) ) )</f>
        <v/>
      </c>
      <c r="R57"/>
      <c r="S57" s="85" t="str">
        <f xml:space="preserve"> IF( TRIM( meta_Classifiers[[#This Row],[Class - Business ID Property:src]] ) = "", "",
        INDEX( meta_TypedModelElements[Display Qualified], MATCH( meta_Classifiers[[#This Row],[Class - Business ID Property:src]], meta_TypedModelElements[ID], 0 ) ) )</f>
        <v/>
      </c>
    </row>
    <row r="58" spans="1:19" hidden="1">
      <c r="A58" s="5" t="s">
        <v>182</v>
      </c>
      <c r="B58" s="5" t="s">
        <v>164</v>
      </c>
      <c r="C58" s="75" t="str">
        <f xml:space="preserve"> IF( TRIM( meta_Classifiers[[#This Row],[Kind:src]] ) = "", "",
        INDEX( meta_Classifiers[Display Qualified], MATCH( meta_Classifiers[[#This Row],[Kind:src]], meta_Classifiers[ID], 0 ) ) )</f>
        <v>Datatype</v>
      </c>
      <c r="D58" s="75">
        <v>55</v>
      </c>
      <c r="E58" s="75" t="s">
        <v>142</v>
      </c>
      <c r="F58" s="75"/>
      <c r="G58" s="5" t="str">
        <f>IF(LEFT(meta_Classifiers[[#This Row],[ID]],1)="_",RIGHT(meta_Classifiers[[#This Row],[ID]],LEN(meta_Classifiers[[#This Row],[ID]])-1),IF(TRIM(meta_Classifiers[[#This Row],[Package]])="","",TRIM(LOWER(meta_Classifiers[[#This Row],[Package]]))&amp;"::")&amp;meta_Classifiers[[#This Row],[Display]])</f>
        <v>DateYYYY_MM_DD</v>
      </c>
      <c r="H58" s="5" t="str">
        <f>IF(TRIM(meta_Classifiers[[#This Row],[Package]])="","",TRIM(LOWER(meta_Classifiers[[#This Row],[Package]]))&amp;"::")&amp;meta_Classifiers[[#This Row],[Display]]</f>
        <v>meta::DateYYYY_MmDD</v>
      </c>
      <c r="I58" s="5" t="str">
        <f>IF(meta_Classifiers[[#This Row],[Kind:src]]="_Class",meta_Classifiers[[#This Row],[Display Qualified]],"")</f>
        <v/>
      </c>
      <c r="J58" s="5" t="str" cm="1">
        <f t="array" ref="J58">_xlfn.IFNA(INDEX(meta_Names[Camel Upper], MATCH(meta_Classifiers[[#This Row],[Name]],meta_Names[String],0)),camelCaseUpper(meta_Classifiers[[#This Row],[Name]]))</f>
        <v>DateYYYY_MmDD</v>
      </c>
      <c r="K58" s="92" t="s">
        <v>183</v>
      </c>
      <c r="L58" s="75"/>
      <c r="M58" s="5" t="s">
        <v>1470</v>
      </c>
      <c r="N58" s="75" t="str">
        <f xml:space="preserve"> IF( TRIM( meta_Classifiers[[#This Row],[Class - Generalization:src]] ) = "", "",
        INDEX( meta_Classifiers[Display Qualified], MATCH( meta_Classifiers[[#This Row],[Class - Generalization:src]], meta_Classifiers[ID], 0 ) ) )</f>
        <v/>
      </c>
      <c r="O58" s="78"/>
      <c r="P58" s="96"/>
      <c r="Q58" s="85" t="str">
        <f xml:space="preserve"> IF( TRIM( meta_Classifiers[[#This Row],[Class - Display Property:src]] ) = "", "",
        INDEX( meta_TypedModelElements[Display Qualified], MATCH( meta_Classifiers[[#This Row],[Class - Display Property:src]], meta_TypedModelElements[ID], 0 ) ) )</f>
        <v/>
      </c>
      <c r="R58"/>
      <c r="S58" s="85" t="str">
        <f xml:space="preserve"> IF( TRIM( meta_Classifiers[[#This Row],[Class - Business ID Property:src]] ) = "", "",
        INDEX( meta_TypedModelElements[Display Qualified], MATCH( meta_Classifiers[[#This Row],[Class - Business ID Property:src]], meta_TypedModelElements[ID], 0 ) ) )</f>
        <v/>
      </c>
    </row>
    <row r="59" spans="1:19" hidden="1">
      <c r="A59" s="5" t="s">
        <v>180</v>
      </c>
      <c r="B59" s="5" t="s">
        <v>164</v>
      </c>
      <c r="C59" s="75" t="str">
        <f xml:space="preserve"> IF( TRIM( meta_Classifiers[[#This Row],[Kind:src]] ) = "", "",
        INDEX( meta_Classifiers[Display Qualified], MATCH( meta_Classifiers[[#This Row],[Kind:src]], meta_Classifiers[ID], 0 ) ) )</f>
        <v>Datatype</v>
      </c>
      <c r="D59" s="75">
        <v>56</v>
      </c>
      <c r="E59" s="75" t="s">
        <v>142</v>
      </c>
      <c r="F59" s="75"/>
      <c r="G59" s="5" t="str">
        <f>IF(LEFT(meta_Classifiers[[#This Row],[ID]],1)="_",RIGHT(meta_Classifiers[[#This Row],[ID]],LEN(meta_Classifiers[[#This Row],[ID]])-1),IF(TRIM(meta_Classifiers[[#This Row],[Package]])="","",TRIM(LOWER(meta_Classifiers[[#This Row],[Package]]))&amp;"::")&amp;meta_Classifiers[[#This Row],[Display]])</f>
        <v>String</v>
      </c>
      <c r="H59" s="5" t="str">
        <f>IF(TRIM(meta_Classifiers[[#This Row],[Package]])="","",TRIM(LOWER(meta_Classifiers[[#This Row],[Package]]))&amp;"::")&amp;meta_Classifiers[[#This Row],[Display]]</f>
        <v>meta::String</v>
      </c>
      <c r="I59" s="5" t="str">
        <f>IF(meta_Classifiers[[#This Row],[Kind:src]]="_Class",meta_Classifiers[[#This Row],[Display Qualified]],"")</f>
        <v/>
      </c>
      <c r="J59" s="5" t="str" cm="1">
        <f t="array" ref="J59">_xlfn.IFNA(INDEX(meta_Names[Camel Upper], MATCH(meta_Classifiers[[#This Row],[Name]],meta_Names[String],0)),camelCaseUpper(meta_Classifiers[[#This Row],[Name]]))</f>
        <v>String</v>
      </c>
      <c r="K59" s="92" t="s">
        <v>18</v>
      </c>
      <c r="L59" s="75"/>
      <c r="M59" s="5" t="s">
        <v>1470</v>
      </c>
      <c r="N59" s="75" t="str">
        <f xml:space="preserve"> IF( TRIM( meta_Classifiers[[#This Row],[Class - Generalization:src]] ) = "", "",
        INDEX( meta_Classifiers[Display Qualified], MATCH( meta_Classifiers[[#This Row],[Class - Generalization:src]], meta_Classifiers[ID], 0 ) ) )</f>
        <v/>
      </c>
      <c r="O59" s="78" t="s">
        <v>112</v>
      </c>
      <c r="P59" s="96"/>
      <c r="Q59" s="85" t="str">
        <f xml:space="preserve"> IF( TRIM( meta_Classifiers[[#This Row],[Class - Display Property:src]] ) = "", "",
        INDEX( meta_TypedModelElements[Display Qualified], MATCH( meta_Classifiers[[#This Row],[Class - Display Property:src]], meta_TypedModelElements[ID], 0 ) ) )</f>
        <v/>
      </c>
      <c r="R59"/>
      <c r="S59" s="85" t="str">
        <f xml:space="preserve"> IF( TRIM( meta_Classifiers[[#This Row],[Class - Business ID Property:src]] ) = "", "",
        INDEX( meta_TypedModelElements[Display Qualified], MATCH( meta_Classifiers[[#This Row],[Class - Business ID Property:src]], meta_TypedModelElements[ID], 0 ) ) )</f>
        <v/>
      </c>
    </row>
    <row r="60" spans="1:19" hidden="1">
      <c r="A60" s="5" t="s">
        <v>126</v>
      </c>
      <c r="B60" s="5" t="s">
        <v>163</v>
      </c>
      <c r="C60" s="75" t="str">
        <f xml:space="preserve"> IF( TRIM( meta_Classifiers[[#This Row],[Kind:src]] ) = "", "",
        INDEX( meta_Classifiers[Display Qualified], MATCH( meta_Classifiers[[#This Row],[Kind:src]], meta_Classifiers[ID], 0 ) ) )</f>
        <v>Class</v>
      </c>
      <c r="D60" s="75">
        <v>57</v>
      </c>
      <c r="E60" s="75" t="s">
        <v>143</v>
      </c>
      <c r="F60" s="75"/>
      <c r="G60" s="5" t="str">
        <f>IF(LEFT(meta_Classifiers[[#This Row],[ID]],1)="_",RIGHT(meta_Classifiers[[#This Row],[ID]],LEN(meta_Classifiers[[#This Row],[ID]])-1),IF(TRIM(meta_Classifiers[[#This Row],[Package]])="","",TRIM(LOWER(meta_Classifiers[[#This Row],[Package]]))&amp;"::")&amp;meta_Classifiers[[#This Row],[Display]])</f>
        <v>belowred::Table1Row</v>
      </c>
      <c r="H60" s="5" t="str">
        <f>IF(TRIM(meta_Classifiers[[#This Row],[Package]])="","",TRIM(LOWER(meta_Classifiers[[#This Row],[Package]]))&amp;"::")&amp;meta_Classifiers[[#This Row],[Display]]</f>
        <v>belowred::Table1Row</v>
      </c>
      <c r="I60" s="5" t="str">
        <f>IF(meta_Classifiers[[#This Row],[Kind:src]]="_Class",meta_Classifiers[[#This Row],[Display Qualified]],"")</f>
        <v>belowred::Table1Row</v>
      </c>
      <c r="J60" s="5" t="str" cm="1">
        <f t="array" ref="J60">_xlfn.IFNA(INDEX(meta_Names[Camel Upper], MATCH(meta_Classifiers[[#This Row],[Name]],meta_Names[String],0)),camelCaseUpper(meta_Classifiers[[#This Row],[Name]]))</f>
        <v>Table1Row</v>
      </c>
      <c r="K60" s="92" t="s">
        <v>128</v>
      </c>
      <c r="L60" s="75"/>
      <c r="M60" s="5" t="s">
        <v>160</v>
      </c>
      <c r="N60" s="75" t="str">
        <f xml:space="preserve"> IF( TRIM( meta_Classifiers[[#This Row],[Class - Generalization:src]] ) = "", "",
        INDEX( meta_Classifiers[Display Qualified], MATCH( meta_Classifiers[[#This Row],[Class - Generalization:src]], meta_Classifiers[ID], 0 ) ) )</f>
        <v>Object</v>
      </c>
      <c r="O60" s="78"/>
      <c r="P60" s="96"/>
      <c r="Q60" s="85" t="str">
        <f xml:space="preserve"> IF( TRIM( meta_Classifiers[[#This Row],[Class - Display Property:src]] ) = "", "",
        INDEX( meta_TypedModelElements[Display Qualified], MATCH( meta_Classifiers[[#This Row],[Class - Display Property:src]], meta_TypedModelElements[ID], 0 ) ) )</f>
        <v/>
      </c>
      <c r="R60"/>
      <c r="S60" s="85" t="str">
        <f xml:space="preserve"> IF( TRIM( meta_Classifiers[[#This Row],[Class - Business ID Property:src]] ) = "", "",
        INDEX( meta_TypedModelElements[Display Qualified], MATCH( meta_Classifiers[[#This Row],[Class - Business ID Property:src]], meta_TypedModelElements[ID], 0 ) ) )</f>
        <v/>
      </c>
    </row>
    <row r="61" spans="1:19" ht="30" hidden="1">
      <c r="A61" s="5" t="s">
        <v>127</v>
      </c>
      <c r="B61" s="5" t="s">
        <v>163</v>
      </c>
      <c r="C61" s="75" t="str">
        <f xml:space="preserve"> IF( TRIM( meta_Classifiers[[#This Row],[Kind:src]] ) = "", "",
        INDEX( meta_Classifiers[Display Qualified], MATCH( meta_Classifiers[[#This Row],[Kind:src]], meta_Classifiers[ID], 0 ) ) )</f>
        <v>Class</v>
      </c>
      <c r="D61" s="75">
        <v>58</v>
      </c>
      <c r="E61" s="75" t="s">
        <v>143</v>
      </c>
      <c r="F61" s="75"/>
      <c r="G61" s="5" t="str">
        <f>IF(LEFT(meta_Classifiers[[#This Row],[ID]],1)="_",RIGHT(meta_Classifiers[[#This Row],[ID]],LEN(meta_Classifiers[[#This Row],[ID]])-1),IF(TRIM(meta_Classifiers[[#This Row],[Package]])="","",TRIM(LOWER(meta_Classifiers[[#This Row],[Package]]))&amp;"::")&amp;meta_Classifiers[[#This Row],[Display]])</f>
        <v>belowred::Table2Row</v>
      </c>
      <c r="H61" s="5" t="str">
        <f>IF(TRIM(meta_Classifiers[[#This Row],[Package]])="","",TRIM(LOWER(meta_Classifiers[[#This Row],[Package]]))&amp;"::")&amp;meta_Classifiers[[#This Row],[Display]]</f>
        <v>belowred::Table2Row</v>
      </c>
      <c r="I61" s="5" t="str">
        <f>IF(meta_Classifiers[[#This Row],[Kind:src]]="_Class",meta_Classifiers[[#This Row],[Display Qualified]],"")</f>
        <v>belowred::Table2Row</v>
      </c>
      <c r="J61" s="5" t="str" cm="1">
        <f t="array" ref="J61">_xlfn.IFNA(INDEX(meta_Names[Camel Upper], MATCH(meta_Classifiers[[#This Row],[Name]],meta_Names[String],0)),camelCaseUpper(meta_Classifiers[[#This Row],[Name]]))</f>
        <v>Table2Row</v>
      </c>
      <c r="K61" s="92" t="s">
        <v>129</v>
      </c>
      <c r="L61" s="75"/>
      <c r="M61" s="5" t="s">
        <v>160</v>
      </c>
      <c r="N61" s="75" t="str">
        <f xml:space="preserve"> IF( TRIM( meta_Classifiers[[#This Row],[Class - Generalization:src]] ) = "", "",
        INDEX( meta_Classifiers[Display Qualified], MATCH( meta_Classifiers[[#This Row],[Class - Generalization:src]], meta_Classifiers[ID], 0 ) ) )</f>
        <v>Object</v>
      </c>
      <c r="O61" s="78"/>
      <c r="P61" s="96" t="s">
        <v>805</v>
      </c>
      <c r="Q61" s="85" t="str">
        <f xml:space="preserve"> IF( TRIM( meta_Classifiers[[#This Row],[Class - Display Property:src]] ) = "", "",
        INDEX( meta_TypedModelElements[Display Qualified], MATCH( meta_Classifiers[[#This Row],[Class - Display Property:src]], meta_TypedModelElements[ID], 0 ) ) )</f>
        <v>belowred::Object.t_2Name</v>
      </c>
      <c r="R61"/>
      <c r="S61" s="85" t="str">
        <f xml:space="preserve"> IF( TRIM( meta_Classifiers[[#This Row],[Class - Business ID Property:src]] ) = "", "",
        INDEX( meta_TypedModelElements[Display Qualified], MATCH( meta_Classifiers[[#This Row],[Class - Business ID Property:src]], meta_TypedModelElements[ID], 0 ) ) )</f>
        <v/>
      </c>
    </row>
    <row r="62" spans="1:19" ht="30" hidden="1">
      <c r="A62" s="5" t="s">
        <v>696</v>
      </c>
      <c r="B62" s="5" t="s">
        <v>163</v>
      </c>
      <c r="C62" s="75" t="str">
        <f xml:space="preserve"> IF( TRIM( meta_Classifiers[[#This Row],[Kind:src]] ) = "", "",
        INDEX( meta_Classifiers[Display Qualified], MATCH( meta_Classifiers[[#This Row],[Kind:src]], meta_Classifiers[ID], 0 ) ) )</f>
        <v>Class</v>
      </c>
      <c r="D62" s="75">
        <v>59</v>
      </c>
      <c r="E62" s="75" t="s">
        <v>660</v>
      </c>
      <c r="F62" s="75"/>
      <c r="G62" s="5" t="str">
        <f>IF(LEFT(meta_Classifiers[[#This Row],[ID]],1)="_",RIGHT(meta_Classifiers[[#This Row],[ID]],LEN(meta_Classifiers[[#This Row],[ID]])-1),IF(TRIM(meta_Classifiers[[#This Row],[Package]])="","",TRIM(LOWER(meta_Classifiers[[#This Row],[Package]]))&amp;"::")&amp;meta_Classifiers[[#This Row],[Display]])</f>
        <v>finance::Portfolio</v>
      </c>
      <c r="H62" s="5" t="str">
        <f>IF(TRIM(meta_Classifiers[[#This Row],[Package]])="","",TRIM(LOWER(meta_Classifiers[[#This Row],[Package]]))&amp;"::")&amp;meta_Classifiers[[#This Row],[Display]]</f>
        <v>finance::Portfolio</v>
      </c>
      <c r="I62" s="5" t="str">
        <f>IF(meta_Classifiers[[#This Row],[Kind:src]]="_Class",meta_Classifiers[[#This Row],[Display Qualified]],"")</f>
        <v>finance::Portfolio</v>
      </c>
      <c r="J62" s="5" t="str" cm="1">
        <f t="array" ref="J62">_xlfn.IFNA(INDEX(meta_Names[Camel Upper], MATCH(meta_Classifiers[[#This Row],[Name]],meta_Names[String],0)),camelCaseUpper(meta_Classifiers[[#This Row],[Name]]))</f>
        <v>Portfolio</v>
      </c>
      <c r="K62" s="92" t="s">
        <v>682</v>
      </c>
      <c r="L62" s="75"/>
      <c r="M62" s="5" t="s">
        <v>160</v>
      </c>
      <c r="N62" s="75" t="str">
        <f xml:space="preserve"> IF( TRIM( meta_Classifiers[[#This Row],[Class - Generalization:src]] ) = "", "",
        INDEX( meta_Classifiers[Display Qualified], MATCH( meta_Classifiers[[#This Row],[Class - Generalization:src]], meta_Classifiers[ID], 0 ) ) )</f>
        <v>Object</v>
      </c>
      <c r="O62" s="78" t="s">
        <v>665</v>
      </c>
      <c r="P62" s="96"/>
      <c r="Q62" s="85" t="str">
        <f xml:space="preserve"> IF( TRIM( meta_Classifiers[[#This Row],[Class - Display Property:src]] ) = "", "",
        INDEX( meta_TypedModelElements[Display Qualified], MATCH( meta_Classifiers[[#This Row],[Class - Display Property:src]], meta_TypedModelElements[ID], 0 ) ) )</f>
        <v/>
      </c>
      <c r="R62"/>
      <c r="S62" s="85" t="str">
        <f xml:space="preserve"> IF( TRIM( meta_Classifiers[[#This Row],[Class - Business ID Property:src]] ) = "", "",
        INDEX( meta_TypedModelElements[Display Qualified], MATCH( meta_Classifiers[[#This Row],[Class - Business ID Property:src]], meta_TypedModelElements[ID], 0 ) ) )</f>
        <v/>
      </c>
    </row>
    <row r="63" spans="1:19" ht="30" hidden="1">
      <c r="A63" s="5" t="s">
        <v>697</v>
      </c>
      <c r="B63" s="5" t="s">
        <v>163</v>
      </c>
      <c r="C63" s="75" t="str">
        <f xml:space="preserve"> IF( TRIM( meta_Classifiers[[#This Row],[Kind:src]] ) = "", "",
        INDEX( meta_Classifiers[Display Qualified], MATCH( meta_Classifiers[[#This Row],[Kind:src]], meta_Classifiers[ID], 0 ) ) )</f>
        <v>Class</v>
      </c>
      <c r="D63" s="75">
        <v>60</v>
      </c>
      <c r="E63" s="75" t="s">
        <v>660</v>
      </c>
      <c r="F63" s="75"/>
      <c r="G63" s="5" t="str">
        <f>IF(LEFT(meta_Classifiers[[#This Row],[ID]],1)="_",RIGHT(meta_Classifiers[[#This Row],[ID]],LEN(meta_Classifiers[[#This Row],[ID]])-1),IF(TRIM(meta_Classifiers[[#This Row],[Package]])="","",TRIM(LOWER(meta_Classifiers[[#This Row],[Package]]))&amp;"::")&amp;meta_Classifiers[[#This Row],[Display]])</f>
        <v>finance::Position</v>
      </c>
      <c r="H63" s="5" t="str">
        <f>IF(TRIM(meta_Classifiers[[#This Row],[Package]])="","",TRIM(LOWER(meta_Classifiers[[#This Row],[Package]]))&amp;"::")&amp;meta_Classifiers[[#This Row],[Display]]</f>
        <v>finance::Position</v>
      </c>
      <c r="I63" s="5" t="str">
        <f>IF(meta_Classifiers[[#This Row],[Kind:src]]="_Class",meta_Classifiers[[#This Row],[Display Qualified]],"")</f>
        <v>finance::Position</v>
      </c>
      <c r="J63" s="5" t="str" cm="1">
        <f t="array" ref="J63">_xlfn.IFNA(INDEX(meta_Names[Camel Upper], MATCH(meta_Classifiers[[#This Row],[Name]],meta_Names[String],0)),camelCaseUpper(meta_Classifiers[[#This Row],[Name]]))</f>
        <v>Position</v>
      </c>
      <c r="K63" s="92" t="s">
        <v>465</v>
      </c>
      <c r="L63" s="75"/>
      <c r="M63" s="5" t="s">
        <v>160</v>
      </c>
      <c r="N63" s="75" t="str">
        <f xml:space="preserve"> IF( TRIM( meta_Classifiers[[#This Row],[Class - Generalization:src]] ) = "", "",
        INDEX( meta_Classifiers[Display Qualified], MATCH( meta_Classifiers[[#This Row],[Class - Generalization:src]], meta_Classifiers[ID], 0 ) ) )</f>
        <v>Object</v>
      </c>
      <c r="O63" s="78" t="s">
        <v>666</v>
      </c>
      <c r="P63" s="96"/>
      <c r="Q63" s="85" t="str">
        <f xml:space="preserve"> IF( TRIM( meta_Classifiers[[#This Row],[Class - Display Property:src]] ) = "", "",
        INDEX( meta_TypedModelElements[Display Qualified], MATCH( meta_Classifiers[[#This Row],[Class - Display Property:src]], meta_TypedModelElements[ID], 0 ) ) )</f>
        <v/>
      </c>
      <c r="R63"/>
      <c r="S63" s="85" t="str">
        <f xml:space="preserve"> IF( TRIM( meta_Classifiers[[#This Row],[Class - Business ID Property:src]] ) = "", "",
        INDEX( meta_TypedModelElements[Display Qualified], MATCH( meta_Classifiers[[#This Row],[Class - Business ID Property:src]], meta_TypedModelElements[ID], 0 ) ) )</f>
        <v/>
      </c>
    </row>
    <row r="64" spans="1:19" ht="45" hidden="1">
      <c r="A64" s="5" t="s">
        <v>698</v>
      </c>
      <c r="B64" s="5" t="s">
        <v>163</v>
      </c>
      <c r="C64" s="75" t="str">
        <f xml:space="preserve"> IF( TRIM( meta_Classifiers[[#This Row],[Kind:src]] ) = "", "",
        INDEX( meta_Classifiers[Display Qualified], MATCH( meta_Classifiers[[#This Row],[Kind:src]], meta_Classifiers[ID], 0 ) ) )</f>
        <v>Class</v>
      </c>
      <c r="D64" s="75">
        <v>61</v>
      </c>
      <c r="E64" s="75" t="s">
        <v>660</v>
      </c>
      <c r="F64" s="75"/>
      <c r="G64" s="5" t="str">
        <f>IF(LEFT(meta_Classifiers[[#This Row],[ID]],1)="_",RIGHT(meta_Classifiers[[#This Row],[ID]],LEN(meta_Classifiers[[#This Row],[ID]])-1),IF(TRIM(meta_Classifiers[[#This Row],[Package]])="","",TRIM(LOWER(meta_Classifiers[[#This Row],[Package]]))&amp;"::")&amp;meta_Classifiers[[#This Row],[Display]])</f>
        <v>finance::Security</v>
      </c>
      <c r="H64" s="5" t="str">
        <f>IF(TRIM(meta_Classifiers[[#This Row],[Package]])="","",TRIM(LOWER(meta_Classifiers[[#This Row],[Package]]))&amp;"::")&amp;meta_Classifiers[[#This Row],[Display]]</f>
        <v>finance::Security</v>
      </c>
      <c r="I64" s="5" t="str">
        <f>IF(meta_Classifiers[[#This Row],[Kind:src]]="_Class",meta_Classifiers[[#This Row],[Display Qualified]],"")</f>
        <v>finance::Security</v>
      </c>
      <c r="J64" s="5" t="str" cm="1">
        <f t="array" ref="J64">_xlfn.IFNA(INDEX(meta_Names[Camel Upper], MATCH(meta_Classifiers[[#This Row],[Name]],meta_Names[String],0)),camelCaseUpper(meta_Classifiers[[#This Row],[Name]]))</f>
        <v>Security</v>
      </c>
      <c r="K64" s="92" t="s">
        <v>664</v>
      </c>
      <c r="L64" s="75"/>
      <c r="M64" s="5" t="s">
        <v>160</v>
      </c>
      <c r="N64" s="75" t="str">
        <f xml:space="preserve"> IF( TRIM( meta_Classifiers[[#This Row],[Class - Generalization:src]] ) = "", "",
        INDEX( meta_Classifiers[Display Qualified], MATCH( meta_Classifiers[[#This Row],[Class - Generalization:src]], meta_Classifiers[ID], 0 ) ) )</f>
        <v>Object</v>
      </c>
      <c r="O64" s="78" t="s">
        <v>667</v>
      </c>
      <c r="P64" s="96"/>
      <c r="Q64" s="85" t="str">
        <f xml:space="preserve"> IF( TRIM( meta_Classifiers[[#This Row],[Class - Display Property:src]] ) = "", "",
        INDEX( meta_TypedModelElements[Display Qualified], MATCH( meta_Classifiers[[#This Row],[Class - Display Property:src]], meta_TypedModelElements[ID], 0 ) ) )</f>
        <v/>
      </c>
      <c r="R64"/>
      <c r="S64" s="85" t="str">
        <f xml:space="preserve"> IF( TRIM( meta_Classifiers[[#This Row],[Class - Business ID Property:src]] ) = "", "",
        INDEX( meta_TypedModelElements[Display Qualified], MATCH( meta_Classifiers[[#This Row],[Class - Business ID Property:src]], meta_TypedModelElements[ID], 0 ) ) )</f>
        <v/>
      </c>
    </row>
    <row r="65" spans="1:19" ht="30" hidden="1">
      <c r="A65" s="70" t="s">
        <v>750</v>
      </c>
      <c r="B65" s="5" t="s">
        <v>163</v>
      </c>
      <c r="C65" s="75" t="str">
        <f xml:space="preserve"> IF( TRIM( meta_Classifiers[[#This Row],[Kind:src]] ) = "", "",
        INDEX( meta_Classifiers[Display Qualified], MATCH( meta_Classifiers[[#This Row],[Kind:src]], meta_Classifiers[ID], 0 ) ) )</f>
        <v>Class</v>
      </c>
      <c r="D65" s="75">
        <v>62</v>
      </c>
      <c r="E65" s="76" t="s">
        <v>748</v>
      </c>
      <c r="F65" s="75"/>
      <c r="G65" s="5" t="str">
        <f>IF(LEFT(meta_Classifiers[[#This Row],[ID]],1)="_",RIGHT(meta_Classifiers[[#This Row],[ID]],LEN(meta_Classifiers[[#This Row],[ID]])-1),IF(TRIM(meta_Classifiers[[#This Row],[Package]])="","",TRIM(LOWER(meta_Classifiers[[#This Row],[Package]]))&amp;"::")&amp;meta_Classifiers[[#This Row],[Display]])</f>
        <v>myxyzpackage::MyXYZ_Object</v>
      </c>
      <c r="H65" s="5" t="str">
        <f>IF(TRIM(meta_Classifiers[[#This Row],[Package]])="","",TRIM(LOWER(meta_Classifiers[[#This Row],[Package]]))&amp;"::")&amp;meta_Classifiers[[#This Row],[Display]]</f>
        <v>myxyzpackage::MyXYZ_Object</v>
      </c>
      <c r="I65" s="5" t="str">
        <f>IF(meta_Classifiers[[#This Row],[Kind:src]]="_Class",meta_Classifiers[[#This Row],[Display Qualified]],"")</f>
        <v>myxyzpackage::MyXYZ_Object</v>
      </c>
      <c r="J65" s="5" t="str" cm="1">
        <f t="array" ref="J65">_xlfn.IFNA(INDEX(meta_Names[Camel Upper], MATCH(meta_Classifiers[[#This Row],[Name]],meta_Names[String],0)),camelCaseUpper(meta_Classifiers[[#This Row],[Name]]))</f>
        <v>MyXYZ_Object</v>
      </c>
      <c r="K65" s="93" t="s">
        <v>749</v>
      </c>
      <c r="L65" s="75"/>
      <c r="M65" s="5" t="s">
        <v>160</v>
      </c>
      <c r="N65" s="75" t="str">
        <f xml:space="preserve"> IF( TRIM( meta_Classifiers[[#This Row],[Class - Generalization:src]] ) = "", "",
        INDEX( meta_Classifiers[Display Qualified], MATCH( meta_Classifiers[[#This Row],[Class - Generalization:src]], meta_Classifiers[ID], 0 ) ) )</f>
        <v>Object</v>
      </c>
      <c r="O65" s="78" t="s">
        <v>740</v>
      </c>
      <c r="P65" s="97"/>
      <c r="Q65" s="85" t="str">
        <f xml:space="preserve"> IF( TRIM( meta_Classifiers[[#This Row],[Class - Display Property:src]] ) = "", "",
        INDEX( meta_TypedModelElements[Display Qualified], MATCH( meta_Classifiers[[#This Row],[Class - Display Property:src]], meta_TypedModelElements[ID], 0 ) ) )</f>
        <v/>
      </c>
      <c r="R65"/>
      <c r="S65" s="85" t="str">
        <f xml:space="preserve"> IF( TRIM( meta_Classifiers[[#This Row],[Class - Business ID Property:src]] ) = "", "",
        INDEX( meta_TypedModelElements[Display Qualified], MATCH( meta_Classifiers[[#This Row],[Class - Business ID Property:src]], meta_TypedModelElements[ID], 0 ) ) )</f>
        <v/>
      </c>
    </row>
  </sheetData>
  <phoneticPr fontId="2" type="noConversion"/>
  <dataValidations count="3">
    <dataValidation type="list" allowBlank="1" showInputMessage="1" showErrorMessage="1" sqref="C3:C65" xr:uid="{31D9E4EA-4104-4C4A-B0A8-B4C01AB694B4}">
      <formula1>INDIRECT("meta_Classifiers[Display Qualified]")</formula1>
    </dataValidation>
    <dataValidation type="list" allowBlank="1" showInputMessage="1" showErrorMessage="1" sqref="Q3:Q65 S3:S65" xr:uid="{65694064-CCC4-4B6E-88CE-6154190A2CC1}">
      <formula1>INDIRECT("meta_TypedModelElements[Display Qualified]")</formula1>
    </dataValidation>
    <dataValidation type="list" allowBlank="1" sqref="N3:N65" xr:uid="{93428DED-ECBD-4FD2-9A60-70F7738C6310}">
      <formula1>INDIRECT("meta_Classifiers[Display Qualified]")</formula1>
    </dataValidation>
  </dataValidations>
  <pageMargins left="0.7" right="0.7" top="0.78740157499999996" bottom="0.78740157499999996"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ta_TypedModelElements">
    <tabColor rgb="FF0070C0"/>
  </sheetPr>
  <dimension ref="A1:BK100"/>
  <sheetViews>
    <sheetView tabSelected="1" zoomScaleNormal="100" workbookViewId="0">
      <pane xSplit="1" ySplit="1" topLeftCell="K55" activePane="bottomRight" state="frozen"/>
      <selection activeCell="AC18" sqref="AC18"/>
      <selection pane="topRight" activeCell="AC18" sqref="AC18"/>
      <selection pane="bottomLeft" activeCell="AC18" sqref="AC18"/>
      <selection pane="bottomRight" activeCell="K57" sqref="K57"/>
    </sheetView>
  </sheetViews>
  <sheetFormatPr defaultColWidth="11.42578125" defaultRowHeight="15" outlineLevelCol="4"/>
  <cols>
    <col min="1" max="1" width="43.42578125" style="5" customWidth="1"/>
    <col min="2" max="2" width="29.7109375" style="5" customWidth="1" outlineLevel="1"/>
    <col min="3" max="3" width="11.42578125" style="5" customWidth="1"/>
    <col min="4" max="4" width="7.42578125" style="5" customWidth="1" outlineLevel="1"/>
    <col min="5" max="5" width="13.42578125" style="5" bestFit="1" customWidth="1"/>
    <col min="6" max="6" width="6.85546875" style="5" bestFit="1" customWidth="1"/>
    <col min="7" max="7" width="20" style="5" customWidth="1" outlineLevel="2"/>
    <col min="8" max="9" width="38" style="5" customWidth="1" outlineLevel="1"/>
    <col min="10" max="10" width="18.7109375" style="5" customWidth="1"/>
    <col min="11" max="15" width="45.42578125" style="5" customWidth="1" outlineLevel="4"/>
    <col min="16" max="17" width="26.42578125" style="5" customWidth="1" outlineLevel="4"/>
    <col min="18" max="19" width="32.85546875" style="5" customWidth="1" outlineLevel="4"/>
    <col min="20" max="20" width="31.42578125" style="5" customWidth="1" outlineLevel="2"/>
    <col min="21" max="21" width="30.140625" style="5" customWidth="1" outlineLevel="1"/>
    <col min="22" max="22" width="29.42578125" style="5" customWidth="1"/>
    <col min="23" max="30" width="25.140625" style="5" hidden="1" customWidth="1" outlineLevel="2"/>
    <col min="31" max="31" width="25.140625" style="5" customWidth="1" outlineLevel="1" collapsed="1"/>
    <col min="32" max="32" width="25.140625" style="5" customWidth="1" outlineLevel="1"/>
    <col min="33" max="33" width="19.42578125" style="5" customWidth="1" outlineLevel="1"/>
    <col min="34" max="34" width="17.85546875" style="5" customWidth="1"/>
    <col min="35" max="35" width="7.140625" style="5" customWidth="1"/>
    <col min="36" max="36" width="4.42578125" style="5" customWidth="1"/>
    <col min="37" max="37" width="11.140625" style="5" customWidth="1" outlineLevel="1"/>
    <col min="38" max="38" width="11.7109375" style="5" customWidth="1"/>
    <col min="39" max="39" width="18.140625" style="5" customWidth="1" outlineLevel="1"/>
    <col min="40" max="40" width="11.42578125" style="5" customWidth="1"/>
    <col min="41" max="41" width="7.140625" style="5" customWidth="1" outlineLevel="1"/>
    <col min="42" max="42" width="30.42578125" style="5" customWidth="1" outlineLevel="2"/>
    <col min="43" max="43" width="23.42578125" style="5" customWidth="1" outlineLevel="1"/>
    <col min="44" max="45" width="22.42578125" style="5" customWidth="1" outlineLevel="2"/>
    <col min="46" max="46" width="21.140625" style="5" customWidth="1" outlineLevel="1"/>
    <col min="47" max="47" width="17" style="5" hidden="1" customWidth="1" outlineLevel="2"/>
    <col min="48" max="48" width="17" style="5" customWidth="1" outlineLevel="1" collapsed="1"/>
    <col min="49" max="49" width="17" style="5" hidden="1" customWidth="1" outlineLevel="2"/>
    <col min="50" max="50" width="40.28515625" style="5" hidden="1" customWidth="1" outlineLevel="2"/>
    <col min="51" max="51" width="109.42578125" style="5" hidden="1" customWidth="1" outlineLevel="2"/>
    <col min="52" max="53" width="166.42578125" style="5" hidden="1" customWidth="1" outlineLevel="2"/>
    <col min="54" max="54" width="7.42578125" style="5" customWidth="1" outlineLevel="1" collapsed="1"/>
    <col min="55" max="55" width="7.85546875" style="5" hidden="1" customWidth="1" outlineLevel="2"/>
    <col min="56" max="56" width="34" style="5" hidden="1" customWidth="1" outlineLevel="2"/>
    <col min="57" max="57" width="90" style="5" hidden="1" customWidth="1" outlineLevel="2"/>
    <col min="58" max="58" width="7.42578125" style="5" hidden="1" customWidth="1" outlineLevel="2"/>
    <col min="59" max="61" width="58.42578125" style="5" hidden="1" customWidth="1" outlineLevel="2"/>
    <col min="62" max="62" width="8.42578125" style="5" customWidth="1" outlineLevel="1" collapsed="1"/>
    <col min="63" max="63" width="86.7109375" style="7" customWidth="1"/>
    <col min="64" max="16384" width="11.42578125" style="5"/>
  </cols>
  <sheetData>
    <row r="1" spans="1:63" ht="168.75" customHeight="1" thickTop="1" thickBot="1">
      <c r="A1" s="46" t="s">
        <v>0</v>
      </c>
      <c r="B1" s="46" t="s">
        <v>230</v>
      </c>
      <c r="C1" s="46" t="s">
        <v>5</v>
      </c>
      <c r="D1" s="46" t="s">
        <v>663</v>
      </c>
      <c r="E1" s="46" t="s">
        <v>120</v>
      </c>
      <c r="F1" s="46" t="s">
        <v>461</v>
      </c>
      <c r="G1" s="46" t="s">
        <v>365</v>
      </c>
      <c r="H1" s="46" t="s">
        <v>441</v>
      </c>
      <c r="I1" s="46" t="s">
        <v>993</v>
      </c>
      <c r="J1" s="46" t="s">
        <v>317</v>
      </c>
      <c r="K1" s="46" t="s">
        <v>806</v>
      </c>
      <c r="L1" s="46" t="s">
        <v>1795</v>
      </c>
      <c r="M1" s="46" t="s">
        <v>1607</v>
      </c>
      <c r="N1" s="46" t="s">
        <v>1606</v>
      </c>
      <c r="O1" s="46" t="s">
        <v>1603</v>
      </c>
      <c r="P1" s="46" t="s">
        <v>358</v>
      </c>
      <c r="Q1" s="46" t="s">
        <v>444</v>
      </c>
      <c r="R1" s="46" t="s">
        <v>32</v>
      </c>
      <c r="S1" s="46" t="s">
        <v>442</v>
      </c>
      <c r="T1" s="46" t="s">
        <v>443</v>
      </c>
      <c r="U1" s="46" t="s">
        <v>245</v>
      </c>
      <c r="V1" s="46" t="s">
        <v>1</v>
      </c>
      <c r="W1" s="46" t="s">
        <v>417</v>
      </c>
      <c r="X1" s="46" t="s">
        <v>418</v>
      </c>
      <c r="Y1" s="46" t="s">
        <v>419</v>
      </c>
      <c r="Z1" s="46" t="s">
        <v>414</v>
      </c>
      <c r="AA1" s="46" t="s">
        <v>415</v>
      </c>
      <c r="AB1" s="46" t="s">
        <v>416</v>
      </c>
      <c r="AC1" s="46" t="s">
        <v>413</v>
      </c>
      <c r="AD1" s="46" t="s">
        <v>446</v>
      </c>
      <c r="AE1" s="46" t="s">
        <v>423</v>
      </c>
      <c r="AF1" s="46" t="s">
        <v>1434</v>
      </c>
      <c r="AG1" s="46" t="s">
        <v>1004</v>
      </c>
      <c r="AH1" s="46" t="s">
        <v>4</v>
      </c>
      <c r="AI1" s="46" t="s">
        <v>497</v>
      </c>
      <c r="AJ1" s="46" t="s">
        <v>498</v>
      </c>
      <c r="AK1" s="46" t="s">
        <v>1003</v>
      </c>
      <c r="AL1" s="46" t="s">
        <v>684</v>
      </c>
      <c r="AM1" s="46" t="s">
        <v>1006</v>
      </c>
      <c r="AN1" s="46" t="s">
        <v>828</v>
      </c>
      <c r="AO1" s="46" t="s">
        <v>467</v>
      </c>
      <c r="AP1" s="46" t="s">
        <v>1005</v>
      </c>
      <c r="AQ1" s="46" t="s">
        <v>314</v>
      </c>
      <c r="AR1" s="46" t="s">
        <v>353</v>
      </c>
      <c r="AS1" s="46" t="s">
        <v>1007</v>
      </c>
      <c r="AT1" s="46" t="s">
        <v>315</v>
      </c>
      <c r="AU1" s="46" t="s">
        <v>928</v>
      </c>
      <c r="AV1" s="46" t="s">
        <v>354</v>
      </c>
      <c r="AW1" s="46" t="s">
        <v>412</v>
      </c>
      <c r="AX1" s="46" t="s">
        <v>420</v>
      </c>
      <c r="AY1" s="46" t="s">
        <v>411</v>
      </c>
      <c r="AZ1" s="46" t="s">
        <v>435</v>
      </c>
      <c r="BA1" s="46" t="s">
        <v>434</v>
      </c>
      <c r="BB1" s="46" t="s">
        <v>437</v>
      </c>
      <c r="BC1" s="46" t="s">
        <v>440</v>
      </c>
      <c r="BD1" s="46" t="s">
        <v>554</v>
      </c>
      <c r="BE1" s="46" t="s">
        <v>439</v>
      </c>
      <c r="BF1" s="46" t="s">
        <v>438</v>
      </c>
      <c r="BG1" s="47" t="s">
        <v>555</v>
      </c>
      <c r="BH1" s="47" t="s">
        <v>556</v>
      </c>
      <c r="BI1" s="47" t="s">
        <v>553</v>
      </c>
      <c r="BJ1" s="47" t="s">
        <v>940</v>
      </c>
      <c r="BK1" s="108" t="s">
        <v>161</v>
      </c>
    </row>
    <row r="2" spans="1:63" ht="18.75" customHeight="1" thickTop="1">
      <c r="A2" s="5" t="s">
        <v>589</v>
      </c>
      <c r="B2" s="5" t="s">
        <v>168</v>
      </c>
      <c r="C2" s="22" t="str">
        <f xml:space="preserve"> IF( TRIM( meta_TypedModelElements[[#This Row],[Kind:src]] ) = "", "",
        INDEX( meta_Classifiers[Display Qualified], MATCH( meta_TypedModelElements[[#This Row],[Kind:src]], meta_Classifiers[ID], 0 ) ) )</f>
        <v>Attribute</v>
      </c>
      <c r="D2" s="22">
        <v>1</v>
      </c>
      <c r="E2" s="22"/>
      <c r="F2" s="22"/>
      <c r="G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2" s="5"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J2" s="22" t="str">
        <f xml:space="preserve"> IF( TRIM( meta_TypedModelElements[[#This Row],[Property - Owning Class:src]] ) = "", "",
        INDEX( meta_Classifiers[Display Qualified], MATCH( meta_TypedModelElements[[#This Row],[Property - Owning Class:src]], meta_Classifiers[ID], 0 ) ) )</f>
        <v/>
      </c>
      <c r="K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
      </c>
      <c r="L2" s="5" t="str">
        <f>IF(meta_TypedModelElements[[#This Row],[Kind:src]]="_Function",meta_TypedModelElements[[#This Row],[Display Qualified]],"")</f>
        <v/>
      </c>
      <c r="M2" s="5" t="str">
        <f>IF(meta_TypedModelElements[[#This Row],[Kind:src]]="_Attribute",meta_TypedModelElements[[#This Row],[Display Qualified]],"")</f>
        <v/>
      </c>
      <c r="N2" s="5" t="str">
        <f>IF(meta_TypedModelElements[[#This Row],[Kind:src]]="_Reference",meta_TypedModelElements[[#This Row],[Display Qualified]],"")</f>
        <v/>
      </c>
      <c r="O2" s="5" t="str">
        <f>IF(OR(meta_TypedModelElements[[#This Row],[Kind:src]]="_Attribute",meta_TypedModelElements[[#This Row],[Kind:src]]="_Reference"),meta_TypedModelElements[[#This Row],[Display Qualified]],"")</f>
        <v/>
      </c>
      <c r="P2" s="22"/>
      <c r="Q2" s="22"/>
      <c r="R2" s="5" t="str">
        <f>IF(meta_TypedModelElements[[#This Row],[Containing Class:display]]="","",meta_TypedModelElements[[#This Row],[Containing Class:display]]&amp;".")&amp;meta_TypedModelElements[[#This Row],[Display without Class]]</f>
        <v/>
      </c>
      <c r="S2" s="5" t="str" cm="1">
        <f t="array" ref="S2">_xlfn.IFNA(INDEX(meta_Names[Camel Lower], MATCH(meta_TypedModelElements[[#This Row],[Name or Type]],meta_Names[String],0)),camelCaseLower(meta_TypedModelElements[[#This Row],[Name or Type]]))</f>
        <v/>
      </c>
      <c r="T2" s="5" t="str">
        <f>IF(meta_TypedModelElements[[#This Row],[Name or Type]]="","",meta_TypedModelElements[[#This Row],[Name or Type Camel Case Lower]])&amp;IF(meta_TypedModelElements[[#This Row],[Kind:src]]="_Function","("&amp;meta_TypedModelElements[[#This Row],[Function - Parameters Display]]&amp;")","")</f>
        <v/>
      </c>
      <c r="U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
      </c>
      <c r="V2" s="22"/>
      <c r="W2" s="5" t="e">
        <f>INDEX(meta_Classifiers[Class - Generalization:src],MATCH(meta_TypedModelElements[[#This Row],[Type Super Type 6]],meta_Classifiers[ID],0))</f>
        <v>#N/A</v>
      </c>
      <c r="X2" s="5" t="e">
        <f>INDEX(meta_Classifiers[Class - Generalization:src],MATCH(meta_TypedModelElements[[#This Row],[Type Super Type 5]],meta_Classifiers[ID],0))</f>
        <v>#N/A</v>
      </c>
      <c r="Y2" s="5" t="e">
        <f>INDEX(meta_Classifiers[Class - Generalization:src],MATCH(meta_TypedModelElements[[#This Row],[Type Super Type 4]],meta_Classifiers[ID],0))</f>
        <v>#N/A</v>
      </c>
      <c r="Z2" s="5" t="e">
        <f>INDEX(meta_Classifiers[Class - Generalization:src],MATCH(meta_TypedModelElements[[#This Row],[Type Super Type 3]],meta_Classifiers[ID],0))</f>
        <v>#N/A</v>
      </c>
      <c r="AA2" s="5" t="e">
        <f>INDEX(meta_Classifiers[Class - Generalization:src],MATCH(meta_TypedModelElements[[#This Row],[Type Super Type 2]],meta_Classifiers[ID],0))</f>
        <v>#N/A</v>
      </c>
      <c r="AB2" s="5" t="e">
        <f>INDEX(meta_Classifiers[Class - Generalization:src],MATCH(meta_TypedModelElements[[#This Row],[Type Super Type 1]],meta_Classifiers[ID],0))</f>
        <v>#N/A</v>
      </c>
      <c r="AC2" s="5" t="e">
        <f>INDEX(meta_Classifiers[Class - Generalization:src],MATCH(meta_TypedModelElements[[#This Row],[Type:src]],meta_Classifiers[ID],0))</f>
        <v>#N/A</v>
      </c>
      <c r="AD2" s="5" t="str">
        <f>IF(meta_TypedModelElements[[#This Row],[Kind:src]]&lt;&gt;"_Function",meta_TypedModelElements[[#This Row],[Type]],INDEX(meta_TypedModelElements[Type],MATCH(meta_TypedModelElements[[#This Row],[Function - Owning Property:src]],meta_TypedModelElements[ID],0)))</f>
        <v/>
      </c>
      <c r="AE2" s="5">
        <f>IF(meta_TypedModelElements[[#This Row],[Kind:src]]&lt;&gt;"_Function",meta_TypedModelElements[[#This Row],[Type:src]],INDEX(meta_TypedModelElements[Type:src],MATCH(meta_TypedModelElements[[#This Row],[Function - Owning Property:src]],meta_TypedModelElements[ID],0)))</f>
        <v>0</v>
      </c>
      <c r="AF2" s="5" t="str">
        <f>IF(meta_TypedModelElements[[#This Row],[Type:src]]="","",INDEX(meta_Classifiers[Name],MATCH(meta_TypedModelElements[[#This Row],[Type:src]],meta_Classifiers[ID],0)))</f>
        <v/>
      </c>
      <c r="AH2" s="22" t="str">
        <f xml:space="preserve"> IF( TRIM( meta_TypedModelElements[[#This Row],[Type:src]] ) = "", "",
        INDEX( meta_Classifiers[Display Qualified], MATCH( meta_TypedModelElements[[#This Row],[Type:src]], meta_Classifiers[ID], 0 ) ) )</f>
        <v/>
      </c>
      <c r="AI2" s="22"/>
      <c r="AJ2" s="22"/>
      <c r="AK2" s="8"/>
      <c r="AL2" s="22" t="str">
        <f xml:space="preserve"> IF( TRIM( meta_TypedModelElements[[#This Row],[Reference - Opposite:src]] ) = "", "",
        INDEX( meta_TypedModelElements[Display Qualified], MATCH( meta_TypedModelElements[[#This Row],[Reference - Opposite:src]], meta_TypedModelElements[ID], 0 ) ) )</f>
        <v/>
      </c>
      <c r="AM2" s="8"/>
      <c r="AN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 s="22"/>
      <c r="AP2"/>
      <c r="AQ2" s="22" t="str">
        <f xml:space="preserve"> IF( TRIM( meta_TypedModelElements[[#This Row],[Function - Owning Property:src]] ) = "", "",
        INDEX( meta_TypedModelElements[Display Qualified], MATCH( meta_TypedModelElements[[#This Row],[Function - Owning Property:src]], meta_TypedModelElements[ID], 0 ) ) )</f>
        <v/>
      </c>
      <c r="AT2" s="22" t="str">
        <f>IF(meta_TypedModelElements[[#This Row],[Parameter - Owning Function:src]]="","",INDEX(meta_TypedModelElements[Display Qualified],MATCH(meta_TypedModelElements[[#This Row],[Parameter - Owning Function:src]],meta_TypedModelElements[ID],0)))</f>
        <v/>
      </c>
      <c r="AV2" s="89"/>
      <c r="AW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 s="5" t="str">
        <f>"[@["&amp;meta_TypedModelElements[[#This Row],[Name or Type]]&amp;":src]]"</f>
        <v>[@[:src]]</v>
      </c>
      <c r="AY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 s="40"/>
      <c r="BC2" s="40" t="str">
        <f>IF(meta_TypedModelElements[[#This Row],[Kind:src]]="_Parameter","",IF(AND(meta_TypedModelElements[[#This Row],[Package]]="util",meta_TypedModelElements[[#This Row],[Containing Class]]=0), "public", "method"))</f>
        <v>method</v>
      </c>
      <c r="BD2" s="40"/>
      <c r="BE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 s="40"/>
      <c r="BK2" s="5"/>
    </row>
    <row r="3" spans="1:63">
      <c r="A3" s="5" t="s">
        <v>246</v>
      </c>
      <c r="B3" s="5" t="s">
        <v>168</v>
      </c>
      <c r="C3" s="22" t="str">
        <f xml:space="preserve"> IF( TRIM( meta_TypedModelElements[[#This Row],[Kind:src]] ) = "", "",
        INDEX( meta_Classifiers[Display Qualified], MATCH( meta_TypedModelElements[[#This Row],[Kind:src]], meta_Classifiers[ID], 0 ) ) )</f>
        <v>Attribute</v>
      </c>
      <c r="D3" s="22">
        <v>2</v>
      </c>
      <c r="E3" s="22" t="s">
        <v>142</v>
      </c>
      <c r="F3" s="22"/>
      <c r="G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 s="8" t="s">
        <v>160</v>
      </c>
      <c r="J3" s="22" t="str">
        <f xml:space="preserve"> IF( TRIM( meta_TypedModelElements[[#This Row],[Property - Owning Class:src]] ) = "", "",
        INDEX( meta_Classifiers[Display Qualified], MATCH( meta_TypedModelElements[[#This Row],[Property - Owning Class:src]], meta_Classifiers[ID], 0 ) ) )</f>
        <v>Object</v>
      </c>
      <c r="K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meta::Object.iD</v>
      </c>
      <c r="L3" s="5" t="str">
        <f>IF(meta_TypedModelElements[[#This Row],[Kind:src]]="_Function",meta_TypedModelElements[[#This Row],[Display Qualified]],"")</f>
        <v/>
      </c>
      <c r="M3" s="5" t="str">
        <f>IF(meta_TypedModelElements[[#This Row],[Kind:src]]="_Attribute",meta_TypedModelElements[[#This Row],[Display Qualified]],"")</f>
        <v>meta::Object.iD</v>
      </c>
      <c r="N3" s="5" t="str">
        <f>IF(meta_TypedModelElements[[#This Row],[Kind:src]]="_Reference",meta_TypedModelElements[[#This Row],[Display Qualified]],"")</f>
        <v/>
      </c>
      <c r="O3" s="5" t="str">
        <f>IF(OR(meta_TypedModelElements[[#This Row],[Kind:src]]="_Attribute",meta_TypedModelElements[[#This Row],[Kind:src]]="_Reference"),meta_TypedModelElements[[#This Row],[Display Qualified]],"")</f>
        <v>meta::Object.iD</v>
      </c>
      <c r="P3" s="22"/>
      <c r="Q3" s="22"/>
      <c r="R3" s="5" t="str">
        <f>IF(meta_TypedModelElements[[#This Row],[Containing Class:display]]="","",meta_TypedModelElements[[#This Row],[Containing Class:display]]&amp;".")&amp;meta_TypedModelElements[[#This Row],[Display without Class]]</f>
        <v>Object.iD</v>
      </c>
      <c r="S3" s="5" t="str" cm="1">
        <f t="array" ref="S3">_xlfn.IFNA(INDEX(meta_Names[Camel Lower], MATCH(meta_TypedModelElements[[#This Row],[Name or Type]],meta_Names[String],0)),camelCaseLower(meta_TypedModelElements[[#This Row],[Name or Type]]))</f>
        <v>iD</v>
      </c>
      <c r="T3" s="5" t="str">
        <f>IF(meta_TypedModelElements[[#This Row],[Name or Type]]="","",meta_TypedModelElements[[#This Row],[Name or Type Camel Case Lower]])&amp;IF(meta_TypedModelElements[[#This Row],[Kind:src]]="_Function","("&amp;meta_TypedModelElements[[#This Row],[Function - Parameters Display]]&amp;")","")</f>
        <v>iD</v>
      </c>
      <c r="U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ID</v>
      </c>
      <c r="V3" s="22" t="s">
        <v>0</v>
      </c>
      <c r="W3" s="5" t="e">
        <f>INDEX(meta_Classifiers[Class - Generalization:src],MATCH(meta_TypedModelElements[[#This Row],[Type Super Type 6]],meta_Classifiers[ID],0))</f>
        <v>#N/A</v>
      </c>
      <c r="X3" s="5" t="e">
        <f>INDEX(meta_Classifiers[Class - Generalization:src],MATCH(meta_TypedModelElements[[#This Row],[Type Super Type 5]],meta_Classifiers[ID],0))</f>
        <v>#N/A</v>
      </c>
      <c r="Y3" s="5" t="e">
        <f>INDEX(meta_Classifiers[Class - Generalization:src],MATCH(meta_TypedModelElements[[#This Row],[Type Super Type 4]],meta_Classifiers[ID],0))</f>
        <v>#N/A</v>
      </c>
      <c r="Z3" s="5" t="e">
        <f>INDEX(meta_Classifiers[Class - Generalization:src],MATCH(meta_TypedModelElements[[#This Row],[Type Super Type 3]],meta_Classifiers[ID],0))</f>
        <v>#N/A</v>
      </c>
      <c r="AA3" s="5" t="e">
        <f>INDEX(meta_Classifiers[Class - Generalization:src],MATCH(meta_TypedModelElements[[#This Row],[Type Super Type 2]],meta_Classifiers[ID],0))</f>
        <v>#N/A</v>
      </c>
      <c r="AB3" s="5" t="e">
        <f>INDEX(meta_Classifiers[Class - Generalization:src],MATCH(meta_TypedModelElements[[#This Row],[Type Super Type 1]],meta_Classifiers[ID],0))</f>
        <v>#N/A</v>
      </c>
      <c r="AC3" s="5" t="str">
        <f>INDEX(meta_Classifiers[Class - Generalization:src],MATCH(meta_TypedModelElements[[#This Row],[Type:src]],meta_Classifiers[ID],0))</f>
        <v/>
      </c>
      <c r="AD3" s="5" t="str">
        <f>IF(meta_TypedModelElements[[#This Row],[Kind:src]]&lt;&gt;"_Function",meta_TypedModelElements[[#This Row],[Type]],INDEX(meta_TypedModelElements[Type],MATCH(meta_TypedModelElements[[#This Row],[Function - Owning Property:src]],meta_TypedModelElements[ID],0)))</f>
        <v>String</v>
      </c>
      <c r="AE3" s="5" t="str">
        <f>IF(meta_TypedModelElements[[#This Row],[Kind:src]]&lt;&gt;"_Function",meta_TypedModelElements[[#This Row],[Type:src]],INDEX(meta_TypedModelElements[Type:src],MATCH(meta_TypedModelElements[[#This Row],[Function - Owning Property:src]],meta_TypedModelElements[ID],0)))</f>
        <v>_String</v>
      </c>
      <c r="AF3" s="5" t="str">
        <f>IF(meta_TypedModelElements[[#This Row],[Type:src]]="","",INDEX(meta_Classifiers[Name],MATCH(meta_TypedModelElements[[#This Row],[Type:src]],meta_Classifiers[ID],0)))</f>
        <v>String</v>
      </c>
      <c r="AG3" s="5" t="s">
        <v>180</v>
      </c>
      <c r="AH3" s="22" t="str">
        <f xml:space="preserve"> IF( TRIM( meta_TypedModelElements[[#This Row],[Type:src]] ) = "", "",
        INDEX( meta_Classifiers[Display Qualified], MATCH( meta_TypedModelElements[[#This Row],[Type:src]], meta_Classifiers[ID], 0 ) ) )</f>
        <v>String</v>
      </c>
      <c r="AI3" s="22" t="s">
        <v>19</v>
      </c>
      <c r="AJ3" s="22" t="s">
        <v>232</v>
      </c>
      <c r="AK3" s="8"/>
      <c r="AL3" s="22" t="str">
        <f xml:space="preserve"> IF( TRIM( meta_TypedModelElements[[#This Row],[Reference - Opposite:src]] ) = "", "",
        INDEX( meta_TypedModelElements[Display Qualified], MATCH( meta_TypedModelElements[[#This Row],[Reference - Opposite:src]], meta_TypedModelElements[ID], 0 ) ) )</f>
        <v/>
      </c>
      <c r="AM3" s="8"/>
      <c r="AN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 s="22"/>
      <c r="AP3"/>
      <c r="AQ3" s="22" t="str">
        <f xml:space="preserve"> IF( TRIM( meta_TypedModelElements[[#This Row],[Function - Owning Property:src]] ) = "", "",
        INDEX( meta_TypedModelElements[Display Qualified], MATCH( meta_TypedModelElements[[#This Row],[Function - Owning Property:src]], meta_TypedModelElements[ID], 0 ) ) )</f>
        <v/>
      </c>
      <c r="AT3" s="22" t="str">
        <f>IF(meta_TypedModelElements[[#This Row],[Parameter - Owning Function:src]]="","",INDEX(meta_TypedModelElements[Display Qualified],MATCH(meta_TypedModelElements[[#This Row],[Parameter - Owning Function:src]],meta_TypedModelElements[ID],0)))</f>
        <v/>
      </c>
      <c r="AV3" s="89"/>
      <c r="AW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 s="5" t="str">
        <f>"[@["&amp;meta_TypedModelElements[[#This Row],[Name or Type]]&amp;":src]]"</f>
        <v>[@[ID:src]]</v>
      </c>
      <c r="AY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 s="40"/>
      <c r="BC3" s="40" t="str">
        <f>IF(meta_TypedModelElements[[#This Row],[Kind:src]]="_Parameter","",IF(AND(meta_TypedModelElements[[#This Row],[Package]]="util",meta_TypedModelElements[[#This Row],[Containing Class]]=0), "public", "method"))</f>
        <v>method</v>
      </c>
      <c r="BD3" s="40"/>
      <c r="BE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 s="40"/>
      <c r="BK3" s="5"/>
    </row>
    <row r="4" spans="1:63" ht="189">
      <c r="A4" s="5" t="s">
        <v>247</v>
      </c>
      <c r="B4" s="5" t="s">
        <v>167</v>
      </c>
      <c r="C4" s="22" t="str">
        <f xml:space="preserve"> IF( TRIM( meta_TypedModelElements[[#This Row],[Kind:src]] ) = "", "",
        INDEX( meta_Classifiers[Display Qualified], MATCH( meta_TypedModelElements[[#This Row],[Kind:src]], meta_Classifiers[ID], 0 ) ) )</f>
        <v>Reference</v>
      </c>
      <c r="D4" s="22">
        <v>3</v>
      </c>
      <c r="E4" s="22" t="s">
        <v>142</v>
      </c>
      <c r="F4" s="22"/>
      <c r="G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4" s="8" t="s">
        <v>160</v>
      </c>
      <c r="J4" s="22" t="str">
        <f xml:space="preserve"> IF( TRIM( meta_TypedModelElements[[#This Row],[Property - Owning Class:src]] ) = "", "",
        INDEX( meta_Classifiers[Display Qualified], MATCH( meta_TypedModelElements[[#This Row],[Property - Owning Class:src]], meta_Classifiers[ID], 0 ) ) )</f>
        <v>Object</v>
      </c>
      <c r="K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meta::Object.kind</v>
      </c>
      <c r="L4" s="5" t="str">
        <f>IF(meta_TypedModelElements[[#This Row],[Kind:src]]="_Function",meta_TypedModelElements[[#This Row],[Display Qualified]],"")</f>
        <v/>
      </c>
      <c r="M4" s="5" t="str">
        <f>IF(meta_TypedModelElements[[#This Row],[Kind:src]]="_Attribute",meta_TypedModelElements[[#This Row],[Display Qualified]],"")</f>
        <v/>
      </c>
      <c r="N4" s="5" t="str">
        <f>IF(meta_TypedModelElements[[#This Row],[Kind:src]]="_Reference",meta_TypedModelElements[[#This Row],[Display Qualified]],"")</f>
        <v>meta::Object.kind</v>
      </c>
      <c r="O4" s="5" t="str">
        <f>IF(OR(meta_TypedModelElements[[#This Row],[Kind:src]]="_Attribute",meta_TypedModelElements[[#This Row],[Kind:src]]="_Reference"),meta_TypedModelElements[[#This Row],[Display Qualified]],"")</f>
        <v>meta::Object.kind</v>
      </c>
      <c r="P4" s="22"/>
      <c r="Q4" s="22"/>
      <c r="R4" s="5" t="str">
        <f>IF(meta_TypedModelElements[[#This Row],[Containing Class:display]]="","",meta_TypedModelElements[[#This Row],[Containing Class:display]]&amp;".")&amp;meta_TypedModelElements[[#This Row],[Display without Class]]</f>
        <v>Object.kind</v>
      </c>
      <c r="S4" s="5" t="str" cm="1">
        <f t="array" ref="S4">_xlfn.IFNA(INDEX(meta_Names[Camel Lower], MATCH(meta_TypedModelElements[[#This Row],[Name or Type]],meta_Names[String],0)),camelCaseLower(meta_TypedModelElements[[#This Row],[Name or Type]]))</f>
        <v>kind</v>
      </c>
      <c r="T4" s="5" t="str">
        <f>IF(meta_TypedModelElements[[#This Row],[Name or Type]]="","",meta_TypedModelElements[[#This Row],[Name or Type Camel Case Lower]])&amp;IF(meta_TypedModelElements[[#This Row],[Kind:src]]="_Function","("&amp;meta_TypedModelElements[[#This Row],[Function - Parameters Display]]&amp;")","")</f>
        <v>kind</v>
      </c>
      <c r="U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Kind</v>
      </c>
      <c r="V4" s="22" t="s">
        <v>5</v>
      </c>
      <c r="W4" s="5" t="e">
        <f>INDEX(meta_Classifiers[Class - Generalization:src],MATCH(meta_TypedModelElements[[#This Row],[Type Super Type 6]],meta_Classifiers[ID],0))</f>
        <v>#N/A</v>
      </c>
      <c r="X4" s="5" t="e">
        <f>INDEX(meta_Classifiers[Class - Generalization:src],MATCH(meta_TypedModelElements[[#This Row],[Type Super Type 5]],meta_Classifiers[ID],0))</f>
        <v>#N/A</v>
      </c>
      <c r="Y4" s="5" t="e">
        <f>INDEX(meta_Classifiers[Class - Generalization:src],MATCH(meta_TypedModelElements[[#This Row],[Type Super Type 4]],meta_Classifiers[ID],0))</f>
        <v>#N/A</v>
      </c>
      <c r="Z4" s="5" t="str">
        <f>INDEX(meta_Classifiers[Class - Generalization:src],MATCH(meta_TypedModelElements[[#This Row],[Type Super Type 3]],meta_Classifiers[ID],0))</f>
        <v/>
      </c>
      <c r="AA4" s="5" t="str">
        <f>INDEX(meta_Classifiers[Class - Generalization:src],MATCH(meta_TypedModelElements[[#This Row],[Type Super Type 2]],meta_Classifiers[ID],0))</f>
        <v>_Object</v>
      </c>
      <c r="AB4" s="5" t="str">
        <f>INDEX(meta_Classifiers[Class - Generalization:src],MATCH(meta_TypedModelElements[[#This Row],[Type Super Type 1]],meta_Classifiers[ID],0))</f>
        <v>_NamedElement</v>
      </c>
      <c r="AC4" s="5" t="str">
        <f>INDEX(meta_Classifiers[Class - Generalization:src],MATCH(meta_TypedModelElements[[#This Row],[Type:src]],meta_Classifiers[ID],0))</f>
        <v>_Classifier</v>
      </c>
      <c r="AD4" s="5" t="str">
        <f>IF(meta_TypedModelElements[[#This Row],[Kind:src]]&lt;&gt;"_Function",meta_TypedModelElements[[#This Row],[Type]],INDEX(meta_TypedModelElements[Type],MATCH(meta_TypedModelElements[[#This Row],[Function - Owning Property:src]],meta_TypedModelElements[ID],0)))</f>
        <v>Class</v>
      </c>
      <c r="AE4" s="5" t="str">
        <f>IF(meta_TypedModelElements[[#This Row],[Kind:src]]&lt;&gt;"_Function",meta_TypedModelElements[[#This Row],[Type:src]],INDEX(meta_TypedModelElements[Type:src],MATCH(meta_TypedModelElements[[#This Row],[Function - Owning Property:src]],meta_TypedModelElements[ID],0)))</f>
        <v>_Class</v>
      </c>
      <c r="AF4" s="5" t="str">
        <f>IF(meta_TypedModelElements[[#This Row],[Type:src]]="","",INDEX(meta_Classifiers[Name],MATCH(meta_TypedModelElements[[#This Row],[Type:src]],meta_Classifiers[ID],0)))</f>
        <v>Class</v>
      </c>
      <c r="AG4" s="5" t="s">
        <v>163</v>
      </c>
      <c r="AH4" s="22" t="str">
        <f xml:space="preserve"> IF( TRIM( meta_TypedModelElements[[#This Row],[Type:src]] ) = "", "",
        INDEX( meta_Classifiers[Display Qualified], MATCH( meta_TypedModelElements[[#This Row],[Type:src]], meta_Classifiers[ID], 0 ) ) )</f>
        <v>Class</v>
      </c>
      <c r="AI4" s="22" t="s">
        <v>19</v>
      </c>
      <c r="AJ4" s="22" t="s">
        <v>232</v>
      </c>
      <c r="AK4" s="8"/>
      <c r="AL4" s="22" t="str">
        <f xml:space="preserve"> IF( TRIM( meta_TypedModelElements[[#This Row],[Reference - Opposite:src]] ) = "", "",
        INDEX( meta_TypedModelElements[Display Qualified], MATCH( meta_TypedModelElements[[#This Row],[Reference - Opposite:src]], meta_TypedModelElements[ID], 0 ) ) )</f>
        <v/>
      </c>
      <c r="AM4" s="8"/>
      <c r="AN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 s="22"/>
      <c r="AP4"/>
      <c r="AQ4" s="22" t="str">
        <f xml:space="preserve"> IF( TRIM( meta_TypedModelElements[[#This Row],[Function - Owning Property:src]] ) = "", "",
        INDEX( meta_TypedModelElements[Display Qualified], MATCH( meta_TypedModelElements[[#This Row],[Function - Owning Property:src]], meta_TypedModelElements[ID], 0 ) ) )</f>
        <v/>
      </c>
      <c r="AT4" s="22" t="str">
        <f>IF(meta_TypedModelElements[[#This Row],[Parameter - Owning Function:src]]="","",INDEX(meta_TypedModelElements[Display Qualified],MATCH(meta_TypedModelElements[[#This Row],[Parameter - Owning Function:src]],meta_TypedModelElements[ID],0)))</f>
        <v/>
      </c>
      <c r="AV4" s="89"/>
      <c r="AW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 s="5" t="str">
        <f>"[@["&amp;meta_TypedModelElements[[#This Row],[Name or Type]]&amp;":src]]"</f>
        <v>[@[Kind:src]]</v>
      </c>
      <c r="AY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[@[Kind:src]] ) = "",
        "",
    IF( LEFT([@[Kind:src]],1)="_",
        RIGHT([@[Kind:src]],LEN([@[Kind:src]])-1),
    IF( TRIM( [@Package] )
            &lt;&gt; TRIM( INDEX( meta_Classifiers[Package], MATCH( [@[Kind:src]], meta_Classifiers[ID],0 ) ) ),
        TRIM( INDEX( meta_Classifiers[Package], MATCH( [@[Kind:src]], meta_Classifiers[ID], 0 ) ) )
            &amp; "::"
            &amp; INDEX( meta_Classifiers[Display], MATCH( [@[Kind:src]], meta_Classifiers[ID], 0 ) ),
        INDEX( meta_Classifiers[Display], MATCH( [@[Kind:src]], meta_Classifiers[ID], 0 ) )
    ))), "")</v>
      </c>
      <c r="AZ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"Kind" Then
                   referedTableName = "meta_Classifiers"
                   referedColumnName = "Display"
                   Call StaticCode.updateIdOnNameChange(cellRef, referingTableName, referingColumnName, referedTableName, referedColumnName)
            End If</v>
      </c>
      <c r="BA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Kind" Then
                   referedTableName = "meta_Classifiers"
                   referedColumnName = "Display"
                   Call StaticCode.updateIdOnNameChange(cellRef, referingTableName, referingColumnName, referedTableName, referedColumnName)
            End If</v>
      </c>
      <c r="BB4" s="40"/>
      <c r="BC4" s="40" t="str">
        <f>IF(meta_TypedModelElements[[#This Row],[Kind:src]]="_Parameter","",IF(AND(meta_TypedModelElements[[#This Row],[Package]]="util",meta_TypedModelElements[[#This Row],[Containing Class]]=0), "public", "method"))</f>
        <v>method</v>
      </c>
      <c r="BD4" s="40"/>
      <c r="BE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 s="40"/>
      <c r="BK4" s="5"/>
    </row>
    <row r="5" spans="1:63" ht="390">
      <c r="A5" s="5" t="s">
        <v>248</v>
      </c>
      <c r="B5" s="5" t="s">
        <v>168</v>
      </c>
      <c r="C5" s="22" t="str">
        <f xml:space="preserve"> IF( TRIM( meta_TypedModelElements[[#This Row],[Kind:src]] ) = "", "",
        INDEX( meta_Classifiers[Display Qualified], MATCH( meta_TypedModelElements[[#This Row],[Kind:src]], meta_Classifiers[ID], 0 ) ) )</f>
        <v>Attribute</v>
      </c>
      <c r="D5" s="22">
        <v>4</v>
      </c>
      <c r="E5" s="22" t="s">
        <v>142</v>
      </c>
      <c r="F5" s="22"/>
      <c r="G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5" s="8" t="s">
        <v>160</v>
      </c>
      <c r="J5" s="22" t="str">
        <f xml:space="preserve"> IF( TRIM( meta_TypedModelElements[[#This Row],[Property - Owning Class:src]] ) = "", "",
        INDEX( meta_Classifiers[Display Qualified], MATCH( meta_TypedModelElements[[#This Row],[Property - Owning Class:src]], meta_Classifiers[ID], 0 ) ) )</f>
        <v>Object</v>
      </c>
      <c r="K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meta::Object.package</v>
      </c>
      <c r="L5" s="5" t="str">
        <f>IF(meta_TypedModelElements[[#This Row],[Kind:src]]="_Function",meta_TypedModelElements[[#This Row],[Display Qualified]],"")</f>
        <v/>
      </c>
      <c r="M5" s="5" t="str">
        <f>IF(meta_TypedModelElements[[#This Row],[Kind:src]]="_Attribute",meta_TypedModelElements[[#This Row],[Display Qualified]],"")</f>
        <v>meta::Object.package</v>
      </c>
      <c r="N5" s="5" t="str">
        <f>IF(meta_TypedModelElements[[#This Row],[Kind:src]]="_Reference",meta_TypedModelElements[[#This Row],[Display Qualified]],"")</f>
        <v/>
      </c>
      <c r="O5" s="5" t="str">
        <f>IF(OR(meta_TypedModelElements[[#This Row],[Kind:src]]="_Attribute",meta_TypedModelElements[[#This Row],[Kind:src]]="_Reference"),meta_TypedModelElements[[#This Row],[Display Qualified]],"")</f>
        <v>meta::Object.package</v>
      </c>
      <c r="P5" s="22"/>
      <c r="Q5" s="22"/>
      <c r="R5" s="5" t="str">
        <f>IF(meta_TypedModelElements[[#This Row],[Containing Class:display]]="","",meta_TypedModelElements[[#This Row],[Containing Class:display]]&amp;".")&amp;meta_TypedModelElements[[#This Row],[Display without Class]]</f>
        <v>Object.package</v>
      </c>
      <c r="S5" s="5" t="str" cm="1">
        <f t="array" ref="S5">_xlfn.IFNA(INDEX(meta_Names[Camel Lower], MATCH(meta_TypedModelElements[[#This Row],[Name or Type]],meta_Names[String],0)),camelCaseLower(meta_TypedModelElements[[#This Row],[Name or Type]]))</f>
        <v>package</v>
      </c>
      <c r="T5" s="5" t="str">
        <f>IF(meta_TypedModelElements[[#This Row],[Name or Type]]="","",meta_TypedModelElements[[#This Row],[Name or Type Camel Case Lower]])&amp;IF(meta_TypedModelElements[[#This Row],[Kind:src]]="_Function","("&amp;meta_TypedModelElements[[#This Row],[Function - Parameters Display]]&amp;")","")</f>
        <v>package</v>
      </c>
      <c r="U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Package</v>
      </c>
      <c r="V5" s="22" t="s">
        <v>120</v>
      </c>
      <c r="W5" s="5" t="e">
        <f>INDEX(meta_Classifiers[Class - Generalization:src],MATCH(meta_TypedModelElements[[#This Row],[Type Super Type 6]],meta_Classifiers[ID],0))</f>
        <v>#N/A</v>
      </c>
      <c r="X5" s="5" t="e">
        <f>INDEX(meta_Classifiers[Class - Generalization:src],MATCH(meta_TypedModelElements[[#This Row],[Type Super Type 5]],meta_Classifiers[ID],0))</f>
        <v>#N/A</v>
      </c>
      <c r="Y5" s="5" t="e">
        <f>INDEX(meta_Classifiers[Class - Generalization:src],MATCH(meta_TypedModelElements[[#This Row],[Type Super Type 4]],meta_Classifiers[ID],0))</f>
        <v>#N/A</v>
      </c>
      <c r="Z5" s="5" t="e">
        <f>INDEX(meta_Classifiers[Class - Generalization:src],MATCH(meta_TypedModelElements[[#This Row],[Type Super Type 3]],meta_Classifiers[ID],0))</f>
        <v>#N/A</v>
      </c>
      <c r="AA5" s="5" t="e">
        <f>INDEX(meta_Classifiers[Class - Generalization:src],MATCH(meta_TypedModelElements[[#This Row],[Type Super Type 2]],meta_Classifiers[ID],0))</f>
        <v>#N/A</v>
      </c>
      <c r="AB5" s="5" t="e">
        <f>INDEX(meta_Classifiers[Class - Generalization:src],MATCH(meta_TypedModelElements[[#This Row],[Type Super Type 1]],meta_Classifiers[ID],0))</f>
        <v>#N/A</v>
      </c>
      <c r="AC5" s="5" t="str">
        <f>INDEX(meta_Classifiers[Class - Generalization:src],MATCH(meta_TypedModelElements[[#This Row],[Type:src]],meta_Classifiers[ID],0))</f>
        <v/>
      </c>
      <c r="AD5" s="5" t="str">
        <f>IF(meta_TypedModelElements[[#This Row],[Kind:src]]&lt;&gt;"_Function",meta_TypedModelElements[[#This Row],[Type]],INDEX(meta_TypedModelElements[Type],MATCH(meta_TypedModelElements[[#This Row],[Function - Owning Property:src]],meta_TypedModelElements[ID],0)))</f>
        <v>String</v>
      </c>
      <c r="AE5" s="5" t="str">
        <f>IF(meta_TypedModelElements[[#This Row],[Kind:src]]&lt;&gt;"_Function",meta_TypedModelElements[[#This Row],[Type:src]],INDEX(meta_TypedModelElements[Type:src],MATCH(meta_TypedModelElements[[#This Row],[Function - Owning Property:src]],meta_TypedModelElements[ID],0)))</f>
        <v>_String</v>
      </c>
      <c r="AF5" s="5" t="str">
        <f>IF(meta_TypedModelElements[[#This Row],[Type:src]]="","",INDEX(meta_Classifiers[Name],MATCH(meta_TypedModelElements[[#This Row],[Type:src]],meta_Classifiers[ID],0)))</f>
        <v>String</v>
      </c>
      <c r="AG5" s="5" t="s">
        <v>180</v>
      </c>
      <c r="AH5" s="22" t="str">
        <f xml:space="preserve"> IF( TRIM( meta_TypedModelElements[[#This Row],[Type:src]] ) = "", "",
        INDEX( meta_Classifiers[Display Qualified], MATCH( meta_TypedModelElements[[#This Row],[Type:src]], meta_Classifiers[ID], 0 ) ) )</f>
        <v>String</v>
      </c>
      <c r="AI5" s="22" t="s">
        <v>21</v>
      </c>
      <c r="AJ5" s="22" t="s">
        <v>232</v>
      </c>
      <c r="AK5" s="8"/>
      <c r="AL5" s="22" t="str">
        <f xml:space="preserve"> IF( TRIM( meta_TypedModelElements[[#This Row],[Reference - Opposite:src]] ) = "", "",
        INDEX( meta_TypedModelElements[Display Qualified], MATCH( meta_TypedModelElements[[#This Row],[Reference - Opposite:src]], meta_TypedModelElements[ID], 0 ) ) )</f>
        <v/>
      </c>
      <c r="AM5" s="8"/>
      <c r="AN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 s="22"/>
      <c r="AP5"/>
      <c r="AQ5" s="22" t="str">
        <f xml:space="preserve"> IF( TRIM( meta_TypedModelElements[[#This Row],[Function - Owning Property:src]] ) = "", "",
        INDEX( meta_TypedModelElements[Display Qualified], MATCH( meta_TypedModelElements[[#This Row],[Function - Owning Property:src]], meta_TypedModelElements[ID], 0 ) ) )</f>
        <v/>
      </c>
      <c r="AT5" s="22" t="str">
        <f>IF(meta_TypedModelElements[[#This Row],[Parameter - Owning Function:src]]="","",INDEX(meta_TypedModelElements[Display Qualified],MATCH(meta_TypedModelElements[[#This Row],[Parameter - Owning Function:src]],meta_TypedModelElements[ID],0)))</f>
        <v/>
      </c>
      <c r="AV5" s="89"/>
      <c r="AW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 s="5" t="str">
        <f>"[@["&amp;meta_TypedModelElements[[#This Row],[Name or Type]]&amp;":src]]"</f>
        <v>[@[Package:src]]</v>
      </c>
      <c r="AY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 s="40"/>
      <c r="BC5" s="40" t="str">
        <f>IF(meta_TypedModelElements[[#This Row],[Kind:src]]="_Parameter","",IF(AND(meta_TypedModelElements[[#This Row],[Package]]="util",meta_TypedModelElements[[#This Row],[Containing Class]]=0), "public", "method"))</f>
        <v>method</v>
      </c>
      <c r="BD5" s="40"/>
      <c r="BE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 s="40"/>
      <c r="BK5" s="7" t="s">
        <v>162</v>
      </c>
    </row>
    <row r="6" spans="1:63" ht="150">
      <c r="A6" s="5" t="s">
        <v>460</v>
      </c>
      <c r="B6" s="5" t="s">
        <v>168</v>
      </c>
      <c r="C6" s="22" t="str">
        <f xml:space="preserve"> IF( TRIM( meta_TypedModelElements[[#This Row],[Kind:src]] ) = "", "",
        INDEX( meta_Classifiers[Display Qualified], MATCH( meta_TypedModelElements[[#This Row],[Kind:src]], meta_Classifiers[ID], 0 ) ) )</f>
        <v>Attribute</v>
      </c>
      <c r="D6" s="22">
        <v>5</v>
      </c>
      <c r="E6" s="22" t="s">
        <v>142</v>
      </c>
      <c r="F6" s="22"/>
      <c r="G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6" s="8" t="s">
        <v>160</v>
      </c>
      <c r="J6" s="22" t="str">
        <f xml:space="preserve"> IF( TRIM( meta_TypedModelElements[[#This Row],[Property - Owning Class:src]] ) = "", "",
        INDEX( meta_Classifiers[Display Qualified], MATCH( meta_TypedModelElements[[#This Row],[Property - Owning Class:src]], meta_Classifiers[ID], 0 ) ) )</f>
        <v>Object</v>
      </c>
      <c r="K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meta::Object.subPackage</v>
      </c>
      <c r="L6" s="5" t="str">
        <f>IF(meta_TypedModelElements[[#This Row],[Kind:src]]="_Function",meta_TypedModelElements[[#This Row],[Display Qualified]],"")</f>
        <v/>
      </c>
      <c r="M6" s="5" t="str">
        <f>IF(meta_TypedModelElements[[#This Row],[Kind:src]]="_Attribute",meta_TypedModelElements[[#This Row],[Display Qualified]],"")</f>
        <v>meta::Object.subPackage</v>
      </c>
      <c r="N6" s="5" t="str">
        <f>IF(meta_TypedModelElements[[#This Row],[Kind:src]]="_Reference",meta_TypedModelElements[[#This Row],[Display Qualified]],"")</f>
        <v/>
      </c>
      <c r="O6" s="5" t="str">
        <f>IF(OR(meta_TypedModelElements[[#This Row],[Kind:src]]="_Attribute",meta_TypedModelElements[[#This Row],[Kind:src]]="_Reference"),meta_TypedModelElements[[#This Row],[Display Qualified]],"")</f>
        <v>meta::Object.subPackage</v>
      </c>
      <c r="P6" s="22"/>
      <c r="Q6" s="22"/>
      <c r="R6" s="5" t="str">
        <f>IF(meta_TypedModelElements[[#This Row],[Containing Class:display]]="","",meta_TypedModelElements[[#This Row],[Containing Class:display]]&amp;".")&amp;meta_TypedModelElements[[#This Row],[Display without Class]]</f>
        <v>Object.subPackage</v>
      </c>
      <c r="S6" s="5" t="str" cm="1">
        <f t="array" ref="S6">_xlfn.IFNA(INDEX(meta_Names[Camel Lower], MATCH(meta_TypedModelElements[[#This Row],[Name or Type]],meta_Names[String],0)),camelCaseLower(meta_TypedModelElements[[#This Row],[Name or Type]]))</f>
        <v>subPackage</v>
      </c>
      <c r="T6" s="5" t="str">
        <f>IF(meta_TypedModelElements[[#This Row],[Name or Type]]="","",meta_TypedModelElements[[#This Row],[Name or Type Camel Case Lower]])&amp;IF(meta_TypedModelElements[[#This Row],[Kind:src]]="_Function","("&amp;meta_TypedModelElements[[#This Row],[Function - Parameters Display]]&amp;")","")</f>
        <v>subPackage</v>
      </c>
      <c r="U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Sub Package</v>
      </c>
      <c r="V6" s="22" t="s">
        <v>461</v>
      </c>
      <c r="W6" s="5" t="e">
        <f>INDEX(meta_Classifiers[Class - Generalization:src],MATCH(meta_TypedModelElements[[#This Row],[Type Super Type 6]],meta_Classifiers[ID],0))</f>
        <v>#N/A</v>
      </c>
      <c r="X6" s="5" t="e">
        <f>INDEX(meta_Classifiers[Class - Generalization:src],MATCH(meta_TypedModelElements[[#This Row],[Type Super Type 5]],meta_Classifiers[ID],0))</f>
        <v>#N/A</v>
      </c>
      <c r="Y6" s="5" t="e">
        <f>INDEX(meta_Classifiers[Class - Generalization:src],MATCH(meta_TypedModelElements[[#This Row],[Type Super Type 4]],meta_Classifiers[ID],0))</f>
        <v>#N/A</v>
      </c>
      <c r="Z6" s="5" t="e">
        <f>INDEX(meta_Classifiers[Class - Generalization:src],MATCH(meta_TypedModelElements[[#This Row],[Type Super Type 3]],meta_Classifiers[ID],0))</f>
        <v>#N/A</v>
      </c>
      <c r="AA6" s="5" t="e">
        <f>INDEX(meta_Classifiers[Class - Generalization:src],MATCH(meta_TypedModelElements[[#This Row],[Type Super Type 2]],meta_Classifiers[ID],0))</f>
        <v>#N/A</v>
      </c>
      <c r="AB6" s="5" t="e">
        <f>INDEX(meta_Classifiers[Class - Generalization:src],MATCH(meta_TypedModelElements[[#This Row],[Type Super Type 1]],meta_Classifiers[ID],0))</f>
        <v>#N/A</v>
      </c>
      <c r="AC6" s="5" t="str">
        <f>INDEX(meta_Classifiers[Class - Generalization:src],MATCH(meta_TypedModelElements[[#This Row],[Type:src]],meta_Classifiers[ID],0))</f>
        <v/>
      </c>
      <c r="AD6" s="5" t="str">
        <f>IF(meta_TypedModelElements[[#This Row],[Kind:src]]&lt;&gt;"_Function",meta_TypedModelElements[[#This Row],[Type]],INDEX(meta_TypedModelElements[Type],MATCH(meta_TypedModelElements[[#This Row],[Function - Owning Property:src]],meta_TypedModelElements[ID],0)))</f>
        <v>String</v>
      </c>
      <c r="AE6" s="5" t="str">
        <f>IF(meta_TypedModelElements[[#This Row],[Kind:src]]&lt;&gt;"_Function",meta_TypedModelElements[[#This Row],[Type:src]],INDEX(meta_TypedModelElements[Type:src],MATCH(meta_TypedModelElements[[#This Row],[Function - Owning Property:src]],meta_TypedModelElements[ID],0)))</f>
        <v>_String</v>
      </c>
      <c r="AF6" s="5" t="str">
        <f>IF(meta_TypedModelElements[[#This Row],[Type:src]]="","",INDEX(meta_Classifiers[Name],MATCH(meta_TypedModelElements[[#This Row],[Type:src]],meta_Classifiers[ID],0)))</f>
        <v>String</v>
      </c>
      <c r="AG6" s="5" t="s">
        <v>180</v>
      </c>
      <c r="AH6" s="22" t="str">
        <f xml:space="preserve"> IF( TRIM( meta_TypedModelElements[[#This Row],[Type:src]] ) = "", "",
        INDEX( meta_Classifiers[Display Qualified], MATCH( meta_TypedModelElements[[#This Row],[Type:src]], meta_Classifiers[ID], 0 ) ) )</f>
        <v>String</v>
      </c>
      <c r="AI6" s="22" t="s">
        <v>21</v>
      </c>
      <c r="AJ6" s="22" t="s">
        <v>232</v>
      </c>
      <c r="AK6" s="8"/>
      <c r="AL6" s="22" t="str">
        <f xml:space="preserve"> IF( TRIM( meta_TypedModelElements[[#This Row],[Reference - Opposite:src]] ) = "", "",
        INDEX( meta_TypedModelElements[Display Qualified], MATCH( meta_TypedModelElements[[#This Row],[Reference - Opposite:src]], meta_TypedModelElements[ID], 0 ) ) )</f>
        <v/>
      </c>
      <c r="AM6" s="8"/>
      <c r="AN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 s="22"/>
      <c r="AP6"/>
      <c r="AQ6" s="22" t="str">
        <f xml:space="preserve"> IF( TRIM( meta_TypedModelElements[[#This Row],[Function - Owning Property:src]] ) = "", "",
        INDEX( meta_TypedModelElements[Display Qualified], MATCH( meta_TypedModelElements[[#This Row],[Function - Owning Property:src]], meta_TypedModelElements[ID], 0 ) ) )</f>
        <v/>
      </c>
      <c r="AT6" s="22" t="str">
        <f>IF(meta_TypedModelElements[[#This Row],[Parameter - Owning Function:src]]="","",INDEX(meta_TypedModelElements[Display Qualified],MATCH(meta_TypedModelElements[[#This Row],[Parameter - Owning Function:src]],meta_TypedModelElements[ID],0)))</f>
        <v/>
      </c>
      <c r="AV6" s="89"/>
      <c r="AW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 s="5" t="str">
        <f>"[@["&amp;meta_TypedModelElements[[#This Row],[Name or Type]]&amp;":src]]"</f>
        <v>[@[Sub Package:src]]</v>
      </c>
      <c r="AY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 s="40"/>
      <c r="BC6" s="40" t="str">
        <f>IF(meta_TypedModelElements[[#This Row],[Kind:src]]="_Parameter","",IF(AND(meta_TypedModelElements[[#This Row],[Package]]="util",meta_TypedModelElements[[#This Row],[Containing Class]]=0), "public", "method"))</f>
        <v>method</v>
      </c>
      <c r="BD6" s="40"/>
      <c r="BE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 s="40"/>
      <c r="BK6" s="7" t="s">
        <v>462</v>
      </c>
    </row>
    <row r="7" spans="1:63">
      <c r="A7" s="5" t="s">
        <v>478</v>
      </c>
      <c r="B7" s="5" t="s">
        <v>168</v>
      </c>
      <c r="C7" s="22" t="str">
        <f xml:space="preserve"> IF( TRIM( meta_TypedModelElements[[#This Row],[Kind:src]] ) = "", "",
        INDEX( meta_Classifiers[Display Qualified], MATCH( meta_TypedModelElements[[#This Row],[Kind:src]], meta_Classifiers[ID], 0 ) ) )</f>
        <v>Attribute</v>
      </c>
      <c r="D7" s="22">
        <v>6</v>
      </c>
      <c r="E7" s="22" t="s">
        <v>142</v>
      </c>
      <c r="F7" s="22"/>
      <c r="G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7" s="8" t="s">
        <v>160</v>
      </c>
      <c r="J7" s="22" t="str">
        <f xml:space="preserve"> IF( TRIM( meta_TypedModelElements[[#This Row],[Property - Owning Class:src]] ) = "", "",
        INDEX( meta_Classifiers[Display Qualified], MATCH( meta_TypedModelElements[[#This Row],[Property - Owning Class:src]], meta_Classifiers[ID], 0 ) ) )</f>
        <v>Object</v>
      </c>
      <c r="K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meta::Object.display</v>
      </c>
      <c r="L7" s="5" t="str">
        <f>IF(meta_TypedModelElements[[#This Row],[Kind:src]]="_Function",meta_TypedModelElements[[#This Row],[Display Qualified]],"")</f>
        <v/>
      </c>
      <c r="M7" s="5" t="str">
        <f>IF(meta_TypedModelElements[[#This Row],[Kind:src]]="_Attribute",meta_TypedModelElements[[#This Row],[Display Qualified]],"")</f>
        <v>meta::Object.display</v>
      </c>
      <c r="N7" s="5" t="str">
        <f>IF(meta_TypedModelElements[[#This Row],[Kind:src]]="_Reference",meta_TypedModelElements[[#This Row],[Display Qualified]],"")</f>
        <v/>
      </c>
      <c r="O7" s="5" t="str">
        <f>IF(OR(meta_TypedModelElements[[#This Row],[Kind:src]]="_Attribute",meta_TypedModelElements[[#This Row],[Kind:src]]="_Reference"),meta_TypedModelElements[[#This Row],[Display Qualified]],"")</f>
        <v>meta::Object.display</v>
      </c>
      <c r="P7" s="22"/>
      <c r="Q7" s="22"/>
      <c r="R7" s="5" t="str">
        <f>IF(meta_TypedModelElements[[#This Row],[Containing Class:display]]="","",meta_TypedModelElements[[#This Row],[Containing Class:display]]&amp;".")&amp;meta_TypedModelElements[[#This Row],[Display without Class]]</f>
        <v>Object.display</v>
      </c>
      <c r="S7" s="5" t="str" cm="1">
        <f t="array" ref="S7">_xlfn.IFNA(INDEX(meta_Names[Camel Lower], MATCH(meta_TypedModelElements[[#This Row],[Name or Type]],meta_Names[String],0)),camelCaseLower(meta_TypedModelElements[[#This Row],[Name or Type]]))</f>
        <v>display</v>
      </c>
      <c r="T7" s="5" t="str">
        <f>IF(meta_TypedModelElements[[#This Row],[Name or Type]]="","",meta_TypedModelElements[[#This Row],[Name or Type Camel Case Lower]])&amp;IF(meta_TypedModelElements[[#This Row],[Kind:src]]="_Function","("&amp;meta_TypedModelElements[[#This Row],[Function - Parameters Display]]&amp;")","")</f>
        <v>display</v>
      </c>
      <c r="U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v>
      </c>
      <c r="V7" s="22" t="s">
        <v>32</v>
      </c>
      <c r="W7" s="5" t="e">
        <f>INDEX(meta_Classifiers[Class - Generalization:src],MATCH(meta_TypedModelElements[[#This Row],[Type Super Type 6]],meta_Classifiers[ID],0))</f>
        <v>#N/A</v>
      </c>
      <c r="X7" s="5" t="e">
        <f>INDEX(meta_Classifiers[Class - Generalization:src],MATCH(meta_TypedModelElements[[#This Row],[Type Super Type 5]],meta_Classifiers[ID],0))</f>
        <v>#N/A</v>
      </c>
      <c r="Y7" s="5" t="e">
        <f>INDEX(meta_Classifiers[Class - Generalization:src],MATCH(meta_TypedModelElements[[#This Row],[Type Super Type 4]],meta_Classifiers[ID],0))</f>
        <v>#N/A</v>
      </c>
      <c r="Z7" s="5" t="e">
        <f>INDEX(meta_Classifiers[Class - Generalization:src],MATCH(meta_TypedModelElements[[#This Row],[Type Super Type 3]],meta_Classifiers[ID],0))</f>
        <v>#N/A</v>
      </c>
      <c r="AA7" s="5" t="e">
        <f>INDEX(meta_Classifiers[Class - Generalization:src],MATCH(meta_TypedModelElements[[#This Row],[Type Super Type 2]],meta_Classifiers[ID],0))</f>
        <v>#N/A</v>
      </c>
      <c r="AB7" s="5" t="e">
        <f>INDEX(meta_Classifiers[Class - Generalization:src],MATCH(meta_TypedModelElements[[#This Row],[Type Super Type 1]],meta_Classifiers[ID],0))</f>
        <v>#N/A</v>
      </c>
      <c r="AC7" s="5" t="str">
        <f>INDEX(meta_Classifiers[Class - Generalization:src],MATCH(meta_TypedModelElements[[#This Row],[Type:src]],meta_Classifiers[ID],0))</f>
        <v/>
      </c>
      <c r="AD7" s="5" t="str">
        <f>IF(meta_TypedModelElements[[#This Row],[Kind:src]]&lt;&gt;"_Function",meta_TypedModelElements[[#This Row],[Type]],INDEX(meta_TypedModelElements[Type],MATCH(meta_TypedModelElements[[#This Row],[Function - Owning Property:src]],meta_TypedModelElements[ID],0)))</f>
        <v>String</v>
      </c>
      <c r="AE7" s="5" t="str">
        <f>IF(meta_TypedModelElements[[#This Row],[Kind:src]]&lt;&gt;"_Function",meta_TypedModelElements[[#This Row],[Type:src]],INDEX(meta_TypedModelElements[Type:src],MATCH(meta_TypedModelElements[[#This Row],[Function - Owning Property:src]],meta_TypedModelElements[ID],0)))</f>
        <v>_String</v>
      </c>
      <c r="AF7" s="5" t="str">
        <f>IF(meta_TypedModelElements[[#This Row],[Type:src]]="","",INDEX(meta_Classifiers[Name],MATCH(meta_TypedModelElements[[#This Row],[Type:src]],meta_Classifiers[ID],0)))</f>
        <v>String</v>
      </c>
      <c r="AG7" s="5" t="s">
        <v>180</v>
      </c>
      <c r="AH7" s="22" t="str">
        <f xml:space="preserve"> IF( TRIM( meta_TypedModelElements[[#This Row],[Type:src]] ) = "", "",
        INDEX( meta_Classifiers[Display Qualified], MATCH( meta_TypedModelElements[[#This Row],[Type:src]], meta_Classifiers[ID], 0 ) ) )</f>
        <v>String</v>
      </c>
      <c r="AI7" s="22" t="s">
        <v>21</v>
      </c>
      <c r="AJ7" s="22"/>
      <c r="AK7" s="8"/>
      <c r="AL7" s="22" t="str">
        <f xml:space="preserve"> IF( TRIM( meta_TypedModelElements[[#This Row],[Reference - Opposite:src]] ) = "", "",
        INDEX( meta_TypedModelElements[Display Qualified], MATCH( meta_TypedModelElements[[#This Row],[Reference - Opposite:src]], meta_TypedModelElements[ID], 0 ) ) )</f>
        <v/>
      </c>
      <c r="AM7" s="8"/>
      <c r="AN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 s="22"/>
      <c r="AP7"/>
      <c r="AQ7" s="22" t="str">
        <f xml:space="preserve"> IF( TRIM( meta_TypedModelElements[[#This Row],[Function - Owning Property:src]] ) = "", "",
        INDEX( meta_TypedModelElements[Display Qualified], MATCH( meta_TypedModelElements[[#This Row],[Function - Owning Property:src]], meta_TypedModelElements[ID], 0 ) ) )</f>
        <v/>
      </c>
      <c r="AT7" s="22" t="str">
        <f>IF(meta_TypedModelElements[[#This Row],[Parameter - Owning Function:src]]="","",INDEX(meta_TypedModelElements[Display Qualified],MATCH(meta_TypedModelElements[[#This Row],[Parameter - Owning Function:src]],meta_TypedModelElements[ID],0)))</f>
        <v/>
      </c>
      <c r="AV7" s="89"/>
      <c r="AW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 s="5" t="str">
        <f>"[@["&amp;meta_TypedModelElements[[#This Row],[Name or Type]]&amp;":src]]"</f>
        <v>[@[Display:src]]</v>
      </c>
      <c r="AY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 s="40"/>
      <c r="BC7" s="40" t="str">
        <f>IF(meta_TypedModelElements[[#This Row],[Kind:src]]="_Parameter","",IF(AND(meta_TypedModelElements[[#This Row],[Package]]="util",meta_TypedModelElements[[#This Row],[Containing Class]]=0), "public", "method"))</f>
        <v>method</v>
      </c>
      <c r="BD7" s="40"/>
      <c r="BE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 s="40"/>
      <c r="BK7" s="5"/>
    </row>
    <row r="8" spans="1:63">
      <c r="A8" s="5" t="s">
        <v>807</v>
      </c>
      <c r="B8" s="5" t="s">
        <v>168</v>
      </c>
      <c r="C8" s="22" t="str">
        <f xml:space="preserve"> IF( TRIM( meta_TypedModelElements[[#This Row],[Kind:src]] ) = "", "",
        INDEX( meta_Classifiers[Display Qualified], MATCH( meta_TypedModelElements[[#This Row],[Kind:src]], meta_Classifiers[ID], 0 ) ) )</f>
        <v>Attribute</v>
      </c>
      <c r="D8" s="22">
        <v>7</v>
      </c>
      <c r="E8" s="22" t="s">
        <v>142</v>
      </c>
      <c r="F8" s="22"/>
      <c r="G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 s="8" t="s">
        <v>160</v>
      </c>
      <c r="J8" s="22" t="str">
        <f xml:space="preserve"> IF( TRIM( meta_TypedModelElements[[#This Row],[Property - Owning Class:src]] ) = "", "",
        INDEX( meta_Classifiers[Display Qualified], MATCH( meta_TypedModelElements[[#This Row],[Property - Owning Class:src]], meta_Classifiers[ID], 0 ) ) )</f>
        <v>Object</v>
      </c>
      <c r="K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meta::Object.displayQualified</v>
      </c>
      <c r="L8" s="5" t="str">
        <f>IF(meta_TypedModelElements[[#This Row],[Kind:src]]="_Function",meta_TypedModelElements[[#This Row],[Display Qualified]],"")</f>
        <v/>
      </c>
      <c r="M8" s="5" t="str">
        <f>IF(meta_TypedModelElements[[#This Row],[Kind:src]]="_Attribute",meta_TypedModelElements[[#This Row],[Display Qualified]],"")</f>
        <v>meta::Object.displayQualified</v>
      </c>
      <c r="N8" s="5" t="str">
        <f>IF(meta_TypedModelElements[[#This Row],[Kind:src]]="_Reference",meta_TypedModelElements[[#This Row],[Display Qualified]],"")</f>
        <v/>
      </c>
      <c r="O8" s="5" t="str">
        <f>IF(OR(meta_TypedModelElements[[#This Row],[Kind:src]]="_Attribute",meta_TypedModelElements[[#This Row],[Kind:src]]="_Reference"),meta_TypedModelElements[[#This Row],[Display Qualified]],"")</f>
        <v>meta::Object.displayQualified</v>
      </c>
      <c r="P8" s="22"/>
      <c r="Q8" s="22"/>
      <c r="R8" s="5" t="str">
        <f>IF(meta_TypedModelElements[[#This Row],[Containing Class:display]]="","",meta_TypedModelElements[[#This Row],[Containing Class:display]]&amp;".")&amp;meta_TypedModelElements[[#This Row],[Display without Class]]</f>
        <v>Object.displayQualified</v>
      </c>
      <c r="S8" s="5" t="str" cm="1">
        <f t="array" ref="S8">_xlfn.IFNA(INDEX(meta_Names[Camel Lower], MATCH(meta_TypedModelElements[[#This Row],[Name or Type]],meta_Names[String],0)),camelCaseLower(meta_TypedModelElements[[#This Row],[Name or Type]]))</f>
        <v>displayQualified</v>
      </c>
      <c r="T8" s="5" t="str">
        <f>IF(meta_TypedModelElements[[#This Row],[Name or Type]]="","",meta_TypedModelElements[[#This Row],[Name or Type Camel Case Lower]])&amp;IF(meta_TypedModelElements[[#This Row],[Kind:src]]="_Function","("&amp;meta_TypedModelElements[[#This Row],[Function - Parameters Display]]&amp;")","")</f>
        <v>displayQualified</v>
      </c>
      <c r="U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Qualified</v>
      </c>
      <c r="V8" s="22" t="s">
        <v>806</v>
      </c>
      <c r="W8" s="5" t="e">
        <f>INDEX(meta_Classifiers[Class - Generalization:src],MATCH(meta_TypedModelElements[[#This Row],[Type Super Type 6]],meta_Classifiers[ID],0))</f>
        <v>#N/A</v>
      </c>
      <c r="X8" s="5" t="e">
        <f>INDEX(meta_Classifiers[Class - Generalization:src],MATCH(meta_TypedModelElements[[#This Row],[Type Super Type 5]],meta_Classifiers[ID],0))</f>
        <v>#N/A</v>
      </c>
      <c r="Y8" s="5" t="e">
        <f>INDEX(meta_Classifiers[Class - Generalization:src],MATCH(meta_TypedModelElements[[#This Row],[Type Super Type 4]],meta_Classifiers[ID],0))</f>
        <v>#N/A</v>
      </c>
      <c r="Z8" s="5" t="e">
        <f>INDEX(meta_Classifiers[Class - Generalization:src],MATCH(meta_TypedModelElements[[#This Row],[Type Super Type 3]],meta_Classifiers[ID],0))</f>
        <v>#N/A</v>
      </c>
      <c r="AA8" s="5" t="e">
        <f>INDEX(meta_Classifiers[Class - Generalization:src],MATCH(meta_TypedModelElements[[#This Row],[Type Super Type 2]],meta_Classifiers[ID],0))</f>
        <v>#N/A</v>
      </c>
      <c r="AB8" s="5" t="e">
        <f>INDEX(meta_Classifiers[Class - Generalization:src],MATCH(meta_TypedModelElements[[#This Row],[Type Super Type 1]],meta_Classifiers[ID],0))</f>
        <v>#N/A</v>
      </c>
      <c r="AC8" s="5" t="str">
        <f>INDEX(meta_Classifiers[Class - Generalization:src],MATCH(meta_TypedModelElements[[#This Row],[Type:src]],meta_Classifiers[ID],0))</f>
        <v/>
      </c>
      <c r="AD8" s="5" t="str">
        <f>IF(meta_TypedModelElements[[#This Row],[Kind:src]]&lt;&gt;"_Function",meta_TypedModelElements[[#This Row],[Type]],INDEX(meta_TypedModelElements[Type],MATCH(meta_TypedModelElements[[#This Row],[Function - Owning Property:src]],meta_TypedModelElements[ID],0)))</f>
        <v>String</v>
      </c>
      <c r="AE8" s="5" t="str">
        <f>IF(meta_TypedModelElements[[#This Row],[Kind:src]]&lt;&gt;"_Function",meta_TypedModelElements[[#This Row],[Type:src]],INDEX(meta_TypedModelElements[Type:src],MATCH(meta_TypedModelElements[[#This Row],[Function - Owning Property:src]],meta_TypedModelElements[ID],0)))</f>
        <v>_String</v>
      </c>
      <c r="AF8" s="5" t="str">
        <f>IF(meta_TypedModelElements[[#This Row],[Type:src]]="","",INDEX(meta_Classifiers[Name],MATCH(meta_TypedModelElements[[#This Row],[Type:src]],meta_Classifiers[ID],0)))</f>
        <v>String</v>
      </c>
      <c r="AG8" s="5" t="s">
        <v>180</v>
      </c>
      <c r="AH8" s="22" t="str">
        <f xml:space="preserve"> IF( TRIM( meta_TypedModelElements[[#This Row],[Type:src]] ) = "", "",
        INDEX( meta_Classifiers[Display Qualified], MATCH( meta_TypedModelElements[[#This Row],[Type:src]], meta_Classifiers[ID], 0 ) ) )</f>
        <v>String</v>
      </c>
      <c r="AI8" s="22" t="s">
        <v>21</v>
      </c>
      <c r="AJ8" s="22"/>
      <c r="AK8" s="8"/>
      <c r="AL8" s="22" t="str">
        <f xml:space="preserve"> IF( TRIM( meta_TypedModelElements[[#This Row],[Reference - Opposite:src]] ) = "", "",
        INDEX( meta_TypedModelElements[Display Qualified], MATCH( meta_TypedModelElements[[#This Row],[Reference - Opposite:src]], meta_TypedModelElements[ID], 0 ) ) )</f>
        <v/>
      </c>
      <c r="AM8" s="8"/>
      <c r="AN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 s="22"/>
      <c r="AP8"/>
      <c r="AQ8" s="22" t="str">
        <f xml:space="preserve"> IF( TRIM( meta_TypedModelElements[[#This Row],[Function - Owning Property:src]] ) = "", "",
        INDEX( meta_TypedModelElements[Display Qualified], MATCH( meta_TypedModelElements[[#This Row],[Function - Owning Property:src]], meta_TypedModelElements[ID], 0 ) ) )</f>
        <v/>
      </c>
      <c r="AT8" s="22" t="str">
        <f>IF(meta_TypedModelElements[[#This Row],[Parameter - Owning Function:src]]="","",INDEX(meta_TypedModelElements[Display Qualified],MATCH(meta_TypedModelElements[[#This Row],[Parameter - Owning Function:src]],meta_TypedModelElements[ID],0)))</f>
        <v/>
      </c>
      <c r="AV8" s="89"/>
      <c r="AW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 s="5" t="str">
        <f>"[@["&amp;meta_TypedModelElements[[#This Row],[Name or Type]]&amp;":src]]"</f>
        <v>[@[Display Qualified:src]]</v>
      </c>
      <c r="AY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 s="40"/>
      <c r="BC8" s="40" t="str">
        <f>IF(meta_TypedModelElements[[#This Row],[Kind:src]]="_Parameter","",IF(AND(meta_TypedModelElements[[#This Row],[Package]]="util",meta_TypedModelElements[[#This Row],[Containing Class]]=0), "public", "method"))</f>
        <v>method</v>
      </c>
      <c r="BD8" s="40"/>
      <c r="BE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 s="40"/>
      <c r="BK8" s="5"/>
    </row>
    <row r="9" spans="1:63">
      <c r="A9" s="5" t="s">
        <v>479</v>
      </c>
      <c r="B9" s="5" t="s">
        <v>168</v>
      </c>
      <c r="C9" s="22" t="str">
        <f xml:space="preserve"> IF( TRIM( meta_TypedModelElements[[#This Row],[Kind:src]] ) = "", "",
        INDEX( meta_Classifiers[Display Qualified], MATCH( meta_TypedModelElements[[#This Row],[Kind:src]], meta_Classifiers[ID], 0 ) ) )</f>
        <v>Attribute</v>
      </c>
      <c r="D9" s="22">
        <v>8</v>
      </c>
      <c r="E9" s="22" t="s">
        <v>142</v>
      </c>
      <c r="F9" s="22"/>
      <c r="G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 s="8" t="s">
        <v>160</v>
      </c>
      <c r="J9" s="22" t="str">
        <f xml:space="preserve"> IF( TRIM( meta_TypedModelElements[[#This Row],[Property - Owning Class:src]] ) = "", "",
        INDEX( meta_Classifiers[Display Qualified], MATCH( meta_TypedModelElements[[#This Row],[Property - Owning Class:src]], meta_Classifiers[ID], 0 ) ) )</f>
        <v>Object</v>
      </c>
      <c r="K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meta::Object.definition</v>
      </c>
      <c r="L9" s="5" t="str">
        <f>IF(meta_TypedModelElements[[#This Row],[Kind:src]]="_Function",meta_TypedModelElements[[#This Row],[Display Qualified]],"")</f>
        <v/>
      </c>
      <c r="M9" s="5" t="str">
        <f>IF(meta_TypedModelElements[[#This Row],[Kind:src]]="_Attribute",meta_TypedModelElements[[#This Row],[Display Qualified]],"")</f>
        <v>meta::Object.definition</v>
      </c>
      <c r="N9" s="5" t="str">
        <f>IF(meta_TypedModelElements[[#This Row],[Kind:src]]="_Reference",meta_TypedModelElements[[#This Row],[Display Qualified]],"")</f>
        <v/>
      </c>
      <c r="O9" s="5" t="str">
        <f>IF(OR(meta_TypedModelElements[[#This Row],[Kind:src]]="_Attribute",meta_TypedModelElements[[#This Row],[Kind:src]]="_Reference"),meta_TypedModelElements[[#This Row],[Display Qualified]],"")</f>
        <v>meta::Object.definition</v>
      </c>
      <c r="P9" s="22"/>
      <c r="Q9" s="22"/>
      <c r="R9" s="5" t="str">
        <f>IF(meta_TypedModelElements[[#This Row],[Containing Class:display]]="","",meta_TypedModelElements[[#This Row],[Containing Class:display]]&amp;".")&amp;meta_TypedModelElements[[#This Row],[Display without Class]]</f>
        <v>Object.definition</v>
      </c>
      <c r="S9" s="5" t="str" cm="1">
        <f t="array" ref="S9">_xlfn.IFNA(INDEX(meta_Names[Camel Lower], MATCH(meta_TypedModelElements[[#This Row],[Name or Type]],meta_Names[String],0)),camelCaseLower(meta_TypedModelElements[[#This Row],[Name or Type]]))</f>
        <v>definition</v>
      </c>
      <c r="T9" s="5" t="str">
        <f>IF(meta_TypedModelElements[[#This Row],[Name or Type]]="","",meta_TypedModelElements[[#This Row],[Name or Type Camel Case Lower]])&amp;IF(meta_TypedModelElements[[#This Row],[Kind:src]]="_Function","("&amp;meta_TypedModelElements[[#This Row],[Function - Parameters Display]]&amp;")","")</f>
        <v>definition</v>
      </c>
      <c r="U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Definition</v>
      </c>
      <c r="V9" s="22" t="s">
        <v>84</v>
      </c>
      <c r="W9" s="5" t="e">
        <f>INDEX(meta_Classifiers[Class - Generalization:src],MATCH(meta_TypedModelElements[[#This Row],[Type Super Type 6]],meta_Classifiers[ID],0))</f>
        <v>#N/A</v>
      </c>
      <c r="X9" s="5" t="e">
        <f>INDEX(meta_Classifiers[Class - Generalization:src],MATCH(meta_TypedModelElements[[#This Row],[Type Super Type 5]],meta_Classifiers[ID],0))</f>
        <v>#N/A</v>
      </c>
      <c r="Y9" s="5" t="e">
        <f>INDEX(meta_Classifiers[Class - Generalization:src],MATCH(meta_TypedModelElements[[#This Row],[Type Super Type 4]],meta_Classifiers[ID],0))</f>
        <v>#N/A</v>
      </c>
      <c r="Z9" s="5" t="e">
        <f>INDEX(meta_Classifiers[Class - Generalization:src],MATCH(meta_TypedModelElements[[#This Row],[Type Super Type 3]],meta_Classifiers[ID],0))</f>
        <v>#N/A</v>
      </c>
      <c r="AA9" s="5" t="e">
        <f>INDEX(meta_Classifiers[Class - Generalization:src],MATCH(meta_TypedModelElements[[#This Row],[Type Super Type 2]],meta_Classifiers[ID],0))</f>
        <v>#N/A</v>
      </c>
      <c r="AB9" s="5" t="e">
        <f>INDEX(meta_Classifiers[Class - Generalization:src],MATCH(meta_TypedModelElements[[#This Row],[Type Super Type 1]],meta_Classifiers[ID],0))</f>
        <v>#N/A</v>
      </c>
      <c r="AC9" s="5" t="str">
        <f>INDEX(meta_Classifiers[Class - Generalization:src],MATCH(meta_TypedModelElements[[#This Row],[Type:src]],meta_Classifiers[ID],0))</f>
        <v/>
      </c>
      <c r="AD9" s="5" t="str">
        <f>IF(meta_TypedModelElements[[#This Row],[Kind:src]]&lt;&gt;"_Function",meta_TypedModelElements[[#This Row],[Type]],INDEX(meta_TypedModelElements[Type],MATCH(meta_TypedModelElements[[#This Row],[Function - Owning Property:src]],meta_TypedModelElements[ID],0)))</f>
        <v>String</v>
      </c>
      <c r="AE9" s="5" t="str">
        <f>IF(meta_TypedModelElements[[#This Row],[Kind:src]]&lt;&gt;"_Function",meta_TypedModelElements[[#This Row],[Type:src]],INDEX(meta_TypedModelElements[Type:src],MATCH(meta_TypedModelElements[[#This Row],[Function - Owning Property:src]],meta_TypedModelElements[ID],0)))</f>
        <v>_String</v>
      </c>
      <c r="AF9" s="5" t="str">
        <f>IF(meta_TypedModelElements[[#This Row],[Type:src]]="","",INDEX(meta_Classifiers[Name],MATCH(meta_TypedModelElements[[#This Row],[Type:src]],meta_Classifiers[ID],0)))</f>
        <v>String</v>
      </c>
      <c r="AG9" s="5" t="s">
        <v>180</v>
      </c>
      <c r="AH9" s="22" t="str">
        <f xml:space="preserve"> IF( TRIM( meta_TypedModelElements[[#This Row],[Type:src]] ) = "", "",
        INDEX( meta_Classifiers[Display Qualified], MATCH( meta_TypedModelElements[[#This Row],[Type:src]], meta_Classifiers[ID], 0 ) ) )</f>
        <v>String</v>
      </c>
      <c r="AI9" s="22" t="s">
        <v>21</v>
      </c>
      <c r="AJ9" s="22" t="s">
        <v>232</v>
      </c>
      <c r="AK9" s="8"/>
      <c r="AL9" s="22" t="str">
        <f xml:space="preserve"> IF( TRIM( meta_TypedModelElements[[#This Row],[Reference - Opposite:src]] ) = "", "",
        INDEX( meta_TypedModelElements[Display Qualified], MATCH( meta_TypedModelElements[[#This Row],[Reference - Opposite:src]], meta_TypedModelElements[ID], 0 ) ) )</f>
        <v/>
      </c>
      <c r="AM9" s="8"/>
      <c r="AN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 s="22"/>
      <c r="AP9"/>
      <c r="AQ9" s="22" t="str">
        <f xml:space="preserve"> IF( TRIM( meta_TypedModelElements[[#This Row],[Function - Owning Property:src]] ) = "", "",
        INDEX( meta_TypedModelElements[Display Qualified], MATCH( meta_TypedModelElements[[#This Row],[Function - Owning Property:src]], meta_TypedModelElements[ID], 0 ) ) )</f>
        <v/>
      </c>
      <c r="AT9" s="22" t="str">
        <f>IF(meta_TypedModelElements[[#This Row],[Parameter - Owning Function:src]]="","",INDEX(meta_TypedModelElements[Display Qualified],MATCH(meta_TypedModelElements[[#This Row],[Parameter - Owning Function:src]],meta_TypedModelElements[ID],0)))</f>
        <v/>
      </c>
      <c r="AV9" s="89"/>
      <c r="AW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 s="5" t="str">
        <f>"[@["&amp;meta_TypedModelElements[[#This Row],[Name or Type]]&amp;":src]]"</f>
        <v>[@[Definition:src]]</v>
      </c>
      <c r="AY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 s="40"/>
      <c r="BC9" s="40" t="str">
        <f>IF(meta_TypedModelElements[[#This Row],[Kind:src]]="_Parameter","",IF(AND(meta_TypedModelElements[[#This Row],[Package]]="util",meta_TypedModelElements[[#This Row],[Containing Class]]=0), "public", "method"))</f>
        <v>method</v>
      </c>
      <c r="BD9" s="40"/>
      <c r="BE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 s="40"/>
      <c r="BK9" s="5"/>
    </row>
    <row r="10" spans="1:63">
      <c r="A10" s="5" t="s">
        <v>582</v>
      </c>
      <c r="B10" s="5" t="s">
        <v>168</v>
      </c>
      <c r="C10" s="22" t="str">
        <f xml:space="preserve"> IF( TRIM( meta_TypedModelElements[[#This Row],[Kind:src]] ) = "", "",
        INDEX( meta_Classifiers[Display Qualified], MATCH( meta_TypedModelElements[[#This Row],[Kind:src]], meta_Classifiers[ID], 0 ) ) )</f>
        <v>Attribute</v>
      </c>
      <c r="D10" s="22">
        <v>9</v>
      </c>
      <c r="E10" s="22" t="s">
        <v>142</v>
      </c>
      <c r="F10" s="22"/>
      <c r="G1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0" s="8" t="s">
        <v>570</v>
      </c>
      <c r="J10" s="22" t="str">
        <f xml:space="preserve"> IF( TRIM( meta_TypedModelElements[[#This Row],[Property - Owning Class:src]] ) = "", "",
        INDEX( meta_Classifiers[Display Qualified], MATCH( meta_TypedModelElements[[#This Row],[Property - Owning Class:src]], meta_Classifiers[ID], 0 ) ) )</f>
        <v>Snippet</v>
      </c>
      <c r="K1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meta::Snippet.line</v>
      </c>
      <c r="L10" s="5" t="str">
        <f>IF(meta_TypedModelElements[[#This Row],[Kind:src]]="_Function",meta_TypedModelElements[[#This Row],[Display Qualified]],"")</f>
        <v/>
      </c>
      <c r="M10" s="5" t="str">
        <f>IF(meta_TypedModelElements[[#This Row],[Kind:src]]="_Attribute",meta_TypedModelElements[[#This Row],[Display Qualified]],"")</f>
        <v>meta::Snippet.line</v>
      </c>
      <c r="N10" s="5" t="str">
        <f>IF(meta_TypedModelElements[[#This Row],[Kind:src]]="_Reference",meta_TypedModelElements[[#This Row],[Display Qualified]],"")</f>
        <v/>
      </c>
      <c r="O10" s="5" t="str">
        <f>IF(OR(meta_TypedModelElements[[#This Row],[Kind:src]]="_Attribute",meta_TypedModelElements[[#This Row],[Kind:src]]="_Reference"),meta_TypedModelElements[[#This Row],[Display Qualified]],"")</f>
        <v>meta::Snippet.line</v>
      </c>
      <c r="P10" s="22"/>
      <c r="Q10" s="22"/>
      <c r="R10" s="5" t="str">
        <f>IF(meta_TypedModelElements[[#This Row],[Containing Class:display]]="","",meta_TypedModelElements[[#This Row],[Containing Class:display]]&amp;".")&amp;meta_TypedModelElements[[#This Row],[Display without Class]]</f>
        <v>Snippet.line</v>
      </c>
      <c r="S10" s="5" t="str" cm="1">
        <f t="array" ref="S10">_xlfn.IFNA(INDEX(meta_Names[Camel Lower], MATCH(meta_TypedModelElements[[#This Row],[Name or Type]],meta_Names[String],0)),camelCaseLower(meta_TypedModelElements[[#This Row],[Name or Type]]))</f>
        <v>line</v>
      </c>
      <c r="T10" s="5" t="str">
        <f>IF(meta_TypedModelElements[[#This Row],[Name or Type]]="","",meta_TypedModelElements[[#This Row],[Name or Type Camel Case Lower]])&amp;IF(meta_TypedModelElements[[#This Row],[Kind:src]]="_Function","("&amp;meta_TypedModelElements[[#This Row],[Function - Parameters Display]]&amp;")","")</f>
        <v>line</v>
      </c>
      <c r="U1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10" s="22" t="s">
        <v>31</v>
      </c>
      <c r="W10" s="5" t="e">
        <f>INDEX(meta_Classifiers[Class - Generalization:src],MATCH(meta_TypedModelElements[[#This Row],[Type Super Type 6]],meta_Classifiers[ID],0))</f>
        <v>#N/A</v>
      </c>
      <c r="X10" s="5" t="e">
        <f>INDEX(meta_Classifiers[Class - Generalization:src],MATCH(meta_TypedModelElements[[#This Row],[Type Super Type 5]],meta_Classifiers[ID],0))</f>
        <v>#N/A</v>
      </c>
      <c r="Y10" s="5" t="e">
        <f>INDEX(meta_Classifiers[Class - Generalization:src],MATCH(meta_TypedModelElements[[#This Row],[Type Super Type 4]],meta_Classifiers[ID],0))</f>
        <v>#N/A</v>
      </c>
      <c r="Z10" s="5" t="e">
        <f>INDEX(meta_Classifiers[Class - Generalization:src],MATCH(meta_TypedModelElements[[#This Row],[Type Super Type 3]],meta_Classifiers[ID],0))</f>
        <v>#N/A</v>
      </c>
      <c r="AA10" s="5" t="e">
        <f>INDEX(meta_Classifiers[Class - Generalization:src],MATCH(meta_TypedModelElements[[#This Row],[Type Super Type 2]],meta_Classifiers[ID],0))</f>
        <v>#N/A</v>
      </c>
      <c r="AB10" s="5" t="e">
        <f>INDEX(meta_Classifiers[Class - Generalization:src],MATCH(meta_TypedModelElements[[#This Row],[Type Super Type 1]],meta_Classifiers[ID],0))</f>
        <v>#N/A</v>
      </c>
      <c r="AC10" s="5" t="str">
        <f>INDEX(meta_Classifiers[Class - Generalization:src],MATCH(meta_TypedModelElements[[#This Row],[Type:src]],meta_Classifiers[ID],0))</f>
        <v/>
      </c>
      <c r="AD10" s="5" t="str">
        <f>IF(meta_TypedModelElements[[#This Row],[Kind:src]]&lt;&gt;"_Function",meta_TypedModelElements[[#This Row],[Type]],INDEX(meta_TypedModelElements[Type],MATCH(meta_TypedModelElements[[#This Row],[Function - Owning Property:src]],meta_TypedModelElements[ID],0)))</f>
        <v>Integer</v>
      </c>
      <c r="AE10" s="5" t="str">
        <f>IF(meta_TypedModelElements[[#This Row],[Kind:src]]&lt;&gt;"_Function",meta_TypedModelElements[[#This Row],[Type:src]],INDEX(meta_TypedModelElements[Type:src],MATCH(meta_TypedModelElements[[#This Row],[Function - Owning Property:src]],meta_TypedModelElements[ID],0)))</f>
        <v>_Integer</v>
      </c>
      <c r="AF10" s="5" t="str">
        <f>IF(meta_TypedModelElements[[#This Row],[Type:src]]="","",INDEX(meta_Classifiers[Name],MATCH(meta_TypedModelElements[[#This Row],[Type:src]],meta_Classifiers[ID],0)))</f>
        <v>Integer</v>
      </c>
      <c r="AG10" s="5" t="s">
        <v>184</v>
      </c>
      <c r="AH10" s="22" t="str">
        <f xml:space="preserve"> IF( TRIM( meta_TypedModelElements[[#This Row],[Type:src]] ) = "", "",
        INDEX( meta_Classifiers[Display Qualified], MATCH( meta_TypedModelElements[[#This Row],[Type:src]], meta_Classifiers[ID], 0 ) ) )</f>
        <v>Integer</v>
      </c>
      <c r="AI10" s="22" t="s">
        <v>21</v>
      </c>
      <c r="AJ10" s="22" t="s">
        <v>232</v>
      </c>
      <c r="AK10" s="8"/>
      <c r="AL10" s="22" t="str">
        <f xml:space="preserve"> IF( TRIM( meta_TypedModelElements[[#This Row],[Reference - Opposite:src]] ) = "", "",
        INDEX( meta_TypedModelElements[Display Qualified], MATCH( meta_TypedModelElements[[#This Row],[Reference - Opposite:src]], meta_TypedModelElements[ID], 0 ) ) )</f>
        <v/>
      </c>
      <c r="AM10" s="8"/>
      <c r="AN1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 s="22"/>
      <c r="AP10"/>
      <c r="AQ10" s="22" t="str">
        <f xml:space="preserve"> IF( TRIM( meta_TypedModelElements[[#This Row],[Function - Owning Property:src]] ) = "", "",
        INDEX( meta_TypedModelElements[Display Qualified], MATCH( meta_TypedModelElements[[#This Row],[Function - Owning Property:src]], meta_TypedModelElements[ID], 0 ) ) )</f>
        <v/>
      </c>
      <c r="AT10" s="22" t="str">
        <f>IF(meta_TypedModelElements[[#This Row],[Parameter - Owning Function:src]]="","",INDEX(meta_TypedModelElements[Display Qualified],MATCH(meta_TypedModelElements[[#This Row],[Parameter - Owning Function:src]],meta_TypedModelElements[ID],0)))</f>
        <v/>
      </c>
      <c r="AV10" s="89"/>
      <c r="AW1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 s="5" t="str">
        <f>"[@["&amp;meta_TypedModelElements[[#This Row],[Name or Type]]&amp;":src]]"</f>
        <v>[@[Line:src]]</v>
      </c>
      <c r="AY1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 s="40"/>
      <c r="BC10" s="40" t="str">
        <f>IF(meta_TypedModelElements[[#This Row],[Kind:src]]="_Parameter","",IF(AND(meta_TypedModelElements[[#This Row],[Package]]="util",meta_TypedModelElements[[#This Row],[Containing Class]]=0), "public", "method"))</f>
        <v>method</v>
      </c>
      <c r="BD10" s="40"/>
      <c r="BE1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 s="40"/>
      <c r="BK10" s="5"/>
    </row>
    <row r="11" spans="1:63">
      <c r="A11" s="5" t="s">
        <v>583</v>
      </c>
      <c r="B11" s="5" t="s">
        <v>168</v>
      </c>
      <c r="C11" s="22" t="str">
        <f xml:space="preserve"> IF( TRIM( meta_TypedModelElements[[#This Row],[Kind:src]] ) = "", "",
        INDEX( meta_Classifiers[Display Qualified], MATCH( meta_TypedModelElements[[#This Row],[Kind:src]], meta_Classifiers[ID], 0 ) ) )</f>
        <v>Attribute</v>
      </c>
      <c r="D11" s="22">
        <v>10</v>
      </c>
      <c r="E11" s="22" t="s">
        <v>142</v>
      </c>
      <c r="F11" s="22"/>
      <c r="G1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1" s="8" t="s">
        <v>570</v>
      </c>
      <c r="J11" s="22" t="str">
        <f xml:space="preserve"> IF( TRIM( meta_TypedModelElements[[#This Row],[Property - Owning Class:src]] ) = "", "",
        INDEX( meta_Classifiers[Display Qualified], MATCH( meta_TypedModelElements[[#This Row],[Property - Owning Class:src]], meta_Classifiers[ID], 0 ) ) )</f>
        <v>Snippet</v>
      </c>
      <c r="K1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meta::Snippet.snippet</v>
      </c>
      <c r="L11" s="5" t="str">
        <f>IF(meta_TypedModelElements[[#This Row],[Kind:src]]="_Function",meta_TypedModelElements[[#This Row],[Display Qualified]],"")</f>
        <v/>
      </c>
      <c r="M11" s="5" t="str">
        <f>IF(meta_TypedModelElements[[#This Row],[Kind:src]]="_Attribute",meta_TypedModelElements[[#This Row],[Display Qualified]],"")</f>
        <v>meta::Snippet.snippet</v>
      </c>
      <c r="N11" s="5" t="str">
        <f>IF(meta_TypedModelElements[[#This Row],[Kind:src]]="_Reference",meta_TypedModelElements[[#This Row],[Display Qualified]],"")</f>
        <v/>
      </c>
      <c r="O11" s="5" t="str">
        <f>IF(OR(meta_TypedModelElements[[#This Row],[Kind:src]]="_Attribute",meta_TypedModelElements[[#This Row],[Kind:src]]="_Reference"),meta_TypedModelElements[[#This Row],[Display Qualified]],"")</f>
        <v>meta::Snippet.snippet</v>
      </c>
      <c r="P11" s="22"/>
      <c r="Q11" s="22"/>
      <c r="R11" s="5" t="str">
        <f>IF(meta_TypedModelElements[[#This Row],[Containing Class:display]]="","",meta_TypedModelElements[[#This Row],[Containing Class:display]]&amp;".")&amp;meta_TypedModelElements[[#This Row],[Display without Class]]</f>
        <v>Snippet.snippet</v>
      </c>
      <c r="S11" s="5" t="str" cm="1">
        <f t="array" ref="S11">_xlfn.IFNA(INDEX(meta_Names[Camel Lower], MATCH(meta_TypedModelElements[[#This Row],[Name or Type]],meta_Names[String],0)),camelCaseLower(meta_TypedModelElements[[#This Row],[Name or Type]]))</f>
        <v>snippet</v>
      </c>
      <c r="T11" s="5" t="str">
        <f>IF(meta_TypedModelElements[[#This Row],[Name or Type]]="","",meta_TypedModelElements[[#This Row],[Name or Type Camel Case Lower]])&amp;IF(meta_TypedModelElements[[#This Row],[Kind:src]]="_Function","("&amp;meta_TypedModelElements[[#This Row],[Function - Parameters Display]]&amp;")","")</f>
        <v>snippet</v>
      </c>
      <c r="U1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Snippet</v>
      </c>
      <c r="V11" s="22" t="s">
        <v>574</v>
      </c>
      <c r="W11" s="5" t="e">
        <f>INDEX(meta_Classifiers[Class - Generalization:src],MATCH(meta_TypedModelElements[[#This Row],[Type Super Type 6]],meta_Classifiers[ID],0))</f>
        <v>#N/A</v>
      </c>
      <c r="X11" s="5" t="e">
        <f>INDEX(meta_Classifiers[Class - Generalization:src],MATCH(meta_TypedModelElements[[#This Row],[Type Super Type 5]],meta_Classifiers[ID],0))</f>
        <v>#N/A</v>
      </c>
      <c r="Y11" s="5" t="e">
        <f>INDEX(meta_Classifiers[Class - Generalization:src],MATCH(meta_TypedModelElements[[#This Row],[Type Super Type 4]],meta_Classifiers[ID],0))</f>
        <v>#N/A</v>
      </c>
      <c r="Z11" s="5" t="e">
        <f>INDEX(meta_Classifiers[Class - Generalization:src],MATCH(meta_TypedModelElements[[#This Row],[Type Super Type 3]],meta_Classifiers[ID],0))</f>
        <v>#N/A</v>
      </c>
      <c r="AA11" s="5" t="e">
        <f>INDEX(meta_Classifiers[Class - Generalization:src],MATCH(meta_TypedModelElements[[#This Row],[Type Super Type 2]],meta_Classifiers[ID],0))</f>
        <v>#N/A</v>
      </c>
      <c r="AB11" s="5" t="e">
        <f>INDEX(meta_Classifiers[Class - Generalization:src],MATCH(meta_TypedModelElements[[#This Row],[Type Super Type 1]],meta_Classifiers[ID],0))</f>
        <v>#N/A</v>
      </c>
      <c r="AC11" s="5" t="str">
        <f>INDEX(meta_Classifiers[Class - Generalization:src],MATCH(meta_TypedModelElements[[#This Row],[Type:src]],meta_Classifiers[ID],0))</f>
        <v/>
      </c>
      <c r="AD11" s="5" t="str">
        <f>IF(meta_TypedModelElements[[#This Row],[Kind:src]]&lt;&gt;"_Function",meta_TypedModelElements[[#This Row],[Type]],INDEX(meta_TypedModelElements[Type],MATCH(meta_TypedModelElements[[#This Row],[Function - Owning Property:src]],meta_TypedModelElements[ID],0)))</f>
        <v>String</v>
      </c>
      <c r="AE11" s="5" t="str">
        <f>IF(meta_TypedModelElements[[#This Row],[Kind:src]]&lt;&gt;"_Function",meta_TypedModelElements[[#This Row],[Type:src]],INDEX(meta_TypedModelElements[Type:src],MATCH(meta_TypedModelElements[[#This Row],[Function - Owning Property:src]],meta_TypedModelElements[ID],0)))</f>
        <v>_String</v>
      </c>
      <c r="AF11" s="5" t="str">
        <f>IF(meta_TypedModelElements[[#This Row],[Type:src]]="","",INDEX(meta_Classifiers[Name],MATCH(meta_TypedModelElements[[#This Row],[Type:src]],meta_Classifiers[ID],0)))</f>
        <v>String</v>
      </c>
      <c r="AG11" s="5" t="s">
        <v>180</v>
      </c>
      <c r="AH11" s="22" t="str">
        <f xml:space="preserve"> IF( TRIM( meta_TypedModelElements[[#This Row],[Type:src]] ) = "", "",
        INDEX( meta_Classifiers[Display Qualified], MATCH( meta_TypedModelElements[[#This Row],[Type:src]], meta_Classifiers[ID], 0 ) ) )</f>
        <v>String</v>
      </c>
      <c r="AI11" s="22" t="s">
        <v>19</v>
      </c>
      <c r="AJ11" s="22" t="s">
        <v>232</v>
      </c>
      <c r="AK11" s="8"/>
      <c r="AL11" s="22" t="str">
        <f xml:space="preserve"> IF( TRIM( meta_TypedModelElements[[#This Row],[Reference - Opposite:src]] ) = "", "",
        INDEX( meta_TypedModelElements[Display Qualified], MATCH( meta_TypedModelElements[[#This Row],[Reference - Opposite:src]], meta_TypedModelElements[ID], 0 ) ) )</f>
        <v/>
      </c>
      <c r="AM11" s="8"/>
      <c r="AN1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1" s="22"/>
      <c r="AP11"/>
      <c r="AQ11" s="22" t="str">
        <f xml:space="preserve"> IF( TRIM( meta_TypedModelElements[[#This Row],[Function - Owning Property:src]] ) = "", "",
        INDEX( meta_TypedModelElements[Display Qualified], MATCH( meta_TypedModelElements[[#This Row],[Function - Owning Property:src]], meta_TypedModelElements[ID], 0 ) ) )</f>
        <v/>
      </c>
      <c r="AT11" s="22" t="str">
        <f>IF(meta_TypedModelElements[[#This Row],[Parameter - Owning Function:src]]="","",INDEX(meta_TypedModelElements[Display Qualified],MATCH(meta_TypedModelElements[[#This Row],[Parameter - Owning Function:src]],meta_TypedModelElements[ID],0)))</f>
        <v/>
      </c>
      <c r="AV11" s="89"/>
      <c r="AW1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1" s="5" t="str">
        <f>"[@["&amp;meta_TypedModelElements[[#This Row],[Name or Type]]&amp;":src]]"</f>
        <v>[@[Snippet:src]]</v>
      </c>
      <c r="AY1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1" s="40"/>
      <c r="BC11" s="40" t="str">
        <f>IF(meta_TypedModelElements[[#This Row],[Kind:src]]="_Parameter","",IF(AND(meta_TypedModelElements[[#This Row],[Package]]="util",meta_TypedModelElements[[#This Row],[Containing Class]]=0), "public", "method"))</f>
        <v>method</v>
      </c>
      <c r="BD11" s="40"/>
      <c r="BE1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1" s="40"/>
      <c r="BK11" s="5"/>
    </row>
    <row r="12" spans="1:63">
      <c r="A12" s="5" t="s">
        <v>249</v>
      </c>
      <c r="B12" s="5" t="s">
        <v>168</v>
      </c>
      <c r="C12" s="22" t="str">
        <f xml:space="preserve"> IF( TRIM( meta_TypedModelElements[[#This Row],[Kind:src]] ) = "", "",
        INDEX( meta_Classifiers[Display Qualified], MATCH( meta_TypedModelElements[[#This Row],[Kind:src]], meta_Classifiers[ID], 0 ) ) )</f>
        <v>Attribute</v>
      </c>
      <c r="D12" s="22">
        <v>11</v>
      </c>
      <c r="E12" s="22" t="s">
        <v>142</v>
      </c>
      <c r="F12" s="22"/>
      <c r="G1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_NamedElement</v>
      </c>
      <c r="H1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NamedElement</v>
      </c>
      <c r="I12" s="8" t="s">
        <v>210</v>
      </c>
      <c r="J12" s="22" t="str">
        <f xml:space="preserve"> IF( TRIM( meta_TypedModelElements[[#This Row],[Property - Owning Class:src]] ) = "", "",
        INDEX( meta_Classifiers[Display Qualified], MATCH( meta_TypedModelElements[[#This Row],[Property - Owning Class:src]], meta_Classifiers[ID], 0 ) ) )</f>
        <v>NamedElement</v>
      </c>
      <c r="K1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meta::NamedElement.name</v>
      </c>
      <c r="L12" s="5" t="str">
        <f>IF(meta_TypedModelElements[[#This Row],[Kind:src]]="_Function",meta_TypedModelElements[[#This Row],[Display Qualified]],"")</f>
        <v/>
      </c>
      <c r="M12" s="5" t="str">
        <f>IF(meta_TypedModelElements[[#This Row],[Kind:src]]="_Attribute",meta_TypedModelElements[[#This Row],[Display Qualified]],"")</f>
        <v>meta::NamedElement.name</v>
      </c>
      <c r="N12" s="5" t="str">
        <f>IF(meta_TypedModelElements[[#This Row],[Kind:src]]="_Reference",meta_TypedModelElements[[#This Row],[Display Qualified]],"")</f>
        <v/>
      </c>
      <c r="O12" s="5" t="str">
        <f>IF(OR(meta_TypedModelElements[[#This Row],[Kind:src]]="_Attribute",meta_TypedModelElements[[#This Row],[Kind:src]]="_Reference"),meta_TypedModelElements[[#This Row],[Display Qualified]],"")</f>
        <v>meta::NamedElement.name</v>
      </c>
      <c r="P12" s="22"/>
      <c r="Q12" s="22"/>
      <c r="R12" s="5" t="str">
        <f>IF(meta_TypedModelElements[[#This Row],[Containing Class:display]]="","",meta_TypedModelElements[[#This Row],[Containing Class:display]]&amp;".")&amp;meta_TypedModelElements[[#This Row],[Display without Class]]</f>
        <v>NamedElement.name</v>
      </c>
      <c r="S12" s="5" t="str" cm="1">
        <f t="array" ref="S12">_xlfn.IFNA(INDEX(meta_Names[Camel Lower], MATCH(meta_TypedModelElements[[#This Row],[Name or Type]],meta_Names[String],0)),camelCaseLower(meta_TypedModelElements[[#This Row],[Name or Type]]))</f>
        <v>name</v>
      </c>
      <c r="T12" s="5" t="str">
        <f>IF(meta_TypedModelElements[[#This Row],[Name or Type]]="","",meta_TypedModelElements[[#This Row],[Name or Type Camel Case Lower]])&amp;IF(meta_TypedModelElements[[#This Row],[Kind:src]]="_Function","("&amp;meta_TypedModelElements[[#This Row],[Function - Parameters Display]]&amp;")","")</f>
        <v>name</v>
      </c>
      <c r="U1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12" s="22" t="s">
        <v>1</v>
      </c>
      <c r="W12" s="5" t="e">
        <f>INDEX(meta_Classifiers[Class - Generalization:src],MATCH(meta_TypedModelElements[[#This Row],[Type Super Type 6]],meta_Classifiers[ID],0))</f>
        <v>#N/A</v>
      </c>
      <c r="X12" s="5" t="e">
        <f>INDEX(meta_Classifiers[Class - Generalization:src],MATCH(meta_TypedModelElements[[#This Row],[Type Super Type 5]],meta_Classifiers[ID],0))</f>
        <v>#N/A</v>
      </c>
      <c r="Y12" s="5" t="e">
        <f>INDEX(meta_Classifiers[Class - Generalization:src],MATCH(meta_TypedModelElements[[#This Row],[Type Super Type 4]],meta_Classifiers[ID],0))</f>
        <v>#N/A</v>
      </c>
      <c r="Z12" s="5" t="e">
        <f>INDEX(meta_Classifiers[Class - Generalization:src],MATCH(meta_TypedModelElements[[#This Row],[Type Super Type 3]],meta_Classifiers[ID],0))</f>
        <v>#N/A</v>
      </c>
      <c r="AA12" s="5" t="e">
        <f>INDEX(meta_Classifiers[Class - Generalization:src],MATCH(meta_TypedModelElements[[#This Row],[Type Super Type 2]],meta_Classifiers[ID],0))</f>
        <v>#N/A</v>
      </c>
      <c r="AB12" s="5" t="e">
        <f>INDEX(meta_Classifiers[Class - Generalization:src],MATCH(meta_TypedModelElements[[#This Row],[Type Super Type 1]],meta_Classifiers[ID],0))</f>
        <v>#N/A</v>
      </c>
      <c r="AC12" s="5" t="str">
        <f>INDEX(meta_Classifiers[Class - Generalization:src],MATCH(meta_TypedModelElements[[#This Row],[Type:src]],meta_Classifiers[ID],0))</f>
        <v/>
      </c>
      <c r="AD12" s="5" t="str">
        <f>IF(meta_TypedModelElements[[#This Row],[Kind:src]]&lt;&gt;"_Function",meta_TypedModelElements[[#This Row],[Type]],INDEX(meta_TypedModelElements[Type],MATCH(meta_TypedModelElements[[#This Row],[Function - Owning Property:src]],meta_TypedModelElements[ID],0)))</f>
        <v>String</v>
      </c>
      <c r="AE12" s="5" t="str">
        <f>IF(meta_TypedModelElements[[#This Row],[Kind:src]]&lt;&gt;"_Function",meta_TypedModelElements[[#This Row],[Type:src]],INDEX(meta_TypedModelElements[Type:src],MATCH(meta_TypedModelElements[[#This Row],[Function - Owning Property:src]],meta_TypedModelElements[ID],0)))</f>
        <v>_String</v>
      </c>
      <c r="AF12" s="5" t="str">
        <f>IF(meta_TypedModelElements[[#This Row],[Type:src]]="","",INDEX(meta_Classifiers[Name],MATCH(meta_TypedModelElements[[#This Row],[Type:src]],meta_Classifiers[ID],0)))</f>
        <v>String</v>
      </c>
      <c r="AG12" s="5" t="s">
        <v>180</v>
      </c>
      <c r="AH12" s="22" t="str">
        <f xml:space="preserve"> IF( TRIM( meta_TypedModelElements[[#This Row],[Type:src]] ) = "", "",
        INDEX( meta_Classifiers[Display Qualified], MATCH( meta_TypedModelElements[[#This Row],[Type:src]], meta_Classifiers[ID], 0 ) ) )</f>
        <v>String</v>
      </c>
      <c r="AI12" s="22" t="s">
        <v>21</v>
      </c>
      <c r="AJ12" s="22" t="s">
        <v>232</v>
      </c>
      <c r="AK12" s="8"/>
      <c r="AL12" s="22" t="str">
        <f xml:space="preserve"> IF( TRIM( meta_TypedModelElements[[#This Row],[Reference - Opposite:src]] ) = "", "",
        INDEX( meta_TypedModelElements[Display Qualified], MATCH( meta_TypedModelElements[[#This Row],[Reference - Opposite:src]], meta_TypedModelElements[ID], 0 ) ) )</f>
        <v/>
      </c>
      <c r="AM12" s="8"/>
      <c r="AN1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2" s="22"/>
      <c r="AP12"/>
      <c r="AQ12" s="22" t="str">
        <f xml:space="preserve"> IF( TRIM( meta_TypedModelElements[[#This Row],[Function - Owning Property:src]] ) = "", "",
        INDEX( meta_TypedModelElements[Display Qualified], MATCH( meta_TypedModelElements[[#This Row],[Function - Owning Property:src]], meta_TypedModelElements[ID], 0 ) ) )</f>
        <v/>
      </c>
      <c r="AT12" s="22" t="str">
        <f>IF(meta_TypedModelElements[[#This Row],[Parameter - Owning Function:src]]="","",INDEX(meta_TypedModelElements[Display Qualified],MATCH(meta_TypedModelElements[[#This Row],[Parameter - Owning Function:src]],meta_TypedModelElements[ID],0)))</f>
        <v/>
      </c>
      <c r="AV12" s="89"/>
      <c r="AW1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2" s="5" t="str">
        <f>"[@["&amp;meta_TypedModelElements[[#This Row],[Name or Type]]&amp;":src]]"</f>
        <v>[@[Name:src]]</v>
      </c>
      <c r="AY1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2" s="40"/>
      <c r="BC12" s="40" t="str">
        <f>IF(meta_TypedModelElements[[#This Row],[Kind:src]]="_Parameter","",IF(AND(meta_TypedModelElements[[#This Row],[Package]]="util",meta_TypedModelElements[[#This Row],[Containing Class]]=0), "public", "method"))</f>
        <v>method</v>
      </c>
      <c r="BD12" s="40"/>
      <c r="BE1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2" s="40"/>
      <c r="BK12" s="5"/>
    </row>
    <row r="13" spans="1:63">
      <c r="A13" s="5" t="s">
        <v>250</v>
      </c>
      <c r="B13" s="5" t="s">
        <v>168</v>
      </c>
      <c r="C13" s="22" t="str">
        <f xml:space="preserve"> IF( TRIM( meta_TypedModelElements[[#This Row],[Kind:src]] ) = "", "",
        INDEX( meta_Classifiers[Display Qualified], MATCH( meta_TypedModelElements[[#This Row],[Kind:src]], meta_Classifiers[ID], 0 ) ) )</f>
        <v>Attribute</v>
      </c>
      <c r="D13" s="22">
        <v>12</v>
      </c>
      <c r="E13" s="22" t="s">
        <v>142</v>
      </c>
      <c r="F13" s="22"/>
      <c r="G1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3" s="8" t="s">
        <v>163</v>
      </c>
      <c r="J13" s="22" t="str">
        <f xml:space="preserve"> IF( TRIM( meta_TypedModelElements[[#This Row],[Property - Owning Class:src]] ) = "", "",
        INDEX( meta_Classifiers[Display Qualified], MATCH( meta_TypedModelElements[[#This Row],[Property - Owning Class:src]], meta_Classifiers[ID], 0 ) ) )</f>
        <v>Class</v>
      </c>
      <c r="K1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meta::Class.abstract</v>
      </c>
      <c r="L13" s="5" t="str">
        <f>IF(meta_TypedModelElements[[#This Row],[Kind:src]]="_Function",meta_TypedModelElements[[#This Row],[Display Qualified]],"")</f>
        <v/>
      </c>
      <c r="M13" s="5" t="str">
        <f>IF(meta_TypedModelElements[[#This Row],[Kind:src]]="_Attribute",meta_TypedModelElements[[#This Row],[Display Qualified]],"")</f>
        <v>meta::Class.abstract</v>
      </c>
      <c r="N13" s="5" t="str">
        <f>IF(meta_TypedModelElements[[#This Row],[Kind:src]]="_Reference",meta_TypedModelElements[[#This Row],[Display Qualified]],"")</f>
        <v/>
      </c>
      <c r="O13" s="5" t="str">
        <f>IF(OR(meta_TypedModelElements[[#This Row],[Kind:src]]="_Attribute",meta_TypedModelElements[[#This Row],[Kind:src]]="_Reference"),meta_TypedModelElements[[#This Row],[Display Qualified]],"")</f>
        <v>meta::Class.abstract</v>
      </c>
      <c r="P13" s="22"/>
      <c r="Q13" s="22"/>
      <c r="R13" s="5" t="str">
        <f>IF(meta_TypedModelElements[[#This Row],[Containing Class:display]]="","",meta_TypedModelElements[[#This Row],[Containing Class:display]]&amp;".")&amp;meta_TypedModelElements[[#This Row],[Display without Class]]</f>
        <v>Class.abstract</v>
      </c>
      <c r="S13" s="5" t="str" cm="1">
        <f t="array" ref="S13">_xlfn.IFNA(INDEX(meta_Names[Camel Lower], MATCH(meta_TypedModelElements[[#This Row],[Name or Type]],meta_Names[String],0)),camelCaseLower(meta_TypedModelElements[[#This Row],[Name or Type]]))</f>
        <v>abstract</v>
      </c>
      <c r="T13" s="5" t="str">
        <f>IF(meta_TypedModelElements[[#This Row],[Name or Type]]="","",meta_TypedModelElements[[#This Row],[Name or Type Camel Case Lower]])&amp;IF(meta_TypedModelElements[[#This Row],[Kind:src]]="_Function","("&amp;meta_TypedModelElements[[#This Row],[Function - Parameters Display]]&amp;")","")</f>
        <v>abstract</v>
      </c>
      <c r="U1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Abstract</v>
      </c>
      <c r="V13" s="22" t="s">
        <v>224</v>
      </c>
      <c r="W13" s="5" t="e">
        <f>INDEX(meta_Classifiers[Class - Generalization:src],MATCH(meta_TypedModelElements[[#This Row],[Type Super Type 6]],meta_Classifiers[ID],0))</f>
        <v>#N/A</v>
      </c>
      <c r="X13" s="5" t="e">
        <f>INDEX(meta_Classifiers[Class - Generalization:src],MATCH(meta_TypedModelElements[[#This Row],[Type Super Type 5]],meta_Classifiers[ID],0))</f>
        <v>#N/A</v>
      </c>
      <c r="Y13" s="5" t="e">
        <f>INDEX(meta_Classifiers[Class - Generalization:src],MATCH(meta_TypedModelElements[[#This Row],[Type Super Type 4]],meta_Classifiers[ID],0))</f>
        <v>#N/A</v>
      </c>
      <c r="Z13" s="5" t="e">
        <f>INDEX(meta_Classifiers[Class - Generalization:src],MATCH(meta_TypedModelElements[[#This Row],[Type Super Type 3]],meta_Classifiers[ID],0))</f>
        <v>#N/A</v>
      </c>
      <c r="AA13" s="5" t="e">
        <f>INDEX(meta_Classifiers[Class - Generalization:src],MATCH(meta_TypedModelElements[[#This Row],[Type Super Type 2]],meta_Classifiers[ID],0))</f>
        <v>#N/A</v>
      </c>
      <c r="AB13" s="5" t="e">
        <f>INDEX(meta_Classifiers[Class - Generalization:src],MATCH(meta_TypedModelElements[[#This Row],[Type Super Type 1]],meta_Classifiers[ID],0))</f>
        <v>#N/A</v>
      </c>
      <c r="AC13" s="5" t="str">
        <f>INDEX(meta_Classifiers[Class - Generalization:src],MATCH(meta_TypedModelElements[[#This Row],[Type:src]],meta_Classifiers[ID],0))</f>
        <v/>
      </c>
      <c r="AD13" s="5" t="str">
        <f>IF(meta_TypedModelElements[[#This Row],[Kind:src]]&lt;&gt;"_Function",meta_TypedModelElements[[#This Row],[Type]],INDEX(meta_TypedModelElements[Type],MATCH(meta_TypedModelElements[[#This Row],[Function - Owning Property:src]],meta_TypedModelElements[ID],0)))</f>
        <v>Boolean</v>
      </c>
      <c r="AE13" s="5" t="str">
        <f>IF(meta_TypedModelElements[[#This Row],[Kind:src]]&lt;&gt;"_Function",meta_TypedModelElements[[#This Row],[Type:src]],INDEX(meta_TypedModelElements[Type:src],MATCH(meta_TypedModelElements[[#This Row],[Function - Owning Property:src]],meta_TypedModelElements[ID],0)))</f>
        <v>_Boolean</v>
      </c>
      <c r="AF13" s="5" t="str">
        <f>IF(meta_TypedModelElements[[#This Row],[Type:src]]="","",INDEX(meta_Classifiers[Name],MATCH(meta_TypedModelElements[[#This Row],[Type:src]],meta_Classifiers[ID],0)))</f>
        <v>Boolean</v>
      </c>
      <c r="AG13" s="5" t="s">
        <v>181</v>
      </c>
      <c r="AH13" s="22" t="str">
        <f xml:space="preserve"> IF( TRIM( meta_TypedModelElements[[#This Row],[Type:src]] ) = "", "",
        INDEX( meta_Classifiers[Display Qualified], MATCH( meta_TypedModelElements[[#This Row],[Type:src]], meta_Classifiers[ID], 0 ) ) )</f>
        <v>Boolean</v>
      </c>
      <c r="AI13" s="22" t="s">
        <v>21</v>
      </c>
      <c r="AJ13" s="22" t="s">
        <v>232</v>
      </c>
      <c r="AK13" s="8"/>
      <c r="AL13" s="22" t="str">
        <f xml:space="preserve"> IF( TRIM( meta_TypedModelElements[[#This Row],[Reference - Opposite:src]] ) = "", "",
        INDEX( meta_TypedModelElements[Display Qualified], MATCH( meta_TypedModelElements[[#This Row],[Reference - Opposite:src]], meta_TypedModelElements[ID], 0 ) ) )</f>
        <v/>
      </c>
      <c r="AM13" s="8"/>
      <c r="AN1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3" s="22"/>
      <c r="AP13"/>
      <c r="AQ13" s="22" t="str">
        <f xml:space="preserve"> IF( TRIM( meta_TypedModelElements[[#This Row],[Function - Owning Property:src]] ) = "", "",
        INDEX( meta_TypedModelElements[Display Qualified], MATCH( meta_TypedModelElements[[#This Row],[Function - Owning Property:src]], meta_TypedModelElements[ID], 0 ) ) )</f>
        <v/>
      </c>
      <c r="AT13" s="22" t="str">
        <f>IF(meta_TypedModelElements[[#This Row],[Parameter - Owning Function:src]]="","",INDEX(meta_TypedModelElements[Display Qualified],MATCH(meta_TypedModelElements[[#This Row],[Parameter - Owning Function:src]],meta_TypedModelElements[ID],0)))</f>
        <v/>
      </c>
      <c r="AV13" s="89"/>
      <c r="AW1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3" s="5" t="str">
        <f>"[@["&amp;meta_TypedModelElements[[#This Row],[Name or Type]]&amp;":src]]"</f>
        <v>[@[Abstract:src]]</v>
      </c>
      <c r="AY1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3" s="40"/>
      <c r="BC13" s="40" t="str">
        <f>IF(meta_TypedModelElements[[#This Row],[Kind:src]]="_Parameter","",IF(AND(meta_TypedModelElements[[#This Row],[Package]]="util",meta_TypedModelElements[[#This Row],[Containing Class]]=0), "public", "method"))</f>
        <v>method</v>
      </c>
      <c r="BD13" s="40"/>
      <c r="BE1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3" s="40"/>
      <c r="BK13" s="5" t="s">
        <v>229</v>
      </c>
    </row>
    <row r="14" spans="1:63" ht="202.5">
      <c r="A14" s="5" t="s">
        <v>251</v>
      </c>
      <c r="B14" s="5" t="s">
        <v>167</v>
      </c>
      <c r="C14" s="22" t="str">
        <f xml:space="preserve"> IF( TRIM( meta_TypedModelElements[[#This Row],[Kind:src]] ) = "", "",
        INDEX( meta_Classifiers[Display Qualified], MATCH( meta_TypedModelElements[[#This Row],[Kind:src]], meta_Classifiers[ID], 0 ) ) )</f>
        <v>Reference</v>
      </c>
      <c r="D14" s="22">
        <v>13</v>
      </c>
      <c r="E14" s="22" t="s">
        <v>142</v>
      </c>
      <c r="F14" s="22"/>
      <c r="G1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4" s="8" t="s">
        <v>163</v>
      </c>
      <c r="J14" s="22" t="str">
        <f xml:space="preserve"> IF( TRIM( meta_TypedModelElements[[#This Row],[Property - Owning Class:src]] ) = "", "",
        INDEX( meta_Classifiers[Display Qualified], MATCH( meta_TypedModelElements[[#This Row],[Property - Owning Class:src]], meta_Classifiers[ID], 0 ) ) )</f>
        <v>Class</v>
      </c>
      <c r="K1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meta::Class.generalization</v>
      </c>
      <c r="L14" s="5" t="str">
        <f>IF(meta_TypedModelElements[[#This Row],[Kind:src]]="_Function",meta_TypedModelElements[[#This Row],[Display Qualified]],"")</f>
        <v/>
      </c>
      <c r="M14" s="5" t="str">
        <f>IF(meta_TypedModelElements[[#This Row],[Kind:src]]="_Attribute",meta_TypedModelElements[[#This Row],[Display Qualified]],"")</f>
        <v/>
      </c>
      <c r="N14" s="5" t="str">
        <f>IF(meta_TypedModelElements[[#This Row],[Kind:src]]="_Reference",meta_TypedModelElements[[#This Row],[Display Qualified]],"")</f>
        <v>meta::Class.generalization</v>
      </c>
      <c r="O14" s="5" t="str">
        <f>IF(OR(meta_TypedModelElements[[#This Row],[Kind:src]]="_Attribute",meta_TypedModelElements[[#This Row],[Kind:src]]="_Reference"),meta_TypedModelElements[[#This Row],[Display Qualified]],"")</f>
        <v>meta::Class.generalization</v>
      </c>
      <c r="P14" s="22"/>
      <c r="Q14" s="22"/>
      <c r="R14" s="5" t="str">
        <f>IF(meta_TypedModelElements[[#This Row],[Containing Class:display]]="","",meta_TypedModelElements[[#This Row],[Containing Class:display]]&amp;".")&amp;meta_TypedModelElements[[#This Row],[Display without Class]]</f>
        <v>Class.generalization</v>
      </c>
      <c r="S14" s="5" t="str" cm="1">
        <f t="array" ref="S14">_xlfn.IFNA(INDEX(meta_Names[Camel Lower], MATCH(meta_TypedModelElements[[#This Row],[Name or Type]],meta_Names[String],0)),camelCaseLower(meta_TypedModelElements[[#This Row],[Name or Type]]))</f>
        <v>generalization</v>
      </c>
      <c r="T14" s="5" t="str">
        <f>IF(meta_TypedModelElements[[#This Row],[Name or Type]]="","",meta_TypedModelElements[[#This Row],[Name or Type Camel Case Lower]])&amp;IF(meta_TypedModelElements[[#This Row],[Kind:src]]="_Function","("&amp;meta_TypedModelElements[[#This Row],[Function - Parameters Display]]&amp;")","")</f>
        <v>generalization</v>
      </c>
      <c r="U1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Generalization</v>
      </c>
      <c r="V14" s="22" t="s">
        <v>11</v>
      </c>
      <c r="W14" s="5" t="e">
        <f>INDEX(meta_Classifiers[Class - Generalization:src],MATCH(meta_TypedModelElements[[#This Row],[Type Super Type 6]],meta_Classifiers[ID],0))</f>
        <v>#N/A</v>
      </c>
      <c r="X14" s="5" t="e">
        <f>INDEX(meta_Classifiers[Class - Generalization:src],MATCH(meta_TypedModelElements[[#This Row],[Type Super Type 5]],meta_Classifiers[ID],0))</f>
        <v>#N/A</v>
      </c>
      <c r="Y14" s="5" t="e">
        <f>INDEX(meta_Classifiers[Class - Generalization:src],MATCH(meta_TypedModelElements[[#This Row],[Type Super Type 4]],meta_Classifiers[ID],0))</f>
        <v>#N/A</v>
      </c>
      <c r="Z14" s="5" t="str">
        <f>INDEX(meta_Classifiers[Class - Generalization:src],MATCH(meta_TypedModelElements[[#This Row],[Type Super Type 3]],meta_Classifiers[ID],0))</f>
        <v/>
      </c>
      <c r="AA14" s="5" t="str">
        <f>INDEX(meta_Classifiers[Class - Generalization:src],MATCH(meta_TypedModelElements[[#This Row],[Type Super Type 2]],meta_Classifiers[ID],0))</f>
        <v>_Object</v>
      </c>
      <c r="AB14" s="5" t="str">
        <f>INDEX(meta_Classifiers[Class - Generalization:src],MATCH(meta_TypedModelElements[[#This Row],[Type Super Type 1]],meta_Classifiers[ID],0))</f>
        <v>_NamedElement</v>
      </c>
      <c r="AC14" s="5" t="str">
        <f>INDEX(meta_Classifiers[Class - Generalization:src],MATCH(meta_TypedModelElements[[#This Row],[Type:src]],meta_Classifiers[ID],0))</f>
        <v>_Classifier</v>
      </c>
      <c r="AD14" s="5" t="str">
        <f>IF(meta_TypedModelElements[[#This Row],[Kind:src]]&lt;&gt;"_Function",meta_TypedModelElements[[#This Row],[Type]],INDEX(meta_TypedModelElements[Type],MATCH(meta_TypedModelElements[[#This Row],[Function - Owning Property:src]],meta_TypedModelElements[ID],0)))</f>
        <v>Class</v>
      </c>
      <c r="AE14" s="5" t="str">
        <f>IF(meta_TypedModelElements[[#This Row],[Kind:src]]&lt;&gt;"_Function",meta_TypedModelElements[[#This Row],[Type:src]],INDEX(meta_TypedModelElements[Type:src],MATCH(meta_TypedModelElements[[#This Row],[Function - Owning Property:src]],meta_TypedModelElements[ID],0)))</f>
        <v>_Class</v>
      </c>
      <c r="AF14" s="5" t="str">
        <f>IF(meta_TypedModelElements[[#This Row],[Type:src]]="","",INDEX(meta_Classifiers[Name],MATCH(meta_TypedModelElements[[#This Row],[Type:src]],meta_Classifiers[ID],0)))</f>
        <v>Class</v>
      </c>
      <c r="AG14" s="5" t="s">
        <v>163</v>
      </c>
      <c r="AH14" s="22" t="str">
        <f xml:space="preserve"> IF( TRIM( meta_TypedModelElements[[#This Row],[Type:src]] ) = "", "",
        INDEX( meta_Classifiers[Display Qualified], MATCH( meta_TypedModelElements[[#This Row],[Type:src]], meta_Classifiers[ID], 0 ) ) )</f>
        <v>Class</v>
      </c>
      <c r="AI14" s="22" t="s">
        <v>22</v>
      </c>
      <c r="AJ14" s="22" t="s">
        <v>232</v>
      </c>
      <c r="AK14" s="8"/>
      <c r="AL14" s="22" t="str">
        <f xml:space="preserve"> IF( TRIM( meta_TypedModelElements[[#This Row],[Reference - Opposite:src]] ) = "", "",
        INDEX( meta_TypedModelElements[Display Qualified], MATCH( meta_TypedModelElements[[#This Row],[Reference - Opposite:src]], meta_TypedModelElements[ID], 0 ) ) )</f>
        <v/>
      </c>
      <c r="AM14" s="8"/>
      <c r="AN1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4" s="22"/>
      <c r="AP14"/>
      <c r="AQ14" s="22" t="str">
        <f xml:space="preserve"> IF( TRIM( meta_TypedModelElements[[#This Row],[Function - Owning Property:src]] ) = "", "",
        INDEX( meta_TypedModelElements[Display Qualified], MATCH( meta_TypedModelElements[[#This Row],[Function - Owning Property:src]], meta_TypedModelElements[ID], 0 ) ) )</f>
        <v/>
      </c>
      <c r="AT14" s="22" t="str">
        <f>IF(meta_TypedModelElements[[#This Row],[Parameter - Owning Function:src]]="","",INDEX(meta_TypedModelElements[Display Qualified],MATCH(meta_TypedModelElements[[#This Row],[Parameter - Owning Function:src]],meta_TypedModelElements[ID],0)))</f>
        <v/>
      </c>
      <c r="AV14" s="89"/>
      <c r="AW1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4" s="5" t="str">
        <f>"[@["&amp;meta_TypedModelElements[[#This Row],[Name or Type]]&amp;":src]]"</f>
        <v>[@[Generalization:src]]</v>
      </c>
      <c r="AY1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[@[Generalization:src]] ) = "",
        "",
    IF( LEFT([@[Generalization:src]],1)="_",
        RIGHT([@[Generalization:src]],LEN([@[Generalization:src]])-1),
    IF( TRIM( [@Package] )
            &lt;&gt; TRIM( INDEX( meta_Classifiers[Package], MATCH( [@[Generalization:src]], meta_Classifiers[ID],0 ) ) ),
        TRIM( INDEX( meta_Classifiers[Package], MATCH( [@[Generalization:src]], meta_Classifiers[ID], 0 ) ) )
            &amp; "::"
            &amp; INDEX( meta_Classifiers[Display], MATCH( [@[Generalization:src]], meta_Classifiers[ID], 0 ) ),
        INDEX( meta_Classifiers[Display], MATCH( [@[Generalization:src]], meta_Classifiers[ID], 0 ) )
    ))), "")</v>
      </c>
      <c r="AZ1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"Generalization" Then
                   referedTableName = "meta_Classifiers"
                   referedColumnName = "Display"
                   Call StaticCode.updateIdOnNameChange(cellRef, referingTableName, referingColumnName, referedTableName, referedColumnName)
            End If</v>
      </c>
      <c r="BA1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Generalization" Then
                   referedTableName = "meta_Classifiers"
                   referedColumnName = "Display"
                   Call StaticCode.updateIdOnNameChange(cellRef, referingTableName, referingColumnName, referedTableName, referedColumnName)
            End If</v>
      </c>
      <c r="BB14" s="40"/>
      <c r="BC14" s="40" t="str">
        <f>IF(meta_TypedModelElements[[#This Row],[Kind:src]]="_Parameter","",IF(AND(meta_TypedModelElements[[#This Row],[Package]]="util",meta_TypedModelElements[[#This Row],[Containing Class]]=0), "public", "method"))</f>
        <v>method</v>
      </c>
      <c r="BD14" s="40"/>
      <c r="BE1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4" s="40"/>
      <c r="BK14" s="5"/>
    </row>
    <row r="15" spans="1:63" ht="202.5">
      <c r="A15" s="5" t="s">
        <v>252</v>
      </c>
      <c r="B15" s="5" t="s">
        <v>167</v>
      </c>
      <c r="C15" s="22" t="str">
        <f xml:space="preserve"> IF( TRIM( meta_TypedModelElements[[#This Row],[Kind:src]] ) = "", "",
        INDEX( meta_Classifiers[Display Qualified], MATCH( meta_TypedModelElements[[#This Row],[Kind:src]], meta_Classifiers[ID], 0 ) ) )</f>
        <v>Reference</v>
      </c>
      <c r="D15" s="22">
        <v>14</v>
      </c>
      <c r="E15" s="22" t="s">
        <v>142</v>
      </c>
      <c r="F15" s="22"/>
      <c r="G1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5" s="8" t="s">
        <v>163</v>
      </c>
      <c r="J15" s="22" t="str">
        <f xml:space="preserve"> IF( TRIM( meta_TypedModelElements[[#This Row],[Property - Owning Class:src]] ) = "", "",
        INDEX( meta_Classifiers[Display Qualified], MATCH( meta_TypedModelElements[[#This Row],[Property - Owning Class:src]], meta_Classifiers[ID], 0 ) ) )</f>
        <v>Class</v>
      </c>
      <c r="K1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meta::Class.allProperties</v>
      </c>
      <c r="L15" s="5" t="str">
        <f>IF(meta_TypedModelElements[[#This Row],[Kind:src]]="_Function",meta_TypedModelElements[[#This Row],[Display Qualified]],"")</f>
        <v/>
      </c>
      <c r="M15" s="5" t="str">
        <f>IF(meta_TypedModelElements[[#This Row],[Kind:src]]="_Attribute",meta_TypedModelElements[[#This Row],[Display Qualified]],"")</f>
        <v/>
      </c>
      <c r="N15" s="5" t="str">
        <f>IF(meta_TypedModelElements[[#This Row],[Kind:src]]="_Reference",meta_TypedModelElements[[#This Row],[Display Qualified]],"")</f>
        <v>meta::Class.allProperties</v>
      </c>
      <c r="O15" s="5" t="str">
        <f>IF(OR(meta_TypedModelElements[[#This Row],[Kind:src]]="_Attribute",meta_TypedModelElements[[#This Row],[Kind:src]]="_Reference"),meta_TypedModelElements[[#This Row],[Display Qualified]],"")</f>
        <v>meta::Class.allProperties</v>
      </c>
      <c r="P15" s="22"/>
      <c r="Q15" s="22"/>
      <c r="R15" s="5" t="str">
        <f>IF(meta_TypedModelElements[[#This Row],[Containing Class:display]]="","",meta_TypedModelElements[[#This Row],[Containing Class:display]]&amp;".")&amp;meta_TypedModelElements[[#This Row],[Display without Class]]</f>
        <v>Class.allProperties</v>
      </c>
      <c r="S15" s="5" t="str" cm="1">
        <f t="array" ref="S15">_xlfn.IFNA(INDEX(meta_Names[Camel Lower], MATCH(meta_TypedModelElements[[#This Row],[Name or Type]],meta_Names[String],0)),camelCaseLower(meta_TypedModelElements[[#This Row],[Name or Type]]))</f>
        <v>allProperties</v>
      </c>
      <c r="T15" s="5" t="str">
        <f>IF(meta_TypedModelElements[[#This Row],[Name or Type]]="","",meta_TypedModelElements[[#This Row],[Name or Type Camel Case Lower]])&amp;IF(meta_TypedModelElements[[#This Row],[Kind:src]]="_Function","("&amp;meta_TypedModelElements[[#This Row],[Function - Parameters Display]]&amp;")","")</f>
        <v>allProperties</v>
      </c>
      <c r="U1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All Properties</v>
      </c>
      <c r="V15" s="22" t="s">
        <v>75</v>
      </c>
      <c r="W15" s="5" t="e">
        <f>INDEX(meta_Classifiers[Class - Generalization:src],MATCH(meta_TypedModelElements[[#This Row],[Type Super Type 6]],meta_Classifiers[ID],0))</f>
        <v>#N/A</v>
      </c>
      <c r="X15" s="5" t="e">
        <f>INDEX(meta_Classifiers[Class - Generalization:src],MATCH(meta_TypedModelElements[[#This Row],[Type Super Type 5]],meta_Classifiers[ID],0))</f>
        <v>#N/A</v>
      </c>
      <c r="Y15" s="5" t="str">
        <f>INDEX(meta_Classifiers[Class - Generalization:src],MATCH(meta_TypedModelElements[[#This Row],[Type Super Type 4]],meta_Classifiers[ID],0))</f>
        <v/>
      </c>
      <c r="Z15" s="5" t="str">
        <f>INDEX(meta_Classifiers[Class - Generalization:src],MATCH(meta_TypedModelElements[[#This Row],[Type Super Type 3]],meta_Classifiers[ID],0))</f>
        <v>_Object</v>
      </c>
      <c r="AA15" s="5" t="str">
        <f>INDEX(meta_Classifiers[Class - Generalization:src],MATCH(meta_TypedModelElements[[#This Row],[Type Super Type 2]],meta_Classifiers[ID],0))</f>
        <v>_NamedElement</v>
      </c>
      <c r="AB15" s="5" t="str">
        <f>INDEX(meta_Classifiers[Class - Generalization:src],MATCH(meta_TypedModelElements[[#This Row],[Type Super Type 1]],meta_Classifiers[ID],0))</f>
        <v>_TypedModelElement</v>
      </c>
      <c r="AC15" s="5" t="str">
        <f>INDEX(meta_Classifiers[Class - Generalization:src],MATCH(meta_TypedModelElements[[#This Row],[Type:src]],meta_Classifiers[ID],0))</f>
        <v>_Feature</v>
      </c>
      <c r="AD15" s="5" t="str">
        <f>IF(meta_TypedModelElements[[#This Row],[Kind:src]]&lt;&gt;"_Function",meta_TypedModelElements[[#This Row],[Type]],INDEX(meta_TypedModelElements[Type],MATCH(meta_TypedModelElements[[#This Row],[Function - Owning Property:src]],meta_TypedModelElements[ID],0)))</f>
        <v>Property</v>
      </c>
      <c r="AE15" s="5" t="str">
        <f>IF(meta_TypedModelElements[[#This Row],[Kind:src]]&lt;&gt;"_Function",meta_TypedModelElements[[#This Row],[Type:src]],INDEX(meta_TypedModelElements[Type:src],MATCH(meta_TypedModelElements[[#This Row],[Function - Owning Property:src]],meta_TypedModelElements[ID],0)))</f>
        <v>_Property</v>
      </c>
      <c r="AF15" s="5" t="str">
        <f>IF(meta_TypedModelElements[[#This Row],[Type:src]]="","",INDEX(meta_Classifiers[Name],MATCH(meta_TypedModelElements[[#This Row],[Type:src]],meta_Classifiers[ID],0)))</f>
        <v>Property</v>
      </c>
      <c r="AG15" s="5" t="s">
        <v>213</v>
      </c>
      <c r="AH15" s="22" t="str">
        <f xml:space="preserve"> IF( TRIM( meta_TypedModelElements[[#This Row],[Type:src]] ) = "", "",
        INDEX( meta_Classifiers[Display Qualified], MATCH( meta_TypedModelElements[[#This Row],[Type:src]], meta_Classifiers[ID], 0 ) ) )</f>
        <v>Property</v>
      </c>
      <c r="AI15" s="22" t="s">
        <v>22</v>
      </c>
      <c r="AJ15" s="22"/>
      <c r="AK15" s="8"/>
      <c r="AL15" s="22" t="str">
        <f xml:space="preserve"> IF( TRIM( meta_TypedModelElements[[#This Row],[Reference - Opposite:src]] ) = "", "",
        INDEX( meta_TypedModelElements[Display Qualified], MATCH( meta_TypedModelElements[[#This Row],[Reference - Opposite:src]], meta_TypedModelElements[ID], 0 ) ) )</f>
        <v/>
      </c>
      <c r="AM15" s="8"/>
      <c r="AN1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5" s="22"/>
      <c r="AP15"/>
      <c r="AQ15" s="22" t="str">
        <f xml:space="preserve"> IF( TRIM( meta_TypedModelElements[[#This Row],[Function - Owning Property:src]] ) = "", "",
        INDEX( meta_TypedModelElements[Display Qualified], MATCH( meta_TypedModelElements[[#This Row],[Function - Owning Property:src]], meta_TypedModelElements[ID], 0 ) ) )</f>
        <v/>
      </c>
      <c r="AT15" s="22" t="str">
        <f>IF(meta_TypedModelElements[[#This Row],[Parameter - Owning Function:src]]="","",INDEX(meta_TypedModelElements[Display Qualified],MATCH(meta_TypedModelElements[[#This Row],[Parameter - Owning Function:src]],meta_TypedModelElements[ID],0)))</f>
        <v/>
      </c>
      <c r="AV15" s="89"/>
      <c r="AW1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5" s="5" t="str">
        <f>"[@["&amp;meta_TypedModelElements[[#This Row],[Name or Type]]&amp;":src]]"</f>
        <v>[@[All Properties:src]]</v>
      </c>
      <c r="AY1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[@[All Properties:src]] ) = "",
        "",
    IF( LEFT([@[All Properties:src]],1)="_",
        RIGHT([@[All Properties:src]],LEN([@[All Properties:src]])-1),
    IF( TRIM( [@Package] )
            &lt;&gt; TRIM( INDEX( meta_TypedModelElements[Package], MATCH( [@[All Properties:src]], meta_TypedModelElements[ID],0 ) ) ),
        TRIM( INDEX( meta_TypedModelElements[Package], MATCH( [@[All Properties:src]], meta_TypedModelElements[ID], 0 ) ) )
            &amp; "::"
            &amp; INDEX( meta_TypedModelElements[Display], MATCH( [@[All Properties:src]], meta_TypedModelElements[ID], 0 ) ),
        INDEX( meta_TypedModelElements[Display], MATCH( [@[All Properties:src]], meta_TypedModelElements[ID], 0 ) )
    ))), "")</v>
      </c>
      <c r="AZ1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"All Properties" Then
                   referedTableName = "meta_TypedModelElements"
                   referedColumnName = "Display"
                   Call StaticCode.updateIdOnNameChange(cellRef, referingTableName, referingColumnName, referedTableName, referedColumnName)
            End If</v>
      </c>
      <c r="BA1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All Properties" Then
                   referedTableName = "meta_TypedModelElements"
                   referedColumnName = "Display"
                   Call StaticCode.updateIdOnNameChange(cellRef, referingTableName, referingColumnName, referedTableName, referedColumnName)
            End If</v>
      </c>
      <c r="BB15" s="40"/>
      <c r="BC15" s="40" t="str">
        <f>IF(meta_TypedModelElements[[#This Row],[Kind:src]]="_Parameter","",IF(AND(meta_TypedModelElements[[#This Row],[Package]]="util",meta_TypedModelElements[[#This Row],[Containing Class]]=0), "public", "method"))</f>
        <v>method</v>
      </c>
      <c r="BD15" s="40"/>
      <c r="BE1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5" s="40"/>
      <c r="BK15" s="5"/>
    </row>
    <row r="16" spans="1:63" ht="216">
      <c r="A16" s="5" t="s">
        <v>253</v>
      </c>
      <c r="B16" s="5" t="s">
        <v>167</v>
      </c>
      <c r="C16" s="22" t="str">
        <f xml:space="preserve"> IF( TRIM( meta_TypedModelElements[[#This Row],[Kind:src]] ) = "", "",
        INDEX( meta_Classifiers[Display Qualified], MATCH( meta_TypedModelElements[[#This Row],[Kind:src]], meta_Classifiers[ID], 0 ) ) )</f>
        <v>Reference</v>
      </c>
      <c r="D16" s="22">
        <v>15</v>
      </c>
      <c r="E16" s="22" t="s">
        <v>142</v>
      </c>
      <c r="F16" s="22"/>
      <c r="G1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6" s="8" t="s">
        <v>163</v>
      </c>
      <c r="J16" s="22" t="str">
        <f xml:space="preserve"> IF( TRIM( meta_TypedModelElements[[#This Row],[Property - Owning Class:src]] ) = "", "",
        INDEX( meta_Classifiers[Display Qualified], MATCH( meta_TypedModelElements[[#This Row],[Property - Owning Class:src]], meta_Classifiers[ID], 0 ) ) )</f>
        <v>Class</v>
      </c>
      <c r="K1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meta::Class.thisClassAndAllSubclasses</v>
      </c>
      <c r="L16" s="5" t="str">
        <f>IF(meta_TypedModelElements[[#This Row],[Kind:src]]="_Function",meta_TypedModelElements[[#This Row],[Display Qualified]],"")</f>
        <v/>
      </c>
      <c r="M16" s="5" t="str">
        <f>IF(meta_TypedModelElements[[#This Row],[Kind:src]]="_Attribute",meta_TypedModelElements[[#This Row],[Display Qualified]],"")</f>
        <v/>
      </c>
      <c r="N16" s="5" t="str">
        <f>IF(meta_TypedModelElements[[#This Row],[Kind:src]]="_Reference",meta_TypedModelElements[[#This Row],[Display Qualified]],"")</f>
        <v>meta::Class.thisClassAndAllSubclasses</v>
      </c>
      <c r="O16" s="5" t="str">
        <f>IF(OR(meta_TypedModelElements[[#This Row],[Kind:src]]="_Attribute",meta_TypedModelElements[[#This Row],[Kind:src]]="_Reference"),meta_TypedModelElements[[#This Row],[Display Qualified]],"")</f>
        <v>meta::Class.thisClassAndAllSubclasses</v>
      </c>
      <c r="P16" s="22"/>
      <c r="Q16" s="22"/>
      <c r="R16" s="5" t="str">
        <f>IF(meta_TypedModelElements[[#This Row],[Containing Class:display]]="","",meta_TypedModelElements[[#This Row],[Containing Class:display]]&amp;".")&amp;meta_TypedModelElements[[#This Row],[Display without Class]]</f>
        <v>Class.thisClassAndAllSubclasses</v>
      </c>
      <c r="S16" s="5" t="str" cm="1">
        <f t="array" ref="S16">_xlfn.IFNA(INDEX(meta_Names[Camel Lower], MATCH(meta_TypedModelElements[[#This Row],[Name or Type]],meta_Names[String],0)),camelCaseLower(meta_TypedModelElements[[#This Row],[Name or Type]]))</f>
        <v>thisClassAndAllSubclasses</v>
      </c>
      <c r="T16" s="5" t="str">
        <f>IF(meta_TypedModelElements[[#This Row],[Name or Type]]="","",meta_TypedModelElements[[#This Row],[Name or Type Camel Case Lower]])&amp;IF(meta_TypedModelElements[[#This Row],[Kind:src]]="_Function","("&amp;meta_TypedModelElements[[#This Row],[Function - Parameters Display]]&amp;")","")</f>
        <v>thisClassAndAllSubclasses</v>
      </c>
      <c r="U1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This Class And All Subclasses</v>
      </c>
      <c r="V16" s="22" t="s">
        <v>78</v>
      </c>
      <c r="W16" s="5" t="e">
        <f>INDEX(meta_Classifiers[Class - Generalization:src],MATCH(meta_TypedModelElements[[#This Row],[Type Super Type 6]],meta_Classifiers[ID],0))</f>
        <v>#N/A</v>
      </c>
      <c r="X16" s="5" t="e">
        <f>INDEX(meta_Classifiers[Class - Generalization:src],MATCH(meta_TypedModelElements[[#This Row],[Type Super Type 5]],meta_Classifiers[ID],0))</f>
        <v>#N/A</v>
      </c>
      <c r="Y16" s="5" t="e">
        <f>INDEX(meta_Classifiers[Class - Generalization:src],MATCH(meta_TypedModelElements[[#This Row],[Type Super Type 4]],meta_Classifiers[ID],0))</f>
        <v>#N/A</v>
      </c>
      <c r="Z16" s="5" t="str">
        <f>INDEX(meta_Classifiers[Class - Generalization:src],MATCH(meta_TypedModelElements[[#This Row],[Type Super Type 3]],meta_Classifiers[ID],0))</f>
        <v/>
      </c>
      <c r="AA16" s="5" t="str">
        <f>INDEX(meta_Classifiers[Class - Generalization:src],MATCH(meta_TypedModelElements[[#This Row],[Type Super Type 2]],meta_Classifiers[ID],0))</f>
        <v>_Object</v>
      </c>
      <c r="AB16" s="5" t="str">
        <f>INDEX(meta_Classifiers[Class - Generalization:src],MATCH(meta_TypedModelElements[[#This Row],[Type Super Type 1]],meta_Classifiers[ID],0))</f>
        <v>_NamedElement</v>
      </c>
      <c r="AC16" s="5" t="str">
        <f>INDEX(meta_Classifiers[Class - Generalization:src],MATCH(meta_TypedModelElements[[#This Row],[Type:src]],meta_Classifiers[ID],0))</f>
        <v>_Classifier</v>
      </c>
      <c r="AD16" s="5" t="str">
        <f>IF(meta_TypedModelElements[[#This Row],[Kind:src]]&lt;&gt;"_Function",meta_TypedModelElements[[#This Row],[Type]],INDEX(meta_TypedModelElements[Type],MATCH(meta_TypedModelElements[[#This Row],[Function - Owning Property:src]],meta_TypedModelElements[ID],0)))</f>
        <v>Class</v>
      </c>
      <c r="AE16" s="5" t="str">
        <f>IF(meta_TypedModelElements[[#This Row],[Kind:src]]&lt;&gt;"_Function",meta_TypedModelElements[[#This Row],[Type:src]],INDEX(meta_TypedModelElements[Type:src],MATCH(meta_TypedModelElements[[#This Row],[Function - Owning Property:src]],meta_TypedModelElements[ID],0)))</f>
        <v>_Class</v>
      </c>
      <c r="AF16" s="5" t="str">
        <f>IF(meta_TypedModelElements[[#This Row],[Type:src]]="","",INDEX(meta_Classifiers[Name],MATCH(meta_TypedModelElements[[#This Row],[Type:src]],meta_Classifiers[ID],0)))</f>
        <v>Class</v>
      </c>
      <c r="AG16" s="5" t="s">
        <v>163</v>
      </c>
      <c r="AH16" s="22" t="str">
        <f xml:space="preserve"> IF( TRIM( meta_TypedModelElements[[#This Row],[Type:src]] ) = "", "",
        INDEX( meta_Classifiers[Display Qualified], MATCH( meta_TypedModelElements[[#This Row],[Type:src]], meta_Classifiers[ID], 0 ) ) )</f>
        <v>Class</v>
      </c>
      <c r="AI16" s="22" t="s">
        <v>22</v>
      </c>
      <c r="AJ16" s="22"/>
      <c r="AK16" s="8"/>
      <c r="AL16" s="22" t="str">
        <f xml:space="preserve"> IF( TRIM( meta_TypedModelElements[[#This Row],[Reference - Opposite:src]] ) = "", "",
        INDEX( meta_TypedModelElements[Display Qualified], MATCH( meta_TypedModelElements[[#This Row],[Reference - Opposite:src]], meta_TypedModelElements[ID], 0 ) ) )</f>
        <v/>
      </c>
      <c r="AM16" s="8"/>
      <c r="AN1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6" s="22"/>
      <c r="AP16"/>
      <c r="AQ16" s="22" t="str">
        <f xml:space="preserve"> IF( TRIM( meta_TypedModelElements[[#This Row],[Function - Owning Property:src]] ) = "", "",
        INDEX( meta_TypedModelElements[Display Qualified], MATCH( meta_TypedModelElements[[#This Row],[Function - Owning Property:src]], meta_TypedModelElements[ID], 0 ) ) )</f>
        <v/>
      </c>
      <c r="AT16" s="22" t="str">
        <f>IF(meta_TypedModelElements[[#This Row],[Parameter - Owning Function:src]]="","",INDEX(meta_TypedModelElements[Display Qualified],MATCH(meta_TypedModelElements[[#This Row],[Parameter - Owning Function:src]],meta_TypedModelElements[ID],0)))</f>
        <v/>
      </c>
      <c r="AV16" s="89"/>
      <c r="AW1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6" s="5" t="str">
        <f>"[@["&amp;meta_TypedModelElements[[#This Row],[Name or Type]]&amp;":src]]"</f>
        <v>[@[This Class And All Subclasses:src]]</v>
      </c>
      <c r="AY1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[@[This Class And All Subclasses:src]] ) = "",
        "",
    IF( LEFT([@[This Class And All Subclasses:src]],1)="_",
        RIGHT([@[This Class And All Subclasses:src]],LEN([@[This Class And All Subclasses:src]])-1),
    IF( TRIM( [@Package] )
            &lt;&gt; TRIM( INDEX( meta_Classifiers[Package], MATCH( [@[This Class And All Subclasses:src]], meta_Classifiers[ID],0 ) ) ),
        TRIM( INDEX( meta_Classifiers[Package], MATCH( [@[This Class And All Subclasses:src]], meta_Classifiers[ID], 0 ) ) )
            &amp; "::"
            &amp; INDEX( meta_Classifiers[Display], MATCH( [@[This Class And All Subclasses:src]], meta_Classifiers[ID], 0 ) ),
        INDEX( meta_Classifiers[Display], MATCH( [@[This Class And All Subclasses:src]], meta_Classifiers[ID], 0 ) )
    ))), "")</v>
      </c>
      <c r="AZ1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"This Class And All Subclasses" Then
                   referedTableName = "meta_Classifiers"
                   referedColumnName = "Display"
                   Call StaticCode.updateIdOnNameChange(cellRef, referingTableName, referingColumnName, referedTableName, referedColumnName)
            End If</v>
      </c>
      <c r="BA1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This Class And All Subclasses" Then
                   referedTableName = "meta_Classifiers"
                   referedColumnName = "Display"
                   Call StaticCode.updateIdOnNameChange(cellRef, referingTableName, referingColumnName, referedTableName, referedColumnName)
            End If</v>
      </c>
      <c r="BB16" s="40"/>
      <c r="BC16" s="40" t="str">
        <f>IF(meta_TypedModelElements[[#This Row],[Kind:src]]="_Parameter","",IF(AND(meta_TypedModelElements[[#This Row],[Package]]="util",meta_TypedModelElements[[#This Row],[Containing Class]]=0), "public", "method"))</f>
        <v>method</v>
      </c>
      <c r="BD16" s="40"/>
      <c r="BE1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6" s="40"/>
      <c r="BK16" s="5"/>
    </row>
    <row r="17" spans="1:63" ht="202.5">
      <c r="A17" s="5" t="s">
        <v>254</v>
      </c>
      <c r="B17" s="5" t="s">
        <v>167</v>
      </c>
      <c r="C17" s="22" t="str">
        <f xml:space="preserve"> IF( TRIM( meta_TypedModelElements[[#This Row],[Kind:src]] ) = "", "",
        INDEX( meta_Classifiers[Display Qualified], MATCH( meta_TypedModelElements[[#This Row],[Kind:src]], meta_Classifiers[ID], 0 ) ) )</f>
        <v>Reference</v>
      </c>
      <c r="D17" s="22">
        <v>16</v>
      </c>
      <c r="E17" s="22" t="s">
        <v>142</v>
      </c>
      <c r="F17" s="22"/>
      <c r="G1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7" s="8" t="s">
        <v>163</v>
      </c>
      <c r="J17" s="22" t="str">
        <f xml:space="preserve"> IF( TRIM( meta_TypedModelElements[[#This Row],[Property - Owning Class:src]] ) = "", "",
        INDEX( meta_Classifiers[Display Qualified], MATCH( meta_TypedModelElements[[#This Row],[Property - Owning Class:src]], meta_Classifiers[ID], 0 ) ) )</f>
        <v>Class</v>
      </c>
      <c r="K1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meta::Class.directSubtype</v>
      </c>
      <c r="L17" s="5" t="str">
        <f>IF(meta_TypedModelElements[[#This Row],[Kind:src]]="_Function",meta_TypedModelElements[[#This Row],[Display Qualified]],"")</f>
        <v/>
      </c>
      <c r="M17" s="5" t="str">
        <f>IF(meta_TypedModelElements[[#This Row],[Kind:src]]="_Attribute",meta_TypedModelElements[[#This Row],[Display Qualified]],"")</f>
        <v/>
      </c>
      <c r="N17" s="5" t="str">
        <f>IF(meta_TypedModelElements[[#This Row],[Kind:src]]="_Reference",meta_TypedModelElements[[#This Row],[Display Qualified]],"")</f>
        <v>meta::Class.directSubtype</v>
      </c>
      <c r="O17" s="5" t="str">
        <f>IF(OR(meta_TypedModelElements[[#This Row],[Kind:src]]="_Attribute",meta_TypedModelElements[[#This Row],[Kind:src]]="_Reference"),meta_TypedModelElements[[#This Row],[Display Qualified]],"")</f>
        <v>meta::Class.directSubtype</v>
      </c>
      <c r="P17" s="22"/>
      <c r="Q17" s="22"/>
      <c r="R17" s="5" t="str">
        <f>IF(meta_TypedModelElements[[#This Row],[Containing Class:display]]="","",meta_TypedModelElements[[#This Row],[Containing Class:display]]&amp;".")&amp;meta_TypedModelElements[[#This Row],[Display without Class]]</f>
        <v>Class.directSubtype</v>
      </c>
      <c r="S17" s="5" t="str" cm="1">
        <f t="array" ref="S17">_xlfn.IFNA(INDEX(meta_Names[Camel Lower], MATCH(meta_TypedModelElements[[#This Row],[Name or Type]],meta_Names[String],0)),camelCaseLower(meta_TypedModelElements[[#This Row],[Name or Type]]))</f>
        <v>directSubtype</v>
      </c>
      <c r="T17" s="5" t="str">
        <f>IF(meta_TypedModelElements[[#This Row],[Name or Type]]="","",meta_TypedModelElements[[#This Row],[Name or Type Camel Case Lower]])&amp;IF(meta_TypedModelElements[[#This Row],[Kind:src]]="_Function","("&amp;meta_TypedModelElements[[#This Row],[Function - Parameters Display]]&amp;")","")</f>
        <v>directSubtype</v>
      </c>
      <c r="U1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Direct Subtype</v>
      </c>
      <c r="V17" s="22" t="s">
        <v>81</v>
      </c>
      <c r="W17" s="5" t="e">
        <f>INDEX(meta_Classifiers[Class - Generalization:src],MATCH(meta_TypedModelElements[[#This Row],[Type Super Type 6]],meta_Classifiers[ID],0))</f>
        <v>#N/A</v>
      </c>
      <c r="X17" s="5" t="e">
        <f>INDEX(meta_Classifiers[Class - Generalization:src],MATCH(meta_TypedModelElements[[#This Row],[Type Super Type 5]],meta_Classifiers[ID],0))</f>
        <v>#N/A</v>
      </c>
      <c r="Y17" s="5" t="e">
        <f>INDEX(meta_Classifiers[Class - Generalization:src],MATCH(meta_TypedModelElements[[#This Row],[Type Super Type 4]],meta_Classifiers[ID],0))</f>
        <v>#N/A</v>
      </c>
      <c r="Z17" s="5" t="str">
        <f>INDEX(meta_Classifiers[Class - Generalization:src],MATCH(meta_TypedModelElements[[#This Row],[Type Super Type 3]],meta_Classifiers[ID],0))</f>
        <v/>
      </c>
      <c r="AA17" s="5" t="str">
        <f>INDEX(meta_Classifiers[Class - Generalization:src],MATCH(meta_TypedModelElements[[#This Row],[Type Super Type 2]],meta_Classifiers[ID],0))</f>
        <v>_Object</v>
      </c>
      <c r="AB17" s="5" t="str">
        <f>INDEX(meta_Classifiers[Class - Generalization:src],MATCH(meta_TypedModelElements[[#This Row],[Type Super Type 1]],meta_Classifiers[ID],0))</f>
        <v>_NamedElement</v>
      </c>
      <c r="AC17" s="5" t="str">
        <f>INDEX(meta_Classifiers[Class - Generalization:src],MATCH(meta_TypedModelElements[[#This Row],[Type:src]],meta_Classifiers[ID],0))</f>
        <v>_Classifier</v>
      </c>
      <c r="AD17" s="5" t="str">
        <f>IF(meta_TypedModelElements[[#This Row],[Kind:src]]&lt;&gt;"_Function",meta_TypedModelElements[[#This Row],[Type]],INDEX(meta_TypedModelElements[Type],MATCH(meta_TypedModelElements[[#This Row],[Function - Owning Property:src]],meta_TypedModelElements[ID],0)))</f>
        <v>Class</v>
      </c>
      <c r="AE17" s="5" t="str">
        <f>IF(meta_TypedModelElements[[#This Row],[Kind:src]]&lt;&gt;"_Function",meta_TypedModelElements[[#This Row],[Type:src]],INDEX(meta_TypedModelElements[Type:src],MATCH(meta_TypedModelElements[[#This Row],[Function - Owning Property:src]],meta_TypedModelElements[ID],0)))</f>
        <v>_Class</v>
      </c>
      <c r="AF17" s="5" t="str">
        <f>IF(meta_TypedModelElements[[#This Row],[Type:src]]="","",INDEX(meta_Classifiers[Name],MATCH(meta_TypedModelElements[[#This Row],[Type:src]],meta_Classifiers[ID],0)))</f>
        <v>Class</v>
      </c>
      <c r="AG17" s="5" t="s">
        <v>163</v>
      </c>
      <c r="AH17" s="22" t="str">
        <f xml:space="preserve"> IF( TRIM( meta_TypedModelElements[[#This Row],[Type:src]] ) = "", "",
        INDEX( meta_Classifiers[Display Qualified], MATCH( meta_TypedModelElements[[#This Row],[Type:src]], meta_Classifiers[ID], 0 ) ) )</f>
        <v>Class</v>
      </c>
      <c r="AI17" s="22" t="s">
        <v>22</v>
      </c>
      <c r="AJ17" s="22"/>
      <c r="AK17" s="8"/>
      <c r="AL17" s="22" t="str">
        <f xml:space="preserve"> IF( TRIM( meta_TypedModelElements[[#This Row],[Reference - Opposite:src]] ) = "", "",
        INDEX( meta_TypedModelElements[Display Qualified], MATCH( meta_TypedModelElements[[#This Row],[Reference - Opposite:src]], meta_TypedModelElements[ID], 0 ) ) )</f>
        <v/>
      </c>
      <c r="AM17" s="8"/>
      <c r="AN1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7" s="22"/>
      <c r="AP17"/>
      <c r="AQ17" s="22" t="str">
        <f xml:space="preserve"> IF( TRIM( meta_TypedModelElements[[#This Row],[Function - Owning Property:src]] ) = "", "",
        INDEX( meta_TypedModelElements[Display Qualified], MATCH( meta_TypedModelElements[[#This Row],[Function - Owning Property:src]], meta_TypedModelElements[ID], 0 ) ) )</f>
        <v/>
      </c>
      <c r="AT17" s="22" t="str">
        <f>IF(meta_TypedModelElements[[#This Row],[Parameter - Owning Function:src]]="","",INDEX(meta_TypedModelElements[Display Qualified],MATCH(meta_TypedModelElements[[#This Row],[Parameter - Owning Function:src]],meta_TypedModelElements[ID],0)))</f>
        <v/>
      </c>
      <c r="AV17" s="89"/>
      <c r="AW1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7" s="5" t="str">
        <f>"[@["&amp;meta_TypedModelElements[[#This Row],[Name or Type]]&amp;":src]]"</f>
        <v>[@[Direct Subtype:src]]</v>
      </c>
      <c r="AY1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[@[Direct Subtype:src]] ) = "",
        "",
    IF( LEFT([@[Direct Subtype:src]],1)="_",
        RIGHT([@[Direct Subtype:src]],LEN([@[Direct Subtype:src]])-1),
    IF( TRIM( [@Package] )
            &lt;&gt; TRIM( INDEX( meta_Classifiers[Package], MATCH( [@[Direct Subtype:src]], meta_Classifiers[ID],0 ) ) ),
        TRIM( INDEX( meta_Classifiers[Package], MATCH( [@[Direct Subtype:src]], meta_Classifiers[ID], 0 ) ) )
            &amp; "::"
            &amp; INDEX( meta_Classifiers[Display], MATCH( [@[Direct Subtype:src]], meta_Classifiers[ID], 0 ) ),
        INDEX( meta_Classifiers[Display], MATCH( [@[Direct Subtype:src]], meta_Classifiers[ID], 0 ) )
    ))), "")</v>
      </c>
      <c r="AZ1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"Direct Subtype" Then
                   referedTableName = "meta_Classifiers"
                   referedColumnName = "Display"
                   Call StaticCode.updateIdOnNameChange(cellRef, referingTableName, referingColumnName, referedTableName, referedColumnName)
            End If</v>
      </c>
      <c r="BA1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Direct Subtype" Then
                   referedTableName = "meta_Classifiers"
                   referedColumnName = "Display"
                   Call StaticCode.updateIdOnNameChange(cellRef, referingTableName, referingColumnName, referedTableName, referedColumnName)
            End If</v>
      </c>
      <c r="BB17" s="40"/>
      <c r="BC17" s="40" t="str">
        <f>IF(meta_TypedModelElements[[#This Row],[Kind:src]]="_Parameter","",IF(AND(meta_TypedModelElements[[#This Row],[Package]]="util",meta_TypedModelElements[[#This Row],[Containing Class]]=0), "public", "method"))</f>
        <v>method</v>
      </c>
      <c r="BD17" s="40"/>
      <c r="BE1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7" s="40"/>
      <c r="BK17" s="5"/>
    </row>
    <row r="18" spans="1:63" ht="202.5">
      <c r="A18" s="5" t="s">
        <v>803</v>
      </c>
      <c r="B18" s="5" t="s">
        <v>167</v>
      </c>
      <c r="C18" s="22" t="str">
        <f xml:space="preserve"> IF( TRIM( meta_TypedModelElements[[#This Row],[Kind:src]] ) = "", "",
        INDEX( meta_Classifiers[Display Qualified], MATCH( meta_TypedModelElements[[#This Row],[Kind:src]], meta_Classifiers[ID], 0 ) ) )</f>
        <v>Reference</v>
      </c>
      <c r="D18" s="22">
        <v>17</v>
      </c>
      <c r="E18" s="22" t="s">
        <v>142</v>
      </c>
      <c r="F18" s="22"/>
      <c r="G1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8" s="8" t="s">
        <v>163</v>
      </c>
      <c r="J18" s="22" t="str">
        <f xml:space="preserve"> IF( TRIM( meta_TypedModelElements[[#This Row],[Property - Owning Class:src]] ) = "", "",
        INDEX( meta_Classifiers[Display Qualified], MATCH( meta_TypedModelElements[[#This Row],[Property - Owning Class:src]], meta_Classifiers[ID], 0 ) ) )</f>
        <v>Class</v>
      </c>
      <c r="K1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meta::Class.displayProperty</v>
      </c>
      <c r="L18" s="5" t="str">
        <f>IF(meta_TypedModelElements[[#This Row],[Kind:src]]="_Function",meta_TypedModelElements[[#This Row],[Display Qualified]],"")</f>
        <v/>
      </c>
      <c r="M18" s="5" t="str">
        <f>IF(meta_TypedModelElements[[#This Row],[Kind:src]]="_Attribute",meta_TypedModelElements[[#This Row],[Display Qualified]],"")</f>
        <v/>
      </c>
      <c r="N18" s="5" t="str">
        <f>IF(meta_TypedModelElements[[#This Row],[Kind:src]]="_Reference",meta_TypedModelElements[[#This Row],[Display Qualified]],"")</f>
        <v>meta::Class.displayProperty</v>
      </c>
      <c r="O18" s="5" t="str">
        <f>IF(OR(meta_TypedModelElements[[#This Row],[Kind:src]]="_Attribute",meta_TypedModelElements[[#This Row],[Kind:src]]="_Reference"),meta_TypedModelElements[[#This Row],[Display Qualified]],"")</f>
        <v>meta::Class.displayProperty</v>
      </c>
      <c r="P18" s="22"/>
      <c r="Q18" s="22"/>
      <c r="R18" s="5" t="str">
        <f>IF(meta_TypedModelElements[[#This Row],[Containing Class:display]]="","",meta_TypedModelElements[[#This Row],[Containing Class:display]]&amp;".")&amp;meta_TypedModelElements[[#This Row],[Display without Class]]</f>
        <v>Class.displayProperty</v>
      </c>
      <c r="S18" s="5" t="str" cm="1">
        <f t="array" ref="S18">_xlfn.IFNA(INDEX(meta_Names[Camel Lower], MATCH(meta_TypedModelElements[[#This Row],[Name or Type]],meta_Names[String],0)),camelCaseLower(meta_TypedModelElements[[#This Row],[Name or Type]]))</f>
        <v>displayProperty</v>
      </c>
      <c r="T18" s="5" t="str">
        <f>IF(meta_TypedModelElements[[#This Row],[Name or Type]]="","",meta_TypedModelElements[[#This Row],[Name or Type Camel Case Lower]])&amp;IF(meta_TypedModelElements[[#This Row],[Kind:src]]="_Function","("&amp;meta_TypedModelElements[[#This Row],[Function - Parameters Display]]&amp;")","")</f>
        <v>displayProperty</v>
      </c>
      <c r="U1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Property</v>
      </c>
      <c r="V18" s="22" t="s">
        <v>801</v>
      </c>
      <c r="W18" s="5" t="e">
        <f>INDEX(meta_Classifiers[Class - Generalization:src],MATCH(meta_TypedModelElements[[#This Row],[Type Super Type 6]],meta_Classifiers[ID],0))</f>
        <v>#N/A</v>
      </c>
      <c r="X18" s="5" t="str">
        <f>INDEX(meta_Classifiers[Class - Generalization:src],MATCH(meta_TypedModelElements[[#This Row],[Type Super Type 5]],meta_Classifiers[ID],0))</f>
        <v/>
      </c>
      <c r="Y18" s="5" t="str">
        <f>INDEX(meta_Classifiers[Class - Generalization:src],MATCH(meta_TypedModelElements[[#This Row],[Type Super Type 4]],meta_Classifiers[ID],0))</f>
        <v>_Object</v>
      </c>
      <c r="Z18" s="5" t="str">
        <f>INDEX(meta_Classifiers[Class - Generalization:src],MATCH(meta_TypedModelElements[[#This Row],[Type Super Type 3]],meta_Classifiers[ID],0))</f>
        <v>_NamedElement</v>
      </c>
      <c r="AA18" s="5" t="str">
        <f>INDEX(meta_Classifiers[Class - Generalization:src],MATCH(meta_TypedModelElements[[#This Row],[Type Super Type 2]],meta_Classifiers[ID],0))</f>
        <v>_TypedModelElement</v>
      </c>
      <c r="AB18" s="5" t="str">
        <f>INDEX(meta_Classifiers[Class - Generalization:src],MATCH(meta_TypedModelElements[[#This Row],[Type Super Type 1]],meta_Classifiers[ID],0))</f>
        <v>_Feature</v>
      </c>
      <c r="AC18" s="5" t="str">
        <f>INDEX(meta_Classifiers[Class - Generalization:src],MATCH(meta_TypedModelElements[[#This Row],[Type:src]],meta_Classifiers[ID],0))</f>
        <v>_Property</v>
      </c>
      <c r="AD18" s="5" t="str">
        <f>IF(meta_TypedModelElements[[#This Row],[Kind:src]]&lt;&gt;"_Function",meta_TypedModelElements[[#This Row],[Type]],INDEX(meta_TypedModelElements[Type],MATCH(meta_TypedModelElements[[#This Row],[Function - Owning Property:src]],meta_TypedModelElements[ID],0)))</f>
        <v>Attribute</v>
      </c>
      <c r="AE18" s="5" t="str">
        <f>IF(meta_TypedModelElements[[#This Row],[Kind:src]]&lt;&gt;"_Function",meta_TypedModelElements[[#This Row],[Type:src]],INDEX(meta_TypedModelElements[Type:src],MATCH(meta_TypedModelElements[[#This Row],[Function - Owning Property:src]],meta_TypedModelElements[ID],0)))</f>
        <v>_Attribute</v>
      </c>
      <c r="AF18" s="5" t="str">
        <f>IF(meta_TypedModelElements[[#This Row],[Type:src]]="","",INDEX(meta_Classifiers[Name],MATCH(meta_TypedModelElements[[#This Row],[Type:src]],meta_Classifiers[ID],0)))</f>
        <v>Attribute</v>
      </c>
      <c r="AG18" s="5" t="s">
        <v>168</v>
      </c>
      <c r="AH18" s="22" t="str">
        <f xml:space="preserve"> IF( TRIM( meta_TypedModelElements[[#This Row],[Type:src]] ) = "", "",
        INDEX( meta_Classifiers[Display Qualified], MATCH( meta_TypedModelElements[[#This Row],[Type:src]], meta_Classifiers[ID], 0 ) ) )</f>
        <v>Attribute</v>
      </c>
      <c r="AI18" s="22" t="s">
        <v>19</v>
      </c>
      <c r="AJ18" s="22"/>
      <c r="AK18" s="8"/>
      <c r="AL18" s="22" t="str">
        <f xml:space="preserve"> IF( TRIM( meta_TypedModelElements[[#This Row],[Reference - Opposite:src]] ) = "", "",
        INDEX( meta_TypedModelElements[Display Qualified], MATCH( meta_TypedModelElements[[#This Row],[Reference - Opposite:src]], meta_TypedModelElements[ID], 0 ) ) )</f>
        <v/>
      </c>
      <c r="AM18" s="8"/>
      <c r="AN1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8" s="22"/>
      <c r="AP18"/>
      <c r="AQ18" s="22" t="str">
        <f xml:space="preserve"> IF( TRIM( meta_TypedModelElements[[#This Row],[Function - Owning Property:src]] ) = "", "",
        INDEX( meta_TypedModelElements[Display Qualified], MATCH( meta_TypedModelElements[[#This Row],[Function - Owning Property:src]], meta_TypedModelElements[ID], 0 ) ) )</f>
        <v/>
      </c>
      <c r="AT18" s="22" t="str">
        <f>IF(meta_TypedModelElements[[#This Row],[Parameter - Owning Function:src]]="","",INDEX(meta_TypedModelElements[Display Qualified],MATCH(meta_TypedModelElements[[#This Row],[Parameter - Owning Function:src]],meta_TypedModelElements[ID],0)))</f>
        <v/>
      </c>
      <c r="AV18" s="89"/>
      <c r="AW1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8" s="5" t="str">
        <f>"[@["&amp;meta_TypedModelElements[[#This Row],[Name or Type]]&amp;":src]]"</f>
        <v>[@[Display Property:src]]</v>
      </c>
      <c r="AY1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Property:src]] ) = "",
        "",
    IF( LEFT([@[Display Property:src]],1)="_",
        RIGHT([@[Display Property:src]],LEN([@[Display Property:src]])-1),
    IF( TRIM( [@Package] )
            &lt;&gt; TRIM( INDEX( meta_TypedModelElements[Package], MATCH( [@[Display Property:src]], meta_TypedModelElements[ID],0 ) ) ),
        TRIM( INDEX( meta_TypedModelElements[Package], MATCH( [@[Display Property:src]], meta_TypedModelElements[ID], 0 ) ) )
            &amp; "::"
            &amp; INDEX( meta_TypedModelElements[Display], MATCH( [@[Display Property:src]], meta_TypedModelElements[ID], 0 ) ),
        INDEX( meta_TypedModelElements[Display], MATCH( [@[Display Property:src]], meta_TypedModelElements[ID], 0 ) )
    ))), "")</v>
      </c>
      <c r="AZ1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Property" Then
                   referedTableName = "meta_TypedModelElements"
                   referedColumnName = "Display"
                   Call StaticCode.updateIdOnNameChange(cellRef, referingTableName, referingColumnName, referedTableName, referedColumnName)
            End If</v>
      </c>
      <c r="BA1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Display Property" Then
                   referedTableName = "meta_TypedModelElements"
                   referedColumnName = "Display"
                   Call StaticCode.updateIdOnNameChange(cellRef, referingTableName, referingColumnName, referedTableName, referedColumnName)
            End If</v>
      </c>
      <c r="BB18" s="40"/>
      <c r="BC18" s="40" t="str">
        <f>IF(meta_TypedModelElements[[#This Row],[Kind:src]]="_Parameter","",IF(AND(meta_TypedModelElements[[#This Row],[Package]]="util",meta_TypedModelElements[[#This Row],[Containing Class]]=0), "public", "method"))</f>
        <v>method</v>
      </c>
      <c r="BD18" s="40"/>
      <c r="BE1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8" s="40"/>
      <c r="BK18" s="5"/>
    </row>
    <row r="19" spans="1:63" ht="202.5">
      <c r="A19" s="5" t="s">
        <v>804</v>
      </c>
      <c r="B19" s="5" t="s">
        <v>167</v>
      </c>
      <c r="C19" s="22" t="str">
        <f xml:space="preserve"> IF( TRIM( meta_TypedModelElements[[#This Row],[Kind:src]] ) = "", "",
        INDEX( meta_Classifiers[Display Qualified], MATCH( meta_TypedModelElements[[#This Row],[Kind:src]], meta_Classifiers[ID], 0 ) ) )</f>
        <v>Reference</v>
      </c>
      <c r="D19" s="22">
        <v>18</v>
      </c>
      <c r="E19" s="22" t="s">
        <v>142</v>
      </c>
      <c r="F19" s="22"/>
      <c r="G1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9" s="8" t="s">
        <v>163</v>
      </c>
      <c r="J19" s="22" t="str">
        <f xml:space="preserve"> IF( TRIM( meta_TypedModelElements[[#This Row],[Property - Owning Class:src]] ) = "", "",
        INDEX( meta_Classifiers[Display Qualified], MATCH( meta_TypedModelElements[[#This Row],[Property - Owning Class:src]], meta_Classifiers[ID], 0 ) ) )</f>
        <v>Class</v>
      </c>
      <c r="K1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meta::Class.businessID_Property</v>
      </c>
      <c r="L19" s="5" t="str">
        <f>IF(meta_TypedModelElements[[#This Row],[Kind:src]]="_Function",meta_TypedModelElements[[#This Row],[Display Qualified]],"")</f>
        <v/>
      </c>
      <c r="M19" s="5" t="str">
        <f>IF(meta_TypedModelElements[[#This Row],[Kind:src]]="_Attribute",meta_TypedModelElements[[#This Row],[Display Qualified]],"")</f>
        <v/>
      </c>
      <c r="N19" s="5" t="str">
        <f>IF(meta_TypedModelElements[[#This Row],[Kind:src]]="_Reference",meta_TypedModelElements[[#This Row],[Display Qualified]],"")</f>
        <v>meta::Class.businessID_Property</v>
      </c>
      <c r="O19" s="5" t="str">
        <f>IF(OR(meta_TypedModelElements[[#This Row],[Kind:src]]="_Attribute",meta_TypedModelElements[[#This Row],[Kind:src]]="_Reference"),meta_TypedModelElements[[#This Row],[Display Qualified]],"")</f>
        <v>meta::Class.businessID_Property</v>
      </c>
      <c r="P19" s="22"/>
      <c r="Q19" s="22"/>
      <c r="R19" s="5" t="str">
        <f>IF(meta_TypedModelElements[[#This Row],[Containing Class:display]]="","",meta_TypedModelElements[[#This Row],[Containing Class:display]]&amp;".")&amp;meta_TypedModelElements[[#This Row],[Display without Class]]</f>
        <v>Class.businessID_Property</v>
      </c>
      <c r="S19" s="5" t="str" cm="1">
        <f t="array" ref="S19">_xlfn.IFNA(INDEX(meta_Names[Camel Lower], MATCH(meta_TypedModelElements[[#This Row],[Name or Type]],meta_Names[String],0)),camelCaseLower(meta_TypedModelElements[[#This Row],[Name or Type]]))</f>
        <v>businessID_Property</v>
      </c>
      <c r="T19" s="5" t="str">
        <f>IF(meta_TypedModelElements[[#This Row],[Name or Type]]="","",meta_TypedModelElements[[#This Row],[Name or Type Camel Case Lower]])&amp;IF(meta_TypedModelElements[[#This Row],[Kind:src]]="_Function","("&amp;meta_TypedModelElements[[#This Row],[Function - Parameters Display]]&amp;")","")</f>
        <v>businessID_Property</v>
      </c>
      <c r="U1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ID Property</v>
      </c>
      <c r="V19" s="22" t="s">
        <v>802</v>
      </c>
      <c r="W19" s="5" t="e">
        <f>INDEX(meta_Classifiers[Class - Generalization:src],MATCH(meta_TypedModelElements[[#This Row],[Type Super Type 6]],meta_Classifiers[ID],0))</f>
        <v>#N/A</v>
      </c>
      <c r="X19" s="5" t="str">
        <f>INDEX(meta_Classifiers[Class - Generalization:src],MATCH(meta_TypedModelElements[[#This Row],[Type Super Type 5]],meta_Classifiers[ID],0))</f>
        <v/>
      </c>
      <c r="Y19" s="5" t="str">
        <f>INDEX(meta_Classifiers[Class - Generalization:src],MATCH(meta_TypedModelElements[[#This Row],[Type Super Type 4]],meta_Classifiers[ID],0))</f>
        <v>_Object</v>
      </c>
      <c r="Z19" s="5" t="str">
        <f>INDEX(meta_Classifiers[Class - Generalization:src],MATCH(meta_TypedModelElements[[#This Row],[Type Super Type 3]],meta_Classifiers[ID],0))</f>
        <v>_NamedElement</v>
      </c>
      <c r="AA19" s="5" t="str">
        <f>INDEX(meta_Classifiers[Class - Generalization:src],MATCH(meta_TypedModelElements[[#This Row],[Type Super Type 2]],meta_Classifiers[ID],0))</f>
        <v>_TypedModelElement</v>
      </c>
      <c r="AB19" s="5" t="str">
        <f>INDEX(meta_Classifiers[Class - Generalization:src],MATCH(meta_TypedModelElements[[#This Row],[Type Super Type 1]],meta_Classifiers[ID],0))</f>
        <v>_Feature</v>
      </c>
      <c r="AC19" s="5" t="str">
        <f>INDEX(meta_Classifiers[Class - Generalization:src],MATCH(meta_TypedModelElements[[#This Row],[Type:src]],meta_Classifiers[ID],0))</f>
        <v>_Property</v>
      </c>
      <c r="AD19" s="5" t="str">
        <f>IF(meta_TypedModelElements[[#This Row],[Kind:src]]&lt;&gt;"_Function",meta_TypedModelElements[[#This Row],[Type]],INDEX(meta_TypedModelElements[Type],MATCH(meta_TypedModelElements[[#This Row],[Function - Owning Property:src]],meta_TypedModelElements[ID],0)))</f>
        <v>Attribute</v>
      </c>
      <c r="AE19" s="5" t="str">
        <f>IF(meta_TypedModelElements[[#This Row],[Kind:src]]&lt;&gt;"_Function",meta_TypedModelElements[[#This Row],[Type:src]],INDEX(meta_TypedModelElements[Type:src],MATCH(meta_TypedModelElements[[#This Row],[Function - Owning Property:src]],meta_TypedModelElements[ID],0)))</f>
        <v>_Attribute</v>
      </c>
      <c r="AF19" s="5" t="str">
        <f>IF(meta_TypedModelElements[[#This Row],[Type:src]]="","",INDEX(meta_Classifiers[Name],MATCH(meta_TypedModelElements[[#This Row],[Type:src]],meta_Classifiers[ID],0)))</f>
        <v>Attribute</v>
      </c>
      <c r="AG19" s="5" t="s">
        <v>168</v>
      </c>
      <c r="AH19" s="22" t="str">
        <f xml:space="preserve"> IF( TRIM( meta_TypedModelElements[[#This Row],[Type:src]] ) = "", "",
        INDEX( meta_Classifiers[Display Qualified], MATCH( meta_TypedModelElements[[#This Row],[Type:src]], meta_Classifiers[ID], 0 ) ) )</f>
        <v>Attribute</v>
      </c>
      <c r="AI19" s="22" t="s">
        <v>21</v>
      </c>
      <c r="AJ19" s="22"/>
      <c r="AK19" s="8"/>
      <c r="AL19" s="22" t="str">
        <f xml:space="preserve"> IF( TRIM( meta_TypedModelElements[[#This Row],[Reference - Opposite:src]] ) = "", "",
        INDEX( meta_TypedModelElements[Display Qualified], MATCH( meta_TypedModelElements[[#This Row],[Reference - Opposite:src]], meta_TypedModelElements[ID], 0 ) ) )</f>
        <v/>
      </c>
      <c r="AM19" s="8"/>
      <c r="AN1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9" s="22"/>
      <c r="AP19"/>
      <c r="AQ19" s="22" t="str">
        <f xml:space="preserve"> IF( TRIM( meta_TypedModelElements[[#This Row],[Function - Owning Property:src]] ) = "", "",
        INDEX( meta_TypedModelElements[Display Qualified], MATCH( meta_TypedModelElements[[#This Row],[Function - Owning Property:src]], meta_TypedModelElements[ID], 0 ) ) )</f>
        <v/>
      </c>
      <c r="AT19" s="22" t="str">
        <f>IF(meta_TypedModelElements[[#This Row],[Parameter - Owning Function:src]]="","",INDEX(meta_TypedModelElements[Display Qualified],MATCH(meta_TypedModelElements[[#This Row],[Parameter - Owning Function:src]],meta_TypedModelElements[ID],0)))</f>
        <v/>
      </c>
      <c r="AV19" s="89"/>
      <c r="AW1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9" s="5" t="str">
        <f>"[@["&amp;meta_TypedModelElements[[#This Row],[Name or Type]]&amp;":src]]"</f>
        <v>[@[Business ID Property:src]]</v>
      </c>
      <c r="AY1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[@[Business ID Property:src]] ) = "",
        "",
    IF( LEFT([@[Business ID Property:src]],1)="_",
        RIGHT([@[Business ID Property:src]],LEN([@[Business ID Property:src]])-1),
    IF( TRIM( [@Package] )
            &lt;&gt; TRIM( INDEX( meta_TypedModelElements[Package], MATCH( [@[Business ID Property:src]], meta_TypedModelElements[ID],0 ) ) ),
        TRIM( INDEX( meta_TypedModelElements[Package], MATCH( [@[Business ID Property:src]], meta_TypedModelElements[ID], 0 ) ) )
            &amp; "::"
            &amp; INDEX( meta_TypedModelElements[Display], MATCH( [@[Business ID Property:src]], meta_TypedModelElements[ID], 0 ) ),
        INDEX( meta_TypedModelElements[Display], MATCH( [@[Business ID Property:src]], meta_TypedModelElements[ID], 0 ) )
    ))), "")</v>
      </c>
      <c r="AZ1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"Business ID Property" Then
                   referedTableName = "meta_TypedModelElements"
                   referedColumnName = "Display"
                   Call StaticCode.updateIdOnNameChange(cellRef, referingTableName, referingColumnName, referedTableName, referedColumnName)
            End If</v>
      </c>
      <c r="BA1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Business ID Property" Then
                   referedTableName = "meta_TypedModelElements"
                   referedColumnName = "Display"
                   Call StaticCode.updateIdOnNameChange(cellRef, referingTableName, referingColumnName, referedTableName, referedColumnName)
            End If</v>
      </c>
      <c r="BB19" s="40"/>
      <c r="BC19" s="40" t="str">
        <f>IF(meta_TypedModelElements[[#This Row],[Kind:src]]="_Parameter","",IF(AND(meta_TypedModelElements[[#This Row],[Package]]="util",meta_TypedModelElements[[#This Row],[Containing Class]]=0), "public", "method"))</f>
        <v>method</v>
      </c>
      <c r="BD19" s="40"/>
      <c r="BE1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9" s="40"/>
      <c r="BK19" s="5"/>
    </row>
    <row r="20" spans="1:63" ht="189">
      <c r="A20" s="5" t="s">
        <v>256</v>
      </c>
      <c r="B20" s="5" t="s">
        <v>167</v>
      </c>
      <c r="C20" s="22" t="str">
        <f xml:space="preserve"> IF( TRIM( meta_TypedModelElements[[#This Row],[Kind:src]] ) = "", "",
        INDEX( meta_Classifiers[Display Qualified], MATCH( meta_TypedModelElements[[#This Row],[Kind:src]], meta_Classifiers[ID], 0 ) ) )</f>
        <v>Reference</v>
      </c>
      <c r="D20" s="22">
        <v>19</v>
      </c>
      <c r="E20" s="22" t="s">
        <v>142</v>
      </c>
      <c r="F20" s="22"/>
      <c r="G2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0" s="8" t="s">
        <v>791</v>
      </c>
      <c r="J20" s="22" t="str">
        <f xml:space="preserve"> IF( TRIM( meta_TypedModelElements[[#This Row],[Property - Owning Class:src]] ) = "", "",
        INDEX( meta_Classifiers[Display Qualified], MATCH( meta_TypedModelElements[[#This Row],[Property - Owning Class:src]], meta_Classifiers[ID], 0 ) ) )</f>
        <v>TypedModelElement</v>
      </c>
      <c r="K2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meta::TypedModelElement.type</v>
      </c>
      <c r="L20" s="5" t="str">
        <f>IF(meta_TypedModelElements[[#This Row],[Kind:src]]="_Function",meta_TypedModelElements[[#This Row],[Display Qualified]],"")</f>
        <v/>
      </c>
      <c r="M20" s="5" t="str">
        <f>IF(meta_TypedModelElements[[#This Row],[Kind:src]]="_Attribute",meta_TypedModelElements[[#This Row],[Display Qualified]],"")</f>
        <v/>
      </c>
      <c r="N20" s="5" t="str">
        <f>IF(meta_TypedModelElements[[#This Row],[Kind:src]]="_Reference",meta_TypedModelElements[[#This Row],[Display Qualified]],"")</f>
        <v>meta::TypedModelElement.type</v>
      </c>
      <c r="O20" s="5" t="str">
        <f>IF(OR(meta_TypedModelElements[[#This Row],[Kind:src]]="_Attribute",meta_TypedModelElements[[#This Row],[Kind:src]]="_Reference"),meta_TypedModelElements[[#This Row],[Display Qualified]],"")</f>
        <v>meta::TypedModelElement.type</v>
      </c>
      <c r="P20" s="22"/>
      <c r="Q20" s="22"/>
      <c r="R20" s="5" t="str">
        <f>IF(meta_TypedModelElements[[#This Row],[Containing Class:display]]="","",meta_TypedModelElements[[#This Row],[Containing Class:display]]&amp;".")&amp;meta_TypedModelElements[[#This Row],[Display without Class]]</f>
        <v>TypedModelElement.type</v>
      </c>
      <c r="S20" s="5" t="str" cm="1">
        <f t="array" ref="S20">_xlfn.IFNA(INDEX(meta_Names[Camel Lower], MATCH(meta_TypedModelElements[[#This Row],[Name or Type]],meta_Names[String],0)),camelCaseLower(meta_TypedModelElements[[#This Row],[Name or Type]]))</f>
        <v>type</v>
      </c>
      <c r="T20" s="5" t="str">
        <f>IF(meta_TypedModelElements[[#This Row],[Name or Type]]="","",meta_TypedModelElements[[#This Row],[Name or Type Camel Case Lower]])&amp;IF(meta_TypedModelElements[[#This Row],[Kind:src]]="_Function","("&amp;meta_TypedModelElements[[#This Row],[Function - Parameters Display]]&amp;")","")</f>
        <v>type</v>
      </c>
      <c r="U2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Type</v>
      </c>
      <c r="V20" s="22" t="s">
        <v>4</v>
      </c>
      <c r="W20" s="5" t="e">
        <f>INDEX(meta_Classifiers[Class - Generalization:src],MATCH(meta_TypedModelElements[[#This Row],[Type Super Type 6]],meta_Classifiers[ID],0))</f>
        <v>#N/A</v>
      </c>
      <c r="X20" s="5" t="e">
        <f>INDEX(meta_Classifiers[Class - Generalization:src],MATCH(meta_TypedModelElements[[#This Row],[Type Super Type 5]],meta_Classifiers[ID],0))</f>
        <v>#N/A</v>
      </c>
      <c r="Y20" s="5" t="e">
        <f>INDEX(meta_Classifiers[Class - Generalization:src],MATCH(meta_TypedModelElements[[#This Row],[Type Super Type 4]],meta_Classifiers[ID],0))</f>
        <v>#N/A</v>
      </c>
      <c r="Z20" s="5" t="e">
        <f>INDEX(meta_Classifiers[Class - Generalization:src],MATCH(meta_TypedModelElements[[#This Row],[Type Super Type 3]],meta_Classifiers[ID],0))</f>
        <v>#N/A</v>
      </c>
      <c r="AA20" s="5" t="str">
        <f>INDEX(meta_Classifiers[Class - Generalization:src],MATCH(meta_TypedModelElements[[#This Row],[Type Super Type 2]],meta_Classifiers[ID],0))</f>
        <v/>
      </c>
      <c r="AB20" s="5" t="str">
        <f>INDEX(meta_Classifiers[Class - Generalization:src],MATCH(meta_TypedModelElements[[#This Row],[Type Super Type 1]],meta_Classifiers[ID],0))</f>
        <v>_Object</v>
      </c>
      <c r="AC20" s="5" t="str">
        <f>INDEX(meta_Classifiers[Class - Generalization:src],MATCH(meta_TypedModelElements[[#This Row],[Type:src]],meta_Classifiers[ID],0))</f>
        <v>_NamedElement</v>
      </c>
      <c r="AD20" s="5" t="str">
        <f>IF(meta_TypedModelElements[[#This Row],[Kind:src]]&lt;&gt;"_Function",meta_TypedModelElements[[#This Row],[Type]],INDEX(meta_TypedModelElements[Type],MATCH(meta_TypedModelElements[[#This Row],[Function - Owning Property:src]],meta_TypedModelElements[ID],0)))</f>
        <v>Classifier</v>
      </c>
      <c r="AE20" s="5" t="str">
        <f>IF(meta_TypedModelElements[[#This Row],[Kind:src]]&lt;&gt;"_Function",meta_TypedModelElements[[#This Row],[Type:src]],INDEX(meta_TypedModelElements[Type:src],MATCH(meta_TypedModelElements[[#This Row],[Function - Owning Property:src]],meta_TypedModelElements[ID],0)))</f>
        <v>_Classifier</v>
      </c>
      <c r="AF20" s="5" t="str">
        <f>IF(meta_TypedModelElements[[#This Row],[Type:src]]="","",INDEX(meta_Classifiers[Name],MATCH(meta_TypedModelElements[[#This Row],[Type:src]],meta_Classifiers[ID],0)))</f>
        <v>Classifier</v>
      </c>
      <c r="AG20" s="5" t="s">
        <v>211</v>
      </c>
      <c r="AH20" s="22" t="str">
        <f xml:space="preserve"> IF( TRIM( meta_TypedModelElements[[#This Row],[Type:src]] ) = "", "",
        INDEX( meta_Classifiers[Display Qualified], MATCH( meta_TypedModelElements[[#This Row],[Type:src]], meta_Classifiers[ID], 0 ) ) )</f>
        <v>Classifier</v>
      </c>
      <c r="AI20" s="22" t="s">
        <v>19</v>
      </c>
      <c r="AJ20" s="22" t="s">
        <v>232</v>
      </c>
      <c r="AK20" s="8"/>
      <c r="AL20" s="22" t="str">
        <f xml:space="preserve"> IF( TRIM( meta_TypedModelElements[[#This Row],[Reference - Opposite:src]] ) = "", "",
        INDEX( meta_TypedModelElements[Display Qualified], MATCH( meta_TypedModelElements[[#This Row],[Reference - Opposite:src]], meta_TypedModelElements[ID], 0 ) ) )</f>
        <v/>
      </c>
      <c r="AM20" s="8"/>
      <c r="AN2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0" s="22"/>
      <c r="AP20"/>
      <c r="AQ20" s="22" t="str">
        <f xml:space="preserve"> IF( TRIM( meta_TypedModelElements[[#This Row],[Function - Owning Property:src]] ) = "", "",
        INDEX( meta_TypedModelElements[Display Qualified], MATCH( meta_TypedModelElements[[#This Row],[Function - Owning Property:src]], meta_TypedModelElements[ID], 0 ) ) )</f>
        <v/>
      </c>
      <c r="AT20" s="22" t="str">
        <f>IF(meta_TypedModelElements[[#This Row],[Parameter - Owning Function:src]]="","",INDEX(meta_TypedModelElements[Display Qualified],MATCH(meta_TypedModelElements[[#This Row],[Parameter - Owning Function:src]],meta_TypedModelElements[ID],0)))</f>
        <v/>
      </c>
      <c r="AV20" s="89"/>
      <c r="AW2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0" s="5" t="str">
        <f>"[@["&amp;meta_TypedModelElements[[#This Row],[Name or Type]]&amp;":src]]"</f>
        <v>[@[Type:src]]</v>
      </c>
      <c r="AY2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[@[Type:src]] ) = "",
        "",
    IF( LEFT([@[Type:src]],1)="_",
        RIGHT([@[Type:src]],LEN([@[Type:src]])-1),
    IF( TRIM( [@Package] )
            &lt;&gt; TRIM( INDEX( meta_Classifiers[Package], MATCH( [@[Type:src]], meta_Classifiers[ID],0 ) ) ),
        TRIM( INDEX( meta_Classifiers[Package], MATCH( [@[Type:src]], meta_Classifiers[ID], 0 ) ) )
            &amp; "::"
            &amp; INDEX( meta_Classifiers[Display], MATCH( [@[Type:src]], meta_Classifiers[ID], 0 ) ),
        INDEX( meta_Classifiers[Display], MATCH( [@[Type:src]], meta_Classifiers[ID], 0 ) )
    ))), "")</v>
      </c>
      <c r="AZ2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 Then
                   referedTableName = "meta_Classifiers"
                   referedColumnName = "Display"
                   Call StaticCode.updateIdOnNameChange(cellRef, referingTableName, referingColumnName, referedTableName, referedColumnName)
            End If</v>
      </c>
      <c r="BA2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Type" Then
                   referedTableName = "meta_Classifiers"
                   referedColumnName = "Display"
                   Call StaticCode.updateIdOnNameChange(cellRef, referingTableName, referingColumnName, referedTableName, referedColumnName)
            End If</v>
      </c>
      <c r="BB20" s="40"/>
      <c r="BC20" s="40" t="str">
        <f>IF(meta_TypedModelElements[[#This Row],[Kind:src]]="_Parameter","",IF(AND(meta_TypedModelElements[[#This Row],[Package]]="util",meta_TypedModelElements[[#This Row],[Containing Class]]=0), "public", "method"))</f>
        <v>method</v>
      </c>
      <c r="BD20" s="40"/>
      <c r="BE2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0" s="40"/>
      <c r="BK20" s="5"/>
    </row>
    <row r="21" spans="1:63" ht="202.5">
      <c r="A21" s="5" t="s">
        <v>557</v>
      </c>
      <c r="B21" s="5" t="s">
        <v>167</v>
      </c>
      <c r="C21" s="22" t="str">
        <f xml:space="preserve"> IF( TRIM( meta_TypedModelElements[[#This Row],[Kind:src]] ) = "", "",
        INDEX( meta_Classifiers[Display Qualified], MATCH( meta_TypedModelElements[[#This Row],[Kind:src]], meta_Classifiers[ID], 0 ) ) )</f>
        <v>Reference</v>
      </c>
      <c r="D21" s="22">
        <v>20</v>
      </c>
      <c r="E21" s="22" t="s">
        <v>142</v>
      </c>
      <c r="F21" s="22"/>
      <c r="G2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1" s="8" t="s">
        <v>791</v>
      </c>
      <c r="J21" s="22" t="str">
        <f xml:space="preserve"> IF( TRIM( meta_TypedModelElements[[#This Row],[Property - Owning Class:src]] ) = "", "",
        INDEX( meta_Classifiers[Display Qualified], MATCH( meta_TypedModelElements[[#This Row],[Property - Owning Class:src]], meta_Classifiers[ID], 0 ) ) )</f>
        <v>TypedModelElement</v>
      </c>
      <c r="K2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meta::TypedModelElement.containingClass</v>
      </c>
      <c r="L21" s="5" t="str">
        <f>IF(meta_TypedModelElements[[#This Row],[Kind:src]]="_Function",meta_TypedModelElements[[#This Row],[Display Qualified]],"")</f>
        <v/>
      </c>
      <c r="M21" s="5" t="str">
        <f>IF(meta_TypedModelElements[[#This Row],[Kind:src]]="_Attribute",meta_TypedModelElements[[#This Row],[Display Qualified]],"")</f>
        <v/>
      </c>
      <c r="N21" s="5" t="str">
        <f>IF(meta_TypedModelElements[[#This Row],[Kind:src]]="_Reference",meta_TypedModelElements[[#This Row],[Display Qualified]],"")</f>
        <v>meta::TypedModelElement.containingClass</v>
      </c>
      <c r="O21" s="5" t="str">
        <f>IF(OR(meta_TypedModelElements[[#This Row],[Kind:src]]="_Attribute",meta_TypedModelElements[[#This Row],[Kind:src]]="_Reference"),meta_TypedModelElements[[#This Row],[Display Qualified]],"")</f>
        <v>meta::TypedModelElement.containingClass</v>
      </c>
      <c r="P21" s="22"/>
      <c r="Q21" s="22"/>
      <c r="R21" s="5" t="str">
        <f>IF(meta_TypedModelElements[[#This Row],[Containing Class:display]]="","",meta_TypedModelElements[[#This Row],[Containing Class:display]]&amp;".")&amp;meta_TypedModelElements[[#This Row],[Display without Class]]</f>
        <v>TypedModelElement.containingClass</v>
      </c>
      <c r="S21" s="5" t="str" cm="1">
        <f t="array" ref="S21">_xlfn.IFNA(INDEX(meta_Names[Camel Lower], MATCH(meta_TypedModelElements[[#This Row],[Name or Type]],meta_Names[String],0)),camelCaseLower(meta_TypedModelElements[[#This Row],[Name or Type]]))</f>
        <v>containingClass</v>
      </c>
      <c r="T21" s="5" t="str">
        <f>IF(meta_TypedModelElements[[#This Row],[Name or Type]]="","",meta_TypedModelElements[[#This Row],[Name or Type Camel Case Lower]])&amp;IF(meta_TypedModelElements[[#This Row],[Kind:src]]="_Function","("&amp;meta_TypedModelElements[[#This Row],[Function - Parameters Display]]&amp;")","")</f>
        <v>containingClass</v>
      </c>
      <c r="U2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Containing Class</v>
      </c>
      <c r="V21" s="22" t="s">
        <v>365</v>
      </c>
      <c r="W21" s="5" t="e">
        <f>INDEX(meta_Classifiers[Class - Generalization:src],MATCH(meta_TypedModelElements[[#This Row],[Type Super Type 6]],meta_Classifiers[ID],0))</f>
        <v>#N/A</v>
      </c>
      <c r="X21" s="5" t="e">
        <f>INDEX(meta_Classifiers[Class - Generalization:src],MATCH(meta_TypedModelElements[[#This Row],[Type Super Type 5]],meta_Classifiers[ID],0))</f>
        <v>#N/A</v>
      </c>
      <c r="Y21" s="5" t="e">
        <f>INDEX(meta_Classifiers[Class - Generalization:src],MATCH(meta_TypedModelElements[[#This Row],[Type Super Type 4]],meta_Classifiers[ID],0))</f>
        <v>#N/A</v>
      </c>
      <c r="Z21" s="5" t="str">
        <f>INDEX(meta_Classifiers[Class - Generalization:src],MATCH(meta_TypedModelElements[[#This Row],[Type Super Type 3]],meta_Classifiers[ID],0))</f>
        <v/>
      </c>
      <c r="AA21" s="5" t="str">
        <f>INDEX(meta_Classifiers[Class - Generalization:src],MATCH(meta_TypedModelElements[[#This Row],[Type Super Type 2]],meta_Classifiers[ID],0))</f>
        <v>_Object</v>
      </c>
      <c r="AB21" s="5" t="str">
        <f>INDEX(meta_Classifiers[Class - Generalization:src],MATCH(meta_TypedModelElements[[#This Row],[Type Super Type 1]],meta_Classifiers[ID],0))</f>
        <v>_NamedElement</v>
      </c>
      <c r="AC21" s="5" t="str">
        <f>INDEX(meta_Classifiers[Class - Generalization:src],MATCH(meta_TypedModelElements[[#This Row],[Type:src]],meta_Classifiers[ID],0))</f>
        <v>_Classifier</v>
      </c>
      <c r="AD21" s="5" t="str">
        <f>IF(meta_TypedModelElements[[#This Row],[Kind:src]]&lt;&gt;"_Function",meta_TypedModelElements[[#This Row],[Type]],INDEX(meta_TypedModelElements[Type],MATCH(meta_TypedModelElements[[#This Row],[Function - Owning Property:src]],meta_TypedModelElements[ID],0)))</f>
        <v>Class</v>
      </c>
      <c r="AE21" s="5" t="str">
        <f>IF(meta_TypedModelElements[[#This Row],[Kind:src]]&lt;&gt;"_Function",meta_TypedModelElements[[#This Row],[Type:src]],INDEX(meta_TypedModelElements[Type:src],MATCH(meta_TypedModelElements[[#This Row],[Function - Owning Property:src]],meta_TypedModelElements[ID],0)))</f>
        <v>_Class</v>
      </c>
      <c r="AF21" s="5" t="str">
        <f>IF(meta_TypedModelElements[[#This Row],[Type:src]]="","",INDEX(meta_Classifiers[Name],MATCH(meta_TypedModelElements[[#This Row],[Type:src]],meta_Classifiers[ID],0)))</f>
        <v>Class</v>
      </c>
      <c r="AG21" s="5" t="s">
        <v>163</v>
      </c>
      <c r="AH21" s="22" t="str">
        <f xml:space="preserve"> IF( TRIM( meta_TypedModelElements[[#This Row],[Type:src]] ) = "", "",
        INDEX( meta_Classifiers[Display Qualified], MATCH( meta_TypedModelElements[[#This Row],[Type:src]], meta_Classifiers[ID], 0 ) ) )</f>
        <v>Class</v>
      </c>
      <c r="AI21" s="22" t="s">
        <v>19</v>
      </c>
      <c r="AJ21" s="22"/>
      <c r="AK21" s="8"/>
      <c r="AL21" s="22" t="str">
        <f xml:space="preserve"> IF( TRIM( meta_TypedModelElements[[#This Row],[Reference - Opposite:src]] ) = "", "",
        INDEX( meta_TypedModelElements[Display Qualified], MATCH( meta_TypedModelElements[[#This Row],[Reference - Opposite:src]], meta_TypedModelElements[ID], 0 ) ) )</f>
        <v/>
      </c>
      <c r="AM21" s="8"/>
      <c r="AN2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1" s="22"/>
      <c r="AP21"/>
      <c r="AQ21" s="22" t="str">
        <f xml:space="preserve"> IF( TRIM( meta_TypedModelElements[[#This Row],[Function - Owning Property:src]] ) = "", "",
        INDEX( meta_TypedModelElements[Display Qualified], MATCH( meta_TypedModelElements[[#This Row],[Function - Owning Property:src]], meta_TypedModelElements[ID], 0 ) ) )</f>
        <v/>
      </c>
      <c r="AT21" s="22" t="str">
        <f>IF(meta_TypedModelElements[[#This Row],[Parameter - Owning Function:src]]="","",INDEX(meta_TypedModelElements[Display Qualified],MATCH(meta_TypedModelElements[[#This Row],[Parameter - Owning Function:src]],meta_TypedModelElements[ID],0)))</f>
        <v/>
      </c>
      <c r="AV21" s="89"/>
      <c r="AW2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1" s="5" t="str">
        <f>"[@["&amp;meta_TypedModelElements[[#This Row],[Name or Type]]&amp;":src]]"</f>
        <v>[@[Containing Class:src]]</v>
      </c>
      <c r="AY2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[@[Containing Class:src]] ) = "",
        "",
    IF( LEFT([@[Containing Class:src]],1)="_",
        RIGHT([@[Containing Class:src]],LEN([@[Containing Class:src]])-1),
    IF( TRIM( [@Package] )
            &lt;&gt; TRIM( INDEX( meta_Classifiers[Package], MATCH( [@[Containing Class:src]], meta_Classifiers[ID],0 ) ) ),
        TRIM( INDEX( meta_Classifiers[Package], MATCH( [@[Containing Class:src]], meta_Classifiers[ID], 0 ) ) )
            &amp; "::"
            &amp; INDEX( meta_Classifiers[Display], MATCH( [@[Containing Class:src]], meta_Classifiers[ID], 0 ) ),
        INDEX( meta_Classifiers[Display], MATCH( [@[Containing Class:src]], meta_Classifiers[ID], 0 ) )
    ))), "")</v>
      </c>
      <c r="AZ2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"Containing Class" Then
                   referedTableName = "meta_Classifiers"
                   referedColumnName = "Display"
                   Call StaticCode.updateIdOnNameChange(cellRef, referingTableName, referingColumnName, referedTableName, referedColumnName)
            End If</v>
      </c>
      <c r="BA2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Containing Class" Then
                   referedTableName = "meta_Classifiers"
                   referedColumnName = "Display"
                   Call StaticCode.updateIdOnNameChange(cellRef, referingTableName, referingColumnName, referedTableName, referedColumnName)
            End If</v>
      </c>
      <c r="BB21" s="40"/>
      <c r="BC21" s="40" t="str">
        <f>IF(meta_TypedModelElements[[#This Row],[Kind:src]]="_Parameter","",IF(AND(meta_TypedModelElements[[#This Row],[Package]]="util",meta_TypedModelElements[[#This Row],[Containing Class]]=0), "public", "method"))</f>
        <v>method</v>
      </c>
      <c r="BD21" s="40"/>
      <c r="BE2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1" s="40"/>
      <c r="BK21" s="5"/>
    </row>
    <row r="22" spans="1:63">
      <c r="A22" s="5" t="s">
        <v>257</v>
      </c>
      <c r="B22" s="5" t="s">
        <v>168</v>
      </c>
      <c r="C22" s="22" t="str">
        <f xml:space="preserve"> IF( TRIM( meta_TypedModelElements[[#This Row],[Kind:src]] ) = "", "",
        INDEX( meta_Classifiers[Display Qualified], MATCH( meta_TypedModelElements[[#This Row],[Kind:src]], meta_Classifiers[ID], 0 ) ) )</f>
        <v>Attribute</v>
      </c>
      <c r="D22" s="22">
        <v>21</v>
      </c>
      <c r="E22" s="22" t="s">
        <v>142</v>
      </c>
      <c r="F22" s="22"/>
      <c r="G2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_Feature</v>
      </c>
      <c r="H2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Feature</v>
      </c>
      <c r="I22" s="8" t="s">
        <v>212</v>
      </c>
      <c r="J22" s="22" t="str">
        <f xml:space="preserve"> IF( TRIM( meta_TypedModelElements[[#This Row],[Property - Owning Class:src]] ) = "", "",
        INDEX( meta_Classifiers[Display Qualified], MATCH( meta_TypedModelElements[[#This Row],[Property - Owning Class:src]], meta_Classifiers[ID], 0 ) ) )</f>
        <v>Feature</v>
      </c>
      <c r="K2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meta::Feature.arity</v>
      </c>
      <c r="L22" s="5" t="str">
        <f>IF(meta_TypedModelElements[[#This Row],[Kind:src]]="_Function",meta_TypedModelElements[[#This Row],[Display Qualified]],"")</f>
        <v/>
      </c>
      <c r="M22" s="5" t="str">
        <f>IF(meta_TypedModelElements[[#This Row],[Kind:src]]="_Attribute",meta_TypedModelElements[[#This Row],[Display Qualified]],"")</f>
        <v>meta::Feature.arity</v>
      </c>
      <c r="N22" s="5" t="str">
        <f>IF(meta_TypedModelElements[[#This Row],[Kind:src]]="_Reference",meta_TypedModelElements[[#This Row],[Display Qualified]],"")</f>
        <v/>
      </c>
      <c r="O22" s="5" t="str">
        <f>IF(OR(meta_TypedModelElements[[#This Row],[Kind:src]]="_Attribute",meta_TypedModelElements[[#This Row],[Kind:src]]="_Reference"),meta_TypedModelElements[[#This Row],[Display Qualified]],"")</f>
        <v>meta::Feature.arity</v>
      </c>
      <c r="P22" s="22"/>
      <c r="Q22" s="22"/>
      <c r="R22" s="5" t="str">
        <f>IF(meta_TypedModelElements[[#This Row],[Containing Class:display]]="","",meta_TypedModelElements[[#This Row],[Containing Class:display]]&amp;".")&amp;meta_TypedModelElements[[#This Row],[Display without Class]]</f>
        <v>Feature.arity</v>
      </c>
      <c r="S22" s="5" t="str" cm="1">
        <f t="array" ref="S22">_xlfn.IFNA(INDEX(meta_Names[Camel Lower], MATCH(meta_TypedModelElements[[#This Row],[Name or Type]],meta_Names[String],0)),camelCaseLower(meta_TypedModelElements[[#This Row],[Name or Type]]))</f>
        <v>arity</v>
      </c>
      <c r="T22" s="5" t="str">
        <f>IF(meta_TypedModelElements[[#This Row],[Name or Type]]="","",meta_TypedModelElements[[#This Row],[Name or Type Camel Case Lower]])&amp;IF(meta_TypedModelElements[[#This Row],[Kind:src]]="_Function","("&amp;meta_TypedModelElements[[#This Row],[Function - Parameters Display]]&amp;")","")</f>
        <v>arity</v>
      </c>
      <c r="U2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Arity</v>
      </c>
      <c r="V22" s="22"/>
      <c r="W22" s="5" t="e">
        <f>INDEX(meta_Classifiers[Class - Generalization:src],MATCH(meta_TypedModelElements[[#This Row],[Type Super Type 6]],meta_Classifiers[ID],0))</f>
        <v>#N/A</v>
      </c>
      <c r="X22" s="5" t="e">
        <f>INDEX(meta_Classifiers[Class - Generalization:src],MATCH(meta_TypedModelElements[[#This Row],[Type Super Type 5]],meta_Classifiers[ID],0))</f>
        <v>#N/A</v>
      </c>
      <c r="Y22" s="5" t="e">
        <f>INDEX(meta_Classifiers[Class - Generalization:src],MATCH(meta_TypedModelElements[[#This Row],[Type Super Type 4]],meta_Classifiers[ID],0))</f>
        <v>#N/A</v>
      </c>
      <c r="Z22" s="5" t="str">
        <f>INDEX(meta_Classifiers[Class - Generalization:src],MATCH(meta_TypedModelElements[[#This Row],[Type Super Type 3]],meta_Classifiers[ID],0))</f>
        <v/>
      </c>
      <c r="AA22" s="5" t="str">
        <f>INDEX(meta_Classifiers[Class - Generalization:src],MATCH(meta_TypedModelElements[[#This Row],[Type Super Type 2]],meta_Classifiers[ID],0))</f>
        <v>_Object</v>
      </c>
      <c r="AB22" s="5" t="str">
        <f>INDEX(meta_Classifiers[Class - Generalization:src],MATCH(meta_TypedModelElements[[#This Row],[Type Super Type 1]],meta_Classifiers[ID],0))</f>
        <v>_NamedElement</v>
      </c>
      <c r="AC22" s="5" t="str">
        <f>INDEX(meta_Classifiers[Class - Generalization:src],MATCH(meta_TypedModelElements[[#This Row],[Type:src]],meta_Classifiers[ID],0))</f>
        <v>_Literal</v>
      </c>
      <c r="AD22" s="5" t="str">
        <f>IF(meta_TypedModelElements[[#This Row],[Kind:src]]&lt;&gt;"_Function",meta_TypedModelElements[[#This Row],[Type]],INDEX(meta_TypedModelElements[Type],MATCH(meta_TypedModelElements[[#This Row],[Function - Owning Property:src]],meta_TypedModelElements[ID],0)))</f>
        <v>Arity</v>
      </c>
      <c r="AE22" s="5" t="str">
        <f>IF(meta_TypedModelElements[[#This Row],[Kind:src]]&lt;&gt;"_Function",meta_TypedModelElements[[#This Row],[Type:src]],INDEX(meta_TypedModelElements[Type:src],MATCH(meta_TypedModelElements[[#This Row],[Function - Owning Property:src]],meta_TypedModelElements[ID],0)))</f>
        <v>_Arity</v>
      </c>
      <c r="AF22" s="5" t="str">
        <f>IF(meta_TypedModelElements[[#This Row],[Type:src]]="","",INDEX(meta_Classifiers[Name],MATCH(meta_TypedModelElements[[#This Row],[Type:src]],meta_Classifiers[ID],0)))</f>
        <v>Arity</v>
      </c>
      <c r="AG22" s="5" t="s">
        <v>214</v>
      </c>
      <c r="AH22" s="22" t="str">
        <f xml:space="preserve"> IF( TRIM( meta_TypedModelElements[[#This Row],[Type:src]] ) = "", "",
        INDEX( meta_Classifiers[Display Qualified], MATCH( meta_TypedModelElements[[#This Row],[Type:src]], meta_Classifiers[ID], 0 ) ) )</f>
        <v>Arity</v>
      </c>
      <c r="AI22" s="22" t="s">
        <v>19</v>
      </c>
      <c r="AJ22" s="22" t="s">
        <v>232</v>
      </c>
      <c r="AK22" s="8"/>
      <c r="AL22" s="22" t="str">
        <f xml:space="preserve"> IF( TRIM( meta_TypedModelElements[[#This Row],[Reference - Opposite:src]] ) = "", "",
        INDEX( meta_TypedModelElements[Display Qualified], MATCH( meta_TypedModelElements[[#This Row],[Reference - Opposite:src]], meta_TypedModelElements[ID], 0 ) ) )</f>
        <v/>
      </c>
      <c r="AM22" s="8"/>
      <c r="AN2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2" s="22"/>
      <c r="AP22"/>
      <c r="AQ22" s="22" t="str">
        <f xml:space="preserve"> IF( TRIM( meta_TypedModelElements[[#This Row],[Function - Owning Property:src]] ) = "", "",
        INDEX( meta_TypedModelElements[Display Qualified], MATCH( meta_TypedModelElements[[#This Row],[Function - Owning Property:src]], meta_TypedModelElements[ID], 0 ) ) )</f>
        <v/>
      </c>
      <c r="AT22" s="22" t="str">
        <f>IF(meta_TypedModelElements[[#This Row],[Parameter - Owning Function:src]]="","",INDEX(meta_TypedModelElements[Display Qualified],MATCH(meta_TypedModelElements[[#This Row],[Parameter - Owning Function:src]],meta_TypedModelElements[ID],0)))</f>
        <v/>
      </c>
      <c r="AV22" s="89"/>
      <c r="AW2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2" s="5" t="str">
        <f>"[@["&amp;meta_TypedModelElements[[#This Row],[Name or Type]]&amp;":src]]"</f>
        <v>[@[Arity:src]]</v>
      </c>
      <c r="AY2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2" s="40"/>
      <c r="BC22" s="40" t="str">
        <f>IF(meta_TypedModelElements[[#This Row],[Kind:src]]="_Parameter","",IF(AND(meta_TypedModelElements[[#This Row],[Package]]="util",meta_TypedModelElements[[#This Row],[Containing Class]]=0), "public", "method"))</f>
        <v>method</v>
      </c>
      <c r="BD22" s="40"/>
      <c r="BE2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2" s="40"/>
      <c r="BK22" s="5"/>
    </row>
    <row r="23" spans="1:63" ht="202.5">
      <c r="A23" s="5" t="s">
        <v>255</v>
      </c>
      <c r="B23" s="5" t="s">
        <v>167</v>
      </c>
      <c r="C23" s="22" t="str">
        <f xml:space="preserve"> IF( TRIM( meta_TypedModelElements[[#This Row],[Kind:src]] ) = "", "",
        INDEX( meta_Classifiers[Display Qualified], MATCH( meta_TypedModelElements[[#This Row],[Kind:src]], meta_Classifiers[ID], 0 ) ) )</f>
        <v>Reference</v>
      </c>
      <c r="D23" s="22">
        <v>22</v>
      </c>
      <c r="E23" s="22" t="s">
        <v>142</v>
      </c>
      <c r="F23" s="22"/>
      <c r="G2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3" s="8" t="s">
        <v>213</v>
      </c>
      <c r="J23" s="22" t="str">
        <f xml:space="preserve"> IF( TRIM( meta_TypedModelElements[[#This Row],[Property - Owning Class:src]] ) = "", "",
        INDEX( meta_Classifiers[Display Qualified], MATCH( meta_TypedModelElements[[#This Row],[Property - Owning Class:src]], meta_Classifiers[ID], 0 ) ) )</f>
        <v>Property</v>
      </c>
      <c r="K2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meta::Property.owningClass</v>
      </c>
      <c r="L23" s="5" t="str">
        <f>IF(meta_TypedModelElements[[#This Row],[Kind:src]]="_Function",meta_TypedModelElements[[#This Row],[Display Qualified]],"")</f>
        <v/>
      </c>
      <c r="M23" s="5" t="str">
        <f>IF(meta_TypedModelElements[[#This Row],[Kind:src]]="_Attribute",meta_TypedModelElements[[#This Row],[Display Qualified]],"")</f>
        <v/>
      </c>
      <c r="N23" s="5" t="str">
        <f>IF(meta_TypedModelElements[[#This Row],[Kind:src]]="_Reference",meta_TypedModelElements[[#This Row],[Display Qualified]],"")</f>
        <v>meta::Property.owningClass</v>
      </c>
      <c r="O23" s="5" t="str">
        <f>IF(OR(meta_TypedModelElements[[#This Row],[Kind:src]]="_Attribute",meta_TypedModelElements[[#This Row],[Kind:src]]="_Reference"),meta_TypedModelElements[[#This Row],[Display Qualified]],"")</f>
        <v>meta::Property.owningClass</v>
      </c>
      <c r="P23" s="22"/>
      <c r="Q23" s="22"/>
      <c r="R23" s="5" t="str">
        <f>IF(meta_TypedModelElements[[#This Row],[Containing Class:display]]="","",meta_TypedModelElements[[#This Row],[Containing Class:display]]&amp;".")&amp;meta_TypedModelElements[[#This Row],[Display without Class]]</f>
        <v>Property.owningClass</v>
      </c>
      <c r="S23" s="5" t="str" cm="1">
        <f t="array" ref="S23">_xlfn.IFNA(INDEX(meta_Names[Camel Lower], MATCH(meta_TypedModelElements[[#This Row],[Name or Type]],meta_Names[String],0)),camelCaseLower(meta_TypedModelElements[[#This Row],[Name or Type]]))</f>
        <v>owningClass</v>
      </c>
      <c r="T23" s="5" t="str">
        <f>IF(meta_TypedModelElements[[#This Row],[Name or Type]]="","",meta_TypedModelElements[[#This Row],[Name or Type Camel Case Lower]])&amp;IF(meta_TypedModelElements[[#This Row],[Kind:src]]="_Function","("&amp;meta_TypedModelElements[[#This Row],[Function - Parameters Display]]&amp;")","")</f>
        <v>owningClass</v>
      </c>
      <c r="U2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Class</v>
      </c>
      <c r="V23" s="22" t="s">
        <v>13</v>
      </c>
      <c r="W23" s="5" t="e">
        <f>INDEX(meta_Classifiers[Class - Generalization:src],MATCH(meta_TypedModelElements[[#This Row],[Type Super Type 6]],meta_Classifiers[ID],0))</f>
        <v>#N/A</v>
      </c>
      <c r="X23" s="5" t="e">
        <f>INDEX(meta_Classifiers[Class - Generalization:src],MATCH(meta_TypedModelElements[[#This Row],[Type Super Type 5]],meta_Classifiers[ID],0))</f>
        <v>#N/A</v>
      </c>
      <c r="Y23" s="5" t="e">
        <f>INDEX(meta_Classifiers[Class - Generalization:src],MATCH(meta_TypedModelElements[[#This Row],[Type Super Type 4]],meta_Classifiers[ID],0))</f>
        <v>#N/A</v>
      </c>
      <c r="Z23" s="5" t="str">
        <f>INDEX(meta_Classifiers[Class - Generalization:src],MATCH(meta_TypedModelElements[[#This Row],[Type Super Type 3]],meta_Classifiers[ID],0))</f>
        <v/>
      </c>
      <c r="AA23" s="5" t="str">
        <f>INDEX(meta_Classifiers[Class - Generalization:src],MATCH(meta_TypedModelElements[[#This Row],[Type Super Type 2]],meta_Classifiers[ID],0))</f>
        <v>_Object</v>
      </c>
      <c r="AB23" s="5" t="str">
        <f>INDEX(meta_Classifiers[Class - Generalization:src],MATCH(meta_TypedModelElements[[#This Row],[Type Super Type 1]],meta_Classifiers[ID],0))</f>
        <v>_NamedElement</v>
      </c>
      <c r="AC23" s="5" t="str">
        <f>INDEX(meta_Classifiers[Class - Generalization:src],MATCH(meta_TypedModelElements[[#This Row],[Type:src]],meta_Classifiers[ID],0))</f>
        <v>_Classifier</v>
      </c>
      <c r="AD23" s="5" t="str">
        <f>IF(meta_TypedModelElements[[#This Row],[Kind:src]]&lt;&gt;"_Function",meta_TypedModelElements[[#This Row],[Type]],INDEX(meta_TypedModelElements[Type],MATCH(meta_TypedModelElements[[#This Row],[Function - Owning Property:src]],meta_TypedModelElements[ID],0)))</f>
        <v>Class</v>
      </c>
      <c r="AE23" s="5" t="str">
        <f>IF(meta_TypedModelElements[[#This Row],[Kind:src]]&lt;&gt;"_Function",meta_TypedModelElements[[#This Row],[Type:src]],INDEX(meta_TypedModelElements[Type:src],MATCH(meta_TypedModelElements[[#This Row],[Function - Owning Property:src]],meta_TypedModelElements[ID],0)))</f>
        <v>_Class</v>
      </c>
      <c r="AF23" s="5" t="str">
        <f>IF(meta_TypedModelElements[[#This Row],[Type:src]]="","",INDEX(meta_Classifiers[Name],MATCH(meta_TypedModelElements[[#This Row],[Type:src]],meta_Classifiers[ID],0)))</f>
        <v>Class</v>
      </c>
      <c r="AG23" s="5" t="s">
        <v>163</v>
      </c>
      <c r="AH23" s="22" t="str">
        <f xml:space="preserve"> IF( TRIM( meta_TypedModelElements[[#This Row],[Type:src]] ) = "", "",
        INDEX( meta_Classifiers[Display Qualified], MATCH( meta_TypedModelElements[[#This Row],[Type:src]], meta_Classifiers[ID], 0 ) ) )</f>
        <v>Class</v>
      </c>
      <c r="AI23" s="22" t="s">
        <v>19</v>
      </c>
      <c r="AJ23" s="22" t="s">
        <v>232</v>
      </c>
      <c r="AK23" s="8"/>
      <c r="AL23" s="22" t="str">
        <f xml:space="preserve"> IF( TRIM( meta_TypedModelElements[[#This Row],[Reference - Opposite:src]] ) = "", "",
        INDEX( meta_TypedModelElements[Display Qualified], MATCH( meta_TypedModelElements[[#This Row],[Reference - Opposite:src]], meta_TypedModelElements[ID], 0 ) ) )</f>
        <v/>
      </c>
      <c r="AM23" s="8"/>
      <c r="AN2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3" s="22"/>
      <c r="AP23"/>
      <c r="AQ23" s="22" t="str">
        <f xml:space="preserve"> IF( TRIM( meta_TypedModelElements[[#This Row],[Function - Owning Property:src]] ) = "", "",
        INDEX( meta_TypedModelElements[Display Qualified], MATCH( meta_TypedModelElements[[#This Row],[Function - Owning Property:src]], meta_TypedModelElements[ID], 0 ) ) )</f>
        <v/>
      </c>
      <c r="AT23" s="22" t="str">
        <f>IF(meta_TypedModelElements[[#This Row],[Parameter - Owning Function:src]]="","",INDEX(meta_TypedModelElements[Display Qualified],MATCH(meta_TypedModelElements[[#This Row],[Parameter - Owning Function:src]],meta_TypedModelElements[ID],0)))</f>
        <v/>
      </c>
      <c r="AV23" s="89"/>
      <c r="AW2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3" s="5" t="str">
        <f>"[@["&amp;meta_TypedModelElements[[#This Row],[Name or Type]]&amp;":src]]"</f>
        <v>[@[Owning Class:src]]</v>
      </c>
      <c r="AY2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Class:src]] ) = "",
        "",
    IF( LEFT([@[Owning Class:src]],1)="_",
        RIGHT([@[Owning Class:src]],LEN([@[Owning Class:src]])-1),
    IF( TRIM( [@Package] )
            &lt;&gt; TRIM( INDEX( meta_Classifiers[Package], MATCH( [@[Owning Class:src]], meta_Classifiers[ID],0 ) ) ),
        TRIM( INDEX( meta_Classifiers[Package], MATCH( [@[Owning Class:src]], meta_Classifiers[ID], 0 ) ) )
            &amp; "::"
            &amp; INDEX( meta_Classifiers[Display], MATCH( [@[Owning Class:src]], meta_Classifiers[ID], 0 ) ),
        INDEX( meta_Classifiers[Display], MATCH( [@[Owning Class:src]], meta_Classifiers[ID], 0 ) )
    ))), "")</v>
      </c>
      <c r="AZ2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Class" Then
                   referedTableName = "meta_Classifiers"
                   referedColumnName = "Display"
                   Call StaticCode.updateIdOnNameChange(cellRef, referingTableName, referingColumnName, referedTableName, referedColumnName)
            End If</v>
      </c>
      <c r="BA2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 Owning Class" Then
                   referedTableName = "meta_Classifiers"
                   referedColumnName = "Display"
                   Call StaticCode.updateIdOnNameChange(cellRef, referingTableName, referingColumnName, referedTableName, referedColumnName)
            End If</v>
      </c>
      <c r="BB23" s="40"/>
      <c r="BC23" s="40" t="str">
        <f>IF(meta_TypedModelElements[[#This Row],[Kind:src]]="_Parameter","",IF(AND(meta_TypedModelElements[[#This Row],[Package]]="util",meta_TypedModelElements[[#This Row],[Containing Class]]=0), "public", "method"))</f>
        <v>method</v>
      </c>
      <c r="BD23" s="40"/>
      <c r="BE2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3" s="40"/>
      <c r="BK23" s="5"/>
    </row>
    <row r="24" spans="1:63">
      <c r="A24" s="5" t="s">
        <v>499</v>
      </c>
      <c r="B24" s="5" t="s">
        <v>168</v>
      </c>
      <c r="C24" s="22" t="str">
        <f xml:space="preserve"> IF( TRIM( meta_TypedModelElements[[#This Row],[Kind:src]] ) = "", "",
        INDEX( meta_Classifiers[Display Qualified], MATCH( meta_TypedModelElements[[#This Row],[Kind:src]], meta_Classifiers[ID], 0 ) ) )</f>
        <v>Attribute</v>
      </c>
      <c r="D24" s="22">
        <v>23</v>
      </c>
      <c r="E24" s="22" t="s">
        <v>142</v>
      </c>
      <c r="F24" s="22"/>
      <c r="G2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4" s="8" t="s">
        <v>213</v>
      </c>
      <c r="J24" s="22" t="str">
        <f xml:space="preserve"> IF( TRIM( meta_TypedModelElements[[#This Row],[Property - Owning Class:src]] ) = "", "",
        INDEX( meta_Classifiers[Display Qualified], MATCH( meta_TypedModelElements[[#This Row],[Property - Owning Class:src]], meta_Classifiers[ID], 0 ) ) )</f>
        <v>Property</v>
      </c>
      <c r="K2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meta::Property.changeable</v>
      </c>
      <c r="L24" s="5" t="str">
        <f>IF(meta_TypedModelElements[[#This Row],[Kind:src]]="_Function",meta_TypedModelElements[[#This Row],[Display Qualified]],"")</f>
        <v/>
      </c>
      <c r="M24" s="5" t="str">
        <f>IF(meta_TypedModelElements[[#This Row],[Kind:src]]="_Attribute",meta_TypedModelElements[[#This Row],[Display Qualified]],"")</f>
        <v>meta::Property.changeable</v>
      </c>
      <c r="N24" s="5" t="str">
        <f>IF(meta_TypedModelElements[[#This Row],[Kind:src]]="_Reference",meta_TypedModelElements[[#This Row],[Display Qualified]],"")</f>
        <v/>
      </c>
      <c r="O24" s="5" t="str">
        <f>IF(OR(meta_TypedModelElements[[#This Row],[Kind:src]]="_Attribute",meta_TypedModelElements[[#This Row],[Kind:src]]="_Reference"),meta_TypedModelElements[[#This Row],[Display Qualified]],"")</f>
        <v>meta::Property.changeable</v>
      </c>
      <c r="P24" s="22"/>
      <c r="Q24" s="22"/>
      <c r="R24" s="5" t="str">
        <f>IF(meta_TypedModelElements[[#This Row],[Containing Class:display]]="","",meta_TypedModelElements[[#This Row],[Containing Class:display]]&amp;".")&amp;meta_TypedModelElements[[#This Row],[Display without Class]]</f>
        <v>Property.changeable</v>
      </c>
      <c r="S24" s="5" t="str" cm="1">
        <f t="array" ref="S24">_xlfn.IFNA(INDEX(meta_Names[Camel Lower], MATCH(meta_TypedModelElements[[#This Row],[Name or Type]],meta_Names[String],0)),camelCaseLower(meta_TypedModelElements[[#This Row],[Name or Type]]))</f>
        <v>changeable</v>
      </c>
      <c r="T24" s="5" t="str">
        <f>IF(meta_TypedModelElements[[#This Row],[Name or Type]]="","",meta_TypedModelElements[[#This Row],[Name or Type Camel Case Lower]])&amp;IF(meta_TypedModelElements[[#This Row],[Kind:src]]="_Function","("&amp;meta_TypedModelElements[[#This Row],[Function - Parameters Display]]&amp;")","")</f>
        <v>changeable</v>
      </c>
      <c r="U2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Changeable</v>
      </c>
      <c r="V24" s="22" t="s">
        <v>481</v>
      </c>
      <c r="W24" s="5" t="e">
        <f>INDEX(meta_Classifiers[Class - Generalization:src],MATCH(meta_TypedModelElements[[#This Row],[Type Super Type 6]],meta_Classifiers[ID],0))</f>
        <v>#N/A</v>
      </c>
      <c r="X24" s="5" t="e">
        <f>INDEX(meta_Classifiers[Class - Generalization:src],MATCH(meta_TypedModelElements[[#This Row],[Type Super Type 5]],meta_Classifiers[ID],0))</f>
        <v>#N/A</v>
      </c>
      <c r="Y24" s="5" t="e">
        <f>INDEX(meta_Classifiers[Class - Generalization:src],MATCH(meta_TypedModelElements[[#This Row],[Type Super Type 4]],meta_Classifiers[ID],0))</f>
        <v>#N/A</v>
      </c>
      <c r="Z24" s="5" t="e">
        <f>INDEX(meta_Classifiers[Class - Generalization:src],MATCH(meta_TypedModelElements[[#This Row],[Type Super Type 3]],meta_Classifiers[ID],0))</f>
        <v>#N/A</v>
      </c>
      <c r="AA24" s="5" t="e">
        <f>INDEX(meta_Classifiers[Class - Generalization:src],MATCH(meta_TypedModelElements[[#This Row],[Type Super Type 2]],meta_Classifiers[ID],0))</f>
        <v>#N/A</v>
      </c>
      <c r="AB24" s="5" t="e">
        <f>INDEX(meta_Classifiers[Class - Generalization:src],MATCH(meta_TypedModelElements[[#This Row],[Type Super Type 1]],meta_Classifiers[ID],0))</f>
        <v>#N/A</v>
      </c>
      <c r="AC24" s="5" t="str">
        <f>INDEX(meta_Classifiers[Class - Generalization:src],MATCH(meta_TypedModelElements[[#This Row],[Type:src]],meta_Classifiers[ID],0))</f>
        <v/>
      </c>
      <c r="AD24" s="5" t="str">
        <f>IF(meta_TypedModelElements[[#This Row],[Kind:src]]&lt;&gt;"_Function",meta_TypedModelElements[[#This Row],[Type]],INDEX(meta_TypedModelElements[Type],MATCH(meta_TypedModelElements[[#This Row],[Function - Owning Property:src]],meta_TypedModelElements[ID],0)))</f>
        <v>Boolean</v>
      </c>
      <c r="AE24" s="5" t="str">
        <f>IF(meta_TypedModelElements[[#This Row],[Kind:src]]&lt;&gt;"_Function",meta_TypedModelElements[[#This Row],[Type:src]],INDEX(meta_TypedModelElements[Type:src],MATCH(meta_TypedModelElements[[#This Row],[Function - Owning Property:src]],meta_TypedModelElements[ID],0)))</f>
        <v>_Boolean</v>
      </c>
      <c r="AF24" s="5" t="str">
        <f>IF(meta_TypedModelElements[[#This Row],[Type:src]]="","",INDEX(meta_Classifiers[Name],MATCH(meta_TypedModelElements[[#This Row],[Type:src]],meta_Classifiers[ID],0)))</f>
        <v>Boolean</v>
      </c>
      <c r="AG24" s="5" t="s">
        <v>181</v>
      </c>
      <c r="AH24" s="22" t="str">
        <f xml:space="preserve"> IF( TRIM( meta_TypedModelElements[[#This Row],[Type:src]] ) = "", "",
        INDEX( meta_Classifiers[Display Qualified], MATCH( meta_TypedModelElements[[#This Row],[Type:src]], meta_Classifiers[ID], 0 ) ) )</f>
        <v>Boolean</v>
      </c>
      <c r="AI24" s="22" t="s">
        <v>19</v>
      </c>
      <c r="AJ24" s="22" t="s">
        <v>232</v>
      </c>
      <c r="AK24" s="8"/>
      <c r="AL24" s="22" t="str">
        <f xml:space="preserve"> IF( TRIM( meta_TypedModelElements[[#This Row],[Reference - Opposite:src]] ) = "", "",
        INDEX( meta_TypedModelElements[Display Qualified], MATCH( meta_TypedModelElements[[#This Row],[Reference - Opposite:src]], meta_TypedModelElements[ID], 0 ) ) )</f>
        <v/>
      </c>
      <c r="AM24" s="8"/>
      <c r="AN2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4" s="22"/>
      <c r="AP24"/>
      <c r="AQ24" s="22" t="str">
        <f xml:space="preserve"> IF( TRIM( meta_TypedModelElements[[#This Row],[Function - Owning Property:src]] ) = "", "",
        INDEX( meta_TypedModelElements[Display Qualified], MATCH( meta_TypedModelElements[[#This Row],[Function - Owning Property:src]], meta_TypedModelElements[ID], 0 ) ) )</f>
        <v/>
      </c>
      <c r="AT24" s="22" t="str">
        <f>IF(meta_TypedModelElements[[#This Row],[Parameter - Owning Function:src]]="","",INDEX(meta_TypedModelElements[Display Qualified],MATCH(meta_TypedModelElements[[#This Row],[Parameter - Owning Function:src]],meta_TypedModelElements[ID],0)))</f>
        <v/>
      </c>
      <c r="AV24" s="89"/>
      <c r="AW2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4" s="5" t="str">
        <f>"[@["&amp;meta_TypedModelElements[[#This Row],[Name or Type]]&amp;":src]]"</f>
        <v>[@[Changeable:src]]</v>
      </c>
      <c r="AY2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4" s="40"/>
      <c r="BC24" s="40" t="str">
        <f>IF(meta_TypedModelElements[[#This Row],[Kind:src]]="_Parameter","",IF(AND(meta_TypedModelElements[[#This Row],[Package]]="util",meta_TypedModelElements[[#This Row],[Containing Class]]=0), "public", "method"))</f>
        <v>method</v>
      </c>
      <c r="BD24" s="40"/>
      <c r="BE2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4" s="40"/>
      <c r="BK24" s="5"/>
    </row>
    <row r="25" spans="1:63" ht="202.5">
      <c r="A25" s="5" t="s">
        <v>694</v>
      </c>
      <c r="B25" s="5" t="s">
        <v>167</v>
      </c>
      <c r="C25" s="22" t="str">
        <f xml:space="preserve"> IF( TRIM( meta_TypedModelElements[[#This Row],[Kind:src]] ) = "", "",
        INDEX( meta_Classifiers[Display Qualified], MATCH( meta_TypedModelElements[[#This Row],[Kind:src]], meta_Classifiers[ID], 0 ) ) )</f>
        <v>Reference</v>
      </c>
      <c r="D25" s="22">
        <v>24</v>
      </c>
      <c r="E25" s="22" t="s">
        <v>142</v>
      </c>
      <c r="F25" s="22"/>
      <c r="G2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5" s="8" t="s">
        <v>167</v>
      </c>
      <c r="J25" s="22" t="str">
        <f xml:space="preserve"> IF( TRIM( meta_TypedModelElements[[#This Row],[Property - Owning Class:src]] ) = "", "",
        INDEX( meta_Classifiers[Display Qualified], MATCH( meta_TypedModelElements[[#This Row],[Property - Owning Class:src]], meta_Classifiers[ID], 0 ) ) )</f>
        <v>Reference</v>
      </c>
      <c r="K2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meta::Reference.opposite</v>
      </c>
      <c r="L25" s="5" t="str">
        <f>IF(meta_TypedModelElements[[#This Row],[Kind:src]]="_Function",meta_TypedModelElements[[#This Row],[Display Qualified]],"")</f>
        <v/>
      </c>
      <c r="M25" s="5" t="str">
        <f>IF(meta_TypedModelElements[[#This Row],[Kind:src]]="_Attribute",meta_TypedModelElements[[#This Row],[Display Qualified]],"")</f>
        <v/>
      </c>
      <c r="N25" s="5" t="str">
        <f>IF(meta_TypedModelElements[[#This Row],[Kind:src]]="_Reference",meta_TypedModelElements[[#This Row],[Display Qualified]],"")</f>
        <v>meta::Reference.opposite</v>
      </c>
      <c r="O25" s="5" t="str">
        <f>IF(OR(meta_TypedModelElements[[#This Row],[Kind:src]]="_Attribute",meta_TypedModelElements[[#This Row],[Kind:src]]="_Reference"),meta_TypedModelElements[[#This Row],[Display Qualified]],"")</f>
        <v>meta::Reference.opposite</v>
      </c>
      <c r="P25" s="22"/>
      <c r="Q25" s="22"/>
      <c r="R25" s="5" t="str">
        <f>IF(meta_TypedModelElements[[#This Row],[Containing Class:display]]="","",meta_TypedModelElements[[#This Row],[Containing Class:display]]&amp;".")&amp;meta_TypedModelElements[[#This Row],[Display without Class]]</f>
        <v>Reference.opposite</v>
      </c>
      <c r="S25" s="5" t="str" cm="1">
        <f t="array" ref="S25">_xlfn.IFNA(INDEX(meta_Names[Camel Lower], MATCH(meta_TypedModelElements[[#This Row],[Name or Type]],meta_Names[String],0)),camelCaseLower(meta_TypedModelElements[[#This Row],[Name or Type]]))</f>
        <v>opposite</v>
      </c>
      <c r="T25" s="5" t="str">
        <f>IF(meta_TypedModelElements[[#This Row],[Name or Type]]="","",meta_TypedModelElements[[#This Row],[Name or Type Camel Case Lower]])&amp;IF(meta_TypedModelElements[[#This Row],[Kind:src]]="_Function","("&amp;meta_TypedModelElements[[#This Row],[Function - Parameters Display]]&amp;")","")</f>
        <v>opposite</v>
      </c>
      <c r="U2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Opposite</v>
      </c>
      <c r="V25" s="22" t="s">
        <v>693</v>
      </c>
      <c r="W25" s="5" t="e">
        <f>INDEX(meta_Classifiers[Class - Generalization:src],MATCH(meta_TypedModelElements[[#This Row],[Type Super Type 6]],meta_Classifiers[ID],0))</f>
        <v>#N/A</v>
      </c>
      <c r="X25" s="5" t="str">
        <f>INDEX(meta_Classifiers[Class - Generalization:src],MATCH(meta_TypedModelElements[[#This Row],[Type Super Type 5]],meta_Classifiers[ID],0))</f>
        <v/>
      </c>
      <c r="Y25" s="5" t="str">
        <f>INDEX(meta_Classifiers[Class - Generalization:src],MATCH(meta_TypedModelElements[[#This Row],[Type Super Type 4]],meta_Classifiers[ID],0))</f>
        <v>_Object</v>
      </c>
      <c r="Z25" s="5" t="str">
        <f>INDEX(meta_Classifiers[Class - Generalization:src],MATCH(meta_TypedModelElements[[#This Row],[Type Super Type 3]],meta_Classifiers[ID],0))</f>
        <v>_NamedElement</v>
      </c>
      <c r="AA25" s="5" t="str">
        <f>INDEX(meta_Classifiers[Class - Generalization:src],MATCH(meta_TypedModelElements[[#This Row],[Type Super Type 2]],meta_Classifiers[ID],0))</f>
        <v>_TypedModelElement</v>
      </c>
      <c r="AB25" s="5" t="str">
        <f>INDEX(meta_Classifiers[Class - Generalization:src],MATCH(meta_TypedModelElements[[#This Row],[Type Super Type 1]],meta_Classifiers[ID],0))</f>
        <v>_Feature</v>
      </c>
      <c r="AC25" s="5" t="str">
        <f>INDEX(meta_Classifiers[Class - Generalization:src],MATCH(meta_TypedModelElements[[#This Row],[Type:src]],meta_Classifiers[ID],0))</f>
        <v>_Property</v>
      </c>
      <c r="AD25" s="5" t="str">
        <f>IF(meta_TypedModelElements[[#This Row],[Kind:src]]&lt;&gt;"_Function",meta_TypedModelElements[[#This Row],[Type]],INDEX(meta_TypedModelElements[Type],MATCH(meta_TypedModelElements[[#This Row],[Function - Owning Property:src]],meta_TypedModelElements[ID],0)))</f>
        <v>Reference</v>
      </c>
      <c r="AE25" s="5" t="str">
        <f>IF(meta_TypedModelElements[[#This Row],[Kind:src]]&lt;&gt;"_Function",meta_TypedModelElements[[#This Row],[Type:src]],INDEX(meta_TypedModelElements[Type:src],MATCH(meta_TypedModelElements[[#This Row],[Function - Owning Property:src]],meta_TypedModelElements[ID],0)))</f>
        <v>_Reference</v>
      </c>
      <c r="AF25" s="5" t="str">
        <f>IF(meta_TypedModelElements[[#This Row],[Type:src]]="","",INDEX(meta_Classifiers[Name],MATCH(meta_TypedModelElements[[#This Row],[Type:src]],meta_Classifiers[ID],0)))</f>
        <v>Reference</v>
      </c>
      <c r="AG25" s="5" t="s">
        <v>167</v>
      </c>
      <c r="AH25" s="22" t="str">
        <f xml:space="preserve"> IF( TRIM( meta_TypedModelElements[[#This Row],[Type:src]] ) = "", "",
        INDEX( meta_Classifiers[Display Qualified], MATCH( meta_TypedModelElements[[#This Row],[Type:src]], meta_Classifiers[ID], 0 ) ) )</f>
        <v>Reference</v>
      </c>
      <c r="AI25" s="22" t="s">
        <v>21</v>
      </c>
      <c r="AJ25" s="22" t="s">
        <v>232</v>
      </c>
      <c r="AK25" s="5" t="s">
        <v>694</v>
      </c>
      <c r="AL25" s="22" t="str">
        <f xml:space="preserve"> IF( TRIM( meta_TypedModelElements[[#This Row],[Reference - Opposite:src]] ) = "", "",
        INDEX( meta_TypedModelElements[Display Qualified], MATCH( meta_TypedModelElements[[#This Row],[Reference - Opposite:src]], meta_TypedModelElements[ID], 0 ) ) )</f>
        <v>meta::Reference.opposite</v>
      </c>
      <c r="AM25" s="8"/>
      <c r="AN2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5" s="22"/>
      <c r="AP25"/>
      <c r="AQ25" s="22" t="str">
        <f xml:space="preserve"> IF( TRIM( meta_TypedModelElements[[#This Row],[Function - Owning Property:src]] ) = "", "",
        INDEX( meta_TypedModelElements[Display Qualified], MATCH( meta_TypedModelElements[[#This Row],[Function - Owning Property:src]], meta_TypedModelElements[ID], 0 ) ) )</f>
        <v/>
      </c>
      <c r="AT25" s="22" t="str">
        <f>IF(meta_TypedModelElements[[#This Row],[Parameter - Owning Function:src]]="","",INDEX(meta_TypedModelElements[Display Qualified],MATCH(meta_TypedModelElements[[#This Row],[Parameter - Owning Function:src]],meta_TypedModelElements[ID],0)))</f>
        <v/>
      </c>
      <c r="AV25" s="89"/>
      <c r="AW2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5" s="5" t="str">
        <f>"[@["&amp;meta_TypedModelElements[[#This Row],[Name or Type]]&amp;":src]]"</f>
        <v>[@[Opposite:src]]</v>
      </c>
      <c r="AY2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[@[Opposite:src]] ) = "",
        "",
    IF( LEFT([@[Opposite:src]],1)="_",
        RIGHT([@[Opposite:src]],LEN([@[Opposite:src]])-1),
    IF( TRIM( [@Package] )
            &lt;&gt; TRIM( INDEX( meta_TypedModelElements[Package], MATCH( [@[Opposite:src]], meta_TypedModelElements[ID],0 ) ) ),
        TRIM( INDEX( meta_TypedModelElements[Package], MATCH( [@[Opposite:src]], meta_TypedModelElements[ID], 0 ) ) )
            &amp; "::"
            &amp; INDEX( meta_TypedModelElements[Display], MATCH( [@[Opposite:src]], meta_TypedModelElements[ID], 0 ) ),
        INDEX( meta_TypedModelElements[Display], MATCH( [@[Opposite:src]], meta_TypedModelElements[ID], 0 ) )
    ))), "")</v>
      </c>
      <c r="AZ2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"Opposite" Then
                   referedTableName = "meta_TypedModelElements"
                   referedColumnName = "Display"
                   Call StaticCode.updateIdOnNameChange(cellRef, referingTableName, referingColumnName, referedTableName, referedColumnName)
            End If</v>
      </c>
      <c r="BA2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Opposite" Then
                   referedTableName = "meta_TypedModelElements"
                   referedColumnName = "Display"
                   Call StaticCode.updateIdOnNameChange(cellRef, referingTableName, referingColumnName, referedTableName, referedColumnName)
            End If</v>
      </c>
      <c r="BB25" s="40"/>
      <c r="BC25" s="40" t="str">
        <f>IF(meta_TypedModelElements[[#This Row],[Kind:src]]="_Parameter","",IF(AND(meta_TypedModelElements[[#This Row],[Package]]="util",meta_TypedModelElements[[#This Row],[Containing Class]]=0), "public", "method"))</f>
        <v>method</v>
      </c>
      <c r="BD25" s="40"/>
      <c r="BE2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5" s="40"/>
      <c r="BK25" s="5" t="s">
        <v>695</v>
      </c>
    </row>
    <row r="26" spans="1:63" ht="175.5">
      <c r="B26" s="5" t="s">
        <v>167</v>
      </c>
      <c r="C26" s="22" t="str">
        <f xml:space="preserve"> IF( TRIM( meta_TypedModelElements[[#This Row],[Kind:src]] ) = "", "",
        INDEX( meta_Classifiers[Display Qualified], MATCH( meta_TypedModelElements[[#This Row],[Kind:src]], meta_Classifiers[ID], 0 ) ) )</f>
        <v>Reference</v>
      </c>
      <c r="D26" s="22">
        <v>25</v>
      </c>
      <c r="E26" s="22" t="s">
        <v>142</v>
      </c>
      <c r="F26" s="22"/>
      <c r="G2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6" s="8" t="s">
        <v>167</v>
      </c>
      <c r="J26" s="22" t="str">
        <f xml:space="preserve"> IF( TRIM( meta_TypedModelElements[[#This Row],[Property - Owning Class:src]] ) = "", "",
        INDEX( meta_Classifiers[Display Qualified], MATCH( meta_TypedModelElements[[#This Row],[Property - Owning Class:src]], meta_Classifiers[ID], 0 ) ) )</f>
        <v>Reference</v>
      </c>
      <c r="K2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meta::Reference.displayAndSelectProperty</v>
      </c>
      <c r="L26" s="5" t="str">
        <f>IF(meta_TypedModelElements[[#This Row],[Kind:src]]="_Function",meta_TypedModelElements[[#This Row],[Display Qualified]],"")</f>
        <v/>
      </c>
      <c r="M26" s="5" t="str">
        <f>IF(meta_TypedModelElements[[#This Row],[Kind:src]]="_Attribute",meta_TypedModelElements[[#This Row],[Display Qualified]],"")</f>
        <v/>
      </c>
      <c r="N26" s="5" t="str">
        <f>IF(meta_TypedModelElements[[#This Row],[Kind:src]]="_Reference",meta_TypedModelElements[[#This Row],[Display Qualified]],"")</f>
        <v>meta::Reference.displayAndSelectProperty</v>
      </c>
      <c r="O26" s="5" t="str">
        <f>IF(OR(meta_TypedModelElements[[#This Row],[Kind:src]]="_Attribute",meta_TypedModelElements[[#This Row],[Kind:src]]="_Reference"),meta_TypedModelElements[[#This Row],[Display Qualified]],"")</f>
        <v>meta::Reference.displayAndSelectProperty</v>
      </c>
      <c r="P26" s="22"/>
      <c r="Q26" s="22"/>
      <c r="R26" s="5" t="str">
        <f>IF(meta_TypedModelElements[[#This Row],[Containing Class:display]]="","",meta_TypedModelElements[[#This Row],[Containing Class:display]]&amp;".")&amp;meta_TypedModelElements[[#This Row],[Display without Class]]</f>
        <v>Reference.displayAndSelectProperty</v>
      </c>
      <c r="S26" s="5" t="str" cm="1">
        <f t="array" ref="S26">_xlfn.IFNA(INDEX(meta_Names[Camel Lower], MATCH(meta_TypedModelElements[[#This Row],[Name or Type]],meta_Names[String],0)),camelCaseLower(meta_TypedModelElements[[#This Row],[Name or Type]]))</f>
        <v>displayAndSelectProperty</v>
      </c>
      <c r="T26" s="5" t="str">
        <f>IF(meta_TypedModelElements[[#This Row],[Name or Type]]="","",meta_TypedModelElements[[#This Row],[Name or Type Camel Case Lower]])&amp;IF(meta_TypedModelElements[[#This Row],[Kind:src]]="_Function","("&amp;meta_TypedModelElements[[#This Row],[Function - Parameters Display]]&amp;")","")</f>
        <v>displayAndSelectProperty</v>
      </c>
      <c r="U2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and Select Property</v>
      </c>
      <c r="V26" s="22" t="s">
        <v>829</v>
      </c>
      <c r="W26" s="5" t="e">
        <f>INDEX(meta_Classifiers[Class - Generalization:src],MATCH(meta_TypedModelElements[[#This Row],[Type Super Type 6]],meta_Classifiers[ID],0))</f>
        <v>#N/A</v>
      </c>
      <c r="X26" s="5" t="e">
        <f>INDEX(meta_Classifiers[Class - Generalization:src],MATCH(meta_TypedModelElements[[#This Row],[Type Super Type 5]],meta_Classifiers[ID],0))</f>
        <v>#N/A</v>
      </c>
      <c r="Y26" s="5" t="e">
        <f>INDEX(meta_Classifiers[Class - Generalization:src],MATCH(meta_TypedModelElements[[#This Row],[Type Super Type 4]],meta_Classifiers[ID],0))</f>
        <v>#N/A</v>
      </c>
      <c r="Z26" s="5" t="e">
        <f>INDEX(meta_Classifiers[Class - Generalization:src],MATCH(meta_TypedModelElements[[#This Row],[Type Super Type 3]],meta_Classifiers[ID],0))</f>
        <v>#N/A</v>
      </c>
      <c r="AA26" s="5" t="e">
        <f>INDEX(meta_Classifiers[Class - Generalization:src],MATCH(meta_TypedModelElements[[#This Row],[Type Super Type 2]],meta_Classifiers[ID],0))</f>
        <v>#N/A</v>
      </c>
      <c r="AB26" s="5" t="e">
        <f>INDEX(meta_Classifiers[Class - Generalization:src],MATCH(meta_TypedModelElements[[#This Row],[Type Super Type 1]],meta_Classifiers[ID],0))</f>
        <v>#N/A</v>
      </c>
      <c r="AC26" s="5" t="e">
        <f>INDEX(meta_Classifiers[Class - Generalization:src],MATCH(meta_TypedModelElements[[#This Row],[Type:src]],meta_Classifiers[ID],0))</f>
        <v>#N/A</v>
      </c>
      <c r="AD26" s="5" t="str">
        <f>IF(meta_TypedModelElements[[#This Row],[Kind:src]]&lt;&gt;"_Function",meta_TypedModelElements[[#This Row],[Type]],INDEX(meta_TypedModelElements[Type],MATCH(meta_TypedModelElements[[#This Row],[Function - Owning Property:src]],meta_TypedModelElements[ID],0)))</f>
        <v/>
      </c>
      <c r="AE26" s="5">
        <f>IF(meta_TypedModelElements[[#This Row],[Kind:src]]&lt;&gt;"_Function",meta_TypedModelElements[[#This Row],[Type:src]],INDEX(meta_TypedModelElements[Type:src],MATCH(meta_TypedModelElements[[#This Row],[Function - Owning Property:src]],meta_TypedModelElements[ID],0)))</f>
        <v>0</v>
      </c>
      <c r="AF26" s="5" t="str">
        <f>IF(meta_TypedModelElements[[#This Row],[Type:src]]="","",INDEX(meta_Classifiers[Name],MATCH(meta_TypedModelElements[[#This Row],[Type:src]],meta_Classifiers[ID],0)))</f>
        <v/>
      </c>
      <c r="AH26" s="22" t="str">
        <f xml:space="preserve"> IF( TRIM( meta_TypedModelElements[[#This Row],[Type:src]] ) = "", "",
        INDEX( meta_Classifiers[Display Qualified], MATCH( meta_TypedModelElements[[#This Row],[Type:src]], meta_Classifiers[ID], 0 ) ) )</f>
        <v/>
      </c>
      <c r="AI26" s="22"/>
      <c r="AJ26" s="22"/>
      <c r="AK26" s="8"/>
      <c r="AL26" s="22" t="str">
        <f xml:space="preserve"> IF( TRIM( meta_TypedModelElements[[#This Row],[Reference - Opposite:src]] ) = "", "",
        INDEX( meta_TypedModelElements[Display Qualified], MATCH( meta_TypedModelElements[[#This Row],[Reference - Opposite:src]], meta_TypedModelElements[ID], 0 ) ) )</f>
        <v/>
      </c>
      <c r="AM26" s="8"/>
      <c r="AN2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6" s="22"/>
      <c r="AP26"/>
      <c r="AQ26" s="22" t="str">
        <f xml:space="preserve"> IF( TRIM( meta_TypedModelElements[[#This Row],[Function - Owning Property:src]] ) = "", "",
        INDEX( meta_TypedModelElements[Display Qualified], MATCH( meta_TypedModelElements[[#This Row],[Function - Owning Property:src]], meta_TypedModelElements[ID], 0 ) ) )</f>
        <v/>
      </c>
      <c r="AT26" s="22" t="str">
        <f>IF(meta_TypedModelElements[[#This Row],[Parameter - Owning Function:src]]="","",INDEX(meta_TypedModelElements[Display Qualified],MATCH(meta_TypedModelElements[[#This Row],[Parameter - Owning Function:src]],meta_TypedModelElements[ID],0)))</f>
        <v/>
      </c>
      <c r="AV26" s="89"/>
      <c r="AW2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6" s="5" t="str">
        <f>"[@["&amp;meta_TypedModelElements[[#This Row],[Name or Type]]&amp;":src]]"</f>
        <v>[@[Display and Select Property:src]]</v>
      </c>
      <c r="AY2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and Select Property:src]] ) = "",
        "",
    IF( LEFT([@[Display and Select Property:src]],1)="_",
        RIGHT([@[Display and Select Property:src]],LEN([@[Display and Select Property:src]])-1),
    IF( TRIM( [@Package] )
            &lt;&gt; TRIM( INDEX( [Package], MATCH( [@[Display and Select Property:src]], [ID],0 ) ) ),
        TRIM( INDEX( [Package], MATCH( [@[Display and Select Property:src]], [ID], 0 ) ) )
            &amp; "::"
            &amp; INDEX( [Display], MATCH( [@[Display and Select Property:src]], [ID], 0 ) ),
        INDEX( [Display], MATCH( [@[Display and Select Property:src]], [ID], 0 ) )
    ))), "")</v>
      </c>
      <c r="AZ2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and Select Property" Then
                   referedTableName = ""
                   referedColumnName = "Display"
                   Call StaticCode.updateIdOnNameChange(cellRef, referingTableName, referingColumnName, referedTableName, referedColumnName)
            End If</v>
      </c>
      <c r="BA2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Display and Select Property" Then
                   referedTableName = ""
                   referedColumnName = "Display"
                   Call StaticCode.updateIdOnNameChange(cellRef, referingTableName, referingColumnName, referedTableName, referedColumnName)
            End If</v>
      </c>
      <c r="BB26" s="40"/>
      <c r="BC26" s="40" t="str">
        <f>IF(meta_TypedModelElements[[#This Row],[Kind:src]]="_Parameter","",IF(AND(meta_TypedModelElements[[#This Row],[Package]]="util",meta_TypedModelElements[[#This Row],[Containing Class]]=0), "public", "method"))</f>
        <v>method</v>
      </c>
      <c r="BD26" s="40"/>
      <c r="BE2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6" s="40"/>
      <c r="BK26" s="5" t="s">
        <v>830</v>
      </c>
    </row>
    <row r="27" spans="1:63" ht="202.5">
      <c r="A27" s="5" t="s">
        <v>258</v>
      </c>
      <c r="B27" s="5" t="s">
        <v>167</v>
      </c>
      <c r="C27" s="22" t="str">
        <f xml:space="preserve"> IF( TRIM( meta_TypedModelElements[[#This Row],[Kind:src]] ) = "", "",
        INDEX( meta_Classifiers[Display Qualified], MATCH( meta_TypedModelElements[[#This Row],[Kind:src]], meta_Classifiers[ID], 0 ) ) )</f>
        <v>Reference</v>
      </c>
      <c r="D27" s="22">
        <v>26</v>
      </c>
      <c r="E27" s="22" t="s">
        <v>142</v>
      </c>
      <c r="F27" s="22"/>
      <c r="G2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7" s="8" t="s">
        <v>165</v>
      </c>
      <c r="J27" s="22" t="str">
        <f xml:space="preserve"> IF( TRIM( meta_TypedModelElements[[#This Row],[Property - Owning Class:src]] ) = "", "",
        INDEX( meta_Classifiers[Display Qualified], MATCH( meta_TypedModelElements[[#This Row],[Property - Owning Class:src]], meta_Classifiers[ID], 0 ) ) )</f>
        <v>Function</v>
      </c>
      <c r="K2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meta::Function.owningProperty</v>
      </c>
      <c r="L27" s="5" t="str">
        <f>IF(meta_TypedModelElements[[#This Row],[Kind:src]]="_Function",meta_TypedModelElements[[#This Row],[Display Qualified]],"")</f>
        <v/>
      </c>
      <c r="M27" s="5" t="str">
        <f>IF(meta_TypedModelElements[[#This Row],[Kind:src]]="_Attribute",meta_TypedModelElements[[#This Row],[Display Qualified]],"")</f>
        <v/>
      </c>
      <c r="N27" s="5" t="str">
        <f>IF(meta_TypedModelElements[[#This Row],[Kind:src]]="_Reference",meta_TypedModelElements[[#This Row],[Display Qualified]],"")</f>
        <v>meta::Function.owningProperty</v>
      </c>
      <c r="O27" s="5" t="str">
        <f>IF(OR(meta_TypedModelElements[[#This Row],[Kind:src]]="_Attribute",meta_TypedModelElements[[#This Row],[Kind:src]]="_Reference"),meta_TypedModelElements[[#This Row],[Display Qualified]],"")</f>
        <v>meta::Function.owningProperty</v>
      </c>
      <c r="P27" s="22"/>
      <c r="Q27" s="22"/>
      <c r="R27" s="5" t="str">
        <f>IF(meta_TypedModelElements[[#This Row],[Containing Class:display]]="","",meta_TypedModelElements[[#This Row],[Containing Class:display]]&amp;".")&amp;meta_TypedModelElements[[#This Row],[Display without Class]]</f>
        <v>Function.owningProperty</v>
      </c>
      <c r="S27" s="5" t="str" cm="1">
        <f t="array" ref="S27">_xlfn.IFNA(INDEX(meta_Names[Camel Lower], MATCH(meta_TypedModelElements[[#This Row],[Name or Type]],meta_Names[String],0)),camelCaseLower(meta_TypedModelElements[[#This Row],[Name or Type]]))</f>
        <v>owningProperty</v>
      </c>
      <c r="T27" s="5" t="str">
        <f>IF(meta_TypedModelElements[[#This Row],[Name or Type]]="","",meta_TypedModelElements[[#This Row],[Name or Type Camel Case Lower]])&amp;IF(meta_TypedModelElements[[#This Row],[Kind:src]]="_Function","("&amp;meta_TypedModelElements[[#This Row],[Function - Parameters Display]]&amp;")","")</f>
        <v>owningProperty</v>
      </c>
      <c r="U2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Property</v>
      </c>
      <c r="V27" s="22" t="s">
        <v>91</v>
      </c>
      <c r="W27" s="5" t="e">
        <f>INDEX(meta_Classifiers[Class - Generalization:src],MATCH(meta_TypedModelElements[[#This Row],[Type Super Type 6]],meta_Classifiers[ID],0))</f>
        <v>#N/A</v>
      </c>
      <c r="X27" s="5" t="e">
        <f>INDEX(meta_Classifiers[Class - Generalization:src],MATCH(meta_TypedModelElements[[#This Row],[Type Super Type 5]],meta_Classifiers[ID],0))</f>
        <v>#N/A</v>
      </c>
      <c r="Y27" s="5" t="str">
        <f>INDEX(meta_Classifiers[Class - Generalization:src],MATCH(meta_TypedModelElements[[#This Row],[Type Super Type 4]],meta_Classifiers[ID],0))</f>
        <v/>
      </c>
      <c r="Z27" s="5" t="str">
        <f>INDEX(meta_Classifiers[Class - Generalization:src],MATCH(meta_TypedModelElements[[#This Row],[Type Super Type 3]],meta_Classifiers[ID],0))</f>
        <v>_Object</v>
      </c>
      <c r="AA27" s="5" t="str">
        <f>INDEX(meta_Classifiers[Class - Generalization:src],MATCH(meta_TypedModelElements[[#This Row],[Type Super Type 2]],meta_Classifiers[ID],0))</f>
        <v>_NamedElement</v>
      </c>
      <c r="AB27" s="5" t="str">
        <f>INDEX(meta_Classifiers[Class - Generalization:src],MATCH(meta_TypedModelElements[[#This Row],[Type Super Type 1]],meta_Classifiers[ID],0))</f>
        <v>_TypedModelElement</v>
      </c>
      <c r="AC27" s="5" t="str">
        <f>INDEX(meta_Classifiers[Class - Generalization:src],MATCH(meta_TypedModelElements[[#This Row],[Type:src]],meta_Classifiers[ID],0))</f>
        <v>_Feature</v>
      </c>
      <c r="AD27" s="5" t="str">
        <f>IF(meta_TypedModelElements[[#This Row],[Kind:src]]&lt;&gt;"_Function",meta_TypedModelElements[[#This Row],[Type]],INDEX(meta_TypedModelElements[Type],MATCH(meta_TypedModelElements[[#This Row],[Function - Owning Property:src]],meta_TypedModelElements[ID],0)))</f>
        <v>Property</v>
      </c>
      <c r="AE27" s="5" t="str">
        <f>IF(meta_TypedModelElements[[#This Row],[Kind:src]]&lt;&gt;"_Function",meta_TypedModelElements[[#This Row],[Type:src]],INDEX(meta_TypedModelElements[Type:src],MATCH(meta_TypedModelElements[[#This Row],[Function - Owning Property:src]],meta_TypedModelElements[ID],0)))</f>
        <v>_Property</v>
      </c>
      <c r="AF27" s="5" t="str">
        <f>IF(meta_TypedModelElements[[#This Row],[Type:src]]="","",INDEX(meta_Classifiers[Name],MATCH(meta_TypedModelElements[[#This Row],[Type:src]],meta_Classifiers[ID],0)))</f>
        <v>Property</v>
      </c>
      <c r="AG27" s="5" t="s">
        <v>213</v>
      </c>
      <c r="AH27" s="22" t="str">
        <f xml:space="preserve"> IF( TRIM( meta_TypedModelElements[[#This Row],[Type:src]] ) = "", "",
        INDEX( meta_Classifiers[Display Qualified], MATCH( meta_TypedModelElements[[#This Row],[Type:src]], meta_Classifiers[ID], 0 ) ) )</f>
        <v>Property</v>
      </c>
      <c r="AI27" s="22" t="s">
        <v>19</v>
      </c>
      <c r="AJ27" s="22" t="s">
        <v>232</v>
      </c>
      <c r="AK27" s="8"/>
      <c r="AL27" s="22" t="str">
        <f xml:space="preserve"> IF( TRIM( meta_TypedModelElements[[#This Row],[Reference - Opposite:src]] ) = "", "",
        INDEX( meta_TypedModelElements[Display Qualified], MATCH( meta_TypedModelElements[[#This Row],[Reference - Opposite:src]], meta_TypedModelElements[ID], 0 ) ) )</f>
        <v/>
      </c>
      <c r="AM27" s="8"/>
      <c r="AN2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7" s="22"/>
      <c r="AP27"/>
      <c r="AQ27" s="22" t="str">
        <f xml:space="preserve"> IF( TRIM( meta_TypedModelElements[[#This Row],[Function - Owning Property:src]] ) = "", "",
        INDEX( meta_TypedModelElements[Display Qualified], MATCH( meta_TypedModelElements[[#This Row],[Function - Owning Property:src]], meta_TypedModelElements[ID], 0 ) ) )</f>
        <v/>
      </c>
      <c r="AT27" s="22" t="str">
        <f>IF(meta_TypedModelElements[[#This Row],[Parameter - Owning Function:src]]="","",INDEX(meta_TypedModelElements[Display Qualified],MATCH(meta_TypedModelElements[[#This Row],[Parameter - Owning Function:src]],meta_TypedModelElements[ID],0)))</f>
        <v/>
      </c>
      <c r="AV27" s="89"/>
      <c r="AW2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7" s="5" t="str">
        <f>"[@["&amp;meta_TypedModelElements[[#This Row],[Name or Type]]&amp;":src]]"</f>
        <v>[@[Owning Property:src]]</v>
      </c>
      <c r="AY2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Property:src]] ) = "",
        "",
    IF( LEFT([@[Owning Property:src]],1)="_",
        RIGHT([@[Owning Property:src]],LEN([@[Owning Property:src]])-1),
    IF( TRIM( [@Package] )
            &lt;&gt; TRIM( INDEX( meta_TypedModelElements[Package], MATCH( [@[Owning Property:src]], meta_TypedModelElements[ID],0 ) ) ),
        TRIM( INDEX( meta_TypedModelElements[Package], MATCH( [@[Owning Property:src]], meta_TypedModelElements[ID], 0 ) ) )
            &amp; "::"
            &amp; INDEX( meta_TypedModelElements[Display], MATCH( [@[Owning Property:src]], meta_TypedModelElements[ID], 0 ) ),
        INDEX( meta_TypedModelElements[Display], MATCH( [@[Owning Property:src]], meta_TypedModelElements[ID], 0 ) )
    ))), "")</v>
      </c>
      <c r="AZ2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Property" Then
                   referedTableName = "meta_TypedModelElements"
                   referedColumnName = "Display"
                   Call StaticCode.updateIdOnNameChange(cellRef, referingTableName, referingColumnName, referedTableName, referedColumnName)
            End If</v>
      </c>
      <c r="BA2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"Function - Owning Property" Then
                   referedTableName = "meta_TypedModelElements"
                   referedColumnName = "Display"
                   Call StaticCode.updateIdOnNameChange(cellRef, referingTableName, referingColumnName, referedTableName, referedColumnName)
            End If</v>
      </c>
      <c r="BB27" s="40"/>
      <c r="BC27" s="40" t="str">
        <f>IF(meta_TypedModelElements[[#This Row],[Kind:src]]="_Parameter","",IF(AND(meta_TypedModelElements[[#This Row],[Package]]="util",meta_TypedModelElements[[#This Row],[Containing Class]]=0), "public", "method"))</f>
        <v>method</v>
      </c>
      <c r="BD27" s="40"/>
      <c r="BE2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7" s="40"/>
      <c r="BK27" s="5"/>
    </row>
    <row r="28" spans="1:63">
      <c r="A28" s="5" t="s">
        <v>560</v>
      </c>
      <c r="B28" s="5" t="s">
        <v>168</v>
      </c>
      <c r="C28" s="22" t="str">
        <f xml:space="preserve"> IF( TRIM( meta_TypedModelElements[[#This Row],[Kind:src]] ) = "", "",
        INDEX( meta_Classifiers[Display Qualified], MATCH( meta_TypedModelElements[[#This Row],[Kind:src]], meta_Classifiers[ID], 0 ) ) )</f>
        <v>Attribute</v>
      </c>
      <c r="D28" s="22">
        <v>27</v>
      </c>
      <c r="E28" s="22" t="s">
        <v>142</v>
      </c>
      <c r="F28" s="22"/>
      <c r="G2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8" s="8" t="s">
        <v>165</v>
      </c>
      <c r="J28" s="22" t="str">
        <f xml:space="preserve"> IF( TRIM( meta_TypedModelElements[[#This Row],[Property - Owning Class:src]] ) = "", "",
        INDEX( meta_Classifiers[Display Qualified], MATCH( meta_TypedModelElements[[#This Row],[Property - Owning Class:src]], meta_Classifiers[ID], 0 ) ) )</f>
        <v>Function</v>
      </c>
      <c r="K2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meta::Function.parametersDisplay</v>
      </c>
      <c r="L28" s="5" t="str">
        <f>IF(meta_TypedModelElements[[#This Row],[Kind:src]]="_Function",meta_TypedModelElements[[#This Row],[Display Qualified]],"")</f>
        <v/>
      </c>
      <c r="M28" s="5" t="str">
        <f>IF(meta_TypedModelElements[[#This Row],[Kind:src]]="_Attribute",meta_TypedModelElements[[#This Row],[Display Qualified]],"")</f>
        <v>meta::Function.parametersDisplay</v>
      </c>
      <c r="N28" s="5" t="str">
        <f>IF(meta_TypedModelElements[[#This Row],[Kind:src]]="_Reference",meta_TypedModelElements[[#This Row],[Display Qualified]],"")</f>
        <v/>
      </c>
      <c r="O28" s="5" t="str">
        <f>IF(OR(meta_TypedModelElements[[#This Row],[Kind:src]]="_Attribute",meta_TypedModelElements[[#This Row],[Kind:src]]="_Reference"),meta_TypedModelElements[[#This Row],[Display Qualified]],"")</f>
        <v>meta::Function.parametersDisplay</v>
      </c>
      <c r="P28" s="22"/>
      <c r="Q28" s="22"/>
      <c r="R28" s="5" t="str">
        <f>IF(meta_TypedModelElements[[#This Row],[Containing Class:display]]="","",meta_TypedModelElements[[#This Row],[Containing Class:display]]&amp;".")&amp;meta_TypedModelElements[[#This Row],[Display without Class]]</f>
        <v>Function.parametersDisplay</v>
      </c>
      <c r="S28" s="5" t="str" cm="1">
        <f t="array" ref="S28">_xlfn.IFNA(INDEX(meta_Names[Camel Lower], MATCH(meta_TypedModelElements[[#This Row],[Name or Type]],meta_Names[String],0)),camelCaseLower(meta_TypedModelElements[[#This Row],[Name or Type]]))</f>
        <v>parametersDisplay</v>
      </c>
      <c r="T28" s="5" t="str">
        <f>IF(meta_TypedModelElements[[#This Row],[Name or Type]]="","",meta_TypedModelElements[[#This Row],[Name or Type Camel Case Lower]])&amp;IF(meta_TypedModelElements[[#This Row],[Kind:src]]="_Function","("&amp;meta_TypedModelElements[[#This Row],[Function - Parameters Display]]&amp;")","")</f>
        <v>parametersDisplay</v>
      </c>
      <c r="U2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Display</v>
      </c>
      <c r="V28" s="22" t="s">
        <v>558</v>
      </c>
      <c r="W28" s="5" t="e">
        <f>INDEX(meta_Classifiers[Class - Generalization:src],MATCH(meta_TypedModelElements[[#This Row],[Type Super Type 6]],meta_Classifiers[ID],0))</f>
        <v>#N/A</v>
      </c>
      <c r="X28" s="5" t="e">
        <f>INDEX(meta_Classifiers[Class - Generalization:src],MATCH(meta_TypedModelElements[[#This Row],[Type Super Type 5]],meta_Classifiers[ID],0))</f>
        <v>#N/A</v>
      </c>
      <c r="Y28" s="5" t="e">
        <f>INDEX(meta_Classifiers[Class - Generalization:src],MATCH(meta_TypedModelElements[[#This Row],[Type Super Type 4]],meta_Classifiers[ID],0))</f>
        <v>#N/A</v>
      </c>
      <c r="Z28" s="5" t="e">
        <f>INDEX(meta_Classifiers[Class - Generalization:src],MATCH(meta_TypedModelElements[[#This Row],[Type Super Type 3]],meta_Classifiers[ID],0))</f>
        <v>#N/A</v>
      </c>
      <c r="AA28" s="5" t="e">
        <f>INDEX(meta_Classifiers[Class - Generalization:src],MATCH(meta_TypedModelElements[[#This Row],[Type Super Type 2]],meta_Classifiers[ID],0))</f>
        <v>#N/A</v>
      </c>
      <c r="AB28" s="5" t="e">
        <f>INDEX(meta_Classifiers[Class - Generalization:src],MATCH(meta_TypedModelElements[[#This Row],[Type Super Type 1]],meta_Classifiers[ID],0))</f>
        <v>#N/A</v>
      </c>
      <c r="AC28" s="5" t="str">
        <f>INDEX(meta_Classifiers[Class - Generalization:src],MATCH(meta_TypedModelElements[[#This Row],[Type:src]],meta_Classifiers[ID],0))</f>
        <v/>
      </c>
      <c r="AD28" s="5" t="str">
        <f>IF(meta_TypedModelElements[[#This Row],[Kind:src]]&lt;&gt;"_Function",meta_TypedModelElements[[#This Row],[Type]],INDEX(meta_TypedModelElements[Type],MATCH(meta_TypedModelElements[[#This Row],[Function - Owning Property:src]],meta_TypedModelElements[ID],0)))</f>
        <v>String</v>
      </c>
      <c r="AE28" s="5" t="str">
        <f>IF(meta_TypedModelElements[[#This Row],[Kind:src]]&lt;&gt;"_Function",meta_TypedModelElements[[#This Row],[Type:src]],INDEX(meta_TypedModelElements[Type:src],MATCH(meta_TypedModelElements[[#This Row],[Function - Owning Property:src]],meta_TypedModelElements[ID],0)))</f>
        <v>_String</v>
      </c>
      <c r="AF28" s="5" t="str">
        <f>IF(meta_TypedModelElements[[#This Row],[Type:src]]="","",INDEX(meta_Classifiers[Name],MATCH(meta_TypedModelElements[[#This Row],[Type:src]],meta_Classifiers[ID],0)))</f>
        <v>String</v>
      </c>
      <c r="AG28" s="5" t="s">
        <v>180</v>
      </c>
      <c r="AH28" s="22" t="str">
        <f xml:space="preserve"> IF( TRIM( meta_TypedModelElements[[#This Row],[Type:src]] ) = "", "",
        INDEX( meta_Classifiers[Display Qualified], MATCH( meta_TypedModelElements[[#This Row],[Type:src]], meta_Classifiers[ID], 0 ) ) )</f>
        <v>String</v>
      </c>
      <c r="AI28" s="22" t="s">
        <v>19</v>
      </c>
      <c r="AJ28" s="22"/>
      <c r="AK28" s="8"/>
      <c r="AL28" s="22" t="str">
        <f xml:space="preserve"> IF( TRIM( meta_TypedModelElements[[#This Row],[Reference - Opposite:src]] ) = "", "",
        INDEX( meta_TypedModelElements[Display Qualified], MATCH( meta_TypedModelElements[[#This Row],[Reference - Opposite:src]], meta_TypedModelElements[ID], 0 ) ) )</f>
        <v/>
      </c>
      <c r="AM28" s="8"/>
      <c r="AN2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8" s="22"/>
      <c r="AP28"/>
      <c r="AQ28" s="22" t="str">
        <f xml:space="preserve"> IF( TRIM( meta_TypedModelElements[[#This Row],[Function - Owning Property:src]] ) = "", "",
        INDEX( meta_TypedModelElements[Display Qualified], MATCH( meta_TypedModelElements[[#This Row],[Function - Owning Property:src]], meta_TypedModelElements[ID], 0 ) ) )</f>
        <v/>
      </c>
      <c r="AT28" s="22" t="str">
        <f>IF(meta_TypedModelElements[[#This Row],[Parameter - Owning Function:src]]="","",INDEX(meta_TypedModelElements[Display Qualified],MATCH(meta_TypedModelElements[[#This Row],[Parameter - Owning Function:src]],meta_TypedModelElements[ID],0)))</f>
        <v/>
      </c>
      <c r="AV28" s="89"/>
      <c r="AW2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8" s="5" t="str">
        <f>"[@["&amp;meta_TypedModelElements[[#This Row],[Name or Type]]&amp;":src]]"</f>
        <v>[@[Parameters Display:src]]</v>
      </c>
      <c r="AY2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8" s="40"/>
      <c r="BC28" s="40" t="str">
        <f>IF(meta_TypedModelElements[[#This Row],[Kind:src]]="_Parameter","",IF(AND(meta_TypedModelElements[[#This Row],[Package]]="util",meta_TypedModelElements[[#This Row],[Containing Class]]=0), "public", "method"))</f>
        <v>method</v>
      </c>
      <c r="BD28" s="40"/>
      <c r="BE2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8" s="40"/>
      <c r="BK28" s="5"/>
    </row>
    <row r="29" spans="1:63">
      <c r="A29" s="5" t="s">
        <v>561</v>
      </c>
      <c r="B29" s="5" t="s">
        <v>168</v>
      </c>
      <c r="C29" s="22" t="str">
        <f xml:space="preserve"> IF( TRIM( meta_TypedModelElements[[#This Row],[Kind:src]] ) = "", "",
        INDEX( meta_Classifiers[Display Qualified], MATCH( meta_TypedModelElements[[#This Row],[Kind:src]], meta_Classifiers[ID], 0 ) ) )</f>
        <v>Attribute</v>
      </c>
      <c r="D29" s="22">
        <v>28</v>
      </c>
      <c r="E29" s="22" t="s">
        <v>142</v>
      </c>
      <c r="F29" s="22"/>
      <c r="G2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9" s="8" t="s">
        <v>165</v>
      </c>
      <c r="J29" s="22" t="str">
        <f xml:space="preserve"> IF( TRIM( meta_TypedModelElements[[#This Row],[Property - Owning Class:src]] ) = "", "",
        INDEX( meta_Classifiers[Display Qualified], MATCH( meta_TypedModelElements[[#This Row],[Property - Owning Class:src]], meta_Classifiers[ID], 0 ) ) )</f>
        <v>Function</v>
      </c>
      <c r="K2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meta::Function.parametersInVBA_Header</v>
      </c>
      <c r="L29" s="5" t="str">
        <f>IF(meta_TypedModelElements[[#This Row],[Kind:src]]="_Function",meta_TypedModelElements[[#This Row],[Display Qualified]],"")</f>
        <v/>
      </c>
      <c r="M29" s="5" t="str">
        <f>IF(meta_TypedModelElements[[#This Row],[Kind:src]]="_Attribute",meta_TypedModelElements[[#This Row],[Display Qualified]],"")</f>
        <v>meta::Function.parametersInVBA_Header</v>
      </c>
      <c r="N29" s="5" t="str">
        <f>IF(meta_TypedModelElements[[#This Row],[Kind:src]]="_Reference",meta_TypedModelElements[[#This Row],[Display Qualified]],"")</f>
        <v/>
      </c>
      <c r="O29" s="5" t="str">
        <f>IF(OR(meta_TypedModelElements[[#This Row],[Kind:src]]="_Attribute",meta_TypedModelElements[[#This Row],[Kind:src]]="_Reference"),meta_TypedModelElements[[#This Row],[Display Qualified]],"")</f>
        <v>meta::Function.parametersInVBA_Header</v>
      </c>
      <c r="P29" s="22"/>
      <c r="Q29" s="22"/>
      <c r="R29" s="5" t="str">
        <f>IF(meta_TypedModelElements[[#This Row],[Containing Class:display]]="","",meta_TypedModelElements[[#This Row],[Containing Class:display]]&amp;".")&amp;meta_TypedModelElements[[#This Row],[Display without Class]]</f>
        <v>Function.parametersInVBA_Header</v>
      </c>
      <c r="S29" s="5" t="str" cm="1">
        <f t="array" ref="S29">_xlfn.IFNA(INDEX(meta_Names[Camel Lower], MATCH(meta_TypedModelElements[[#This Row],[Name or Type]],meta_Names[String],0)),camelCaseLower(meta_TypedModelElements[[#This Row],[Name or Type]]))</f>
        <v>parametersInVBA_Header</v>
      </c>
      <c r="T29" s="5" t="str">
        <f>IF(meta_TypedModelElements[[#This Row],[Name or Type]]="","",meta_TypedModelElements[[#This Row],[Name or Type Camel Case Lower]])&amp;IF(meta_TypedModelElements[[#This Row],[Kind:src]]="_Function","("&amp;meta_TypedModelElements[[#This Row],[Function - Parameters Display]]&amp;")","")</f>
        <v>parametersInVBA_Header</v>
      </c>
      <c r="U2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in VBA Header</v>
      </c>
      <c r="V29" s="22" t="s">
        <v>559</v>
      </c>
      <c r="W29" s="5" t="e">
        <f>INDEX(meta_Classifiers[Class - Generalization:src],MATCH(meta_TypedModelElements[[#This Row],[Type Super Type 6]],meta_Classifiers[ID],0))</f>
        <v>#N/A</v>
      </c>
      <c r="X29" s="5" t="e">
        <f>INDEX(meta_Classifiers[Class - Generalization:src],MATCH(meta_TypedModelElements[[#This Row],[Type Super Type 5]],meta_Classifiers[ID],0))</f>
        <v>#N/A</v>
      </c>
      <c r="Y29" s="5" t="e">
        <f>INDEX(meta_Classifiers[Class - Generalization:src],MATCH(meta_TypedModelElements[[#This Row],[Type Super Type 4]],meta_Classifiers[ID],0))</f>
        <v>#N/A</v>
      </c>
      <c r="Z29" s="5" t="e">
        <f>INDEX(meta_Classifiers[Class - Generalization:src],MATCH(meta_TypedModelElements[[#This Row],[Type Super Type 3]],meta_Classifiers[ID],0))</f>
        <v>#N/A</v>
      </c>
      <c r="AA29" s="5" t="e">
        <f>INDEX(meta_Classifiers[Class - Generalization:src],MATCH(meta_TypedModelElements[[#This Row],[Type Super Type 2]],meta_Classifiers[ID],0))</f>
        <v>#N/A</v>
      </c>
      <c r="AB29" s="5" t="e">
        <f>INDEX(meta_Classifiers[Class - Generalization:src],MATCH(meta_TypedModelElements[[#This Row],[Type Super Type 1]],meta_Classifiers[ID],0))</f>
        <v>#N/A</v>
      </c>
      <c r="AC29" s="5" t="str">
        <f>INDEX(meta_Classifiers[Class - Generalization:src],MATCH(meta_TypedModelElements[[#This Row],[Type:src]],meta_Classifiers[ID],0))</f>
        <v/>
      </c>
      <c r="AD29" s="5" t="str">
        <f>IF(meta_TypedModelElements[[#This Row],[Kind:src]]&lt;&gt;"_Function",meta_TypedModelElements[[#This Row],[Type]],INDEX(meta_TypedModelElements[Type],MATCH(meta_TypedModelElements[[#This Row],[Function - Owning Property:src]],meta_TypedModelElements[ID],0)))</f>
        <v>String</v>
      </c>
      <c r="AE29" s="5" t="str">
        <f>IF(meta_TypedModelElements[[#This Row],[Kind:src]]&lt;&gt;"_Function",meta_TypedModelElements[[#This Row],[Type:src]],INDEX(meta_TypedModelElements[Type:src],MATCH(meta_TypedModelElements[[#This Row],[Function - Owning Property:src]],meta_TypedModelElements[ID],0)))</f>
        <v>_String</v>
      </c>
      <c r="AF29" s="5" t="str">
        <f>IF(meta_TypedModelElements[[#This Row],[Type:src]]="","",INDEX(meta_Classifiers[Name],MATCH(meta_TypedModelElements[[#This Row],[Type:src]],meta_Classifiers[ID],0)))</f>
        <v>String</v>
      </c>
      <c r="AG29" s="5" t="s">
        <v>180</v>
      </c>
      <c r="AH29" s="22" t="str">
        <f xml:space="preserve"> IF( TRIM( meta_TypedModelElements[[#This Row],[Type:src]] ) = "", "",
        INDEX( meta_Classifiers[Display Qualified], MATCH( meta_TypedModelElements[[#This Row],[Type:src]], meta_Classifiers[ID], 0 ) ) )</f>
        <v>String</v>
      </c>
      <c r="AI29" s="22" t="s">
        <v>19</v>
      </c>
      <c r="AJ29" s="22"/>
      <c r="AK29" s="8"/>
      <c r="AL29" s="22" t="str">
        <f xml:space="preserve"> IF( TRIM( meta_TypedModelElements[[#This Row],[Reference - Opposite:src]] ) = "", "",
        INDEX( meta_TypedModelElements[Display Qualified], MATCH( meta_TypedModelElements[[#This Row],[Reference - Opposite:src]], meta_TypedModelElements[ID], 0 ) ) )</f>
        <v/>
      </c>
      <c r="AM29" s="8"/>
      <c r="AN2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9" s="22"/>
      <c r="AP29"/>
      <c r="AQ29" s="22" t="str">
        <f xml:space="preserve"> IF( TRIM( meta_TypedModelElements[[#This Row],[Function - Owning Property:src]] ) = "", "",
        INDEX( meta_TypedModelElements[Display Qualified], MATCH( meta_TypedModelElements[[#This Row],[Function - Owning Property:src]], meta_TypedModelElements[ID], 0 ) ) )</f>
        <v/>
      </c>
      <c r="AT29" s="22" t="str">
        <f>IF(meta_TypedModelElements[[#This Row],[Parameter - Owning Function:src]]="","",INDEX(meta_TypedModelElements[Display Qualified],MATCH(meta_TypedModelElements[[#This Row],[Parameter - Owning Function:src]],meta_TypedModelElements[ID],0)))</f>
        <v/>
      </c>
      <c r="AV29" s="89"/>
      <c r="AW2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9" s="5" t="str">
        <f>"[@["&amp;meta_TypedModelElements[[#This Row],[Name or Type]]&amp;":src]]"</f>
        <v>[@[Parameters in VBA Header:src]]</v>
      </c>
      <c r="AY2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9" s="40"/>
      <c r="BC29" s="40" t="str">
        <f>IF(meta_TypedModelElements[[#This Row],[Kind:src]]="_Parameter","",IF(AND(meta_TypedModelElements[[#This Row],[Package]]="util",meta_TypedModelElements[[#This Row],[Containing Class]]=0), "public", "method"))</f>
        <v>method</v>
      </c>
      <c r="BD29" s="40"/>
      <c r="BE2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9" s="40"/>
      <c r="BK29" s="5"/>
    </row>
    <row r="30" spans="1:63">
      <c r="A30" s="5" t="s">
        <v>466</v>
      </c>
      <c r="B30" s="5" t="s">
        <v>168</v>
      </c>
      <c r="C30" s="22" t="str">
        <f xml:space="preserve"> IF( TRIM( meta_TypedModelElements[[#This Row],[Kind:src]] ) = "", "",
        INDEX( meta_Classifiers[Display Qualified], MATCH( meta_TypedModelElements[[#This Row],[Kind:src]], meta_Classifiers[ID], 0 ) ) )</f>
        <v>Attribute</v>
      </c>
      <c r="D30" s="22">
        <v>29</v>
      </c>
      <c r="E30" s="22" t="s">
        <v>142</v>
      </c>
      <c r="F30" s="22"/>
      <c r="G3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0" s="8" t="s">
        <v>166</v>
      </c>
      <c r="J30" s="22" t="str">
        <f xml:space="preserve"> IF( TRIM( meta_TypedModelElements[[#This Row],[Property - Owning Class:src]] ) = "", "",
        INDEX( meta_Classifiers[Display Qualified], MATCH( meta_TypedModelElements[[#This Row],[Property - Owning Class:src]], meta_Classifiers[ID], 0 ) ) )</f>
        <v>Parameter</v>
      </c>
      <c r="K3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meta::Parameter.position</v>
      </c>
      <c r="L30" s="5" t="str">
        <f>IF(meta_TypedModelElements[[#This Row],[Kind:src]]="_Function",meta_TypedModelElements[[#This Row],[Display Qualified]],"")</f>
        <v/>
      </c>
      <c r="M30" s="5" t="str">
        <f>IF(meta_TypedModelElements[[#This Row],[Kind:src]]="_Attribute",meta_TypedModelElements[[#This Row],[Display Qualified]],"")</f>
        <v>meta::Parameter.position</v>
      </c>
      <c r="N30" s="5" t="str">
        <f>IF(meta_TypedModelElements[[#This Row],[Kind:src]]="_Reference",meta_TypedModelElements[[#This Row],[Display Qualified]],"")</f>
        <v/>
      </c>
      <c r="O30" s="5" t="str">
        <f>IF(OR(meta_TypedModelElements[[#This Row],[Kind:src]]="_Attribute",meta_TypedModelElements[[#This Row],[Kind:src]]="_Reference"),meta_TypedModelElements[[#This Row],[Display Qualified]],"")</f>
        <v>meta::Parameter.position</v>
      </c>
      <c r="P30" s="22"/>
      <c r="Q30" s="22"/>
      <c r="R30" s="5" t="str">
        <f>IF(meta_TypedModelElements[[#This Row],[Containing Class:display]]="","",meta_TypedModelElements[[#This Row],[Containing Class:display]]&amp;".")&amp;meta_TypedModelElements[[#This Row],[Display without Class]]</f>
        <v>Parameter.position</v>
      </c>
      <c r="S30" s="5" t="str" cm="1">
        <f t="array" ref="S30">_xlfn.IFNA(INDEX(meta_Names[Camel Lower], MATCH(meta_TypedModelElements[[#This Row],[Name or Type]],meta_Names[String],0)),camelCaseLower(meta_TypedModelElements[[#This Row],[Name or Type]]))</f>
        <v>position</v>
      </c>
      <c r="T30" s="5" t="str">
        <f>IF(meta_TypedModelElements[[#This Row],[Name or Type]]="","",meta_TypedModelElements[[#This Row],[Name or Type Camel Case Lower]])&amp;IF(meta_TypedModelElements[[#This Row],[Kind:src]]="_Function","("&amp;meta_TypedModelElements[[#This Row],[Function - Parameters Display]]&amp;")","")</f>
        <v>position</v>
      </c>
      <c r="U3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30" s="22" t="s">
        <v>465</v>
      </c>
      <c r="W30" s="5" t="e">
        <f>INDEX(meta_Classifiers[Class - Generalization:src],MATCH(meta_TypedModelElements[[#This Row],[Type Super Type 6]],meta_Classifiers[ID],0))</f>
        <v>#N/A</v>
      </c>
      <c r="X30" s="5" t="e">
        <f>INDEX(meta_Classifiers[Class - Generalization:src],MATCH(meta_TypedModelElements[[#This Row],[Type Super Type 5]],meta_Classifiers[ID],0))</f>
        <v>#N/A</v>
      </c>
      <c r="Y30" s="5" t="e">
        <f>INDEX(meta_Classifiers[Class - Generalization:src],MATCH(meta_TypedModelElements[[#This Row],[Type Super Type 4]],meta_Classifiers[ID],0))</f>
        <v>#N/A</v>
      </c>
      <c r="Z30" s="5" t="e">
        <f>INDEX(meta_Classifiers[Class - Generalization:src],MATCH(meta_TypedModelElements[[#This Row],[Type Super Type 3]],meta_Classifiers[ID],0))</f>
        <v>#N/A</v>
      </c>
      <c r="AA30" s="5" t="e">
        <f>INDEX(meta_Classifiers[Class - Generalization:src],MATCH(meta_TypedModelElements[[#This Row],[Type Super Type 2]],meta_Classifiers[ID],0))</f>
        <v>#N/A</v>
      </c>
      <c r="AB30" s="5" t="e">
        <f>INDEX(meta_Classifiers[Class - Generalization:src],MATCH(meta_TypedModelElements[[#This Row],[Type Super Type 1]],meta_Classifiers[ID],0))</f>
        <v>#N/A</v>
      </c>
      <c r="AC30" s="5" t="str">
        <f>INDEX(meta_Classifiers[Class - Generalization:src],MATCH(meta_TypedModelElements[[#This Row],[Type:src]],meta_Classifiers[ID],0))</f>
        <v/>
      </c>
      <c r="AD30" s="5" t="str">
        <f>IF(meta_TypedModelElements[[#This Row],[Kind:src]]&lt;&gt;"_Function",meta_TypedModelElements[[#This Row],[Type]],INDEX(meta_TypedModelElements[Type],MATCH(meta_TypedModelElements[[#This Row],[Function - Owning Property:src]],meta_TypedModelElements[ID],0)))</f>
        <v>Integer</v>
      </c>
      <c r="AE30" s="5" t="str">
        <f>IF(meta_TypedModelElements[[#This Row],[Kind:src]]&lt;&gt;"_Function",meta_TypedModelElements[[#This Row],[Type:src]],INDEX(meta_TypedModelElements[Type:src],MATCH(meta_TypedModelElements[[#This Row],[Function - Owning Property:src]],meta_TypedModelElements[ID],0)))</f>
        <v>_Integer</v>
      </c>
      <c r="AF30" s="5" t="str">
        <f>IF(meta_TypedModelElements[[#This Row],[Type:src]]="","",INDEX(meta_Classifiers[Name],MATCH(meta_TypedModelElements[[#This Row],[Type:src]],meta_Classifiers[ID],0)))</f>
        <v>Integer</v>
      </c>
      <c r="AG30" s="5" t="s">
        <v>184</v>
      </c>
      <c r="AH30" s="22" t="str">
        <f xml:space="preserve"> IF( TRIM( meta_TypedModelElements[[#This Row],[Type:src]] ) = "", "",
        INDEX( meta_Classifiers[Display Qualified], MATCH( meta_TypedModelElements[[#This Row],[Type:src]], meta_Classifiers[ID], 0 ) ) )</f>
        <v>Integer</v>
      </c>
      <c r="AI30" s="22" t="s">
        <v>19</v>
      </c>
      <c r="AJ30" s="22" t="s">
        <v>232</v>
      </c>
      <c r="AK30" s="8"/>
      <c r="AL30" s="22" t="str">
        <f xml:space="preserve"> IF( TRIM( meta_TypedModelElements[[#This Row],[Reference - Opposite:src]] ) = "", "",
        INDEX( meta_TypedModelElements[Display Qualified], MATCH( meta_TypedModelElements[[#This Row],[Reference - Opposite:src]], meta_TypedModelElements[ID], 0 ) ) )</f>
        <v/>
      </c>
      <c r="AM30" s="8"/>
      <c r="AN3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0" s="22"/>
      <c r="AP30"/>
      <c r="AQ30" s="22" t="str">
        <f xml:space="preserve"> IF( TRIM( meta_TypedModelElements[[#This Row],[Function - Owning Property:src]] ) = "", "",
        INDEX( meta_TypedModelElements[Display Qualified], MATCH( meta_TypedModelElements[[#This Row],[Function - Owning Property:src]], meta_TypedModelElements[ID], 0 ) ) )</f>
        <v/>
      </c>
      <c r="AT30" s="22" t="str">
        <f>IF(meta_TypedModelElements[[#This Row],[Parameter - Owning Function:src]]="","",INDEX(meta_TypedModelElements[Display Qualified],MATCH(meta_TypedModelElements[[#This Row],[Parameter - Owning Function:src]],meta_TypedModelElements[ID],0)))</f>
        <v/>
      </c>
      <c r="AV30" s="89"/>
      <c r="AW3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0" s="5" t="str">
        <f>"[@["&amp;meta_TypedModelElements[[#This Row],[Name or Type]]&amp;":src]]"</f>
        <v>[@[Position:src]]</v>
      </c>
      <c r="AY3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0" s="40"/>
      <c r="BC30" s="40" t="str">
        <f>IF(meta_TypedModelElements[[#This Row],[Kind:src]]="_Parameter","",IF(AND(meta_TypedModelElements[[#This Row],[Package]]="util",meta_TypedModelElements[[#This Row],[Containing Class]]=0), "public", "method"))</f>
        <v>method</v>
      </c>
      <c r="BD30" s="40"/>
      <c r="BE3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0" s="40"/>
      <c r="BK30" s="5" t="s">
        <v>464</v>
      </c>
    </row>
    <row r="31" spans="1:63" ht="202.5">
      <c r="A31" s="5" t="s">
        <v>563</v>
      </c>
      <c r="B31" s="5" t="s">
        <v>167</v>
      </c>
      <c r="C31" s="22" t="str">
        <f xml:space="preserve"> IF( TRIM( meta_TypedModelElements[[#This Row],[Kind:src]] ) = "", "",
        INDEX( meta_Classifiers[Display Qualified], MATCH( meta_TypedModelElements[[#This Row],[Kind:src]], meta_Classifiers[ID], 0 ) ) )</f>
        <v>Reference</v>
      </c>
      <c r="D31" s="22">
        <v>30</v>
      </c>
      <c r="E31" s="22" t="s">
        <v>142</v>
      </c>
      <c r="F31" s="22"/>
      <c r="G3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1" s="8" t="s">
        <v>166</v>
      </c>
      <c r="J31" s="22" t="str">
        <f xml:space="preserve"> IF( TRIM( meta_TypedModelElements[[#This Row],[Property - Owning Class:src]] ) = "", "",
        INDEX( meta_Classifiers[Display Qualified], MATCH( meta_TypedModelElements[[#This Row],[Property - Owning Class:src]], meta_Classifiers[ID], 0 ) ) )</f>
        <v>Parameter</v>
      </c>
      <c r="K3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meta::Parameter.owningFunction</v>
      </c>
      <c r="L31" s="5" t="str">
        <f>IF(meta_TypedModelElements[[#This Row],[Kind:src]]="_Function",meta_TypedModelElements[[#This Row],[Display Qualified]],"")</f>
        <v/>
      </c>
      <c r="M31" s="5" t="str">
        <f>IF(meta_TypedModelElements[[#This Row],[Kind:src]]="_Attribute",meta_TypedModelElements[[#This Row],[Display Qualified]],"")</f>
        <v/>
      </c>
      <c r="N31" s="5" t="str">
        <f>IF(meta_TypedModelElements[[#This Row],[Kind:src]]="_Reference",meta_TypedModelElements[[#This Row],[Display Qualified]],"")</f>
        <v>meta::Parameter.owningFunction</v>
      </c>
      <c r="O31" s="5" t="str">
        <f>IF(OR(meta_TypedModelElements[[#This Row],[Kind:src]]="_Attribute",meta_TypedModelElements[[#This Row],[Kind:src]]="_Reference"),meta_TypedModelElements[[#This Row],[Display Qualified]],"")</f>
        <v>meta::Parameter.owningFunction</v>
      </c>
      <c r="P31" s="22"/>
      <c r="Q31" s="22"/>
      <c r="R31" s="5" t="str">
        <f>IF(meta_TypedModelElements[[#This Row],[Containing Class:display]]="","",meta_TypedModelElements[[#This Row],[Containing Class:display]]&amp;".")&amp;meta_TypedModelElements[[#This Row],[Display without Class]]</f>
        <v>Parameter.owningFunction</v>
      </c>
      <c r="S31" s="5" t="str" cm="1">
        <f t="array" ref="S31">_xlfn.IFNA(INDEX(meta_Names[Camel Lower], MATCH(meta_TypedModelElements[[#This Row],[Name or Type]],meta_Names[String],0)),camelCaseLower(meta_TypedModelElements[[#This Row],[Name or Type]]))</f>
        <v>owningFunction</v>
      </c>
      <c r="T31" s="5" t="str">
        <f>IF(meta_TypedModelElements[[#This Row],[Name or Type]]="","",meta_TypedModelElements[[#This Row],[Name or Type Camel Case Lower]])&amp;IF(meta_TypedModelElements[[#This Row],[Kind:src]]="_Function","("&amp;meta_TypedModelElements[[#This Row],[Function - Parameters Display]]&amp;")","")</f>
        <v>owningFunction</v>
      </c>
      <c r="U3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Function</v>
      </c>
      <c r="V31" s="22" t="s">
        <v>562</v>
      </c>
      <c r="W31" s="5" t="e">
        <f>INDEX(meta_Classifiers[Class - Generalization:src],MATCH(meta_TypedModelElements[[#This Row],[Type Super Type 6]],meta_Classifiers[ID],0))</f>
        <v>#N/A</v>
      </c>
      <c r="X31" s="5" t="e">
        <f>INDEX(meta_Classifiers[Class - Generalization:src],MATCH(meta_TypedModelElements[[#This Row],[Type Super Type 5]],meta_Classifiers[ID],0))</f>
        <v>#N/A</v>
      </c>
      <c r="Y31" s="5" t="str">
        <f>INDEX(meta_Classifiers[Class - Generalization:src],MATCH(meta_TypedModelElements[[#This Row],[Type Super Type 4]],meta_Classifiers[ID],0))</f>
        <v/>
      </c>
      <c r="Z31" s="5" t="str">
        <f>INDEX(meta_Classifiers[Class - Generalization:src],MATCH(meta_TypedModelElements[[#This Row],[Type Super Type 3]],meta_Classifiers[ID],0))</f>
        <v>_Object</v>
      </c>
      <c r="AA31" s="5" t="str">
        <f>INDEX(meta_Classifiers[Class - Generalization:src],MATCH(meta_TypedModelElements[[#This Row],[Type Super Type 2]],meta_Classifiers[ID],0))</f>
        <v>_NamedElement</v>
      </c>
      <c r="AB31" s="5" t="str">
        <f>INDEX(meta_Classifiers[Class - Generalization:src],MATCH(meta_TypedModelElements[[#This Row],[Type Super Type 1]],meta_Classifiers[ID],0))</f>
        <v>_TypedModelElement</v>
      </c>
      <c r="AC31" s="5" t="str">
        <f>INDEX(meta_Classifiers[Class - Generalization:src],MATCH(meta_TypedModelElements[[#This Row],[Type:src]],meta_Classifiers[ID],0))</f>
        <v>_Feature</v>
      </c>
      <c r="AD31" s="5" t="str">
        <f>IF(meta_TypedModelElements[[#This Row],[Kind:src]]&lt;&gt;"_Function",meta_TypedModelElements[[#This Row],[Type]],INDEX(meta_TypedModelElements[Type],MATCH(meta_TypedModelElements[[#This Row],[Function - Owning Property:src]],meta_TypedModelElements[ID],0)))</f>
        <v>Function</v>
      </c>
      <c r="AE31" s="5" t="str">
        <f>IF(meta_TypedModelElements[[#This Row],[Kind:src]]&lt;&gt;"_Function",meta_TypedModelElements[[#This Row],[Type:src]],INDEX(meta_TypedModelElements[Type:src],MATCH(meta_TypedModelElements[[#This Row],[Function - Owning Property:src]],meta_TypedModelElements[ID],0)))</f>
        <v>_Function</v>
      </c>
      <c r="AF31" s="5" t="str">
        <f>IF(meta_TypedModelElements[[#This Row],[Type:src]]="","",INDEX(meta_Classifiers[Name],MATCH(meta_TypedModelElements[[#This Row],[Type:src]],meta_Classifiers[ID],0)))</f>
        <v>Function</v>
      </c>
      <c r="AG31" s="5" t="s">
        <v>165</v>
      </c>
      <c r="AH31" s="22" t="str">
        <f xml:space="preserve"> IF( TRIM( meta_TypedModelElements[[#This Row],[Type:src]] ) = "", "",
        INDEX( meta_Classifiers[Display Qualified], MATCH( meta_TypedModelElements[[#This Row],[Type:src]], meta_Classifiers[ID], 0 ) ) )</f>
        <v>Function</v>
      </c>
      <c r="AI31" s="22" t="s">
        <v>19</v>
      </c>
      <c r="AJ31" s="22" t="s">
        <v>232</v>
      </c>
      <c r="AK31" s="8"/>
      <c r="AL31" s="22" t="str">
        <f xml:space="preserve"> IF( TRIM( meta_TypedModelElements[[#This Row],[Reference - Opposite:src]] ) = "", "",
        INDEX( meta_TypedModelElements[Display Qualified], MATCH( meta_TypedModelElements[[#This Row],[Reference - Opposite:src]], meta_TypedModelElements[ID], 0 ) ) )</f>
        <v/>
      </c>
      <c r="AM31" s="8"/>
      <c r="AN3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1" s="22"/>
      <c r="AP31"/>
      <c r="AQ31" s="22" t="str">
        <f xml:space="preserve"> IF( TRIM( meta_TypedModelElements[[#This Row],[Function - Owning Property:src]] ) = "", "",
        INDEX( meta_TypedModelElements[Display Qualified], MATCH( meta_TypedModelElements[[#This Row],[Function - Owning Property:src]], meta_TypedModelElements[ID], 0 ) ) )</f>
        <v/>
      </c>
      <c r="AT31" s="22" t="str">
        <f>IF(meta_TypedModelElements[[#This Row],[Parameter - Owning Function:src]]="","",INDEX(meta_TypedModelElements[Display Qualified],MATCH(meta_TypedModelElements[[#This Row],[Parameter - Owning Function:src]],meta_TypedModelElements[ID],0)))</f>
        <v/>
      </c>
      <c r="AV31" s="89"/>
      <c r="AW3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31" s="5" t="str">
        <f>"[@["&amp;meta_TypedModelElements[[#This Row],[Name or Type]]&amp;":src]]"</f>
        <v>[@[Owning Function:src]]</v>
      </c>
      <c r="AY3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Function:src]] ) = "",
        "",
    IF( LEFT([@[Owning Function:src]],1)="_",
        RIGHT([@[Owning Function:src]],LEN([@[Owning Function:src]])-1),
    IF( TRIM( [@Package] )
            &lt;&gt; TRIM( INDEX( meta_TypedModelElements[Package], MATCH( [@[Owning Function:src]], meta_TypedModelElements[ID],0 ) ) ),
        TRIM( INDEX( meta_TypedModelElements[Package], MATCH( [@[Owning Function:src]], meta_TypedModelElements[ID], 0 ) ) )
            &amp; "::"
            &amp; INDEX( meta_TypedModelElements[Display], MATCH( [@[Owning Function:src]], meta_TypedModelElements[ID], 0 ) ),
        INDEX( meta_TypedModelElements[Display], MATCH( [@[Owning Function:src]], meta_TypedModelElements[ID], 0 ) )
    ))), "")</v>
      </c>
      <c r="AZ3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Function" Then
                   referedTableName = "meta_TypedModelElements"
                   referedColumnName = "Display"
                   Call StaticCode.updateIdOnNameChange(cellRef, referingTableName, referingColumnName, referedTableName, referedColumnName)
            End If</v>
      </c>
      <c r="BA3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"Parameter - Owning Function" Then
                   referedTableName = "meta_TypedModelElements"
                   referedColumnName = "Display"
                   Call StaticCode.updateIdOnNameChange(cellRef, referingTableName, referingColumnName, referedTableName, referedColumnName)
            End If</v>
      </c>
      <c r="BB31" s="40"/>
      <c r="BC31" s="40" t="str">
        <f>IF(meta_TypedModelElements[[#This Row],[Kind:src]]="_Parameter","",IF(AND(meta_TypedModelElements[[#This Row],[Package]]="util",meta_TypedModelElements[[#This Row],[Containing Class]]=0), "public", "method"))</f>
        <v>method</v>
      </c>
      <c r="BD31" s="40"/>
      <c r="BE3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1" s="40"/>
      <c r="BK31" s="5"/>
    </row>
    <row r="32" spans="1:63">
      <c r="A32" s="5" t="s">
        <v>259</v>
      </c>
      <c r="B32" s="5" t="s">
        <v>168</v>
      </c>
      <c r="C32" s="22" t="str">
        <f xml:space="preserve"> IF( TRIM( meta_TypedModelElements[[#This Row],[Kind:src]] ) = "", "",
        INDEX( meta_Classifiers[Display Qualified], MATCH( meta_TypedModelElements[[#This Row],[Kind:src]], meta_Classifiers[ID], 0 ) ) )</f>
        <v>Attribute</v>
      </c>
      <c r="D32" s="22">
        <v>31</v>
      </c>
      <c r="E32" s="22" t="s">
        <v>142</v>
      </c>
      <c r="F32" s="22"/>
      <c r="G3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_Literal</v>
      </c>
      <c r="H3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Literal</v>
      </c>
      <c r="I32" s="8" t="s">
        <v>216</v>
      </c>
      <c r="J32" s="22" t="str">
        <f xml:space="preserve"> IF( TRIM( meta_TypedModelElements[[#This Row],[Property - Owning Class:src]] ) = "", "",
        INDEX( meta_Classifiers[Display Qualified], MATCH( meta_TypedModelElements[[#This Row],[Property - Owning Class:src]], meta_Classifiers[ID], 0 ) ) )</f>
        <v>Literal</v>
      </c>
      <c r="K3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meta::Literal.constantLabel</v>
      </c>
      <c r="L32" s="5" t="str">
        <f>IF(meta_TypedModelElements[[#This Row],[Kind:src]]="_Function",meta_TypedModelElements[[#This Row],[Display Qualified]],"")</f>
        <v/>
      </c>
      <c r="M32" s="5" t="str">
        <f>IF(meta_TypedModelElements[[#This Row],[Kind:src]]="_Attribute",meta_TypedModelElements[[#This Row],[Display Qualified]],"")</f>
        <v>meta::Literal.constantLabel</v>
      </c>
      <c r="N32" s="5" t="str">
        <f>IF(meta_TypedModelElements[[#This Row],[Kind:src]]="_Reference",meta_TypedModelElements[[#This Row],[Display Qualified]],"")</f>
        <v/>
      </c>
      <c r="O32" s="5" t="str">
        <f>IF(OR(meta_TypedModelElements[[#This Row],[Kind:src]]="_Attribute",meta_TypedModelElements[[#This Row],[Kind:src]]="_Reference"),meta_TypedModelElements[[#This Row],[Display Qualified]],"")</f>
        <v>meta::Literal.constantLabel</v>
      </c>
      <c r="P32" s="22"/>
      <c r="Q32" s="22"/>
      <c r="R32" s="5" t="str">
        <f>IF(meta_TypedModelElements[[#This Row],[Containing Class:display]]="","",meta_TypedModelElements[[#This Row],[Containing Class:display]]&amp;".")&amp;meta_TypedModelElements[[#This Row],[Display without Class]]</f>
        <v>Literal.constantLabel</v>
      </c>
      <c r="S32" s="5" t="str" cm="1">
        <f t="array" ref="S32">_xlfn.IFNA(INDEX(meta_Names[Camel Lower], MATCH(meta_TypedModelElements[[#This Row],[Name or Type]],meta_Names[String],0)),camelCaseLower(meta_TypedModelElements[[#This Row],[Name or Type]]))</f>
        <v>constantLabel</v>
      </c>
      <c r="T32" s="5" t="str">
        <f>IF(meta_TypedModelElements[[#This Row],[Name or Type]]="","",meta_TypedModelElements[[#This Row],[Name or Type Camel Case Lower]])&amp;IF(meta_TypedModelElements[[#This Row],[Kind:src]]="_Function","("&amp;meta_TypedModelElements[[#This Row],[Function - Parameters Display]]&amp;")","")</f>
        <v>constantLabel</v>
      </c>
      <c r="U3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Constant Label</v>
      </c>
      <c r="V32" s="22" t="s">
        <v>83</v>
      </c>
      <c r="W32" s="5" t="e">
        <f>INDEX(meta_Classifiers[Class - Generalization:src],MATCH(meta_TypedModelElements[[#This Row],[Type Super Type 6]],meta_Classifiers[ID],0))</f>
        <v>#N/A</v>
      </c>
      <c r="X32" s="5" t="e">
        <f>INDEX(meta_Classifiers[Class - Generalization:src],MATCH(meta_TypedModelElements[[#This Row],[Type Super Type 5]],meta_Classifiers[ID],0))</f>
        <v>#N/A</v>
      </c>
      <c r="Y32" s="5" t="e">
        <f>INDEX(meta_Classifiers[Class - Generalization:src],MATCH(meta_TypedModelElements[[#This Row],[Type Super Type 4]],meta_Classifiers[ID],0))</f>
        <v>#N/A</v>
      </c>
      <c r="Z32" s="5" t="e">
        <f>INDEX(meta_Classifiers[Class - Generalization:src],MATCH(meta_TypedModelElements[[#This Row],[Type Super Type 3]],meta_Classifiers[ID],0))</f>
        <v>#N/A</v>
      </c>
      <c r="AA32" s="5" t="e">
        <f>INDEX(meta_Classifiers[Class - Generalization:src],MATCH(meta_TypedModelElements[[#This Row],[Type Super Type 2]],meta_Classifiers[ID],0))</f>
        <v>#N/A</v>
      </c>
      <c r="AB32" s="5" t="e">
        <f>INDEX(meta_Classifiers[Class - Generalization:src],MATCH(meta_TypedModelElements[[#This Row],[Type Super Type 1]],meta_Classifiers[ID],0))</f>
        <v>#N/A</v>
      </c>
      <c r="AC32" s="5" t="str">
        <f>INDEX(meta_Classifiers[Class - Generalization:src],MATCH(meta_TypedModelElements[[#This Row],[Type:src]],meta_Classifiers[ID],0))</f>
        <v/>
      </c>
      <c r="AD32" s="5" t="str">
        <f>IF(meta_TypedModelElements[[#This Row],[Kind:src]]&lt;&gt;"_Function",meta_TypedModelElements[[#This Row],[Type]],INDEX(meta_TypedModelElements[Type],MATCH(meta_TypedModelElements[[#This Row],[Function - Owning Property:src]],meta_TypedModelElements[ID],0)))</f>
        <v>String</v>
      </c>
      <c r="AE32" s="5" t="str">
        <f>IF(meta_TypedModelElements[[#This Row],[Kind:src]]&lt;&gt;"_Function",meta_TypedModelElements[[#This Row],[Type:src]],INDEX(meta_TypedModelElements[Type:src],MATCH(meta_TypedModelElements[[#This Row],[Function - Owning Property:src]],meta_TypedModelElements[ID],0)))</f>
        <v>_String</v>
      </c>
      <c r="AF32" s="5" t="str">
        <f>IF(meta_TypedModelElements[[#This Row],[Type:src]]="","",INDEX(meta_Classifiers[Name],MATCH(meta_TypedModelElements[[#This Row],[Type:src]],meta_Classifiers[ID],0)))</f>
        <v>String</v>
      </c>
      <c r="AG32" s="5" t="s">
        <v>180</v>
      </c>
      <c r="AH32" s="22" t="str">
        <f xml:space="preserve"> IF( TRIM( meta_TypedModelElements[[#This Row],[Type:src]] ) = "", "",
        INDEX( meta_Classifiers[Display Qualified], MATCH( meta_TypedModelElements[[#This Row],[Type:src]], meta_Classifiers[ID], 0 ) ) )</f>
        <v>String</v>
      </c>
      <c r="AI32" s="22" t="s">
        <v>21</v>
      </c>
      <c r="AJ32" s="22" t="s">
        <v>232</v>
      </c>
      <c r="AK32" s="8"/>
      <c r="AL32" s="22" t="str">
        <f xml:space="preserve"> IF( TRIM( meta_TypedModelElements[[#This Row],[Reference - Opposite:src]] ) = "", "",
        INDEX( meta_TypedModelElements[Display Qualified], MATCH( meta_TypedModelElements[[#This Row],[Reference - Opposite:src]], meta_TypedModelElements[ID], 0 ) ) )</f>
        <v/>
      </c>
      <c r="AM32" s="8"/>
      <c r="AN3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2" s="22"/>
      <c r="AP32"/>
      <c r="AQ32" s="22" t="str">
        <f xml:space="preserve"> IF( TRIM( meta_TypedModelElements[[#This Row],[Function - Owning Property:src]] ) = "", "",
        INDEX( meta_TypedModelElements[Display Qualified], MATCH( meta_TypedModelElements[[#This Row],[Function - Owning Property:src]], meta_TypedModelElements[ID], 0 ) ) )</f>
        <v/>
      </c>
      <c r="AT32" s="22" t="str">
        <f>IF(meta_TypedModelElements[[#This Row],[Parameter - Owning Function:src]]="","",INDEX(meta_TypedModelElements[Display Qualified],MATCH(meta_TypedModelElements[[#This Row],[Parameter - Owning Function:src]],meta_TypedModelElements[ID],0)))</f>
        <v/>
      </c>
      <c r="AV32" s="89"/>
      <c r="AW3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2" s="5" t="str">
        <f>"[@["&amp;meta_TypedModelElements[[#This Row],[Name or Type]]&amp;":src]]"</f>
        <v>[@[Constant Label:src]]</v>
      </c>
      <c r="AY3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2" s="40"/>
      <c r="BC32" s="40" t="str">
        <f>IF(meta_TypedModelElements[[#This Row],[Kind:src]]="_Parameter","",IF(AND(meta_TypedModelElements[[#This Row],[Package]]="util",meta_TypedModelElements[[#This Row],[Containing Class]]=0), "public", "method"))</f>
        <v>method</v>
      </c>
      <c r="BD32" s="40"/>
      <c r="BE3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2" s="40"/>
      <c r="BK32" s="5"/>
    </row>
    <row r="33" spans="1:63" ht="60">
      <c r="A33" s="5" t="s">
        <v>500</v>
      </c>
      <c r="B33" s="5" t="s">
        <v>168</v>
      </c>
      <c r="C33" s="22" t="str">
        <f xml:space="preserve"> IF( TRIM( meta_TypedModelElements[[#This Row],[Kind:src]] ) = "", "",
        INDEX( meta_Classifiers[Display Qualified], MATCH( meta_TypedModelElements[[#This Row],[Kind:src]], meta_Classifiers[ID], 0 ) ) )</f>
        <v>Attribute</v>
      </c>
      <c r="D33" s="22">
        <v>32</v>
      </c>
      <c r="E33" s="22" t="s">
        <v>142</v>
      </c>
      <c r="F33" s="22"/>
      <c r="G3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3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33" s="8"/>
      <c r="J33" s="22" t="str">
        <f xml:space="preserve"> IF( TRIM( meta_TypedModelElements[[#This Row],[Property - Owning Class:src]] ) = "", "",
        INDEX( meta_Classifiers[Display Qualified], MATCH( meta_TypedModelElements[[#This Row],[Property - Owning Class:src]], meta_Classifiers[ID], 0 ) ) )</f>
        <v/>
      </c>
      <c r="K3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meta::instancesClass</v>
      </c>
      <c r="L33" s="5" t="str">
        <f>IF(meta_TypedModelElements[[#This Row],[Kind:src]]="_Function",meta_TypedModelElements[[#This Row],[Display Qualified]],"")</f>
        <v/>
      </c>
      <c r="M33" s="5" t="str">
        <f>IF(meta_TypedModelElements[[#This Row],[Kind:src]]="_Attribute",meta_TypedModelElements[[#This Row],[Display Qualified]],"")</f>
        <v>meta::instancesClass</v>
      </c>
      <c r="N33" s="5" t="str">
        <f>IF(meta_TypedModelElements[[#This Row],[Kind:src]]="_Reference",meta_TypedModelElements[[#This Row],[Display Qualified]],"")</f>
        <v/>
      </c>
      <c r="O33" s="5" t="str">
        <f>IF(OR(meta_TypedModelElements[[#This Row],[Kind:src]]="_Attribute",meta_TypedModelElements[[#This Row],[Kind:src]]="_Reference"),meta_TypedModelElements[[#This Row],[Display Qualified]],"")</f>
        <v>meta::instancesClass</v>
      </c>
      <c r="P33" s="22"/>
      <c r="Q33" s="22"/>
      <c r="R33" s="5" t="str">
        <f>IF(meta_TypedModelElements[[#This Row],[Containing Class:display]]="","",meta_TypedModelElements[[#This Row],[Containing Class:display]]&amp;".")&amp;meta_TypedModelElements[[#This Row],[Display without Class]]</f>
        <v>instancesClass</v>
      </c>
      <c r="S33" s="5" t="str" cm="1">
        <f t="array" ref="S33">_xlfn.IFNA(INDEX(meta_Names[Camel Lower], MATCH(meta_TypedModelElements[[#This Row],[Name or Type]],meta_Names[String],0)),camelCaseLower(meta_TypedModelElements[[#This Row],[Name or Type]]))</f>
        <v>instancesClass</v>
      </c>
      <c r="T33" s="5" t="str">
        <f>IF(meta_TypedModelElements[[#This Row],[Name or Type]]="","",meta_TypedModelElements[[#This Row],[Name or Type Camel Case Lower]])&amp;IF(meta_TypedModelElements[[#This Row],[Kind:src]]="_Function","("&amp;meta_TypedModelElements[[#This Row],[Function - Parameters Display]]&amp;")","")</f>
        <v>instancesClass</v>
      </c>
      <c r="U3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Instances Class</v>
      </c>
      <c r="V33" s="22" t="s">
        <v>471</v>
      </c>
      <c r="W33" s="5" t="e">
        <f>INDEX(meta_Classifiers[Class - Generalization:src],MATCH(meta_TypedModelElements[[#This Row],[Type Super Type 6]],meta_Classifiers[ID],0))</f>
        <v>#N/A</v>
      </c>
      <c r="X33" s="5" t="e">
        <f>INDEX(meta_Classifiers[Class - Generalization:src],MATCH(meta_TypedModelElements[[#This Row],[Type Super Type 5]],meta_Classifiers[ID],0))</f>
        <v>#N/A</v>
      </c>
      <c r="Y33" s="5" t="e">
        <f>INDEX(meta_Classifiers[Class - Generalization:src],MATCH(meta_TypedModelElements[[#This Row],[Type Super Type 4]],meta_Classifiers[ID],0))</f>
        <v>#N/A</v>
      </c>
      <c r="Z33" s="5" t="str">
        <f>INDEX(meta_Classifiers[Class - Generalization:src],MATCH(meta_TypedModelElements[[#This Row],[Type Super Type 3]],meta_Classifiers[ID],0))</f>
        <v/>
      </c>
      <c r="AA33" s="5" t="str">
        <f>INDEX(meta_Classifiers[Class - Generalization:src],MATCH(meta_TypedModelElements[[#This Row],[Type Super Type 2]],meta_Classifiers[ID],0))</f>
        <v>_Object</v>
      </c>
      <c r="AB33" s="5" t="str">
        <f>INDEX(meta_Classifiers[Class - Generalization:src],MATCH(meta_TypedModelElements[[#This Row],[Type Super Type 1]],meta_Classifiers[ID],0))</f>
        <v>_NamedElement</v>
      </c>
      <c r="AC33" s="5" t="str">
        <f>INDEX(meta_Classifiers[Class - Generalization:src],MATCH(meta_TypedModelElements[[#This Row],[Type:src]],meta_Classifiers[ID],0))</f>
        <v>_Classifier</v>
      </c>
      <c r="AD33" s="5" t="str">
        <f>IF(meta_TypedModelElements[[#This Row],[Kind:src]]&lt;&gt;"_Function",meta_TypedModelElements[[#This Row],[Type]],INDEX(meta_TypedModelElements[Type],MATCH(meta_TypedModelElements[[#This Row],[Function - Owning Property:src]],meta_TypedModelElements[ID],0)))</f>
        <v>Class</v>
      </c>
      <c r="AE33" s="5" t="str">
        <f>IF(meta_TypedModelElements[[#This Row],[Kind:src]]&lt;&gt;"_Function",meta_TypedModelElements[[#This Row],[Type:src]],INDEX(meta_TypedModelElements[Type:src],MATCH(meta_TypedModelElements[[#This Row],[Function - Owning Property:src]],meta_TypedModelElements[ID],0)))</f>
        <v>_Class</v>
      </c>
      <c r="AF33" s="5" t="str">
        <f>IF(meta_TypedModelElements[[#This Row],[Type:src]]="","",INDEX(meta_Classifiers[Name],MATCH(meta_TypedModelElements[[#This Row],[Type:src]],meta_Classifiers[ID],0)))</f>
        <v>Class</v>
      </c>
      <c r="AG33" s="5" t="s">
        <v>163</v>
      </c>
      <c r="AH33" s="22" t="str">
        <f xml:space="preserve"> IF( TRIM( meta_TypedModelElements[[#This Row],[Type:src]] ) = "", "",
        INDEX( meta_Classifiers[Display Qualified], MATCH( meta_TypedModelElements[[#This Row],[Type:src]], meta_Classifiers[ID], 0 ) ) )</f>
        <v>Class</v>
      </c>
      <c r="AI33" s="22" t="s">
        <v>19</v>
      </c>
      <c r="AJ33" s="22" t="s">
        <v>232</v>
      </c>
      <c r="AK33" s="8"/>
      <c r="AL33" s="22" t="str">
        <f xml:space="preserve"> IF( TRIM( meta_TypedModelElements[[#This Row],[Reference - Opposite:src]] ) = "", "",
        INDEX( meta_TypedModelElements[Display Qualified], MATCH( meta_TypedModelElements[[#This Row],[Reference - Opposite:src]], meta_TypedModelElements[ID], 0 ) ) )</f>
        <v/>
      </c>
      <c r="AM33" s="8"/>
      <c r="AN3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3" s="22"/>
      <c r="AP33"/>
      <c r="AQ33" s="22" t="str">
        <f xml:space="preserve"> IF( TRIM( meta_TypedModelElements[[#This Row],[Function - Owning Property:src]] ) = "", "",
        INDEX( meta_TypedModelElements[Display Qualified], MATCH( meta_TypedModelElements[[#This Row],[Function - Owning Property:src]], meta_TypedModelElements[ID], 0 ) ) )</f>
        <v/>
      </c>
      <c r="AT33" s="22" t="str">
        <f>IF(meta_TypedModelElements[[#This Row],[Parameter - Owning Function:src]]="","",INDEX(meta_TypedModelElements[Display Qualified],MATCH(meta_TypedModelElements[[#This Row],[Parameter - Owning Function:src]],meta_TypedModelElements[ID],0)))</f>
        <v/>
      </c>
      <c r="AV33" s="89"/>
      <c r="AW3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3" s="5" t="str">
        <f>"[@["&amp;meta_TypedModelElements[[#This Row],[Name or Type]]&amp;":src]]"</f>
        <v>[@[Instances Class:src]]</v>
      </c>
      <c r="AY3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3" s="40"/>
      <c r="BC33" s="40" t="str">
        <f>IF(meta_TypedModelElements[[#This Row],[Kind:src]]="_Parameter","",IF(AND(meta_TypedModelElements[[#This Row],[Package]]="util",meta_TypedModelElements[[#This Row],[Containing Class]]=0), "public", "method"))</f>
        <v>method</v>
      </c>
      <c r="BD33" s="40"/>
      <c r="BE3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3" s="40"/>
      <c r="BK33" s="7" t="s">
        <v>937</v>
      </c>
    </row>
    <row r="34" spans="1:63" ht="45">
      <c r="A34" s="5" t="s">
        <v>544</v>
      </c>
      <c r="B34" s="5" t="s">
        <v>168</v>
      </c>
      <c r="C34" s="22" t="str">
        <f xml:space="preserve"> IF( TRIM( meta_TypedModelElements[[#This Row],[Kind:src]] ) = "", "",
        INDEX( meta_Classifiers[Display Qualified], MATCH( meta_TypedModelElements[[#This Row],[Kind:src]], meta_Classifiers[ID], 0 ) ) )</f>
        <v>Attribute</v>
      </c>
      <c r="D34" s="22">
        <v>33</v>
      </c>
      <c r="E34" s="22" t="s">
        <v>142</v>
      </c>
      <c r="F34" s="22"/>
      <c r="G3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4" s="8" t="s">
        <v>160</v>
      </c>
      <c r="J34" s="22" t="str">
        <f xml:space="preserve"> IF( TRIM( meta_TypedModelElements[[#This Row],[Property - Owning Class:src]] ) = "", "",
        INDEX( meta_Classifiers[Display Qualified], MATCH( meta_TypedModelElements[[#This Row],[Property - Owning Class:src]], meta_Classifiers[ID], 0 ) ) )</f>
        <v>Object</v>
      </c>
      <c r="K3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meta::Object.sheetName</v>
      </c>
      <c r="L34" s="5" t="str">
        <f>IF(meta_TypedModelElements[[#This Row],[Kind:src]]="_Function",meta_TypedModelElements[[#This Row],[Display Qualified]],"")</f>
        <v/>
      </c>
      <c r="M34" s="5" t="str">
        <f>IF(meta_TypedModelElements[[#This Row],[Kind:src]]="_Attribute",meta_TypedModelElements[[#This Row],[Display Qualified]],"")</f>
        <v>meta::Object.sheetName</v>
      </c>
      <c r="N34" s="5" t="str">
        <f>IF(meta_TypedModelElements[[#This Row],[Kind:src]]="_Reference",meta_TypedModelElements[[#This Row],[Display Qualified]],"")</f>
        <v/>
      </c>
      <c r="O34" s="5" t="str">
        <f>IF(OR(meta_TypedModelElements[[#This Row],[Kind:src]]="_Attribute",meta_TypedModelElements[[#This Row],[Kind:src]]="_Reference"),meta_TypedModelElements[[#This Row],[Display Qualified]],"")</f>
        <v>meta::Object.sheetName</v>
      </c>
      <c r="P34" s="22"/>
      <c r="Q34" s="22"/>
      <c r="R34" s="5" t="str">
        <f>IF(meta_TypedModelElements[[#This Row],[Containing Class:display]]="","",meta_TypedModelElements[[#This Row],[Containing Class:display]]&amp;".")&amp;meta_TypedModelElements[[#This Row],[Display without Class]]</f>
        <v>Object.sheetName</v>
      </c>
      <c r="S34" s="5" t="str" cm="1">
        <f t="array" ref="S34">_xlfn.IFNA(INDEX(meta_Names[Camel Lower], MATCH(meta_TypedModelElements[[#This Row],[Name or Type]],meta_Names[String],0)),camelCaseLower(meta_TypedModelElements[[#This Row],[Name or Type]]))</f>
        <v>sheetName</v>
      </c>
      <c r="T34" s="5" t="str">
        <f>IF(meta_TypedModelElements[[#This Row],[Name or Type]]="","",meta_TypedModelElements[[#This Row],[Name or Type Camel Case Lower]])&amp;IF(meta_TypedModelElements[[#This Row],[Kind:src]]="_Function","("&amp;meta_TypedModelElements[[#This Row],[Function - Parameters Display]]&amp;")","")</f>
        <v>sheetName</v>
      </c>
      <c r="U3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Sheet Name</v>
      </c>
      <c r="V34" s="22" t="s">
        <v>74</v>
      </c>
      <c r="W34" s="5" t="e">
        <f>INDEX(meta_Classifiers[Class - Generalization:src],MATCH(meta_TypedModelElements[[#This Row],[Type Super Type 6]],meta_Classifiers[ID],0))</f>
        <v>#N/A</v>
      </c>
      <c r="X34" s="5" t="e">
        <f>INDEX(meta_Classifiers[Class - Generalization:src],MATCH(meta_TypedModelElements[[#This Row],[Type Super Type 5]],meta_Classifiers[ID],0))</f>
        <v>#N/A</v>
      </c>
      <c r="Y34" s="5" t="e">
        <f>INDEX(meta_Classifiers[Class - Generalization:src],MATCH(meta_TypedModelElements[[#This Row],[Type Super Type 4]],meta_Classifiers[ID],0))</f>
        <v>#N/A</v>
      </c>
      <c r="Z34" s="5" t="e">
        <f>INDEX(meta_Classifiers[Class - Generalization:src],MATCH(meta_TypedModelElements[[#This Row],[Type Super Type 3]],meta_Classifiers[ID],0))</f>
        <v>#N/A</v>
      </c>
      <c r="AA34" s="5" t="e">
        <f>INDEX(meta_Classifiers[Class - Generalization:src],MATCH(meta_TypedModelElements[[#This Row],[Type Super Type 2]],meta_Classifiers[ID],0))</f>
        <v>#N/A</v>
      </c>
      <c r="AB34" s="5" t="e">
        <f>INDEX(meta_Classifiers[Class - Generalization:src],MATCH(meta_TypedModelElements[[#This Row],[Type Super Type 1]],meta_Classifiers[ID],0))</f>
        <v>#N/A</v>
      </c>
      <c r="AC34" s="5" t="str">
        <f>INDEX(meta_Classifiers[Class - Generalization:src],MATCH(meta_TypedModelElements[[#This Row],[Type:src]],meta_Classifiers[ID],0))</f>
        <v/>
      </c>
      <c r="AD34" s="5" t="str">
        <f>IF(meta_TypedModelElements[[#This Row],[Kind:src]]&lt;&gt;"_Function",meta_TypedModelElements[[#This Row],[Type]],INDEX(meta_TypedModelElements[Type],MATCH(meta_TypedModelElements[[#This Row],[Function - Owning Property:src]],meta_TypedModelElements[ID],0)))</f>
        <v>String</v>
      </c>
      <c r="AE34" s="5" t="str">
        <f>IF(meta_TypedModelElements[[#This Row],[Kind:src]]&lt;&gt;"_Function",meta_TypedModelElements[[#This Row],[Type:src]],INDEX(meta_TypedModelElements[Type:src],MATCH(meta_TypedModelElements[[#This Row],[Function - Owning Property:src]],meta_TypedModelElements[ID],0)))</f>
        <v>_String</v>
      </c>
      <c r="AF34" s="5" t="str">
        <f>IF(meta_TypedModelElements[[#This Row],[Type:src]]="","",INDEX(meta_Classifiers[Name],MATCH(meta_TypedModelElements[[#This Row],[Type:src]],meta_Classifiers[ID],0)))</f>
        <v>String</v>
      </c>
      <c r="AG34" s="5" t="s">
        <v>180</v>
      </c>
      <c r="AH34" s="22" t="str">
        <f xml:space="preserve"> IF( TRIM( meta_TypedModelElements[[#This Row],[Type:src]] ) = "", "",
        INDEX( meta_Classifiers[Display Qualified], MATCH( meta_TypedModelElements[[#This Row],[Type:src]], meta_Classifiers[ID], 0 ) ) )</f>
        <v>String</v>
      </c>
      <c r="AI34" s="22" t="s">
        <v>21</v>
      </c>
      <c r="AJ34" s="22" t="s">
        <v>232</v>
      </c>
      <c r="AK34" s="8"/>
      <c r="AL34" s="22" t="str">
        <f xml:space="preserve"> IF( TRIM( meta_TypedModelElements[[#This Row],[Reference - Opposite:src]] ) = "", "",
        INDEX( meta_TypedModelElements[Display Qualified], MATCH( meta_TypedModelElements[[#This Row],[Reference - Opposite:src]], meta_TypedModelElements[ID], 0 ) ) )</f>
        <v/>
      </c>
      <c r="AM34" s="8"/>
      <c r="AN3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4" s="22"/>
      <c r="AP34"/>
      <c r="AQ34" s="22" t="str">
        <f xml:space="preserve"> IF( TRIM( meta_TypedModelElements[[#This Row],[Function - Owning Property:src]] ) = "", "",
        INDEX( meta_TypedModelElements[Display Qualified], MATCH( meta_TypedModelElements[[#This Row],[Function - Owning Property:src]], meta_TypedModelElements[ID], 0 ) ) )</f>
        <v/>
      </c>
      <c r="AT34" s="22" t="str">
        <f>IF(meta_TypedModelElements[[#This Row],[Parameter - Owning Function:src]]="","",INDEX(meta_TypedModelElements[Display Qualified],MATCH(meta_TypedModelElements[[#This Row],[Parameter - Owning Function:src]],meta_TypedModelElements[ID],0)))</f>
        <v/>
      </c>
      <c r="AV34" s="89"/>
      <c r="AW3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4" s="5" t="str">
        <f>"[@["&amp;meta_TypedModelElements[[#This Row],[Name or Type]]&amp;":src]]"</f>
        <v>[@[Sheet Name:src]]</v>
      </c>
      <c r="AY3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4" s="40"/>
      <c r="BC34" s="40" t="str">
        <f>IF(meta_TypedModelElements[[#This Row],[Kind:src]]="_Parameter","",IF(AND(meta_TypedModelElements[[#This Row],[Package]]="util",meta_TypedModelElements[[#This Row],[Containing Class]]=0), "public", "method"))</f>
        <v>method</v>
      </c>
      <c r="BD34" s="40"/>
      <c r="BE3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4" s="40"/>
      <c r="BK34" s="7" t="s">
        <v>939</v>
      </c>
    </row>
    <row r="35" spans="1:63" ht="202.5">
      <c r="A35" s="5" t="s">
        <v>736</v>
      </c>
      <c r="B35" s="5" t="s">
        <v>167</v>
      </c>
      <c r="C35" s="22" t="str">
        <f xml:space="preserve"> IF( TRIM( meta_TypedModelElements[[#This Row],[Kind:src]] ) = "", "",
        INDEX( meta_Classifiers[Display Qualified], MATCH( meta_TypedModelElements[[#This Row],[Kind:src]], meta_Classifiers[ID], 0 ) ) )</f>
        <v>Reference</v>
      </c>
      <c r="D35" s="22">
        <v>34</v>
      </c>
      <c r="E35" s="22" t="s">
        <v>142</v>
      </c>
      <c r="F35" s="22"/>
      <c r="G3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5" s="8" t="s">
        <v>160</v>
      </c>
      <c r="J35" s="22" t="str">
        <f xml:space="preserve"> IF( TRIM( meta_TypedModelElements[[#This Row],[Property - Owning Class:src]] ) = "", "",
        INDEX( meta_Classifiers[Display Qualified], MATCH( meta_TypedModelElements[[#This Row],[Property - Owning Class:src]], meta_Classifiers[ID], 0 ) ) )</f>
        <v>Object</v>
      </c>
      <c r="K3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meta::Object.excelName</v>
      </c>
      <c r="L35" s="5" t="str">
        <f>IF(meta_TypedModelElements[[#This Row],[Kind:src]]="_Function",meta_TypedModelElements[[#This Row],[Display Qualified]],"")</f>
        <v/>
      </c>
      <c r="M35" s="5" t="str">
        <f>IF(meta_TypedModelElements[[#This Row],[Kind:src]]="_Attribute",meta_TypedModelElements[[#This Row],[Display Qualified]],"")</f>
        <v/>
      </c>
      <c r="N35" s="5" t="str">
        <f>IF(meta_TypedModelElements[[#This Row],[Kind:src]]="_Reference",meta_TypedModelElements[[#This Row],[Display Qualified]],"")</f>
        <v>meta::Object.excelName</v>
      </c>
      <c r="O35" s="5" t="str">
        <f>IF(OR(meta_TypedModelElements[[#This Row],[Kind:src]]="_Attribute",meta_TypedModelElements[[#This Row],[Kind:src]]="_Reference"),meta_TypedModelElements[[#This Row],[Display Qualified]],"")</f>
        <v>meta::Object.excelName</v>
      </c>
      <c r="P35" s="22"/>
      <c r="Q35" s="22"/>
      <c r="R35" s="5" t="str">
        <f>IF(meta_TypedModelElements[[#This Row],[Containing Class:display]]="","",meta_TypedModelElements[[#This Row],[Containing Class:display]]&amp;".")&amp;meta_TypedModelElements[[#This Row],[Display without Class]]</f>
        <v>Object.excelName</v>
      </c>
      <c r="S35" s="5" t="str" cm="1">
        <f t="array" ref="S35">_xlfn.IFNA(INDEX(meta_Names[Camel Lower], MATCH(meta_TypedModelElements[[#This Row],[Name or Type]],meta_Names[String],0)),camelCaseLower(meta_TypedModelElements[[#This Row],[Name or Type]]))</f>
        <v>excelName</v>
      </c>
      <c r="T35" s="5" t="str">
        <f>IF(meta_TypedModelElements[[#This Row],[Name or Type]]="","",meta_TypedModelElements[[#This Row],[Name or Type Camel Case Lower]])&amp;IF(meta_TypedModelElements[[#This Row],[Kind:src]]="_Function","("&amp;meta_TypedModelElements[[#This Row],[Function - Parameters Display]]&amp;")","")</f>
        <v>excelName</v>
      </c>
      <c r="U3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Excel Name</v>
      </c>
      <c r="V35" s="22" t="s">
        <v>735</v>
      </c>
      <c r="W35" s="5" t="e">
        <f>INDEX(meta_Classifiers[Class - Generalization:src],MATCH(meta_TypedModelElements[[#This Row],[Type Super Type 6]],meta_Classifiers[ID],0))</f>
        <v>#N/A</v>
      </c>
      <c r="X35" s="5" t="e">
        <f>INDEX(meta_Classifiers[Class - Generalization:src],MATCH(meta_TypedModelElements[[#This Row],[Type Super Type 5]],meta_Classifiers[ID],0))</f>
        <v>#N/A</v>
      </c>
      <c r="Y35" s="5" t="e">
        <f>INDEX(meta_Classifiers[Class - Generalization:src],MATCH(meta_TypedModelElements[[#This Row],[Type Super Type 4]],meta_Classifiers[ID],0))</f>
        <v>#N/A</v>
      </c>
      <c r="Z35" s="5" t="str">
        <f>INDEX(meta_Classifiers[Class - Generalization:src],MATCH(meta_TypedModelElements[[#This Row],[Type Super Type 3]],meta_Classifiers[ID],0))</f>
        <v/>
      </c>
      <c r="AA35" s="5" t="str">
        <f>INDEX(meta_Classifiers[Class - Generalization:src],MATCH(meta_TypedModelElements[[#This Row],[Type Super Type 2]],meta_Classifiers[ID],0))</f>
        <v>_Object</v>
      </c>
      <c r="AB35" s="5" t="str">
        <f>INDEX(meta_Classifiers[Class - Generalization:src],MATCH(meta_TypedModelElements[[#This Row],[Type Super Type 1]],meta_Classifiers[ID],0))</f>
        <v>_NamedElement</v>
      </c>
      <c r="AC35" s="5" t="str">
        <f>INDEX(meta_Classifiers[Class - Generalization:src],MATCH(meta_TypedModelElements[[#This Row],[Type:src]],meta_Classifiers[ID],0))</f>
        <v>_Classifier</v>
      </c>
      <c r="AD35" s="5" t="str">
        <f>IF(meta_TypedModelElements[[#This Row],[Kind:src]]&lt;&gt;"_Function",meta_TypedModelElements[[#This Row],[Type]],INDEX(meta_TypedModelElements[Type],MATCH(meta_TypedModelElements[[#This Row],[Function - Owning Property:src]],meta_TypedModelElements[ID],0)))</f>
        <v>Class</v>
      </c>
      <c r="AE35" s="5" t="str">
        <f>IF(meta_TypedModelElements[[#This Row],[Kind:src]]&lt;&gt;"_Function",meta_TypedModelElements[[#This Row],[Type:src]],INDEX(meta_TypedModelElements[Type:src],MATCH(meta_TypedModelElements[[#This Row],[Function - Owning Property:src]],meta_TypedModelElements[ID],0)))</f>
        <v>_Class</v>
      </c>
      <c r="AF35" s="5" t="str">
        <f>IF(meta_TypedModelElements[[#This Row],[Type:src]]="","",INDEX(meta_Classifiers[Name],MATCH(meta_TypedModelElements[[#This Row],[Type:src]],meta_Classifiers[ID],0)))</f>
        <v>Class</v>
      </c>
      <c r="AG35" s="5" t="s">
        <v>163</v>
      </c>
      <c r="AH35" s="22" t="str">
        <f xml:space="preserve"> IF( TRIM( meta_TypedModelElements[[#This Row],[Type:src]] ) = "", "",
        INDEX( meta_Classifiers[Display Qualified], MATCH( meta_TypedModelElements[[#This Row],[Type:src]], meta_Classifiers[ID], 0 ) ) )</f>
        <v>Class</v>
      </c>
      <c r="AI35" s="22" t="s">
        <v>19</v>
      </c>
      <c r="AJ35" s="22"/>
      <c r="AK35" s="8"/>
      <c r="AL35" s="22" t="str">
        <f xml:space="preserve"> IF( TRIM( meta_TypedModelElements[[#This Row],[Reference - Opposite:src]] ) = "", "",
        INDEX( meta_TypedModelElements[Display Qualified], MATCH( meta_TypedModelElements[[#This Row],[Reference - Opposite:src]], meta_TypedModelElements[ID], 0 ) ) )</f>
        <v/>
      </c>
      <c r="AM35" s="8"/>
      <c r="AN3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5" s="22"/>
      <c r="AP35"/>
      <c r="AQ35" s="22" t="str">
        <f xml:space="preserve"> IF( TRIM( meta_TypedModelElements[[#This Row],[Function - Owning Property:src]] ) = "", "",
        INDEX( meta_TypedModelElements[Display Qualified], MATCH( meta_TypedModelElements[[#This Row],[Function - Owning Property:src]], meta_TypedModelElements[ID], 0 ) ) )</f>
        <v/>
      </c>
      <c r="AT35" s="22" t="str">
        <f>IF(meta_TypedModelElements[[#This Row],[Parameter - Owning Function:src]]="","",INDEX(meta_TypedModelElements[Display Qualified],MATCH(meta_TypedModelElements[[#This Row],[Parameter - Owning Function:src]],meta_TypedModelElements[ID],0)))</f>
        <v/>
      </c>
      <c r="AV35" s="89"/>
      <c r="AW3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5" s="5" t="str">
        <f>"[@["&amp;meta_TypedModelElements[[#This Row],[Name or Type]]&amp;":src]]"</f>
        <v>[@[Excel Name:src]]</v>
      </c>
      <c r="AY35" s="69"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[@[Excel Name:src]] ) = "",
        "",
    IF( LEFT([@[Excel Name:src]],1)="_",
        RIGHT([@[Excel Name:src]],LEN([@[Excel Name:src]])-1),
    IF( TRIM( [@Package] )
            &lt;&gt; TRIM( INDEX( meta_Classifiers[Package], MATCH( [@[Excel Name:src]], meta_Classifiers[ID],0 ) ) ),
        TRIM( INDEX( meta_Classifiers[Package], MATCH( [@[Excel Name:src]], meta_Classifiers[ID], 0 ) ) )
            &amp; "::"
            &amp; INDEX( meta_Classifiers[Display], MATCH( [@[Excel Name:src]], meta_Classifiers[ID], 0 ) ),
        INDEX( meta_Classifiers[Display], MATCH( [@[Excel Name:src]], meta_Classifiers[ID], 0 ) )
    ))), "")</v>
      </c>
      <c r="AZ35" s="69"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"Excel Name" Then
                   referedTableName = "meta_Classifiers"
                   referedColumnName = "Display"
                   Call StaticCode.updateIdOnNameChange(cellRef, referingTableName, referingColumnName, referedTableName, referedColumnName)
            End If</v>
      </c>
      <c r="BA35" s="69"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Excel Name" Then
                   referedTableName = "meta_Classifiers"
                   referedColumnName = "Display"
                   Call StaticCode.updateIdOnNameChange(cellRef, referingTableName, referingColumnName, referedTableName, referedColumnName)
            End If</v>
      </c>
      <c r="BB35" s="69"/>
      <c r="BC35" s="69" t="str">
        <f>IF(meta_TypedModelElements[[#This Row],[Kind:src]]="_Parameter","",IF(AND(meta_TypedModelElements[[#This Row],[Package]]="util",meta_TypedModelElements[[#This Row],[Containing Class]]=0), "public", "method"))</f>
        <v>method</v>
      </c>
      <c r="BD35" s="69"/>
      <c r="BE35" s="69"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5" s="69"/>
      <c r="BK35" s="7" t="s">
        <v>938</v>
      </c>
    </row>
    <row r="36" spans="1:63">
      <c r="A36" s="5" t="s">
        <v>362</v>
      </c>
      <c r="B36" s="5" t="s">
        <v>168</v>
      </c>
      <c r="C36" s="22" t="str">
        <f xml:space="preserve"> IF( TRIM( meta_TypedModelElements[[#This Row],[Kind:src]] ) = "", "",
        INDEX( meta_Classifiers[Display Qualified], MATCH( meta_TypedModelElements[[#This Row],[Kind:src]], meta_Classifiers[ID], 0 ) ) )</f>
        <v>Attribute</v>
      </c>
      <c r="D36" s="22">
        <v>35</v>
      </c>
      <c r="E36" s="22" t="s">
        <v>142</v>
      </c>
      <c r="F36" s="22"/>
      <c r="G3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6" s="8" t="s">
        <v>160</v>
      </c>
      <c r="J36" s="22" t="str">
        <f xml:space="preserve"> IF( TRIM( meta_TypedModelElements[[#This Row],[Property - Owning Class:src]] ) = "", "",
        INDEX( meta_Classifiers[Display Qualified], MATCH( meta_TypedModelElements[[#This Row],[Property - Owning Class:src]], meta_Classifiers[ID], 0 ) ) )</f>
        <v>Object</v>
      </c>
      <c r="K3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meta::Object.branchOfTable</v>
      </c>
      <c r="L36" s="5" t="str">
        <f>IF(meta_TypedModelElements[[#This Row],[Kind:src]]="_Function",meta_TypedModelElements[[#This Row],[Display Qualified]],"")</f>
        <v/>
      </c>
      <c r="M36" s="5" t="str">
        <f>IF(meta_TypedModelElements[[#This Row],[Kind:src]]="_Attribute",meta_TypedModelElements[[#This Row],[Display Qualified]],"")</f>
        <v>meta::Object.branchOfTable</v>
      </c>
      <c r="N36" s="5" t="str">
        <f>IF(meta_TypedModelElements[[#This Row],[Kind:src]]="_Reference",meta_TypedModelElements[[#This Row],[Display Qualified]],"")</f>
        <v/>
      </c>
      <c r="O36" s="5" t="str">
        <f>IF(OR(meta_TypedModelElements[[#This Row],[Kind:src]]="_Attribute",meta_TypedModelElements[[#This Row],[Kind:src]]="_Reference"),meta_TypedModelElements[[#This Row],[Display Qualified]],"")</f>
        <v>meta::Object.branchOfTable</v>
      </c>
      <c r="P36" s="22"/>
      <c r="Q36" s="22"/>
      <c r="R36" s="5" t="str">
        <f>IF(meta_TypedModelElements[[#This Row],[Containing Class:display]]="","",meta_TypedModelElements[[#This Row],[Containing Class:display]]&amp;".")&amp;meta_TypedModelElements[[#This Row],[Display without Class]]</f>
        <v>Object.branchOfTable</v>
      </c>
      <c r="S36" s="5" t="str" cm="1">
        <f t="array" ref="S36">_xlfn.IFNA(INDEX(meta_Names[Camel Lower], MATCH(meta_TypedModelElements[[#This Row],[Name or Type]],meta_Names[String],0)),camelCaseLower(meta_TypedModelElements[[#This Row],[Name or Type]]))</f>
        <v>branchOfTable</v>
      </c>
      <c r="T36" s="5" t="str">
        <f>IF(meta_TypedModelElements[[#This Row],[Name or Type]]="","",meta_TypedModelElements[[#This Row],[Name or Type Camel Case Lower]])&amp;IF(meta_TypedModelElements[[#This Row],[Kind:src]]="_Function","("&amp;meta_TypedModelElements[[#This Row],[Function - Parameters Display]]&amp;")","")</f>
        <v>branchOfTable</v>
      </c>
      <c r="U3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Branch of Table</v>
      </c>
      <c r="V36" s="22" t="s">
        <v>318</v>
      </c>
      <c r="W36" s="5" t="e">
        <f>INDEX(meta_Classifiers[Class - Generalization:src],MATCH(meta_TypedModelElements[[#This Row],[Type Super Type 6]],meta_Classifiers[ID],0))</f>
        <v>#N/A</v>
      </c>
      <c r="X36" s="5" t="e">
        <f>INDEX(meta_Classifiers[Class - Generalization:src],MATCH(meta_TypedModelElements[[#This Row],[Type Super Type 5]],meta_Classifiers[ID],0))</f>
        <v>#N/A</v>
      </c>
      <c r="Y36" s="5" t="e">
        <f>INDEX(meta_Classifiers[Class - Generalization:src],MATCH(meta_TypedModelElements[[#This Row],[Type Super Type 4]],meta_Classifiers[ID],0))</f>
        <v>#N/A</v>
      </c>
      <c r="Z36" s="5" t="e">
        <f>INDEX(meta_Classifiers[Class - Generalization:src],MATCH(meta_TypedModelElements[[#This Row],[Type Super Type 3]],meta_Classifiers[ID],0))</f>
        <v>#N/A</v>
      </c>
      <c r="AA36" s="5" t="e">
        <f>INDEX(meta_Classifiers[Class - Generalization:src],MATCH(meta_TypedModelElements[[#This Row],[Type Super Type 2]],meta_Classifiers[ID],0))</f>
        <v>#N/A</v>
      </c>
      <c r="AB36" s="5" t="e">
        <f>INDEX(meta_Classifiers[Class - Generalization:src],MATCH(meta_TypedModelElements[[#This Row],[Type Super Type 1]],meta_Classifiers[ID],0))</f>
        <v>#N/A</v>
      </c>
      <c r="AC36" s="5" t="str">
        <f>INDEX(meta_Classifiers[Class - Generalization:src],MATCH(meta_TypedModelElements[[#This Row],[Type:src]],meta_Classifiers[ID],0))</f>
        <v/>
      </c>
      <c r="AD36" s="5" t="str">
        <f>IF(meta_TypedModelElements[[#This Row],[Kind:src]]&lt;&gt;"_Function",meta_TypedModelElements[[#This Row],[Type]],INDEX(meta_TypedModelElements[Type],MATCH(meta_TypedModelElements[[#This Row],[Function - Owning Property:src]],meta_TypedModelElements[ID],0)))</f>
        <v>String</v>
      </c>
      <c r="AE36" s="5" t="str">
        <f>IF(meta_TypedModelElements[[#This Row],[Kind:src]]&lt;&gt;"_Function",meta_TypedModelElements[[#This Row],[Type:src]],INDEX(meta_TypedModelElements[Type:src],MATCH(meta_TypedModelElements[[#This Row],[Function - Owning Property:src]],meta_TypedModelElements[ID],0)))</f>
        <v>_String</v>
      </c>
      <c r="AF36" s="5" t="str">
        <f>IF(meta_TypedModelElements[[#This Row],[Type:src]]="","",INDEX(meta_Classifiers[Name],MATCH(meta_TypedModelElements[[#This Row],[Type:src]],meta_Classifiers[ID],0)))</f>
        <v>String</v>
      </c>
      <c r="AG36" s="5" t="s">
        <v>180</v>
      </c>
      <c r="AH36" s="22" t="str">
        <f xml:space="preserve"> IF( TRIM( meta_TypedModelElements[[#This Row],[Type:src]] ) = "", "",
        INDEX( meta_Classifiers[Display Qualified], MATCH( meta_TypedModelElements[[#This Row],[Type:src]], meta_Classifiers[ID], 0 ) ) )</f>
        <v>String</v>
      </c>
      <c r="AI36" s="22" t="s">
        <v>21</v>
      </c>
      <c r="AJ36" s="22" t="s">
        <v>232</v>
      </c>
      <c r="AK36" s="8"/>
      <c r="AL36" s="22" t="str">
        <f xml:space="preserve"> IF( TRIM( meta_TypedModelElements[[#This Row],[Reference - Opposite:src]] ) = "", "",
        INDEX( meta_TypedModelElements[Display Qualified], MATCH( meta_TypedModelElements[[#This Row],[Reference - Opposite:src]], meta_TypedModelElements[ID], 0 ) ) )</f>
        <v/>
      </c>
      <c r="AM36" s="8"/>
      <c r="AN3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6" s="22"/>
      <c r="AP36"/>
      <c r="AQ36" s="22" t="str">
        <f xml:space="preserve"> IF( TRIM( meta_TypedModelElements[[#This Row],[Function - Owning Property:src]] ) = "", "",
        INDEX( meta_TypedModelElements[Display Qualified], MATCH( meta_TypedModelElements[[#This Row],[Function - Owning Property:src]], meta_TypedModelElements[ID], 0 ) ) )</f>
        <v/>
      </c>
      <c r="AT36" s="22" t="str">
        <f>IF(meta_TypedModelElements[[#This Row],[Parameter - Owning Function:src]]="","",INDEX(meta_TypedModelElements[Display Qualified],MATCH(meta_TypedModelElements[[#This Row],[Parameter - Owning Function:src]],meta_TypedModelElements[ID],0)))</f>
        <v/>
      </c>
      <c r="AV36" s="89"/>
      <c r="AW3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6" s="5" t="str">
        <f>"[@["&amp;meta_TypedModelElements[[#This Row],[Name or Type]]&amp;":src]]"</f>
        <v>[@[Branch of Table:src]]</v>
      </c>
      <c r="AY3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6" s="40"/>
      <c r="BC36" s="40" t="str">
        <f>IF(meta_TypedModelElements[[#This Row],[Kind:src]]="_Parameter","",IF(AND(meta_TypedModelElements[[#This Row],[Package]]="util",meta_TypedModelElements[[#This Row],[Containing Class]]=0), "public", "method"))</f>
        <v>method</v>
      </c>
      <c r="BD36" s="40"/>
      <c r="BE3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6" s="40"/>
    </row>
    <row r="37" spans="1:63">
      <c r="A37" s="5" t="s">
        <v>363</v>
      </c>
      <c r="B37" s="5" t="s">
        <v>168</v>
      </c>
      <c r="C37" s="22" t="str">
        <f xml:space="preserve"> IF( TRIM( meta_TypedModelElements[[#This Row],[Kind:src]] ) = "", "",
        INDEX( meta_Classifiers[Display Qualified], MATCH( meta_TypedModelElements[[#This Row],[Kind:src]], meta_Classifiers[ID], 0 ) ) )</f>
        <v>Attribute</v>
      </c>
      <c r="D37" s="22">
        <v>36</v>
      </c>
      <c r="E37" s="22" t="s">
        <v>142</v>
      </c>
      <c r="F37" s="22"/>
      <c r="G3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7" s="8" t="s">
        <v>160</v>
      </c>
      <c r="J37" s="22" t="str">
        <f xml:space="preserve"> IF( TRIM( meta_TypedModelElements[[#This Row],[Property - Owning Class:src]] ) = "", "",
        INDEX( meta_Classifiers[Display Qualified], MATCH( meta_TypedModelElements[[#This Row],[Property - Owning Class:src]], meta_Classifiers[ID], 0 ) ) )</f>
        <v>Object</v>
      </c>
      <c r="K3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meta::Object.createBranch</v>
      </c>
      <c r="L37" s="5" t="str">
        <f>IF(meta_TypedModelElements[[#This Row],[Kind:src]]="_Function",meta_TypedModelElements[[#This Row],[Display Qualified]],"")</f>
        <v/>
      </c>
      <c r="M37" s="5" t="str">
        <f>IF(meta_TypedModelElements[[#This Row],[Kind:src]]="_Attribute",meta_TypedModelElements[[#This Row],[Display Qualified]],"")</f>
        <v>meta::Object.createBranch</v>
      </c>
      <c r="N37" s="5" t="str">
        <f>IF(meta_TypedModelElements[[#This Row],[Kind:src]]="_Reference",meta_TypedModelElements[[#This Row],[Display Qualified]],"")</f>
        <v/>
      </c>
      <c r="O37" s="5" t="str">
        <f>IF(OR(meta_TypedModelElements[[#This Row],[Kind:src]]="_Attribute",meta_TypedModelElements[[#This Row],[Kind:src]]="_Reference"),meta_TypedModelElements[[#This Row],[Display Qualified]],"")</f>
        <v>meta::Object.createBranch</v>
      </c>
      <c r="P37" s="22"/>
      <c r="Q37" s="22"/>
      <c r="R37" s="5" t="str">
        <f>IF(meta_TypedModelElements[[#This Row],[Containing Class:display]]="","",meta_TypedModelElements[[#This Row],[Containing Class:display]]&amp;".")&amp;meta_TypedModelElements[[#This Row],[Display without Class]]</f>
        <v>Object.createBranch</v>
      </c>
      <c r="S37" s="5" t="str" cm="1">
        <f t="array" ref="S37">_xlfn.IFNA(INDEX(meta_Names[Camel Lower], MATCH(meta_TypedModelElements[[#This Row],[Name or Type]],meta_Names[String],0)),camelCaseLower(meta_TypedModelElements[[#This Row],[Name or Type]]))</f>
        <v>createBranch</v>
      </c>
      <c r="T37" s="5" t="str">
        <f>IF(meta_TypedModelElements[[#This Row],[Name or Type]]="","",meta_TypedModelElements[[#This Row],[Name or Type Camel Case Lower]])&amp;IF(meta_TypedModelElements[[#This Row],[Kind:src]]="_Function","("&amp;meta_TypedModelElements[[#This Row],[Function - Parameters Display]]&amp;")","")</f>
        <v>createBranch</v>
      </c>
      <c r="U3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Create Branch</v>
      </c>
      <c r="V37" s="22" t="s">
        <v>320</v>
      </c>
      <c r="W37" s="5" t="e">
        <f>INDEX(meta_Classifiers[Class - Generalization:src],MATCH(meta_TypedModelElements[[#This Row],[Type Super Type 6]],meta_Classifiers[ID],0))</f>
        <v>#N/A</v>
      </c>
      <c r="X37" s="5" t="e">
        <f>INDEX(meta_Classifiers[Class - Generalization:src],MATCH(meta_TypedModelElements[[#This Row],[Type Super Type 5]],meta_Classifiers[ID],0))</f>
        <v>#N/A</v>
      </c>
      <c r="Y37" s="5" t="e">
        <f>INDEX(meta_Classifiers[Class - Generalization:src],MATCH(meta_TypedModelElements[[#This Row],[Type Super Type 4]],meta_Classifiers[ID],0))</f>
        <v>#N/A</v>
      </c>
      <c r="Z37" s="5" t="e">
        <f>INDEX(meta_Classifiers[Class - Generalization:src],MATCH(meta_TypedModelElements[[#This Row],[Type Super Type 3]],meta_Classifiers[ID],0))</f>
        <v>#N/A</v>
      </c>
      <c r="AA37" s="5" t="e">
        <f>INDEX(meta_Classifiers[Class - Generalization:src],MATCH(meta_TypedModelElements[[#This Row],[Type Super Type 2]],meta_Classifiers[ID],0))</f>
        <v>#N/A</v>
      </c>
      <c r="AB37" s="5" t="e">
        <f>INDEX(meta_Classifiers[Class - Generalization:src],MATCH(meta_TypedModelElements[[#This Row],[Type Super Type 1]],meta_Classifiers[ID],0))</f>
        <v>#N/A</v>
      </c>
      <c r="AC37" s="5" t="str">
        <f>INDEX(meta_Classifiers[Class - Generalization:src],MATCH(meta_TypedModelElements[[#This Row],[Type:src]],meta_Classifiers[ID],0))</f>
        <v/>
      </c>
      <c r="AD37" s="5" t="str">
        <f>IF(meta_TypedModelElements[[#This Row],[Kind:src]]&lt;&gt;"_Function",meta_TypedModelElements[[#This Row],[Type]],INDEX(meta_TypedModelElements[Type],MATCH(meta_TypedModelElements[[#This Row],[Function - Owning Property:src]],meta_TypedModelElements[ID],0)))</f>
        <v>String</v>
      </c>
      <c r="AE37" s="5" t="str">
        <f>IF(meta_TypedModelElements[[#This Row],[Kind:src]]&lt;&gt;"_Function",meta_TypedModelElements[[#This Row],[Type:src]],INDEX(meta_TypedModelElements[Type:src],MATCH(meta_TypedModelElements[[#This Row],[Function - Owning Property:src]],meta_TypedModelElements[ID],0)))</f>
        <v>_String</v>
      </c>
      <c r="AF37" s="5" t="str">
        <f>IF(meta_TypedModelElements[[#This Row],[Type:src]]="","",INDEX(meta_Classifiers[Name],MATCH(meta_TypedModelElements[[#This Row],[Type:src]],meta_Classifiers[ID],0)))</f>
        <v>String</v>
      </c>
      <c r="AG37" s="5" t="s">
        <v>180</v>
      </c>
      <c r="AH37" s="22" t="str">
        <f xml:space="preserve"> IF( TRIM( meta_TypedModelElements[[#This Row],[Type:src]] ) = "", "",
        INDEX( meta_Classifiers[Display Qualified], MATCH( meta_TypedModelElements[[#This Row],[Type:src]], meta_Classifiers[ID], 0 ) ) )</f>
        <v>String</v>
      </c>
      <c r="AI37" s="22" t="s">
        <v>21</v>
      </c>
      <c r="AJ37" s="22" t="s">
        <v>232</v>
      </c>
      <c r="AK37" s="8"/>
      <c r="AL37" s="22" t="str">
        <f xml:space="preserve"> IF( TRIM( meta_TypedModelElements[[#This Row],[Reference - Opposite:src]] ) = "", "",
        INDEX( meta_TypedModelElements[Display Qualified], MATCH( meta_TypedModelElements[[#This Row],[Reference - Opposite:src]], meta_TypedModelElements[ID], 0 ) ) )</f>
        <v/>
      </c>
      <c r="AM37" s="8"/>
      <c r="AN3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7" s="22"/>
      <c r="AP37"/>
      <c r="AQ37" s="22" t="str">
        <f xml:space="preserve"> IF( TRIM( meta_TypedModelElements[[#This Row],[Function - Owning Property:src]] ) = "", "",
        INDEX( meta_TypedModelElements[Display Qualified], MATCH( meta_TypedModelElements[[#This Row],[Function - Owning Property:src]], meta_TypedModelElements[ID], 0 ) ) )</f>
        <v/>
      </c>
      <c r="AT37" s="22" t="str">
        <f>IF(meta_TypedModelElements[[#This Row],[Parameter - Owning Function:src]]="","",INDEX(meta_TypedModelElements[Display Qualified],MATCH(meta_TypedModelElements[[#This Row],[Parameter - Owning Function:src]],meta_TypedModelElements[ID],0)))</f>
        <v/>
      </c>
      <c r="AV37" s="89"/>
      <c r="AW3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7" s="5" t="str">
        <f>"[@["&amp;meta_TypedModelElements[[#This Row],[Name or Type]]&amp;":src]]"</f>
        <v>[@[Create Branch:src]]</v>
      </c>
      <c r="AY3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7" s="40"/>
      <c r="BC37" s="40" t="str">
        <f>IF(meta_TypedModelElements[[#This Row],[Kind:src]]="_Parameter","",IF(AND(meta_TypedModelElements[[#This Row],[Package]]="util",meta_TypedModelElements[[#This Row],[Containing Class]]=0), "public", "method"))</f>
        <v>method</v>
      </c>
      <c r="BD37" s="40"/>
      <c r="BE3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7" s="40"/>
    </row>
    <row r="38" spans="1:63">
      <c r="A38" s="5" t="s">
        <v>364</v>
      </c>
      <c r="B38" s="5" t="s">
        <v>168</v>
      </c>
      <c r="C38" s="22" t="str">
        <f xml:space="preserve"> IF( TRIM( meta_TypedModelElements[[#This Row],[Kind:src]] ) = "", "",
        INDEX( meta_Classifiers[Display Qualified], MATCH( meta_TypedModelElements[[#This Row],[Kind:src]], meta_Classifiers[ID], 0 ) ) )</f>
        <v>Attribute</v>
      </c>
      <c r="D38" s="22">
        <v>37</v>
      </c>
      <c r="E38" s="22" t="s">
        <v>142</v>
      </c>
      <c r="F38" s="22"/>
      <c r="G3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8" s="8" t="s">
        <v>160</v>
      </c>
      <c r="J38" s="22" t="str">
        <f xml:space="preserve"> IF( TRIM( meta_TypedModelElements[[#This Row],[Property - Owning Class:src]] ) = "", "",
        INDEX( meta_Classifiers[Display Qualified], MATCH( meta_TypedModelElements[[#This Row],[Property - Owning Class:src]], meta_Classifiers[ID], 0 ) ) )</f>
        <v>Object</v>
      </c>
      <c r="K3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meta::Object.mergeBranche</v>
      </c>
      <c r="L38" s="5" t="str">
        <f>IF(meta_TypedModelElements[[#This Row],[Kind:src]]="_Function",meta_TypedModelElements[[#This Row],[Display Qualified]],"")</f>
        <v/>
      </c>
      <c r="M38" s="5" t="str">
        <f>IF(meta_TypedModelElements[[#This Row],[Kind:src]]="_Attribute",meta_TypedModelElements[[#This Row],[Display Qualified]],"")</f>
        <v>meta::Object.mergeBranche</v>
      </c>
      <c r="N38" s="5" t="str">
        <f>IF(meta_TypedModelElements[[#This Row],[Kind:src]]="_Reference",meta_TypedModelElements[[#This Row],[Display Qualified]],"")</f>
        <v/>
      </c>
      <c r="O38" s="5" t="str">
        <f>IF(OR(meta_TypedModelElements[[#This Row],[Kind:src]]="_Attribute",meta_TypedModelElements[[#This Row],[Kind:src]]="_Reference"),meta_TypedModelElements[[#This Row],[Display Qualified]],"")</f>
        <v>meta::Object.mergeBranche</v>
      </c>
      <c r="P38" s="22"/>
      <c r="Q38" s="22"/>
      <c r="R38" s="5" t="str">
        <f>IF(meta_TypedModelElements[[#This Row],[Containing Class:display]]="","",meta_TypedModelElements[[#This Row],[Containing Class:display]]&amp;".")&amp;meta_TypedModelElements[[#This Row],[Display without Class]]</f>
        <v>Object.mergeBranche</v>
      </c>
      <c r="S38" s="5" t="str" cm="1">
        <f t="array" ref="S38">_xlfn.IFNA(INDEX(meta_Names[Camel Lower], MATCH(meta_TypedModelElements[[#This Row],[Name or Type]],meta_Names[String],0)),camelCaseLower(meta_TypedModelElements[[#This Row],[Name or Type]]))</f>
        <v>mergeBranche</v>
      </c>
      <c r="T38" s="5" t="str">
        <f>IF(meta_TypedModelElements[[#This Row],[Name or Type]]="","",meta_TypedModelElements[[#This Row],[Name or Type Camel Case Lower]])&amp;IF(meta_TypedModelElements[[#This Row],[Kind:src]]="_Function","("&amp;meta_TypedModelElements[[#This Row],[Function - Parameters Display]]&amp;")","")</f>
        <v>mergeBranche</v>
      </c>
      <c r="U3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Merge Branche</v>
      </c>
      <c r="V38" s="22" t="s">
        <v>321</v>
      </c>
      <c r="W38" s="5" t="e">
        <f>INDEX(meta_Classifiers[Class - Generalization:src],MATCH(meta_TypedModelElements[[#This Row],[Type Super Type 6]],meta_Classifiers[ID],0))</f>
        <v>#N/A</v>
      </c>
      <c r="X38" s="5" t="e">
        <f>INDEX(meta_Classifiers[Class - Generalization:src],MATCH(meta_TypedModelElements[[#This Row],[Type Super Type 5]],meta_Classifiers[ID],0))</f>
        <v>#N/A</v>
      </c>
      <c r="Y38" s="5" t="e">
        <f>INDEX(meta_Classifiers[Class - Generalization:src],MATCH(meta_TypedModelElements[[#This Row],[Type Super Type 4]],meta_Classifiers[ID],0))</f>
        <v>#N/A</v>
      </c>
      <c r="Z38" s="5" t="e">
        <f>INDEX(meta_Classifiers[Class - Generalization:src],MATCH(meta_TypedModelElements[[#This Row],[Type Super Type 3]],meta_Classifiers[ID],0))</f>
        <v>#N/A</v>
      </c>
      <c r="AA38" s="5" t="e">
        <f>INDEX(meta_Classifiers[Class - Generalization:src],MATCH(meta_TypedModelElements[[#This Row],[Type Super Type 2]],meta_Classifiers[ID],0))</f>
        <v>#N/A</v>
      </c>
      <c r="AB38" s="5" t="e">
        <f>INDEX(meta_Classifiers[Class - Generalization:src],MATCH(meta_TypedModelElements[[#This Row],[Type Super Type 1]],meta_Classifiers[ID],0))</f>
        <v>#N/A</v>
      </c>
      <c r="AC38" s="5" t="str">
        <f>INDEX(meta_Classifiers[Class - Generalization:src],MATCH(meta_TypedModelElements[[#This Row],[Type:src]],meta_Classifiers[ID],0))</f>
        <v/>
      </c>
      <c r="AD38" s="5" t="str">
        <f>IF(meta_TypedModelElements[[#This Row],[Kind:src]]&lt;&gt;"_Function",meta_TypedModelElements[[#This Row],[Type]],INDEX(meta_TypedModelElements[Type],MATCH(meta_TypedModelElements[[#This Row],[Function - Owning Property:src]],meta_TypedModelElements[ID],0)))</f>
        <v>String</v>
      </c>
      <c r="AE38" s="5" t="str">
        <f>IF(meta_TypedModelElements[[#This Row],[Kind:src]]&lt;&gt;"_Function",meta_TypedModelElements[[#This Row],[Type:src]],INDEX(meta_TypedModelElements[Type:src],MATCH(meta_TypedModelElements[[#This Row],[Function - Owning Property:src]],meta_TypedModelElements[ID],0)))</f>
        <v>_String</v>
      </c>
      <c r="AF38" s="5" t="str">
        <f>IF(meta_TypedModelElements[[#This Row],[Type:src]]="","",INDEX(meta_Classifiers[Name],MATCH(meta_TypedModelElements[[#This Row],[Type:src]],meta_Classifiers[ID],0)))</f>
        <v>String</v>
      </c>
      <c r="AG38" s="5" t="s">
        <v>180</v>
      </c>
      <c r="AH38" s="22" t="str">
        <f xml:space="preserve"> IF( TRIM( meta_TypedModelElements[[#This Row],[Type:src]] ) = "", "",
        INDEX( meta_Classifiers[Display Qualified], MATCH( meta_TypedModelElements[[#This Row],[Type:src]], meta_Classifiers[ID], 0 ) ) )</f>
        <v>String</v>
      </c>
      <c r="AI38" s="22" t="s">
        <v>21</v>
      </c>
      <c r="AJ38" s="22" t="s">
        <v>232</v>
      </c>
      <c r="AK38" s="8"/>
      <c r="AL38" s="22" t="str">
        <f xml:space="preserve"> IF( TRIM( meta_TypedModelElements[[#This Row],[Reference - Opposite:src]] ) = "", "",
        INDEX( meta_TypedModelElements[Display Qualified], MATCH( meta_TypedModelElements[[#This Row],[Reference - Opposite:src]], meta_TypedModelElements[ID], 0 ) ) )</f>
        <v/>
      </c>
      <c r="AM38" s="8"/>
      <c r="AN3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8" s="22"/>
      <c r="AP38"/>
      <c r="AQ38" s="22" t="str">
        <f xml:space="preserve"> IF( TRIM( meta_TypedModelElements[[#This Row],[Function - Owning Property:src]] ) = "", "",
        INDEX( meta_TypedModelElements[Display Qualified], MATCH( meta_TypedModelElements[[#This Row],[Function - Owning Property:src]], meta_TypedModelElements[ID], 0 ) ) )</f>
        <v/>
      </c>
      <c r="AT38" s="22" t="str">
        <f>IF(meta_TypedModelElements[[#This Row],[Parameter - Owning Function:src]]="","",INDEX(meta_TypedModelElements[Display Qualified],MATCH(meta_TypedModelElements[[#This Row],[Parameter - Owning Function:src]],meta_TypedModelElements[ID],0)))</f>
        <v/>
      </c>
      <c r="AV38" s="89"/>
      <c r="AW3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8" s="5" t="str">
        <f>"[@["&amp;meta_TypedModelElements[[#This Row],[Name or Type]]&amp;":src]]"</f>
        <v>[@[Merge Branche:src]]</v>
      </c>
      <c r="AY3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8" s="40"/>
      <c r="BC38" s="40" t="str">
        <f>IF(meta_TypedModelElements[[#This Row],[Kind:src]]="_Parameter","",IF(AND(meta_TypedModelElements[[#This Row],[Package]]="util",meta_TypedModelElements[[#This Row],[Containing Class]]=0), "public", "method"))</f>
        <v>method</v>
      </c>
      <c r="BD38" s="40"/>
      <c r="BE3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8" s="40"/>
    </row>
    <row r="39" spans="1:63" ht="202.5">
      <c r="A39" s="5" t="s">
        <v>260</v>
      </c>
      <c r="B39" s="5" t="s">
        <v>167</v>
      </c>
      <c r="C39" s="22" t="str">
        <f xml:space="preserve"> IF( TRIM( meta_TypedModelElements[[#This Row],[Kind:src]] ) = "", "",
        INDEX( meta_Classifiers[Display Qualified], MATCH( meta_TypedModelElements[[#This Row],[Kind:src]], meta_Classifiers[ID], 0 ) ) )</f>
        <v>Reference</v>
      </c>
      <c r="D39" s="22">
        <v>38</v>
      </c>
      <c r="E39" s="22" t="s">
        <v>142</v>
      </c>
      <c r="F39" s="22"/>
      <c r="G3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3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39" s="8" t="s">
        <v>217</v>
      </c>
      <c r="J39" s="22" t="str">
        <f xml:space="preserve"> IF( TRIM( meta_TypedModelElements[[#This Row],[Property - Owning Class:src]] ) = "", "",
        INDEX( meta_Classifiers[Display Qualified], MATCH( meta_TypedModelElements[[#This Row],[Property - Owning Class:src]], meta_Classifiers[ID], 0 ) ) )</f>
        <v>Rule</v>
      </c>
      <c r="K3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meta::Rule.applyingKind</v>
      </c>
      <c r="L39" s="5" t="str">
        <f>IF(meta_TypedModelElements[[#This Row],[Kind:src]]="_Function",meta_TypedModelElements[[#This Row],[Display Qualified]],"")</f>
        <v/>
      </c>
      <c r="M39" s="5" t="str">
        <f>IF(meta_TypedModelElements[[#This Row],[Kind:src]]="_Attribute",meta_TypedModelElements[[#This Row],[Display Qualified]],"")</f>
        <v/>
      </c>
      <c r="N39" s="5" t="str">
        <f>IF(meta_TypedModelElements[[#This Row],[Kind:src]]="_Reference",meta_TypedModelElements[[#This Row],[Display Qualified]],"")</f>
        <v>meta::Rule.applyingKind</v>
      </c>
      <c r="O39" s="5" t="str">
        <f>IF(OR(meta_TypedModelElements[[#This Row],[Kind:src]]="_Attribute",meta_TypedModelElements[[#This Row],[Kind:src]]="_Reference"),meta_TypedModelElements[[#This Row],[Display Qualified]],"")</f>
        <v>meta::Rule.applyingKind</v>
      </c>
      <c r="P39" s="22"/>
      <c r="Q39" s="22"/>
      <c r="R39" s="5" t="str">
        <f>IF(meta_TypedModelElements[[#This Row],[Containing Class:display]]="","",meta_TypedModelElements[[#This Row],[Containing Class:display]]&amp;".")&amp;meta_TypedModelElements[[#This Row],[Display without Class]]</f>
        <v>Rule.applyingKind</v>
      </c>
      <c r="S39" s="5" t="str" cm="1">
        <f t="array" ref="S39">_xlfn.IFNA(INDEX(meta_Names[Camel Lower], MATCH(meta_TypedModelElements[[#This Row],[Name or Type]],meta_Names[String],0)),camelCaseLower(meta_TypedModelElements[[#This Row],[Name or Type]]))</f>
        <v>applyingKind</v>
      </c>
      <c r="T39" s="5" t="str">
        <f>IF(meta_TypedModelElements[[#This Row],[Name or Type]]="","",meta_TypedModelElements[[#This Row],[Name or Type Camel Case Lower]])&amp;IF(meta_TypedModelElements[[#This Row],[Kind:src]]="_Function","("&amp;meta_TypedModelElements[[#This Row],[Function - Parameters Display]]&amp;")","")</f>
        <v>applyingKind</v>
      </c>
      <c r="U3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Applying Kind</v>
      </c>
      <c r="V39" s="22" t="s">
        <v>17</v>
      </c>
      <c r="W39" s="5" t="e">
        <f>INDEX(meta_Classifiers[Class - Generalization:src],MATCH(meta_TypedModelElements[[#This Row],[Type Super Type 6]],meta_Classifiers[ID],0))</f>
        <v>#N/A</v>
      </c>
      <c r="X39" s="5" t="e">
        <f>INDEX(meta_Classifiers[Class - Generalization:src],MATCH(meta_TypedModelElements[[#This Row],[Type Super Type 5]],meta_Classifiers[ID],0))</f>
        <v>#N/A</v>
      </c>
      <c r="Y39" s="5" t="e">
        <f>INDEX(meta_Classifiers[Class - Generalization:src],MATCH(meta_TypedModelElements[[#This Row],[Type Super Type 4]],meta_Classifiers[ID],0))</f>
        <v>#N/A</v>
      </c>
      <c r="Z39" s="5" t="str">
        <f>INDEX(meta_Classifiers[Class - Generalization:src],MATCH(meta_TypedModelElements[[#This Row],[Type Super Type 3]],meta_Classifiers[ID],0))</f>
        <v/>
      </c>
      <c r="AA39" s="5" t="str">
        <f>INDEX(meta_Classifiers[Class - Generalization:src],MATCH(meta_TypedModelElements[[#This Row],[Type Super Type 2]],meta_Classifiers[ID],0))</f>
        <v>_Object</v>
      </c>
      <c r="AB39" s="5" t="str">
        <f>INDEX(meta_Classifiers[Class - Generalization:src],MATCH(meta_TypedModelElements[[#This Row],[Type Super Type 1]],meta_Classifiers[ID],0))</f>
        <v>_NamedElement</v>
      </c>
      <c r="AC39" s="5" t="str">
        <f>INDEX(meta_Classifiers[Class - Generalization:src],MATCH(meta_TypedModelElements[[#This Row],[Type:src]],meta_Classifiers[ID],0))</f>
        <v>_Classifier</v>
      </c>
      <c r="AD39" s="5" t="str">
        <f>IF(meta_TypedModelElements[[#This Row],[Kind:src]]&lt;&gt;"_Function",meta_TypedModelElements[[#This Row],[Type]],INDEX(meta_TypedModelElements[Type],MATCH(meta_TypedModelElements[[#This Row],[Function - Owning Property:src]],meta_TypedModelElements[ID],0)))</f>
        <v>Class</v>
      </c>
      <c r="AE39" s="5" t="str">
        <f>IF(meta_TypedModelElements[[#This Row],[Kind:src]]&lt;&gt;"_Function",meta_TypedModelElements[[#This Row],[Type:src]],INDEX(meta_TypedModelElements[Type:src],MATCH(meta_TypedModelElements[[#This Row],[Function - Owning Property:src]],meta_TypedModelElements[ID],0)))</f>
        <v>_Class</v>
      </c>
      <c r="AF39" s="5" t="str">
        <f>IF(meta_TypedModelElements[[#This Row],[Type:src]]="","",INDEX(meta_Classifiers[Name],MATCH(meta_TypedModelElements[[#This Row],[Type:src]],meta_Classifiers[ID],0)))</f>
        <v>Class</v>
      </c>
      <c r="AG39" s="5" t="s">
        <v>163</v>
      </c>
      <c r="AH39" s="22" t="str">
        <f xml:space="preserve"> IF( TRIM( meta_TypedModelElements[[#This Row],[Type:src]] ) = "", "",
        INDEX( meta_Classifiers[Display Qualified], MATCH( meta_TypedModelElements[[#This Row],[Type:src]], meta_Classifiers[ID], 0 ) ) )</f>
        <v>Class</v>
      </c>
      <c r="AI39" s="22" t="s">
        <v>21</v>
      </c>
      <c r="AJ39" s="22"/>
      <c r="AK39" s="8"/>
      <c r="AL39" s="22" t="str">
        <f xml:space="preserve"> IF( TRIM( meta_TypedModelElements[[#This Row],[Reference - Opposite:src]] ) = "", "",
        INDEX( meta_TypedModelElements[Display Qualified], MATCH( meta_TypedModelElements[[#This Row],[Reference - Opposite:src]], meta_TypedModelElements[ID], 0 ) ) )</f>
        <v/>
      </c>
      <c r="AM39" s="8"/>
      <c r="AN3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9" s="22"/>
      <c r="AP39"/>
      <c r="AQ39" s="22" t="str">
        <f xml:space="preserve"> IF( TRIM( meta_TypedModelElements[[#This Row],[Function - Owning Property:src]] ) = "", "",
        INDEX( meta_TypedModelElements[Display Qualified], MATCH( meta_TypedModelElements[[#This Row],[Function - Owning Property:src]], meta_TypedModelElements[ID], 0 ) ) )</f>
        <v/>
      </c>
      <c r="AT39" s="22" t="str">
        <f>IF(meta_TypedModelElements[[#This Row],[Parameter - Owning Function:src]]="","",INDEX(meta_TypedModelElements[Display Qualified],MATCH(meta_TypedModelElements[[#This Row],[Parameter - Owning Function:src]],meta_TypedModelElements[ID],0)))</f>
        <v/>
      </c>
      <c r="AV39" s="89"/>
      <c r="AW3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9" s="5" t="str">
        <f>"[@["&amp;meta_TypedModelElements[[#This Row],[Name or Type]]&amp;":src]]"</f>
        <v>[@[Applying Kind:src]]</v>
      </c>
      <c r="AY3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[@[Applying Kind:src]] ) = "",
        "",
    IF( LEFT([@[Applying Kind:src]],1)="_",
        RIGHT([@[Applying Kind:src]],LEN([@[Applying Kind:src]])-1),
    IF( TRIM( [@Package] )
            &lt;&gt; TRIM( INDEX( meta_Classifiers[Package], MATCH( [@[Applying Kind:src]], meta_Classifiers[ID],0 ) ) ),
        TRIM( INDEX( meta_Classifiers[Package], MATCH( [@[Applying Kind:src]], meta_Classifiers[ID], 0 ) ) )
            &amp; "::"
            &amp; INDEX( meta_Classifiers[Display], MATCH( [@[Applying Kind:src]], meta_Classifiers[ID], 0 ) ),
        INDEX( meta_Classifiers[Display], MATCH( [@[Applying Kind:src]], meta_Classifiers[ID], 0 ) )
    ))), "")</v>
      </c>
      <c r="AZ3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"Applying Kind" Then
                   referedTableName = "meta_Classifiers"
                   referedColumnName = "Display"
                   Call StaticCode.updateIdOnNameChange(cellRef, referingTableName, referingColumnName, referedTableName, referedColumnName)
            End If</v>
      </c>
      <c r="BA3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Applying Kind" Then
                   referedTableName = "meta_Classifiers"
                   referedColumnName = "Display"
                   Call StaticCode.updateIdOnNameChange(cellRef, referingTableName, referingColumnName, referedTableName, referedColumnName)
            End If</v>
      </c>
      <c r="BB39" s="40"/>
      <c r="BC39" s="40" t="str">
        <f>IF(meta_TypedModelElements[[#This Row],[Kind:src]]="_Parameter","",IF(AND(meta_TypedModelElements[[#This Row],[Package]]="util",meta_TypedModelElements[[#This Row],[Containing Class]]=0), "public", "method"))</f>
        <v>method</v>
      </c>
      <c r="BD39" s="40"/>
      <c r="BE3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9" s="40"/>
      <c r="BK39" s="5"/>
    </row>
    <row r="40" spans="1:63" ht="202.5">
      <c r="A40" s="5" t="s">
        <v>422</v>
      </c>
      <c r="B40" s="5" t="s">
        <v>167</v>
      </c>
      <c r="C40" s="22" t="str">
        <f xml:space="preserve"> IF( TRIM( meta_TypedModelElements[[#This Row],[Kind:src]] ) = "", "",
        INDEX( meta_Classifiers[Display Qualified], MATCH( meta_TypedModelElements[[#This Row],[Kind:src]], meta_Classifiers[ID], 0 ) ) )</f>
        <v>Reference</v>
      </c>
      <c r="D40" s="22">
        <v>39</v>
      </c>
      <c r="E40" s="22" t="s">
        <v>142</v>
      </c>
      <c r="F40" s="22"/>
      <c r="G4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0" s="8" t="s">
        <v>217</v>
      </c>
      <c r="J40" s="22" t="str">
        <f xml:space="preserve"> IF( TRIM( meta_TypedModelElements[[#This Row],[Property - Owning Class:src]] ) = "", "",
        INDEX( meta_Classifiers[Display Qualified], MATCH( meta_TypedModelElements[[#This Row],[Property - Owning Class:src]], meta_Classifiers[ID], 0 ) ) )</f>
        <v>Rule</v>
      </c>
      <c r="K4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meta::Rule.feature</v>
      </c>
      <c r="L40" s="5" t="str">
        <f>IF(meta_TypedModelElements[[#This Row],[Kind:src]]="_Function",meta_TypedModelElements[[#This Row],[Display Qualified]],"")</f>
        <v/>
      </c>
      <c r="M40" s="5" t="str">
        <f>IF(meta_TypedModelElements[[#This Row],[Kind:src]]="_Attribute",meta_TypedModelElements[[#This Row],[Display Qualified]],"")</f>
        <v/>
      </c>
      <c r="N40" s="5" t="str">
        <f>IF(meta_TypedModelElements[[#This Row],[Kind:src]]="_Reference",meta_TypedModelElements[[#This Row],[Display Qualified]],"")</f>
        <v>meta::Rule.feature</v>
      </c>
      <c r="O40" s="5" t="str">
        <f>IF(OR(meta_TypedModelElements[[#This Row],[Kind:src]]="_Attribute",meta_TypedModelElements[[#This Row],[Kind:src]]="_Reference"),meta_TypedModelElements[[#This Row],[Display Qualified]],"")</f>
        <v>meta::Rule.feature</v>
      </c>
      <c r="P40" s="22"/>
      <c r="Q40" s="22"/>
      <c r="R40" s="5" t="str">
        <f>IF(meta_TypedModelElements[[#This Row],[Containing Class:display]]="","",meta_TypedModelElements[[#This Row],[Containing Class:display]]&amp;".")&amp;meta_TypedModelElements[[#This Row],[Display without Class]]</f>
        <v>Rule.feature</v>
      </c>
      <c r="S40" s="5" t="str" cm="1">
        <f t="array" ref="S40">_xlfn.IFNA(INDEX(meta_Names[Camel Lower], MATCH(meta_TypedModelElements[[#This Row],[Name or Type]],meta_Names[String],0)),camelCaseLower(meta_TypedModelElements[[#This Row],[Name or Type]]))</f>
        <v>feature</v>
      </c>
      <c r="T40" s="5" t="str">
        <f>IF(meta_TypedModelElements[[#This Row],[Name or Type]]="","",meta_TypedModelElements[[#This Row],[Name or Type Camel Case Lower]])&amp;IF(meta_TypedModelElements[[#This Row],[Kind:src]]="_Function","("&amp;meta_TypedModelElements[[#This Row],[Function - Parameters Display]]&amp;")","")</f>
        <v>feature</v>
      </c>
      <c r="U4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Feature</v>
      </c>
      <c r="V40" s="22"/>
      <c r="W40" s="5" t="e">
        <f>INDEX(meta_Classifiers[Class - Generalization:src],MATCH(meta_TypedModelElements[[#This Row],[Type Super Type 6]],meta_Classifiers[ID],0))</f>
        <v>#N/A</v>
      </c>
      <c r="X40" s="5" t="e">
        <f>INDEX(meta_Classifiers[Class - Generalization:src],MATCH(meta_TypedModelElements[[#This Row],[Type Super Type 5]],meta_Classifiers[ID],0))</f>
        <v>#N/A</v>
      </c>
      <c r="Y40" s="5" t="e">
        <f>INDEX(meta_Classifiers[Class - Generalization:src],MATCH(meta_TypedModelElements[[#This Row],[Type Super Type 4]],meta_Classifiers[ID],0))</f>
        <v>#N/A</v>
      </c>
      <c r="Z40" s="5" t="str">
        <f>INDEX(meta_Classifiers[Class - Generalization:src],MATCH(meta_TypedModelElements[[#This Row],[Type Super Type 3]],meta_Classifiers[ID],0))</f>
        <v/>
      </c>
      <c r="AA40" s="5" t="str">
        <f>INDEX(meta_Classifiers[Class - Generalization:src],MATCH(meta_TypedModelElements[[#This Row],[Type Super Type 2]],meta_Classifiers[ID],0))</f>
        <v>_Object</v>
      </c>
      <c r="AB40" s="5" t="str">
        <f>INDEX(meta_Classifiers[Class - Generalization:src],MATCH(meta_TypedModelElements[[#This Row],[Type Super Type 1]],meta_Classifiers[ID],0))</f>
        <v>_NamedElement</v>
      </c>
      <c r="AC40" s="5" t="str">
        <f>INDEX(meta_Classifiers[Class - Generalization:src],MATCH(meta_TypedModelElements[[#This Row],[Type:src]],meta_Classifiers[ID],0))</f>
        <v>_TypedModelElement</v>
      </c>
      <c r="AD40" s="5" t="str">
        <f>IF(meta_TypedModelElements[[#This Row],[Kind:src]]&lt;&gt;"_Function",meta_TypedModelElements[[#This Row],[Type]],INDEX(meta_TypedModelElements[Type],MATCH(meta_TypedModelElements[[#This Row],[Function - Owning Property:src]],meta_TypedModelElements[ID],0)))</f>
        <v>Feature</v>
      </c>
      <c r="AE40" s="5" t="str">
        <f>IF(meta_TypedModelElements[[#This Row],[Kind:src]]&lt;&gt;"_Function",meta_TypedModelElements[[#This Row],[Type:src]],INDEX(meta_TypedModelElements[Type:src],MATCH(meta_TypedModelElements[[#This Row],[Function - Owning Property:src]],meta_TypedModelElements[ID],0)))</f>
        <v>_Feature</v>
      </c>
      <c r="AF40" s="5" t="str">
        <f>IF(meta_TypedModelElements[[#This Row],[Type:src]]="","",INDEX(meta_Classifiers[Name],MATCH(meta_TypedModelElements[[#This Row],[Type:src]],meta_Classifiers[ID],0)))</f>
        <v>Feature</v>
      </c>
      <c r="AG40" s="5" t="s">
        <v>212</v>
      </c>
      <c r="AH40" s="22" t="str">
        <f xml:space="preserve"> IF( TRIM( meta_TypedModelElements[[#This Row],[Type:src]] ) = "", "",
        INDEX( meta_Classifiers[Display Qualified], MATCH( meta_TypedModelElements[[#This Row],[Type:src]], meta_Classifiers[ID], 0 ) ) )</f>
        <v>Feature</v>
      </c>
      <c r="AI40" s="22" t="s">
        <v>19</v>
      </c>
      <c r="AJ40" s="22" t="s">
        <v>232</v>
      </c>
      <c r="AK40" s="8"/>
      <c r="AL40" s="22" t="str">
        <f xml:space="preserve"> IF( TRIM( meta_TypedModelElements[[#This Row],[Reference - Opposite:src]] ) = "", "",
        INDEX( meta_TypedModelElements[Display Qualified], MATCH( meta_TypedModelElements[[#This Row],[Reference - Opposite:src]], meta_TypedModelElements[ID], 0 ) ) )</f>
        <v/>
      </c>
      <c r="AM40" s="8"/>
      <c r="AN4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0" s="22"/>
      <c r="AP40"/>
      <c r="AQ40" s="22" t="str">
        <f xml:space="preserve"> IF( TRIM( meta_TypedModelElements[[#This Row],[Function - Owning Property:src]] ) = "", "",
        INDEX( meta_TypedModelElements[Display Qualified], MATCH( meta_TypedModelElements[[#This Row],[Function - Owning Property:src]], meta_TypedModelElements[ID], 0 ) ) )</f>
        <v/>
      </c>
      <c r="AT40" s="22" t="str">
        <f>IF(meta_TypedModelElements[[#This Row],[Parameter - Owning Function:src]]="","",INDEX(meta_TypedModelElements[Display Qualified],MATCH(meta_TypedModelElements[[#This Row],[Parameter - Owning Function:src]],meta_TypedModelElements[ID],0)))</f>
        <v/>
      </c>
      <c r="AV40" s="89"/>
      <c r="AW4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0" s="5" t="str">
        <f>"[@["&amp;meta_TypedModelElements[[#This Row],[Name or Type]]&amp;":src]]"</f>
        <v>[@[Feature:src]]</v>
      </c>
      <c r="AY4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[@[Feature:src]] ) = "",
        "",
    IF( LEFT([@[Feature:src]],1)="_",
        RIGHT([@[Feature:src]],LEN([@[Feature:src]])-1),
    IF( TRIM( [@Package] )
            &lt;&gt; TRIM( INDEX( meta_TypedModelElements[Package], MATCH( [@[Feature:src]], meta_TypedModelElements[ID],0 ) ) ),
        TRIM( INDEX( meta_TypedModelElements[Package], MATCH( [@[Feature:src]], meta_TypedModelElements[ID], 0 ) ) )
            &amp; "::"
            &amp; INDEX( meta_TypedModelElements[Display], MATCH( [@[Feature:src]], meta_TypedModelElements[ID], 0 ) ),
        INDEX( meta_TypedModelElements[Display], MATCH( [@[Feature:src]], meta_TypedModelElements[ID], 0 ) )
    ))), "")</v>
      </c>
      <c r="AZ4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"Feature" Then
                   referedTableName = "meta_TypedModelElements"
                   referedColumnName = "Display"
                   Call StaticCode.updateIdOnNameChange(cellRef, referingTableName, referingColumnName, referedTableName, referedColumnName)
            End If</v>
      </c>
      <c r="BA4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Feature" Then
                   referedTableName = "meta_TypedModelElements"
                   referedColumnName = "Display"
                   Call StaticCode.updateIdOnNameChange(cellRef, referingTableName, referingColumnName, referedTableName, referedColumnName)
            End If</v>
      </c>
      <c r="BB40" s="40"/>
      <c r="BC40" s="40" t="str">
        <f>IF(meta_TypedModelElements[[#This Row],[Kind:src]]="_Parameter","",IF(AND(meta_TypedModelElements[[#This Row],[Package]]="util",meta_TypedModelElements[[#This Row],[Containing Class]]=0), "public", "method"))</f>
        <v>method</v>
      </c>
      <c r="BD40" s="40"/>
      <c r="BE4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0" s="40"/>
      <c r="BK40" s="5"/>
    </row>
    <row r="41" spans="1:63" ht="189">
      <c r="A41" s="5" t="s">
        <v>261</v>
      </c>
      <c r="B41" s="5" t="s">
        <v>167</v>
      </c>
      <c r="C41" s="22" t="str">
        <f xml:space="preserve"> IF( TRIM( meta_TypedModelElements[[#This Row],[Kind:src]] ) = "", "",
        INDEX( meta_Classifiers[Display Qualified], MATCH( meta_TypedModelElements[[#This Row],[Kind:src]], meta_Classifiers[ID], 0 ) ) )</f>
        <v>Reference</v>
      </c>
      <c r="D41" s="22">
        <v>40</v>
      </c>
      <c r="E41" s="22" t="s">
        <v>142</v>
      </c>
      <c r="F41" s="22"/>
      <c r="G4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1" s="8" t="s">
        <v>217</v>
      </c>
      <c r="J41" s="22" t="str">
        <f xml:space="preserve"> IF( TRIM( meta_TypedModelElements[[#This Row],[Property - Owning Class:src]] ) = "", "",
        INDEX( meta_Classifiers[Display Qualified], MATCH( meta_TypedModelElements[[#This Row],[Property - Owning Class:src]], meta_Classifiers[ID], 0 ) ) )</f>
        <v>Rule</v>
      </c>
      <c r="K4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meta::Rule.part</v>
      </c>
      <c r="L41" s="5" t="str">
        <f>IF(meta_TypedModelElements[[#This Row],[Kind:src]]="_Function",meta_TypedModelElements[[#This Row],[Display Qualified]],"")</f>
        <v/>
      </c>
      <c r="M41" s="5" t="str">
        <f>IF(meta_TypedModelElements[[#This Row],[Kind:src]]="_Attribute",meta_TypedModelElements[[#This Row],[Display Qualified]],"")</f>
        <v/>
      </c>
      <c r="N41" s="5" t="str">
        <f>IF(meta_TypedModelElements[[#This Row],[Kind:src]]="_Reference",meta_TypedModelElements[[#This Row],[Display Qualified]],"")</f>
        <v>meta::Rule.part</v>
      </c>
      <c r="O41" s="5" t="str">
        <f>IF(OR(meta_TypedModelElements[[#This Row],[Kind:src]]="_Attribute",meta_TypedModelElements[[#This Row],[Kind:src]]="_Reference"),meta_TypedModelElements[[#This Row],[Display Qualified]],"")</f>
        <v>meta::Rule.part</v>
      </c>
      <c r="P41" s="22"/>
      <c r="Q41" s="22"/>
      <c r="R41" s="5" t="str">
        <f>IF(meta_TypedModelElements[[#This Row],[Containing Class:display]]="","",meta_TypedModelElements[[#This Row],[Containing Class:display]]&amp;".")&amp;meta_TypedModelElements[[#This Row],[Display without Class]]</f>
        <v>Rule.part</v>
      </c>
      <c r="S41" s="5" t="str" cm="1">
        <f t="array" ref="S41">_xlfn.IFNA(INDEX(meta_Names[Camel Lower], MATCH(meta_TypedModelElements[[#This Row],[Name or Type]],meta_Names[String],0)),camelCaseLower(meta_TypedModelElements[[#This Row],[Name or Type]]))</f>
        <v>part</v>
      </c>
      <c r="T41" s="5" t="str">
        <f>IF(meta_TypedModelElements[[#This Row],[Name or Type]]="","",meta_TypedModelElements[[#This Row],[Name or Type Camel Case Lower]])&amp;IF(meta_TypedModelElements[[#This Row],[Kind:src]]="_Function","("&amp;meta_TypedModelElements[[#This Row],[Function - Parameters Display]]&amp;")","")</f>
        <v>part</v>
      </c>
      <c r="U4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Part</v>
      </c>
      <c r="V41" s="22" t="s">
        <v>30</v>
      </c>
      <c r="W41" s="5" t="e">
        <f>INDEX(meta_Classifiers[Class - Generalization:src],MATCH(meta_TypedModelElements[[#This Row],[Type Super Type 6]],meta_Classifiers[ID],0))</f>
        <v>#N/A</v>
      </c>
      <c r="X41" s="5" t="e">
        <f>INDEX(meta_Classifiers[Class - Generalization:src],MATCH(meta_TypedModelElements[[#This Row],[Type Super Type 5]],meta_Classifiers[ID],0))</f>
        <v>#N/A</v>
      </c>
      <c r="Y41" s="5" t="e">
        <f>INDEX(meta_Classifiers[Class - Generalization:src],MATCH(meta_TypedModelElements[[#This Row],[Type Super Type 4]],meta_Classifiers[ID],0))</f>
        <v>#N/A</v>
      </c>
      <c r="Z41" s="5" t="str">
        <f>INDEX(meta_Classifiers[Class - Generalization:src],MATCH(meta_TypedModelElements[[#This Row],[Type Super Type 3]],meta_Classifiers[ID],0))</f>
        <v/>
      </c>
      <c r="AA41" s="5" t="str">
        <f>INDEX(meta_Classifiers[Class - Generalization:src],MATCH(meta_TypedModelElements[[#This Row],[Type Super Type 2]],meta_Classifiers[ID],0))</f>
        <v>_Object</v>
      </c>
      <c r="AB41" s="5" t="str">
        <f>INDEX(meta_Classifiers[Class - Generalization:src],MATCH(meta_TypedModelElements[[#This Row],[Type Super Type 1]],meta_Classifiers[ID],0))</f>
        <v>_NamedElement</v>
      </c>
      <c r="AC41" s="5" t="str">
        <f>INDEX(meta_Classifiers[Class - Generalization:src],MATCH(meta_TypedModelElements[[#This Row],[Type:src]],meta_Classifiers[ID],0))</f>
        <v>_Literal</v>
      </c>
      <c r="AD41" s="5" t="str">
        <f>IF(meta_TypedModelElements[[#This Row],[Kind:src]]&lt;&gt;"_Function",meta_TypedModelElements[[#This Row],[Type]],INDEX(meta_TypedModelElements[Type],MATCH(meta_TypedModelElements[[#This Row],[Function - Owning Property:src]],meta_TypedModelElements[ID],0)))</f>
        <v>RulePartType</v>
      </c>
      <c r="AE41" s="5" t="str">
        <f>IF(meta_TypedModelElements[[#This Row],[Kind:src]]&lt;&gt;"_Function",meta_TypedModelElements[[#This Row],[Type:src]],INDEX(meta_TypedModelElements[Type:src],MATCH(meta_TypedModelElements[[#This Row],[Function - Owning Property:src]],meta_TypedModelElements[ID],0)))</f>
        <v>_RulePartType</v>
      </c>
      <c r="AF41" s="5" t="str">
        <f>IF(meta_TypedModelElements[[#This Row],[Type:src]]="","",INDEX(meta_Classifiers[Name],MATCH(meta_TypedModelElements[[#This Row],[Type:src]],meta_Classifiers[ID],0)))</f>
        <v>Rule Part Type</v>
      </c>
      <c r="AG41" s="5" t="s">
        <v>218</v>
      </c>
      <c r="AH41" s="22" t="str">
        <f xml:space="preserve"> IF( TRIM( meta_TypedModelElements[[#This Row],[Type:src]] ) = "", "",
        INDEX( meta_Classifiers[Display Qualified], MATCH( meta_TypedModelElements[[#This Row],[Type:src]], meta_Classifiers[ID], 0 ) ) )</f>
        <v>RulePartType</v>
      </c>
      <c r="AI41" s="22" t="s">
        <v>19</v>
      </c>
      <c r="AJ41" s="22" t="s">
        <v>232</v>
      </c>
      <c r="AK41" s="8"/>
      <c r="AL41" s="22" t="str">
        <f xml:space="preserve"> IF( TRIM( meta_TypedModelElements[[#This Row],[Reference - Opposite:src]] ) = "", "",
        INDEX( meta_TypedModelElements[Display Qualified], MATCH( meta_TypedModelElements[[#This Row],[Reference - Opposite:src]], meta_TypedModelElements[ID], 0 ) ) )</f>
        <v/>
      </c>
      <c r="AM41" s="8"/>
      <c r="AN4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1" s="22"/>
      <c r="AP41"/>
      <c r="AQ41" s="22" t="str">
        <f xml:space="preserve"> IF( TRIM( meta_TypedModelElements[[#This Row],[Function - Owning Property:src]] ) = "", "",
        INDEX( meta_TypedModelElements[Display Qualified], MATCH( meta_TypedModelElements[[#This Row],[Function - Owning Property:src]], meta_TypedModelElements[ID], 0 ) ) )</f>
        <v/>
      </c>
      <c r="AT41" s="22" t="str">
        <f>IF(meta_TypedModelElements[[#This Row],[Parameter - Owning Function:src]]="","",INDEX(meta_TypedModelElements[Display Qualified],MATCH(meta_TypedModelElements[[#This Row],[Parameter - Owning Function:src]],meta_TypedModelElements[ID],0)))</f>
        <v/>
      </c>
      <c r="AV41" s="89"/>
      <c r="AW4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1" s="5" t="str">
        <f>"[@["&amp;meta_TypedModelElements[[#This Row],[Name or Type]]&amp;":src]]"</f>
        <v>[@[Part:src]]</v>
      </c>
      <c r="AY4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[@[Part:src]] ) = "",
        "",
    IF( LEFT([@[Part:src]],1)="_",
        RIGHT([@[Part:src]],LEN([@[Part:src]])-1),
    IF( TRIM( [@Package] )
            &lt;&gt; TRIM( INDEX( meta_Literals[Package], MATCH( [@[Part:src]], meta_Literals[ID],0 ) ) ),
        TRIM( INDEX( meta_Literals[Package], MATCH( [@[Part:src]], meta_Literals[ID], 0 ) ) )
            &amp; "::"
            &amp; INDEX( meta_Literals[Display], MATCH( [@[Part:src]], meta_Literals[ID], 0 ) ),
        INDEX( meta_Literals[Display], MATCH( [@[Part:src]], meta_Literals[ID], 0 ) )
    ))), "")</v>
      </c>
      <c r="AZ4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"Part" Then
                   referedTableName = "meta_Literals"
                   referedColumnName = "Display"
                   Call StaticCode.updateIdOnNameChange(cellRef, referingTableName, referingColumnName, referedTableName, referedColumnName)
            End If</v>
      </c>
      <c r="BA4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Part" Then
                   referedTableName = "meta_Literals"
                   referedColumnName = "Display"
                   Call StaticCode.updateIdOnNameChange(cellRef, referingTableName, referingColumnName, referedTableName, referedColumnName)
            End If</v>
      </c>
      <c r="BB41" s="40"/>
      <c r="BC41" s="40" t="str">
        <f>IF(meta_TypedModelElements[[#This Row],[Kind:src]]="_Parameter","",IF(AND(meta_TypedModelElements[[#This Row],[Package]]="util",meta_TypedModelElements[[#This Row],[Containing Class]]=0), "public", "method"))</f>
        <v>method</v>
      </c>
      <c r="BD41" s="40"/>
      <c r="BE4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1" s="40"/>
      <c r="BK41" s="5"/>
    </row>
    <row r="42" spans="1:63">
      <c r="A42" s="5" t="s">
        <v>262</v>
      </c>
      <c r="B42" s="5" t="s">
        <v>168</v>
      </c>
      <c r="C42" s="22" t="str">
        <f xml:space="preserve"> IF( TRIM( meta_TypedModelElements[[#This Row],[Kind:src]] ) = "", "",
        INDEX( meta_Classifiers[Display Qualified], MATCH( meta_TypedModelElements[[#This Row],[Kind:src]], meta_Classifiers[ID], 0 ) ) )</f>
        <v>Attribute</v>
      </c>
      <c r="D42" s="22">
        <v>41</v>
      </c>
      <c r="E42" s="22" t="s">
        <v>142</v>
      </c>
      <c r="F42" s="22"/>
      <c r="G4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2" s="8" t="s">
        <v>217</v>
      </c>
      <c r="J42" s="22" t="str">
        <f xml:space="preserve"> IF( TRIM( meta_TypedModelElements[[#This Row],[Property - Owning Class:src]] ) = "", "",
        INDEX( meta_Classifiers[Display Qualified], MATCH( meta_TypedModelElements[[#This Row],[Property - Owning Class:src]], meta_Classifiers[ID], 0 ) ) )</f>
        <v>Rule</v>
      </c>
      <c r="K4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meta::Rule.line</v>
      </c>
      <c r="L42" s="5" t="str">
        <f>IF(meta_TypedModelElements[[#This Row],[Kind:src]]="_Function",meta_TypedModelElements[[#This Row],[Display Qualified]],"")</f>
        <v/>
      </c>
      <c r="M42" s="5" t="str">
        <f>IF(meta_TypedModelElements[[#This Row],[Kind:src]]="_Attribute",meta_TypedModelElements[[#This Row],[Display Qualified]],"")</f>
        <v>meta::Rule.line</v>
      </c>
      <c r="N42" s="5" t="str">
        <f>IF(meta_TypedModelElements[[#This Row],[Kind:src]]="_Reference",meta_TypedModelElements[[#This Row],[Display Qualified]],"")</f>
        <v/>
      </c>
      <c r="O42" s="5" t="str">
        <f>IF(OR(meta_TypedModelElements[[#This Row],[Kind:src]]="_Attribute",meta_TypedModelElements[[#This Row],[Kind:src]]="_Reference"),meta_TypedModelElements[[#This Row],[Display Qualified]],"")</f>
        <v>meta::Rule.line</v>
      </c>
      <c r="P42" s="22"/>
      <c r="Q42" s="22"/>
      <c r="R42" s="5" t="str">
        <f>IF(meta_TypedModelElements[[#This Row],[Containing Class:display]]="","",meta_TypedModelElements[[#This Row],[Containing Class:display]]&amp;".")&amp;meta_TypedModelElements[[#This Row],[Display without Class]]</f>
        <v>Rule.line</v>
      </c>
      <c r="S42" s="5" t="str" cm="1">
        <f t="array" ref="S42">_xlfn.IFNA(INDEX(meta_Names[Camel Lower], MATCH(meta_TypedModelElements[[#This Row],[Name or Type]],meta_Names[String],0)),camelCaseLower(meta_TypedModelElements[[#This Row],[Name or Type]]))</f>
        <v>line</v>
      </c>
      <c r="T42" s="5" t="str">
        <f>IF(meta_TypedModelElements[[#This Row],[Name or Type]]="","",meta_TypedModelElements[[#This Row],[Name or Type Camel Case Lower]])&amp;IF(meta_TypedModelElements[[#This Row],[Kind:src]]="_Function","("&amp;meta_TypedModelElements[[#This Row],[Function - Parameters Display]]&amp;")","")</f>
        <v>line</v>
      </c>
      <c r="U4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42" s="22" t="s">
        <v>31</v>
      </c>
      <c r="W42" s="5" t="e">
        <f>INDEX(meta_Classifiers[Class - Generalization:src],MATCH(meta_TypedModelElements[[#This Row],[Type Super Type 6]],meta_Classifiers[ID],0))</f>
        <v>#N/A</v>
      </c>
      <c r="X42" s="5" t="e">
        <f>INDEX(meta_Classifiers[Class - Generalization:src],MATCH(meta_TypedModelElements[[#This Row],[Type Super Type 5]],meta_Classifiers[ID],0))</f>
        <v>#N/A</v>
      </c>
      <c r="Y42" s="5" t="e">
        <f>INDEX(meta_Classifiers[Class - Generalization:src],MATCH(meta_TypedModelElements[[#This Row],[Type Super Type 4]],meta_Classifiers[ID],0))</f>
        <v>#N/A</v>
      </c>
      <c r="Z42" s="5" t="e">
        <f>INDEX(meta_Classifiers[Class - Generalization:src],MATCH(meta_TypedModelElements[[#This Row],[Type Super Type 3]],meta_Classifiers[ID],0))</f>
        <v>#N/A</v>
      </c>
      <c r="AA42" s="5" t="e">
        <f>INDEX(meta_Classifiers[Class - Generalization:src],MATCH(meta_TypedModelElements[[#This Row],[Type Super Type 2]],meta_Classifiers[ID],0))</f>
        <v>#N/A</v>
      </c>
      <c r="AB42" s="5" t="e">
        <f>INDEX(meta_Classifiers[Class - Generalization:src],MATCH(meta_TypedModelElements[[#This Row],[Type Super Type 1]],meta_Classifiers[ID],0))</f>
        <v>#N/A</v>
      </c>
      <c r="AC42" s="5" t="str">
        <f>INDEX(meta_Classifiers[Class - Generalization:src],MATCH(meta_TypedModelElements[[#This Row],[Type:src]],meta_Classifiers[ID],0))</f>
        <v/>
      </c>
      <c r="AD42" s="5" t="str">
        <f>IF(meta_TypedModelElements[[#This Row],[Kind:src]]&lt;&gt;"_Function",meta_TypedModelElements[[#This Row],[Type]],INDEX(meta_TypedModelElements[Type],MATCH(meta_TypedModelElements[[#This Row],[Function - Owning Property:src]],meta_TypedModelElements[ID],0)))</f>
        <v>Integer</v>
      </c>
      <c r="AE42" s="5" t="str">
        <f>IF(meta_TypedModelElements[[#This Row],[Kind:src]]&lt;&gt;"_Function",meta_TypedModelElements[[#This Row],[Type:src]],INDEX(meta_TypedModelElements[Type:src],MATCH(meta_TypedModelElements[[#This Row],[Function - Owning Property:src]],meta_TypedModelElements[ID],0)))</f>
        <v>_Integer</v>
      </c>
      <c r="AF42" s="5" t="str">
        <f>IF(meta_TypedModelElements[[#This Row],[Type:src]]="","",INDEX(meta_Classifiers[Name],MATCH(meta_TypedModelElements[[#This Row],[Type:src]],meta_Classifiers[ID],0)))</f>
        <v>Integer</v>
      </c>
      <c r="AG42" s="5" t="s">
        <v>184</v>
      </c>
      <c r="AH42" s="22" t="str">
        <f xml:space="preserve"> IF( TRIM( meta_TypedModelElements[[#This Row],[Type:src]] ) = "", "",
        INDEX( meta_Classifiers[Display Qualified], MATCH( meta_TypedModelElements[[#This Row],[Type:src]], meta_Classifiers[ID], 0 ) ) )</f>
        <v>Integer</v>
      </c>
      <c r="AI42" s="22" t="s">
        <v>21</v>
      </c>
      <c r="AJ42" s="22" t="s">
        <v>232</v>
      </c>
      <c r="AK42" s="8"/>
      <c r="AL42" s="22" t="str">
        <f xml:space="preserve"> IF( TRIM( meta_TypedModelElements[[#This Row],[Reference - Opposite:src]] ) = "", "",
        INDEX( meta_TypedModelElements[Display Qualified], MATCH( meta_TypedModelElements[[#This Row],[Reference - Opposite:src]], meta_TypedModelElements[ID], 0 ) ) )</f>
        <v/>
      </c>
      <c r="AM42" s="8"/>
      <c r="AN4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2" s="22"/>
      <c r="AP42"/>
      <c r="AQ42" s="22" t="str">
        <f xml:space="preserve"> IF( TRIM( meta_TypedModelElements[[#This Row],[Function - Owning Property:src]] ) = "", "",
        INDEX( meta_TypedModelElements[Display Qualified], MATCH( meta_TypedModelElements[[#This Row],[Function - Owning Property:src]], meta_TypedModelElements[ID], 0 ) ) )</f>
        <v/>
      </c>
      <c r="AT42" s="22" t="str">
        <f>IF(meta_TypedModelElements[[#This Row],[Parameter - Owning Function:src]]="","",INDEX(meta_TypedModelElements[Display Qualified],MATCH(meta_TypedModelElements[[#This Row],[Parameter - Owning Function:src]],meta_TypedModelElements[ID],0)))</f>
        <v/>
      </c>
      <c r="AV42" s="89"/>
      <c r="AW4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42" s="5" t="str">
        <f>"[@["&amp;meta_TypedModelElements[[#This Row],[Name or Type]]&amp;":src]]"</f>
        <v>[@[Line:src]]</v>
      </c>
      <c r="AY4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4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4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42" s="40"/>
      <c r="BC42" s="40" t="str">
        <f>IF(meta_TypedModelElements[[#This Row],[Kind:src]]="_Parameter","",IF(AND(meta_TypedModelElements[[#This Row],[Package]]="util",meta_TypedModelElements[[#This Row],[Containing Class]]=0), "public", "method"))</f>
        <v>method</v>
      </c>
      <c r="BD42" s="40"/>
      <c r="BE4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2" s="40"/>
      <c r="BK42" s="5"/>
    </row>
    <row r="43" spans="1:63" ht="189">
      <c r="A43" s="5" t="s">
        <v>263</v>
      </c>
      <c r="B43" s="5" t="s">
        <v>167</v>
      </c>
      <c r="C43" s="22" t="str">
        <f xml:space="preserve"> IF( TRIM( meta_TypedModelElements[[#This Row],[Kind:src]] ) = "", "",
        INDEX( meta_Classifiers[Display Qualified], MATCH( meta_TypedModelElements[[#This Row],[Kind:src]], meta_Classifiers[ID], 0 ) ) )</f>
        <v>Reference</v>
      </c>
      <c r="D43" s="22">
        <v>42</v>
      </c>
      <c r="E43" s="22" t="s">
        <v>142</v>
      </c>
      <c r="F43" s="22"/>
      <c r="G4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3" s="8" t="s">
        <v>217</v>
      </c>
      <c r="J43" s="22" t="str">
        <f xml:space="preserve"> IF( TRIM( meta_TypedModelElements[[#This Row],[Property - Owning Class:src]] ) = "", "",
        INDEX( meta_Classifiers[Display Qualified], MATCH( meta_TypedModelElements[[#This Row],[Property - Owning Class:src]], meta_Classifiers[ID], 0 ) ) )</f>
        <v>Rule</v>
      </c>
      <c r="K4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meta::Rule.operator</v>
      </c>
      <c r="L43" s="5" t="str">
        <f>IF(meta_TypedModelElements[[#This Row],[Kind:src]]="_Function",meta_TypedModelElements[[#This Row],[Display Qualified]],"")</f>
        <v/>
      </c>
      <c r="M43" s="5" t="str">
        <f>IF(meta_TypedModelElements[[#This Row],[Kind:src]]="_Attribute",meta_TypedModelElements[[#This Row],[Display Qualified]],"")</f>
        <v/>
      </c>
      <c r="N43" s="5" t="str">
        <f>IF(meta_TypedModelElements[[#This Row],[Kind:src]]="_Reference",meta_TypedModelElements[[#This Row],[Display Qualified]],"")</f>
        <v>meta::Rule.operator</v>
      </c>
      <c r="O43" s="5" t="str">
        <f>IF(OR(meta_TypedModelElements[[#This Row],[Kind:src]]="_Attribute",meta_TypedModelElements[[#This Row],[Kind:src]]="_Reference"),meta_TypedModelElements[[#This Row],[Display Qualified]],"")</f>
        <v>meta::Rule.operator</v>
      </c>
      <c r="P43" s="22"/>
      <c r="Q43" s="22"/>
      <c r="R43" s="5" t="str">
        <f>IF(meta_TypedModelElements[[#This Row],[Containing Class:display]]="","",meta_TypedModelElements[[#This Row],[Containing Class:display]]&amp;".")&amp;meta_TypedModelElements[[#This Row],[Display without Class]]</f>
        <v>Rule.operator</v>
      </c>
      <c r="S43" s="5" t="str" cm="1">
        <f t="array" ref="S43">_xlfn.IFNA(INDEX(meta_Names[Camel Lower], MATCH(meta_TypedModelElements[[#This Row],[Name or Type]],meta_Names[String],0)),camelCaseLower(meta_TypedModelElements[[#This Row],[Name or Type]]))</f>
        <v>operator</v>
      </c>
      <c r="T43" s="5" t="str">
        <f>IF(meta_TypedModelElements[[#This Row],[Name or Type]]="","",meta_TypedModelElements[[#This Row],[Name or Type Camel Case Lower]])&amp;IF(meta_TypedModelElements[[#This Row],[Kind:src]]="_Function","("&amp;meta_TypedModelElements[[#This Row],[Function - Parameters Display]]&amp;")","")</f>
        <v>operator</v>
      </c>
      <c r="U4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Operator</v>
      </c>
      <c r="V43" s="22"/>
      <c r="W43" s="5" t="e">
        <f>INDEX(meta_Classifiers[Class - Generalization:src],MATCH(meta_TypedModelElements[[#This Row],[Type Super Type 6]],meta_Classifiers[ID],0))</f>
        <v>#N/A</v>
      </c>
      <c r="X43" s="5" t="e">
        <f>INDEX(meta_Classifiers[Class - Generalization:src],MATCH(meta_TypedModelElements[[#This Row],[Type Super Type 5]],meta_Classifiers[ID],0))</f>
        <v>#N/A</v>
      </c>
      <c r="Y43" s="5" t="e">
        <f>INDEX(meta_Classifiers[Class - Generalization:src],MATCH(meta_TypedModelElements[[#This Row],[Type Super Type 4]],meta_Classifiers[ID],0))</f>
        <v>#N/A</v>
      </c>
      <c r="Z43" s="5" t="str">
        <f>INDEX(meta_Classifiers[Class - Generalization:src],MATCH(meta_TypedModelElements[[#This Row],[Type Super Type 3]],meta_Classifiers[ID],0))</f>
        <v/>
      </c>
      <c r="AA43" s="5" t="str">
        <f>INDEX(meta_Classifiers[Class - Generalization:src],MATCH(meta_TypedModelElements[[#This Row],[Type Super Type 2]],meta_Classifiers[ID],0))</f>
        <v>_Object</v>
      </c>
      <c r="AB43" s="5" t="str">
        <f>INDEX(meta_Classifiers[Class - Generalization:src],MATCH(meta_TypedModelElements[[#This Row],[Type Super Type 1]],meta_Classifiers[ID],0))</f>
        <v>_NamedElement</v>
      </c>
      <c r="AC43" s="5" t="str">
        <f>INDEX(meta_Classifiers[Class - Generalization:src],MATCH(meta_TypedModelElements[[#This Row],[Type:src]],meta_Classifiers[ID],0))</f>
        <v>_Literal</v>
      </c>
      <c r="AD43" s="5" t="str">
        <f>IF(meta_TypedModelElements[[#This Row],[Kind:src]]&lt;&gt;"_Function",meta_TypedModelElements[[#This Row],[Type]],INDEX(meta_TypedModelElements[Type],MATCH(meta_TypedModelElements[[#This Row],[Function - Owning Property:src]],meta_TypedModelElements[ID],0)))</f>
        <v>Operator</v>
      </c>
      <c r="AE43" s="5" t="str">
        <f>IF(meta_TypedModelElements[[#This Row],[Kind:src]]&lt;&gt;"_Function",meta_TypedModelElements[[#This Row],[Type:src]],INDEX(meta_TypedModelElements[Type:src],MATCH(meta_TypedModelElements[[#This Row],[Function - Owning Property:src]],meta_TypedModelElements[ID],0)))</f>
        <v>_Operator</v>
      </c>
      <c r="AF43" s="5" t="str">
        <f>IF(meta_TypedModelElements[[#This Row],[Type:src]]="","",INDEX(meta_Classifiers[Name],MATCH(meta_TypedModelElements[[#This Row],[Type:src]],meta_Classifiers[ID],0)))</f>
        <v>Operator</v>
      </c>
      <c r="AG43" s="5" t="s">
        <v>221</v>
      </c>
      <c r="AH43" s="22" t="str">
        <f xml:space="preserve"> IF( TRIM( meta_TypedModelElements[[#This Row],[Type:src]] ) = "", "",
        INDEX( meta_Classifiers[Display Qualified], MATCH( meta_TypedModelElements[[#This Row],[Type:src]], meta_Classifiers[ID], 0 ) ) )</f>
        <v>Operator</v>
      </c>
      <c r="AI43" s="22" t="s">
        <v>21</v>
      </c>
      <c r="AJ43" s="22" t="s">
        <v>232</v>
      </c>
      <c r="AK43" s="8"/>
      <c r="AL43" s="22" t="str">
        <f xml:space="preserve"> IF( TRIM( meta_TypedModelElements[[#This Row],[Reference - Opposite:src]] ) = "", "",
        INDEX( meta_TypedModelElements[Display Qualified], MATCH( meta_TypedModelElements[[#This Row],[Reference - Opposite:src]], meta_TypedModelElements[ID], 0 ) ) )</f>
        <v/>
      </c>
      <c r="AM43" s="8"/>
      <c r="AN4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3" s="22"/>
      <c r="AP43"/>
      <c r="AQ43" s="22" t="str">
        <f xml:space="preserve"> IF( TRIM( meta_TypedModelElements[[#This Row],[Function - Owning Property:src]] ) = "", "",
        INDEX( meta_TypedModelElements[Display Qualified], MATCH( meta_TypedModelElements[[#This Row],[Function - Owning Property:src]], meta_TypedModelElements[ID], 0 ) ) )</f>
        <v/>
      </c>
      <c r="AT43" s="22" t="str">
        <f>IF(meta_TypedModelElements[[#This Row],[Parameter - Owning Function:src]]="","",INDEX(meta_TypedModelElements[Display Qualified],MATCH(meta_TypedModelElements[[#This Row],[Parameter - Owning Function:src]],meta_TypedModelElements[ID],0)))</f>
        <v/>
      </c>
      <c r="AV43" s="89"/>
      <c r="AW4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3" s="5" t="str">
        <f>"[@["&amp;meta_TypedModelElements[[#This Row],[Name or Type]]&amp;":src]]"</f>
        <v>[@[Operator:src]]</v>
      </c>
      <c r="AY4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[@[Operator:src]] ) = "",
        "",
    IF( LEFT([@[Operator:src]],1)="_",
        RIGHT([@[Operator:src]],LEN([@[Operator:src]])-1),
    IF( TRIM( [@Package] )
            &lt;&gt; TRIM( INDEX( meta_Literals[Package], MATCH( [@[Operator:src]], meta_Literals[ID],0 ) ) ),
        TRIM( INDEX( meta_Literals[Package], MATCH( [@[Operator:src]], meta_Literals[ID], 0 ) ) )
            &amp; "::"
            &amp; INDEX( meta_Literals[Display], MATCH( [@[Operator:src]], meta_Literals[ID], 0 ) ),
        INDEX( meta_Literals[Display], MATCH( [@[Operator:src]], meta_Literals[ID], 0 ) )
    ))), "")</v>
      </c>
      <c r="AZ4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"Operator" Then
                   referedTableName = "meta_Literals"
                   referedColumnName = "Display"
                   Call StaticCode.updateIdOnNameChange(cellRef, referingTableName, referingColumnName, referedTableName, referedColumnName)
            End If</v>
      </c>
      <c r="BA4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Operator" Then
                   referedTableName = "meta_Literals"
                   referedColumnName = "Display"
                   Call StaticCode.updateIdOnNameChange(cellRef, referingTableName, referingColumnName, referedTableName, referedColumnName)
            End If</v>
      </c>
      <c r="BB43" s="40"/>
      <c r="BC43" s="40" t="str">
        <f>IF(meta_TypedModelElements[[#This Row],[Kind:src]]="_Parameter","",IF(AND(meta_TypedModelElements[[#This Row],[Package]]="util",meta_TypedModelElements[[#This Row],[Containing Class]]=0), "public", "method"))</f>
        <v>method</v>
      </c>
      <c r="BD43" s="40"/>
      <c r="BE4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3" s="40"/>
      <c r="BK43" s="5"/>
    </row>
    <row r="44" spans="1:63" ht="189">
      <c r="A44" s="5" t="s">
        <v>264</v>
      </c>
      <c r="B44" s="5" t="s">
        <v>167</v>
      </c>
      <c r="C44" s="22" t="str">
        <f xml:space="preserve"> IF( TRIM( meta_TypedModelElements[[#This Row],[Kind:src]] ) = "", "",
        INDEX( meta_Classifiers[Display Qualified], MATCH( meta_TypedModelElements[[#This Row],[Kind:src]], meta_Classifiers[ID], 0 ) ) )</f>
        <v>Reference</v>
      </c>
      <c r="D44" s="22">
        <v>43</v>
      </c>
      <c r="E44" s="22" t="s">
        <v>142</v>
      </c>
      <c r="F44" s="22"/>
      <c r="G4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4" s="8" t="s">
        <v>217</v>
      </c>
      <c r="J44" s="22" t="str">
        <f xml:space="preserve"> IF( TRIM( meta_TypedModelElements[[#This Row],[Property - Owning Class:src]] ) = "", "",
        INDEX( meta_Classifiers[Display Qualified], MATCH( meta_TypedModelElements[[#This Row],[Property - Owning Class:src]], meta_Classifiers[ID], 0 ) ) )</f>
        <v>Rule</v>
      </c>
      <c r="K4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meta::Rule.base</v>
      </c>
      <c r="L44" s="5" t="str">
        <f>IF(meta_TypedModelElements[[#This Row],[Kind:src]]="_Function",meta_TypedModelElements[[#This Row],[Display Qualified]],"")</f>
        <v/>
      </c>
      <c r="M44" s="5" t="str">
        <f>IF(meta_TypedModelElements[[#This Row],[Kind:src]]="_Attribute",meta_TypedModelElements[[#This Row],[Display Qualified]],"")</f>
        <v/>
      </c>
      <c r="N44" s="5" t="str">
        <f>IF(meta_TypedModelElements[[#This Row],[Kind:src]]="_Reference",meta_TypedModelElements[[#This Row],[Display Qualified]],"")</f>
        <v>meta::Rule.base</v>
      </c>
      <c r="O44" s="5" t="str">
        <f>IF(OR(meta_TypedModelElements[[#This Row],[Kind:src]]="_Attribute",meta_TypedModelElements[[#This Row],[Kind:src]]="_Reference"),meta_TypedModelElements[[#This Row],[Display Qualified]],"")</f>
        <v>meta::Rule.base</v>
      </c>
      <c r="P44" s="22"/>
      <c r="Q44" s="22"/>
      <c r="R44" s="5" t="str">
        <f>IF(meta_TypedModelElements[[#This Row],[Containing Class:display]]="","",meta_TypedModelElements[[#This Row],[Containing Class:display]]&amp;".")&amp;meta_TypedModelElements[[#This Row],[Display without Class]]</f>
        <v>Rule.base</v>
      </c>
      <c r="S44" s="5" t="str" cm="1">
        <f t="array" ref="S44">_xlfn.IFNA(INDEX(meta_Names[Camel Lower], MATCH(meta_TypedModelElements[[#This Row],[Name or Type]],meta_Names[String],0)),camelCaseLower(meta_TypedModelElements[[#This Row],[Name or Type]]))</f>
        <v>base</v>
      </c>
      <c r="T44" s="5" t="str">
        <f>IF(meta_TypedModelElements[[#This Row],[Name or Type]]="","",meta_TypedModelElements[[#This Row],[Name or Type Camel Case Lower]])&amp;IF(meta_TypedModelElements[[#This Row],[Kind:src]]="_Function","("&amp;meta_TypedModelElements[[#This Row],[Function - Parameters Display]]&amp;")","")</f>
        <v>base</v>
      </c>
      <c r="U4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Base</v>
      </c>
      <c r="V44" s="22" t="s">
        <v>23</v>
      </c>
      <c r="W44" s="5" t="e">
        <f>INDEX(meta_Classifiers[Class - Generalization:src],MATCH(meta_TypedModelElements[[#This Row],[Type Super Type 6]],meta_Classifiers[ID],0))</f>
        <v>#N/A</v>
      </c>
      <c r="X44" s="5" t="e">
        <f>INDEX(meta_Classifiers[Class - Generalization:src],MATCH(meta_TypedModelElements[[#This Row],[Type Super Type 5]],meta_Classifiers[ID],0))</f>
        <v>#N/A</v>
      </c>
      <c r="Y44" s="5" t="e">
        <f>INDEX(meta_Classifiers[Class - Generalization:src],MATCH(meta_TypedModelElements[[#This Row],[Type Super Type 4]],meta_Classifiers[ID],0))</f>
        <v>#N/A</v>
      </c>
      <c r="Z44" s="5" t="str">
        <f>INDEX(meta_Classifiers[Class - Generalization:src],MATCH(meta_TypedModelElements[[#This Row],[Type Super Type 3]],meta_Classifiers[ID],0))</f>
        <v/>
      </c>
      <c r="AA44" s="5" t="str">
        <f>INDEX(meta_Classifiers[Class - Generalization:src],MATCH(meta_TypedModelElements[[#This Row],[Type Super Type 2]],meta_Classifiers[ID],0))</f>
        <v>_Object</v>
      </c>
      <c r="AB44" s="5" t="str">
        <f>INDEX(meta_Classifiers[Class - Generalization:src],MATCH(meta_TypedModelElements[[#This Row],[Type Super Type 1]],meta_Classifiers[ID],0))</f>
        <v>_NamedElement</v>
      </c>
      <c r="AC44" s="5" t="str">
        <f>INDEX(meta_Classifiers[Class - Generalization:src],MATCH(meta_TypedModelElements[[#This Row],[Type:src]],meta_Classifiers[ID],0))</f>
        <v>_Literal</v>
      </c>
      <c r="AD44" s="5" t="str">
        <f>IF(meta_TypedModelElements[[#This Row],[Kind:src]]&lt;&gt;"_Function",meta_TypedModelElements[[#This Row],[Type]],INDEX(meta_TypedModelElements[Type],MATCH(meta_TypedModelElements[[#This Row],[Function - Owning Property:src]],meta_TypedModelElements[ID],0)))</f>
        <v>RuleBaseOption</v>
      </c>
      <c r="AE44" s="5" t="str">
        <f>IF(meta_TypedModelElements[[#This Row],[Kind:src]]&lt;&gt;"_Function",meta_TypedModelElements[[#This Row],[Type:src]],INDEX(meta_TypedModelElements[Type:src],MATCH(meta_TypedModelElements[[#This Row],[Function - Owning Property:src]],meta_TypedModelElements[ID],0)))</f>
        <v>_RuleBaseOption</v>
      </c>
      <c r="AF44" s="5" t="str">
        <f>IF(meta_TypedModelElements[[#This Row],[Type:src]]="","",INDEX(meta_Classifiers[Name],MATCH(meta_TypedModelElements[[#This Row],[Type:src]],meta_Classifiers[ID],0)))</f>
        <v>Rule Base Option</v>
      </c>
      <c r="AG44" s="5" t="s">
        <v>219</v>
      </c>
      <c r="AH44" s="22" t="str">
        <f xml:space="preserve"> IF( TRIM( meta_TypedModelElements[[#This Row],[Type:src]] ) = "", "",
        INDEX( meta_Classifiers[Display Qualified], MATCH( meta_TypedModelElements[[#This Row],[Type:src]], meta_Classifiers[ID], 0 ) ) )</f>
        <v>RuleBaseOption</v>
      </c>
      <c r="AI44" s="22" t="s">
        <v>19</v>
      </c>
      <c r="AJ44" s="22" t="s">
        <v>232</v>
      </c>
      <c r="AK44" s="8"/>
      <c r="AL44" s="22" t="str">
        <f xml:space="preserve"> IF( TRIM( meta_TypedModelElements[[#This Row],[Reference - Opposite:src]] ) = "", "",
        INDEX( meta_TypedModelElements[Display Qualified], MATCH( meta_TypedModelElements[[#This Row],[Reference - Opposite:src]], meta_TypedModelElements[ID], 0 ) ) )</f>
        <v/>
      </c>
      <c r="AM44" s="8"/>
      <c r="AN4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4" s="22"/>
      <c r="AP44"/>
      <c r="AQ44" s="22" t="str">
        <f xml:space="preserve"> IF( TRIM( meta_TypedModelElements[[#This Row],[Function - Owning Property:src]] ) = "", "",
        INDEX( meta_TypedModelElements[Display Qualified], MATCH( meta_TypedModelElements[[#This Row],[Function - Owning Property:src]], meta_TypedModelElements[ID], 0 ) ) )</f>
        <v/>
      </c>
      <c r="AT44" s="22" t="str">
        <f>IF(meta_TypedModelElements[[#This Row],[Parameter - Owning Function:src]]="","",INDEX(meta_TypedModelElements[Display Qualified],MATCH(meta_TypedModelElements[[#This Row],[Parameter - Owning Function:src]],meta_TypedModelElements[ID],0)))</f>
        <v/>
      </c>
      <c r="AV44" s="89"/>
      <c r="AW4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4" s="5" t="str">
        <f>"[@["&amp;meta_TypedModelElements[[#This Row],[Name or Type]]&amp;":src]]"</f>
        <v>[@[Base:src]]</v>
      </c>
      <c r="AY4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[@[Base:src]] ) = "",
        "",
    IF( LEFT([@[Base:src]],1)="_",
        RIGHT([@[Base:src]],LEN([@[Base:src]])-1),
    IF( TRIM( [@Package] )
            &lt;&gt; TRIM( INDEX( meta_Literals[Package], MATCH( [@[Base:src]], meta_Literals[ID],0 ) ) ),
        TRIM( INDEX( meta_Literals[Package], MATCH( [@[Base:src]], meta_Literals[ID], 0 ) ) )
            &amp; "::"
            &amp; INDEX( meta_Literals[Display], MATCH( [@[Base:src]], meta_Literals[ID], 0 ) ),
        INDEX( meta_Literals[Display], MATCH( [@[Base:src]], meta_Literals[ID], 0 ) )
    ))), "")</v>
      </c>
      <c r="AZ4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"Base" Then
                   referedTableName = "meta_Literals"
                   referedColumnName = "Display"
                   Call StaticCode.updateIdOnNameChange(cellRef, referingTableName, referingColumnName, referedTableName, referedColumnName)
            End If</v>
      </c>
      <c r="BA4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Base" Then
                   referedTableName = "meta_Literals"
                   referedColumnName = "Display"
                   Call StaticCode.updateIdOnNameChange(cellRef, referingTableName, referingColumnName, referedTableName, referedColumnName)
            End If</v>
      </c>
      <c r="BB44" s="40"/>
      <c r="BC44" s="40" t="str">
        <f>IF(meta_TypedModelElements[[#This Row],[Kind:src]]="_Parameter","",IF(AND(meta_TypedModelElements[[#This Row],[Package]]="util",meta_TypedModelElements[[#This Row],[Containing Class]]=0), "public", "method"))</f>
        <v>method</v>
      </c>
      <c r="BD44" s="40"/>
      <c r="BE4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4" s="40"/>
      <c r="BK44" s="5"/>
    </row>
    <row r="45" spans="1:63" ht="202.5">
      <c r="A45" s="5" t="s">
        <v>265</v>
      </c>
      <c r="B45" s="5" t="s">
        <v>167</v>
      </c>
      <c r="C45" s="22" t="str">
        <f xml:space="preserve"> IF( TRIM( meta_TypedModelElements[[#This Row],[Kind:src]] ) = "", "",
        INDEX( meta_Classifiers[Display Qualified], MATCH( meta_TypedModelElements[[#This Row],[Kind:src]], meta_Classifiers[ID], 0 ) ) )</f>
        <v>Reference</v>
      </c>
      <c r="D45" s="22">
        <v>44</v>
      </c>
      <c r="E45" s="22" t="s">
        <v>142</v>
      </c>
      <c r="F45" s="22"/>
      <c r="G4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5" s="8" t="s">
        <v>217</v>
      </c>
      <c r="J45" s="22" t="str">
        <f xml:space="preserve"> IF( TRIM( meta_TypedModelElements[[#This Row],[Property - Owning Class:src]] ) = "", "",
        INDEX( meta_Classifiers[Display Qualified], MATCH( meta_TypedModelElements[[#This Row],[Property - Owning Class:src]], meta_Classifiers[ID], 0 ) ) )</f>
        <v>Rule</v>
      </c>
      <c r="K4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meta::Rule.property1</v>
      </c>
      <c r="L45" s="5" t="str">
        <f>IF(meta_TypedModelElements[[#This Row],[Kind:src]]="_Function",meta_TypedModelElements[[#This Row],[Display Qualified]],"")</f>
        <v/>
      </c>
      <c r="M45" s="5" t="str">
        <f>IF(meta_TypedModelElements[[#This Row],[Kind:src]]="_Attribute",meta_TypedModelElements[[#This Row],[Display Qualified]],"")</f>
        <v/>
      </c>
      <c r="N45" s="5" t="str">
        <f>IF(meta_TypedModelElements[[#This Row],[Kind:src]]="_Reference",meta_TypedModelElements[[#This Row],[Display Qualified]],"")</f>
        <v>meta::Rule.property1</v>
      </c>
      <c r="O45" s="5" t="str">
        <f>IF(OR(meta_TypedModelElements[[#This Row],[Kind:src]]="_Attribute",meta_TypedModelElements[[#This Row],[Kind:src]]="_Reference"),meta_TypedModelElements[[#This Row],[Display Qualified]],"")</f>
        <v>meta::Rule.property1</v>
      </c>
      <c r="P45" s="22"/>
      <c r="Q45" s="22"/>
      <c r="R45" s="5" t="str">
        <f>IF(meta_TypedModelElements[[#This Row],[Containing Class:display]]="","",meta_TypedModelElements[[#This Row],[Containing Class:display]]&amp;".")&amp;meta_TypedModelElements[[#This Row],[Display without Class]]</f>
        <v>Rule.property1</v>
      </c>
      <c r="S45" s="5" t="str" cm="1">
        <f t="array" ref="S45">_xlfn.IFNA(INDEX(meta_Names[Camel Lower], MATCH(meta_TypedModelElements[[#This Row],[Name or Type]],meta_Names[String],0)),camelCaseLower(meta_TypedModelElements[[#This Row],[Name or Type]]))</f>
        <v>property1</v>
      </c>
      <c r="T45" s="5" t="str">
        <f>IF(meta_TypedModelElements[[#This Row],[Name or Type]]="","",meta_TypedModelElements[[#This Row],[Name or Type Camel Case Lower]])&amp;IF(meta_TypedModelElements[[#This Row],[Kind:src]]="_Function","("&amp;meta_TypedModelElements[[#This Row],[Function - Parameters Display]]&amp;")","")</f>
        <v>property1</v>
      </c>
      <c r="U4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1</v>
      </c>
      <c r="V45" s="22" t="s">
        <v>24</v>
      </c>
      <c r="W45" s="5" t="e">
        <f>INDEX(meta_Classifiers[Class - Generalization:src],MATCH(meta_TypedModelElements[[#This Row],[Type Super Type 6]],meta_Classifiers[ID],0))</f>
        <v>#N/A</v>
      </c>
      <c r="X45" s="5" t="e">
        <f>INDEX(meta_Classifiers[Class - Generalization:src],MATCH(meta_TypedModelElements[[#This Row],[Type Super Type 5]],meta_Classifiers[ID],0))</f>
        <v>#N/A</v>
      </c>
      <c r="Y45" s="5" t="str">
        <f>INDEX(meta_Classifiers[Class - Generalization:src],MATCH(meta_TypedModelElements[[#This Row],[Type Super Type 4]],meta_Classifiers[ID],0))</f>
        <v/>
      </c>
      <c r="Z45" s="5" t="str">
        <f>INDEX(meta_Classifiers[Class - Generalization:src],MATCH(meta_TypedModelElements[[#This Row],[Type Super Type 3]],meta_Classifiers[ID],0))</f>
        <v>_Object</v>
      </c>
      <c r="AA45" s="5" t="str">
        <f>INDEX(meta_Classifiers[Class - Generalization:src],MATCH(meta_TypedModelElements[[#This Row],[Type Super Type 2]],meta_Classifiers[ID],0))</f>
        <v>_NamedElement</v>
      </c>
      <c r="AB45" s="5" t="str">
        <f>INDEX(meta_Classifiers[Class - Generalization:src],MATCH(meta_TypedModelElements[[#This Row],[Type Super Type 1]],meta_Classifiers[ID],0))</f>
        <v>_TypedModelElement</v>
      </c>
      <c r="AC45" s="5" t="str">
        <f>INDEX(meta_Classifiers[Class - Generalization:src],MATCH(meta_TypedModelElements[[#This Row],[Type:src]],meta_Classifiers[ID],0))</f>
        <v>_Feature</v>
      </c>
      <c r="AD45" s="5" t="str">
        <f>IF(meta_TypedModelElements[[#This Row],[Kind:src]]&lt;&gt;"_Function",meta_TypedModelElements[[#This Row],[Type]],INDEX(meta_TypedModelElements[Type],MATCH(meta_TypedModelElements[[#This Row],[Function - Owning Property:src]],meta_TypedModelElements[ID],0)))</f>
        <v>Property</v>
      </c>
      <c r="AE45" s="5" t="str">
        <f>IF(meta_TypedModelElements[[#This Row],[Kind:src]]&lt;&gt;"_Function",meta_TypedModelElements[[#This Row],[Type:src]],INDEX(meta_TypedModelElements[Type:src],MATCH(meta_TypedModelElements[[#This Row],[Function - Owning Property:src]],meta_TypedModelElements[ID],0)))</f>
        <v>_Property</v>
      </c>
      <c r="AF45" s="5" t="str">
        <f>IF(meta_TypedModelElements[[#This Row],[Type:src]]="","",INDEX(meta_Classifiers[Name],MATCH(meta_TypedModelElements[[#This Row],[Type:src]],meta_Classifiers[ID],0)))</f>
        <v>Property</v>
      </c>
      <c r="AG45" s="5" t="s">
        <v>213</v>
      </c>
      <c r="AH45" s="22" t="str">
        <f xml:space="preserve"> IF( TRIM( meta_TypedModelElements[[#This Row],[Type:src]] ) = "", "",
        INDEX( meta_Classifiers[Display Qualified], MATCH( meta_TypedModelElements[[#This Row],[Type:src]], meta_Classifiers[ID], 0 ) ) )</f>
        <v>Property</v>
      </c>
      <c r="AI45" s="22" t="s">
        <v>21</v>
      </c>
      <c r="AJ45" s="22" t="s">
        <v>232</v>
      </c>
      <c r="AK45" s="8"/>
      <c r="AL45" s="22" t="str">
        <f xml:space="preserve"> IF( TRIM( meta_TypedModelElements[[#This Row],[Reference - Opposite:src]] ) = "", "",
        INDEX( meta_TypedModelElements[Display Qualified], MATCH( meta_TypedModelElements[[#This Row],[Reference - Opposite:src]], meta_TypedModelElements[ID], 0 ) ) )</f>
        <v/>
      </c>
      <c r="AM45" s="8"/>
      <c r="AN4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5" s="22"/>
      <c r="AP45"/>
      <c r="AQ45" s="22" t="str">
        <f xml:space="preserve"> IF( TRIM( meta_TypedModelElements[[#This Row],[Function - Owning Property:src]] ) = "", "",
        INDEX( meta_TypedModelElements[Display Qualified], MATCH( meta_TypedModelElements[[#This Row],[Function - Owning Property:src]], meta_TypedModelElements[ID], 0 ) ) )</f>
        <v/>
      </c>
      <c r="AT45" s="22" t="str">
        <f>IF(meta_TypedModelElements[[#This Row],[Parameter - Owning Function:src]]="","",INDEX(meta_TypedModelElements[Display Qualified],MATCH(meta_TypedModelElements[[#This Row],[Parameter - Owning Function:src]],meta_TypedModelElements[ID],0)))</f>
        <v/>
      </c>
      <c r="AV45" s="89"/>
      <c r="AW4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5" s="5" t="str">
        <f>"[@["&amp;meta_TypedModelElements[[#This Row],[Name or Type]]&amp;":src]]"</f>
        <v>[@[Property 1:src]]</v>
      </c>
      <c r="AY4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1:src]] ) = "",
        "",
    IF( LEFT([@[Property 1:src]],1)="_",
        RIGHT([@[Property 1:src]],LEN([@[Property 1:src]])-1),
    IF( TRIM( [@Package] )
            &lt;&gt; TRIM( INDEX( meta_TypedModelElements[Package], MATCH( [@[Property 1:src]], meta_TypedModelElements[ID],0 ) ) ),
        TRIM( INDEX( meta_TypedModelElements[Package], MATCH( [@[Property 1:src]], meta_TypedModelElements[ID], 0 ) ) )
            &amp; "::"
            &amp; INDEX( meta_TypedModelElements[Display], MATCH( [@[Property 1:src]], meta_TypedModelElements[ID], 0 ) ),
        INDEX( meta_TypedModelElements[Display], MATCH( [@[Property 1:src]], meta_TypedModelElements[ID], 0 ) )
    ))), "")</v>
      </c>
      <c r="AZ4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1" Then
                   referedTableName = "meta_TypedModelElements"
                   referedColumnName = "Display"
                   Call StaticCode.updateIdOnNameChange(cellRef, referingTableName, referingColumnName, referedTableName, referedColumnName)
            End If</v>
      </c>
      <c r="BA4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1" Then
                   referedTableName = "meta_TypedModelElements"
                   referedColumnName = "Display"
                   Call StaticCode.updateIdOnNameChange(cellRef, referingTableName, referingColumnName, referedTableName, referedColumnName)
            End If</v>
      </c>
      <c r="BB45" s="40"/>
      <c r="BC45" s="40" t="str">
        <f>IF(meta_TypedModelElements[[#This Row],[Kind:src]]="_Parameter","",IF(AND(meta_TypedModelElements[[#This Row],[Package]]="util",meta_TypedModelElements[[#This Row],[Containing Class]]=0), "public", "method"))</f>
        <v>method</v>
      </c>
      <c r="BD45" s="40"/>
      <c r="BE4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5" s="40"/>
      <c r="BK45" s="5"/>
    </row>
    <row r="46" spans="1:63" ht="202.5">
      <c r="A46" s="5" t="s">
        <v>266</v>
      </c>
      <c r="B46" s="5" t="s">
        <v>167</v>
      </c>
      <c r="C46" s="22" t="str">
        <f xml:space="preserve"> IF( TRIM( meta_TypedModelElements[[#This Row],[Kind:src]] ) = "", "",
        INDEX( meta_Classifiers[Display Qualified], MATCH( meta_TypedModelElements[[#This Row],[Kind:src]], meta_Classifiers[ID], 0 ) ) )</f>
        <v>Reference</v>
      </c>
      <c r="D46" s="22">
        <v>45</v>
      </c>
      <c r="E46" s="22" t="s">
        <v>142</v>
      </c>
      <c r="F46" s="22"/>
      <c r="G4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6" s="8" t="s">
        <v>217</v>
      </c>
      <c r="J46" s="22" t="str">
        <f xml:space="preserve"> IF( TRIM( meta_TypedModelElements[[#This Row],[Property - Owning Class:src]] ) = "", "",
        INDEX( meta_Classifiers[Display Qualified], MATCH( meta_TypedModelElements[[#This Row],[Property - Owning Class:src]], meta_Classifiers[ID], 0 ) ) )</f>
        <v>Rule</v>
      </c>
      <c r="K4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meta::Rule.property2</v>
      </c>
      <c r="L46" s="5" t="str">
        <f>IF(meta_TypedModelElements[[#This Row],[Kind:src]]="_Function",meta_TypedModelElements[[#This Row],[Display Qualified]],"")</f>
        <v/>
      </c>
      <c r="M46" s="5" t="str">
        <f>IF(meta_TypedModelElements[[#This Row],[Kind:src]]="_Attribute",meta_TypedModelElements[[#This Row],[Display Qualified]],"")</f>
        <v/>
      </c>
      <c r="N46" s="5" t="str">
        <f>IF(meta_TypedModelElements[[#This Row],[Kind:src]]="_Reference",meta_TypedModelElements[[#This Row],[Display Qualified]],"")</f>
        <v>meta::Rule.property2</v>
      </c>
      <c r="O46" s="5" t="str">
        <f>IF(OR(meta_TypedModelElements[[#This Row],[Kind:src]]="_Attribute",meta_TypedModelElements[[#This Row],[Kind:src]]="_Reference"),meta_TypedModelElements[[#This Row],[Display Qualified]],"")</f>
        <v>meta::Rule.property2</v>
      </c>
      <c r="P46" s="22"/>
      <c r="Q46" s="22"/>
      <c r="R46" s="5" t="str">
        <f>IF(meta_TypedModelElements[[#This Row],[Containing Class:display]]="","",meta_TypedModelElements[[#This Row],[Containing Class:display]]&amp;".")&amp;meta_TypedModelElements[[#This Row],[Display without Class]]</f>
        <v>Rule.property2</v>
      </c>
      <c r="S46" s="5" t="str" cm="1">
        <f t="array" ref="S46">_xlfn.IFNA(INDEX(meta_Names[Camel Lower], MATCH(meta_TypedModelElements[[#This Row],[Name or Type]],meta_Names[String],0)),camelCaseLower(meta_TypedModelElements[[#This Row],[Name or Type]]))</f>
        <v>property2</v>
      </c>
      <c r="T46" s="5" t="str">
        <f>IF(meta_TypedModelElements[[#This Row],[Name or Type]]="","",meta_TypedModelElements[[#This Row],[Name or Type Camel Case Lower]])&amp;IF(meta_TypedModelElements[[#This Row],[Kind:src]]="_Function","("&amp;meta_TypedModelElements[[#This Row],[Function - Parameters Display]]&amp;")","")</f>
        <v>property2</v>
      </c>
      <c r="U4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2</v>
      </c>
      <c r="V46" s="22" t="s">
        <v>25</v>
      </c>
      <c r="W46" s="5" t="e">
        <f>INDEX(meta_Classifiers[Class - Generalization:src],MATCH(meta_TypedModelElements[[#This Row],[Type Super Type 6]],meta_Classifiers[ID],0))</f>
        <v>#N/A</v>
      </c>
      <c r="X46" s="5" t="e">
        <f>INDEX(meta_Classifiers[Class - Generalization:src],MATCH(meta_TypedModelElements[[#This Row],[Type Super Type 5]],meta_Classifiers[ID],0))</f>
        <v>#N/A</v>
      </c>
      <c r="Y46" s="5" t="str">
        <f>INDEX(meta_Classifiers[Class - Generalization:src],MATCH(meta_TypedModelElements[[#This Row],[Type Super Type 4]],meta_Classifiers[ID],0))</f>
        <v/>
      </c>
      <c r="Z46" s="5" t="str">
        <f>INDEX(meta_Classifiers[Class - Generalization:src],MATCH(meta_TypedModelElements[[#This Row],[Type Super Type 3]],meta_Classifiers[ID],0))</f>
        <v>_Object</v>
      </c>
      <c r="AA46" s="5" t="str">
        <f>INDEX(meta_Classifiers[Class - Generalization:src],MATCH(meta_TypedModelElements[[#This Row],[Type Super Type 2]],meta_Classifiers[ID],0))</f>
        <v>_NamedElement</v>
      </c>
      <c r="AB46" s="5" t="str">
        <f>INDEX(meta_Classifiers[Class - Generalization:src],MATCH(meta_TypedModelElements[[#This Row],[Type Super Type 1]],meta_Classifiers[ID],0))</f>
        <v>_TypedModelElement</v>
      </c>
      <c r="AC46" s="5" t="str">
        <f>INDEX(meta_Classifiers[Class - Generalization:src],MATCH(meta_TypedModelElements[[#This Row],[Type:src]],meta_Classifiers[ID],0))</f>
        <v>_Feature</v>
      </c>
      <c r="AD46" s="5" t="str">
        <f>IF(meta_TypedModelElements[[#This Row],[Kind:src]]&lt;&gt;"_Function",meta_TypedModelElements[[#This Row],[Type]],INDEX(meta_TypedModelElements[Type],MATCH(meta_TypedModelElements[[#This Row],[Function - Owning Property:src]],meta_TypedModelElements[ID],0)))</f>
        <v>Property</v>
      </c>
      <c r="AE46" s="5" t="str">
        <f>IF(meta_TypedModelElements[[#This Row],[Kind:src]]&lt;&gt;"_Function",meta_TypedModelElements[[#This Row],[Type:src]],INDEX(meta_TypedModelElements[Type:src],MATCH(meta_TypedModelElements[[#This Row],[Function - Owning Property:src]],meta_TypedModelElements[ID],0)))</f>
        <v>_Property</v>
      </c>
      <c r="AF46" s="5" t="str">
        <f>IF(meta_TypedModelElements[[#This Row],[Type:src]]="","",INDEX(meta_Classifiers[Name],MATCH(meta_TypedModelElements[[#This Row],[Type:src]],meta_Classifiers[ID],0)))</f>
        <v>Property</v>
      </c>
      <c r="AG46" s="5" t="s">
        <v>213</v>
      </c>
      <c r="AH46" s="22" t="str">
        <f xml:space="preserve"> IF( TRIM( meta_TypedModelElements[[#This Row],[Type:src]] ) = "", "",
        INDEX( meta_Classifiers[Display Qualified], MATCH( meta_TypedModelElements[[#This Row],[Type:src]], meta_Classifiers[ID], 0 ) ) )</f>
        <v>Property</v>
      </c>
      <c r="AI46" s="22" t="s">
        <v>21</v>
      </c>
      <c r="AJ46" s="22" t="s">
        <v>232</v>
      </c>
      <c r="AK46" s="8"/>
      <c r="AL46" s="22" t="str">
        <f xml:space="preserve"> IF( TRIM( meta_TypedModelElements[[#This Row],[Reference - Opposite:src]] ) = "", "",
        INDEX( meta_TypedModelElements[Display Qualified], MATCH( meta_TypedModelElements[[#This Row],[Reference - Opposite:src]], meta_TypedModelElements[ID], 0 ) ) )</f>
        <v/>
      </c>
      <c r="AM46" s="8"/>
      <c r="AN4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6" s="22"/>
      <c r="AP46"/>
      <c r="AQ46" s="22" t="str">
        <f xml:space="preserve"> IF( TRIM( meta_TypedModelElements[[#This Row],[Function - Owning Property:src]] ) = "", "",
        INDEX( meta_TypedModelElements[Display Qualified], MATCH( meta_TypedModelElements[[#This Row],[Function - Owning Property:src]], meta_TypedModelElements[ID], 0 ) ) )</f>
        <v/>
      </c>
      <c r="AT46" s="22" t="str">
        <f>IF(meta_TypedModelElements[[#This Row],[Parameter - Owning Function:src]]="","",INDEX(meta_TypedModelElements[Display Qualified],MATCH(meta_TypedModelElements[[#This Row],[Parameter - Owning Function:src]],meta_TypedModelElements[ID],0)))</f>
        <v/>
      </c>
      <c r="AV46" s="89"/>
      <c r="AW4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6" s="5" t="str">
        <f>"[@["&amp;meta_TypedModelElements[[#This Row],[Name or Type]]&amp;":src]]"</f>
        <v>[@[Property 2:src]]</v>
      </c>
      <c r="AY4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2:src]] ) = "",
        "",
    IF( LEFT([@[Property 2:src]],1)="_",
        RIGHT([@[Property 2:src]],LEN([@[Property 2:src]])-1),
    IF( TRIM( [@Package] )
            &lt;&gt; TRIM( INDEX( meta_TypedModelElements[Package], MATCH( [@[Property 2:src]], meta_TypedModelElements[ID],0 ) ) ),
        TRIM( INDEX( meta_TypedModelElements[Package], MATCH( [@[Property 2:src]], meta_TypedModelElements[ID], 0 ) ) )
            &amp; "::"
            &amp; INDEX( meta_TypedModelElements[Display], MATCH( [@[Property 2:src]], meta_TypedModelElements[ID], 0 ) ),
        INDEX( meta_TypedModelElements[Display], MATCH( [@[Property 2:src]], meta_TypedModelElements[ID], 0 ) )
    ))), "")</v>
      </c>
      <c r="AZ4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2" Then
                   referedTableName = "meta_TypedModelElements"
                   referedColumnName = "Display"
                   Call StaticCode.updateIdOnNameChange(cellRef, referingTableName, referingColumnName, referedTableName, referedColumnName)
            End If</v>
      </c>
      <c r="BA4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2" Then
                   referedTableName = "meta_TypedModelElements"
                   referedColumnName = "Display"
                   Call StaticCode.updateIdOnNameChange(cellRef, referingTableName, referingColumnName, referedTableName, referedColumnName)
            End If</v>
      </c>
      <c r="BB46" s="40"/>
      <c r="BC46" s="40" t="str">
        <f>IF(meta_TypedModelElements[[#This Row],[Kind:src]]="_Parameter","",IF(AND(meta_TypedModelElements[[#This Row],[Package]]="util",meta_TypedModelElements[[#This Row],[Containing Class]]=0), "public", "method"))</f>
        <v>method</v>
      </c>
      <c r="BD46" s="40"/>
      <c r="BE4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6" s="40"/>
      <c r="BK46" s="5"/>
    </row>
    <row r="47" spans="1:63" ht="189">
      <c r="A47" s="5" t="s">
        <v>267</v>
      </c>
      <c r="B47" s="5" t="s">
        <v>167</v>
      </c>
      <c r="C47" s="22" t="str">
        <f xml:space="preserve"> IF( TRIM( meta_TypedModelElements[[#This Row],[Kind:src]] ) = "", "",
        INDEX( meta_Classifiers[Display Qualified], MATCH( meta_TypedModelElements[[#This Row],[Kind:src]], meta_Classifiers[ID], 0 ) ) )</f>
        <v>Reference</v>
      </c>
      <c r="D47" s="22">
        <v>46</v>
      </c>
      <c r="E47" s="22" t="s">
        <v>142</v>
      </c>
      <c r="F47" s="22"/>
      <c r="G4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7" s="8" t="s">
        <v>217</v>
      </c>
      <c r="J47" s="22" t="str">
        <f xml:space="preserve"> IF( TRIM( meta_TypedModelElements[[#This Row],[Property - Owning Class:src]] ) = "", "",
        INDEX( meta_Classifiers[Display Qualified], MATCH( meta_TypedModelElements[[#This Row],[Property - Owning Class:src]], meta_Classifiers[ID], 0 ) ) )</f>
        <v>Rule</v>
      </c>
      <c r="K4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meta::Rule.cast</v>
      </c>
      <c r="L47" s="5" t="str">
        <f>IF(meta_TypedModelElements[[#This Row],[Kind:src]]="_Function",meta_TypedModelElements[[#This Row],[Display Qualified]],"")</f>
        <v/>
      </c>
      <c r="M47" s="5" t="str">
        <f>IF(meta_TypedModelElements[[#This Row],[Kind:src]]="_Attribute",meta_TypedModelElements[[#This Row],[Display Qualified]],"")</f>
        <v/>
      </c>
      <c r="N47" s="5" t="str">
        <f>IF(meta_TypedModelElements[[#This Row],[Kind:src]]="_Reference",meta_TypedModelElements[[#This Row],[Display Qualified]],"")</f>
        <v>meta::Rule.cast</v>
      </c>
      <c r="O47" s="5" t="str">
        <f>IF(OR(meta_TypedModelElements[[#This Row],[Kind:src]]="_Attribute",meta_TypedModelElements[[#This Row],[Kind:src]]="_Reference"),meta_TypedModelElements[[#This Row],[Display Qualified]],"")</f>
        <v>meta::Rule.cast</v>
      </c>
      <c r="P47" s="22"/>
      <c r="Q47" s="22"/>
      <c r="R47" s="5" t="str">
        <f>IF(meta_TypedModelElements[[#This Row],[Containing Class:display]]="","",meta_TypedModelElements[[#This Row],[Containing Class:display]]&amp;".")&amp;meta_TypedModelElements[[#This Row],[Display without Class]]</f>
        <v>Rule.cast</v>
      </c>
      <c r="S47" s="5" t="str" cm="1">
        <f t="array" ref="S47">_xlfn.IFNA(INDEX(meta_Names[Camel Lower], MATCH(meta_TypedModelElements[[#This Row],[Name or Type]],meta_Names[String],0)),camelCaseLower(meta_TypedModelElements[[#This Row],[Name or Type]]))</f>
        <v>cast</v>
      </c>
      <c r="T47" s="5" t="str">
        <f>IF(meta_TypedModelElements[[#This Row],[Name or Type]]="","",meta_TypedModelElements[[#This Row],[Name or Type Camel Case Lower]])&amp;IF(meta_TypedModelElements[[#This Row],[Kind:src]]="_Function","("&amp;meta_TypedModelElements[[#This Row],[Function - Parameters Display]]&amp;")","")</f>
        <v>cast</v>
      </c>
      <c r="U4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Cast</v>
      </c>
      <c r="V47" s="22" t="s">
        <v>26</v>
      </c>
      <c r="W47" s="5" t="e">
        <f>INDEX(meta_Classifiers[Class - Generalization:src],MATCH(meta_TypedModelElements[[#This Row],[Type Super Type 6]],meta_Classifiers[ID],0))</f>
        <v>#N/A</v>
      </c>
      <c r="X47" s="5" t="e">
        <f>INDEX(meta_Classifiers[Class - Generalization:src],MATCH(meta_TypedModelElements[[#This Row],[Type Super Type 5]],meta_Classifiers[ID],0))</f>
        <v>#N/A</v>
      </c>
      <c r="Y47" s="5" t="e">
        <f>INDEX(meta_Classifiers[Class - Generalization:src],MATCH(meta_TypedModelElements[[#This Row],[Type Super Type 4]],meta_Classifiers[ID],0))</f>
        <v>#N/A</v>
      </c>
      <c r="Z47" s="5" t="str">
        <f>INDEX(meta_Classifiers[Class - Generalization:src],MATCH(meta_TypedModelElements[[#This Row],[Type Super Type 3]],meta_Classifiers[ID],0))</f>
        <v/>
      </c>
      <c r="AA47" s="5" t="str">
        <f>INDEX(meta_Classifiers[Class - Generalization:src],MATCH(meta_TypedModelElements[[#This Row],[Type Super Type 2]],meta_Classifiers[ID],0))</f>
        <v>_Object</v>
      </c>
      <c r="AB47" s="5" t="str">
        <f>INDEX(meta_Classifiers[Class - Generalization:src],MATCH(meta_TypedModelElements[[#This Row],[Type Super Type 1]],meta_Classifiers[ID],0))</f>
        <v>_NamedElement</v>
      </c>
      <c r="AC47" s="5" t="str">
        <f>INDEX(meta_Classifiers[Class - Generalization:src],MATCH(meta_TypedModelElements[[#This Row],[Type:src]],meta_Classifiers[ID],0))</f>
        <v>_Classifier</v>
      </c>
      <c r="AD47" s="5" t="str">
        <f>IF(meta_TypedModelElements[[#This Row],[Kind:src]]&lt;&gt;"_Function",meta_TypedModelElements[[#This Row],[Type]],INDEX(meta_TypedModelElements[Type],MATCH(meta_TypedModelElements[[#This Row],[Function - Owning Property:src]],meta_TypedModelElements[ID],0)))</f>
        <v>Class</v>
      </c>
      <c r="AE47" s="5" t="str">
        <f>IF(meta_TypedModelElements[[#This Row],[Kind:src]]&lt;&gt;"_Function",meta_TypedModelElements[[#This Row],[Type:src]],INDEX(meta_TypedModelElements[Type:src],MATCH(meta_TypedModelElements[[#This Row],[Function - Owning Property:src]],meta_TypedModelElements[ID],0)))</f>
        <v>_Class</v>
      </c>
      <c r="AF47" s="5" t="str">
        <f>IF(meta_TypedModelElements[[#This Row],[Type:src]]="","",INDEX(meta_Classifiers[Name],MATCH(meta_TypedModelElements[[#This Row],[Type:src]],meta_Classifiers[ID],0)))</f>
        <v>Class</v>
      </c>
      <c r="AG47" s="5" t="s">
        <v>163</v>
      </c>
      <c r="AH47" s="22" t="str">
        <f xml:space="preserve"> IF( TRIM( meta_TypedModelElements[[#This Row],[Type:src]] ) = "", "",
        INDEX( meta_Classifiers[Display Qualified], MATCH( meta_TypedModelElements[[#This Row],[Type:src]], meta_Classifiers[ID], 0 ) ) )</f>
        <v>Class</v>
      </c>
      <c r="AI47" s="22" t="s">
        <v>21</v>
      </c>
      <c r="AJ47" s="22" t="s">
        <v>232</v>
      </c>
      <c r="AK47" s="8"/>
      <c r="AL47" s="22" t="str">
        <f xml:space="preserve"> IF( TRIM( meta_TypedModelElements[[#This Row],[Reference - Opposite:src]] ) = "", "",
        INDEX( meta_TypedModelElements[Display Qualified], MATCH( meta_TypedModelElements[[#This Row],[Reference - Opposite:src]], meta_TypedModelElements[ID], 0 ) ) )</f>
        <v/>
      </c>
      <c r="AM47" s="8"/>
      <c r="AN4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7" s="22"/>
      <c r="AP47"/>
      <c r="AQ47" s="22" t="str">
        <f xml:space="preserve"> IF( TRIM( meta_TypedModelElements[[#This Row],[Function - Owning Property:src]] ) = "", "",
        INDEX( meta_TypedModelElements[Display Qualified], MATCH( meta_TypedModelElements[[#This Row],[Function - Owning Property:src]], meta_TypedModelElements[ID], 0 ) ) )</f>
        <v/>
      </c>
      <c r="AT47" s="22" t="str">
        <f>IF(meta_TypedModelElements[[#This Row],[Parameter - Owning Function:src]]="","",INDEX(meta_TypedModelElements[Display Qualified],MATCH(meta_TypedModelElements[[#This Row],[Parameter - Owning Function:src]],meta_TypedModelElements[ID],0)))</f>
        <v/>
      </c>
      <c r="AV47" s="89"/>
      <c r="AW4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7" s="5" t="str">
        <f>"[@["&amp;meta_TypedModelElements[[#This Row],[Name or Type]]&amp;":src]]"</f>
        <v>[@[Cast:src]]</v>
      </c>
      <c r="AY4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AZ4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"Cast" Then
                   referedTableName = "meta_Classifiers"
                   referedColumnName = "Display"
                   Call StaticCode.updateIdOnNameChange(cellRef, referingTableName, referingColumnName, referedTableName, referedColumnName)
            End If</v>
      </c>
      <c r="BA4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Cast" Then
                   referedTableName = "meta_Classifiers"
                   referedColumnName = "Display"
                   Call StaticCode.updateIdOnNameChange(cellRef, referingTableName, referingColumnName, referedTableName, referedColumnName)
            End If</v>
      </c>
      <c r="BB47" s="40"/>
      <c r="BC47" s="40" t="str">
        <f>IF(meta_TypedModelElements[[#This Row],[Kind:src]]="_Parameter","",IF(AND(meta_TypedModelElements[[#This Row],[Package]]="util",meta_TypedModelElements[[#This Row],[Containing Class]]=0), "public", "method"))</f>
        <v>method</v>
      </c>
      <c r="BD47" s="40"/>
      <c r="BE4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7" s="40"/>
      <c r="BK47" s="5"/>
    </row>
    <row r="48" spans="1:63" ht="202.5">
      <c r="A48" s="5" t="s">
        <v>268</v>
      </c>
      <c r="B48" s="5" t="s">
        <v>167</v>
      </c>
      <c r="C48" s="22" t="str">
        <f xml:space="preserve"> IF( TRIM( meta_TypedModelElements[[#This Row],[Kind:src]] ) = "", "",
        INDEX( meta_Classifiers[Display Qualified], MATCH( meta_TypedModelElements[[#This Row],[Kind:src]], meta_Classifiers[ID], 0 ) ) )</f>
        <v>Reference</v>
      </c>
      <c r="D48" s="22">
        <v>47</v>
      </c>
      <c r="E48" s="22" t="s">
        <v>142</v>
      </c>
      <c r="F48" s="22"/>
      <c r="G4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8" s="8" t="s">
        <v>217</v>
      </c>
      <c r="J48" s="22" t="str">
        <f xml:space="preserve"> IF( TRIM( meta_TypedModelElements[[#This Row],[Property - Owning Class:src]] ) = "", "",
        INDEX( meta_Classifiers[Display Qualified], MATCH( meta_TypedModelElements[[#This Row],[Property - Owning Class:src]], meta_Classifiers[ID], 0 ) ) )</f>
        <v>Rule</v>
      </c>
      <c r="K4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meta::Rule.property3</v>
      </c>
      <c r="L48" s="5" t="str">
        <f>IF(meta_TypedModelElements[[#This Row],[Kind:src]]="_Function",meta_TypedModelElements[[#This Row],[Display Qualified]],"")</f>
        <v/>
      </c>
      <c r="M48" s="5" t="str">
        <f>IF(meta_TypedModelElements[[#This Row],[Kind:src]]="_Attribute",meta_TypedModelElements[[#This Row],[Display Qualified]],"")</f>
        <v/>
      </c>
      <c r="N48" s="5" t="str">
        <f>IF(meta_TypedModelElements[[#This Row],[Kind:src]]="_Reference",meta_TypedModelElements[[#This Row],[Display Qualified]],"")</f>
        <v>meta::Rule.property3</v>
      </c>
      <c r="O48" s="5" t="str">
        <f>IF(OR(meta_TypedModelElements[[#This Row],[Kind:src]]="_Attribute",meta_TypedModelElements[[#This Row],[Kind:src]]="_Reference"),meta_TypedModelElements[[#This Row],[Display Qualified]],"")</f>
        <v>meta::Rule.property3</v>
      </c>
      <c r="P48" s="22"/>
      <c r="Q48" s="22"/>
      <c r="R48" s="5" t="str">
        <f>IF(meta_TypedModelElements[[#This Row],[Containing Class:display]]="","",meta_TypedModelElements[[#This Row],[Containing Class:display]]&amp;".")&amp;meta_TypedModelElements[[#This Row],[Display without Class]]</f>
        <v>Rule.property3</v>
      </c>
      <c r="S48" s="5" t="str" cm="1">
        <f t="array" ref="S48">_xlfn.IFNA(INDEX(meta_Names[Camel Lower], MATCH(meta_TypedModelElements[[#This Row],[Name or Type]],meta_Names[String],0)),camelCaseLower(meta_TypedModelElements[[#This Row],[Name or Type]]))</f>
        <v>property3</v>
      </c>
      <c r="T48" s="5" t="str">
        <f>IF(meta_TypedModelElements[[#This Row],[Name or Type]]="","",meta_TypedModelElements[[#This Row],[Name or Type Camel Case Lower]])&amp;IF(meta_TypedModelElements[[#This Row],[Kind:src]]="_Function","("&amp;meta_TypedModelElements[[#This Row],[Function - Parameters Display]]&amp;")","")</f>
        <v>property3</v>
      </c>
      <c r="U4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3</v>
      </c>
      <c r="V48" s="22" t="s">
        <v>27</v>
      </c>
      <c r="W48" s="5" t="e">
        <f>INDEX(meta_Classifiers[Class - Generalization:src],MATCH(meta_TypedModelElements[[#This Row],[Type Super Type 6]],meta_Classifiers[ID],0))</f>
        <v>#N/A</v>
      </c>
      <c r="X48" s="5" t="e">
        <f>INDEX(meta_Classifiers[Class - Generalization:src],MATCH(meta_TypedModelElements[[#This Row],[Type Super Type 5]],meta_Classifiers[ID],0))</f>
        <v>#N/A</v>
      </c>
      <c r="Y48" s="5" t="str">
        <f>INDEX(meta_Classifiers[Class - Generalization:src],MATCH(meta_TypedModelElements[[#This Row],[Type Super Type 4]],meta_Classifiers[ID],0))</f>
        <v/>
      </c>
      <c r="Z48" s="5" t="str">
        <f>INDEX(meta_Classifiers[Class - Generalization:src],MATCH(meta_TypedModelElements[[#This Row],[Type Super Type 3]],meta_Classifiers[ID],0))</f>
        <v>_Object</v>
      </c>
      <c r="AA48" s="5" t="str">
        <f>INDEX(meta_Classifiers[Class - Generalization:src],MATCH(meta_TypedModelElements[[#This Row],[Type Super Type 2]],meta_Classifiers[ID],0))</f>
        <v>_NamedElement</v>
      </c>
      <c r="AB48" s="5" t="str">
        <f>INDEX(meta_Classifiers[Class - Generalization:src],MATCH(meta_TypedModelElements[[#This Row],[Type Super Type 1]],meta_Classifiers[ID],0))</f>
        <v>_TypedModelElement</v>
      </c>
      <c r="AC48" s="5" t="str">
        <f>INDEX(meta_Classifiers[Class - Generalization:src],MATCH(meta_TypedModelElements[[#This Row],[Type:src]],meta_Classifiers[ID],0))</f>
        <v>_Feature</v>
      </c>
      <c r="AD48" s="5" t="str">
        <f>IF(meta_TypedModelElements[[#This Row],[Kind:src]]&lt;&gt;"_Function",meta_TypedModelElements[[#This Row],[Type]],INDEX(meta_TypedModelElements[Type],MATCH(meta_TypedModelElements[[#This Row],[Function - Owning Property:src]],meta_TypedModelElements[ID],0)))</f>
        <v>Property</v>
      </c>
      <c r="AE48" s="5" t="str">
        <f>IF(meta_TypedModelElements[[#This Row],[Kind:src]]&lt;&gt;"_Function",meta_TypedModelElements[[#This Row],[Type:src]],INDEX(meta_TypedModelElements[Type:src],MATCH(meta_TypedModelElements[[#This Row],[Function - Owning Property:src]],meta_TypedModelElements[ID],0)))</f>
        <v>_Property</v>
      </c>
      <c r="AF48" s="5" t="str">
        <f>IF(meta_TypedModelElements[[#This Row],[Type:src]]="","",INDEX(meta_Classifiers[Name],MATCH(meta_TypedModelElements[[#This Row],[Type:src]],meta_Classifiers[ID],0)))</f>
        <v>Property</v>
      </c>
      <c r="AG48" s="5" t="s">
        <v>213</v>
      </c>
      <c r="AH48" s="22" t="str">
        <f xml:space="preserve"> IF( TRIM( meta_TypedModelElements[[#This Row],[Type:src]] ) = "", "",
        INDEX( meta_Classifiers[Display Qualified], MATCH( meta_TypedModelElements[[#This Row],[Type:src]], meta_Classifiers[ID], 0 ) ) )</f>
        <v>Property</v>
      </c>
      <c r="AI48" s="22" t="s">
        <v>21</v>
      </c>
      <c r="AJ48" s="22" t="s">
        <v>232</v>
      </c>
      <c r="AK48" s="8"/>
      <c r="AL48" s="22" t="str">
        <f xml:space="preserve"> IF( TRIM( meta_TypedModelElements[[#This Row],[Reference - Opposite:src]] ) = "", "",
        INDEX( meta_TypedModelElements[Display Qualified], MATCH( meta_TypedModelElements[[#This Row],[Reference - Opposite:src]], meta_TypedModelElements[ID], 0 ) ) )</f>
        <v/>
      </c>
      <c r="AM48" s="8"/>
      <c r="AN4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8" s="22"/>
      <c r="AP48"/>
      <c r="AQ48" s="22" t="str">
        <f xml:space="preserve"> IF( TRIM( meta_TypedModelElements[[#This Row],[Function - Owning Property:src]] ) = "", "",
        INDEX( meta_TypedModelElements[Display Qualified], MATCH( meta_TypedModelElements[[#This Row],[Function - Owning Property:src]], meta_TypedModelElements[ID], 0 ) ) )</f>
        <v/>
      </c>
      <c r="AT48" s="22" t="str">
        <f>IF(meta_TypedModelElements[[#This Row],[Parameter - Owning Function:src]]="","",INDEX(meta_TypedModelElements[Display Qualified],MATCH(meta_TypedModelElements[[#This Row],[Parameter - Owning Function:src]],meta_TypedModelElements[ID],0)))</f>
        <v/>
      </c>
      <c r="AV48" s="89"/>
      <c r="AW4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8" s="5" t="str">
        <f>"[@["&amp;meta_TypedModelElements[[#This Row],[Name or Type]]&amp;":src]]"</f>
        <v>[@[Property 3:src]]</v>
      </c>
      <c r="AY4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3:src]] ) = "",
        "",
    IF( LEFT([@[Property 3:src]],1)="_",
        RIGHT([@[Property 3:src]],LEN([@[Property 3:src]])-1),
    IF( TRIM( [@Package] )
            &lt;&gt; TRIM( INDEX( meta_TypedModelElements[Package], MATCH( [@[Property 3:src]], meta_TypedModelElements[ID],0 ) ) ),
        TRIM( INDEX( meta_TypedModelElements[Package], MATCH( [@[Property 3:src]], meta_TypedModelElements[ID], 0 ) ) )
            &amp; "::"
            &amp; INDEX( meta_TypedModelElements[Display], MATCH( [@[Property 3:src]], meta_TypedModelElements[ID], 0 ) ),
        INDEX( meta_TypedModelElements[Display], MATCH( [@[Property 3:src]], meta_TypedModelElements[ID], 0 ) )
    ))), "")</v>
      </c>
      <c r="AZ4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3" Then
                   referedTableName = "meta_TypedModelElements"
                   referedColumnName = "Display"
                   Call StaticCode.updateIdOnNameChange(cellRef, referingTableName, referingColumnName, referedTableName, referedColumnName)
            End If</v>
      </c>
      <c r="BA4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3" Then
                   referedTableName = "meta_TypedModelElements"
                   referedColumnName = "Display"
                   Call StaticCode.updateIdOnNameChange(cellRef, referingTableName, referingColumnName, referedTableName, referedColumnName)
            End If</v>
      </c>
      <c r="BB48" s="40"/>
      <c r="BC48" s="40" t="str">
        <f>IF(meta_TypedModelElements[[#This Row],[Kind:src]]="_Parameter","",IF(AND(meta_TypedModelElements[[#This Row],[Package]]="util",meta_TypedModelElements[[#This Row],[Containing Class]]=0), "public", "method"))</f>
        <v>method</v>
      </c>
      <c r="BD48" s="40"/>
      <c r="BE4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8" s="40"/>
      <c r="BK48" s="5"/>
    </row>
    <row r="49" spans="1:63" ht="189">
      <c r="A49" s="5" t="s">
        <v>269</v>
      </c>
      <c r="B49" s="5" t="s">
        <v>167</v>
      </c>
      <c r="C49" s="22" t="str">
        <f xml:space="preserve"> IF( TRIM( meta_TypedModelElements[[#This Row],[Kind:src]] ) = "", "",
        INDEX( meta_Classifiers[Display Qualified], MATCH( meta_TypedModelElements[[#This Row],[Kind:src]], meta_Classifiers[ID], 0 ) ) )</f>
        <v>Reference</v>
      </c>
      <c r="D49" s="22">
        <v>48</v>
      </c>
      <c r="E49" s="22" t="s">
        <v>142</v>
      </c>
      <c r="F49" s="22"/>
      <c r="G4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9" s="8" t="s">
        <v>217</v>
      </c>
      <c r="J49" s="22" t="str">
        <f xml:space="preserve"> IF( TRIM( meta_TypedModelElements[[#This Row],[Property - Owning Class:src]] ) = "", "",
        INDEX( meta_Classifiers[Display Qualified], MATCH( meta_TypedModelElements[[#This Row],[Property - Owning Class:src]], meta_Classifiers[ID], 0 ) ) )</f>
        <v>Rule</v>
      </c>
      <c r="K4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meta::Rule.processor</v>
      </c>
      <c r="L49" s="5" t="str">
        <f>IF(meta_TypedModelElements[[#This Row],[Kind:src]]="_Function",meta_TypedModelElements[[#This Row],[Display Qualified]],"")</f>
        <v/>
      </c>
      <c r="M49" s="5" t="str">
        <f>IF(meta_TypedModelElements[[#This Row],[Kind:src]]="_Attribute",meta_TypedModelElements[[#This Row],[Display Qualified]],"")</f>
        <v/>
      </c>
      <c r="N49" s="5" t="str">
        <f>IF(meta_TypedModelElements[[#This Row],[Kind:src]]="_Reference",meta_TypedModelElements[[#This Row],[Display Qualified]],"")</f>
        <v>meta::Rule.processor</v>
      </c>
      <c r="O49" s="5" t="str">
        <f>IF(OR(meta_TypedModelElements[[#This Row],[Kind:src]]="_Attribute",meta_TypedModelElements[[#This Row],[Kind:src]]="_Reference"),meta_TypedModelElements[[#This Row],[Display Qualified]],"")</f>
        <v>meta::Rule.processor</v>
      </c>
      <c r="P49" s="22"/>
      <c r="Q49" s="22"/>
      <c r="R49" s="5" t="str">
        <f>IF(meta_TypedModelElements[[#This Row],[Containing Class:display]]="","",meta_TypedModelElements[[#This Row],[Containing Class:display]]&amp;".")&amp;meta_TypedModelElements[[#This Row],[Display without Class]]</f>
        <v>Rule.processor</v>
      </c>
      <c r="S49" s="5" t="str" cm="1">
        <f t="array" ref="S49">_xlfn.IFNA(INDEX(meta_Names[Camel Lower], MATCH(meta_TypedModelElements[[#This Row],[Name or Type]],meta_Names[String],0)),camelCaseLower(meta_TypedModelElements[[#This Row],[Name or Type]]))</f>
        <v>processor</v>
      </c>
      <c r="T49" s="5" t="str">
        <f>IF(meta_TypedModelElements[[#This Row],[Name or Type]]="","",meta_TypedModelElements[[#This Row],[Name or Type Camel Case Lower]])&amp;IF(meta_TypedModelElements[[#This Row],[Kind:src]]="_Function","("&amp;meta_TypedModelElements[[#This Row],[Function - Parameters Display]]&amp;")","")</f>
        <v>processor</v>
      </c>
      <c r="U4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Processor</v>
      </c>
      <c r="V49" s="22"/>
      <c r="W49" s="5" t="e">
        <f>INDEX(meta_Classifiers[Class - Generalization:src],MATCH(meta_TypedModelElements[[#This Row],[Type Super Type 6]],meta_Classifiers[ID],0))</f>
        <v>#N/A</v>
      </c>
      <c r="X49" s="5" t="e">
        <f>INDEX(meta_Classifiers[Class - Generalization:src],MATCH(meta_TypedModelElements[[#This Row],[Type Super Type 5]],meta_Classifiers[ID],0))</f>
        <v>#N/A</v>
      </c>
      <c r="Y49" s="5" t="e">
        <f>INDEX(meta_Classifiers[Class - Generalization:src],MATCH(meta_TypedModelElements[[#This Row],[Type Super Type 4]],meta_Classifiers[ID],0))</f>
        <v>#N/A</v>
      </c>
      <c r="Z49" s="5" t="str">
        <f>INDEX(meta_Classifiers[Class - Generalization:src],MATCH(meta_TypedModelElements[[#This Row],[Type Super Type 3]],meta_Classifiers[ID],0))</f>
        <v/>
      </c>
      <c r="AA49" s="5" t="str">
        <f>INDEX(meta_Classifiers[Class - Generalization:src],MATCH(meta_TypedModelElements[[#This Row],[Type Super Type 2]],meta_Classifiers[ID],0))</f>
        <v>_Object</v>
      </c>
      <c r="AB49" s="5" t="str">
        <f>INDEX(meta_Classifiers[Class - Generalization:src],MATCH(meta_TypedModelElements[[#This Row],[Type Super Type 1]],meta_Classifiers[ID],0))</f>
        <v>_NamedElement</v>
      </c>
      <c r="AC49" s="5" t="str">
        <f>INDEX(meta_Classifiers[Class - Generalization:src],MATCH(meta_TypedModelElements[[#This Row],[Type:src]],meta_Classifiers[ID],0))</f>
        <v>_Literal</v>
      </c>
      <c r="AD49" s="5" t="str">
        <f>IF(meta_TypedModelElements[[#This Row],[Kind:src]]&lt;&gt;"_Function",meta_TypedModelElements[[#This Row],[Type]],INDEX(meta_TypedModelElements[Type],MATCH(meta_TypedModelElements[[#This Row],[Function - Owning Property:src]],meta_TypedModelElements[ID],0)))</f>
        <v>Processor</v>
      </c>
      <c r="AE49" s="5" t="str">
        <f>IF(meta_TypedModelElements[[#This Row],[Kind:src]]&lt;&gt;"_Function",meta_TypedModelElements[[#This Row],[Type:src]],INDEX(meta_TypedModelElements[Type:src],MATCH(meta_TypedModelElements[[#This Row],[Function - Owning Property:src]],meta_TypedModelElements[ID],0)))</f>
        <v>_Processor</v>
      </c>
      <c r="AF49" s="5" t="str">
        <f>IF(meta_TypedModelElements[[#This Row],[Type:src]]="","",INDEX(meta_Classifiers[Name],MATCH(meta_TypedModelElements[[#This Row],[Type:src]],meta_Classifiers[ID],0)))</f>
        <v>Processor</v>
      </c>
      <c r="AG49" s="5" t="s">
        <v>222</v>
      </c>
      <c r="AH49" s="22" t="str">
        <f xml:space="preserve"> IF( TRIM( meta_TypedModelElements[[#This Row],[Type:src]] ) = "", "",
        INDEX( meta_Classifiers[Display Qualified], MATCH( meta_TypedModelElements[[#This Row],[Type:src]], meta_Classifiers[ID], 0 ) ) )</f>
        <v>Processor</v>
      </c>
      <c r="AI49" s="22" t="s">
        <v>21</v>
      </c>
      <c r="AJ49" s="22" t="s">
        <v>232</v>
      </c>
      <c r="AK49" s="8"/>
      <c r="AL49" s="22" t="str">
        <f xml:space="preserve"> IF( TRIM( meta_TypedModelElements[[#This Row],[Reference - Opposite:src]] ) = "", "",
        INDEX( meta_TypedModelElements[Display Qualified], MATCH( meta_TypedModelElements[[#This Row],[Reference - Opposite:src]], meta_TypedModelElements[ID], 0 ) ) )</f>
        <v/>
      </c>
      <c r="AM49" s="8"/>
      <c r="AN4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9" s="22"/>
      <c r="AP49"/>
      <c r="AQ49" s="22" t="str">
        <f xml:space="preserve"> IF( TRIM( meta_TypedModelElements[[#This Row],[Function - Owning Property:src]] ) = "", "",
        INDEX( meta_TypedModelElements[Display Qualified], MATCH( meta_TypedModelElements[[#This Row],[Function - Owning Property:src]], meta_TypedModelElements[ID], 0 ) ) )</f>
        <v/>
      </c>
      <c r="AT49" s="22" t="str">
        <f>IF(meta_TypedModelElements[[#This Row],[Parameter - Owning Function:src]]="","",INDEX(meta_TypedModelElements[Display Qualified],MATCH(meta_TypedModelElements[[#This Row],[Parameter - Owning Function:src]],meta_TypedModelElements[ID],0)))</f>
        <v/>
      </c>
      <c r="AV49" s="89"/>
      <c r="AW4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9" s="5" t="str">
        <f>"[@["&amp;meta_TypedModelElements[[#This Row],[Name or Type]]&amp;":src]]"</f>
        <v>[@[Processor:src]]</v>
      </c>
      <c r="AY4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[@[Processor:src]] ) = "",
        "",
    IF( LEFT([@[Processor:src]],1)="_",
        RIGHT([@[Processor:src]],LEN([@[Processor:src]])-1),
    IF( TRIM( [@Package] )
            &lt;&gt; TRIM( INDEX( meta_Literals[Package], MATCH( [@[Processor:src]], meta_Literals[ID],0 ) ) ),
        TRIM( INDEX( meta_Literals[Package], MATCH( [@[Processor:src]], meta_Literals[ID], 0 ) ) )
            &amp; "::"
            &amp; INDEX( meta_Literals[Display], MATCH( [@[Processor:src]], meta_Literals[ID], 0 ) ),
        INDEX( meta_Literals[Display], MATCH( [@[Processor:src]], meta_Literals[ID], 0 ) )
    ))), "")</v>
      </c>
      <c r="AZ4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"Processor" Then
                   referedTableName = "meta_Literals"
                   referedColumnName = "Display"
                   Call StaticCode.updateIdOnNameChange(cellRef, referingTableName, referingColumnName, referedTableName, referedColumnName)
            End If</v>
      </c>
      <c r="BA4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Processor" Then
                   referedTableName = "meta_Literals"
                   referedColumnName = "Display"
                   Call StaticCode.updateIdOnNameChange(cellRef, referingTableName, referingColumnName, referedTableName, referedColumnName)
            End If</v>
      </c>
      <c r="BB49" s="40"/>
      <c r="BC49" s="40" t="str">
        <f>IF(meta_TypedModelElements[[#This Row],[Kind:src]]="_Parameter","",IF(AND(meta_TypedModelElements[[#This Row],[Package]]="util",meta_TypedModelElements[[#This Row],[Containing Class]]=0), "public", "method"))</f>
        <v>method</v>
      </c>
      <c r="BD49" s="40"/>
      <c r="BE4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9" s="40"/>
      <c r="BK49" s="5"/>
    </row>
    <row r="50" spans="1:63">
      <c r="A50" s="5" t="s">
        <v>270</v>
      </c>
      <c r="B50" s="5" t="s">
        <v>168</v>
      </c>
      <c r="C50" s="22" t="str">
        <f xml:space="preserve"> IF( TRIM( meta_TypedModelElements[[#This Row],[Kind:src]] ) = "", "",
        INDEX( meta_Classifiers[Display Qualified], MATCH( meta_TypedModelElements[[#This Row],[Kind:src]], meta_Classifiers[ID], 0 ) ) )</f>
        <v>Attribute</v>
      </c>
      <c r="D50" s="22">
        <v>49</v>
      </c>
      <c r="E50" s="22" t="s">
        <v>142</v>
      </c>
      <c r="F50" s="22"/>
      <c r="G5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0" s="8" t="s">
        <v>217</v>
      </c>
      <c r="J50" s="22" t="str">
        <f xml:space="preserve"> IF( TRIM( meta_TypedModelElements[[#This Row],[Property - Owning Class:src]] ) = "", "",
        INDEX( meta_Classifiers[Display Qualified], MATCH( meta_TypedModelElements[[#This Row],[Property - Owning Class:src]], meta_Classifiers[ID], 0 ) ) )</f>
        <v>Rule</v>
      </c>
      <c r="K5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meta::Rule.manualVBA_Code</v>
      </c>
      <c r="L50" s="5" t="str">
        <f>IF(meta_TypedModelElements[[#This Row],[Kind:src]]="_Function",meta_TypedModelElements[[#This Row],[Display Qualified]],"")</f>
        <v/>
      </c>
      <c r="M50" s="5" t="str">
        <f>IF(meta_TypedModelElements[[#This Row],[Kind:src]]="_Attribute",meta_TypedModelElements[[#This Row],[Display Qualified]],"")</f>
        <v>meta::Rule.manualVBA_Code</v>
      </c>
      <c r="N50" s="5" t="str">
        <f>IF(meta_TypedModelElements[[#This Row],[Kind:src]]="_Reference",meta_TypedModelElements[[#This Row],[Display Qualified]],"")</f>
        <v/>
      </c>
      <c r="O50" s="5" t="str">
        <f>IF(OR(meta_TypedModelElements[[#This Row],[Kind:src]]="_Attribute",meta_TypedModelElements[[#This Row],[Kind:src]]="_Reference"),meta_TypedModelElements[[#This Row],[Display Qualified]],"")</f>
        <v>meta::Rule.manualVBA_Code</v>
      </c>
      <c r="P50" s="22"/>
      <c r="Q50" s="22"/>
      <c r="R50" s="5" t="str">
        <f>IF(meta_TypedModelElements[[#This Row],[Containing Class:display]]="","",meta_TypedModelElements[[#This Row],[Containing Class:display]]&amp;".")&amp;meta_TypedModelElements[[#This Row],[Display without Class]]</f>
        <v>Rule.manualVBA_Code</v>
      </c>
      <c r="S50" s="5" t="str" cm="1">
        <f t="array" ref="S50">_xlfn.IFNA(INDEX(meta_Names[Camel Lower], MATCH(meta_TypedModelElements[[#This Row],[Name or Type]],meta_Names[String],0)),camelCaseLower(meta_TypedModelElements[[#This Row],[Name or Type]]))</f>
        <v>manualVBA_Code</v>
      </c>
      <c r="T50" s="5" t="str">
        <f>IF(meta_TypedModelElements[[#This Row],[Name or Type]]="","",meta_TypedModelElements[[#This Row],[Name or Type Camel Case Lower]])&amp;IF(meta_TypedModelElements[[#This Row],[Kind:src]]="_Function","("&amp;meta_TypedModelElements[[#This Row],[Function - Parameters Display]]&amp;")","")</f>
        <v>manualVBA_Code</v>
      </c>
      <c r="U5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VBA Code</v>
      </c>
      <c r="V50" s="22" t="s">
        <v>76</v>
      </c>
      <c r="W50" s="5" t="e">
        <f>INDEX(meta_Classifiers[Class - Generalization:src],MATCH(meta_TypedModelElements[[#This Row],[Type Super Type 6]],meta_Classifiers[ID],0))</f>
        <v>#N/A</v>
      </c>
      <c r="X50" s="5" t="e">
        <f>INDEX(meta_Classifiers[Class - Generalization:src],MATCH(meta_TypedModelElements[[#This Row],[Type Super Type 5]],meta_Classifiers[ID],0))</f>
        <v>#N/A</v>
      </c>
      <c r="Y50" s="5" t="e">
        <f>INDEX(meta_Classifiers[Class - Generalization:src],MATCH(meta_TypedModelElements[[#This Row],[Type Super Type 4]],meta_Classifiers[ID],0))</f>
        <v>#N/A</v>
      </c>
      <c r="Z50" s="5" t="e">
        <f>INDEX(meta_Classifiers[Class - Generalization:src],MATCH(meta_TypedModelElements[[#This Row],[Type Super Type 3]],meta_Classifiers[ID],0))</f>
        <v>#N/A</v>
      </c>
      <c r="AA50" s="5" t="e">
        <f>INDEX(meta_Classifiers[Class - Generalization:src],MATCH(meta_TypedModelElements[[#This Row],[Type Super Type 2]],meta_Classifiers[ID],0))</f>
        <v>#N/A</v>
      </c>
      <c r="AB50" s="5" t="e">
        <f>INDEX(meta_Classifiers[Class - Generalization:src],MATCH(meta_TypedModelElements[[#This Row],[Type Super Type 1]],meta_Classifiers[ID],0))</f>
        <v>#N/A</v>
      </c>
      <c r="AC50" s="5" t="str">
        <f>INDEX(meta_Classifiers[Class - Generalization:src],MATCH(meta_TypedModelElements[[#This Row],[Type:src]],meta_Classifiers[ID],0))</f>
        <v/>
      </c>
      <c r="AD50" s="5" t="str">
        <f>IF(meta_TypedModelElements[[#This Row],[Kind:src]]&lt;&gt;"_Function",meta_TypedModelElements[[#This Row],[Type]],INDEX(meta_TypedModelElements[Type],MATCH(meta_TypedModelElements[[#This Row],[Function - Owning Property:src]],meta_TypedModelElements[ID],0)))</f>
        <v>String</v>
      </c>
      <c r="AE50" s="5" t="str">
        <f>IF(meta_TypedModelElements[[#This Row],[Kind:src]]&lt;&gt;"_Function",meta_TypedModelElements[[#This Row],[Type:src]],INDEX(meta_TypedModelElements[Type:src],MATCH(meta_TypedModelElements[[#This Row],[Function - Owning Property:src]],meta_TypedModelElements[ID],0)))</f>
        <v>_String</v>
      </c>
      <c r="AF50" s="5" t="str">
        <f>IF(meta_TypedModelElements[[#This Row],[Type:src]]="","",INDEX(meta_Classifiers[Name],MATCH(meta_TypedModelElements[[#This Row],[Type:src]],meta_Classifiers[ID],0)))</f>
        <v>String</v>
      </c>
      <c r="AG50" s="5" t="s">
        <v>180</v>
      </c>
      <c r="AH50" s="22" t="str">
        <f xml:space="preserve"> IF( TRIM( meta_TypedModelElements[[#This Row],[Type:src]] ) = "", "",
        INDEX( meta_Classifiers[Display Qualified], MATCH( meta_TypedModelElements[[#This Row],[Type:src]], meta_Classifiers[ID], 0 ) ) )</f>
        <v>String</v>
      </c>
      <c r="AI50" s="22" t="s">
        <v>21</v>
      </c>
      <c r="AJ50" s="22" t="s">
        <v>232</v>
      </c>
      <c r="AK50" s="8"/>
      <c r="AL50" s="22" t="str">
        <f xml:space="preserve"> IF( TRIM( meta_TypedModelElements[[#This Row],[Reference - Opposite:src]] ) = "", "",
        INDEX( meta_TypedModelElements[Display Qualified], MATCH( meta_TypedModelElements[[#This Row],[Reference - Opposite:src]], meta_TypedModelElements[ID], 0 ) ) )</f>
        <v/>
      </c>
      <c r="AM50" s="8"/>
      <c r="AN5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0" s="22"/>
      <c r="AP50"/>
      <c r="AQ50" s="22" t="str">
        <f xml:space="preserve"> IF( TRIM( meta_TypedModelElements[[#This Row],[Function - Owning Property:src]] ) = "", "",
        INDEX( meta_TypedModelElements[Display Qualified], MATCH( meta_TypedModelElements[[#This Row],[Function - Owning Property:src]], meta_TypedModelElements[ID], 0 ) ) )</f>
        <v/>
      </c>
      <c r="AT50" s="22" t="str">
        <f>IF(meta_TypedModelElements[[#This Row],[Parameter - Owning Function:src]]="","",INDEX(meta_TypedModelElements[Display Qualified],MATCH(meta_TypedModelElements[[#This Row],[Parameter - Owning Function:src]],meta_TypedModelElements[ID],0)))</f>
        <v/>
      </c>
      <c r="AV50" s="89"/>
      <c r="AW5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0" s="5" t="str">
        <f>"[@["&amp;meta_TypedModelElements[[#This Row],[Name or Type]]&amp;":src]]"</f>
        <v>[@[Manual VBA Code:src]]</v>
      </c>
      <c r="AY5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0" s="40"/>
      <c r="BC50" s="40" t="str">
        <f>IF(meta_TypedModelElements[[#This Row],[Kind:src]]="_Parameter","",IF(AND(meta_TypedModelElements[[#This Row],[Package]]="util",meta_TypedModelElements[[#This Row],[Containing Class]]=0), "public", "method"))</f>
        <v>method</v>
      </c>
      <c r="BD50" s="40"/>
      <c r="BE5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0" s="40"/>
      <c r="BK50" s="5"/>
    </row>
    <row r="51" spans="1:63">
      <c r="A51" s="5" t="s">
        <v>271</v>
      </c>
      <c r="B51" s="5" t="s">
        <v>168</v>
      </c>
      <c r="C51" s="22" t="str">
        <f xml:space="preserve"> IF( TRIM( meta_TypedModelElements[[#This Row],[Kind:src]] ) = "", "",
        INDEX( meta_Classifiers[Display Qualified], MATCH( meta_TypedModelElements[[#This Row],[Kind:src]], meta_Classifiers[ID], 0 ) ) )</f>
        <v>Attribute</v>
      </c>
      <c r="D51" s="22">
        <v>50</v>
      </c>
      <c r="E51" s="22" t="s">
        <v>142</v>
      </c>
      <c r="F51" s="22"/>
      <c r="G5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1" s="8" t="s">
        <v>217</v>
      </c>
      <c r="J51" s="22" t="str">
        <f xml:space="preserve"> IF( TRIM( meta_TypedModelElements[[#This Row],[Property - Owning Class:src]] ) = "", "",
        INDEX( meta_Classifiers[Display Qualified], MATCH( meta_TypedModelElements[[#This Row],[Property - Owning Class:src]], meta_Classifiers[ID], 0 ) ) )</f>
        <v>Rule</v>
      </c>
      <c r="K5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meta::Rule.manualExcelFormula</v>
      </c>
      <c r="L51" s="5" t="str">
        <f>IF(meta_TypedModelElements[[#This Row],[Kind:src]]="_Function",meta_TypedModelElements[[#This Row],[Display Qualified]],"")</f>
        <v/>
      </c>
      <c r="M51" s="5" t="str">
        <f>IF(meta_TypedModelElements[[#This Row],[Kind:src]]="_Attribute",meta_TypedModelElements[[#This Row],[Display Qualified]],"")</f>
        <v>meta::Rule.manualExcelFormula</v>
      </c>
      <c r="N51" s="5" t="str">
        <f>IF(meta_TypedModelElements[[#This Row],[Kind:src]]="_Reference",meta_TypedModelElements[[#This Row],[Display Qualified]],"")</f>
        <v/>
      </c>
      <c r="O51" s="5" t="str">
        <f>IF(OR(meta_TypedModelElements[[#This Row],[Kind:src]]="_Attribute",meta_TypedModelElements[[#This Row],[Kind:src]]="_Reference"),meta_TypedModelElements[[#This Row],[Display Qualified]],"")</f>
        <v>meta::Rule.manualExcelFormula</v>
      </c>
      <c r="P51" s="22"/>
      <c r="Q51" s="22"/>
      <c r="R51" s="5" t="str">
        <f>IF(meta_TypedModelElements[[#This Row],[Containing Class:display]]="","",meta_TypedModelElements[[#This Row],[Containing Class:display]]&amp;".")&amp;meta_TypedModelElements[[#This Row],[Display without Class]]</f>
        <v>Rule.manualExcelFormula</v>
      </c>
      <c r="S51" s="5" t="str" cm="1">
        <f t="array" ref="S51">_xlfn.IFNA(INDEX(meta_Names[Camel Lower], MATCH(meta_TypedModelElements[[#This Row],[Name or Type]],meta_Names[String],0)),camelCaseLower(meta_TypedModelElements[[#This Row],[Name or Type]]))</f>
        <v>manualExcelFormula</v>
      </c>
      <c r="T51" s="5" t="str">
        <f>IF(meta_TypedModelElements[[#This Row],[Name or Type]]="","",meta_TypedModelElements[[#This Row],[Name or Type Camel Case Lower]])&amp;IF(meta_TypedModelElements[[#This Row],[Kind:src]]="_Function","("&amp;meta_TypedModelElements[[#This Row],[Function - Parameters Display]]&amp;")","")</f>
        <v>manualExcelFormula</v>
      </c>
      <c r="U5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Excel Formula</v>
      </c>
      <c r="V51" s="22" t="s">
        <v>77</v>
      </c>
      <c r="W51" s="5" t="e">
        <f>INDEX(meta_Classifiers[Class - Generalization:src],MATCH(meta_TypedModelElements[[#This Row],[Type Super Type 6]],meta_Classifiers[ID],0))</f>
        <v>#N/A</v>
      </c>
      <c r="X51" s="5" t="e">
        <f>INDEX(meta_Classifiers[Class - Generalization:src],MATCH(meta_TypedModelElements[[#This Row],[Type Super Type 5]],meta_Classifiers[ID],0))</f>
        <v>#N/A</v>
      </c>
      <c r="Y51" s="5" t="e">
        <f>INDEX(meta_Classifiers[Class - Generalization:src],MATCH(meta_TypedModelElements[[#This Row],[Type Super Type 4]],meta_Classifiers[ID],0))</f>
        <v>#N/A</v>
      </c>
      <c r="Z51" s="5" t="e">
        <f>INDEX(meta_Classifiers[Class - Generalization:src],MATCH(meta_TypedModelElements[[#This Row],[Type Super Type 3]],meta_Classifiers[ID],0))</f>
        <v>#N/A</v>
      </c>
      <c r="AA51" s="5" t="e">
        <f>INDEX(meta_Classifiers[Class - Generalization:src],MATCH(meta_TypedModelElements[[#This Row],[Type Super Type 2]],meta_Classifiers[ID],0))</f>
        <v>#N/A</v>
      </c>
      <c r="AB51" s="5" t="e">
        <f>INDEX(meta_Classifiers[Class - Generalization:src],MATCH(meta_TypedModelElements[[#This Row],[Type Super Type 1]],meta_Classifiers[ID],0))</f>
        <v>#N/A</v>
      </c>
      <c r="AC51" s="5" t="str">
        <f>INDEX(meta_Classifiers[Class - Generalization:src],MATCH(meta_TypedModelElements[[#This Row],[Type:src]],meta_Classifiers[ID],0))</f>
        <v/>
      </c>
      <c r="AD51" s="5" t="str">
        <f>IF(meta_TypedModelElements[[#This Row],[Kind:src]]&lt;&gt;"_Function",meta_TypedModelElements[[#This Row],[Type]],INDEX(meta_TypedModelElements[Type],MATCH(meta_TypedModelElements[[#This Row],[Function - Owning Property:src]],meta_TypedModelElements[ID],0)))</f>
        <v>String</v>
      </c>
      <c r="AE51" s="5" t="str">
        <f>IF(meta_TypedModelElements[[#This Row],[Kind:src]]&lt;&gt;"_Function",meta_TypedModelElements[[#This Row],[Type:src]],INDEX(meta_TypedModelElements[Type:src],MATCH(meta_TypedModelElements[[#This Row],[Function - Owning Property:src]],meta_TypedModelElements[ID],0)))</f>
        <v>_String</v>
      </c>
      <c r="AF51" s="5" t="str">
        <f>IF(meta_TypedModelElements[[#This Row],[Type:src]]="","",INDEX(meta_Classifiers[Name],MATCH(meta_TypedModelElements[[#This Row],[Type:src]],meta_Classifiers[ID],0)))</f>
        <v>String</v>
      </c>
      <c r="AG51" s="5" t="s">
        <v>180</v>
      </c>
      <c r="AH51" s="22" t="str">
        <f xml:space="preserve"> IF( TRIM( meta_TypedModelElements[[#This Row],[Type:src]] ) = "", "",
        INDEX( meta_Classifiers[Display Qualified], MATCH( meta_TypedModelElements[[#This Row],[Type:src]], meta_Classifiers[ID], 0 ) ) )</f>
        <v>String</v>
      </c>
      <c r="AI51" s="22" t="s">
        <v>21</v>
      </c>
      <c r="AJ51" s="22" t="s">
        <v>232</v>
      </c>
      <c r="AK51" s="8"/>
      <c r="AL51" s="22" t="str">
        <f xml:space="preserve"> IF( TRIM( meta_TypedModelElements[[#This Row],[Reference - Opposite:src]] ) = "", "",
        INDEX( meta_TypedModelElements[Display Qualified], MATCH( meta_TypedModelElements[[#This Row],[Reference - Opposite:src]], meta_TypedModelElements[ID], 0 ) ) )</f>
        <v/>
      </c>
      <c r="AM51" s="8"/>
      <c r="AN5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1" s="22"/>
      <c r="AP51"/>
      <c r="AQ51" s="22" t="str">
        <f xml:space="preserve"> IF( TRIM( meta_TypedModelElements[[#This Row],[Function - Owning Property:src]] ) = "", "",
        INDEX( meta_TypedModelElements[Display Qualified], MATCH( meta_TypedModelElements[[#This Row],[Function - Owning Property:src]], meta_TypedModelElements[ID], 0 ) ) )</f>
        <v/>
      </c>
      <c r="AT51" s="22" t="str">
        <f>IF(meta_TypedModelElements[[#This Row],[Parameter - Owning Function:src]]="","",INDEX(meta_TypedModelElements[Display Qualified],MATCH(meta_TypedModelElements[[#This Row],[Parameter - Owning Function:src]],meta_TypedModelElements[ID],0)))</f>
        <v/>
      </c>
      <c r="AV51" s="89"/>
      <c r="AW5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1" s="5" t="str">
        <f>"[@["&amp;meta_TypedModelElements[[#This Row],[Name or Type]]&amp;":src]]"</f>
        <v>[@[Manual Excel Formula:src]]</v>
      </c>
      <c r="AY5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1" s="40"/>
      <c r="BC51" s="40" t="str">
        <f>IF(meta_TypedModelElements[[#This Row],[Kind:src]]="_Parameter","",IF(AND(meta_TypedModelElements[[#This Row],[Package]]="util",meta_TypedModelElements[[#This Row],[Containing Class]]=0), "public", "method"))</f>
        <v>method</v>
      </c>
      <c r="BD51" s="40"/>
      <c r="BE5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1" s="40"/>
      <c r="BK51" s="5"/>
    </row>
    <row r="52" spans="1:63">
      <c r="A52" s="5" t="s">
        <v>272</v>
      </c>
      <c r="B52" s="5" t="s">
        <v>168</v>
      </c>
      <c r="C52" s="22" t="str">
        <f xml:space="preserve"> IF( TRIM( meta_TypedModelElements[[#This Row],[Kind:src]] ) = "", "",
        INDEX( meta_Classifiers[Display Qualified], MATCH( meta_TypedModelElements[[#This Row],[Kind:src]], meta_Classifiers[ID], 0 ) ) )</f>
        <v>Attribute</v>
      </c>
      <c r="D52" s="22">
        <v>51</v>
      </c>
      <c r="E52" s="22" t="s">
        <v>142</v>
      </c>
      <c r="F52" s="22"/>
      <c r="G5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_Constraint</v>
      </c>
      <c r="H5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Constraint</v>
      </c>
      <c r="I52" s="8" t="s">
        <v>175</v>
      </c>
      <c r="J52" s="22" t="str">
        <f xml:space="preserve"> IF( TRIM( meta_TypedModelElements[[#This Row],[Property - Owning Class:src]] ) = "", "",
        INDEX( meta_Classifiers[Display Qualified], MATCH( meta_TypedModelElements[[#This Row],[Property - Owning Class:src]], meta_Classifiers[ID], 0 ) ) )</f>
        <v>Constraint</v>
      </c>
      <c r="K5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meta::Constraint.isInvariant</v>
      </c>
      <c r="L52" s="5" t="str">
        <f>IF(meta_TypedModelElements[[#This Row],[Kind:src]]="_Function",meta_TypedModelElements[[#This Row],[Display Qualified]],"")</f>
        <v/>
      </c>
      <c r="M52" s="5" t="str">
        <f>IF(meta_TypedModelElements[[#This Row],[Kind:src]]="_Attribute",meta_TypedModelElements[[#This Row],[Display Qualified]],"")</f>
        <v>meta::Constraint.isInvariant</v>
      </c>
      <c r="N52" s="5" t="str">
        <f>IF(meta_TypedModelElements[[#This Row],[Kind:src]]="_Reference",meta_TypedModelElements[[#This Row],[Display Qualified]],"")</f>
        <v/>
      </c>
      <c r="O52" s="5" t="str">
        <f>IF(OR(meta_TypedModelElements[[#This Row],[Kind:src]]="_Attribute",meta_TypedModelElements[[#This Row],[Kind:src]]="_Reference"),meta_TypedModelElements[[#This Row],[Display Qualified]],"")</f>
        <v>meta::Constraint.isInvariant</v>
      </c>
      <c r="P52" s="22"/>
      <c r="Q52" s="22"/>
      <c r="R52" s="5" t="str">
        <f>IF(meta_TypedModelElements[[#This Row],[Containing Class:display]]="","",meta_TypedModelElements[[#This Row],[Containing Class:display]]&amp;".")&amp;meta_TypedModelElements[[#This Row],[Display without Class]]</f>
        <v>Constraint.isInvariant</v>
      </c>
      <c r="S52" s="5" t="str" cm="1">
        <f t="array" ref="S52">_xlfn.IFNA(INDEX(meta_Names[Camel Lower], MATCH(meta_TypedModelElements[[#This Row],[Name or Type]],meta_Names[String],0)),camelCaseLower(meta_TypedModelElements[[#This Row],[Name or Type]]))</f>
        <v>isInvariant</v>
      </c>
      <c r="T52" s="5" t="str">
        <f>IF(meta_TypedModelElements[[#This Row],[Name or Type]]="","",meta_TypedModelElements[[#This Row],[Name or Type Camel Case Lower]])&amp;IF(meta_TypedModelElements[[#This Row],[Kind:src]]="_Function","("&amp;meta_TypedModelElements[[#This Row],[Function - Parameters Display]]&amp;")","")</f>
        <v>isInvariant</v>
      </c>
      <c r="U5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Is Invariant</v>
      </c>
      <c r="V52" s="22" t="s">
        <v>101</v>
      </c>
      <c r="W52" s="5" t="e">
        <f>INDEX(meta_Classifiers[Class - Generalization:src],MATCH(meta_TypedModelElements[[#This Row],[Type Super Type 6]],meta_Classifiers[ID],0))</f>
        <v>#N/A</v>
      </c>
      <c r="X52" s="5" t="e">
        <f>INDEX(meta_Classifiers[Class - Generalization:src],MATCH(meta_TypedModelElements[[#This Row],[Type Super Type 5]],meta_Classifiers[ID],0))</f>
        <v>#N/A</v>
      </c>
      <c r="Y52" s="5" t="e">
        <f>INDEX(meta_Classifiers[Class - Generalization:src],MATCH(meta_TypedModelElements[[#This Row],[Type Super Type 4]],meta_Classifiers[ID],0))</f>
        <v>#N/A</v>
      </c>
      <c r="Z52" s="5" t="e">
        <f>INDEX(meta_Classifiers[Class - Generalization:src],MATCH(meta_TypedModelElements[[#This Row],[Type Super Type 3]],meta_Classifiers[ID],0))</f>
        <v>#N/A</v>
      </c>
      <c r="AA52" s="5" t="e">
        <f>INDEX(meta_Classifiers[Class - Generalization:src],MATCH(meta_TypedModelElements[[#This Row],[Type Super Type 2]],meta_Classifiers[ID],0))</f>
        <v>#N/A</v>
      </c>
      <c r="AB52" s="5" t="e">
        <f>INDEX(meta_Classifiers[Class - Generalization:src],MATCH(meta_TypedModelElements[[#This Row],[Type Super Type 1]],meta_Classifiers[ID],0))</f>
        <v>#N/A</v>
      </c>
      <c r="AC52" s="5" t="str">
        <f>INDEX(meta_Classifiers[Class - Generalization:src],MATCH(meta_TypedModelElements[[#This Row],[Type:src]],meta_Classifiers[ID],0))</f>
        <v/>
      </c>
      <c r="AD52" s="5" t="str">
        <f>IF(meta_TypedModelElements[[#This Row],[Kind:src]]&lt;&gt;"_Function",meta_TypedModelElements[[#This Row],[Type]],INDEX(meta_TypedModelElements[Type],MATCH(meta_TypedModelElements[[#This Row],[Function - Owning Property:src]],meta_TypedModelElements[ID],0)))</f>
        <v>Boolean</v>
      </c>
      <c r="AE52" s="5" t="str">
        <f>IF(meta_TypedModelElements[[#This Row],[Kind:src]]&lt;&gt;"_Function",meta_TypedModelElements[[#This Row],[Type:src]],INDEX(meta_TypedModelElements[Type:src],MATCH(meta_TypedModelElements[[#This Row],[Function - Owning Property:src]],meta_TypedModelElements[ID],0)))</f>
        <v>_Boolean</v>
      </c>
      <c r="AF52" s="5" t="str">
        <f>IF(meta_TypedModelElements[[#This Row],[Type:src]]="","",INDEX(meta_Classifiers[Name],MATCH(meta_TypedModelElements[[#This Row],[Type:src]],meta_Classifiers[ID],0)))</f>
        <v>Boolean</v>
      </c>
      <c r="AG52" s="5" t="s">
        <v>181</v>
      </c>
      <c r="AH52" s="22" t="str">
        <f xml:space="preserve"> IF( TRIM( meta_TypedModelElements[[#This Row],[Type:src]] ) = "", "",
        INDEX( meta_Classifiers[Display Qualified], MATCH( meta_TypedModelElements[[#This Row],[Type:src]], meta_Classifiers[ID], 0 ) ) )</f>
        <v>Boolean</v>
      </c>
      <c r="AI52" s="22" t="s">
        <v>21</v>
      </c>
      <c r="AJ52" s="22" t="s">
        <v>232</v>
      </c>
      <c r="AK52" s="8"/>
      <c r="AL52" s="22" t="str">
        <f xml:space="preserve"> IF( TRIM( meta_TypedModelElements[[#This Row],[Reference - Opposite:src]] ) = "", "",
        INDEX( meta_TypedModelElements[Display Qualified], MATCH( meta_TypedModelElements[[#This Row],[Reference - Opposite:src]], meta_TypedModelElements[ID], 0 ) ) )</f>
        <v/>
      </c>
      <c r="AM52" s="8"/>
      <c r="AN5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2" s="22"/>
      <c r="AP52"/>
      <c r="AQ52" s="22" t="str">
        <f xml:space="preserve"> IF( TRIM( meta_TypedModelElements[[#This Row],[Function - Owning Property:src]] ) = "", "",
        INDEX( meta_TypedModelElements[Display Qualified], MATCH( meta_TypedModelElements[[#This Row],[Function - Owning Property:src]], meta_TypedModelElements[ID], 0 ) ) )</f>
        <v/>
      </c>
      <c r="AT52" s="22" t="str">
        <f>IF(meta_TypedModelElements[[#This Row],[Parameter - Owning Function:src]]="","",INDEX(meta_TypedModelElements[Display Qualified],MATCH(meta_TypedModelElements[[#This Row],[Parameter - Owning Function:src]],meta_TypedModelElements[ID],0)))</f>
        <v/>
      </c>
      <c r="AV52" s="89"/>
      <c r="AW5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2" s="5" t="str">
        <f>"[@["&amp;meta_TypedModelElements[[#This Row],[Name or Type]]&amp;":src]]"</f>
        <v>[@[Is Invariant:src]]</v>
      </c>
      <c r="AY5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2" s="40"/>
      <c r="BC52" s="40" t="str">
        <f>IF(meta_TypedModelElements[[#This Row],[Kind:src]]="_Parameter","",IF(AND(meta_TypedModelElements[[#This Row],[Package]]="util",meta_TypedModelElements[[#This Row],[Containing Class]]=0), "public", "method"))</f>
        <v>method</v>
      </c>
      <c r="BD52" s="40"/>
      <c r="BE5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2" s="40"/>
      <c r="BK52" s="5"/>
    </row>
    <row r="53" spans="1:63">
      <c r="A53" s="5" t="s">
        <v>273</v>
      </c>
      <c r="B53" s="5" t="s">
        <v>168</v>
      </c>
      <c r="C53" s="22" t="str">
        <f xml:space="preserve"> IF( TRIM( meta_TypedModelElements[[#This Row],[Kind:src]] ) = "", "",
        INDEX( meta_Classifiers[Display Qualified], MATCH( meta_TypedModelElements[[#This Row],[Kind:src]], meta_Classifiers[ID], 0 ) ) )</f>
        <v>Attribute</v>
      </c>
      <c r="D53" s="22">
        <v>52</v>
      </c>
      <c r="E53" s="22" t="s">
        <v>142</v>
      </c>
      <c r="F53" s="22"/>
      <c r="G5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3" s="8" t="s">
        <v>223</v>
      </c>
      <c r="J53" s="22" t="str">
        <f xml:space="preserve"> IF( TRIM( meta_TypedModelElements[[#This Row],[Property - Owning Class:src]] ) = "", "",
        INDEX( meta_Classifiers[Display Qualified], MATCH( meta_TypedModelElements[[#This Row],[Property - Owning Class:src]], meta_Classifiers[ID], 0 ) ) )</f>
        <v>UpdateRule</v>
      </c>
      <c r="K5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meta::UpdateRule.name</v>
      </c>
      <c r="L53" s="5" t="str">
        <f>IF(meta_TypedModelElements[[#This Row],[Kind:src]]="_Function",meta_TypedModelElements[[#This Row],[Display Qualified]],"")</f>
        <v/>
      </c>
      <c r="M53" s="5" t="str">
        <f>IF(meta_TypedModelElements[[#This Row],[Kind:src]]="_Attribute",meta_TypedModelElements[[#This Row],[Display Qualified]],"")</f>
        <v>meta::UpdateRule.name</v>
      </c>
      <c r="N53" s="5" t="str">
        <f>IF(meta_TypedModelElements[[#This Row],[Kind:src]]="_Reference",meta_TypedModelElements[[#This Row],[Display Qualified]],"")</f>
        <v/>
      </c>
      <c r="O53" s="5" t="str">
        <f>IF(OR(meta_TypedModelElements[[#This Row],[Kind:src]]="_Attribute",meta_TypedModelElements[[#This Row],[Kind:src]]="_Reference"),meta_TypedModelElements[[#This Row],[Display Qualified]],"")</f>
        <v>meta::UpdateRule.name</v>
      </c>
      <c r="P53" s="22"/>
      <c r="Q53" s="22"/>
      <c r="R53" s="5" t="str">
        <f>IF(meta_TypedModelElements[[#This Row],[Containing Class:display]]="","",meta_TypedModelElements[[#This Row],[Containing Class:display]]&amp;".")&amp;meta_TypedModelElements[[#This Row],[Display without Class]]</f>
        <v>UpdateRule.name</v>
      </c>
      <c r="S53" s="5" t="str" cm="1">
        <f t="array" ref="S53">_xlfn.IFNA(INDEX(meta_Names[Camel Lower], MATCH(meta_TypedModelElements[[#This Row],[Name or Type]],meta_Names[String],0)),camelCaseLower(meta_TypedModelElements[[#This Row],[Name or Type]]))</f>
        <v>name</v>
      </c>
      <c r="T53" s="5" t="str">
        <f>IF(meta_TypedModelElements[[#This Row],[Name or Type]]="","",meta_TypedModelElements[[#This Row],[Name or Type Camel Case Lower]])&amp;IF(meta_TypedModelElements[[#This Row],[Kind:src]]="_Function","("&amp;meta_TypedModelElements[[#This Row],[Function - Parameters Display]]&amp;")","")</f>
        <v>name</v>
      </c>
      <c r="U5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53" s="22" t="s">
        <v>1</v>
      </c>
      <c r="W53" s="5" t="e">
        <f>INDEX(meta_Classifiers[Class - Generalization:src],MATCH(meta_TypedModelElements[[#This Row],[Type Super Type 6]],meta_Classifiers[ID],0))</f>
        <v>#N/A</v>
      </c>
      <c r="X53" s="5" t="e">
        <f>INDEX(meta_Classifiers[Class - Generalization:src],MATCH(meta_TypedModelElements[[#This Row],[Type Super Type 5]],meta_Classifiers[ID],0))</f>
        <v>#N/A</v>
      </c>
      <c r="Y53" s="5" t="e">
        <f>INDEX(meta_Classifiers[Class - Generalization:src],MATCH(meta_TypedModelElements[[#This Row],[Type Super Type 4]],meta_Classifiers[ID],0))</f>
        <v>#N/A</v>
      </c>
      <c r="Z53" s="5" t="e">
        <f>INDEX(meta_Classifiers[Class - Generalization:src],MATCH(meta_TypedModelElements[[#This Row],[Type Super Type 3]],meta_Classifiers[ID],0))</f>
        <v>#N/A</v>
      </c>
      <c r="AA53" s="5" t="e">
        <f>INDEX(meta_Classifiers[Class - Generalization:src],MATCH(meta_TypedModelElements[[#This Row],[Type Super Type 2]],meta_Classifiers[ID],0))</f>
        <v>#N/A</v>
      </c>
      <c r="AB53" s="5" t="e">
        <f>INDEX(meta_Classifiers[Class - Generalization:src],MATCH(meta_TypedModelElements[[#This Row],[Type Super Type 1]],meta_Classifiers[ID],0))</f>
        <v>#N/A</v>
      </c>
      <c r="AC53" s="5" t="str">
        <f>INDEX(meta_Classifiers[Class - Generalization:src],MATCH(meta_TypedModelElements[[#This Row],[Type:src]],meta_Classifiers[ID],0))</f>
        <v/>
      </c>
      <c r="AD53" s="5" t="str">
        <f>IF(meta_TypedModelElements[[#This Row],[Kind:src]]&lt;&gt;"_Function",meta_TypedModelElements[[#This Row],[Type]],INDEX(meta_TypedModelElements[Type],MATCH(meta_TypedModelElements[[#This Row],[Function - Owning Property:src]],meta_TypedModelElements[ID],0)))</f>
        <v>String</v>
      </c>
      <c r="AE53" s="5" t="str">
        <f>IF(meta_TypedModelElements[[#This Row],[Kind:src]]&lt;&gt;"_Function",meta_TypedModelElements[[#This Row],[Type:src]],INDEX(meta_TypedModelElements[Type:src],MATCH(meta_TypedModelElements[[#This Row],[Function - Owning Property:src]],meta_TypedModelElements[ID],0)))</f>
        <v>_String</v>
      </c>
      <c r="AF53" s="5" t="str">
        <f>IF(meta_TypedModelElements[[#This Row],[Type:src]]="","",INDEX(meta_Classifiers[Name],MATCH(meta_TypedModelElements[[#This Row],[Type:src]],meta_Classifiers[ID],0)))</f>
        <v>String</v>
      </c>
      <c r="AG53" s="5" t="s">
        <v>180</v>
      </c>
      <c r="AH53" s="22" t="str">
        <f xml:space="preserve"> IF( TRIM( meta_TypedModelElements[[#This Row],[Type:src]] ) = "", "",
        INDEX( meta_Classifiers[Display Qualified], MATCH( meta_TypedModelElements[[#This Row],[Type:src]], meta_Classifiers[ID], 0 ) ) )</f>
        <v>String</v>
      </c>
      <c r="AI53" s="22" t="s">
        <v>21</v>
      </c>
      <c r="AJ53" s="22" t="s">
        <v>232</v>
      </c>
      <c r="AK53" s="8"/>
      <c r="AL53" s="22" t="str">
        <f xml:space="preserve"> IF( TRIM( meta_TypedModelElements[[#This Row],[Reference - Opposite:src]] ) = "", "",
        INDEX( meta_TypedModelElements[Display Qualified], MATCH( meta_TypedModelElements[[#This Row],[Reference - Opposite:src]], meta_TypedModelElements[ID], 0 ) ) )</f>
        <v/>
      </c>
      <c r="AM53" s="8"/>
      <c r="AN5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3" s="22"/>
      <c r="AP53"/>
      <c r="AQ53" s="22" t="str">
        <f xml:space="preserve"> IF( TRIM( meta_TypedModelElements[[#This Row],[Function - Owning Property:src]] ) = "", "",
        INDEX( meta_TypedModelElements[Display Qualified], MATCH( meta_TypedModelElements[[#This Row],[Function - Owning Property:src]], meta_TypedModelElements[ID], 0 ) ) )</f>
        <v/>
      </c>
      <c r="AT53" s="22" t="str">
        <f>IF(meta_TypedModelElements[[#This Row],[Parameter - Owning Function:src]]="","",INDEX(meta_TypedModelElements[Display Qualified],MATCH(meta_TypedModelElements[[#This Row],[Parameter - Owning Function:src]],meta_TypedModelElements[ID],0)))</f>
        <v/>
      </c>
      <c r="AV53" s="89"/>
      <c r="AW5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3" s="5" t="str">
        <f>"[@["&amp;meta_TypedModelElements[[#This Row],[Name or Type]]&amp;":src]]"</f>
        <v>[@[Name:src]]</v>
      </c>
      <c r="AY5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3" s="40"/>
      <c r="BC53" s="40" t="str">
        <f>IF(meta_TypedModelElements[[#This Row],[Kind:src]]="_Parameter","",IF(AND(meta_TypedModelElements[[#This Row],[Package]]="util",meta_TypedModelElements[[#This Row],[Containing Class]]=0), "public", "method"))</f>
        <v>method</v>
      </c>
      <c r="BD53" s="40"/>
      <c r="BE5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3" s="40"/>
      <c r="BK53" s="5"/>
    </row>
    <row r="54" spans="1:63" ht="202.5">
      <c r="A54" s="5" t="s">
        <v>274</v>
      </c>
      <c r="B54" s="5" t="s">
        <v>167</v>
      </c>
      <c r="C54" s="22" t="str">
        <f xml:space="preserve"> IF( TRIM( meta_TypedModelElements[[#This Row],[Kind:src]] ) = "", "",
        INDEX( meta_Classifiers[Display Qualified], MATCH( meta_TypedModelElements[[#This Row],[Kind:src]], meta_Classifiers[ID], 0 ) ) )</f>
        <v>Reference</v>
      </c>
      <c r="D54" s="22">
        <v>53</v>
      </c>
      <c r="E54" s="22" t="s">
        <v>142</v>
      </c>
      <c r="F54" s="22"/>
      <c r="G5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4" s="8" t="s">
        <v>223</v>
      </c>
      <c r="J54" s="22" t="str">
        <f xml:space="preserve"> IF( TRIM( meta_TypedModelElements[[#This Row],[Property - Owning Class:src]] ) = "", "",
        INDEX( meta_Classifiers[Display Qualified], MATCH( meta_TypedModelElements[[#This Row],[Property - Owning Class:src]], meta_Classifiers[ID], 0 ) ) )</f>
        <v>UpdateRule</v>
      </c>
      <c r="K5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meta::UpdateRule.lHS_Feature</v>
      </c>
      <c r="L54" s="5" t="str">
        <f>IF(meta_TypedModelElements[[#This Row],[Kind:src]]="_Function",meta_TypedModelElements[[#This Row],[Display Qualified]],"")</f>
        <v/>
      </c>
      <c r="M54" s="5" t="str">
        <f>IF(meta_TypedModelElements[[#This Row],[Kind:src]]="_Attribute",meta_TypedModelElements[[#This Row],[Display Qualified]],"")</f>
        <v/>
      </c>
      <c r="N54" s="5" t="str">
        <f>IF(meta_TypedModelElements[[#This Row],[Kind:src]]="_Reference",meta_TypedModelElements[[#This Row],[Display Qualified]],"")</f>
        <v>meta::UpdateRule.lHS_Feature</v>
      </c>
      <c r="O54" s="5" t="str">
        <f>IF(OR(meta_TypedModelElements[[#This Row],[Kind:src]]="_Attribute",meta_TypedModelElements[[#This Row],[Kind:src]]="_Reference"),meta_TypedModelElements[[#This Row],[Display Qualified]],"")</f>
        <v>meta::UpdateRule.lHS_Feature</v>
      </c>
      <c r="P54" s="22"/>
      <c r="Q54" s="22"/>
      <c r="R54" s="5" t="str">
        <f>IF(meta_TypedModelElements[[#This Row],[Containing Class:display]]="","",meta_TypedModelElements[[#This Row],[Containing Class:display]]&amp;".")&amp;meta_TypedModelElements[[#This Row],[Display without Class]]</f>
        <v>UpdateRule.lHS_Feature</v>
      </c>
      <c r="S54" s="5" t="str" cm="1">
        <f t="array" ref="S54">_xlfn.IFNA(INDEX(meta_Names[Camel Lower], MATCH(meta_TypedModelElements[[#This Row],[Name or Type]],meta_Names[String],0)),camelCaseLower(meta_TypedModelElements[[#This Row],[Name or Type]]))</f>
        <v>lHS_Feature</v>
      </c>
      <c r="T54" s="5" t="str">
        <f>IF(meta_TypedModelElements[[#This Row],[Name or Type]]="","",meta_TypedModelElements[[#This Row],[Name or Type Camel Case Lower]])&amp;IF(meta_TypedModelElements[[#This Row],[Kind:src]]="_Function","("&amp;meta_TypedModelElements[[#This Row],[Function - Parameters Display]]&amp;")","")</f>
        <v>lHS_Feature</v>
      </c>
      <c r="U5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LHS Feature</v>
      </c>
      <c r="V54" s="22" t="s">
        <v>107</v>
      </c>
      <c r="W54" s="5" t="e">
        <f>INDEX(meta_Classifiers[Class - Generalization:src],MATCH(meta_TypedModelElements[[#This Row],[Type Super Type 6]],meta_Classifiers[ID],0))</f>
        <v>#N/A</v>
      </c>
      <c r="X54" s="5" t="e">
        <f>INDEX(meta_Classifiers[Class - Generalization:src],MATCH(meta_TypedModelElements[[#This Row],[Type Super Type 5]],meta_Classifiers[ID],0))</f>
        <v>#N/A</v>
      </c>
      <c r="Y54" s="5" t="e">
        <f>INDEX(meta_Classifiers[Class - Generalization:src],MATCH(meta_TypedModelElements[[#This Row],[Type Super Type 4]],meta_Classifiers[ID],0))</f>
        <v>#N/A</v>
      </c>
      <c r="Z54" s="5" t="str">
        <f>INDEX(meta_Classifiers[Class - Generalization:src],MATCH(meta_TypedModelElements[[#This Row],[Type Super Type 3]],meta_Classifiers[ID],0))</f>
        <v/>
      </c>
      <c r="AA54" s="5" t="str">
        <f>INDEX(meta_Classifiers[Class - Generalization:src],MATCH(meta_TypedModelElements[[#This Row],[Type Super Type 2]],meta_Classifiers[ID],0))</f>
        <v>_Object</v>
      </c>
      <c r="AB54" s="5" t="str">
        <f>INDEX(meta_Classifiers[Class - Generalization:src],MATCH(meta_TypedModelElements[[#This Row],[Type Super Type 1]],meta_Classifiers[ID],0))</f>
        <v>_NamedElement</v>
      </c>
      <c r="AC54" s="5" t="str">
        <f>INDEX(meta_Classifiers[Class - Generalization:src],MATCH(meta_TypedModelElements[[#This Row],[Type:src]],meta_Classifiers[ID],0))</f>
        <v>_TypedModelElement</v>
      </c>
      <c r="AD54" s="5" t="str">
        <f>IF(meta_TypedModelElements[[#This Row],[Kind:src]]&lt;&gt;"_Function",meta_TypedModelElements[[#This Row],[Type]],INDEX(meta_TypedModelElements[Type],MATCH(meta_TypedModelElements[[#This Row],[Function - Owning Property:src]],meta_TypedModelElements[ID],0)))</f>
        <v>Feature</v>
      </c>
      <c r="AE54" s="5" t="str">
        <f>IF(meta_TypedModelElements[[#This Row],[Kind:src]]&lt;&gt;"_Function",meta_TypedModelElements[[#This Row],[Type:src]],INDEX(meta_TypedModelElements[Type:src],MATCH(meta_TypedModelElements[[#This Row],[Function - Owning Property:src]],meta_TypedModelElements[ID],0)))</f>
        <v>_Feature</v>
      </c>
      <c r="AF54" s="5" t="str">
        <f>IF(meta_TypedModelElements[[#This Row],[Type:src]]="","",INDEX(meta_Classifiers[Name],MATCH(meta_TypedModelElements[[#This Row],[Type:src]],meta_Classifiers[ID],0)))</f>
        <v>Feature</v>
      </c>
      <c r="AG54" s="5" t="s">
        <v>212</v>
      </c>
      <c r="AH54" s="22" t="str">
        <f xml:space="preserve"> IF( TRIM( meta_TypedModelElements[[#This Row],[Type:src]] ) = "", "",
        INDEX( meta_Classifiers[Display Qualified], MATCH( meta_TypedModelElements[[#This Row],[Type:src]], meta_Classifiers[ID], 0 ) ) )</f>
        <v>Feature</v>
      </c>
      <c r="AI54" s="22" t="s">
        <v>19</v>
      </c>
      <c r="AJ54" s="22" t="s">
        <v>232</v>
      </c>
      <c r="AK54" s="8"/>
      <c r="AL54" s="22" t="str">
        <f xml:space="preserve"> IF( TRIM( meta_TypedModelElements[[#This Row],[Reference - Opposite:src]] ) = "", "",
        INDEX( meta_TypedModelElements[Display Qualified], MATCH( meta_TypedModelElements[[#This Row],[Reference - Opposite:src]], meta_TypedModelElements[ID], 0 ) ) )</f>
        <v/>
      </c>
      <c r="AM54" s="8"/>
      <c r="AN5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4" s="22"/>
      <c r="AP54"/>
      <c r="AQ54" s="22" t="str">
        <f xml:space="preserve"> IF( TRIM( meta_TypedModelElements[[#This Row],[Function - Owning Property:src]] ) = "", "",
        INDEX( meta_TypedModelElements[Display Qualified], MATCH( meta_TypedModelElements[[#This Row],[Function - Owning Property:src]], meta_TypedModelElements[ID], 0 ) ) )</f>
        <v/>
      </c>
      <c r="AT54" s="22" t="str">
        <f>IF(meta_TypedModelElements[[#This Row],[Parameter - Owning Function:src]]="","",INDEX(meta_TypedModelElements[Display Qualified],MATCH(meta_TypedModelElements[[#This Row],[Parameter - Owning Function:src]],meta_TypedModelElements[ID],0)))</f>
        <v/>
      </c>
      <c r="AV54" s="89"/>
      <c r="AW5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54" s="5" t="str">
        <f>"[@["&amp;meta_TypedModelElements[[#This Row],[Name or Type]]&amp;":src]]"</f>
        <v>[@[LHS Feature:src]]</v>
      </c>
      <c r="AY5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[@[LHS Feature:src]] ) = "",
        "",
    IF( LEFT([@[LHS Feature:src]],1)="_",
        RIGHT([@[LHS Feature:src]],LEN([@[LHS Feature:src]])-1),
    IF( TRIM( [@Package] )
            &lt;&gt; TRIM( INDEX( meta_TypedModelElements[Package], MATCH( [@[LHS Feature:src]], meta_TypedModelElements[ID],0 ) ) ),
        TRIM( INDEX( meta_TypedModelElements[Package], MATCH( [@[LHS Feature:src]], meta_TypedModelElements[ID], 0 ) ) )
            &amp; "::"
            &amp; INDEX( meta_TypedModelElements[Display], MATCH( [@[LHS Feature:src]], meta_TypedModelElements[ID], 0 ) ),
        INDEX( meta_TypedModelElements[Display], MATCH( [@[LHS Feature:src]], meta_TypedModelElements[ID], 0 ) )
    ))), "")</v>
      </c>
      <c r="AZ5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"LHS Feature" Then
                   referedTableName = "meta_TypedModelElements"
                   referedColumnName = "Display"
                   Call StaticCode.updateIdOnNameChange(cellRef, referingTableName, referingColumnName, referedTableName, referedColumnName)
            End If</v>
      </c>
      <c r="BA5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LHS Feature" Then
                   referedTableName = "meta_TypedModelElements"
                   referedColumnName = "Display"
                   Call StaticCode.updateIdOnNameChange(cellRef, referingTableName, referingColumnName, referedTableName, referedColumnName)
            End If</v>
      </c>
      <c r="BB54" s="40"/>
      <c r="BC54" s="40" t="str">
        <f>IF(meta_TypedModelElements[[#This Row],[Kind:src]]="_Parameter","",IF(AND(meta_TypedModelElements[[#This Row],[Package]]="util",meta_TypedModelElements[[#This Row],[Containing Class]]=0), "public", "method"))</f>
        <v>method</v>
      </c>
      <c r="BD54" s="40"/>
      <c r="BE5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4" s="40"/>
      <c r="BK54" s="5"/>
    </row>
    <row r="55" spans="1:63" ht="189">
      <c r="A55" s="5" t="s">
        <v>275</v>
      </c>
      <c r="B55" s="5" t="s">
        <v>167</v>
      </c>
      <c r="C55" s="22" t="str">
        <f xml:space="preserve"> IF( TRIM( meta_TypedModelElements[[#This Row],[Kind:src]] ) = "", "",
        INDEX( meta_Classifiers[Display Qualified], MATCH( meta_TypedModelElements[[#This Row],[Kind:src]], meta_Classifiers[ID], 0 ) ) )</f>
        <v>Reference</v>
      </c>
      <c r="D55" s="22">
        <v>54</v>
      </c>
      <c r="E55" s="22" t="s">
        <v>142</v>
      </c>
      <c r="F55" s="22"/>
      <c r="G5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5" s="8" t="s">
        <v>223</v>
      </c>
      <c r="J55" s="22" t="str">
        <f xml:space="preserve"> IF( TRIM( meta_TypedModelElements[[#This Row],[Property - Owning Class:src]] ) = "", "",
        INDEX( meta_Classifiers[Display Qualified], MATCH( meta_TypedModelElements[[#This Row],[Property - Owning Class:src]], meta_Classifiers[ID], 0 ) ) )</f>
        <v>UpdateRule</v>
      </c>
      <c r="K5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meta::UpdateRule.mode</v>
      </c>
      <c r="L55" s="5" t="str">
        <f>IF(meta_TypedModelElements[[#This Row],[Kind:src]]="_Function",meta_TypedModelElements[[#This Row],[Display Qualified]],"")</f>
        <v/>
      </c>
      <c r="M55" s="5" t="str">
        <f>IF(meta_TypedModelElements[[#This Row],[Kind:src]]="_Attribute",meta_TypedModelElements[[#This Row],[Display Qualified]],"")</f>
        <v/>
      </c>
      <c r="N55" s="5" t="str">
        <f>IF(meta_TypedModelElements[[#This Row],[Kind:src]]="_Reference",meta_TypedModelElements[[#This Row],[Display Qualified]],"")</f>
        <v>meta::UpdateRule.mode</v>
      </c>
      <c r="O55" s="5" t="str">
        <f>IF(OR(meta_TypedModelElements[[#This Row],[Kind:src]]="_Attribute",meta_TypedModelElements[[#This Row],[Kind:src]]="_Reference"),meta_TypedModelElements[[#This Row],[Display Qualified]],"")</f>
        <v>meta::UpdateRule.mode</v>
      </c>
      <c r="P55" s="22"/>
      <c r="Q55" s="22"/>
      <c r="R55" s="5" t="str">
        <f>IF(meta_TypedModelElements[[#This Row],[Containing Class:display]]="","",meta_TypedModelElements[[#This Row],[Containing Class:display]]&amp;".")&amp;meta_TypedModelElements[[#This Row],[Display without Class]]</f>
        <v>UpdateRule.mode</v>
      </c>
      <c r="S55" s="5" t="str" cm="1">
        <f t="array" ref="S55">_xlfn.IFNA(INDEX(meta_Names[Camel Lower], MATCH(meta_TypedModelElements[[#This Row],[Name or Type]],meta_Names[String],0)),camelCaseLower(meta_TypedModelElements[[#This Row],[Name or Type]]))</f>
        <v>mode</v>
      </c>
      <c r="T55" s="5" t="str">
        <f>IF(meta_TypedModelElements[[#This Row],[Name or Type]]="","",meta_TypedModelElements[[#This Row],[Name or Type Camel Case Lower]])&amp;IF(meta_TypedModelElements[[#This Row],[Kind:src]]="_Function","("&amp;meta_TypedModelElements[[#This Row],[Function - Parameters Display]]&amp;")","")</f>
        <v>mode</v>
      </c>
      <c r="U5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Mode</v>
      </c>
      <c r="V55" s="22" t="s">
        <v>103</v>
      </c>
      <c r="W55" s="5" t="e">
        <f>INDEX(meta_Classifiers[Class - Generalization:src],MATCH(meta_TypedModelElements[[#This Row],[Type Super Type 6]],meta_Classifiers[ID],0))</f>
        <v>#N/A</v>
      </c>
      <c r="X55" s="5" t="e">
        <f>INDEX(meta_Classifiers[Class - Generalization:src],MATCH(meta_TypedModelElements[[#This Row],[Type Super Type 5]],meta_Classifiers[ID],0))</f>
        <v>#N/A</v>
      </c>
      <c r="Y55" s="5" t="e">
        <f>INDEX(meta_Classifiers[Class - Generalization:src],MATCH(meta_TypedModelElements[[#This Row],[Type Super Type 4]],meta_Classifiers[ID],0))</f>
        <v>#N/A</v>
      </c>
      <c r="Z55" s="5" t="str">
        <f>INDEX(meta_Classifiers[Class - Generalization:src],MATCH(meta_TypedModelElements[[#This Row],[Type Super Type 3]],meta_Classifiers[ID],0))</f>
        <v/>
      </c>
      <c r="AA55" s="5" t="str">
        <f>INDEX(meta_Classifiers[Class - Generalization:src],MATCH(meta_TypedModelElements[[#This Row],[Type Super Type 2]],meta_Classifiers[ID],0))</f>
        <v>_Object</v>
      </c>
      <c r="AB55" s="5" t="str">
        <f>INDEX(meta_Classifiers[Class - Generalization:src],MATCH(meta_TypedModelElements[[#This Row],[Type Super Type 1]],meta_Classifiers[ID],0))</f>
        <v>_NamedElement</v>
      </c>
      <c r="AC55" s="5" t="str">
        <f>INDEX(meta_Classifiers[Class - Generalization:src],MATCH(meta_TypedModelElements[[#This Row],[Type:src]],meta_Classifiers[ID],0))</f>
        <v>_Literal</v>
      </c>
      <c r="AD55" s="5" t="str">
        <f>IF(meta_TypedModelElements[[#This Row],[Kind:src]]&lt;&gt;"_Function",meta_TypedModelElements[[#This Row],[Type]],INDEX(meta_TypedModelElements[Type],MATCH(meta_TypedModelElements[[#This Row],[Function - Owning Property:src]],meta_TypedModelElements[ID],0)))</f>
        <v>UpdateMode</v>
      </c>
      <c r="AE55" s="5" t="str">
        <f>IF(meta_TypedModelElements[[#This Row],[Kind:src]]&lt;&gt;"_Function",meta_TypedModelElements[[#This Row],[Type:src]],INDEX(meta_TypedModelElements[Type:src],MATCH(meta_TypedModelElements[[#This Row],[Function - Owning Property:src]],meta_TypedModelElements[ID],0)))</f>
        <v>_UpdateMode</v>
      </c>
      <c r="AF55" s="5" t="str">
        <f>IF(meta_TypedModelElements[[#This Row],[Type:src]]="","",INDEX(meta_Classifiers[Name],MATCH(meta_TypedModelElements[[#This Row],[Type:src]],meta_Classifiers[ID],0)))</f>
        <v>Update Mode</v>
      </c>
      <c r="AG55" s="5" t="s">
        <v>220</v>
      </c>
      <c r="AH55" s="22" t="str">
        <f xml:space="preserve"> IF( TRIM( meta_TypedModelElements[[#This Row],[Type:src]] ) = "", "",
        INDEX( meta_Classifiers[Display Qualified], MATCH( meta_TypedModelElements[[#This Row],[Type:src]], meta_Classifiers[ID], 0 ) ) )</f>
        <v>UpdateMode</v>
      </c>
      <c r="AI55" s="22" t="s">
        <v>19</v>
      </c>
      <c r="AJ55" s="22" t="s">
        <v>232</v>
      </c>
      <c r="AK55" s="8"/>
      <c r="AL55" s="22" t="str">
        <f xml:space="preserve"> IF( TRIM( meta_TypedModelElements[[#This Row],[Reference - Opposite:src]] ) = "", "",
        INDEX( meta_TypedModelElements[Display Qualified], MATCH( meta_TypedModelElements[[#This Row],[Reference - Opposite:src]], meta_TypedModelElements[ID], 0 ) ) )</f>
        <v/>
      </c>
      <c r="AM55" s="8"/>
      <c r="AN5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5" s="22"/>
      <c r="AP55"/>
      <c r="AQ55" s="22" t="str">
        <f xml:space="preserve"> IF( TRIM( meta_TypedModelElements[[#This Row],[Function - Owning Property:src]] ) = "", "",
        INDEX( meta_TypedModelElements[Display Qualified], MATCH( meta_TypedModelElements[[#This Row],[Function - Owning Property:src]], meta_TypedModelElements[ID], 0 ) ) )</f>
        <v/>
      </c>
      <c r="AT55" s="22" t="str">
        <f>IF(meta_TypedModelElements[[#This Row],[Parameter - Owning Function:src]]="","",INDEX(meta_TypedModelElements[Display Qualified],MATCH(meta_TypedModelElements[[#This Row],[Parameter - Owning Function:src]],meta_TypedModelElements[ID],0)))</f>
        <v/>
      </c>
      <c r="AV55" s="89"/>
      <c r="AW5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55" s="5" t="str">
        <f>"[@["&amp;meta_TypedModelElements[[#This Row],[Name or Type]]&amp;":src]]"</f>
        <v>[@[Mode:src]]</v>
      </c>
      <c r="AY5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[@[Mode:src]] ) = "",
        "",
    IF( LEFT([@[Mode:src]],1)="_",
        RIGHT([@[Mode:src]],LEN([@[Mode:src]])-1),
    IF( TRIM( [@Package] )
            &lt;&gt; TRIM( INDEX( meta_Literals[Package], MATCH( [@[Mode:src]], meta_Literals[ID],0 ) ) ),
        TRIM( INDEX( meta_Literals[Package], MATCH( [@[Mode:src]], meta_Literals[ID], 0 ) ) )
            &amp; "::"
            &amp; INDEX( meta_Literals[Display], MATCH( [@[Mode:src]], meta_Literals[ID], 0 ) ),
        INDEX( meta_Literals[Display], MATCH( [@[Mode:src]], meta_Literals[ID], 0 ) )
    ))), "")</v>
      </c>
      <c r="AZ5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"Mode" Then
                   referedTableName = "meta_Literals"
                   referedColumnName = "Display"
                   Call StaticCode.updateIdOnNameChange(cellRef, referingTableName, referingColumnName, referedTableName, referedColumnName)
            End If</v>
      </c>
      <c r="BA5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Mode" Then
                   referedTableName = "meta_Literals"
                   referedColumnName = "Display"
                   Call StaticCode.updateIdOnNameChange(cellRef, referingTableName, referingColumnName, referedTableName, referedColumnName)
            End If</v>
      </c>
      <c r="BB55" s="40"/>
      <c r="BC55" s="40" t="str">
        <f>IF(meta_TypedModelElements[[#This Row],[Kind:src]]="_Parameter","",IF(AND(meta_TypedModelElements[[#This Row],[Package]]="util",meta_TypedModelElements[[#This Row],[Containing Class]]=0), "public", "method"))</f>
        <v>method</v>
      </c>
      <c r="BD55" s="40"/>
      <c r="BE5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5" s="40"/>
      <c r="BK55" s="5"/>
    </row>
    <row r="56" spans="1:63">
      <c r="A56" s="5" t="s">
        <v>787</v>
      </c>
      <c r="B56" s="5" t="s">
        <v>168</v>
      </c>
      <c r="C56" s="22" t="str">
        <f xml:space="preserve"> IF( TRIM( meta_TypedModelElements[[#This Row],[Kind:src]] ) = "", "",
        INDEX( meta_Classifiers[Display Qualified], MATCH( meta_TypedModelElements[[#This Row],[Kind:src]], meta_Classifiers[ID], 0 ) ) )</f>
        <v>Attribute</v>
      </c>
      <c r="D56" s="22">
        <v>55</v>
      </c>
      <c r="E56" s="22" t="s">
        <v>785</v>
      </c>
      <c r="F56" s="22"/>
      <c r="G5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6" s="8"/>
      <c r="J56" s="22" t="str">
        <f xml:space="preserve"> IF( TRIM( meta_TypedModelElements[[#This Row],[Property - Owning Class:src]] ) = "", "",
        INDEX( meta_Classifiers[Display Qualified], MATCH( meta_TypedModelElements[[#This Row],[Property - Owning Class:src]], meta_Classifiers[ID], 0 ) ) )</f>
        <v/>
      </c>
      <c r="K5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transfertable::copyTable</v>
      </c>
      <c r="L56" s="5" t="str">
        <f>IF(meta_TypedModelElements[[#This Row],[Kind:src]]="_Function",meta_TypedModelElements[[#This Row],[Display Qualified]],"")</f>
        <v/>
      </c>
      <c r="M56" s="5" t="str">
        <f>IF(meta_TypedModelElements[[#This Row],[Kind:src]]="_Attribute",meta_TypedModelElements[[#This Row],[Display Qualified]],"")</f>
        <v>transfertable::copyTable</v>
      </c>
      <c r="N56" s="5" t="str">
        <f>IF(meta_TypedModelElements[[#This Row],[Kind:src]]="_Reference",meta_TypedModelElements[[#This Row],[Display Qualified]],"")</f>
        <v/>
      </c>
      <c r="O56" s="5" t="str">
        <f>IF(OR(meta_TypedModelElements[[#This Row],[Kind:src]]="_Attribute",meta_TypedModelElements[[#This Row],[Kind:src]]="_Reference"),meta_TypedModelElements[[#This Row],[Display Qualified]],"")</f>
        <v>transfertable::copyTable</v>
      </c>
      <c r="P56" s="22"/>
      <c r="Q56" s="22"/>
      <c r="R56" s="5" t="str">
        <f>IF(meta_TypedModelElements[[#This Row],[Containing Class:display]]="","",meta_TypedModelElements[[#This Row],[Containing Class:display]]&amp;".")&amp;meta_TypedModelElements[[#This Row],[Display without Class]]</f>
        <v>copyTable</v>
      </c>
      <c r="S56" s="5" t="str" cm="1">
        <f t="array" ref="S56">_xlfn.IFNA(INDEX(meta_Names[Camel Lower], MATCH(meta_TypedModelElements[[#This Row],[Name or Type]],meta_Names[String],0)),camelCaseLower(meta_TypedModelElements[[#This Row],[Name or Type]]))</f>
        <v>copyTable</v>
      </c>
      <c r="T56" s="5" t="str">
        <f>IF(meta_TypedModelElements[[#This Row],[Name or Type]]="","",meta_TypedModelElements[[#This Row],[Name or Type Camel Case Lower]])&amp;IF(meta_TypedModelElements[[#This Row],[Kind:src]]="_Function","("&amp;meta_TypedModelElements[[#This Row],[Function - Parameters Display]]&amp;")","")</f>
        <v>copyTable</v>
      </c>
      <c r="U5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6" s="22" t="s">
        <v>784</v>
      </c>
      <c r="W56" s="5" t="e">
        <f>INDEX(meta_Classifiers[Class - Generalization:src],MATCH(meta_TypedModelElements[[#This Row],[Type Super Type 6]],meta_Classifiers[ID],0))</f>
        <v>#N/A</v>
      </c>
      <c r="X56" s="5" t="e">
        <f>INDEX(meta_Classifiers[Class - Generalization:src],MATCH(meta_TypedModelElements[[#This Row],[Type Super Type 5]],meta_Classifiers[ID],0))</f>
        <v>#N/A</v>
      </c>
      <c r="Y56" s="5" t="e">
        <f>INDEX(meta_Classifiers[Class - Generalization:src],MATCH(meta_TypedModelElements[[#This Row],[Type Super Type 4]],meta_Classifiers[ID],0))</f>
        <v>#N/A</v>
      </c>
      <c r="Z56" s="5" t="e">
        <f>INDEX(meta_Classifiers[Class - Generalization:src],MATCH(meta_TypedModelElements[[#This Row],[Type Super Type 3]],meta_Classifiers[ID],0))</f>
        <v>#N/A</v>
      </c>
      <c r="AA56" s="5" t="e">
        <f>INDEX(meta_Classifiers[Class - Generalization:src],MATCH(meta_TypedModelElements[[#This Row],[Type Super Type 2]],meta_Classifiers[ID],0))</f>
        <v>#N/A</v>
      </c>
      <c r="AB56" s="5" t="e">
        <f>INDEX(meta_Classifiers[Class - Generalization:src],MATCH(meta_TypedModelElements[[#This Row],[Type Super Type 1]],meta_Classifiers[ID],0))</f>
        <v>#N/A</v>
      </c>
      <c r="AC56" s="5" t="e">
        <f>INDEX(meta_Classifiers[Class - Generalization:src],MATCH(meta_TypedModelElements[[#This Row],[Type:src]],meta_Classifiers[ID],0))</f>
        <v>#N/A</v>
      </c>
      <c r="AD56" s="5" t="str">
        <f>IF(meta_TypedModelElements[[#This Row],[Kind:src]]&lt;&gt;"_Function",meta_TypedModelElements[[#This Row],[Type]],INDEX(meta_TypedModelElements[Type],MATCH(meta_TypedModelElements[[#This Row],[Function - Owning Property:src]],meta_TypedModelElements[ID],0)))</f>
        <v/>
      </c>
      <c r="AE56" s="5">
        <f>IF(meta_TypedModelElements[[#This Row],[Kind:src]]&lt;&gt;"_Function",meta_TypedModelElements[[#This Row],[Type:src]],INDEX(meta_TypedModelElements[Type:src],MATCH(meta_TypedModelElements[[#This Row],[Function - Owning Property:src]],meta_TypedModelElements[ID],0)))</f>
        <v>0</v>
      </c>
      <c r="AF56" s="5" t="str">
        <f>IF(meta_TypedModelElements[[#This Row],[Type:src]]="","",INDEX(meta_Classifiers[Name],MATCH(meta_TypedModelElements[[#This Row],[Type:src]],meta_Classifiers[ID],0)))</f>
        <v/>
      </c>
      <c r="AH56" s="22" t="str">
        <f xml:space="preserve"> IF( TRIM( meta_TypedModelElements[[#This Row],[Type:src]] ) = "", "",
        INDEX( meta_Classifiers[Display Qualified], MATCH( meta_TypedModelElements[[#This Row],[Type:src]], meta_Classifiers[ID], 0 ) ) )</f>
        <v/>
      </c>
      <c r="AI56" s="22"/>
      <c r="AJ56" s="22"/>
      <c r="AK56" s="8"/>
      <c r="AL56" s="22" t="str">
        <f xml:space="preserve"> IF( TRIM( meta_TypedModelElements[[#This Row],[Reference - Opposite:src]] ) = "", "",
        INDEX( meta_TypedModelElements[Display Qualified], MATCH( meta_TypedModelElements[[#This Row],[Reference - Opposite:src]], meta_TypedModelElements[ID], 0 ) ) )</f>
        <v/>
      </c>
      <c r="AM56" s="8"/>
      <c r="AN5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6" s="22"/>
      <c r="AP56"/>
      <c r="AQ56" s="22" t="str">
        <f xml:space="preserve"> IF( TRIM( meta_TypedModelElements[[#This Row],[Function - Owning Property:src]] ) = "", "",
        INDEX( meta_TypedModelElements[Display Qualified], MATCH( meta_TypedModelElements[[#This Row],[Function - Owning Property:src]], meta_TypedModelElements[ID], 0 ) ) )</f>
        <v/>
      </c>
      <c r="AT56" s="22" t="str">
        <f>IF(meta_TypedModelElements[[#This Row],[Parameter - Owning Function:src]]="","",INDEX(meta_TypedModelElements[Display Qualified],MATCH(meta_TypedModelElements[[#This Row],[Parameter - Owning Function:src]],meta_TypedModelElements[ID],0)))</f>
        <v/>
      </c>
      <c r="AV56" s="89"/>
      <c r="AW5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6" s="5" t="str">
        <f>"[@["&amp;meta_TypedModelElements[[#This Row],[Name or Type]]&amp;":src]]"</f>
        <v>[@[Copy Table:src]]</v>
      </c>
      <c r="AY5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6" s="40"/>
      <c r="BC56" s="40" t="str">
        <f>IF(meta_TypedModelElements[[#This Row],[Kind:src]]="_Parameter","",IF(AND(meta_TypedModelElements[[#This Row],[Package]]="util",meta_TypedModelElements[[#This Row],[Containing Class]]=0), "public", "method"))</f>
        <v>method</v>
      </c>
      <c r="BD56" s="40"/>
      <c r="BE5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6" s="40"/>
      <c r="BK56" s="5"/>
    </row>
    <row r="57" spans="1:63">
      <c r="A57" s="5" t="s">
        <v>788</v>
      </c>
      <c r="B57" s="5" t="s">
        <v>165</v>
      </c>
      <c r="C57" s="22" t="str">
        <f xml:space="preserve"> IF( TRIM( meta_TypedModelElements[[#This Row],[Kind:src]] ) = "", "",
        INDEX( meta_Classifiers[Display Qualified], MATCH( meta_TypedModelElements[[#This Row],[Kind:src]], meta_Classifiers[ID], 0 ) ) )</f>
        <v>Function</v>
      </c>
      <c r="D57" s="22">
        <v>56</v>
      </c>
      <c r="E57" s="22" t="s">
        <v>785</v>
      </c>
      <c r="F57" s="22"/>
      <c r="G5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7" s="8"/>
      <c r="J57" s="22" t="str">
        <f xml:space="preserve"> IF( TRIM( meta_TypedModelElements[[#This Row],[Property - Owning Class:src]] ) = "", "",
        INDEX( meta_Classifiers[Display Qualified], MATCH( meta_TypedModelElements[[#This Row],[Property - Owning Class:src]], meta_Classifiers[ID], 0 ) ) )</f>
        <v/>
      </c>
      <c r="K57" s="5" t="e">
        <f xml:space="preserve"> IF(meta_TypedModelElements[[#This Row],[Kind:src]]="_Parameter",
  INDEX(meta_TypedModelElements[Display Qualified],MATCH(meta_TypedModelElements[[#This Row],[Containing Class]],meta_TypedModelElements[ID],0))&amp;"."&amp;meta_TypedModelElements[[#This Row],[Display without Class]],
IF(TRIM(meta_TypedModelElements[[#This Row],[Package]])="","",TRIM(LOWER(meta_TypedModelElements[[#This Row],[Package]]))&amp;"::")&amp;meta_TypedModelElements[[#This Row],[Display]])</f>
        <v>#N/A</v>
      </c>
      <c r="L57" s="5" t="e">
        <f>IF(meta_TypedModelElements[[#This Row],[Kind:src]]="_Function",meta_TypedModelElements[[#This Row],[Display Qualified]],"")</f>
        <v>#N/A</v>
      </c>
      <c r="M57" s="5" t="str">
        <f>IF(meta_TypedModelElements[[#This Row],[Kind:src]]="_Attribute",meta_TypedModelElements[[#This Row],[Display Qualified]],"")</f>
        <v/>
      </c>
      <c r="N57" s="5" t="str">
        <f>IF(meta_TypedModelElements[[#This Row],[Kind:src]]="_Reference",meta_TypedModelElements[[#This Row],[Display Qualified]],"")</f>
        <v/>
      </c>
      <c r="O57" s="5" t="str">
        <f>IF(OR(meta_TypedModelElements[[#This Row],[Kind:src]]="_Attribute",meta_TypedModelElements[[#This Row],[Kind:src]]="_Reference"),meta_TypedModelElements[[#This Row],[Display Qualified]],"")</f>
        <v/>
      </c>
      <c r="P57" s="22"/>
      <c r="Q57" s="22"/>
      <c r="R57" s="5" t="e">
        <f>IF(meta_TypedModelElements[[#This Row],[Containing Class:display]]="","",meta_TypedModelElements[[#This Row],[Containing Class:display]]&amp;".")&amp;meta_TypedModelElements[[#This Row],[Display without Class]]</f>
        <v>#N/A</v>
      </c>
      <c r="S57" s="5" t="e" cm="1">
        <f t="array" ref="S57">_xlfn.IFNA(INDEX(meta_Names[Camel Lower], MATCH(meta_TypedModelElements[[#This Row],[Name or Type]],meta_Names[String],0)),camelCaseLower(meta_TypedModelElements[[#This Row],[Name or Type]]))</f>
        <v>#VALUE!</v>
      </c>
      <c r="T57" s="5" t="e">
        <f>IF(meta_TypedModelElements[[#This Row],[Name or Type]]="","",meta_TypedModelElements[[#This Row],[Name or Type Camel Case Lower]])&amp;IF(meta_TypedModelElements[[#This Row],[Kind:src]]="_Function","("&amp;meta_TypedModelElements[[#This Row],[Function - Parameters Display]]&amp;")","")</f>
        <v>#N/A</v>
      </c>
      <c r="U57"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57" s="22"/>
      <c r="W57" s="5" t="e">
        <f>INDEX(meta_Classifiers[Class - Generalization:src],MATCH(meta_TypedModelElements[[#This Row],[Type Super Type 6]],meta_Classifiers[ID],0))</f>
        <v>#N/A</v>
      </c>
      <c r="X57" s="5" t="e">
        <f>INDEX(meta_Classifiers[Class - Generalization:src],MATCH(meta_TypedModelElements[[#This Row],[Type Super Type 5]],meta_Classifiers[ID],0))</f>
        <v>#N/A</v>
      </c>
      <c r="Y57" s="5" t="e">
        <f>INDEX(meta_Classifiers[Class - Generalization:src],MATCH(meta_TypedModelElements[[#This Row],[Type Super Type 4]],meta_Classifiers[ID],0))</f>
        <v>#N/A</v>
      </c>
      <c r="Z57" s="5" t="e">
        <f>INDEX(meta_Classifiers[Class - Generalization:src],MATCH(meta_TypedModelElements[[#This Row],[Type Super Type 3]],meta_Classifiers[ID],0))</f>
        <v>#N/A</v>
      </c>
      <c r="AA57" s="5" t="e">
        <f>INDEX(meta_Classifiers[Class - Generalization:src],MATCH(meta_TypedModelElements[[#This Row],[Type Super Type 2]],meta_Classifiers[ID],0))</f>
        <v>#N/A</v>
      </c>
      <c r="AB57" s="5" t="e">
        <f>INDEX(meta_Classifiers[Class - Generalization:src],MATCH(meta_TypedModelElements[[#This Row],[Type Super Type 1]],meta_Classifiers[ID],0))</f>
        <v>#N/A</v>
      </c>
      <c r="AC57" s="5" t="e">
        <f>INDEX(meta_Classifiers[Class - Generalization:src],MATCH(meta_TypedModelElements[[#This Row],[Type:src]],meta_Classifiers[ID],0))</f>
        <v>#N/A</v>
      </c>
      <c r="AD57" s="5" t="e">
        <f>IF(meta_TypedModelElements[[#This Row],[Kind:src]]&lt;&gt;"_Function",meta_TypedModelElements[[#This Row],[Type]],INDEX(meta_TypedModelElements[Type],MATCH(meta_TypedModelElements[[#This Row],[Function - Owning Property:src]],meta_TypedModelElements[ID],0)))</f>
        <v>#N/A</v>
      </c>
      <c r="AE57" s="5" t="e">
        <f>IF(meta_TypedModelElements[[#This Row],[Kind:src]]&lt;&gt;"_Function",meta_TypedModelElements[[#This Row],[Type:src]],INDEX(meta_TypedModelElements[Type:src],MATCH(meta_TypedModelElements[[#This Row],[Function - Owning Property:src]],meta_TypedModelElements[ID],0)))</f>
        <v>#N/A</v>
      </c>
      <c r="AF57" s="5" t="str">
        <f>IF(meta_TypedModelElements[[#This Row],[Type:src]]="","",INDEX(meta_Classifiers[Name],MATCH(meta_TypedModelElements[[#This Row],[Type:src]],meta_Classifiers[ID],0)))</f>
        <v/>
      </c>
      <c r="AH57" s="22" t="str">
        <f xml:space="preserve"> IF( TRIM( meta_TypedModelElements[[#This Row],[Type:src]] ) = "", "",
        INDEX( meta_Classifiers[Display Qualified], MATCH( meta_TypedModelElements[[#This Row],[Type:src]], meta_Classifiers[ID], 0 ) ) )</f>
        <v/>
      </c>
      <c r="AI57" s="22"/>
      <c r="AJ57" s="22"/>
      <c r="AK57" s="8"/>
      <c r="AL57" s="22" t="str">
        <f xml:space="preserve"> IF( TRIM( meta_TypedModelElements[[#This Row],[Reference - Opposite:src]] ) = "", "",
        INDEX( meta_TypedModelElements[Display Qualified], MATCH( meta_TypedModelElements[[#This Row],[Reference - Opposite:src]], meta_TypedModelElements[ID], 0 ) ) )</f>
        <v/>
      </c>
      <c r="AM57" s="8"/>
      <c r="AN5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7" s="22"/>
      <c r="AP57"/>
      <c r="AQ57" s="22" t="str">
        <f xml:space="preserve"> IF( TRIM( meta_TypedModelElements[[#This Row],[Function - Owning Property:src]] ) = "", "",
        INDEX( meta_TypedModelElements[Display Qualified], MATCH( meta_TypedModelElements[[#This Row],[Function - Owning Property:src]], meta_TypedModelElements[ID], 0 ) ) )</f>
        <v/>
      </c>
      <c r="AT57" s="22" t="str">
        <f>IF(meta_TypedModelElements[[#This Row],[Parameter - Owning Function:src]]="","",INDEX(meta_TypedModelElements[Display Qualified],MATCH(meta_TypedModelElements[[#This Row],[Parameter - Owning Function:src]],meta_TypedModelElements[ID],0)))</f>
        <v/>
      </c>
      <c r="AV57" s="89"/>
      <c r="AW5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7" s="5" t="e">
        <f>"[@["&amp;meta_TypedModelElements[[#This Row],[Name or Type]]&amp;":src]]"</f>
        <v>#N/A</v>
      </c>
      <c r="AY5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7" s="40"/>
      <c r="BC57" s="40" t="str">
        <f>IF(meta_TypedModelElements[[#This Row],[Kind:src]]="_Parameter","",IF(AND(meta_TypedModelElements[[#This Row],[Package]]="util",meta_TypedModelElements[[#This Row],[Containing Class]]=0), "public", "method"))</f>
        <v>method</v>
      </c>
      <c r="BD57" s="40"/>
      <c r="BE5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7" s="40"/>
      <c r="BK57" s="5"/>
    </row>
    <row r="58" spans="1:63">
      <c r="A58" s="5" t="s">
        <v>789</v>
      </c>
      <c r="B58" s="5" t="s">
        <v>166</v>
      </c>
      <c r="C58" s="22" t="str">
        <f xml:space="preserve"> IF( TRIM( meta_TypedModelElements[[#This Row],[Kind:src]] ) = "", "",
        INDEX( meta_Classifiers[Display Qualified], MATCH( meta_TypedModelElements[[#This Row],[Kind:src]], meta_Classifiers[ID], 0 ) ) )</f>
        <v>Parameter</v>
      </c>
      <c r="D58" s="22">
        <v>57</v>
      </c>
      <c r="E58" s="22" t="s">
        <v>785</v>
      </c>
      <c r="F58" s="22"/>
      <c r="G5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8" s="8"/>
      <c r="J58" s="22" t="str">
        <f xml:space="preserve"> IF( TRIM( meta_TypedModelElements[[#This Row],[Property - Owning Class:src]] ) = "", "",
        INDEX( meta_Classifiers[Display Qualified], MATCH( meta_TypedModelElements[[#This Row],[Property - Owning Class:src]], meta_Classifiers[ID], 0 ) ) )</f>
        <v/>
      </c>
      <c r="K58" s="5" t="e">
        <f xml:space="preserve"> IF(meta_TypedModelElements[[#This Row],[Kind:src]]="_Parameter",
  INDEX(meta_TypedModelElements[Display Qualified],MATCH(meta_TypedModelElements[[#This Row],[Containing Class]],meta_TypedModelElements[ID],0))&amp;"."&amp;meta_TypedModelElements[[#This Row],[Display without Class]],
IF(TRIM(meta_TypedModelElements[[#This Row],[Package]])="","",TRIM(LOWER(meta_TypedModelElements[[#This Row],[Package]]))&amp;"::")&amp;meta_TypedModelElements[[#This Row],[Display]])</f>
        <v>#N/A</v>
      </c>
      <c r="L58" s="5" t="str">
        <f>IF(meta_TypedModelElements[[#This Row],[Kind:src]]="_Function",meta_TypedModelElements[[#This Row],[Display Qualified]],"")</f>
        <v/>
      </c>
      <c r="M58" s="5" t="str">
        <f>IF(meta_TypedModelElements[[#This Row],[Kind:src]]="_Attribute",meta_TypedModelElements[[#This Row],[Display Qualified]],"")</f>
        <v/>
      </c>
      <c r="N58" s="5" t="str">
        <f>IF(meta_TypedModelElements[[#This Row],[Kind:src]]="_Reference",meta_TypedModelElements[[#This Row],[Display Qualified]],"")</f>
        <v/>
      </c>
      <c r="O58" s="5" t="str">
        <f>IF(OR(meta_TypedModelElements[[#This Row],[Kind:src]]="_Attribute",meta_TypedModelElements[[#This Row],[Kind:src]]="_Reference"),meta_TypedModelElements[[#This Row],[Display Qualified]],"")</f>
        <v/>
      </c>
      <c r="P58" s="22"/>
      <c r="Q58" s="22"/>
      <c r="R58" s="5" t="str">
        <f>IF(meta_TypedModelElements[[#This Row],[Containing Class:display]]="","",meta_TypedModelElements[[#This Row],[Containing Class:display]]&amp;".")&amp;meta_TypedModelElements[[#This Row],[Display without Class]]</f>
        <v>tableName</v>
      </c>
      <c r="S58" s="5" t="str" cm="1">
        <f t="array" ref="S58">_xlfn.IFNA(INDEX(meta_Names[Camel Lower], MATCH(meta_TypedModelElements[[#This Row],[Name or Type]],meta_Names[String],0)),camelCaseLower(meta_TypedModelElements[[#This Row],[Name or Type]]))</f>
        <v>tableName</v>
      </c>
      <c r="T58" s="5" t="str">
        <f>IF(meta_TypedModelElements[[#This Row],[Name or Type]]="","",meta_TypedModelElements[[#This Row],[Name or Type Camel Case Lower]])&amp;IF(meta_TypedModelElements[[#This Row],[Kind:src]]="_Function","("&amp;meta_TypedModelElements[[#This Row],[Function - Parameters Display]]&amp;")","")</f>
        <v>tableName</v>
      </c>
      <c r="U5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Name</v>
      </c>
      <c r="V58" s="22" t="s">
        <v>786</v>
      </c>
      <c r="W58" s="5" t="e">
        <f>INDEX(meta_Classifiers[Class - Generalization:src],MATCH(meta_TypedModelElements[[#This Row],[Type Super Type 6]],meta_Classifiers[ID],0))</f>
        <v>#N/A</v>
      </c>
      <c r="X58" s="5" t="e">
        <f>INDEX(meta_Classifiers[Class - Generalization:src],MATCH(meta_TypedModelElements[[#This Row],[Type Super Type 5]],meta_Classifiers[ID],0))</f>
        <v>#N/A</v>
      </c>
      <c r="Y58" s="5" t="e">
        <f>INDEX(meta_Classifiers[Class - Generalization:src],MATCH(meta_TypedModelElements[[#This Row],[Type Super Type 4]],meta_Classifiers[ID],0))</f>
        <v>#N/A</v>
      </c>
      <c r="Z58" s="5" t="e">
        <f>INDEX(meta_Classifiers[Class - Generalization:src],MATCH(meta_TypedModelElements[[#This Row],[Type Super Type 3]],meta_Classifiers[ID],0))</f>
        <v>#N/A</v>
      </c>
      <c r="AA58" s="5" t="e">
        <f>INDEX(meta_Classifiers[Class - Generalization:src],MATCH(meta_TypedModelElements[[#This Row],[Type Super Type 2]],meta_Classifiers[ID],0))</f>
        <v>#N/A</v>
      </c>
      <c r="AB58" s="5" t="e">
        <f>INDEX(meta_Classifiers[Class - Generalization:src],MATCH(meta_TypedModelElements[[#This Row],[Type Super Type 1]],meta_Classifiers[ID],0))</f>
        <v>#N/A</v>
      </c>
      <c r="AC58" s="5" t="e">
        <f>INDEX(meta_Classifiers[Class - Generalization:src],MATCH(meta_TypedModelElements[[#This Row],[Type:src]],meta_Classifiers[ID],0))</f>
        <v>#N/A</v>
      </c>
      <c r="AD58" s="5" t="str">
        <f>IF(meta_TypedModelElements[[#This Row],[Kind:src]]&lt;&gt;"_Function",meta_TypedModelElements[[#This Row],[Type]],INDEX(meta_TypedModelElements[Type],MATCH(meta_TypedModelElements[[#This Row],[Function - Owning Property:src]],meta_TypedModelElements[ID],0)))</f>
        <v/>
      </c>
      <c r="AE58" s="5">
        <f>IF(meta_TypedModelElements[[#This Row],[Kind:src]]&lt;&gt;"_Function",meta_TypedModelElements[[#This Row],[Type:src]],INDEX(meta_TypedModelElements[Type:src],MATCH(meta_TypedModelElements[[#This Row],[Function - Owning Property:src]],meta_TypedModelElements[ID],0)))</f>
        <v>0</v>
      </c>
      <c r="AF58" s="5" t="str">
        <f>IF(meta_TypedModelElements[[#This Row],[Type:src]]="","",INDEX(meta_Classifiers[Name],MATCH(meta_TypedModelElements[[#This Row],[Type:src]],meta_Classifiers[ID],0)))</f>
        <v/>
      </c>
      <c r="AH58" s="22" t="str">
        <f xml:space="preserve"> IF( TRIM( meta_TypedModelElements[[#This Row],[Type:src]] ) = "", "",
        INDEX( meta_Classifiers[Display Qualified], MATCH( meta_TypedModelElements[[#This Row],[Type:src]], meta_Classifiers[ID], 0 ) ) )</f>
        <v/>
      </c>
      <c r="AI58" s="22"/>
      <c r="AJ58" s="22"/>
      <c r="AK58" s="8"/>
      <c r="AL58" s="22" t="str">
        <f xml:space="preserve"> IF( TRIM( meta_TypedModelElements[[#This Row],[Reference - Opposite:src]] ) = "", "",
        INDEX( meta_TypedModelElements[Display Qualified], MATCH( meta_TypedModelElements[[#This Row],[Reference - Opposite:src]], meta_TypedModelElements[ID], 0 ) ) )</f>
        <v/>
      </c>
      <c r="AM58" s="8"/>
      <c r="AN5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8" s="22"/>
      <c r="AP58"/>
      <c r="AQ58" s="22" t="str">
        <f xml:space="preserve"> IF( TRIM( meta_TypedModelElements[[#This Row],[Function - Owning Property:src]] ) = "", "",
        INDEX( meta_TypedModelElements[Display Qualified], MATCH( meta_TypedModelElements[[#This Row],[Function - Owning Property:src]], meta_TypedModelElements[ID], 0 ) ) )</f>
        <v/>
      </c>
      <c r="AT58" s="22" t="str">
        <f>IF(meta_TypedModelElements[[#This Row],[Parameter - Owning Function:src]]="","",INDEX(meta_TypedModelElements[Display Qualified],MATCH(meta_TypedModelElements[[#This Row],[Parameter - Owning Function:src]],meta_TypedModelElements[ID],0)))</f>
        <v/>
      </c>
      <c r="AV58" s="89"/>
      <c r="AW5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8" s="5" t="str">
        <f>"[@["&amp;meta_TypedModelElements[[#This Row],[Name or Type]]&amp;":src]]"</f>
        <v>[@[Table Name:src]]</v>
      </c>
      <c r="AY5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8" s="40"/>
      <c r="BC58" s="40" t="str">
        <f>IF(meta_TypedModelElements[[#This Row],[Kind:src]]="_Parameter","",IF(AND(meta_TypedModelElements[[#This Row],[Package]]="util",meta_TypedModelElements[[#This Row],[Containing Class]]=0), "public", "method"))</f>
        <v/>
      </c>
      <c r="BD58" s="40"/>
      <c r="BE5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58" s="40"/>
      <c r="BK58" s="5"/>
    </row>
    <row r="59" spans="1:63">
      <c r="A59" s="5" t="s">
        <v>393</v>
      </c>
      <c r="B59" s="5" t="s">
        <v>168</v>
      </c>
      <c r="C59" s="22" t="str">
        <f xml:space="preserve"> IF( TRIM( meta_TypedModelElements[[#This Row],[Kind:src]] ) = "", "",
        INDEX( meta_Classifiers[Display Qualified], MATCH( meta_TypedModelElements[[#This Row],[Kind:src]], meta_Classifiers[ID], 0 ) ) )</f>
        <v>Attribute</v>
      </c>
      <c r="D59" s="22">
        <v>58</v>
      </c>
      <c r="E59" s="22" t="s">
        <v>586</v>
      </c>
      <c r="F59" s="22"/>
      <c r="G5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9" s="8"/>
      <c r="J59" s="22" t="str">
        <f xml:space="preserve"> IF( TRIM( meta_TypedModelElements[[#This Row],[Property - Owning Class:src]] ) = "", "",
        INDEX( meta_Classifiers[Display Qualified], MATCH( meta_TypedModelElements[[#This Row],[Property - Owning Class:src]], meta_Classifiers[ID], 0 ) ) )</f>
        <v/>
      </c>
      <c r="K59" s="5" t="str">
        <f xml:space="preserve"> IF(meta_TypedModelElements[[#This Row],[Kind:src]]="_Parameter",
  INDEX(meta_TypedModelElements[Display Qualified],MATCH(meta_TypedModelElements[[#This Row],[Containing Class]],meta_TypedModelElements[ID],0))&amp;"."&amp;meta_TypedModelElements[[#This Row],[Display without Class]],
IF(TRIM(meta_TypedModelElements[[#This Row],[Package]])="","",TRIM(LOWER(meta_TypedModelElements[[#This Row],[Package]]))&amp;"::")&amp;meta_TypedModelElements[[#This Row],[Display]])</f>
        <v>util::camelCaseUpper</v>
      </c>
      <c r="L59" s="5" t="str">
        <f>IF(meta_TypedModelElements[[#This Row],[Kind:src]]="_Function",meta_TypedModelElements[[#This Row],[Display Qualified]],"")</f>
        <v/>
      </c>
      <c r="M59" s="5" t="str">
        <f>IF(meta_TypedModelElements[[#This Row],[Kind:src]]="_Attribute",meta_TypedModelElements[[#This Row],[Display Qualified]],"")</f>
        <v>util::camelCaseUpper</v>
      </c>
      <c r="N59" s="5" t="str">
        <f>IF(meta_TypedModelElements[[#This Row],[Kind:src]]="_Reference",meta_TypedModelElements[[#This Row],[Display Qualified]],"")</f>
        <v/>
      </c>
      <c r="O59" s="5" t="str">
        <f>IF(OR(meta_TypedModelElements[[#This Row],[Kind:src]]="_Attribute",meta_TypedModelElements[[#This Row],[Kind:src]]="_Reference"),meta_TypedModelElements[[#This Row],[Display Qualified]],"")</f>
        <v>util::camelCaseUpper</v>
      </c>
      <c r="P59" s="22"/>
      <c r="Q59" s="22"/>
      <c r="R59" s="5" t="str">
        <f>IF(meta_TypedModelElements[[#This Row],[Containing Class:display]]="","",meta_TypedModelElements[[#This Row],[Containing Class:display]]&amp;".")&amp;meta_TypedModelElements[[#This Row],[Display without Class]]</f>
        <v>camelCaseUpper</v>
      </c>
      <c r="S59" s="5" t="str" cm="1">
        <f t="array" ref="S59">_xlfn.IFNA(INDEX(meta_Names[Camel Lower], MATCH(meta_TypedModelElements[[#This Row],[Name or Type]],meta_Names[String],0)),camelCaseLower(meta_TypedModelElements[[#This Row],[Name or Type]]))</f>
        <v>camelCaseUpper</v>
      </c>
      <c r="T59" s="5" t="str">
        <f>IF(meta_TypedModelElements[[#This Row],[Name or Type]]="","",meta_TypedModelElements[[#This Row],[Name or Type Camel Case Lower]])&amp;IF(meta_TypedModelElements[[#This Row],[Kind:src]]="_Function","("&amp;meta_TypedModelElements[[#This Row],[Function - Parameters Display]]&amp;")","")</f>
        <v>camelCaseUpper</v>
      </c>
      <c r="U5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59" s="22" t="s">
        <v>387</v>
      </c>
      <c r="W59" s="5" t="e">
        <f>INDEX(meta_Classifiers[Class - Generalization:src],MATCH(meta_TypedModelElements[[#This Row],[Type Super Type 6]],meta_Classifiers[ID],0))</f>
        <v>#N/A</v>
      </c>
      <c r="X59" s="5" t="e">
        <f>INDEX(meta_Classifiers[Class - Generalization:src],MATCH(meta_TypedModelElements[[#This Row],[Type Super Type 5]],meta_Classifiers[ID],0))</f>
        <v>#N/A</v>
      </c>
      <c r="Y59" s="5" t="e">
        <f>INDEX(meta_Classifiers[Class - Generalization:src],MATCH(meta_TypedModelElements[[#This Row],[Type Super Type 4]],meta_Classifiers[ID],0))</f>
        <v>#N/A</v>
      </c>
      <c r="Z59" s="5" t="e">
        <f>INDEX(meta_Classifiers[Class - Generalization:src],MATCH(meta_TypedModelElements[[#This Row],[Type Super Type 3]],meta_Classifiers[ID],0))</f>
        <v>#N/A</v>
      </c>
      <c r="AA59" s="5" t="e">
        <f>INDEX(meta_Classifiers[Class - Generalization:src],MATCH(meta_TypedModelElements[[#This Row],[Type Super Type 2]],meta_Classifiers[ID],0))</f>
        <v>#N/A</v>
      </c>
      <c r="AB59" s="5" t="e">
        <f>INDEX(meta_Classifiers[Class - Generalization:src],MATCH(meta_TypedModelElements[[#This Row],[Type Super Type 1]],meta_Classifiers[ID],0))</f>
        <v>#N/A</v>
      </c>
      <c r="AC59" s="5" t="str">
        <f>INDEX(meta_Classifiers[Class - Generalization:src],MATCH(meta_TypedModelElements[[#This Row],[Type:src]],meta_Classifiers[ID],0))</f>
        <v/>
      </c>
      <c r="AD59" s="5" t="str">
        <f>IF(meta_TypedModelElements[[#This Row],[Kind:src]]&lt;&gt;"_Function",meta_TypedModelElements[[#This Row],[Type]],INDEX(meta_TypedModelElements[Type],MATCH(meta_TypedModelElements[[#This Row],[Function - Owning Property:src]],meta_TypedModelElements[ID],0)))</f>
        <v>String</v>
      </c>
      <c r="AE59" s="5" t="str">
        <f>IF(meta_TypedModelElements[[#This Row],[Kind:src]]&lt;&gt;"_Function",meta_TypedModelElements[[#This Row],[Type:src]],INDEX(meta_TypedModelElements[Type:src],MATCH(meta_TypedModelElements[[#This Row],[Function - Owning Property:src]],meta_TypedModelElements[ID],0)))</f>
        <v>_String</v>
      </c>
      <c r="AF59" s="5" t="str">
        <f>IF(meta_TypedModelElements[[#This Row],[Type:src]]="","",INDEX(meta_Classifiers[Name],MATCH(meta_TypedModelElements[[#This Row],[Type:src]],meta_Classifiers[ID],0)))</f>
        <v>String</v>
      </c>
      <c r="AG59" s="5" t="s">
        <v>180</v>
      </c>
      <c r="AH59" s="22" t="str">
        <f xml:space="preserve"> IF( TRIM( meta_TypedModelElements[[#This Row],[Type:src]] ) = "", "",
        INDEX( meta_Classifiers[Display Qualified], MATCH( meta_TypedModelElements[[#This Row],[Type:src]], meta_Classifiers[ID], 0 ) ) )</f>
        <v>String</v>
      </c>
      <c r="AI59" s="22"/>
      <c r="AJ59" s="22"/>
      <c r="AK59" s="8"/>
      <c r="AL59" s="22" t="str">
        <f xml:space="preserve"> IF( TRIM( meta_TypedModelElements[[#This Row],[Reference - Opposite:src]] ) = "", "",
        INDEX( meta_TypedModelElements[Display Qualified], MATCH( meta_TypedModelElements[[#This Row],[Reference - Opposite:src]], meta_TypedModelElements[ID], 0 ) ) )</f>
        <v/>
      </c>
      <c r="AM59" s="8"/>
      <c r="AN5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9" s="22"/>
      <c r="AP59"/>
      <c r="AQ59" s="22" t="str">
        <f xml:space="preserve"> IF( TRIM( meta_TypedModelElements[[#This Row],[Function - Owning Property:src]] ) = "", "",
        INDEX( meta_TypedModelElements[Display Qualified], MATCH( meta_TypedModelElements[[#This Row],[Function - Owning Property:src]], meta_TypedModelElements[ID], 0 ) ) )</f>
        <v/>
      </c>
      <c r="AT59" s="22" t="str">
        <f>IF(meta_TypedModelElements[[#This Row],[Parameter - Owning Function:src]]="","",INDEX(meta_TypedModelElements[Display Qualified],MATCH(meta_TypedModelElements[[#This Row],[Parameter - Owning Function:src]],meta_TypedModelElements[ID],0)))</f>
        <v/>
      </c>
      <c r="AV59" s="89"/>
      <c r="AW5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9" s="5" t="str">
        <f>"[@["&amp;meta_TypedModelElements[[#This Row],[Name or Type]]&amp;":src]]"</f>
        <v>[@[Camel Case Upper:src]]</v>
      </c>
      <c r="AY5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9" s="40"/>
      <c r="BC59" s="40" t="str">
        <f>IF(meta_TypedModelElements[[#This Row],[Kind:src]]="_Parameter","",IF(AND(meta_TypedModelElements[[#This Row],[Package]]="util",meta_TypedModelElements[[#This Row],[Containing Class]]=0), "public", "method"))</f>
        <v>method</v>
      </c>
      <c r="BD59" s="40"/>
      <c r="BE5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9" s="40"/>
      <c r="BK59" s="5"/>
    </row>
    <row r="60" spans="1:63">
      <c r="A60" s="5" t="s">
        <v>399</v>
      </c>
      <c r="B60" s="5" t="s">
        <v>165</v>
      </c>
      <c r="C60" s="22" t="str">
        <f xml:space="preserve"> IF( TRIM( meta_TypedModelElements[[#This Row],[Kind:src]] ) = "", "",
        INDEX( meta_Classifiers[Display Qualified], MATCH( meta_TypedModelElements[[#This Row],[Kind:src]], meta_Classifiers[ID], 0 ) ) )</f>
        <v>Function</v>
      </c>
      <c r="D60" s="22">
        <v>59</v>
      </c>
      <c r="E60" s="22" t="s">
        <v>586</v>
      </c>
      <c r="F60" s="22"/>
      <c r="G6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0" s="8"/>
      <c r="J60" s="22" t="str">
        <f xml:space="preserve"> IF( TRIM( meta_TypedModelElements[[#This Row],[Property - Owning Class:src]] ) = "", "",
        INDEX( meta_Classifiers[Display Qualified], MATCH( meta_TypedModelElements[[#This Row],[Property - Owning Class:src]], meta_Classifiers[ID], 0 ) ) )</f>
        <v/>
      </c>
      <c r="K60" s="5" t="e">
        <f xml:space="preserve"> IF(meta_TypedModelElements[[#This Row],[Kind:src]]="_Parameter",
  INDEX(meta_TypedModelElements[Display Qualified],MATCH(meta_TypedModelElements[[#This Row],[Containing Class]],meta_TypedModelElements[ID],0))&amp;"."&amp;meta_TypedModelElements[[#This Row],[Display without Class]],
IF(TRIM(meta_TypedModelElements[[#This Row],[Package]])="","",TRIM(LOWER(meta_TypedModelElements[[#This Row],[Package]]))&amp;"::")&amp;meta_TypedModelElements[[#This Row],[Display]])</f>
        <v>#N/A</v>
      </c>
      <c r="L60" s="5" t="e">
        <f>IF(meta_TypedModelElements[[#This Row],[Kind:src]]="_Function",meta_TypedModelElements[[#This Row],[Display Qualified]],"")</f>
        <v>#N/A</v>
      </c>
      <c r="M60" s="5" t="str">
        <f>IF(meta_TypedModelElements[[#This Row],[Kind:src]]="_Attribute",meta_TypedModelElements[[#This Row],[Display Qualified]],"")</f>
        <v/>
      </c>
      <c r="N60" s="5" t="str">
        <f>IF(meta_TypedModelElements[[#This Row],[Kind:src]]="_Reference",meta_TypedModelElements[[#This Row],[Display Qualified]],"")</f>
        <v/>
      </c>
      <c r="O60" s="5" t="str">
        <f>IF(OR(meta_TypedModelElements[[#This Row],[Kind:src]]="_Attribute",meta_TypedModelElements[[#This Row],[Kind:src]]="_Reference"),meta_TypedModelElements[[#This Row],[Display Qualified]],"")</f>
        <v/>
      </c>
      <c r="P60" s="22" t="s">
        <v>18</v>
      </c>
      <c r="Q60" s="22" t="s">
        <v>445</v>
      </c>
      <c r="R60" s="5" t="e">
        <f>IF(meta_TypedModelElements[[#This Row],[Containing Class:display]]="","",meta_TypedModelElements[[#This Row],[Containing Class:display]]&amp;".")&amp;meta_TypedModelElements[[#This Row],[Display without Class]]</f>
        <v>#N/A</v>
      </c>
      <c r="S60" s="5" t="e" cm="1">
        <f t="array" ref="S60">_xlfn.IFNA(INDEX(meta_Names[Camel Lower], MATCH(meta_TypedModelElements[[#This Row],[Name or Type]],meta_Names[String],0)),camelCaseLower(meta_TypedModelElements[[#This Row],[Name or Type]]))</f>
        <v>#VALUE!</v>
      </c>
      <c r="T60" s="5" t="e">
        <f>IF(meta_TypedModelElements[[#This Row],[Name or Type]]="","",meta_TypedModelElements[[#This Row],[Name or Type Camel Case Lower]])&amp;IF(meta_TypedModelElements[[#This Row],[Kind:src]]="_Function","("&amp;meta_TypedModelElements[[#This Row],[Function - Parameters Display]]&amp;")","")</f>
        <v>#N/A</v>
      </c>
      <c r="U60"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60" s="22"/>
      <c r="W60" s="5" t="e">
        <f>INDEX(meta_Classifiers[Class - Generalization:src],MATCH(meta_TypedModelElements[[#This Row],[Type Super Type 6]],meta_Classifiers[ID],0))</f>
        <v>#N/A</v>
      </c>
      <c r="X60" s="5" t="e">
        <f>INDEX(meta_Classifiers[Class - Generalization:src],MATCH(meta_TypedModelElements[[#This Row],[Type Super Type 5]],meta_Classifiers[ID],0))</f>
        <v>#N/A</v>
      </c>
      <c r="Y60" s="5" t="e">
        <f>INDEX(meta_Classifiers[Class - Generalization:src],MATCH(meta_TypedModelElements[[#This Row],[Type Super Type 4]],meta_Classifiers[ID],0))</f>
        <v>#N/A</v>
      </c>
      <c r="Z60" s="5" t="e">
        <f>INDEX(meta_Classifiers[Class - Generalization:src],MATCH(meta_TypedModelElements[[#This Row],[Type Super Type 3]],meta_Classifiers[ID],0))</f>
        <v>#N/A</v>
      </c>
      <c r="AA60" s="5" t="e">
        <f>INDEX(meta_Classifiers[Class - Generalization:src],MATCH(meta_TypedModelElements[[#This Row],[Type Super Type 2]],meta_Classifiers[ID],0))</f>
        <v>#N/A</v>
      </c>
      <c r="AB60" s="5" t="e">
        <f>INDEX(meta_Classifiers[Class - Generalization:src],MATCH(meta_TypedModelElements[[#This Row],[Type Super Type 1]],meta_Classifiers[ID],0))</f>
        <v>#N/A</v>
      </c>
      <c r="AC60" s="5" t="e">
        <f>INDEX(meta_Classifiers[Class - Generalization:src],MATCH(meta_TypedModelElements[[#This Row],[Type:src]],meta_Classifiers[ID],0))</f>
        <v>#N/A</v>
      </c>
      <c r="AD60" s="5" t="e">
        <f>IF(meta_TypedModelElements[[#This Row],[Kind:src]]&lt;&gt;"_Function",meta_TypedModelElements[[#This Row],[Type]],INDEX(meta_TypedModelElements[Type],MATCH(meta_TypedModelElements[[#This Row],[Function - Owning Property:src]],meta_TypedModelElements[ID],0)))</f>
        <v>#N/A</v>
      </c>
      <c r="AE60" s="5" t="e">
        <f>IF(meta_TypedModelElements[[#This Row],[Kind:src]]&lt;&gt;"_Function",meta_TypedModelElements[[#This Row],[Type:src]],INDEX(meta_TypedModelElements[Type:src],MATCH(meta_TypedModelElements[[#This Row],[Function - Owning Property:src]],meta_TypedModelElements[ID],0)))</f>
        <v>#N/A</v>
      </c>
      <c r="AF60" s="5" t="str">
        <f>IF(meta_TypedModelElements[[#This Row],[Type:src]]="","",INDEX(meta_Classifiers[Name],MATCH(meta_TypedModelElements[[#This Row],[Type:src]],meta_Classifiers[ID],0)))</f>
        <v/>
      </c>
      <c r="AH60" s="22" t="str">
        <f xml:space="preserve"> IF( TRIM( meta_TypedModelElements[[#This Row],[Type:src]] ) = "", "",
        INDEX( meta_Classifiers[Display Qualified], MATCH( meta_TypedModelElements[[#This Row],[Type:src]], meta_Classifiers[ID], 0 ) ) )</f>
        <v/>
      </c>
      <c r="AI60" s="22"/>
      <c r="AJ60" s="22"/>
      <c r="AK60" s="8"/>
      <c r="AL60" s="22" t="str">
        <f xml:space="preserve"> IF( TRIM( meta_TypedModelElements[[#This Row],[Reference - Opposite:src]] ) = "", "",
        INDEX( meta_TypedModelElements[Display Qualified], MATCH( meta_TypedModelElements[[#This Row],[Reference - Opposite:src]], meta_TypedModelElements[ID], 0 ) ) )</f>
        <v/>
      </c>
      <c r="AM60" s="8"/>
      <c r="AN6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0" s="22"/>
      <c r="AP60"/>
      <c r="AQ60" s="22" t="str">
        <f xml:space="preserve"> IF( TRIM( meta_TypedModelElements[[#This Row],[Function - Owning Property:src]] ) = "", "",
        INDEX( meta_TypedModelElements[Display Qualified], MATCH( meta_TypedModelElements[[#This Row],[Function - Owning Property:src]], meta_TypedModelElements[ID], 0 ) ) )</f>
        <v/>
      </c>
      <c r="AT60" s="22" t="str">
        <f>IF(meta_TypedModelElements[[#This Row],[Parameter - Owning Function:src]]="","",INDEX(meta_TypedModelElements[Display Qualified],MATCH(meta_TypedModelElements[[#This Row],[Parameter - Owning Function:src]],meta_TypedModelElements[ID],0)))</f>
        <v/>
      </c>
      <c r="AV60" s="89"/>
      <c r="AW6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0" s="5" t="e">
        <f>"[@["&amp;meta_TypedModelElements[[#This Row],[Name or Type]]&amp;":src]]"</f>
        <v>#N/A</v>
      </c>
      <c r="AY6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0" s="40"/>
      <c r="BC60" s="40" t="str">
        <f>IF(meta_TypedModelElements[[#This Row],[Kind:src]]="_Parameter","",IF(AND(meta_TypedModelElements[[#This Row],[Package]]="util",meta_TypedModelElements[[#This Row],[Containing Class]]=0), "public", "method"))</f>
        <v>method</v>
      </c>
      <c r="BD60" s="40"/>
      <c r="BE6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0" s="40"/>
      <c r="BK60" s="5"/>
    </row>
    <row r="61" spans="1:63">
      <c r="A61" s="5" t="s">
        <v>405</v>
      </c>
      <c r="B61" s="5" t="s">
        <v>166</v>
      </c>
      <c r="C61" s="22" t="str">
        <f xml:space="preserve"> IF( TRIM( meta_TypedModelElements[[#This Row],[Kind:src]] ) = "", "",
        INDEX( meta_Classifiers[Display Qualified], MATCH( meta_TypedModelElements[[#This Row],[Kind:src]], meta_Classifiers[ID], 0 ) ) )</f>
        <v>Parameter</v>
      </c>
      <c r="D61" s="22">
        <v>60</v>
      </c>
      <c r="E61" s="22" t="s">
        <v>586</v>
      </c>
      <c r="F61" s="22"/>
      <c r="G6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1" s="8"/>
      <c r="J61" s="22" t="str">
        <f xml:space="preserve"> IF( TRIM( meta_TypedModelElements[[#This Row],[Property - Owning Class:src]] ) = "", "",
        INDEX( meta_Classifiers[Display Qualified], MATCH( meta_TypedModelElements[[#This Row],[Property - Owning Class:src]], meta_Classifiers[ID], 0 ) ) )</f>
        <v/>
      </c>
      <c r="K61" s="5" t="e">
        <f xml:space="preserve"> IF(meta_TypedModelElements[[#This Row],[Kind:src]]="_Parameter",
  INDEX(meta_TypedModelElements[Display Qualified],MATCH(meta_TypedModelElements[[#This Row],[Containing Class]],meta_TypedModelElements[ID],0))&amp;"."&amp;meta_TypedModelElements[[#This Row],[Display without Class]],
IF(TRIM(meta_TypedModelElements[[#This Row],[Package]])="","",TRIM(LOWER(meta_TypedModelElements[[#This Row],[Package]]))&amp;"::")&amp;meta_TypedModelElements[[#This Row],[Display]])</f>
        <v>#N/A</v>
      </c>
      <c r="L61" s="5" t="str">
        <f>IF(meta_TypedModelElements[[#This Row],[Kind:src]]="_Function",meta_TypedModelElements[[#This Row],[Display Qualified]],"")</f>
        <v/>
      </c>
      <c r="M61" s="5" t="str">
        <f>IF(meta_TypedModelElements[[#This Row],[Kind:src]]="_Attribute",meta_TypedModelElements[[#This Row],[Display Qualified]],"")</f>
        <v/>
      </c>
      <c r="N61" s="5" t="str">
        <f>IF(meta_TypedModelElements[[#This Row],[Kind:src]]="_Reference",meta_TypedModelElements[[#This Row],[Display Qualified]],"")</f>
        <v/>
      </c>
      <c r="O61" s="5" t="str">
        <f>IF(OR(meta_TypedModelElements[[#This Row],[Kind:src]]="_Attribute",meta_TypedModelElements[[#This Row],[Kind:src]]="_Reference"),meta_TypedModelElements[[#This Row],[Display Qualified]],"")</f>
        <v/>
      </c>
      <c r="P61" s="22"/>
      <c r="Q61" s="22"/>
      <c r="R61" s="5" t="str">
        <f>IF(meta_TypedModelElements[[#This Row],[Containing Class:display]]="","",meta_TypedModelElements[[#This Row],[Containing Class:display]]&amp;".")&amp;meta_TypedModelElements[[#This Row],[Display without Class]]</f>
        <v>inputString</v>
      </c>
      <c r="S61" s="5" t="str" cm="1">
        <f t="array" ref="S61">_xlfn.IFNA(INDEX(meta_Names[Camel Lower], MATCH(meta_TypedModelElements[[#This Row],[Name or Type]],meta_Names[String],0)),camelCaseLower(meta_TypedModelElements[[#This Row],[Name or Type]]))</f>
        <v>inputString</v>
      </c>
      <c r="T61" s="5" t="str">
        <f>IF(meta_TypedModelElements[[#This Row],[Name or Type]]="","",meta_TypedModelElements[[#This Row],[Name or Type Camel Case Lower]])&amp;IF(meta_TypedModelElements[[#This Row],[Kind:src]]="_Function","("&amp;meta_TypedModelElements[[#This Row],[Function - Parameters Display]]&amp;")","")</f>
        <v>inputString</v>
      </c>
      <c r="U6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1" s="22" t="s">
        <v>313</v>
      </c>
      <c r="W61" s="5" t="e">
        <f>INDEX(meta_Classifiers[Class - Generalization:src],MATCH(meta_TypedModelElements[[#This Row],[Type Super Type 6]],meta_Classifiers[ID],0))</f>
        <v>#N/A</v>
      </c>
      <c r="X61" s="5" t="e">
        <f>INDEX(meta_Classifiers[Class - Generalization:src],MATCH(meta_TypedModelElements[[#This Row],[Type Super Type 5]],meta_Classifiers[ID],0))</f>
        <v>#N/A</v>
      </c>
      <c r="Y61" s="5" t="e">
        <f>INDEX(meta_Classifiers[Class - Generalization:src],MATCH(meta_TypedModelElements[[#This Row],[Type Super Type 4]],meta_Classifiers[ID],0))</f>
        <v>#N/A</v>
      </c>
      <c r="Z61" s="5" t="e">
        <f>INDEX(meta_Classifiers[Class - Generalization:src],MATCH(meta_TypedModelElements[[#This Row],[Type Super Type 3]],meta_Classifiers[ID],0))</f>
        <v>#N/A</v>
      </c>
      <c r="AA61" s="5" t="e">
        <f>INDEX(meta_Classifiers[Class - Generalization:src],MATCH(meta_TypedModelElements[[#This Row],[Type Super Type 2]],meta_Classifiers[ID],0))</f>
        <v>#N/A</v>
      </c>
      <c r="AB61" s="5" t="e">
        <f>INDEX(meta_Classifiers[Class - Generalization:src],MATCH(meta_TypedModelElements[[#This Row],[Type Super Type 1]],meta_Classifiers[ID],0))</f>
        <v>#N/A</v>
      </c>
      <c r="AC61" s="5" t="str">
        <f>INDEX(meta_Classifiers[Class - Generalization:src],MATCH(meta_TypedModelElements[[#This Row],[Type:src]],meta_Classifiers[ID],0))</f>
        <v/>
      </c>
      <c r="AD61" s="5" t="str">
        <f>IF(meta_TypedModelElements[[#This Row],[Kind:src]]&lt;&gt;"_Function",meta_TypedModelElements[[#This Row],[Type]],INDEX(meta_TypedModelElements[Type],MATCH(meta_TypedModelElements[[#This Row],[Function - Owning Property:src]],meta_TypedModelElements[ID],0)))</f>
        <v>String</v>
      </c>
      <c r="AE61" s="5" t="str">
        <f>IF(meta_TypedModelElements[[#This Row],[Kind:src]]&lt;&gt;"_Function",meta_TypedModelElements[[#This Row],[Type:src]],INDEX(meta_TypedModelElements[Type:src],MATCH(meta_TypedModelElements[[#This Row],[Function - Owning Property:src]],meta_TypedModelElements[ID],0)))</f>
        <v>_String</v>
      </c>
      <c r="AF61" s="5" t="str">
        <f>IF(meta_TypedModelElements[[#This Row],[Type:src]]="","",INDEX(meta_Classifiers[Name],MATCH(meta_TypedModelElements[[#This Row],[Type:src]],meta_Classifiers[ID],0)))</f>
        <v>String</v>
      </c>
      <c r="AG61" s="5" t="s">
        <v>180</v>
      </c>
      <c r="AH61" s="22" t="str">
        <f xml:space="preserve"> IF( TRIM( meta_TypedModelElements[[#This Row],[Type:src]] ) = "", "",
        INDEX( meta_Classifiers[Display Qualified], MATCH( meta_TypedModelElements[[#This Row],[Type:src]], meta_Classifiers[ID], 0 ) ) )</f>
        <v>String</v>
      </c>
      <c r="AI61" s="22" t="s">
        <v>19</v>
      </c>
      <c r="AJ61" s="22"/>
      <c r="AK61" s="8"/>
      <c r="AL61" s="22" t="str">
        <f xml:space="preserve"> IF( TRIM( meta_TypedModelElements[[#This Row],[Reference - Opposite:src]] ) = "", "",
        INDEX( meta_TypedModelElements[Display Qualified], MATCH( meta_TypedModelElements[[#This Row],[Reference - Opposite:src]], meta_TypedModelElements[ID], 0 ) ) )</f>
        <v/>
      </c>
      <c r="AM61" s="8"/>
      <c r="AN6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1" s="22">
        <v>1</v>
      </c>
      <c r="AP61"/>
      <c r="AQ61" s="22" t="str">
        <f xml:space="preserve"> IF( TRIM( meta_TypedModelElements[[#This Row],[Function - Owning Property:src]] ) = "", "",
        INDEX( meta_TypedModelElements[Display Qualified], MATCH( meta_TypedModelElements[[#This Row],[Function - Owning Property:src]], meta_TypedModelElements[ID], 0 ) ) )</f>
        <v/>
      </c>
      <c r="AT61" s="22" t="str">
        <f>IF(meta_TypedModelElements[[#This Row],[Parameter - Owning Function:src]]="","",INDEX(meta_TypedModelElements[Display Qualified],MATCH(meta_TypedModelElements[[#This Row],[Parameter - Owning Function:src]],meta_TypedModelElements[ID],0)))</f>
        <v/>
      </c>
      <c r="AV61" s="89"/>
      <c r="AW6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1" s="5" t="str">
        <f>"[@["&amp;meta_TypedModelElements[[#This Row],[Name or Type]]&amp;":src]]"</f>
        <v>[@[Input String:src]]</v>
      </c>
      <c r="AY6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1" s="40"/>
      <c r="BC61" s="40" t="str">
        <f>IF(meta_TypedModelElements[[#This Row],[Kind:src]]="_Parameter","",IF(AND(meta_TypedModelElements[[#This Row],[Package]]="util",meta_TypedModelElements[[#This Row],[Containing Class]]=0), "public", "method"))</f>
        <v/>
      </c>
      <c r="BD61" s="40"/>
      <c r="BE6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1" s="40"/>
      <c r="BK61" s="5"/>
    </row>
    <row r="62" spans="1:63">
      <c r="A62" s="5" t="s">
        <v>394</v>
      </c>
      <c r="B62" s="5" t="s">
        <v>168</v>
      </c>
      <c r="C62" s="22" t="str">
        <f xml:space="preserve"> IF( TRIM( meta_TypedModelElements[[#This Row],[Kind:src]] ) = "", "",
        INDEX( meta_Classifiers[Display Qualified], MATCH( meta_TypedModelElements[[#This Row],[Kind:src]], meta_Classifiers[ID], 0 ) ) )</f>
        <v>Attribute</v>
      </c>
      <c r="D62" s="22">
        <v>61</v>
      </c>
      <c r="E62" s="22" t="s">
        <v>586</v>
      </c>
      <c r="F62" s="22"/>
      <c r="G6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2" s="8"/>
      <c r="J62" s="22" t="str">
        <f xml:space="preserve"> IF( TRIM( meta_TypedModelElements[[#This Row],[Property - Owning Class:src]] ) = "", "",
        INDEX( meta_Classifiers[Display Qualified], MATCH( meta_TypedModelElements[[#This Row],[Property - Owning Class:src]], meta_Classifiers[ID], 0 ) ) )</f>
        <v/>
      </c>
      <c r="K62" s="5" t="str">
        <f xml:space="preserve"> IF(meta_TypedModelElements[[#This Row],[Kind:src]]="_Parameter",
  INDEX(meta_TypedModelElements[Display Qualified],MATCH(meta_TypedModelElements[[#This Row],[Containing Class]],meta_TypedModelElements[ID],0))&amp;"."&amp;meta_TypedModelElements[[#This Row],[Display without Class]],
IF(TRIM(meta_TypedModelElements[[#This Row],[Package]])="","",TRIM(LOWER(meta_TypedModelElements[[#This Row],[Package]]))&amp;"::")&amp;meta_TypedModelElements[[#This Row],[Display]])</f>
        <v>util::camelCaseLower</v>
      </c>
      <c r="L62" s="5" t="str">
        <f>IF(meta_TypedModelElements[[#This Row],[Kind:src]]="_Function",meta_TypedModelElements[[#This Row],[Display Qualified]],"")</f>
        <v/>
      </c>
      <c r="M62" s="5" t="str">
        <f>IF(meta_TypedModelElements[[#This Row],[Kind:src]]="_Attribute",meta_TypedModelElements[[#This Row],[Display Qualified]],"")</f>
        <v>util::camelCaseLower</v>
      </c>
      <c r="N62" s="5" t="str">
        <f>IF(meta_TypedModelElements[[#This Row],[Kind:src]]="_Reference",meta_TypedModelElements[[#This Row],[Display Qualified]],"")</f>
        <v/>
      </c>
      <c r="O62" s="5" t="str">
        <f>IF(OR(meta_TypedModelElements[[#This Row],[Kind:src]]="_Attribute",meta_TypedModelElements[[#This Row],[Kind:src]]="_Reference"),meta_TypedModelElements[[#This Row],[Display Qualified]],"")</f>
        <v>util::camelCaseLower</v>
      </c>
      <c r="P62" s="22"/>
      <c r="Q62" s="22"/>
      <c r="R62" s="5" t="str">
        <f>IF(meta_TypedModelElements[[#This Row],[Containing Class:display]]="","",meta_TypedModelElements[[#This Row],[Containing Class:display]]&amp;".")&amp;meta_TypedModelElements[[#This Row],[Display without Class]]</f>
        <v>camelCaseLower</v>
      </c>
      <c r="S62" s="5" t="str" cm="1">
        <f t="array" ref="S62">_xlfn.IFNA(INDEX(meta_Names[Camel Lower], MATCH(meta_TypedModelElements[[#This Row],[Name or Type]],meta_Names[String],0)),camelCaseLower(meta_TypedModelElements[[#This Row],[Name or Type]]))</f>
        <v>camelCaseLower</v>
      </c>
      <c r="T62" s="5" t="str">
        <f>IF(meta_TypedModelElements[[#This Row],[Name or Type]]="","",meta_TypedModelElements[[#This Row],[Name or Type Camel Case Lower]])&amp;IF(meta_TypedModelElements[[#This Row],[Kind:src]]="_Function","("&amp;meta_TypedModelElements[[#This Row],[Function - Parameters Display]]&amp;")","")</f>
        <v>camelCaseLower</v>
      </c>
      <c r="U6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2" s="22" t="s">
        <v>388</v>
      </c>
      <c r="W62" s="5" t="e">
        <f>INDEX(meta_Classifiers[Class - Generalization:src],MATCH(meta_TypedModelElements[[#This Row],[Type Super Type 6]],meta_Classifiers[ID],0))</f>
        <v>#N/A</v>
      </c>
      <c r="X62" s="5" t="e">
        <f>INDEX(meta_Classifiers[Class - Generalization:src],MATCH(meta_TypedModelElements[[#This Row],[Type Super Type 5]],meta_Classifiers[ID],0))</f>
        <v>#N/A</v>
      </c>
      <c r="Y62" s="5" t="e">
        <f>INDEX(meta_Classifiers[Class - Generalization:src],MATCH(meta_TypedModelElements[[#This Row],[Type Super Type 4]],meta_Classifiers[ID],0))</f>
        <v>#N/A</v>
      </c>
      <c r="Z62" s="5" t="e">
        <f>INDEX(meta_Classifiers[Class - Generalization:src],MATCH(meta_TypedModelElements[[#This Row],[Type Super Type 3]],meta_Classifiers[ID],0))</f>
        <v>#N/A</v>
      </c>
      <c r="AA62" s="5" t="e">
        <f>INDEX(meta_Classifiers[Class - Generalization:src],MATCH(meta_TypedModelElements[[#This Row],[Type Super Type 2]],meta_Classifiers[ID],0))</f>
        <v>#N/A</v>
      </c>
      <c r="AB62" s="5" t="e">
        <f>INDEX(meta_Classifiers[Class - Generalization:src],MATCH(meta_TypedModelElements[[#This Row],[Type Super Type 1]],meta_Classifiers[ID],0))</f>
        <v>#N/A</v>
      </c>
      <c r="AC62" s="5" t="str">
        <f>INDEX(meta_Classifiers[Class - Generalization:src],MATCH(meta_TypedModelElements[[#This Row],[Type:src]],meta_Classifiers[ID],0))</f>
        <v/>
      </c>
      <c r="AD62" s="5" t="str">
        <f>IF(meta_TypedModelElements[[#This Row],[Kind:src]]&lt;&gt;"_Function",meta_TypedModelElements[[#This Row],[Type]],INDEX(meta_TypedModelElements[Type],MATCH(meta_TypedModelElements[[#This Row],[Function - Owning Property:src]],meta_TypedModelElements[ID],0)))</f>
        <v>String</v>
      </c>
      <c r="AE62" s="5" t="str">
        <f>IF(meta_TypedModelElements[[#This Row],[Kind:src]]&lt;&gt;"_Function",meta_TypedModelElements[[#This Row],[Type:src]],INDEX(meta_TypedModelElements[Type:src],MATCH(meta_TypedModelElements[[#This Row],[Function - Owning Property:src]],meta_TypedModelElements[ID],0)))</f>
        <v>_String</v>
      </c>
      <c r="AF62" s="5" t="str">
        <f>IF(meta_TypedModelElements[[#This Row],[Type:src]]="","",INDEX(meta_Classifiers[Name],MATCH(meta_TypedModelElements[[#This Row],[Type:src]],meta_Classifiers[ID],0)))</f>
        <v>String</v>
      </c>
      <c r="AG62" s="5" t="s">
        <v>180</v>
      </c>
      <c r="AH62" s="22" t="str">
        <f xml:space="preserve"> IF( TRIM( meta_TypedModelElements[[#This Row],[Type:src]] ) = "", "",
        INDEX( meta_Classifiers[Display Qualified], MATCH( meta_TypedModelElements[[#This Row],[Type:src]], meta_Classifiers[ID], 0 ) ) )</f>
        <v>String</v>
      </c>
      <c r="AI62" s="22"/>
      <c r="AJ62" s="22"/>
      <c r="AK62" s="8"/>
      <c r="AL62" s="22" t="str">
        <f xml:space="preserve"> IF( TRIM( meta_TypedModelElements[[#This Row],[Reference - Opposite:src]] ) = "", "",
        INDEX( meta_TypedModelElements[Display Qualified], MATCH( meta_TypedModelElements[[#This Row],[Reference - Opposite:src]], meta_TypedModelElements[ID], 0 ) ) )</f>
        <v/>
      </c>
      <c r="AM62" s="8"/>
      <c r="AN6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2" s="22"/>
      <c r="AP62"/>
      <c r="AQ62" s="22" t="str">
        <f xml:space="preserve"> IF( TRIM( meta_TypedModelElements[[#This Row],[Function - Owning Property:src]] ) = "", "",
        INDEX( meta_TypedModelElements[Display Qualified], MATCH( meta_TypedModelElements[[#This Row],[Function - Owning Property:src]], meta_TypedModelElements[ID], 0 ) ) )</f>
        <v/>
      </c>
      <c r="AT62" s="22" t="str">
        <f>IF(meta_TypedModelElements[[#This Row],[Parameter - Owning Function:src]]="","",INDEX(meta_TypedModelElements[Display Qualified],MATCH(meta_TypedModelElements[[#This Row],[Parameter - Owning Function:src]],meta_TypedModelElements[ID],0)))</f>
        <v/>
      </c>
      <c r="AV62" s="89"/>
      <c r="AW6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2" s="5" t="str">
        <f>"[@["&amp;meta_TypedModelElements[[#This Row],[Name or Type]]&amp;":src]]"</f>
        <v>[@[Camel Case Lower:src]]</v>
      </c>
      <c r="AY6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2" s="40"/>
      <c r="BC62" s="40" t="str">
        <f>IF(meta_TypedModelElements[[#This Row],[Kind:src]]="_Parameter","",IF(AND(meta_TypedModelElements[[#This Row],[Package]]="util",meta_TypedModelElements[[#This Row],[Containing Class]]=0), "public", "method"))</f>
        <v>method</v>
      </c>
      <c r="BD62" s="40"/>
      <c r="BE6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2" s="40"/>
      <c r="BK62" s="5"/>
    </row>
    <row r="63" spans="1:63">
      <c r="A63" s="5" t="s">
        <v>400</v>
      </c>
      <c r="B63" s="5" t="s">
        <v>165</v>
      </c>
      <c r="C63" s="22" t="str">
        <f xml:space="preserve"> IF( TRIM( meta_TypedModelElements[[#This Row],[Kind:src]] ) = "", "",
        INDEX( meta_Classifiers[Display Qualified], MATCH( meta_TypedModelElements[[#This Row],[Kind:src]], meta_Classifiers[ID], 0 ) ) )</f>
        <v>Function</v>
      </c>
      <c r="D63" s="22">
        <v>62</v>
      </c>
      <c r="E63" s="22" t="s">
        <v>586</v>
      </c>
      <c r="F63" s="22"/>
      <c r="G6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3" s="8"/>
      <c r="J63" s="22" t="str">
        <f xml:space="preserve"> IF( TRIM( meta_TypedModelElements[[#This Row],[Property - Owning Class:src]] ) = "", "",
        INDEX( meta_Classifiers[Display Qualified], MATCH( meta_TypedModelElements[[#This Row],[Property - Owning Class:src]], meta_Classifiers[ID], 0 ) ) )</f>
        <v/>
      </c>
      <c r="K63" s="5" t="str">
        <f xml:space="preserve"> IF(meta_TypedModelElements[[#This Row],[Kind:src]]="_Parameter",
  INDEX(meta_TypedModelElements[Display Qualified],MATCH(meta_TypedModelElements[[#This Row],[Containing Class]],meta_TypedModelElements[ID],0))&amp;"."&amp;meta_TypedModelElements[[#This Row],[Display without Class]],
IF(TRIM(meta_TypedModelElements[[#This Row],[Package]])="","",TRIM(LOWER(meta_TypedModelElements[[#This Row],[Package]]))&amp;"::")&amp;meta_TypedModelElements[[#This Row],[Display]])</f>
        <v>util::camelCaseLower(String)</v>
      </c>
      <c r="L63" s="5" t="str">
        <f>IF(meta_TypedModelElements[[#This Row],[Kind:src]]="_Function",meta_TypedModelElements[[#This Row],[Display Qualified]],"")</f>
        <v>util::camelCaseLower(String)</v>
      </c>
      <c r="M63" s="5" t="str">
        <f>IF(meta_TypedModelElements[[#This Row],[Kind:src]]="_Attribute",meta_TypedModelElements[[#This Row],[Display Qualified]],"")</f>
        <v/>
      </c>
      <c r="N63" s="5" t="str">
        <f>IF(meta_TypedModelElements[[#This Row],[Kind:src]]="_Reference",meta_TypedModelElements[[#This Row],[Display Qualified]],"")</f>
        <v/>
      </c>
      <c r="O63" s="5" t="str">
        <f>IF(OR(meta_TypedModelElements[[#This Row],[Kind:src]]="_Attribute",meta_TypedModelElements[[#This Row],[Kind:src]]="_Reference"),meta_TypedModelElements[[#This Row],[Display Qualified]],"")</f>
        <v/>
      </c>
      <c r="P63" s="22" t="s">
        <v>18</v>
      </c>
      <c r="Q63" s="22" t="s">
        <v>445</v>
      </c>
      <c r="R63" s="5" t="str">
        <f>IF(meta_TypedModelElements[[#This Row],[Containing Class:display]]="","",meta_TypedModelElements[[#This Row],[Containing Class:display]]&amp;".")&amp;meta_TypedModelElements[[#This Row],[Display without Class]]</f>
        <v>camelCaseLower(String)</v>
      </c>
      <c r="S63" s="5" t="str" cm="1">
        <f t="array" ref="S63">_xlfn.IFNA(INDEX(meta_Names[Camel Lower], MATCH(meta_TypedModelElements[[#This Row],[Name or Type]],meta_Names[String],0)),camelCaseLower(meta_TypedModelElements[[#This Row],[Name or Type]]))</f>
        <v>camelCaseLower</v>
      </c>
      <c r="T63" s="5" t="str">
        <f>IF(meta_TypedModelElements[[#This Row],[Name or Type]]="","",meta_TypedModelElements[[#This Row],[Name or Type Camel Case Lower]])&amp;IF(meta_TypedModelElements[[#This Row],[Kind:src]]="_Function","("&amp;meta_TypedModelElements[[#This Row],[Function - Parameters Display]]&amp;")","")</f>
        <v>camelCaseLower(String)</v>
      </c>
      <c r="U6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3" s="22"/>
      <c r="W63" s="5" t="e">
        <f>INDEX(meta_Classifiers[Class - Generalization:src],MATCH(meta_TypedModelElements[[#This Row],[Type Super Type 6]],meta_Classifiers[ID],0))</f>
        <v>#N/A</v>
      </c>
      <c r="X63" s="5" t="e">
        <f>INDEX(meta_Classifiers[Class - Generalization:src],MATCH(meta_TypedModelElements[[#This Row],[Type Super Type 5]],meta_Classifiers[ID],0))</f>
        <v>#N/A</v>
      </c>
      <c r="Y63" s="5" t="e">
        <f>INDEX(meta_Classifiers[Class - Generalization:src],MATCH(meta_TypedModelElements[[#This Row],[Type Super Type 4]],meta_Classifiers[ID],0))</f>
        <v>#N/A</v>
      </c>
      <c r="Z63" s="5" t="e">
        <f>INDEX(meta_Classifiers[Class - Generalization:src],MATCH(meta_TypedModelElements[[#This Row],[Type Super Type 3]],meta_Classifiers[ID],0))</f>
        <v>#N/A</v>
      </c>
      <c r="AA63" s="5" t="e">
        <f>INDEX(meta_Classifiers[Class - Generalization:src],MATCH(meta_TypedModelElements[[#This Row],[Type Super Type 2]],meta_Classifiers[ID],0))</f>
        <v>#N/A</v>
      </c>
      <c r="AB63" s="5" t="e">
        <f>INDEX(meta_Classifiers[Class - Generalization:src],MATCH(meta_TypedModelElements[[#This Row],[Type Super Type 1]],meta_Classifiers[ID],0))</f>
        <v>#N/A</v>
      </c>
      <c r="AC63" s="5" t="e">
        <f>INDEX(meta_Classifiers[Class - Generalization:src],MATCH(meta_TypedModelElements[[#This Row],[Type:src]],meta_Classifiers[ID],0))</f>
        <v>#N/A</v>
      </c>
      <c r="AD63" s="5" t="str">
        <f>IF(meta_TypedModelElements[[#This Row],[Kind:src]]&lt;&gt;"_Function",meta_TypedModelElements[[#This Row],[Type]],INDEX(meta_TypedModelElements[Type],MATCH(meta_TypedModelElements[[#This Row],[Function - Owning Property:src]],meta_TypedModelElements[ID],0)))</f>
        <v>String</v>
      </c>
      <c r="AE63" s="5" t="str">
        <f>IF(meta_TypedModelElements[[#This Row],[Kind:src]]&lt;&gt;"_Function",meta_TypedModelElements[[#This Row],[Type:src]],INDEX(meta_TypedModelElements[Type:src],MATCH(meta_TypedModelElements[[#This Row],[Function - Owning Property:src]],meta_TypedModelElements[ID],0)))</f>
        <v>_String</v>
      </c>
      <c r="AF63" s="5" t="str">
        <f>IF(meta_TypedModelElements[[#This Row],[Type:src]]="","",INDEX(meta_Classifiers[Name],MATCH(meta_TypedModelElements[[#This Row],[Type:src]],meta_Classifiers[ID],0)))</f>
        <v/>
      </c>
      <c r="AH63" s="22" t="str">
        <f xml:space="preserve"> IF( TRIM( meta_TypedModelElements[[#This Row],[Type:src]] ) = "", "",
        INDEX( meta_Classifiers[Display Qualified], MATCH( meta_TypedModelElements[[#This Row],[Type:src]], meta_Classifiers[ID], 0 ) ) )</f>
        <v/>
      </c>
      <c r="AI63" s="22"/>
      <c r="AJ63" s="22"/>
      <c r="AK63" s="8"/>
      <c r="AL63" s="22" t="str">
        <f xml:space="preserve"> IF( TRIM( meta_TypedModelElements[[#This Row],[Reference - Opposite:src]] ) = "", "",
        INDEX( meta_TypedModelElements[Display Qualified], MATCH( meta_TypedModelElements[[#This Row],[Reference - Opposite:src]], meta_TypedModelElements[ID], 0 ) ) )</f>
        <v/>
      </c>
      <c r="AM63" s="8"/>
      <c r="AN6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3" s="22"/>
      <c r="AP63" t="s">
        <v>394</v>
      </c>
      <c r="AQ63" s="22" t="str">
        <f xml:space="preserve"> IF( TRIM( meta_TypedModelElements[[#This Row],[Function - Owning Property:src]] ) = "", "",
        INDEX( meta_TypedModelElements[Display Qualified], MATCH( meta_TypedModelElements[[#This Row],[Function - Owning Property:src]], meta_TypedModelElements[ID], 0 ) ) )</f>
        <v>util::camelCaseLower</v>
      </c>
      <c r="AT63" s="22" t="str">
        <f>IF(meta_TypedModelElements[[#This Row],[Parameter - Owning Function:src]]="","",INDEX(meta_TypedModelElements[Display Qualified],MATCH(meta_TypedModelElements[[#This Row],[Parameter - Owning Function:src]],meta_TypedModelElements[ID],0)))</f>
        <v/>
      </c>
      <c r="AV63" s="89"/>
      <c r="AW6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3" s="5" t="str">
        <f>"[@["&amp;meta_TypedModelElements[[#This Row],[Name or Type]]&amp;":src]]"</f>
        <v>[@[Camel Case Lower:src]]</v>
      </c>
      <c r="AY6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3" s="40"/>
      <c r="BC63" s="40" t="str">
        <f>IF(meta_TypedModelElements[[#This Row],[Kind:src]]="_Parameter","",IF(AND(meta_TypedModelElements[[#This Row],[Package]]="util",meta_TypedModelElements[[#This Row],[Containing Class]]=0), "public", "method"))</f>
        <v>method</v>
      </c>
      <c r="BD63" s="40"/>
      <c r="BE6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3" s="40"/>
      <c r="BK63" s="5"/>
    </row>
    <row r="64" spans="1:63">
      <c r="A64" s="5" t="s">
        <v>406</v>
      </c>
      <c r="B64" s="5" t="s">
        <v>166</v>
      </c>
      <c r="C64" s="22" t="str">
        <f xml:space="preserve"> IF( TRIM( meta_TypedModelElements[[#This Row],[Kind:src]] ) = "", "",
        INDEX( meta_Classifiers[Display Qualified], MATCH( meta_TypedModelElements[[#This Row],[Kind:src]], meta_Classifiers[ID], 0 ) ) )</f>
        <v>Parameter</v>
      </c>
      <c r="D64" s="22">
        <v>63</v>
      </c>
      <c r="E64" s="22" t="s">
        <v>586</v>
      </c>
      <c r="F64" s="22"/>
      <c r="G6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4" s="8"/>
      <c r="J64" s="22" t="str">
        <f xml:space="preserve"> IF( TRIM( meta_TypedModelElements[[#This Row],[Property - Owning Class:src]] ) = "", "",
        INDEX( meta_Classifiers[Display Qualified], MATCH( meta_TypedModelElements[[#This Row],[Property - Owning Class:src]], meta_Classifiers[ID], 0 ) ) )</f>
        <v/>
      </c>
      <c r="K64" s="5" t="e">
        <f xml:space="preserve"> IF(meta_TypedModelElements[[#This Row],[Kind:src]]="_Parameter",
  INDEX(meta_TypedModelElements[Display Qualified],MATCH(meta_TypedModelElements[[#This Row],[Containing Class]],meta_TypedModelElements[ID],0))&amp;"."&amp;meta_TypedModelElements[[#This Row],[Display without Class]],
IF(TRIM(meta_TypedModelElements[[#This Row],[Package]])="","",TRIM(LOWER(meta_TypedModelElements[[#This Row],[Package]]))&amp;"::")&amp;meta_TypedModelElements[[#This Row],[Display]])</f>
        <v>#N/A</v>
      </c>
      <c r="L64" s="5" t="str">
        <f>IF(meta_TypedModelElements[[#This Row],[Kind:src]]="_Function",meta_TypedModelElements[[#This Row],[Display Qualified]],"")</f>
        <v/>
      </c>
      <c r="M64" s="5" t="str">
        <f>IF(meta_TypedModelElements[[#This Row],[Kind:src]]="_Attribute",meta_TypedModelElements[[#This Row],[Display Qualified]],"")</f>
        <v/>
      </c>
      <c r="N64" s="5" t="str">
        <f>IF(meta_TypedModelElements[[#This Row],[Kind:src]]="_Reference",meta_TypedModelElements[[#This Row],[Display Qualified]],"")</f>
        <v/>
      </c>
      <c r="O64" s="5" t="str">
        <f>IF(OR(meta_TypedModelElements[[#This Row],[Kind:src]]="_Attribute",meta_TypedModelElements[[#This Row],[Kind:src]]="_Reference"),meta_TypedModelElements[[#This Row],[Display Qualified]],"")</f>
        <v/>
      </c>
      <c r="P64" s="22"/>
      <c r="Q64" s="22"/>
      <c r="R64" s="5" t="str">
        <f>IF(meta_TypedModelElements[[#This Row],[Containing Class:display]]="","",meta_TypedModelElements[[#This Row],[Containing Class:display]]&amp;".")&amp;meta_TypedModelElements[[#This Row],[Display without Class]]</f>
        <v>inputString</v>
      </c>
      <c r="S64" s="5" t="str" cm="1">
        <f t="array" ref="S64">_xlfn.IFNA(INDEX(meta_Names[Camel Lower], MATCH(meta_TypedModelElements[[#This Row],[Name or Type]],meta_Names[String],0)),camelCaseLower(meta_TypedModelElements[[#This Row],[Name or Type]]))</f>
        <v>inputString</v>
      </c>
      <c r="T64" s="5" t="str">
        <f>IF(meta_TypedModelElements[[#This Row],[Name or Type]]="","",meta_TypedModelElements[[#This Row],[Name or Type Camel Case Lower]])&amp;IF(meta_TypedModelElements[[#This Row],[Kind:src]]="_Function","("&amp;meta_TypedModelElements[[#This Row],[Function - Parameters Display]]&amp;")","")</f>
        <v>inputString</v>
      </c>
      <c r="U6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4" s="22" t="s">
        <v>313</v>
      </c>
      <c r="W64" s="5" t="e">
        <f>INDEX(meta_Classifiers[Class - Generalization:src],MATCH(meta_TypedModelElements[[#This Row],[Type Super Type 6]],meta_Classifiers[ID],0))</f>
        <v>#N/A</v>
      </c>
      <c r="X64" s="5" t="e">
        <f>INDEX(meta_Classifiers[Class - Generalization:src],MATCH(meta_TypedModelElements[[#This Row],[Type Super Type 5]],meta_Classifiers[ID],0))</f>
        <v>#N/A</v>
      </c>
      <c r="Y64" s="5" t="e">
        <f>INDEX(meta_Classifiers[Class - Generalization:src],MATCH(meta_TypedModelElements[[#This Row],[Type Super Type 4]],meta_Classifiers[ID],0))</f>
        <v>#N/A</v>
      </c>
      <c r="Z64" s="5" t="e">
        <f>INDEX(meta_Classifiers[Class - Generalization:src],MATCH(meta_TypedModelElements[[#This Row],[Type Super Type 3]],meta_Classifiers[ID],0))</f>
        <v>#N/A</v>
      </c>
      <c r="AA64" s="5" t="e">
        <f>INDEX(meta_Classifiers[Class - Generalization:src],MATCH(meta_TypedModelElements[[#This Row],[Type Super Type 2]],meta_Classifiers[ID],0))</f>
        <v>#N/A</v>
      </c>
      <c r="AB64" s="5" t="e">
        <f>INDEX(meta_Classifiers[Class - Generalization:src],MATCH(meta_TypedModelElements[[#This Row],[Type Super Type 1]],meta_Classifiers[ID],0))</f>
        <v>#N/A</v>
      </c>
      <c r="AC64" s="5" t="str">
        <f>INDEX(meta_Classifiers[Class - Generalization:src],MATCH(meta_TypedModelElements[[#This Row],[Type:src]],meta_Classifiers[ID],0))</f>
        <v/>
      </c>
      <c r="AD64" s="5" t="str">
        <f>IF(meta_TypedModelElements[[#This Row],[Kind:src]]&lt;&gt;"_Function",meta_TypedModelElements[[#This Row],[Type]],INDEX(meta_TypedModelElements[Type],MATCH(meta_TypedModelElements[[#This Row],[Function - Owning Property:src]],meta_TypedModelElements[ID],0)))</f>
        <v>String</v>
      </c>
      <c r="AE64" s="5" t="str">
        <f>IF(meta_TypedModelElements[[#This Row],[Kind:src]]&lt;&gt;"_Function",meta_TypedModelElements[[#This Row],[Type:src]],INDEX(meta_TypedModelElements[Type:src],MATCH(meta_TypedModelElements[[#This Row],[Function - Owning Property:src]],meta_TypedModelElements[ID],0)))</f>
        <v>_String</v>
      </c>
      <c r="AF64" s="5" t="str">
        <f>IF(meta_TypedModelElements[[#This Row],[Type:src]]="","",INDEX(meta_Classifiers[Name],MATCH(meta_TypedModelElements[[#This Row],[Type:src]],meta_Classifiers[ID],0)))</f>
        <v>String</v>
      </c>
      <c r="AG64" s="5" t="s">
        <v>180</v>
      </c>
      <c r="AH64" s="22" t="str">
        <f xml:space="preserve"> IF( TRIM( meta_TypedModelElements[[#This Row],[Type:src]] ) = "", "",
        INDEX( meta_Classifiers[Display Qualified], MATCH( meta_TypedModelElements[[#This Row],[Type:src]], meta_Classifiers[ID], 0 ) ) )</f>
        <v>String</v>
      </c>
      <c r="AI64" s="22" t="s">
        <v>19</v>
      </c>
      <c r="AJ64" s="22"/>
      <c r="AK64" s="8"/>
      <c r="AL64" s="22" t="str">
        <f xml:space="preserve"> IF( TRIM( meta_TypedModelElements[[#This Row],[Reference - Opposite:src]] ) = "", "",
        INDEX( meta_TypedModelElements[Display Qualified], MATCH( meta_TypedModelElements[[#This Row],[Reference - Opposite:src]], meta_TypedModelElements[ID], 0 ) ) )</f>
        <v/>
      </c>
      <c r="AM64" s="8"/>
      <c r="AN6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4" s="22">
        <v>1</v>
      </c>
      <c r="AP64"/>
      <c r="AQ64" s="22" t="str">
        <f xml:space="preserve"> IF( TRIM( meta_TypedModelElements[[#This Row],[Function - Owning Property:src]] ) = "", "",
        INDEX( meta_TypedModelElements[Display Qualified], MATCH( meta_TypedModelElements[[#This Row],[Function - Owning Property:src]], meta_TypedModelElements[ID], 0 ) ) )</f>
        <v/>
      </c>
      <c r="AT64" s="22" t="str">
        <f>IF(meta_TypedModelElements[[#This Row],[Parameter - Owning Function:src]]="","",INDEX(meta_TypedModelElements[Display Qualified],MATCH(meta_TypedModelElements[[#This Row],[Parameter - Owning Function:src]],meta_TypedModelElements[ID],0)))</f>
        <v/>
      </c>
      <c r="AV64" s="89"/>
      <c r="AW6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4" s="5" t="str">
        <f>"[@["&amp;meta_TypedModelElements[[#This Row],[Name or Type]]&amp;":src]]"</f>
        <v>[@[Input String:src]]</v>
      </c>
      <c r="AY6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4" s="40"/>
      <c r="BC64" s="40" t="str">
        <f>IF(meta_TypedModelElements[[#This Row],[Kind:src]]="_Parameter","",IF(AND(meta_TypedModelElements[[#This Row],[Package]]="util",meta_TypedModelElements[[#This Row],[Containing Class]]=0), "public", "method"))</f>
        <v/>
      </c>
      <c r="BD64" s="40"/>
      <c r="BE6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4" s="40"/>
      <c r="BK64" s="5"/>
    </row>
    <row r="65" spans="1:63">
      <c r="A65" s="5" t="s">
        <v>395</v>
      </c>
      <c r="B65" s="5" t="s">
        <v>168</v>
      </c>
      <c r="C65" s="22" t="str">
        <f xml:space="preserve"> IF( TRIM( meta_TypedModelElements[[#This Row],[Kind:src]] ) = "", "",
        INDEX( meta_Classifiers[Display Qualified], MATCH( meta_TypedModelElements[[#This Row],[Kind:src]], meta_Classifiers[ID], 0 ) ) )</f>
        <v>Attribute</v>
      </c>
      <c r="D65" s="22">
        <v>64</v>
      </c>
      <c r="E65" s="22" t="s">
        <v>586</v>
      </c>
      <c r="F65" s="22"/>
      <c r="G6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5" s="8"/>
      <c r="J65" s="22" t="str">
        <f xml:space="preserve"> IF( TRIM( meta_TypedModelElements[[#This Row],[Property - Owning Class:src]] ) = "", "",
        INDEX( meta_Classifiers[Display Qualified], MATCH( meta_TypedModelElements[[#This Row],[Property - Owning Class:src]], meta_Classifiers[ID], 0 ) ) )</f>
        <v/>
      </c>
      <c r="K65" s="5" t="str">
        <f xml:space="preserve"> IF(meta_TypedModelElements[[#This Row],[Kind:src]]="_Parameter",
  INDEX(meta_TypedModelElements[Display Qualified],MATCH(meta_TypedModelElements[[#This Row],[Parameter - Owning Function:src]],meta_TypedModelElements[ID],0))&amp;"."&amp;meta_TypedModelElements[[#This Row],[Display without Class]],
IF(TRIM(meta_TypedModelElements[[#This Row],[Package]])="","",TRIM(LOWER(meta_TypedModelElements[[#This Row],[Package]]))&amp;"::")&amp;meta_TypedModelElements[[#This Row],[Display]])</f>
        <v>util::camelCaseToBusiness</v>
      </c>
      <c r="L65" s="5" t="str">
        <f>IF(meta_TypedModelElements[[#This Row],[Kind:src]]="_Function",meta_TypedModelElements[[#This Row],[Display Qualified]],"")</f>
        <v/>
      </c>
      <c r="M65" s="5" t="str">
        <f>IF(meta_TypedModelElements[[#This Row],[Kind:src]]="_Attribute",meta_TypedModelElements[[#This Row],[Display Qualified]],"")</f>
        <v>util::camelCaseToBusiness</v>
      </c>
      <c r="N65" s="5" t="str">
        <f>IF(meta_TypedModelElements[[#This Row],[Kind:src]]="_Reference",meta_TypedModelElements[[#This Row],[Display Qualified]],"")</f>
        <v/>
      </c>
      <c r="O65" s="5" t="str">
        <f>IF(OR(meta_TypedModelElements[[#This Row],[Kind:src]]="_Attribute",meta_TypedModelElements[[#This Row],[Kind:src]]="_Reference"),meta_TypedModelElements[[#This Row],[Display Qualified]],"")</f>
        <v>util::camelCaseToBusiness</v>
      </c>
      <c r="P65" s="22"/>
      <c r="Q65" s="22"/>
      <c r="R65" s="5" t="str">
        <f>IF(meta_TypedModelElements[[#This Row],[Containing Class:display]]="","",meta_TypedModelElements[[#This Row],[Containing Class:display]]&amp;".")&amp;meta_TypedModelElements[[#This Row],[Display without Class]]</f>
        <v>camelCaseToBusiness</v>
      </c>
      <c r="S65" s="5" t="str" cm="1">
        <f t="array" ref="S65">_xlfn.IFNA(INDEX(meta_Names[Camel Lower], MATCH(meta_TypedModelElements[[#This Row],[Name or Type]],meta_Names[String],0)),camelCaseLower(meta_TypedModelElements[[#This Row],[Name or Type]]))</f>
        <v>camelCaseToBusiness</v>
      </c>
      <c r="T65" s="5" t="str">
        <f>IF(meta_TypedModelElements[[#This Row],[Name or Type]]="","",meta_TypedModelElements[[#This Row],[Name or Type Camel Case Lower]])&amp;IF(meta_TypedModelElements[[#This Row],[Kind:src]]="_Function","("&amp;meta_TypedModelElements[[#This Row],[Function - Parameters Display]]&amp;")","")</f>
        <v>camelCaseToBusiness</v>
      </c>
      <c r="U6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5" s="22" t="s">
        <v>389</v>
      </c>
      <c r="W65" s="5" t="e">
        <f>INDEX(meta_Classifiers[Class - Generalization:src],MATCH(meta_TypedModelElements[[#This Row],[Type Super Type 6]],meta_Classifiers[ID],0))</f>
        <v>#N/A</v>
      </c>
      <c r="X65" s="5" t="e">
        <f>INDEX(meta_Classifiers[Class - Generalization:src],MATCH(meta_TypedModelElements[[#This Row],[Type Super Type 5]],meta_Classifiers[ID],0))</f>
        <v>#N/A</v>
      </c>
      <c r="Y65" s="5" t="e">
        <f>INDEX(meta_Classifiers[Class - Generalization:src],MATCH(meta_TypedModelElements[[#This Row],[Type Super Type 4]],meta_Classifiers[ID],0))</f>
        <v>#N/A</v>
      </c>
      <c r="Z65" s="5" t="e">
        <f>INDEX(meta_Classifiers[Class - Generalization:src],MATCH(meta_TypedModelElements[[#This Row],[Type Super Type 3]],meta_Classifiers[ID],0))</f>
        <v>#N/A</v>
      </c>
      <c r="AA65" s="5" t="e">
        <f>INDEX(meta_Classifiers[Class - Generalization:src],MATCH(meta_TypedModelElements[[#This Row],[Type Super Type 2]],meta_Classifiers[ID],0))</f>
        <v>#N/A</v>
      </c>
      <c r="AB65" s="5" t="e">
        <f>INDEX(meta_Classifiers[Class - Generalization:src],MATCH(meta_TypedModelElements[[#This Row],[Type Super Type 1]],meta_Classifiers[ID],0))</f>
        <v>#N/A</v>
      </c>
      <c r="AC65" s="5" t="str">
        <f>INDEX(meta_Classifiers[Class - Generalization:src],MATCH(meta_TypedModelElements[[#This Row],[Type:src]],meta_Classifiers[ID],0))</f>
        <v/>
      </c>
      <c r="AD65" s="5" t="str">
        <f>IF(meta_TypedModelElements[[#This Row],[Kind:src]]&lt;&gt;"_Function",meta_TypedModelElements[[#This Row],[Type]],INDEX(meta_TypedModelElements[Type],MATCH(meta_TypedModelElements[[#This Row],[Function - Owning Property:src]],meta_TypedModelElements[ID],0)))</f>
        <v>String</v>
      </c>
      <c r="AE65" s="5" t="str">
        <f>IF(meta_TypedModelElements[[#This Row],[Kind:src]]&lt;&gt;"_Function",meta_TypedModelElements[[#This Row],[Type:src]],INDEX(meta_TypedModelElements[Type:src],MATCH(meta_TypedModelElements[[#This Row],[Function - Owning Property:src]],meta_TypedModelElements[ID],0)))</f>
        <v>_String</v>
      </c>
      <c r="AF65" s="5" t="str">
        <f>IF(meta_TypedModelElements[[#This Row],[Type:src]]="","",INDEX(meta_Classifiers[Name],MATCH(meta_TypedModelElements[[#This Row],[Type:src]],meta_Classifiers[ID],0)))</f>
        <v>String</v>
      </c>
      <c r="AG65" s="5" t="s">
        <v>180</v>
      </c>
      <c r="AH65" s="22" t="str">
        <f xml:space="preserve"> IF( TRIM( meta_TypedModelElements[[#This Row],[Type:src]] ) = "", "",
        INDEX( meta_Classifiers[Display Qualified], MATCH( meta_TypedModelElements[[#This Row],[Type:src]], meta_Classifiers[ID], 0 ) ) )</f>
        <v>String</v>
      </c>
      <c r="AI65" s="22"/>
      <c r="AJ65" s="22"/>
      <c r="AK65" s="8"/>
      <c r="AL65" s="22" t="str">
        <f xml:space="preserve"> IF( TRIM( meta_TypedModelElements[[#This Row],[Reference - Opposite:src]] ) = "", "",
        INDEX( meta_TypedModelElements[Display Qualified], MATCH( meta_TypedModelElements[[#This Row],[Reference - Opposite:src]], meta_TypedModelElements[ID], 0 ) ) )</f>
        <v/>
      </c>
      <c r="AM65" s="8"/>
      <c r="AN6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5" s="22"/>
      <c r="AP65"/>
      <c r="AQ65" s="22" t="str">
        <f xml:space="preserve"> IF( TRIM( meta_TypedModelElements[[#This Row],[Function - Owning Property:src]] ) = "", "",
        INDEX( meta_TypedModelElements[Display Qualified], MATCH( meta_TypedModelElements[[#This Row],[Function - Owning Property:src]], meta_TypedModelElements[ID], 0 ) ) )</f>
        <v/>
      </c>
      <c r="AT65" s="22" t="str">
        <f>IF(meta_TypedModelElements[[#This Row],[Parameter - Owning Function:src]]="","",INDEX(meta_TypedModelElements[Display Qualified],MATCH(meta_TypedModelElements[[#This Row],[Parameter - Owning Function:src]],meta_TypedModelElements[ID],0)))</f>
        <v/>
      </c>
      <c r="AV65" s="89"/>
      <c r="AW6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5" s="5" t="str">
        <f>"[@["&amp;meta_TypedModelElements[[#This Row],[Name or Type]]&amp;":src]]"</f>
        <v>[@[Camel Case To Business:src]]</v>
      </c>
      <c r="AY6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5" s="40"/>
      <c r="BC65" s="40" t="str">
        <f>IF(meta_TypedModelElements[[#This Row],[Kind:src]]="_Parameter","",IF(AND(meta_TypedModelElements[[#This Row],[Package]]="util",meta_TypedModelElements[[#This Row],[Containing Class]]=0), "public", "method"))</f>
        <v>method</v>
      </c>
      <c r="BD65" s="40"/>
      <c r="BE6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5" s="40"/>
      <c r="BK65" s="5"/>
    </row>
    <row r="66" spans="1:63">
      <c r="A66" s="5" t="s">
        <v>401</v>
      </c>
      <c r="B66" s="5" t="s">
        <v>165</v>
      </c>
      <c r="C66" s="22" t="str">
        <f xml:space="preserve"> IF( TRIM( meta_TypedModelElements[[#This Row],[Kind:src]] ) = "", "",
        INDEX( meta_Classifiers[Display Qualified], MATCH( meta_TypedModelElements[[#This Row],[Kind:src]], meta_Classifiers[ID], 0 ) ) )</f>
        <v>Function</v>
      </c>
      <c r="D66" s="22">
        <v>65</v>
      </c>
      <c r="E66" s="22" t="s">
        <v>586</v>
      </c>
      <c r="F66" s="22"/>
      <c r="G6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6" s="8"/>
      <c r="J66" s="22" t="str">
        <f xml:space="preserve"> IF( TRIM( meta_TypedModelElements[[#This Row],[Property - Owning Class:src]] ) = "", "",
        INDEX( meta_Classifiers[Display Qualified], MATCH( meta_TypedModelElements[[#This Row],[Property - Owning Class:src]], meta_Classifiers[ID], 0 ) ) )</f>
        <v/>
      </c>
      <c r="K66" s="5" t="str">
        <f xml:space="preserve"> IF(meta_TypedModelElements[[#This Row],[Kind:src]]="_Parameter",
  INDEX(meta_TypedModelElements[Display Qualified],MATCH(meta_TypedModelElements[[#This Row],[Parameter - Owning Function:src]],meta_TypedModelElements[ID],0))&amp;"."&amp;meta_TypedModelElements[[#This Row],[Display without Class]],
IF(TRIM(meta_TypedModelElements[[#This Row],[Package]])="","",TRIM(LOWER(meta_TypedModelElements[[#This Row],[Package]]))&amp;"::")&amp;meta_TypedModelElements[[#This Row],[Display]])</f>
        <v>util::camelCaseToBusiness(String)</v>
      </c>
      <c r="L66" s="5" t="str">
        <f>IF(meta_TypedModelElements[[#This Row],[Kind:src]]="_Function",meta_TypedModelElements[[#This Row],[Display Qualified]],"")</f>
        <v>util::camelCaseToBusiness(String)</v>
      </c>
      <c r="M66" s="5" t="str">
        <f>IF(meta_TypedModelElements[[#This Row],[Kind:src]]="_Attribute",meta_TypedModelElements[[#This Row],[Display Qualified]],"")</f>
        <v/>
      </c>
      <c r="N66" s="5" t="str">
        <f>IF(meta_TypedModelElements[[#This Row],[Kind:src]]="_Reference",meta_TypedModelElements[[#This Row],[Display Qualified]],"")</f>
        <v/>
      </c>
      <c r="O66" s="5" t="str">
        <f>IF(OR(meta_TypedModelElements[[#This Row],[Kind:src]]="_Attribute",meta_TypedModelElements[[#This Row],[Kind:src]]="_Reference"),meta_TypedModelElements[[#This Row],[Display Qualified]],"")</f>
        <v/>
      </c>
      <c r="P66" s="22" t="s">
        <v>18</v>
      </c>
      <c r="Q66" s="22" t="s">
        <v>445</v>
      </c>
      <c r="R66" s="5" t="str">
        <f>IF(meta_TypedModelElements[[#This Row],[Containing Class:display]]="","",meta_TypedModelElements[[#This Row],[Containing Class:display]]&amp;".")&amp;meta_TypedModelElements[[#This Row],[Display without Class]]</f>
        <v>camelCaseToBusiness(String)</v>
      </c>
      <c r="S66" s="5" t="str" cm="1">
        <f t="array" ref="S66">_xlfn.IFNA(INDEX(meta_Names[Camel Lower], MATCH(meta_TypedModelElements[[#This Row],[Name or Type]],meta_Names[String],0)),camelCaseLower(meta_TypedModelElements[[#This Row],[Name or Type]]))</f>
        <v>camelCaseToBusiness</v>
      </c>
      <c r="T66" s="5" t="str">
        <f>IF(meta_TypedModelElements[[#This Row],[Name or Type]]="","",meta_TypedModelElements[[#This Row],[Name or Type Camel Case Lower]])&amp;IF(meta_TypedModelElements[[#This Row],[Kind:src]]="_Function","("&amp;meta_TypedModelElements[[#This Row],[Function - Parameters Display]]&amp;")","")</f>
        <v>camelCaseToBusiness(String)</v>
      </c>
      <c r="U6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6" s="22"/>
      <c r="W66" s="5" t="e">
        <f>INDEX(meta_Classifiers[Class - Generalization:src],MATCH(meta_TypedModelElements[[#This Row],[Type Super Type 6]],meta_Classifiers[ID],0))</f>
        <v>#N/A</v>
      </c>
      <c r="X66" s="5" t="e">
        <f>INDEX(meta_Classifiers[Class - Generalization:src],MATCH(meta_TypedModelElements[[#This Row],[Type Super Type 5]],meta_Classifiers[ID],0))</f>
        <v>#N/A</v>
      </c>
      <c r="Y66" s="5" t="e">
        <f>INDEX(meta_Classifiers[Class - Generalization:src],MATCH(meta_TypedModelElements[[#This Row],[Type Super Type 4]],meta_Classifiers[ID],0))</f>
        <v>#N/A</v>
      </c>
      <c r="Z66" s="5" t="e">
        <f>INDEX(meta_Classifiers[Class - Generalization:src],MATCH(meta_TypedModelElements[[#This Row],[Type Super Type 3]],meta_Classifiers[ID],0))</f>
        <v>#N/A</v>
      </c>
      <c r="AA66" s="5" t="e">
        <f>INDEX(meta_Classifiers[Class - Generalization:src],MATCH(meta_TypedModelElements[[#This Row],[Type Super Type 2]],meta_Classifiers[ID],0))</f>
        <v>#N/A</v>
      </c>
      <c r="AB66" s="5" t="e">
        <f>INDEX(meta_Classifiers[Class - Generalization:src],MATCH(meta_TypedModelElements[[#This Row],[Type Super Type 1]],meta_Classifiers[ID],0))</f>
        <v>#N/A</v>
      </c>
      <c r="AC66" s="5" t="e">
        <f>INDEX(meta_Classifiers[Class - Generalization:src],MATCH(meta_TypedModelElements[[#This Row],[Type:src]],meta_Classifiers[ID],0))</f>
        <v>#N/A</v>
      </c>
      <c r="AD66" s="5" t="str">
        <f>IF(meta_TypedModelElements[[#This Row],[Kind:src]]&lt;&gt;"_Function",meta_TypedModelElements[[#This Row],[Type]],INDEX(meta_TypedModelElements[Type],MATCH(meta_TypedModelElements[[#This Row],[Function - Owning Property:src]],meta_TypedModelElements[ID],0)))</f>
        <v>String</v>
      </c>
      <c r="AE66" s="5" t="str">
        <f>IF(meta_TypedModelElements[[#This Row],[Kind:src]]&lt;&gt;"_Function",meta_TypedModelElements[[#This Row],[Type:src]],INDEX(meta_TypedModelElements[Type:src],MATCH(meta_TypedModelElements[[#This Row],[Function - Owning Property:src]],meta_TypedModelElements[ID],0)))</f>
        <v>_String</v>
      </c>
      <c r="AF66" s="5" t="str">
        <f>IF(meta_TypedModelElements[[#This Row],[Type:src]]="","",INDEX(meta_Classifiers[Name],MATCH(meta_TypedModelElements[[#This Row],[Type:src]],meta_Classifiers[ID],0)))</f>
        <v/>
      </c>
      <c r="AH66" s="22" t="str">
        <f xml:space="preserve"> IF( TRIM( meta_TypedModelElements[[#This Row],[Type:src]] ) = "", "",
        INDEX( meta_Classifiers[Display Qualified], MATCH( meta_TypedModelElements[[#This Row],[Type:src]], meta_Classifiers[ID], 0 ) ) )</f>
        <v/>
      </c>
      <c r="AI66" s="22"/>
      <c r="AJ66" s="22"/>
      <c r="AK66" s="8"/>
      <c r="AL66" s="22" t="str">
        <f xml:space="preserve"> IF( TRIM( meta_TypedModelElements[[#This Row],[Reference - Opposite:src]] ) = "", "",
        INDEX( meta_TypedModelElements[Display Qualified], MATCH( meta_TypedModelElements[[#This Row],[Reference - Opposite:src]], meta_TypedModelElements[ID], 0 ) ) )</f>
        <v/>
      </c>
      <c r="AM66" s="8"/>
      <c r="AN6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6" s="22"/>
      <c r="AP66" t="s">
        <v>395</v>
      </c>
      <c r="AQ66" s="22" t="str">
        <f xml:space="preserve"> IF( TRIM( meta_TypedModelElements[[#This Row],[Function - Owning Property:src]] ) = "", "",
        INDEX( meta_TypedModelElements[Display Qualified], MATCH( meta_TypedModelElements[[#This Row],[Function - Owning Property:src]], meta_TypedModelElements[ID], 0 ) ) )</f>
        <v>util::camelCaseToBusiness</v>
      </c>
      <c r="AT66" s="22" t="str">
        <f>IF(meta_TypedModelElements[[#This Row],[Parameter - Owning Function:src]]="","",INDEX(meta_TypedModelElements[Display Qualified],MATCH(meta_TypedModelElements[[#This Row],[Parameter - Owning Function:src]],meta_TypedModelElements[ID],0)))</f>
        <v/>
      </c>
      <c r="AV66" s="89"/>
      <c r="AW6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6" s="5" t="str">
        <f>"[@["&amp;meta_TypedModelElements[[#This Row],[Name or Type]]&amp;":src]]"</f>
        <v>[@[Camel Case To Business:src]]</v>
      </c>
      <c r="AY6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6" s="40"/>
      <c r="BC66" s="40" t="str">
        <f>IF(meta_TypedModelElements[[#This Row],[Kind:src]]="_Parameter","",IF(AND(meta_TypedModelElements[[#This Row],[Package]]="util",meta_TypedModelElements[[#This Row],[Containing Class]]=0), "public", "method"))</f>
        <v>method</v>
      </c>
      <c r="BD66" s="40"/>
      <c r="BE6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6" s="40"/>
      <c r="BK66" s="5"/>
    </row>
    <row r="67" spans="1:63">
      <c r="A67" s="5" t="s">
        <v>407</v>
      </c>
      <c r="B67" s="5" t="s">
        <v>166</v>
      </c>
      <c r="C67" s="22" t="str">
        <f xml:space="preserve"> IF( TRIM( meta_TypedModelElements[[#This Row],[Kind:src]] ) = "", "",
        INDEX( meta_Classifiers[Display Qualified], MATCH( meta_TypedModelElements[[#This Row],[Kind:src]], meta_Classifiers[ID], 0 ) ) )</f>
        <v>Parameter</v>
      </c>
      <c r="D67" s="22">
        <v>66</v>
      </c>
      <c r="E67" s="22" t="s">
        <v>586</v>
      </c>
      <c r="F67" s="22"/>
      <c r="G6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7" s="8"/>
      <c r="J67" s="22" t="str">
        <f xml:space="preserve"> IF( TRIM( meta_TypedModelElements[[#This Row],[Property - Owning Class:src]] ) = "", "",
        INDEX( meta_Classifiers[Display Qualified], MATCH( meta_TypedModelElements[[#This Row],[Property - Owning Class:src]], meta_Classifiers[ID], 0 ) ) )</f>
        <v/>
      </c>
      <c r="K67" s="5" t="e">
        <f xml:space="preserve"> IF(meta_TypedModelElements[[#This Row],[Kind:src]]="_Parameter",
  INDEX(meta_TypedModelElements[Display Qualified],MATCH(meta_TypedModelElements[[#This Row],[Parameter - Owning Function:src]],meta_TypedModelElements[ID],0))&amp;"."&amp;meta_TypedModelElements[[#This Row],[Display without Class]],
IF(TRIM(meta_TypedModelElements[[#This Row],[Package]])="","",TRIM(LOWER(meta_TypedModelElements[[#This Row],[Package]]))&amp;"::")&amp;meta_TypedModelElements[[#This Row],[Display]])</f>
        <v>#N/A</v>
      </c>
      <c r="L67" s="5" t="str">
        <f>IF(meta_TypedModelElements[[#This Row],[Kind:src]]="_Function",meta_TypedModelElements[[#This Row],[Display Qualified]],"")</f>
        <v/>
      </c>
      <c r="M67" s="5" t="str">
        <f>IF(meta_TypedModelElements[[#This Row],[Kind:src]]="_Attribute",meta_TypedModelElements[[#This Row],[Display Qualified]],"")</f>
        <v/>
      </c>
      <c r="N67" s="5" t="str">
        <f>IF(meta_TypedModelElements[[#This Row],[Kind:src]]="_Reference",meta_TypedModelElements[[#This Row],[Display Qualified]],"")</f>
        <v/>
      </c>
      <c r="O67" s="5" t="str">
        <f>IF(OR(meta_TypedModelElements[[#This Row],[Kind:src]]="_Attribute",meta_TypedModelElements[[#This Row],[Kind:src]]="_Reference"),meta_TypedModelElements[[#This Row],[Display Qualified]],"")</f>
        <v/>
      </c>
      <c r="P67" s="22"/>
      <c r="Q67" s="22"/>
      <c r="R67" s="5" t="str">
        <f>IF(meta_TypedModelElements[[#This Row],[Containing Class:display]]="","",meta_TypedModelElements[[#This Row],[Containing Class:display]]&amp;".")&amp;meta_TypedModelElements[[#This Row],[Display without Class]]</f>
        <v>inputString</v>
      </c>
      <c r="S67" s="5" t="str" cm="1">
        <f t="array" ref="S67">_xlfn.IFNA(INDEX(meta_Names[Camel Lower], MATCH(meta_TypedModelElements[[#This Row],[Name or Type]],meta_Names[String],0)),camelCaseLower(meta_TypedModelElements[[#This Row],[Name or Type]]))</f>
        <v>inputString</v>
      </c>
      <c r="T67" s="5" t="str">
        <f>IF(meta_TypedModelElements[[#This Row],[Name or Type]]="","",meta_TypedModelElements[[#This Row],[Name or Type Camel Case Lower]])&amp;IF(meta_TypedModelElements[[#This Row],[Kind:src]]="_Function","("&amp;meta_TypedModelElements[[#This Row],[Function - Parameters Display]]&amp;")","")</f>
        <v>inputString</v>
      </c>
      <c r="U6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7" s="22" t="s">
        <v>313</v>
      </c>
      <c r="W67" s="5" t="e">
        <f>INDEX(meta_Classifiers[Class - Generalization:src],MATCH(meta_TypedModelElements[[#This Row],[Type Super Type 6]],meta_Classifiers[ID],0))</f>
        <v>#N/A</v>
      </c>
      <c r="X67" s="5" t="e">
        <f>INDEX(meta_Classifiers[Class - Generalization:src],MATCH(meta_TypedModelElements[[#This Row],[Type Super Type 5]],meta_Classifiers[ID],0))</f>
        <v>#N/A</v>
      </c>
      <c r="Y67" s="5" t="e">
        <f>INDEX(meta_Classifiers[Class - Generalization:src],MATCH(meta_TypedModelElements[[#This Row],[Type Super Type 4]],meta_Classifiers[ID],0))</f>
        <v>#N/A</v>
      </c>
      <c r="Z67" s="5" t="e">
        <f>INDEX(meta_Classifiers[Class - Generalization:src],MATCH(meta_TypedModelElements[[#This Row],[Type Super Type 3]],meta_Classifiers[ID],0))</f>
        <v>#N/A</v>
      </c>
      <c r="AA67" s="5" t="e">
        <f>INDEX(meta_Classifiers[Class - Generalization:src],MATCH(meta_TypedModelElements[[#This Row],[Type Super Type 2]],meta_Classifiers[ID],0))</f>
        <v>#N/A</v>
      </c>
      <c r="AB67" s="5" t="e">
        <f>INDEX(meta_Classifiers[Class - Generalization:src],MATCH(meta_TypedModelElements[[#This Row],[Type Super Type 1]],meta_Classifiers[ID],0))</f>
        <v>#N/A</v>
      </c>
      <c r="AC67" s="5" t="str">
        <f>INDEX(meta_Classifiers[Class - Generalization:src],MATCH(meta_TypedModelElements[[#This Row],[Type:src]],meta_Classifiers[ID],0))</f>
        <v/>
      </c>
      <c r="AD67" s="5" t="str">
        <f>IF(meta_TypedModelElements[[#This Row],[Kind:src]]&lt;&gt;"_Function",meta_TypedModelElements[[#This Row],[Type]],INDEX(meta_TypedModelElements[Type],MATCH(meta_TypedModelElements[[#This Row],[Function - Owning Property:src]],meta_TypedModelElements[ID],0)))</f>
        <v>String</v>
      </c>
      <c r="AE67" s="5" t="str">
        <f>IF(meta_TypedModelElements[[#This Row],[Kind:src]]&lt;&gt;"_Function",meta_TypedModelElements[[#This Row],[Type:src]],INDEX(meta_TypedModelElements[Type:src],MATCH(meta_TypedModelElements[[#This Row],[Function - Owning Property:src]],meta_TypedModelElements[ID],0)))</f>
        <v>_String</v>
      </c>
      <c r="AF67" s="5" t="str">
        <f>IF(meta_TypedModelElements[[#This Row],[Type:src]]="","",INDEX(meta_Classifiers[Name],MATCH(meta_TypedModelElements[[#This Row],[Type:src]],meta_Classifiers[ID],0)))</f>
        <v>String</v>
      </c>
      <c r="AG67" s="5" t="s">
        <v>180</v>
      </c>
      <c r="AH67" s="22" t="str">
        <f xml:space="preserve"> IF( TRIM( meta_TypedModelElements[[#This Row],[Type:src]] ) = "", "",
        INDEX( meta_Classifiers[Display Qualified], MATCH( meta_TypedModelElements[[#This Row],[Type:src]], meta_Classifiers[ID], 0 ) ) )</f>
        <v>String</v>
      </c>
      <c r="AI67" s="22" t="s">
        <v>19</v>
      </c>
      <c r="AJ67" s="22"/>
      <c r="AK67" s="8"/>
      <c r="AL67" s="22" t="str">
        <f xml:space="preserve"> IF( TRIM( meta_TypedModelElements[[#This Row],[Reference - Opposite:src]] ) = "", "",
        INDEX( meta_TypedModelElements[Display Qualified], MATCH( meta_TypedModelElements[[#This Row],[Reference - Opposite:src]], meta_TypedModelElements[ID], 0 ) ) )</f>
        <v/>
      </c>
      <c r="AM67" s="8"/>
      <c r="AN6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7" s="22">
        <v>1</v>
      </c>
      <c r="AP67"/>
      <c r="AQ67" s="22" t="str">
        <f xml:space="preserve"> IF( TRIM( meta_TypedModelElements[[#This Row],[Function - Owning Property:src]] ) = "", "",
        INDEX( meta_TypedModelElements[Display Qualified], MATCH( meta_TypedModelElements[[#This Row],[Function - Owning Property:src]], meta_TypedModelElements[ID], 0 ) ) )</f>
        <v/>
      </c>
      <c r="AT67" s="22" t="str">
        <f>IF(meta_TypedModelElements[[#This Row],[Parameter - Owning Function:src]]="","",INDEX(meta_TypedModelElements[Display Qualified],MATCH(meta_TypedModelElements[[#This Row],[Parameter - Owning Function:src]],meta_TypedModelElements[ID],0)))</f>
        <v/>
      </c>
      <c r="AV67" s="89"/>
      <c r="AW6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7" s="5" t="str">
        <f>"[@["&amp;meta_TypedModelElements[[#This Row],[Name or Type]]&amp;":src]]"</f>
        <v>[@[Input String:src]]</v>
      </c>
      <c r="AY6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7" s="40"/>
      <c r="BC67" s="40" t="str">
        <f>IF(meta_TypedModelElements[[#This Row],[Kind:src]]="_Parameter","",IF(AND(meta_TypedModelElements[[#This Row],[Package]]="util",meta_TypedModelElements[[#This Row],[Containing Class]]=0), "public", "method"))</f>
        <v/>
      </c>
      <c r="BD67" s="40"/>
      <c r="BE6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7" s="40"/>
      <c r="BK67" s="5"/>
    </row>
    <row r="68" spans="1:63">
      <c r="A68" s="5" t="s">
        <v>396</v>
      </c>
      <c r="B68" s="5" t="s">
        <v>168</v>
      </c>
      <c r="C68" s="22" t="str">
        <f xml:space="preserve"> IF( TRIM( meta_TypedModelElements[[#This Row],[Kind:src]] ) = "", "",
        INDEX( meta_Classifiers[Display Qualified], MATCH( meta_TypedModelElements[[#This Row],[Kind:src]], meta_Classifiers[ID], 0 ) ) )</f>
        <v>Attribute</v>
      </c>
      <c r="D68" s="22">
        <v>67</v>
      </c>
      <c r="E68" s="22" t="s">
        <v>586</v>
      </c>
      <c r="F68" s="22"/>
      <c r="G6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8" s="8"/>
      <c r="J68" s="22" t="str">
        <f xml:space="preserve"> IF( TRIM( meta_TypedModelElements[[#This Row],[Property - Owning Class:src]] ) = "", "",
        INDEX( meta_Classifiers[Display Qualified], MATCH( meta_TypedModelElements[[#This Row],[Property - Owning Class:src]], meta_Classifiers[ID], 0 ) ) )</f>
        <v/>
      </c>
      <c r="K68" s="5" t="str">
        <f xml:space="preserve"> IF(meta_TypedModelElements[[#This Row],[Kind:src]]="_Parameter",
  INDEX(meta_TypedModelElements[Display Qualified],MATCH(meta_TypedModelElements[[#This Row],[Parameter - Owning Function:src]],meta_TypedModelElements[ID],0))&amp;"."&amp;meta_TypedModelElements[[#This Row],[Display without Class]],
IF(TRIM(meta_TypedModelElements[[#This Row],[Package]])="","",TRIM(LOWER(meta_TypedModelElements[[#This Row],[Package]]))&amp;"::")&amp;meta_TypedModelElements[[#This Row],[Display]])</f>
        <v>util::stringToBusiness</v>
      </c>
      <c r="L68" s="5" t="str">
        <f>IF(meta_TypedModelElements[[#This Row],[Kind:src]]="_Function",meta_TypedModelElements[[#This Row],[Display Qualified]],"")</f>
        <v/>
      </c>
      <c r="M68" s="5" t="str">
        <f>IF(meta_TypedModelElements[[#This Row],[Kind:src]]="_Attribute",meta_TypedModelElements[[#This Row],[Display Qualified]],"")</f>
        <v>util::stringToBusiness</v>
      </c>
      <c r="N68" s="5" t="str">
        <f>IF(meta_TypedModelElements[[#This Row],[Kind:src]]="_Reference",meta_TypedModelElements[[#This Row],[Display Qualified]],"")</f>
        <v/>
      </c>
      <c r="O68" s="5" t="str">
        <f>IF(OR(meta_TypedModelElements[[#This Row],[Kind:src]]="_Attribute",meta_TypedModelElements[[#This Row],[Kind:src]]="_Reference"),meta_TypedModelElements[[#This Row],[Display Qualified]],"")</f>
        <v>util::stringToBusiness</v>
      </c>
      <c r="P68" s="22"/>
      <c r="Q68" s="22"/>
      <c r="R68" s="5" t="str">
        <f>IF(meta_TypedModelElements[[#This Row],[Containing Class:display]]="","",meta_TypedModelElements[[#This Row],[Containing Class:display]]&amp;".")&amp;meta_TypedModelElements[[#This Row],[Display without Class]]</f>
        <v>stringToBusiness</v>
      </c>
      <c r="S68" s="5" t="str" cm="1">
        <f t="array" ref="S68">_xlfn.IFNA(INDEX(meta_Names[Camel Lower], MATCH(meta_TypedModelElements[[#This Row],[Name or Type]],meta_Names[String],0)),camelCaseLower(meta_TypedModelElements[[#This Row],[Name or Type]]))</f>
        <v>stringToBusiness</v>
      </c>
      <c r="T68" s="5" t="str">
        <f>IF(meta_TypedModelElements[[#This Row],[Name or Type]]="","",meta_TypedModelElements[[#This Row],[Name or Type Camel Case Lower]])&amp;IF(meta_TypedModelElements[[#This Row],[Kind:src]]="_Function","("&amp;meta_TypedModelElements[[#This Row],[Function - Parameters Display]]&amp;")","")</f>
        <v>stringToBusiness</v>
      </c>
      <c r="U6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8" s="22" t="s">
        <v>390</v>
      </c>
      <c r="W68" s="5" t="e">
        <f>INDEX(meta_Classifiers[Class - Generalization:src],MATCH(meta_TypedModelElements[[#This Row],[Type Super Type 6]],meta_Classifiers[ID],0))</f>
        <v>#N/A</v>
      </c>
      <c r="X68" s="5" t="e">
        <f>INDEX(meta_Classifiers[Class - Generalization:src],MATCH(meta_TypedModelElements[[#This Row],[Type Super Type 5]],meta_Classifiers[ID],0))</f>
        <v>#N/A</v>
      </c>
      <c r="Y68" s="5" t="e">
        <f>INDEX(meta_Classifiers[Class - Generalization:src],MATCH(meta_TypedModelElements[[#This Row],[Type Super Type 4]],meta_Classifiers[ID],0))</f>
        <v>#N/A</v>
      </c>
      <c r="Z68" s="5" t="e">
        <f>INDEX(meta_Classifiers[Class - Generalization:src],MATCH(meta_TypedModelElements[[#This Row],[Type Super Type 3]],meta_Classifiers[ID],0))</f>
        <v>#N/A</v>
      </c>
      <c r="AA68" s="5" t="e">
        <f>INDEX(meta_Classifiers[Class - Generalization:src],MATCH(meta_TypedModelElements[[#This Row],[Type Super Type 2]],meta_Classifiers[ID],0))</f>
        <v>#N/A</v>
      </c>
      <c r="AB68" s="5" t="e">
        <f>INDEX(meta_Classifiers[Class - Generalization:src],MATCH(meta_TypedModelElements[[#This Row],[Type Super Type 1]],meta_Classifiers[ID],0))</f>
        <v>#N/A</v>
      </c>
      <c r="AC68" s="5" t="str">
        <f>INDEX(meta_Classifiers[Class - Generalization:src],MATCH(meta_TypedModelElements[[#This Row],[Type:src]],meta_Classifiers[ID],0))</f>
        <v/>
      </c>
      <c r="AD68" s="5" t="str">
        <f>IF(meta_TypedModelElements[[#This Row],[Kind:src]]&lt;&gt;"_Function",meta_TypedModelElements[[#This Row],[Type]],INDEX(meta_TypedModelElements[Type],MATCH(meta_TypedModelElements[[#This Row],[Function - Owning Property:src]],meta_TypedModelElements[ID],0)))</f>
        <v>String</v>
      </c>
      <c r="AE68" s="5" t="str">
        <f>IF(meta_TypedModelElements[[#This Row],[Kind:src]]&lt;&gt;"_Function",meta_TypedModelElements[[#This Row],[Type:src]],INDEX(meta_TypedModelElements[Type:src],MATCH(meta_TypedModelElements[[#This Row],[Function - Owning Property:src]],meta_TypedModelElements[ID],0)))</f>
        <v>_String</v>
      </c>
      <c r="AF68" s="5" t="str">
        <f>IF(meta_TypedModelElements[[#This Row],[Type:src]]="","",INDEX(meta_Classifiers[Name],MATCH(meta_TypedModelElements[[#This Row],[Type:src]],meta_Classifiers[ID],0)))</f>
        <v>String</v>
      </c>
      <c r="AG68" s="5" t="s">
        <v>180</v>
      </c>
      <c r="AH68" s="22" t="str">
        <f xml:space="preserve"> IF( TRIM( meta_TypedModelElements[[#This Row],[Type:src]] ) = "", "",
        INDEX( meta_Classifiers[Display Qualified], MATCH( meta_TypedModelElements[[#This Row],[Type:src]], meta_Classifiers[ID], 0 ) ) )</f>
        <v>String</v>
      </c>
      <c r="AI68" s="22" t="s">
        <v>19</v>
      </c>
      <c r="AJ68" s="22"/>
      <c r="AK68" s="8"/>
      <c r="AL68" s="22" t="str">
        <f xml:space="preserve"> IF( TRIM( meta_TypedModelElements[[#This Row],[Reference - Opposite:src]] ) = "", "",
        INDEX( meta_TypedModelElements[Display Qualified], MATCH( meta_TypedModelElements[[#This Row],[Reference - Opposite:src]], meta_TypedModelElements[ID], 0 ) ) )</f>
        <v/>
      </c>
      <c r="AM68" s="8"/>
      <c r="AN6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8" s="22"/>
      <c r="AP68"/>
      <c r="AQ68" s="22" t="str">
        <f xml:space="preserve"> IF( TRIM( meta_TypedModelElements[[#This Row],[Function - Owning Property:src]] ) = "", "",
        INDEX( meta_TypedModelElements[Display Qualified], MATCH( meta_TypedModelElements[[#This Row],[Function - Owning Property:src]], meta_TypedModelElements[ID], 0 ) ) )</f>
        <v/>
      </c>
      <c r="AT68" s="22" t="str">
        <f>IF(meta_TypedModelElements[[#This Row],[Parameter - Owning Function:src]]="","",INDEX(meta_TypedModelElements[Display Qualified],MATCH(meta_TypedModelElements[[#This Row],[Parameter - Owning Function:src]],meta_TypedModelElements[ID],0)))</f>
        <v/>
      </c>
      <c r="AV68" s="89"/>
      <c r="AW6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8" s="5" t="str">
        <f>"[@["&amp;meta_TypedModelElements[[#This Row],[Name or Type]]&amp;":src]]"</f>
        <v>[@[String To Business:src]]</v>
      </c>
      <c r="AY6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8" s="40"/>
      <c r="BC68" s="40" t="str">
        <f>IF(meta_TypedModelElements[[#This Row],[Kind:src]]="_Parameter","",IF(AND(meta_TypedModelElements[[#This Row],[Package]]="util",meta_TypedModelElements[[#This Row],[Containing Class]]=0), "public", "method"))</f>
        <v>method</v>
      </c>
      <c r="BD68" s="40"/>
      <c r="BE6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8" s="40"/>
      <c r="BK68" s="5"/>
    </row>
    <row r="69" spans="1:63">
      <c r="A69" s="5" t="s">
        <v>402</v>
      </c>
      <c r="B69" s="5" t="s">
        <v>165</v>
      </c>
      <c r="C69" s="22" t="str">
        <f xml:space="preserve"> IF( TRIM( meta_TypedModelElements[[#This Row],[Kind:src]] ) = "", "",
        INDEX( meta_Classifiers[Display Qualified], MATCH( meta_TypedModelElements[[#This Row],[Kind:src]], meta_Classifiers[ID], 0 ) ) )</f>
        <v>Function</v>
      </c>
      <c r="D69" s="22">
        <v>68</v>
      </c>
      <c r="E69" s="22" t="s">
        <v>586</v>
      </c>
      <c r="F69" s="22"/>
      <c r="G6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9" s="8"/>
      <c r="J69" s="22" t="str">
        <f xml:space="preserve"> IF( TRIM( meta_TypedModelElements[[#This Row],[Property - Owning Class:src]] ) = "", "",
        INDEX( meta_Classifiers[Display Qualified], MATCH( meta_TypedModelElements[[#This Row],[Property - Owning Class:src]], meta_Classifiers[ID], 0 ) ) )</f>
        <v/>
      </c>
      <c r="K69" s="5" t="str">
        <f xml:space="preserve"> IF(meta_TypedModelElements[[#This Row],[Kind:src]]="_Parameter",
  INDEX(meta_TypedModelElements[Display Qualified],MATCH(meta_TypedModelElements[[#This Row],[Parameter - Owning Function:src]],meta_TypedModelElements[ID],0))&amp;"."&amp;meta_TypedModelElements[[#This Row],[Display without Class]],
IF(TRIM(meta_TypedModelElements[[#This Row],[Package]])="","",TRIM(LOWER(meta_TypedModelElements[[#This Row],[Package]]))&amp;"::")&amp;meta_TypedModelElements[[#This Row],[Display]])</f>
        <v>util::stringToBusiness(String)</v>
      </c>
      <c r="L69" s="5" t="str">
        <f>IF(meta_TypedModelElements[[#This Row],[Kind:src]]="_Function",meta_TypedModelElements[[#This Row],[Display Qualified]],"")</f>
        <v>util::stringToBusiness(String)</v>
      </c>
      <c r="M69" s="5" t="str">
        <f>IF(meta_TypedModelElements[[#This Row],[Kind:src]]="_Attribute",meta_TypedModelElements[[#This Row],[Display Qualified]],"")</f>
        <v/>
      </c>
      <c r="N69" s="5" t="str">
        <f>IF(meta_TypedModelElements[[#This Row],[Kind:src]]="_Reference",meta_TypedModelElements[[#This Row],[Display Qualified]],"")</f>
        <v/>
      </c>
      <c r="O69" s="5" t="str">
        <f>IF(OR(meta_TypedModelElements[[#This Row],[Kind:src]]="_Attribute",meta_TypedModelElements[[#This Row],[Kind:src]]="_Reference"),meta_TypedModelElements[[#This Row],[Display Qualified]],"")</f>
        <v/>
      </c>
      <c r="P69" s="22" t="s">
        <v>18</v>
      </c>
      <c r="Q69" s="22" t="s">
        <v>445</v>
      </c>
      <c r="R69" s="5" t="str">
        <f>IF(meta_TypedModelElements[[#This Row],[Containing Class:display]]="","",meta_TypedModelElements[[#This Row],[Containing Class:display]]&amp;".")&amp;meta_TypedModelElements[[#This Row],[Display without Class]]</f>
        <v>stringToBusiness(String)</v>
      </c>
      <c r="S69" s="5" t="str" cm="1">
        <f t="array" ref="S69">_xlfn.IFNA(INDEX(meta_Names[Camel Lower], MATCH(meta_TypedModelElements[[#This Row],[Name or Type]],meta_Names[String],0)),camelCaseLower(meta_TypedModelElements[[#This Row],[Name or Type]]))</f>
        <v>stringToBusiness</v>
      </c>
      <c r="T69" s="5" t="str">
        <f>IF(meta_TypedModelElements[[#This Row],[Name or Type]]="","",meta_TypedModelElements[[#This Row],[Name or Type Camel Case Lower]])&amp;IF(meta_TypedModelElements[[#This Row],[Kind:src]]="_Function","("&amp;meta_TypedModelElements[[#This Row],[Function - Parameters Display]]&amp;")","")</f>
        <v>stringToBusiness(String)</v>
      </c>
      <c r="U6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9" s="22"/>
      <c r="W69" s="5" t="e">
        <f>INDEX(meta_Classifiers[Class - Generalization:src],MATCH(meta_TypedModelElements[[#This Row],[Type Super Type 6]],meta_Classifiers[ID],0))</f>
        <v>#N/A</v>
      </c>
      <c r="X69" s="5" t="e">
        <f>INDEX(meta_Classifiers[Class - Generalization:src],MATCH(meta_TypedModelElements[[#This Row],[Type Super Type 5]],meta_Classifiers[ID],0))</f>
        <v>#N/A</v>
      </c>
      <c r="Y69" s="5" t="e">
        <f>INDEX(meta_Classifiers[Class - Generalization:src],MATCH(meta_TypedModelElements[[#This Row],[Type Super Type 4]],meta_Classifiers[ID],0))</f>
        <v>#N/A</v>
      </c>
      <c r="Z69" s="5" t="e">
        <f>INDEX(meta_Classifiers[Class - Generalization:src],MATCH(meta_TypedModelElements[[#This Row],[Type Super Type 3]],meta_Classifiers[ID],0))</f>
        <v>#N/A</v>
      </c>
      <c r="AA69" s="5" t="e">
        <f>INDEX(meta_Classifiers[Class - Generalization:src],MATCH(meta_TypedModelElements[[#This Row],[Type Super Type 2]],meta_Classifiers[ID],0))</f>
        <v>#N/A</v>
      </c>
      <c r="AB69" s="5" t="e">
        <f>INDEX(meta_Classifiers[Class - Generalization:src],MATCH(meta_TypedModelElements[[#This Row],[Type Super Type 1]],meta_Classifiers[ID],0))</f>
        <v>#N/A</v>
      </c>
      <c r="AC69" s="5" t="e">
        <f>INDEX(meta_Classifiers[Class - Generalization:src],MATCH(meta_TypedModelElements[[#This Row],[Type:src]],meta_Classifiers[ID],0))</f>
        <v>#N/A</v>
      </c>
      <c r="AD69" s="5" t="str">
        <f>IF(meta_TypedModelElements[[#This Row],[Kind:src]]&lt;&gt;"_Function",meta_TypedModelElements[[#This Row],[Type]],INDEX(meta_TypedModelElements[Type],MATCH(meta_TypedModelElements[[#This Row],[Function - Owning Property:src]],meta_TypedModelElements[ID],0)))</f>
        <v>String</v>
      </c>
      <c r="AE69" s="5" t="str">
        <f>IF(meta_TypedModelElements[[#This Row],[Kind:src]]&lt;&gt;"_Function",meta_TypedModelElements[[#This Row],[Type:src]],INDEX(meta_TypedModelElements[Type:src],MATCH(meta_TypedModelElements[[#This Row],[Function - Owning Property:src]],meta_TypedModelElements[ID],0)))</f>
        <v>_String</v>
      </c>
      <c r="AF69" s="5" t="str">
        <f>IF(meta_TypedModelElements[[#This Row],[Type:src]]="","",INDEX(meta_Classifiers[Name],MATCH(meta_TypedModelElements[[#This Row],[Type:src]],meta_Classifiers[ID],0)))</f>
        <v/>
      </c>
      <c r="AH69" s="22" t="str">
        <f xml:space="preserve"> IF( TRIM( meta_TypedModelElements[[#This Row],[Type:src]] ) = "", "",
        INDEX( meta_Classifiers[Display Qualified], MATCH( meta_TypedModelElements[[#This Row],[Type:src]], meta_Classifiers[ID], 0 ) ) )</f>
        <v/>
      </c>
      <c r="AI69" s="22"/>
      <c r="AJ69" s="22"/>
      <c r="AK69" s="8"/>
      <c r="AL69" s="22" t="str">
        <f xml:space="preserve"> IF( TRIM( meta_TypedModelElements[[#This Row],[Reference - Opposite:src]] ) = "", "",
        INDEX( meta_TypedModelElements[Display Qualified], MATCH( meta_TypedModelElements[[#This Row],[Reference - Opposite:src]], meta_TypedModelElements[ID], 0 ) ) )</f>
        <v/>
      </c>
      <c r="AM69" s="8"/>
      <c r="AN6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9" s="22"/>
      <c r="AP69" t="s">
        <v>396</v>
      </c>
      <c r="AQ69" s="22" t="str">
        <f xml:space="preserve"> IF( TRIM( meta_TypedModelElements[[#This Row],[Function - Owning Property:src]] ) = "", "",
        INDEX( meta_TypedModelElements[Display Qualified], MATCH( meta_TypedModelElements[[#This Row],[Function - Owning Property:src]], meta_TypedModelElements[ID], 0 ) ) )</f>
        <v>util::stringToBusiness</v>
      </c>
      <c r="AT69" s="22" t="str">
        <f>IF(meta_TypedModelElements[[#This Row],[Parameter - Owning Function:src]]="","",INDEX(meta_TypedModelElements[Display Qualified],MATCH(meta_TypedModelElements[[#This Row],[Parameter - Owning Function:src]],meta_TypedModelElements[ID],0)))</f>
        <v/>
      </c>
      <c r="AV69" s="89"/>
      <c r="AW6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9" s="5" t="str">
        <f>"[@["&amp;meta_TypedModelElements[[#This Row],[Name or Type]]&amp;":src]]"</f>
        <v>[@[String To Business:src]]</v>
      </c>
      <c r="AY6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9" s="40"/>
      <c r="BC69" s="40" t="str">
        <f>IF(meta_TypedModelElements[[#This Row],[Kind:src]]="_Parameter","",IF(AND(meta_TypedModelElements[[#This Row],[Package]]="util",meta_TypedModelElements[[#This Row],[Containing Class]]=0), "public", "method"))</f>
        <v>method</v>
      </c>
      <c r="BD69" s="40"/>
      <c r="BE6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9" s="40"/>
      <c r="BK69" s="5"/>
    </row>
    <row r="70" spans="1:63">
      <c r="A70" s="5" t="s">
        <v>408</v>
      </c>
      <c r="B70" s="5" t="s">
        <v>166</v>
      </c>
      <c r="C70" s="22" t="str">
        <f xml:space="preserve"> IF( TRIM( meta_TypedModelElements[[#This Row],[Kind:src]] ) = "", "",
        INDEX( meta_Classifiers[Display Qualified], MATCH( meta_TypedModelElements[[#This Row],[Kind:src]], meta_Classifiers[ID], 0 ) ) )</f>
        <v>Parameter</v>
      </c>
      <c r="D70" s="22">
        <v>69</v>
      </c>
      <c r="E70" s="22" t="s">
        <v>586</v>
      </c>
      <c r="F70" s="22"/>
      <c r="G7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0" s="8"/>
      <c r="J70" s="22" t="str">
        <f xml:space="preserve"> IF( TRIM( meta_TypedModelElements[[#This Row],[Property - Owning Class:src]] ) = "", "",
        INDEX( meta_Classifiers[Display Qualified], MATCH( meta_TypedModelElements[[#This Row],[Property - Owning Class:src]], meta_Classifiers[ID], 0 ) ) )</f>
        <v/>
      </c>
      <c r="K70" s="5" t="e">
        <f xml:space="preserve"> IF(meta_TypedModelElements[[#This Row],[Kind:src]]="_Parameter",
  INDEX(meta_TypedModelElements[Display Qualified],MATCH(meta_TypedModelElements[[#This Row],[Parameter - Owning Function:src]],meta_TypedModelElements[ID],0))&amp;"."&amp;meta_TypedModelElements[[#This Row],[Display without Class]],
IF(TRIM(meta_TypedModelElements[[#This Row],[Package]])="","",TRIM(LOWER(meta_TypedModelElements[[#This Row],[Package]]))&amp;"::")&amp;meta_TypedModelElements[[#This Row],[Display]])</f>
        <v>#N/A</v>
      </c>
      <c r="L70" s="5" t="str">
        <f>IF(meta_TypedModelElements[[#This Row],[Kind:src]]="_Function",meta_TypedModelElements[[#This Row],[Display Qualified]],"")</f>
        <v/>
      </c>
      <c r="M70" s="5" t="str">
        <f>IF(meta_TypedModelElements[[#This Row],[Kind:src]]="_Attribute",meta_TypedModelElements[[#This Row],[Display Qualified]],"")</f>
        <v/>
      </c>
      <c r="N70" s="5" t="str">
        <f>IF(meta_TypedModelElements[[#This Row],[Kind:src]]="_Reference",meta_TypedModelElements[[#This Row],[Display Qualified]],"")</f>
        <v/>
      </c>
      <c r="O70" s="5" t="str">
        <f>IF(OR(meta_TypedModelElements[[#This Row],[Kind:src]]="_Attribute",meta_TypedModelElements[[#This Row],[Kind:src]]="_Reference"),meta_TypedModelElements[[#This Row],[Display Qualified]],"")</f>
        <v/>
      </c>
      <c r="P70" s="22"/>
      <c r="Q70" s="22"/>
      <c r="R70" s="5" t="str">
        <f>IF(meta_TypedModelElements[[#This Row],[Containing Class:display]]="","",meta_TypedModelElements[[#This Row],[Containing Class:display]]&amp;".")&amp;meta_TypedModelElements[[#This Row],[Display without Class]]</f>
        <v>inputString</v>
      </c>
      <c r="S70" s="5" t="str" cm="1">
        <f t="array" ref="S70">_xlfn.IFNA(INDEX(meta_Names[Camel Lower], MATCH(meta_TypedModelElements[[#This Row],[Name or Type]],meta_Names[String],0)),camelCaseLower(meta_TypedModelElements[[#This Row],[Name or Type]]))</f>
        <v>inputString</v>
      </c>
      <c r="T70" s="5" t="str">
        <f>IF(meta_TypedModelElements[[#This Row],[Name or Type]]="","",meta_TypedModelElements[[#This Row],[Name or Type Camel Case Lower]])&amp;IF(meta_TypedModelElements[[#This Row],[Kind:src]]="_Function","("&amp;meta_TypedModelElements[[#This Row],[Function - Parameters Display]]&amp;")","")</f>
        <v>inputString</v>
      </c>
      <c r="U7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0" s="22" t="s">
        <v>313</v>
      </c>
      <c r="W70" s="5" t="e">
        <f>INDEX(meta_Classifiers[Class - Generalization:src],MATCH(meta_TypedModelElements[[#This Row],[Type Super Type 6]],meta_Classifiers[ID],0))</f>
        <v>#N/A</v>
      </c>
      <c r="X70" s="5" t="e">
        <f>INDEX(meta_Classifiers[Class - Generalization:src],MATCH(meta_TypedModelElements[[#This Row],[Type Super Type 5]],meta_Classifiers[ID],0))</f>
        <v>#N/A</v>
      </c>
      <c r="Y70" s="5" t="e">
        <f>INDEX(meta_Classifiers[Class - Generalization:src],MATCH(meta_TypedModelElements[[#This Row],[Type Super Type 4]],meta_Classifiers[ID],0))</f>
        <v>#N/A</v>
      </c>
      <c r="Z70" s="5" t="e">
        <f>INDEX(meta_Classifiers[Class - Generalization:src],MATCH(meta_TypedModelElements[[#This Row],[Type Super Type 3]],meta_Classifiers[ID],0))</f>
        <v>#N/A</v>
      </c>
      <c r="AA70" s="5" t="e">
        <f>INDEX(meta_Classifiers[Class - Generalization:src],MATCH(meta_TypedModelElements[[#This Row],[Type Super Type 2]],meta_Classifiers[ID],0))</f>
        <v>#N/A</v>
      </c>
      <c r="AB70" s="5" t="e">
        <f>INDEX(meta_Classifiers[Class - Generalization:src],MATCH(meta_TypedModelElements[[#This Row],[Type Super Type 1]],meta_Classifiers[ID],0))</f>
        <v>#N/A</v>
      </c>
      <c r="AC70" s="5" t="str">
        <f>INDEX(meta_Classifiers[Class - Generalization:src],MATCH(meta_TypedModelElements[[#This Row],[Type:src]],meta_Classifiers[ID],0))</f>
        <v/>
      </c>
      <c r="AD70" s="5" t="str">
        <f>IF(meta_TypedModelElements[[#This Row],[Kind:src]]&lt;&gt;"_Function",meta_TypedModelElements[[#This Row],[Type]],INDEX(meta_TypedModelElements[Type],MATCH(meta_TypedModelElements[[#This Row],[Function - Owning Property:src]],meta_TypedModelElements[ID],0)))</f>
        <v>String</v>
      </c>
      <c r="AE70" s="5" t="str">
        <f>IF(meta_TypedModelElements[[#This Row],[Kind:src]]&lt;&gt;"_Function",meta_TypedModelElements[[#This Row],[Type:src]],INDEX(meta_TypedModelElements[Type:src],MATCH(meta_TypedModelElements[[#This Row],[Function - Owning Property:src]],meta_TypedModelElements[ID],0)))</f>
        <v>_String</v>
      </c>
      <c r="AF70" s="5" t="str">
        <f>IF(meta_TypedModelElements[[#This Row],[Type:src]]="","",INDEX(meta_Classifiers[Name],MATCH(meta_TypedModelElements[[#This Row],[Type:src]],meta_Classifiers[ID],0)))</f>
        <v>String</v>
      </c>
      <c r="AG70" s="5" t="s">
        <v>180</v>
      </c>
      <c r="AH70" s="22" t="str">
        <f xml:space="preserve"> IF( TRIM( meta_TypedModelElements[[#This Row],[Type:src]] ) = "", "",
        INDEX( meta_Classifiers[Display Qualified], MATCH( meta_TypedModelElements[[#This Row],[Type:src]], meta_Classifiers[ID], 0 ) ) )</f>
        <v>String</v>
      </c>
      <c r="AI70" s="22" t="s">
        <v>19</v>
      </c>
      <c r="AJ70" s="22"/>
      <c r="AK70" s="8"/>
      <c r="AL70" s="22" t="str">
        <f xml:space="preserve"> IF( TRIM( meta_TypedModelElements[[#This Row],[Reference - Opposite:src]] ) = "", "",
        INDEX( meta_TypedModelElements[Display Qualified], MATCH( meta_TypedModelElements[[#This Row],[Reference - Opposite:src]], meta_TypedModelElements[ID], 0 ) ) )</f>
        <v/>
      </c>
      <c r="AM70" s="8"/>
      <c r="AN7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0" s="22">
        <v>1</v>
      </c>
      <c r="AP70"/>
      <c r="AQ70" s="22" t="str">
        <f xml:space="preserve"> IF( TRIM( meta_TypedModelElements[[#This Row],[Function - Owning Property:src]] ) = "", "",
        INDEX( meta_TypedModelElements[Display Qualified], MATCH( meta_TypedModelElements[[#This Row],[Function - Owning Property:src]], meta_TypedModelElements[ID], 0 ) ) )</f>
        <v/>
      </c>
      <c r="AT70" s="22" t="str">
        <f>IF(meta_TypedModelElements[[#This Row],[Parameter - Owning Function:src]]="","",INDEX(meta_TypedModelElements[Display Qualified],MATCH(meta_TypedModelElements[[#This Row],[Parameter - Owning Function:src]],meta_TypedModelElements[ID],0)))</f>
        <v/>
      </c>
      <c r="AV70" s="89"/>
      <c r="AW7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0" s="5" t="str">
        <f>"[@["&amp;meta_TypedModelElements[[#This Row],[Name or Type]]&amp;":src]]"</f>
        <v>[@[Input String:src]]</v>
      </c>
      <c r="AY7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0" s="40"/>
      <c r="BC70" s="40" t="str">
        <f>IF(meta_TypedModelElements[[#This Row],[Kind:src]]="_Parameter","",IF(AND(meta_TypedModelElements[[#This Row],[Package]]="util",meta_TypedModelElements[[#This Row],[Containing Class]]=0), "public", "method"))</f>
        <v/>
      </c>
      <c r="BD70" s="40"/>
      <c r="BE7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0" s="40"/>
      <c r="BK70" s="5"/>
    </row>
    <row r="71" spans="1:63">
      <c r="A71" s="5" t="s">
        <v>397</v>
      </c>
      <c r="B71" s="5" t="s">
        <v>168</v>
      </c>
      <c r="C71" s="22" t="str">
        <f xml:space="preserve"> IF( TRIM( meta_TypedModelElements[[#This Row],[Kind:src]] ) = "", "",
        INDEX( meta_Classifiers[Display Qualified], MATCH( meta_TypedModelElements[[#This Row],[Kind:src]], meta_Classifiers[ID], 0 ) ) )</f>
        <v>Attribute</v>
      </c>
      <c r="D71" s="22">
        <v>70</v>
      </c>
      <c r="E71" s="22" t="s">
        <v>586</v>
      </c>
      <c r="F71" s="22"/>
      <c r="G7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1" s="8"/>
      <c r="J71" s="22" t="str">
        <f xml:space="preserve"> IF( TRIM( meta_TypedModelElements[[#This Row],[Property - Owning Class:src]] ) = "", "",
        INDEX( meta_Classifiers[Display Qualified], MATCH( meta_TypedModelElements[[#This Row],[Property - Owning Class:src]], meta_Classifiers[ID], 0 ) ) )</f>
        <v/>
      </c>
      <c r="K7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util::businessToCamelCaseUpper</v>
      </c>
      <c r="L71" s="5" t="str">
        <f>IF(meta_TypedModelElements[[#This Row],[Kind:src]]="_Function",meta_TypedModelElements[[#This Row],[Display Qualified]],"")</f>
        <v/>
      </c>
      <c r="M71" s="5" t="str">
        <f>IF(meta_TypedModelElements[[#This Row],[Kind:src]]="_Attribute",meta_TypedModelElements[[#This Row],[Display Qualified]],"")</f>
        <v>util::businessToCamelCaseUpper</v>
      </c>
      <c r="N71" s="5" t="str">
        <f>IF(meta_TypedModelElements[[#This Row],[Kind:src]]="_Reference",meta_TypedModelElements[[#This Row],[Display Qualified]],"")</f>
        <v/>
      </c>
      <c r="O71" s="5" t="str">
        <f>IF(OR(meta_TypedModelElements[[#This Row],[Kind:src]]="_Attribute",meta_TypedModelElements[[#This Row],[Kind:src]]="_Reference"),meta_TypedModelElements[[#This Row],[Display Qualified]],"")</f>
        <v>util::businessToCamelCaseUpper</v>
      </c>
      <c r="P71" s="22"/>
      <c r="Q71" s="22"/>
      <c r="R71" s="5" t="str">
        <f>IF(meta_TypedModelElements[[#This Row],[Containing Class:display]]="","",meta_TypedModelElements[[#This Row],[Containing Class:display]]&amp;".")&amp;meta_TypedModelElements[[#This Row],[Display without Class]]</f>
        <v>businessToCamelCaseUpper</v>
      </c>
      <c r="S71" s="5" t="str" cm="1">
        <f t="array" ref="S71">_xlfn.IFNA(INDEX(meta_Names[Camel Lower], MATCH(meta_TypedModelElements[[#This Row],[Name or Type]],meta_Names[String],0)),camelCaseLower(meta_TypedModelElements[[#This Row],[Name or Type]]))</f>
        <v>businessToCamelCaseUpper</v>
      </c>
      <c r="T71" s="5" t="str">
        <f>IF(meta_TypedModelElements[[#This Row],[Name or Type]]="","",meta_TypedModelElements[[#This Row],[Name or Type Camel Case Lower]])&amp;IF(meta_TypedModelElements[[#This Row],[Kind:src]]="_Function","("&amp;meta_TypedModelElements[[#This Row],[Function - Parameters Display]]&amp;")","")</f>
        <v>businessToCamelCaseUpper</v>
      </c>
      <c r="U7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1" s="22" t="s">
        <v>391</v>
      </c>
      <c r="W71" s="5" t="e">
        <f>INDEX(meta_Classifiers[Class - Generalization:src],MATCH(meta_TypedModelElements[[#This Row],[Type Super Type 6]],meta_Classifiers[ID],0))</f>
        <v>#N/A</v>
      </c>
      <c r="X71" s="5" t="e">
        <f>INDEX(meta_Classifiers[Class - Generalization:src],MATCH(meta_TypedModelElements[[#This Row],[Type Super Type 5]],meta_Classifiers[ID],0))</f>
        <v>#N/A</v>
      </c>
      <c r="Y71" s="5" t="e">
        <f>INDEX(meta_Classifiers[Class - Generalization:src],MATCH(meta_TypedModelElements[[#This Row],[Type Super Type 4]],meta_Classifiers[ID],0))</f>
        <v>#N/A</v>
      </c>
      <c r="Z71" s="5" t="e">
        <f>INDEX(meta_Classifiers[Class - Generalization:src],MATCH(meta_TypedModelElements[[#This Row],[Type Super Type 3]],meta_Classifiers[ID],0))</f>
        <v>#N/A</v>
      </c>
      <c r="AA71" s="5" t="e">
        <f>INDEX(meta_Classifiers[Class - Generalization:src],MATCH(meta_TypedModelElements[[#This Row],[Type Super Type 2]],meta_Classifiers[ID],0))</f>
        <v>#N/A</v>
      </c>
      <c r="AB71" s="5" t="e">
        <f>INDEX(meta_Classifiers[Class - Generalization:src],MATCH(meta_TypedModelElements[[#This Row],[Type Super Type 1]],meta_Classifiers[ID],0))</f>
        <v>#N/A</v>
      </c>
      <c r="AC71" s="5" t="str">
        <f>INDEX(meta_Classifiers[Class - Generalization:src],MATCH(meta_TypedModelElements[[#This Row],[Type:src]],meta_Classifiers[ID],0))</f>
        <v/>
      </c>
      <c r="AD71" s="5" t="str">
        <f>IF(meta_TypedModelElements[[#This Row],[Kind:src]]&lt;&gt;"_Function",meta_TypedModelElements[[#This Row],[Type]],INDEX(meta_TypedModelElements[Type],MATCH(meta_TypedModelElements[[#This Row],[Function - Owning Property:src]],meta_TypedModelElements[ID],0)))</f>
        <v>String</v>
      </c>
      <c r="AE71" s="5" t="str">
        <f>IF(meta_TypedModelElements[[#This Row],[Kind:src]]&lt;&gt;"_Function",meta_TypedModelElements[[#This Row],[Type:src]],INDEX(meta_TypedModelElements[Type:src],MATCH(meta_TypedModelElements[[#This Row],[Function - Owning Property:src]],meta_TypedModelElements[ID],0)))</f>
        <v>_String</v>
      </c>
      <c r="AF71" s="5" t="str">
        <f>IF(meta_TypedModelElements[[#This Row],[Type:src]]="","",INDEX(meta_Classifiers[Name],MATCH(meta_TypedModelElements[[#This Row],[Type:src]],meta_Classifiers[ID],0)))</f>
        <v>String</v>
      </c>
      <c r="AG71" s="5" t="s">
        <v>180</v>
      </c>
      <c r="AH71" s="22" t="str">
        <f xml:space="preserve"> IF( TRIM( meta_TypedModelElements[[#This Row],[Type:src]] ) = "", "",
        INDEX( meta_Classifiers[Display Qualified], MATCH( meta_TypedModelElements[[#This Row],[Type:src]], meta_Classifiers[ID], 0 ) ) )</f>
        <v>String</v>
      </c>
      <c r="AI71" s="22"/>
      <c r="AJ71" s="22"/>
      <c r="AK71" s="8"/>
      <c r="AL71" s="22" t="str">
        <f xml:space="preserve"> IF( TRIM( meta_TypedModelElements[[#This Row],[Reference - Opposite:src]] ) = "", "",
        INDEX( meta_TypedModelElements[Display Qualified], MATCH( meta_TypedModelElements[[#This Row],[Reference - Opposite:src]], meta_TypedModelElements[ID], 0 ) ) )</f>
        <v/>
      </c>
      <c r="AM71" s="8"/>
      <c r="AN7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1" s="22"/>
      <c r="AP71"/>
      <c r="AQ71" s="22" t="str">
        <f xml:space="preserve"> IF( TRIM( meta_TypedModelElements[[#This Row],[Function - Owning Property:src]] ) = "", "",
        INDEX( meta_TypedModelElements[Display Qualified], MATCH( meta_TypedModelElements[[#This Row],[Function - Owning Property:src]], meta_TypedModelElements[ID], 0 ) ) )</f>
        <v/>
      </c>
      <c r="AT71" s="22" t="str">
        <f>IF(meta_TypedModelElements[[#This Row],[Parameter - Owning Function:src]]="","",INDEX(meta_TypedModelElements[Display Qualified],MATCH(meta_TypedModelElements[[#This Row],[Parameter - Owning Function:src]],meta_TypedModelElements[ID],0)))</f>
        <v/>
      </c>
      <c r="AV71" s="89"/>
      <c r="AW7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1" s="5" t="str">
        <f>"[@["&amp;meta_TypedModelElements[[#This Row],[Name or Type]]&amp;":src]]"</f>
        <v>[@[Business To Camel Case Upper:src]]</v>
      </c>
      <c r="AY7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1" s="40"/>
      <c r="BC71" s="40" t="str">
        <f>IF(meta_TypedModelElements[[#This Row],[Kind:src]]="_Parameter","",IF(AND(meta_TypedModelElements[[#This Row],[Package]]="util",meta_TypedModelElements[[#This Row],[Containing Class]]=0), "public", "method"))</f>
        <v>method</v>
      </c>
      <c r="BD71" s="40"/>
      <c r="BE7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1" s="40"/>
      <c r="BK71" s="5"/>
    </row>
    <row r="72" spans="1:63">
      <c r="A72" s="5" t="s">
        <v>403</v>
      </c>
      <c r="B72" s="5" t="s">
        <v>165</v>
      </c>
      <c r="C72" s="22" t="str">
        <f xml:space="preserve"> IF( TRIM( meta_TypedModelElements[[#This Row],[Kind:src]] ) = "", "",
        INDEX( meta_Classifiers[Display Qualified], MATCH( meta_TypedModelElements[[#This Row],[Kind:src]], meta_Classifiers[ID], 0 ) ) )</f>
        <v>Function</v>
      </c>
      <c r="D72" s="22">
        <v>71</v>
      </c>
      <c r="E72" s="22" t="s">
        <v>586</v>
      </c>
      <c r="F72" s="22"/>
      <c r="G7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2" s="8"/>
      <c r="J72" s="22" t="str">
        <f xml:space="preserve"> IF( TRIM( meta_TypedModelElements[[#This Row],[Property - Owning Class:src]] ) = "", "",
        INDEX( meta_Classifiers[Display Qualified], MATCH( meta_TypedModelElements[[#This Row],[Property - Owning Class:src]], meta_Classifiers[ID], 0 ) ) )</f>
        <v/>
      </c>
      <c r="K7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util::businessToCamelCaseUpper(String)</v>
      </c>
      <c r="L72" s="5" t="str">
        <f>IF(meta_TypedModelElements[[#This Row],[Kind:src]]="_Function",meta_TypedModelElements[[#This Row],[Display Qualified]],"")</f>
        <v>util::businessToCamelCaseUpper(String)</v>
      </c>
      <c r="M72" s="5" t="str">
        <f>IF(meta_TypedModelElements[[#This Row],[Kind:src]]="_Attribute",meta_TypedModelElements[[#This Row],[Display Qualified]],"")</f>
        <v/>
      </c>
      <c r="N72" s="5" t="str">
        <f>IF(meta_TypedModelElements[[#This Row],[Kind:src]]="_Reference",meta_TypedModelElements[[#This Row],[Display Qualified]],"")</f>
        <v/>
      </c>
      <c r="O72" s="5" t="str">
        <f>IF(OR(meta_TypedModelElements[[#This Row],[Kind:src]]="_Attribute",meta_TypedModelElements[[#This Row],[Kind:src]]="_Reference"),meta_TypedModelElements[[#This Row],[Display Qualified]],"")</f>
        <v/>
      </c>
      <c r="P72" s="22" t="s">
        <v>18</v>
      </c>
      <c r="Q72" s="22" t="s">
        <v>445</v>
      </c>
      <c r="R72" s="5" t="str">
        <f>IF(meta_TypedModelElements[[#This Row],[Containing Class:display]]="","",meta_TypedModelElements[[#This Row],[Containing Class:display]]&amp;".")&amp;meta_TypedModelElements[[#This Row],[Display without Class]]</f>
        <v>businessToCamelCaseUpper(String)</v>
      </c>
      <c r="S72" s="5" t="str" cm="1">
        <f t="array" ref="S72">_xlfn.IFNA(INDEX(meta_Names[Camel Lower], MATCH(meta_TypedModelElements[[#This Row],[Name or Type]],meta_Names[String],0)),camelCaseLower(meta_TypedModelElements[[#This Row],[Name or Type]]))</f>
        <v>businessToCamelCaseUpper</v>
      </c>
      <c r="T72" s="5" t="str">
        <f>IF(meta_TypedModelElements[[#This Row],[Name or Type]]="","",meta_TypedModelElements[[#This Row],[Name or Type Camel Case Lower]])&amp;IF(meta_TypedModelElements[[#This Row],[Kind:src]]="_Function","("&amp;meta_TypedModelElements[[#This Row],[Function - Parameters Display]]&amp;")","")</f>
        <v>businessToCamelCaseUpper(String)</v>
      </c>
      <c r="U7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2" s="22"/>
      <c r="W72" s="5" t="e">
        <f>INDEX(meta_Classifiers[Class - Generalization:src],MATCH(meta_TypedModelElements[[#This Row],[Type Super Type 6]],meta_Classifiers[ID],0))</f>
        <v>#N/A</v>
      </c>
      <c r="X72" s="5" t="e">
        <f>INDEX(meta_Classifiers[Class - Generalization:src],MATCH(meta_TypedModelElements[[#This Row],[Type Super Type 5]],meta_Classifiers[ID],0))</f>
        <v>#N/A</v>
      </c>
      <c r="Y72" s="5" t="e">
        <f>INDEX(meta_Classifiers[Class - Generalization:src],MATCH(meta_TypedModelElements[[#This Row],[Type Super Type 4]],meta_Classifiers[ID],0))</f>
        <v>#N/A</v>
      </c>
      <c r="Z72" s="5" t="e">
        <f>INDEX(meta_Classifiers[Class - Generalization:src],MATCH(meta_TypedModelElements[[#This Row],[Type Super Type 3]],meta_Classifiers[ID],0))</f>
        <v>#N/A</v>
      </c>
      <c r="AA72" s="5" t="e">
        <f>INDEX(meta_Classifiers[Class - Generalization:src],MATCH(meta_TypedModelElements[[#This Row],[Type Super Type 2]],meta_Classifiers[ID],0))</f>
        <v>#N/A</v>
      </c>
      <c r="AB72" s="5" t="e">
        <f>INDEX(meta_Classifiers[Class - Generalization:src],MATCH(meta_TypedModelElements[[#This Row],[Type Super Type 1]],meta_Classifiers[ID],0))</f>
        <v>#N/A</v>
      </c>
      <c r="AC72" s="5" t="e">
        <f>INDEX(meta_Classifiers[Class - Generalization:src],MATCH(meta_TypedModelElements[[#This Row],[Type:src]],meta_Classifiers[ID],0))</f>
        <v>#N/A</v>
      </c>
      <c r="AD72" s="5" t="str">
        <f>IF(meta_TypedModelElements[[#This Row],[Kind:src]]&lt;&gt;"_Function",meta_TypedModelElements[[#This Row],[Type]],INDEX(meta_TypedModelElements[Type],MATCH(meta_TypedModelElements[[#This Row],[Function - Owning Property:src]],meta_TypedModelElements[ID],0)))</f>
        <v>String</v>
      </c>
      <c r="AE72" s="5" t="str">
        <f>IF(meta_TypedModelElements[[#This Row],[Kind:src]]&lt;&gt;"_Function",meta_TypedModelElements[[#This Row],[Type:src]],INDEX(meta_TypedModelElements[Type:src],MATCH(meta_TypedModelElements[[#This Row],[Function - Owning Property:src]],meta_TypedModelElements[ID],0)))</f>
        <v>_String</v>
      </c>
      <c r="AF72" s="5" t="str">
        <f>IF(meta_TypedModelElements[[#This Row],[Type:src]]="","",INDEX(meta_Classifiers[Name],MATCH(meta_TypedModelElements[[#This Row],[Type:src]],meta_Classifiers[ID],0)))</f>
        <v/>
      </c>
      <c r="AH72" s="22" t="str">
        <f xml:space="preserve"> IF( TRIM( meta_TypedModelElements[[#This Row],[Type:src]] ) = "", "",
        INDEX( meta_Classifiers[Display Qualified], MATCH( meta_TypedModelElements[[#This Row],[Type:src]], meta_Classifiers[ID], 0 ) ) )</f>
        <v/>
      </c>
      <c r="AI72" s="22"/>
      <c r="AJ72" s="22"/>
      <c r="AK72" s="8"/>
      <c r="AL72" s="22" t="str">
        <f xml:space="preserve"> IF( TRIM( meta_TypedModelElements[[#This Row],[Reference - Opposite:src]] ) = "", "",
        INDEX( meta_TypedModelElements[Display Qualified], MATCH( meta_TypedModelElements[[#This Row],[Reference - Opposite:src]], meta_TypedModelElements[ID], 0 ) ) )</f>
        <v/>
      </c>
      <c r="AM72" s="8"/>
      <c r="AN7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2" s="22"/>
      <c r="AP72" t="s">
        <v>397</v>
      </c>
      <c r="AQ72" s="22" t="str">
        <f xml:space="preserve"> IF( TRIM( meta_TypedModelElements[[#This Row],[Function - Owning Property:src]] ) = "", "",
        INDEX( meta_TypedModelElements[Display Qualified], MATCH( meta_TypedModelElements[[#This Row],[Function - Owning Property:src]], meta_TypedModelElements[ID], 0 ) ) )</f>
        <v>util::businessToCamelCaseUpper</v>
      </c>
      <c r="AT72" s="22" t="str">
        <f>IF(meta_TypedModelElements[[#This Row],[Parameter - Owning Function:src]]="","",INDEX(meta_TypedModelElements[Display Qualified],MATCH(meta_TypedModelElements[[#This Row],[Parameter - Owning Function:src]],meta_TypedModelElements[ID],0)))</f>
        <v/>
      </c>
      <c r="AV72" s="89"/>
      <c r="AW7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2" s="5" t="str">
        <f>"[@["&amp;meta_TypedModelElements[[#This Row],[Name or Type]]&amp;":src]]"</f>
        <v>[@[Business To Camel Case Upper:src]]</v>
      </c>
      <c r="AY7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2" s="40"/>
      <c r="BC72" s="40" t="str">
        <f>IF(meta_TypedModelElements[[#This Row],[Kind:src]]="_Parameter","",IF(AND(meta_TypedModelElements[[#This Row],[Package]]="util",meta_TypedModelElements[[#This Row],[Containing Class]]=0), "public", "method"))</f>
        <v>method</v>
      </c>
      <c r="BD72" s="40"/>
      <c r="BE7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2" s="40"/>
      <c r="BK72" s="5"/>
    </row>
    <row r="73" spans="1:63">
      <c r="A73" s="5" t="s">
        <v>409</v>
      </c>
      <c r="B73" s="5" t="s">
        <v>166</v>
      </c>
      <c r="C73" s="22" t="str">
        <f xml:space="preserve"> IF( TRIM( meta_TypedModelElements[[#This Row],[Kind:src]] ) = "", "",
        INDEX( meta_Classifiers[Display Qualified], MATCH( meta_TypedModelElements[[#This Row],[Kind:src]], meta_Classifiers[ID], 0 ) ) )</f>
        <v>Parameter</v>
      </c>
      <c r="D73" s="22">
        <v>72</v>
      </c>
      <c r="E73" s="22" t="s">
        <v>586</v>
      </c>
      <c r="F73" s="22"/>
      <c r="G7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3" s="8"/>
      <c r="J73" s="22" t="str">
        <f xml:space="preserve"> IF( TRIM( meta_TypedModelElements[[#This Row],[Property - Owning Class:src]] ) = "", "",
        INDEX( meta_Classifiers[Display Qualified], MATCH( meta_TypedModelElements[[#This Row],[Property - Owning Class:src]], meta_Classifiers[ID], 0 ) ) )</f>
        <v/>
      </c>
      <c r="K73"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73" s="5" t="str">
        <f>IF(meta_TypedModelElements[[#This Row],[Kind:src]]="_Function",meta_TypedModelElements[[#This Row],[Display Qualified]],"")</f>
        <v/>
      </c>
      <c r="M73" s="5" t="str">
        <f>IF(meta_TypedModelElements[[#This Row],[Kind:src]]="_Attribute",meta_TypedModelElements[[#This Row],[Display Qualified]],"")</f>
        <v/>
      </c>
      <c r="N73" s="5" t="str">
        <f>IF(meta_TypedModelElements[[#This Row],[Kind:src]]="_Reference",meta_TypedModelElements[[#This Row],[Display Qualified]],"")</f>
        <v/>
      </c>
      <c r="O73" s="5" t="str">
        <f>IF(OR(meta_TypedModelElements[[#This Row],[Kind:src]]="_Attribute",meta_TypedModelElements[[#This Row],[Kind:src]]="_Reference"),meta_TypedModelElements[[#This Row],[Display Qualified]],"")</f>
        <v/>
      </c>
      <c r="P73" s="22"/>
      <c r="Q73" s="22"/>
      <c r="R73" s="5" t="str">
        <f>IF(meta_TypedModelElements[[#This Row],[Containing Class:display]]="","",meta_TypedModelElements[[#This Row],[Containing Class:display]]&amp;".")&amp;meta_TypedModelElements[[#This Row],[Display without Class]]</f>
        <v>inputString</v>
      </c>
      <c r="S73" s="5" t="str" cm="1">
        <f t="array" ref="S73">_xlfn.IFNA(INDEX(meta_Names[Camel Lower], MATCH(meta_TypedModelElements[[#This Row],[Name or Type]],meta_Names[String],0)),camelCaseLower(meta_TypedModelElements[[#This Row],[Name or Type]]))</f>
        <v>inputString</v>
      </c>
      <c r="T73" s="5" t="str">
        <f>IF(meta_TypedModelElements[[#This Row],[Name or Type]]="","",meta_TypedModelElements[[#This Row],[Name or Type Camel Case Lower]])&amp;IF(meta_TypedModelElements[[#This Row],[Kind:src]]="_Function","("&amp;meta_TypedModelElements[[#This Row],[Function - Parameters Display]]&amp;")","")</f>
        <v>inputString</v>
      </c>
      <c r="U7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3" s="22" t="s">
        <v>313</v>
      </c>
      <c r="W73" s="5" t="e">
        <f>INDEX(meta_Classifiers[Class - Generalization:src],MATCH(meta_TypedModelElements[[#This Row],[Type Super Type 6]],meta_Classifiers[ID],0))</f>
        <v>#N/A</v>
      </c>
      <c r="X73" s="5" t="e">
        <f>INDEX(meta_Classifiers[Class - Generalization:src],MATCH(meta_TypedModelElements[[#This Row],[Type Super Type 5]],meta_Classifiers[ID],0))</f>
        <v>#N/A</v>
      </c>
      <c r="Y73" s="5" t="e">
        <f>INDEX(meta_Classifiers[Class - Generalization:src],MATCH(meta_TypedModelElements[[#This Row],[Type Super Type 4]],meta_Classifiers[ID],0))</f>
        <v>#N/A</v>
      </c>
      <c r="Z73" s="5" t="e">
        <f>INDEX(meta_Classifiers[Class - Generalization:src],MATCH(meta_TypedModelElements[[#This Row],[Type Super Type 3]],meta_Classifiers[ID],0))</f>
        <v>#N/A</v>
      </c>
      <c r="AA73" s="5" t="e">
        <f>INDEX(meta_Classifiers[Class - Generalization:src],MATCH(meta_TypedModelElements[[#This Row],[Type Super Type 2]],meta_Classifiers[ID],0))</f>
        <v>#N/A</v>
      </c>
      <c r="AB73" s="5" t="e">
        <f>INDEX(meta_Classifiers[Class - Generalization:src],MATCH(meta_TypedModelElements[[#This Row],[Type Super Type 1]],meta_Classifiers[ID],0))</f>
        <v>#N/A</v>
      </c>
      <c r="AC73" s="5" t="str">
        <f>INDEX(meta_Classifiers[Class - Generalization:src],MATCH(meta_TypedModelElements[[#This Row],[Type:src]],meta_Classifiers[ID],0))</f>
        <v/>
      </c>
      <c r="AD73" s="5" t="str">
        <f>IF(meta_TypedModelElements[[#This Row],[Kind:src]]&lt;&gt;"_Function",meta_TypedModelElements[[#This Row],[Type]],INDEX(meta_TypedModelElements[Type],MATCH(meta_TypedModelElements[[#This Row],[Function - Owning Property:src]],meta_TypedModelElements[ID],0)))</f>
        <v>String</v>
      </c>
      <c r="AE73" s="5" t="str">
        <f>IF(meta_TypedModelElements[[#This Row],[Kind:src]]&lt;&gt;"_Function",meta_TypedModelElements[[#This Row],[Type:src]],INDEX(meta_TypedModelElements[Type:src],MATCH(meta_TypedModelElements[[#This Row],[Function - Owning Property:src]],meta_TypedModelElements[ID],0)))</f>
        <v>_String</v>
      </c>
      <c r="AF73" s="5" t="str">
        <f>IF(meta_TypedModelElements[[#This Row],[Type:src]]="","",INDEX(meta_Classifiers[Name],MATCH(meta_TypedModelElements[[#This Row],[Type:src]],meta_Classifiers[ID],0)))</f>
        <v>String</v>
      </c>
      <c r="AG73" s="5" t="s">
        <v>180</v>
      </c>
      <c r="AH73" s="22" t="str">
        <f xml:space="preserve"> IF( TRIM( meta_TypedModelElements[[#This Row],[Type:src]] ) = "", "",
        INDEX( meta_Classifiers[Display Qualified], MATCH( meta_TypedModelElements[[#This Row],[Type:src]], meta_Classifiers[ID], 0 ) ) )</f>
        <v>String</v>
      </c>
      <c r="AI73" s="22" t="s">
        <v>19</v>
      </c>
      <c r="AJ73" s="22"/>
      <c r="AK73" s="8"/>
      <c r="AL73" s="22" t="str">
        <f xml:space="preserve"> IF( TRIM( meta_TypedModelElements[[#This Row],[Reference - Opposite:src]] ) = "", "",
        INDEX( meta_TypedModelElements[Display Qualified], MATCH( meta_TypedModelElements[[#This Row],[Reference - Opposite:src]], meta_TypedModelElements[ID], 0 ) ) )</f>
        <v/>
      </c>
      <c r="AM73" s="8"/>
      <c r="AN7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3" s="22">
        <v>1</v>
      </c>
      <c r="AP73"/>
      <c r="AQ73" s="22" t="str">
        <f xml:space="preserve"> IF( TRIM( meta_TypedModelElements[[#This Row],[Function - Owning Property:src]] ) = "", "",
        INDEX( meta_TypedModelElements[Display Qualified], MATCH( meta_TypedModelElements[[#This Row],[Function - Owning Property:src]], meta_TypedModelElements[ID], 0 ) ) )</f>
        <v/>
      </c>
      <c r="AT73" s="22" t="str">
        <f>IF(meta_TypedModelElements[[#This Row],[Parameter - Owning Function:src]]="","",INDEX(meta_TypedModelElements[Display Qualified],MATCH(meta_TypedModelElements[[#This Row],[Parameter - Owning Function:src]],meta_TypedModelElements[ID],0)))</f>
        <v/>
      </c>
      <c r="AV73" s="89"/>
      <c r="AW7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3" s="5" t="str">
        <f>"[@["&amp;meta_TypedModelElements[[#This Row],[Name or Type]]&amp;":src]]"</f>
        <v>[@[Input String:src]]</v>
      </c>
      <c r="AY7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3" s="40"/>
      <c r="BC73" s="40" t="str">
        <f>IF(meta_TypedModelElements[[#This Row],[Kind:src]]="_Parameter","",IF(AND(meta_TypedModelElements[[#This Row],[Package]]="util",meta_TypedModelElements[[#This Row],[Containing Class]]=0), "public", "method"))</f>
        <v/>
      </c>
      <c r="BD73" s="40"/>
      <c r="BE7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3" s="40"/>
      <c r="BK73" s="5"/>
    </row>
    <row r="74" spans="1:63">
      <c r="A74" s="5" t="s">
        <v>398</v>
      </c>
      <c r="B74" s="5" t="s">
        <v>168</v>
      </c>
      <c r="C74" s="22" t="str">
        <f xml:space="preserve"> IF( TRIM( meta_TypedModelElements[[#This Row],[Kind:src]] ) = "", "",
        INDEX( meta_Classifiers[Display Qualified], MATCH( meta_TypedModelElements[[#This Row],[Kind:src]], meta_Classifiers[ID], 0 ) ) )</f>
        <v>Attribute</v>
      </c>
      <c r="D74" s="22">
        <v>73</v>
      </c>
      <c r="E74" s="22" t="s">
        <v>586</v>
      </c>
      <c r="F74" s="22"/>
      <c r="G7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4" s="8"/>
      <c r="J74" s="22" t="str">
        <f xml:space="preserve"> IF( TRIM( meta_TypedModelElements[[#This Row],[Property - Owning Class:src]] ) = "", "",
        INDEX( meta_Classifiers[Display Qualified], MATCH( meta_TypedModelElements[[#This Row],[Property - Owning Class:src]], meta_Classifiers[ID], 0 ) ) )</f>
        <v/>
      </c>
      <c r="K7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util::businessToCamelCaseLower</v>
      </c>
      <c r="L74" s="5" t="str">
        <f>IF(meta_TypedModelElements[[#This Row],[Kind:src]]="_Function",meta_TypedModelElements[[#This Row],[Display Qualified]],"")</f>
        <v/>
      </c>
      <c r="M74" s="5" t="str">
        <f>IF(meta_TypedModelElements[[#This Row],[Kind:src]]="_Attribute",meta_TypedModelElements[[#This Row],[Display Qualified]],"")</f>
        <v>util::businessToCamelCaseLower</v>
      </c>
      <c r="N74" s="5" t="str">
        <f>IF(meta_TypedModelElements[[#This Row],[Kind:src]]="_Reference",meta_TypedModelElements[[#This Row],[Display Qualified]],"")</f>
        <v/>
      </c>
      <c r="O74" s="5" t="str">
        <f>IF(OR(meta_TypedModelElements[[#This Row],[Kind:src]]="_Attribute",meta_TypedModelElements[[#This Row],[Kind:src]]="_Reference"),meta_TypedModelElements[[#This Row],[Display Qualified]],"")</f>
        <v>util::businessToCamelCaseLower</v>
      </c>
      <c r="P74" s="22"/>
      <c r="Q74" s="22"/>
      <c r="R74" s="5" t="str">
        <f>IF(meta_TypedModelElements[[#This Row],[Containing Class:display]]="","",meta_TypedModelElements[[#This Row],[Containing Class:display]]&amp;".")&amp;meta_TypedModelElements[[#This Row],[Display without Class]]</f>
        <v>businessToCamelCaseLower</v>
      </c>
      <c r="S74" s="5" t="str" cm="1">
        <f t="array" ref="S74">_xlfn.IFNA(INDEX(meta_Names[Camel Lower], MATCH(meta_TypedModelElements[[#This Row],[Name or Type]],meta_Names[String],0)),camelCaseLower(meta_TypedModelElements[[#This Row],[Name or Type]]))</f>
        <v>businessToCamelCaseLower</v>
      </c>
      <c r="T74" s="5" t="str">
        <f>IF(meta_TypedModelElements[[#This Row],[Name or Type]]="","",meta_TypedModelElements[[#This Row],[Name or Type Camel Case Lower]])&amp;IF(meta_TypedModelElements[[#This Row],[Kind:src]]="_Function","("&amp;meta_TypedModelElements[[#This Row],[Function - Parameters Display]]&amp;")","")</f>
        <v>businessToCamelCaseLower</v>
      </c>
      <c r="U7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4" s="22" t="s">
        <v>392</v>
      </c>
      <c r="W74" s="5" t="e">
        <f>INDEX(meta_Classifiers[Class - Generalization:src],MATCH(meta_TypedModelElements[[#This Row],[Type Super Type 6]],meta_Classifiers[ID],0))</f>
        <v>#N/A</v>
      </c>
      <c r="X74" s="5" t="e">
        <f>INDEX(meta_Classifiers[Class - Generalization:src],MATCH(meta_TypedModelElements[[#This Row],[Type Super Type 5]],meta_Classifiers[ID],0))</f>
        <v>#N/A</v>
      </c>
      <c r="Y74" s="5" t="e">
        <f>INDEX(meta_Classifiers[Class - Generalization:src],MATCH(meta_TypedModelElements[[#This Row],[Type Super Type 4]],meta_Classifiers[ID],0))</f>
        <v>#N/A</v>
      </c>
      <c r="Z74" s="5" t="e">
        <f>INDEX(meta_Classifiers[Class - Generalization:src],MATCH(meta_TypedModelElements[[#This Row],[Type Super Type 3]],meta_Classifiers[ID],0))</f>
        <v>#N/A</v>
      </c>
      <c r="AA74" s="5" t="e">
        <f>INDEX(meta_Classifiers[Class - Generalization:src],MATCH(meta_TypedModelElements[[#This Row],[Type Super Type 2]],meta_Classifiers[ID],0))</f>
        <v>#N/A</v>
      </c>
      <c r="AB74" s="5" t="e">
        <f>INDEX(meta_Classifiers[Class - Generalization:src],MATCH(meta_TypedModelElements[[#This Row],[Type Super Type 1]],meta_Classifiers[ID],0))</f>
        <v>#N/A</v>
      </c>
      <c r="AC74" s="5" t="str">
        <f>INDEX(meta_Classifiers[Class - Generalization:src],MATCH(meta_TypedModelElements[[#This Row],[Type:src]],meta_Classifiers[ID],0))</f>
        <v/>
      </c>
      <c r="AD74" s="5" t="str">
        <f>IF(meta_TypedModelElements[[#This Row],[Kind:src]]&lt;&gt;"_Function",meta_TypedModelElements[[#This Row],[Type]],INDEX(meta_TypedModelElements[Type],MATCH(meta_TypedModelElements[[#This Row],[Function - Owning Property:src]],meta_TypedModelElements[ID],0)))</f>
        <v>String</v>
      </c>
      <c r="AE74" s="5" t="str">
        <f>IF(meta_TypedModelElements[[#This Row],[Kind:src]]&lt;&gt;"_Function",meta_TypedModelElements[[#This Row],[Type:src]],INDEX(meta_TypedModelElements[Type:src],MATCH(meta_TypedModelElements[[#This Row],[Function - Owning Property:src]],meta_TypedModelElements[ID],0)))</f>
        <v>_String</v>
      </c>
      <c r="AF74" s="5" t="str">
        <f>IF(meta_TypedModelElements[[#This Row],[Type:src]]="","",INDEX(meta_Classifiers[Name],MATCH(meta_TypedModelElements[[#This Row],[Type:src]],meta_Classifiers[ID],0)))</f>
        <v>String</v>
      </c>
      <c r="AG74" s="5" t="s">
        <v>180</v>
      </c>
      <c r="AH74" s="22" t="str">
        <f xml:space="preserve"> IF( TRIM( meta_TypedModelElements[[#This Row],[Type:src]] ) = "", "",
        INDEX( meta_Classifiers[Display Qualified], MATCH( meta_TypedModelElements[[#This Row],[Type:src]], meta_Classifiers[ID], 0 ) ) )</f>
        <v>String</v>
      </c>
      <c r="AI74" s="22"/>
      <c r="AJ74" s="22"/>
      <c r="AK74" s="8"/>
      <c r="AL74" s="22" t="str">
        <f xml:space="preserve"> IF( TRIM( meta_TypedModelElements[[#This Row],[Reference - Opposite:src]] ) = "", "",
        INDEX( meta_TypedModelElements[Display Qualified], MATCH( meta_TypedModelElements[[#This Row],[Reference - Opposite:src]], meta_TypedModelElements[ID], 0 ) ) )</f>
        <v/>
      </c>
      <c r="AM74" s="8"/>
      <c r="AN7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4" s="22"/>
      <c r="AP74"/>
      <c r="AQ74" s="22" t="str">
        <f xml:space="preserve"> IF( TRIM( meta_TypedModelElements[[#This Row],[Function - Owning Property:src]] ) = "", "",
        INDEX( meta_TypedModelElements[Display Qualified], MATCH( meta_TypedModelElements[[#This Row],[Function - Owning Property:src]], meta_TypedModelElements[ID], 0 ) ) )</f>
        <v/>
      </c>
      <c r="AT74" s="22" t="str">
        <f>IF(meta_TypedModelElements[[#This Row],[Parameter - Owning Function:src]]="","",INDEX(meta_TypedModelElements[Display Qualified],MATCH(meta_TypedModelElements[[#This Row],[Parameter - Owning Function:src]],meta_TypedModelElements[ID],0)))</f>
        <v/>
      </c>
      <c r="AV74" s="89"/>
      <c r="AW7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4" s="5" t="str">
        <f>"[@["&amp;meta_TypedModelElements[[#This Row],[Name or Type]]&amp;":src]]"</f>
        <v>[@[Business To Camel Case Lower:src]]</v>
      </c>
      <c r="AY7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4" s="40"/>
      <c r="BC74" s="40" t="str">
        <f>IF(meta_TypedModelElements[[#This Row],[Kind:src]]="_Parameter","",IF(AND(meta_TypedModelElements[[#This Row],[Package]]="util",meta_TypedModelElements[[#This Row],[Containing Class]]=0), "public", "method"))</f>
        <v>method</v>
      </c>
      <c r="BD74" s="40"/>
      <c r="BE7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4" s="40"/>
      <c r="BK74" s="5"/>
    </row>
    <row r="75" spans="1:63">
      <c r="A75" s="5" t="s">
        <v>404</v>
      </c>
      <c r="B75" s="5" t="s">
        <v>165</v>
      </c>
      <c r="C75" s="22" t="str">
        <f xml:space="preserve"> IF( TRIM( meta_TypedModelElements[[#This Row],[Kind:src]] ) = "", "",
        INDEX( meta_Classifiers[Display Qualified], MATCH( meta_TypedModelElements[[#This Row],[Kind:src]], meta_Classifiers[ID], 0 ) ) )</f>
        <v>Function</v>
      </c>
      <c r="D75" s="22">
        <v>74</v>
      </c>
      <c r="E75" s="22" t="s">
        <v>586</v>
      </c>
      <c r="F75" s="22"/>
      <c r="G7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5" s="8"/>
      <c r="J75" s="22" t="str">
        <f xml:space="preserve"> IF( TRIM( meta_TypedModelElements[[#This Row],[Property - Owning Class:src]] ) = "", "",
        INDEX( meta_Classifiers[Display Qualified], MATCH( meta_TypedModelElements[[#This Row],[Property - Owning Class:src]], meta_Classifiers[ID], 0 ) ) )</f>
        <v/>
      </c>
      <c r="K7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util::businessToCamelCaseLower(String)</v>
      </c>
      <c r="L75" s="5" t="str">
        <f>IF(meta_TypedModelElements[[#This Row],[Kind:src]]="_Function",meta_TypedModelElements[[#This Row],[Display Qualified]],"")</f>
        <v>util::businessToCamelCaseLower(String)</v>
      </c>
      <c r="M75" s="5" t="str">
        <f>IF(meta_TypedModelElements[[#This Row],[Kind:src]]="_Attribute",meta_TypedModelElements[[#This Row],[Display Qualified]],"")</f>
        <v/>
      </c>
      <c r="N75" s="5" t="str">
        <f>IF(meta_TypedModelElements[[#This Row],[Kind:src]]="_Reference",meta_TypedModelElements[[#This Row],[Display Qualified]],"")</f>
        <v/>
      </c>
      <c r="O75" s="5" t="str">
        <f>IF(OR(meta_TypedModelElements[[#This Row],[Kind:src]]="_Attribute",meta_TypedModelElements[[#This Row],[Kind:src]]="_Reference"),meta_TypedModelElements[[#This Row],[Display Qualified]],"")</f>
        <v/>
      </c>
      <c r="P75" s="22" t="s">
        <v>18</v>
      </c>
      <c r="Q75" s="22" t="s">
        <v>445</v>
      </c>
      <c r="R75" s="5" t="str">
        <f>IF(meta_TypedModelElements[[#This Row],[Containing Class:display]]="","",meta_TypedModelElements[[#This Row],[Containing Class:display]]&amp;".")&amp;meta_TypedModelElements[[#This Row],[Display without Class]]</f>
        <v>businessToCamelCaseLower(String)</v>
      </c>
      <c r="S75" s="5" t="str" cm="1">
        <f t="array" ref="S75">_xlfn.IFNA(INDEX(meta_Names[Camel Lower], MATCH(meta_TypedModelElements[[#This Row],[Name or Type]],meta_Names[String],0)),camelCaseLower(meta_TypedModelElements[[#This Row],[Name or Type]]))</f>
        <v>businessToCamelCaseLower</v>
      </c>
      <c r="T75" s="5" t="str">
        <f>IF(meta_TypedModelElements[[#This Row],[Name or Type]]="","",meta_TypedModelElements[[#This Row],[Name or Type Camel Case Lower]])&amp;IF(meta_TypedModelElements[[#This Row],[Kind:src]]="_Function","("&amp;meta_TypedModelElements[[#This Row],[Function - Parameters Display]]&amp;")","")</f>
        <v>businessToCamelCaseLower(String)</v>
      </c>
      <c r="U7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5" s="22"/>
      <c r="W75" s="5" t="e">
        <f>INDEX(meta_Classifiers[Class - Generalization:src],MATCH(meta_TypedModelElements[[#This Row],[Type Super Type 6]],meta_Classifiers[ID],0))</f>
        <v>#N/A</v>
      </c>
      <c r="X75" s="5" t="e">
        <f>INDEX(meta_Classifiers[Class - Generalization:src],MATCH(meta_TypedModelElements[[#This Row],[Type Super Type 5]],meta_Classifiers[ID],0))</f>
        <v>#N/A</v>
      </c>
      <c r="Y75" s="5" t="e">
        <f>INDEX(meta_Classifiers[Class - Generalization:src],MATCH(meta_TypedModelElements[[#This Row],[Type Super Type 4]],meta_Classifiers[ID],0))</f>
        <v>#N/A</v>
      </c>
      <c r="Z75" s="5" t="e">
        <f>INDEX(meta_Classifiers[Class - Generalization:src],MATCH(meta_TypedModelElements[[#This Row],[Type Super Type 3]],meta_Classifiers[ID],0))</f>
        <v>#N/A</v>
      </c>
      <c r="AA75" s="5" t="e">
        <f>INDEX(meta_Classifiers[Class - Generalization:src],MATCH(meta_TypedModelElements[[#This Row],[Type Super Type 2]],meta_Classifiers[ID],0))</f>
        <v>#N/A</v>
      </c>
      <c r="AB75" s="5" t="e">
        <f>INDEX(meta_Classifiers[Class - Generalization:src],MATCH(meta_TypedModelElements[[#This Row],[Type Super Type 1]],meta_Classifiers[ID],0))</f>
        <v>#N/A</v>
      </c>
      <c r="AC75" s="5" t="e">
        <f>INDEX(meta_Classifiers[Class - Generalization:src],MATCH(meta_TypedModelElements[[#This Row],[Type:src]],meta_Classifiers[ID],0))</f>
        <v>#N/A</v>
      </c>
      <c r="AD75" s="5" t="str">
        <f>IF(meta_TypedModelElements[[#This Row],[Kind:src]]&lt;&gt;"_Function",meta_TypedModelElements[[#This Row],[Type]],INDEX(meta_TypedModelElements[Type],MATCH(meta_TypedModelElements[[#This Row],[Function - Owning Property:src]],meta_TypedModelElements[ID],0)))</f>
        <v>String</v>
      </c>
      <c r="AE75" s="5" t="str">
        <f>IF(meta_TypedModelElements[[#This Row],[Kind:src]]&lt;&gt;"_Function",meta_TypedModelElements[[#This Row],[Type:src]],INDEX(meta_TypedModelElements[Type:src],MATCH(meta_TypedModelElements[[#This Row],[Function - Owning Property:src]],meta_TypedModelElements[ID],0)))</f>
        <v>_String</v>
      </c>
      <c r="AF75" s="5" t="str">
        <f>IF(meta_TypedModelElements[[#This Row],[Type:src]]="","",INDEX(meta_Classifiers[Name],MATCH(meta_TypedModelElements[[#This Row],[Type:src]],meta_Classifiers[ID],0)))</f>
        <v/>
      </c>
      <c r="AH75" s="22" t="str">
        <f xml:space="preserve"> IF( TRIM( meta_TypedModelElements[[#This Row],[Type:src]] ) = "", "",
        INDEX( meta_Classifiers[Display Qualified], MATCH( meta_TypedModelElements[[#This Row],[Type:src]], meta_Classifiers[ID], 0 ) ) )</f>
        <v/>
      </c>
      <c r="AI75" s="22"/>
      <c r="AJ75" s="22"/>
      <c r="AK75" s="8"/>
      <c r="AL75" s="22" t="str">
        <f xml:space="preserve"> IF( TRIM( meta_TypedModelElements[[#This Row],[Reference - Opposite:src]] ) = "", "",
        INDEX( meta_TypedModelElements[Display Qualified], MATCH( meta_TypedModelElements[[#This Row],[Reference - Opposite:src]], meta_TypedModelElements[ID], 0 ) ) )</f>
        <v/>
      </c>
      <c r="AM75" s="8"/>
      <c r="AN7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5" s="22"/>
      <c r="AP75" t="s">
        <v>398</v>
      </c>
      <c r="AQ75" s="22" t="str">
        <f xml:space="preserve"> IF( TRIM( meta_TypedModelElements[[#This Row],[Function - Owning Property:src]] ) = "", "",
        INDEX( meta_TypedModelElements[Display Qualified], MATCH( meta_TypedModelElements[[#This Row],[Function - Owning Property:src]], meta_TypedModelElements[ID], 0 ) ) )</f>
        <v>util::businessToCamelCaseLower</v>
      </c>
      <c r="AT75" s="22" t="str">
        <f>IF(meta_TypedModelElements[[#This Row],[Parameter - Owning Function:src]]="","",INDEX(meta_TypedModelElements[Display Qualified],MATCH(meta_TypedModelElements[[#This Row],[Parameter - Owning Function:src]],meta_TypedModelElements[ID],0)))</f>
        <v/>
      </c>
      <c r="AV75" s="89"/>
      <c r="AW7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5" s="5" t="str">
        <f>"[@["&amp;meta_TypedModelElements[[#This Row],[Name or Type]]&amp;":src]]"</f>
        <v>[@[Business To Camel Case Lower:src]]</v>
      </c>
      <c r="AY7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5" s="40"/>
      <c r="BC75" s="40" t="str">
        <f>IF(meta_TypedModelElements[[#This Row],[Kind:src]]="_Parameter","",IF(AND(meta_TypedModelElements[[#This Row],[Package]]="util",meta_TypedModelElements[[#This Row],[Containing Class]]=0), "public", "method"))</f>
        <v>method</v>
      </c>
      <c r="BD75" s="40"/>
      <c r="BE7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5" s="40"/>
      <c r="BK75" s="5"/>
    </row>
    <row r="76" spans="1:63">
      <c r="A76" s="5" t="s">
        <v>410</v>
      </c>
      <c r="B76" s="5" t="s">
        <v>166</v>
      </c>
      <c r="C76" s="22" t="str">
        <f xml:space="preserve"> IF( TRIM( meta_TypedModelElements[[#This Row],[Kind:src]] ) = "", "",
        INDEX( meta_Classifiers[Display Qualified], MATCH( meta_TypedModelElements[[#This Row],[Kind:src]], meta_Classifiers[ID], 0 ) ) )</f>
        <v>Parameter</v>
      </c>
      <c r="D76" s="22">
        <v>75</v>
      </c>
      <c r="E76" s="22" t="s">
        <v>586</v>
      </c>
      <c r="F76" s="22"/>
      <c r="G7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6" s="8"/>
      <c r="J76" s="22" t="str">
        <f xml:space="preserve"> IF( TRIM( meta_TypedModelElements[[#This Row],[Property - Owning Class:src]] ) = "", "",
        INDEX( meta_Classifiers[Display Qualified], MATCH( meta_TypedModelElements[[#This Row],[Property - Owning Class:src]], meta_Classifiers[ID], 0 ) ) )</f>
        <v/>
      </c>
      <c r="K76"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76" s="5" t="str">
        <f>IF(meta_TypedModelElements[[#This Row],[Kind:src]]="_Function",meta_TypedModelElements[[#This Row],[Display Qualified]],"")</f>
        <v/>
      </c>
      <c r="M76" s="5" t="str">
        <f>IF(meta_TypedModelElements[[#This Row],[Kind:src]]="_Attribute",meta_TypedModelElements[[#This Row],[Display Qualified]],"")</f>
        <v/>
      </c>
      <c r="N76" s="5" t="str">
        <f>IF(meta_TypedModelElements[[#This Row],[Kind:src]]="_Reference",meta_TypedModelElements[[#This Row],[Display Qualified]],"")</f>
        <v/>
      </c>
      <c r="O76" s="5" t="str">
        <f>IF(OR(meta_TypedModelElements[[#This Row],[Kind:src]]="_Attribute",meta_TypedModelElements[[#This Row],[Kind:src]]="_Reference"),meta_TypedModelElements[[#This Row],[Display Qualified]],"")</f>
        <v/>
      </c>
      <c r="P76" s="22"/>
      <c r="Q76" s="22"/>
      <c r="R76" s="5" t="str">
        <f>IF(meta_TypedModelElements[[#This Row],[Containing Class:display]]="","",meta_TypedModelElements[[#This Row],[Containing Class:display]]&amp;".")&amp;meta_TypedModelElements[[#This Row],[Display without Class]]</f>
        <v>inputString</v>
      </c>
      <c r="S76" s="5" t="str" cm="1">
        <f t="array" ref="S76">_xlfn.IFNA(INDEX(meta_Names[Camel Lower], MATCH(meta_TypedModelElements[[#This Row],[Name or Type]],meta_Names[String],0)),camelCaseLower(meta_TypedModelElements[[#This Row],[Name or Type]]))</f>
        <v>inputString</v>
      </c>
      <c r="T76" s="5" t="str">
        <f>IF(meta_TypedModelElements[[#This Row],[Name or Type]]="","",meta_TypedModelElements[[#This Row],[Name or Type Camel Case Lower]])&amp;IF(meta_TypedModelElements[[#This Row],[Kind:src]]="_Function","("&amp;meta_TypedModelElements[[#This Row],[Function - Parameters Display]]&amp;")","")</f>
        <v>inputString</v>
      </c>
      <c r="U7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6" s="22" t="s">
        <v>313</v>
      </c>
      <c r="W76" s="5" t="e">
        <f>INDEX(meta_Classifiers[Class - Generalization:src],MATCH(meta_TypedModelElements[[#This Row],[Type Super Type 6]],meta_Classifiers[ID],0))</f>
        <v>#N/A</v>
      </c>
      <c r="X76" s="5" t="e">
        <f>INDEX(meta_Classifiers[Class - Generalization:src],MATCH(meta_TypedModelElements[[#This Row],[Type Super Type 5]],meta_Classifiers[ID],0))</f>
        <v>#N/A</v>
      </c>
      <c r="Y76" s="5" t="e">
        <f>INDEX(meta_Classifiers[Class - Generalization:src],MATCH(meta_TypedModelElements[[#This Row],[Type Super Type 4]],meta_Classifiers[ID],0))</f>
        <v>#N/A</v>
      </c>
      <c r="Z76" s="5" t="e">
        <f>INDEX(meta_Classifiers[Class - Generalization:src],MATCH(meta_TypedModelElements[[#This Row],[Type Super Type 3]],meta_Classifiers[ID],0))</f>
        <v>#N/A</v>
      </c>
      <c r="AA76" s="5" t="e">
        <f>INDEX(meta_Classifiers[Class - Generalization:src],MATCH(meta_TypedModelElements[[#This Row],[Type Super Type 2]],meta_Classifiers[ID],0))</f>
        <v>#N/A</v>
      </c>
      <c r="AB76" s="5" t="e">
        <f>INDEX(meta_Classifiers[Class - Generalization:src],MATCH(meta_TypedModelElements[[#This Row],[Type Super Type 1]],meta_Classifiers[ID],0))</f>
        <v>#N/A</v>
      </c>
      <c r="AC76" s="5" t="str">
        <f>INDEX(meta_Classifiers[Class - Generalization:src],MATCH(meta_TypedModelElements[[#This Row],[Type:src]],meta_Classifiers[ID],0))</f>
        <v/>
      </c>
      <c r="AD76" s="5" t="str">
        <f>IF(meta_TypedModelElements[[#This Row],[Kind:src]]&lt;&gt;"_Function",meta_TypedModelElements[[#This Row],[Type]],INDEX(meta_TypedModelElements[Type],MATCH(meta_TypedModelElements[[#This Row],[Function - Owning Property:src]],meta_TypedModelElements[ID],0)))</f>
        <v>String</v>
      </c>
      <c r="AE76" s="5" t="str">
        <f>IF(meta_TypedModelElements[[#This Row],[Kind:src]]&lt;&gt;"_Function",meta_TypedModelElements[[#This Row],[Type:src]],INDEX(meta_TypedModelElements[Type:src],MATCH(meta_TypedModelElements[[#This Row],[Function - Owning Property:src]],meta_TypedModelElements[ID],0)))</f>
        <v>_String</v>
      </c>
      <c r="AF76" s="5" t="str">
        <f>IF(meta_TypedModelElements[[#This Row],[Type:src]]="","",INDEX(meta_Classifiers[Name],MATCH(meta_TypedModelElements[[#This Row],[Type:src]],meta_Classifiers[ID],0)))</f>
        <v>String</v>
      </c>
      <c r="AG76" s="5" t="s">
        <v>180</v>
      </c>
      <c r="AH76" s="22" t="str">
        <f xml:space="preserve"> IF( TRIM( meta_TypedModelElements[[#This Row],[Type:src]] ) = "", "",
        INDEX( meta_Classifiers[Display Qualified], MATCH( meta_TypedModelElements[[#This Row],[Type:src]], meta_Classifiers[ID], 0 ) ) )</f>
        <v>String</v>
      </c>
      <c r="AI76" s="22" t="s">
        <v>19</v>
      </c>
      <c r="AJ76" s="22"/>
      <c r="AK76" s="8"/>
      <c r="AL76" s="22" t="str">
        <f xml:space="preserve"> IF( TRIM( meta_TypedModelElements[[#This Row],[Reference - Opposite:src]] ) = "", "",
        INDEX( meta_TypedModelElements[Display Qualified], MATCH( meta_TypedModelElements[[#This Row],[Reference - Opposite:src]], meta_TypedModelElements[ID], 0 ) ) )</f>
        <v/>
      </c>
      <c r="AM76" s="8"/>
      <c r="AN7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6" s="22">
        <v>1</v>
      </c>
      <c r="AP76"/>
      <c r="AQ76" s="22" t="str">
        <f xml:space="preserve"> IF( TRIM( meta_TypedModelElements[[#This Row],[Function - Owning Property:src]] ) = "", "",
        INDEX( meta_TypedModelElements[Display Qualified], MATCH( meta_TypedModelElements[[#This Row],[Function - Owning Property:src]], meta_TypedModelElements[ID], 0 ) ) )</f>
        <v/>
      </c>
      <c r="AT76" s="22" t="str">
        <f>IF(meta_TypedModelElements[[#This Row],[Parameter - Owning Function:src]]="","",INDEX(meta_TypedModelElements[Display Qualified],MATCH(meta_TypedModelElements[[#This Row],[Parameter - Owning Function:src]],meta_TypedModelElements[ID],0)))</f>
        <v/>
      </c>
      <c r="AV76" s="89"/>
      <c r="AW7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6" s="5" t="str">
        <f>"[@["&amp;meta_TypedModelElements[[#This Row],[Name or Type]]&amp;":src]]"</f>
        <v>[@[Input String:src]]</v>
      </c>
      <c r="AY7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6" s="40"/>
      <c r="BC76" s="40" t="str">
        <f>IF(meta_TypedModelElements[[#This Row],[Kind:src]]="_Parameter","",IF(AND(meta_TypedModelElements[[#This Row],[Package]]="util",meta_TypedModelElements[[#This Row],[Containing Class]]=0), "public", "method"))</f>
        <v/>
      </c>
      <c r="BD76" s="40"/>
      <c r="BE7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6" s="40"/>
      <c r="BK76" s="5"/>
    </row>
    <row r="77" spans="1:63">
      <c r="A77" s="5" t="s">
        <v>453</v>
      </c>
      <c r="B77" s="5" t="s">
        <v>168</v>
      </c>
      <c r="C77" s="22" t="str">
        <f xml:space="preserve"> IF( TRIM( meta_TypedModelElements[[#This Row],[Kind:src]] ) = "", "",
        INDEX( meta_Classifiers[Display Qualified], MATCH( meta_TypedModelElements[[#This Row],[Kind:src]], meta_Classifiers[ID], 0 ) ) )</f>
        <v>Attribute</v>
      </c>
      <c r="D77" s="22">
        <v>76</v>
      </c>
      <c r="E77" s="22" t="s">
        <v>586</v>
      </c>
      <c r="F77" s="22"/>
      <c r="G7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7" s="8"/>
      <c r="J77" s="22" t="str">
        <f xml:space="preserve"> IF( TRIM( meta_TypedModelElements[[#This Row],[Property - Owning Class:src]] ) = "", "",
        INDEX( meta_Classifiers[Display Qualified], MATCH( meta_TypedModelElements[[#This Row],[Property - Owning Class:src]], meta_Classifiers[ID], 0 ) ) )</f>
        <v/>
      </c>
      <c r="K7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util::stringToBusinessSegments</v>
      </c>
      <c r="L77" s="5" t="str">
        <f>IF(meta_TypedModelElements[[#This Row],[Kind:src]]="_Function",meta_TypedModelElements[[#This Row],[Display Qualified]],"")</f>
        <v/>
      </c>
      <c r="M77" s="5" t="str">
        <f>IF(meta_TypedModelElements[[#This Row],[Kind:src]]="_Attribute",meta_TypedModelElements[[#This Row],[Display Qualified]],"")</f>
        <v>util::stringToBusinessSegments</v>
      </c>
      <c r="N77" s="5" t="str">
        <f>IF(meta_TypedModelElements[[#This Row],[Kind:src]]="_Reference",meta_TypedModelElements[[#This Row],[Display Qualified]],"")</f>
        <v/>
      </c>
      <c r="O77" s="5" t="str">
        <f>IF(OR(meta_TypedModelElements[[#This Row],[Kind:src]]="_Attribute",meta_TypedModelElements[[#This Row],[Kind:src]]="_Reference"),meta_TypedModelElements[[#This Row],[Display Qualified]],"")</f>
        <v>util::stringToBusinessSegments</v>
      </c>
      <c r="P77" s="22"/>
      <c r="Q77" s="22"/>
      <c r="R77" s="5" t="str">
        <f>IF(meta_TypedModelElements[[#This Row],[Containing Class:display]]="","",meta_TypedModelElements[[#This Row],[Containing Class:display]]&amp;".")&amp;meta_TypedModelElements[[#This Row],[Display without Class]]</f>
        <v>stringToBusinessSegments</v>
      </c>
      <c r="S77" s="5" t="str" cm="1">
        <f t="array" ref="S77">_xlfn.IFNA(INDEX(meta_Names[Camel Lower], MATCH(meta_TypedModelElements[[#This Row],[Name or Type]],meta_Names[String],0)),camelCaseLower(meta_TypedModelElements[[#This Row],[Name or Type]]))</f>
        <v>stringToBusinessSegments</v>
      </c>
      <c r="T77" s="5" t="str">
        <f>IF(meta_TypedModelElements[[#This Row],[Name or Type]]="","",meta_TypedModelElements[[#This Row],[Name or Type Camel Case Lower]])&amp;IF(meta_TypedModelElements[[#This Row],[Kind:src]]="_Function","("&amp;meta_TypedModelElements[[#This Row],[Function - Parameters Display]]&amp;")","")</f>
        <v>stringToBusinessSegments</v>
      </c>
      <c r="U7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7" s="22" t="s">
        <v>452</v>
      </c>
      <c r="W77" s="5" t="e">
        <f>INDEX(meta_Classifiers[Class - Generalization:src],MATCH(meta_TypedModelElements[[#This Row],[Type Super Type 6]],meta_Classifiers[ID],0))</f>
        <v>#N/A</v>
      </c>
      <c r="X77" s="5" t="e">
        <f>INDEX(meta_Classifiers[Class - Generalization:src],MATCH(meta_TypedModelElements[[#This Row],[Type Super Type 5]],meta_Classifiers[ID],0))</f>
        <v>#N/A</v>
      </c>
      <c r="Y77" s="5" t="e">
        <f>INDEX(meta_Classifiers[Class - Generalization:src],MATCH(meta_TypedModelElements[[#This Row],[Type Super Type 4]],meta_Classifiers[ID],0))</f>
        <v>#N/A</v>
      </c>
      <c r="Z77" s="5" t="e">
        <f>INDEX(meta_Classifiers[Class - Generalization:src],MATCH(meta_TypedModelElements[[#This Row],[Type Super Type 3]],meta_Classifiers[ID],0))</f>
        <v>#N/A</v>
      </c>
      <c r="AA77" s="5" t="e">
        <f>INDEX(meta_Classifiers[Class - Generalization:src],MATCH(meta_TypedModelElements[[#This Row],[Type Super Type 2]],meta_Classifiers[ID],0))</f>
        <v>#N/A</v>
      </c>
      <c r="AB77" s="5" t="e">
        <f>INDEX(meta_Classifiers[Class - Generalization:src],MATCH(meta_TypedModelElements[[#This Row],[Type Super Type 1]],meta_Classifiers[ID],0))</f>
        <v>#N/A</v>
      </c>
      <c r="AC77" s="5" t="str">
        <f>INDEX(meta_Classifiers[Class - Generalization:src],MATCH(meta_TypedModelElements[[#This Row],[Type:src]],meta_Classifiers[ID],0))</f>
        <v/>
      </c>
      <c r="AD77" s="5" t="str">
        <f>IF(meta_TypedModelElements[[#This Row],[Kind:src]]&lt;&gt;"_Function",meta_TypedModelElements[[#This Row],[Type]],INDEX(meta_TypedModelElements[Type],MATCH(meta_TypedModelElements[[#This Row],[Function - Owning Property:src]],meta_TypedModelElements[ID],0)))</f>
        <v>String</v>
      </c>
      <c r="AE77" s="5" t="str">
        <f>IF(meta_TypedModelElements[[#This Row],[Kind:src]]&lt;&gt;"_Function",meta_TypedModelElements[[#This Row],[Type:src]],INDEX(meta_TypedModelElements[Type:src],MATCH(meta_TypedModelElements[[#This Row],[Function - Owning Property:src]],meta_TypedModelElements[ID],0)))</f>
        <v>_String</v>
      </c>
      <c r="AF77" s="5" t="str">
        <f>IF(meta_TypedModelElements[[#This Row],[Type:src]]="","",INDEX(meta_Classifiers[Name],MATCH(meta_TypedModelElements[[#This Row],[Type:src]],meta_Classifiers[ID],0)))</f>
        <v>String</v>
      </c>
      <c r="AG77" s="5" t="s">
        <v>180</v>
      </c>
      <c r="AH77" s="22" t="str">
        <f xml:space="preserve"> IF( TRIM( meta_TypedModelElements[[#This Row],[Type:src]] ) = "", "",
        INDEX( meta_Classifiers[Display Qualified], MATCH( meta_TypedModelElements[[#This Row],[Type:src]], meta_Classifiers[ID], 0 ) ) )</f>
        <v>String</v>
      </c>
      <c r="AI77" s="22" t="s">
        <v>50</v>
      </c>
      <c r="AJ77" s="22"/>
      <c r="AK77" s="8"/>
      <c r="AL77" s="22" t="str">
        <f xml:space="preserve"> IF( TRIM( meta_TypedModelElements[[#This Row],[Reference - Opposite:src]] ) = "", "",
        INDEX( meta_TypedModelElements[Display Qualified], MATCH( meta_TypedModelElements[[#This Row],[Reference - Opposite:src]], meta_TypedModelElements[ID], 0 ) ) )</f>
        <v/>
      </c>
      <c r="AM77" s="8"/>
      <c r="AN7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7" s="22"/>
      <c r="AP77"/>
      <c r="AQ77" s="22" t="str">
        <f xml:space="preserve"> IF( TRIM( meta_TypedModelElements[[#This Row],[Function - Owning Property:src]] ) = "", "",
        INDEX( meta_TypedModelElements[Display Qualified], MATCH( meta_TypedModelElements[[#This Row],[Function - Owning Property:src]], meta_TypedModelElements[ID], 0 ) ) )</f>
        <v/>
      </c>
      <c r="AT77" s="22" t="str">
        <f>IF(meta_TypedModelElements[[#This Row],[Parameter - Owning Function:src]]="","",INDEX(meta_TypedModelElements[Display Qualified],MATCH(meta_TypedModelElements[[#This Row],[Parameter - Owning Function:src]],meta_TypedModelElements[ID],0)))</f>
        <v/>
      </c>
      <c r="AV77" s="89"/>
      <c r="AW7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7" s="5" t="str">
        <f>"[@["&amp;meta_TypedModelElements[[#This Row],[Name or Type]]&amp;":src]]"</f>
        <v>[@[String To Business Segments:src]]</v>
      </c>
      <c r="AY7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7" s="40"/>
      <c r="BC77" s="40" t="str">
        <f>IF(meta_TypedModelElements[[#This Row],[Kind:src]]="_Parameter","",IF(AND(meta_TypedModelElements[[#This Row],[Package]]="util",meta_TypedModelElements[[#This Row],[Containing Class]]=0), "public", "method"))</f>
        <v>method</v>
      </c>
      <c r="BD77" s="40"/>
      <c r="BE7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7" s="40"/>
      <c r="BK77" s="5"/>
    </row>
    <row r="78" spans="1:63">
      <c r="A78" s="5" t="s">
        <v>454</v>
      </c>
      <c r="B78" s="5" t="s">
        <v>165</v>
      </c>
      <c r="C78" s="22" t="str">
        <f xml:space="preserve"> IF( TRIM( meta_TypedModelElements[[#This Row],[Kind:src]] ) = "", "",
        INDEX( meta_Classifiers[Display Qualified], MATCH( meta_TypedModelElements[[#This Row],[Kind:src]], meta_Classifiers[ID], 0 ) ) )</f>
        <v>Function</v>
      </c>
      <c r="D78" s="22">
        <v>77</v>
      </c>
      <c r="E78" s="22" t="s">
        <v>586</v>
      </c>
      <c r="F78" s="22"/>
      <c r="G7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8" s="8"/>
      <c r="J78" s="22" t="str">
        <f xml:space="preserve"> IF( TRIM( meta_TypedModelElements[[#This Row],[Property - Owning Class:src]] ) = "", "",
        INDEX( meta_Classifiers[Display Qualified], MATCH( meta_TypedModelElements[[#This Row],[Property - Owning Class:src]], meta_Classifiers[ID], 0 ) ) )</f>
        <v/>
      </c>
      <c r="K7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util::stringToBusinessSegments(String)</v>
      </c>
      <c r="L78" s="5" t="str">
        <f>IF(meta_TypedModelElements[[#This Row],[Kind:src]]="_Function",meta_TypedModelElements[[#This Row],[Display Qualified]],"")</f>
        <v>util::stringToBusinessSegments(String)</v>
      </c>
      <c r="M78" s="5" t="str">
        <f>IF(meta_TypedModelElements[[#This Row],[Kind:src]]="_Attribute",meta_TypedModelElements[[#This Row],[Display Qualified]],"")</f>
        <v/>
      </c>
      <c r="N78" s="5" t="str">
        <f>IF(meta_TypedModelElements[[#This Row],[Kind:src]]="_Reference",meta_TypedModelElements[[#This Row],[Display Qualified]],"")</f>
        <v/>
      </c>
      <c r="O78" s="5" t="str">
        <f>IF(OR(meta_TypedModelElements[[#This Row],[Kind:src]]="_Attribute",meta_TypedModelElements[[#This Row],[Kind:src]]="_Reference"),meta_TypedModelElements[[#This Row],[Display Qualified]],"")</f>
        <v/>
      </c>
      <c r="P78" s="22" t="s">
        <v>18</v>
      </c>
      <c r="Q78" s="22" t="s">
        <v>445</v>
      </c>
      <c r="R78" s="5" t="str">
        <f>IF(meta_TypedModelElements[[#This Row],[Containing Class:display]]="","",meta_TypedModelElements[[#This Row],[Containing Class:display]]&amp;".")&amp;meta_TypedModelElements[[#This Row],[Display without Class]]</f>
        <v>stringToBusinessSegments(String)</v>
      </c>
      <c r="S78" s="5" t="str" cm="1">
        <f t="array" ref="S78">_xlfn.IFNA(INDEX(meta_Names[Camel Lower], MATCH(meta_TypedModelElements[[#This Row],[Name or Type]],meta_Names[String],0)),camelCaseLower(meta_TypedModelElements[[#This Row],[Name or Type]]))</f>
        <v>stringToBusinessSegments</v>
      </c>
      <c r="T78" s="5" t="str">
        <f>IF(meta_TypedModelElements[[#This Row],[Name or Type]]="","",meta_TypedModelElements[[#This Row],[Name or Type Camel Case Lower]])&amp;IF(meta_TypedModelElements[[#This Row],[Kind:src]]="_Function","("&amp;meta_TypedModelElements[[#This Row],[Function - Parameters Display]]&amp;")","")</f>
        <v>stringToBusinessSegments(String)</v>
      </c>
      <c r="U7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8" s="22" t="s">
        <v>357</v>
      </c>
      <c r="W78" s="5" t="e">
        <f>INDEX(meta_Classifiers[Class - Generalization:src],MATCH(meta_TypedModelElements[[#This Row],[Type Super Type 6]],meta_Classifiers[ID],0))</f>
        <v>#N/A</v>
      </c>
      <c r="X78" s="5" t="e">
        <f>INDEX(meta_Classifiers[Class - Generalization:src],MATCH(meta_TypedModelElements[[#This Row],[Type Super Type 5]],meta_Classifiers[ID],0))</f>
        <v>#N/A</v>
      </c>
      <c r="Y78" s="5" t="e">
        <f>INDEX(meta_Classifiers[Class - Generalization:src],MATCH(meta_TypedModelElements[[#This Row],[Type Super Type 4]],meta_Classifiers[ID],0))</f>
        <v>#N/A</v>
      </c>
      <c r="Z78" s="5" t="e">
        <f>INDEX(meta_Classifiers[Class - Generalization:src],MATCH(meta_TypedModelElements[[#This Row],[Type Super Type 3]],meta_Classifiers[ID],0))</f>
        <v>#N/A</v>
      </c>
      <c r="AA78" s="5" t="e">
        <f>INDEX(meta_Classifiers[Class - Generalization:src],MATCH(meta_TypedModelElements[[#This Row],[Type Super Type 2]],meta_Classifiers[ID],0))</f>
        <v>#N/A</v>
      </c>
      <c r="AB78" s="5" t="e">
        <f>INDEX(meta_Classifiers[Class - Generalization:src],MATCH(meta_TypedModelElements[[#This Row],[Type Super Type 1]],meta_Classifiers[ID],0))</f>
        <v>#N/A</v>
      </c>
      <c r="AC78" s="5" t="e">
        <f>INDEX(meta_Classifiers[Class - Generalization:src],MATCH(meta_TypedModelElements[[#This Row],[Type:src]],meta_Classifiers[ID],0))</f>
        <v>#N/A</v>
      </c>
      <c r="AD78" s="5" t="str">
        <f>IF(meta_TypedModelElements[[#This Row],[Kind:src]]&lt;&gt;"_Function",meta_TypedModelElements[[#This Row],[Type]],INDEX(meta_TypedModelElements[Type],MATCH(meta_TypedModelElements[[#This Row],[Function - Owning Property:src]],meta_TypedModelElements[ID],0)))</f>
        <v>String</v>
      </c>
      <c r="AE78" s="5" t="str">
        <f>IF(meta_TypedModelElements[[#This Row],[Kind:src]]&lt;&gt;"_Function",meta_TypedModelElements[[#This Row],[Type:src]],INDEX(meta_TypedModelElements[Type:src],MATCH(meta_TypedModelElements[[#This Row],[Function - Owning Property:src]],meta_TypedModelElements[ID],0)))</f>
        <v>_String</v>
      </c>
      <c r="AF78" s="5" t="str">
        <f>IF(meta_TypedModelElements[[#This Row],[Type:src]]="","",INDEX(meta_Classifiers[Name],MATCH(meta_TypedModelElements[[#This Row],[Type:src]],meta_Classifiers[ID],0)))</f>
        <v/>
      </c>
      <c r="AH78" s="22" t="str">
        <f xml:space="preserve"> IF( TRIM( meta_TypedModelElements[[#This Row],[Type:src]] ) = "", "",
        INDEX( meta_Classifiers[Display Qualified], MATCH( meta_TypedModelElements[[#This Row],[Type:src]], meta_Classifiers[ID], 0 ) ) )</f>
        <v/>
      </c>
      <c r="AI78" s="22"/>
      <c r="AJ78" s="22"/>
      <c r="AK78" s="8"/>
      <c r="AL78" s="22" t="str">
        <f xml:space="preserve"> IF( TRIM( meta_TypedModelElements[[#This Row],[Reference - Opposite:src]] ) = "", "",
        INDEX( meta_TypedModelElements[Display Qualified], MATCH( meta_TypedModelElements[[#This Row],[Reference - Opposite:src]], meta_TypedModelElements[ID], 0 ) ) )</f>
        <v/>
      </c>
      <c r="AM78" s="8"/>
      <c r="AN7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8" s="22"/>
      <c r="AP78" t="s">
        <v>453</v>
      </c>
      <c r="AQ78" s="22" t="str">
        <f xml:space="preserve"> IF( TRIM( meta_TypedModelElements[[#This Row],[Function - Owning Property:src]] ) = "", "",
        INDEX( meta_TypedModelElements[Display Qualified], MATCH( meta_TypedModelElements[[#This Row],[Function - Owning Property:src]], meta_TypedModelElements[ID], 0 ) ) )</f>
        <v>util::stringToBusinessSegments</v>
      </c>
      <c r="AT78" s="22" t="str">
        <f>IF(meta_TypedModelElements[[#This Row],[Parameter - Owning Function:src]]="","",INDEX(meta_TypedModelElements[Display Qualified],MATCH(meta_TypedModelElements[[#This Row],[Parameter - Owning Function:src]],meta_TypedModelElements[ID],0)))</f>
        <v/>
      </c>
      <c r="AV78" s="89"/>
      <c r="AW7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8" s="5" t="str">
        <f>"[@["&amp;meta_TypedModelElements[[#This Row],[Name or Type]]&amp;":src]]"</f>
        <v>[@[String To Business Segments:src]]</v>
      </c>
      <c r="AY7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8" s="40"/>
      <c r="BC78" s="40" t="str">
        <f>IF(meta_TypedModelElements[[#This Row],[Kind:src]]="_Parameter","",IF(AND(meta_TypedModelElements[[#This Row],[Package]]="util",meta_TypedModelElements[[#This Row],[Containing Class]]=0), "public", "method"))</f>
        <v>method</v>
      </c>
      <c r="BD78" s="40"/>
      <c r="BE7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8" s="40"/>
      <c r="BK78" s="5"/>
    </row>
    <row r="79" spans="1:63">
      <c r="A79" s="5" t="s">
        <v>455</v>
      </c>
      <c r="B79" s="5" t="s">
        <v>166</v>
      </c>
      <c r="C79" s="22" t="str">
        <f xml:space="preserve"> IF( TRIM( meta_TypedModelElements[[#This Row],[Kind:src]] ) = "", "",
        INDEX( meta_Classifiers[Display Qualified], MATCH( meta_TypedModelElements[[#This Row],[Kind:src]], meta_Classifiers[ID], 0 ) ) )</f>
        <v>Parameter</v>
      </c>
      <c r="D79" s="22">
        <v>78</v>
      </c>
      <c r="E79" s="22" t="s">
        <v>586</v>
      </c>
      <c r="F79" s="22"/>
      <c r="G7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9" s="8"/>
      <c r="J79" s="22" t="str">
        <f xml:space="preserve"> IF( TRIM( meta_TypedModelElements[[#This Row],[Property - Owning Class:src]] ) = "", "",
        INDEX( meta_Classifiers[Display Qualified], MATCH( meta_TypedModelElements[[#This Row],[Property - Owning Class:src]], meta_Classifiers[ID], 0 ) ) )</f>
        <v/>
      </c>
      <c r="K79"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79" s="5" t="str">
        <f>IF(meta_TypedModelElements[[#This Row],[Kind:src]]="_Function",meta_TypedModelElements[[#This Row],[Display Qualified]],"")</f>
        <v/>
      </c>
      <c r="M79" s="5" t="str">
        <f>IF(meta_TypedModelElements[[#This Row],[Kind:src]]="_Attribute",meta_TypedModelElements[[#This Row],[Display Qualified]],"")</f>
        <v/>
      </c>
      <c r="N79" s="5" t="str">
        <f>IF(meta_TypedModelElements[[#This Row],[Kind:src]]="_Reference",meta_TypedModelElements[[#This Row],[Display Qualified]],"")</f>
        <v/>
      </c>
      <c r="O79" s="5" t="str">
        <f>IF(OR(meta_TypedModelElements[[#This Row],[Kind:src]]="_Attribute",meta_TypedModelElements[[#This Row],[Kind:src]]="_Reference"),meta_TypedModelElements[[#This Row],[Display Qualified]],"")</f>
        <v/>
      </c>
      <c r="P79" s="22"/>
      <c r="Q79" s="22"/>
      <c r="R79" s="5" t="str">
        <f>IF(meta_TypedModelElements[[#This Row],[Containing Class:display]]="","",meta_TypedModelElements[[#This Row],[Containing Class:display]]&amp;".")&amp;meta_TypedModelElements[[#This Row],[Display without Class]]</f>
        <v>inputString</v>
      </c>
      <c r="S79" s="5" t="str" cm="1">
        <f t="array" ref="S79">_xlfn.IFNA(INDEX(meta_Names[Camel Lower], MATCH(meta_TypedModelElements[[#This Row],[Name or Type]],meta_Names[String],0)),camelCaseLower(meta_TypedModelElements[[#This Row],[Name or Type]]))</f>
        <v>inputString</v>
      </c>
      <c r="T79" s="5" t="str">
        <f>IF(meta_TypedModelElements[[#This Row],[Name or Type]]="","",meta_TypedModelElements[[#This Row],[Name or Type Camel Case Lower]])&amp;IF(meta_TypedModelElements[[#This Row],[Kind:src]]="_Function","("&amp;meta_TypedModelElements[[#This Row],[Function - Parameters Display]]&amp;")","")</f>
        <v>inputString</v>
      </c>
      <c r="U7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9" s="22" t="s">
        <v>313</v>
      </c>
      <c r="W79" s="5" t="e">
        <f>INDEX(meta_Classifiers[Class - Generalization:src],MATCH(meta_TypedModelElements[[#This Row],[Type Super Type 6]],meta_Classifiers[ID],0))</f>
        <v>#N/A</v>
      </c>
      <c r="X79" s="5" t="e">
        <f>INDEX(meta_Classifiers[Class - Generalization:src],MATCH(meta_TypedModelElements[[#This Row],[Type Super Type 5]],meta_Classifiers[ID],0))</f>
        <v>#N/A</v>
      </c>
      <c r="Y79" s="5" t="e">
        <f>INDEX(meta_Classifiers[Class - Generalization:src],MATCH(meta_TypedModelElements[[#This Row],[Type Super Type 4]],meta_Classifiers[ID],0))</f>
        <v>#N/A</v>
      </c>
      <c r="Z79" s="5" t="e">
        <f>INDEX(meta_Classifiers[Class - Generalization:src],MATCH(meta_TypedModelElements[[#This Row],[Type Super Type 3]],meta_Classifiers[ID],0))</f>
        <v>#N/A</v>
      </c>
      <c r="AA79" s="5" t="e">
        <f>INDEX(meta_Classifiers[Class - Generalization:src],MATCH(meta_TypedModelElements[[#This Row],[Type Super Type 2]],meta_Classifiers[ID],0))</f>
        <v>#N/A</v>
      </c>
      <c r="AB79" s="5" t="e">
        <f>INDEX(meta_Classifiers[Class - Generalization:src],MATCH(meta_TypedModelElements[[#This Row],[Type Super Type 1]],meta_Classifiers[ID],0))</f>
        <v>#N/A</v>
      </c>
      <c r="AC79" s="5" t="str">
        <f>INDEX(meta_Classifiers[Class - Generalization:src],MATCH(meta_TypedModelElements[[#This Row],[Type:src]],meta_Classifiers[ID],0))</f>
        <v/>
      </c>
      <c r="AD79" s="5" t="str">
        <f>IF(meta_TypedModelElements[[#This Row],[Kind:src]]&lt;&gt;"_Function",meta_TypedModelElements[[#This Row],[Type]],INDEX(meta_TypedModelElements[Type],MATCH(meta_TypedModelElements[[#This Row],[Function - Owning Property:src]],meta_TypedModelElements[ID],0)))</f>
        <v>String</v>
      </c>
      <c r="AE79" s="5" t="str">
        <f>IF(meta_TypedModelElements[[#This Row],[Kind:src]]&lt;&gt;"_Function",meta_TypedModelElements[[#This Row],[Type:src]],INDEX(meta_TypedModelElements[Type:src],MATCH(meta_TypedModelElements[[#This Row],[Function - Owning Property:src]],meta_TypedModelElements[ID],0)))</f>
        <v>_String</v>
      </c>
      <c r="AF79" s="5" t="str">
        <f>IF(meta_TypedModelElements[[#This Row],[Type:src]]="","",INDEX(meta_Classifiers[Name],MATCH(meta_TypedModelElements[[#This Row],[Type:src]],meta_Classifiers[ID],0)))</f>
        <v>String</v>
      </c>
      <c r="AG79" s="5" t="s">
        <v>180</v>
      </c>
      <c r="AH79" s="22" t="str">
        <f xml:space="preserve"> IF( TRIM( meta_TypedModelElements[[#This Row],[Type:src]] ) = "", "",
        INDEX( meta_Classifiers[Display Qualified], MATCH( meta_TypedModelElements[[#This Row],[Type:src]], meta_Classifiers[ID], 0 ) ) )</f>
        <v>String</v>
      </c>
      <c r="AI79" s="22" t="s">
        <v>19</v>
      </c>
      <c r="AJ79" s="22"/>
      <c r="AK79" s="8"/>
      <c r="AL79" s="22" t="str">
        <f xml:space="preserve"> IF( TRIM( meta_TypedModelElements[[#This Row],[Reference - Opposite:src]] ) = "", "",
        INDEX( meta_TypedModelElements[Display Qualified], MATCH( meta_TypedModelElements[[#This Row],[Reference - Opposite:src]], meta_TypedModelElements[ID], 0 ) ) )</f>
        <v/>
      </c>
      <c r="AM79" s="8"/>
      <c r="AN7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9" s="22">
        <v>1</v>
      </c>
      <c r="AP79"/>
      <c r="AQ79" s="22" t="str">
        <f xml:space="preserve"> IF( TRIM( meta_TypedModelElements[[#This Row],[Function - Owning Property:src]] ) = "", "",
        INDEX( meta_TypedModelElements[Display Qualified], MATCH( meta_TypedModelElements[[#This Row],[Function - Owning Property:src]], meta_TypedModelElements[ID], 0 ) ) )</f>
        <v/>
      </c>
      <c r="AT79" s="22" t="str">
        <f>IF(meta_TypedModelElements[[#This Row],[Parameter - Owning Function:src]]="","",INDEX(meta_TypedModelElements[Display Qualified],MATCH(meta_TypedModelElements[[#This Row],[Parameter - Owning Function:src]],meta_TypedModelElements[ID],0)))</f>
        <v/>
      </c>
      <c r="AV79" s="89"/>
      <c r="AW7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9" s="5" t="str">
        <f>"[@["&amp;meta_TypedModelElements[[#This Row],[Name or Type]]&amp;":src]]"</f>
        <v>[@[Input String:src]]</v>
      </c>
      <c r="AY7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9" s="40"/>
      <c r="BC79" s="40" t="str">
        <f>IF(meta_TypedModelElements[[#This Row],[Kind:src]]="_Parameter","",IF(AND(meta_TypedModelElements[[#This Row],[Package]]="util",meta_TypedModelElements[[#This Row],[Containing Class]]=0), "public", "method"))</f>
        <v/>
      </c>
      <c r="BD79" s="40"/>
      <c r="BE7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9" s="40"/>
      <c r="BK79" s="5"/>
    </row>
    <row r="80" spans="1:63">
      <c r="A80" s="5" t="s">
        <v>276</v>
      </c>
      <c r="B80" s="5" t="s">
        <v>168</v>
      </c>
      <c r="C80" s="22" t="str">
        <f xml:space="preserve"> IF( TRIM( meta_TypedModelElements[[#This Row],[Kind:src]] ) = "", "",
        INDEX( meta_Classifiers[Display Qualified], MATCH( meta_TypedModelElements[[#This Row],[Kind:src]], meta_Classifiers[ID], 0 ) ) )</f>
        <v>Attribute</v>
      </c>
      <c r="D80" s="22">
        <v>79</v>
      </c>
      <c r="E80" s="22" t="s">
        <v>143</v>
      </c>
      <c r="F80" s="22"/>
      <c r="G8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0" s="8"/>
      <c r="J80" s="22" t="str">
        <f xml:space="preserve"> IF( TRIM( meta_TypedModelElements[[#This Row],[Property - Owning Class:src]] ) = "", "",
        INDEX( meta_Classifiers[Display Qualified], MATCH( meta_TypedModelElements[[#This Row],[Property - Owning Class:src]], meta_Classifiers[ID], 0 ) ) )</f>
        <v/>
      </c>
      <c r="K8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belowred::stringValue1</v>
      </c>
      <c r="L80" s="5" t="str">
        <f>IF(meta_TypedModelElements[[#This Row],[Kind:src]]="_Function",meta_TypedModelElements[[#This Row],[Display Qualified]],"")</f>
        <v/>
      </c>
      <c r="M80" s="5" t="str">
        <f>IF(meta_TypedModelElements[[#This Row],[Kind:src]]="_Attribute",meta_TypedModelElements[[#This Row],[Display Qualified]],"")</f>
        <v>belowred::stringValue1</v>
      </c>
      <c r="N80" s="5" t="str">
        <f>IF(meta_TypedModelElements[[#This Row],[Kind:src]]="_Reference",meta_TypedModelElements[[#This Row],[Display Qualified]],"")</f>
        <v/>
      </c>
      <c r="O80" s="5" t="str">
        <f>IF(OR(meta_TypedModelElements[[#This Row],[Kind:src]]="_Attribute",meta_TypedModelElements[[#This Row],[Kind:src]]="_Reference"),meta_TypedModelElements[[#This Row],[Display Qualified]],"")</f>
        <v>belowred::stringValue1</v>
      </c>
      <c r="P80" s="22"/>
      <c r="Q80" s="22"/>
      <c r="R80" s="5" t="str">
        <f>IF(meta_TypedModelElements[[#This Row],[Containing Class:display]]="","",meta_TypedModelElements[[#This Row],[Containing Class:display]]&amp;".")&amp;meta_TypedModelElements[[#This Row],[Display without Class]]</f>
        <v>stringValue1</v>
      </c>
      <c r="S80" s="5" t="str" cm="1">
        <f t="array" ref="S80">_xlfn.IFNA(INDEX(meta_Names[Camel Lower], MATCH(meta_TypedModelElements[[#This Row],[Name or Type]],meta_Names[String],0)),camelCaseLower(meta_TypedModelElements[[#This Row],[Name or Type]]))</f>
        <v>stringValue1</v>
      </c>
      <c r="T80" s="5" t="str">
        <f>IF(meta_TypedModelElements[[#This Row],[Name or Type]]="","",meta_TypedModelElements[[#This Row],[Name or Type Camel Case Lower]])&amp;IF(meta_TypedModelElements[[#This Row],[Kind:src]]="_Function","("&amp;meta_TypedModelElements[[#This Row],[Function - Parameters Display]]&amp;")","")</f>
        <v>stringValue1</v>
      </c>
      <c r="U8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1</v>
      </c>
      <c r="V80" s="22" t="s">
        <v>63</v>
      </c>
      <c r="W80" s="5" t="e">
        <f>INDEX(meta_Classifiers[Class - Generalization:src],MATCH(meta_TypedModelElements[[#This Row],[Type Super Type 6]],meta_Classifiers[ID],0))</f>
        <v>#N/A</v>
      </c>
      <c r="X80" s="5" t="e">
        <f>INDEX(meta_Classifiers[Class - Generalization:src],MATCH(meta_TypedModelElements[[#This Row],[Type Super Type 5]],meta_Classifiers[ID],0))</f>
        <v>#N/A</v>
      </c>
      <c r="Y80" s="5" t="e">
        <f>INDEX(meta_Classifiers[Class - Generalization:src],MATCH(meta_TypedModelElements[[#This Row],[Type Super Type 4]],meta_Classifiers[ID],0))</f>
        <v>#N/A</v>
      </c>
      <c r="Z80" s="5" t="e">
        <f>INDEX(meta_Classifiers[Class - Generalization:src],MATCH(meta_TypedModelElements[[#This Row],[Type Super Type 3]],meta_Classifiers[ID],0))</f>
        <v>#N/A</v>
      </c>
      <c r="AA80" s="5" t="e">
        <f>INDEX(meta_Classifiers[Class - Generalization:src],MATCH(meta_TypedModelElements[[#This Row],[Type Super Type 2]],meta_Classifiers[ID],0))</f>
        <v>#N/A</v>
      </c>
      <c r="AB80" s="5" t="e">
        <f>INDEX(meta_Classifiers[Class - Generalization:src],MATCH(meta_TypedModelElements[[#This Row],[Type Super Type 1]],meta_Classifiers[ID],0))</f>
        <v>#N/A</v>
      </c>
      <c r="AC80" s="5" t="e">
        <f>INDEX(meta_Classifiers[Class - Generalization:src],MATCH(meta_TypedModelElements[[#This Row],[Type:src]],meta_Classifiers[ID],0))</f>
        <v>#N/A</v>
      </c>
      <c r="AD80" s="5" t="str">
        <f>IF(meta_TypedModelElements[[#This Row],[Kind:src]]&lt;&gt;"_Function",meta_TypedModelElements[[#This Row],[Type]],INDEX(meta_TypedModelElements[Type],MATCH(meta_TypedModelElements[[#This Row],[Function - Owning Property:src]],meta_TypedModelElements[ID],0)))</f>
        <v/>
      </c>
      <c r="AE80" s="5">
        <f>IF(meta_TypedModelElements[[#This Row],[Kind:src]]&lt;&gt;"_Function",meta_TypedModelElements[[#This Row],[Type:src]],INDEX(meta_TypedModelElements[Type:src],MATCH(meta_TypedModelElements[[#This Row],[Function - Owning Property:src]],meta_TypedModelElements[ID],0)))</f>
        <v>0</v>
      </c>
      <c r="AF80" s="5" t="str">
        <f>IF(meta_TypedModelElements[[#This Row],[Type:src]]="","",INDEX(meta_Classifiers[Name],MATCH(meta_TypedModelElements[[#This Row],[Type:src]],meta_Classifiers[ID],0)))</f>
        <v/>
      </c>
      <c r="AH80" s="22" t="str">
        <f xml:space="preserve"> IF( TRIM( meta_TypedModelElements[[#This Row],[Type:src]] ) = "", "",
        INDEX( meta_Classifiers[Display Qualified], MATCH( meta_TypedModelElements[[#This Row],[Type:src]], meta_Classifiers[ID], 0 ) ) )</f>
        <v/>
      </c>
      <c r="AI80" s="22" t="s">
        <v>21</v>
      </c>
      <c r="AJ80" s="22"/>
      <c r="AK80" s="8"/>
      <c r="AL80" s="22" t="str">
        <f xml:space="preserve"> IF( TRIM( meta_TypedModelElements[[#This Row],[Reference - Opposite:src]] ) = "", "",
        INDEX( meta_TypedModelElements[Display Qualified], MATCH( meta_TypedModelElements[[#This Row],[Reference - Opposite:src]], meta_TypedModelElements[ID], 0 ) ) )</f>
        <v/>
      </c>
      <c r="AM80" s="8"/>
      <c r="AN8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0" s="22"/>
      <c r="AP80"/>
      <c r="AQ80" s="22" t="str">
        <f xml:space="preserve"> IF( TRIM( meta_TypedModelElements[[#This Row],[Function - Owning Property:src]] ) = "", "",
        INDEX( meta_TypedModelElements[Display Qualified], MATCH( meta_TypedModelElements[[#This Row],[Function - Owning Property:src]], meta_TypedModelElements[ID], 0 ) ) )</f>
        <v/>
      </c>
      <c r="AT80" s="22" t="str">
        <f>IF(meta_TypedModelElements[[#This Row],[Parameter - Owning Function:src]]="","",INDEX(meta_TypedModelElements[Display Qualified],MATCH(meta_TypedModelElements[[#This Row],[Parameter - Owning Function:src]],meta_TypedModelElements[ID],0)))</f>
        <v/>
      </c>
      <c r="AV80" s="89"/>
      <c r="AW8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0" s="5" t="str">
        <f>"[@["&amp;meta_TypedModelElements[[#This Row],[Name or Type]]&amp;":src]]"</f>
        <v>[@[String Value 1:src]]</v>
      </c>
      <c r="AY8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0" s="40"/>
      <c r="BC80" s="40" t="str">
        <f>IF(meta_TypedModelElements[[#This Row],[Kind:src]]="_Parameter","",IF(AND(meta_TypedModelElements[[#This Row],[Package]]="util",meta_TypedModelElements[[#This Row],[Containing Class]]=0), "public", "method"))</f>
        <v>method</v>
      </c>
      <c r="BD80" s="40"/>
      <c r="BE8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0" s="40"/>
    </row>
    <row r="81" spans="1:63">
      <c r="A81" s="5" t="s">
        <v>366</v>
      </c>
      <c r="B81" s="5" t="s">
        <v>165</v>
      </c>
      <c r="C81" s="22" t="str">
        <f xml:space="preserve"> IF( TRIM( meta_TypedModelElements[[#This Row],[Kind:src]] ) = "", "",
        INDEX( meta_Classifiers[Display Qualified], MATCH( meta_TypedModelElements[[#This Row],[Kind:src]], meta_Classifiers[ID], 0 ) ) )</f>
        <v>Function</v>
      </c>
      <c r="D81" s="22">
        <v>80</v>
      </c>
      <c r="E81" s="22" t="s">
        <v>143</v>
      </c>
      <c r="F81" s="22"/>
      <c r="G8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1" s="8"/>
      <c r="J81" s="22" t="str">
        <f xml:space="preserve"> IF( TRIM( meta_TypedModelElements[[#This Row],[Property - Owning Class:src]] ) = "", "",
        INDEX( meta_Classifiers[Display Qualified], MATCH( meta_TypedModelElements[[#This Row],[Property - Owning Class:src]], meta_Classifiers[ID], 0 ) ) )</f>
        <v/>
      </c>
      <c r="K81"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#N/A</v>
      </c>
      <c r="L81" s="5" t="e">
        <f>IF(meta_TypedModelElements[[#This Row],[Kind:src]]="_Function",meta_TypedModelElements[[#This Row],[Display Qualified]],"")</f>
        <v>#N/A</v>
      </c>
      <c r="M81" s="5" t="str">
        <f>IF(meta_TypedModelElements[[#This Row],[Kind:src]]="_Attribute",meta_TypedModelElements[[#This Row],[Display Qualified]],"")</f>
        <v/>
      </c>
      <c r="N81" s="5" t="str">
        <f>IF(meta_TypedModelElements[[#This Row],[Kind:src]]="_Reference",meta_TypedModelElements[[#This Row],[Display Qualified]],"")</f>
        <v/>
      </c>
      <c r="O81" s="5" t="str">
        <f>IF(OR(meta_TypedModelElements[[#This Row],[Kind:src]]="_Attribute",meta_TypedModelElements[[#This Row],[Kind:src]]="_Reference"),meta_TypedModelElements[[#This Row],[Display Qualified]],"")</f>
        <v/>
      </c>
      <c r="P81" s="22" t="s">
        <v>18</v>
      </c>
      <c r="Q81" s="22" t="s">
        <v>445</v>
      </c>
      <c r="R81" s="5" t="e">
        <f>IF(meta_TypedModelElements[[#This Row],[Containing Class:display]]="","",meta_TypedModelElements[[#This Row],[Containing Class:display]]&amp;".")&amp;meta_TypedModelElements[[#This Row],[Display without Class]]</f>
        <v>#N/A</v>
      </c>
      <c r="S81" s="5" t="e" cm="1">
        <f t="array" ref="S81">_xlfn.IFNA(INDEX(meta_Names[Camel Lower], MATCH(meta_TypedModelElements[[#This Row],[Name or Type]],meta_Names[String],0)),camelCaseLower(meta_TypedModelElements[[#This Row],[Name or Type]]))</f>
        <v>#VALUE!</v>
      </c>
      <c r="T81" s="5" t="e">
        <f>IF(meta_TypedModelElements[[#This Row],[Name or Type]]="","",meta_TypedModelElements[[#This Row],[Name or Type Camel Case Lower]])&amp;IF(meta_TypedModelElements[[#This Row],[Kind:src]]="_Function","("&amp;meta_TypedModelElements[[#This Row],[Function - Parameters Display]]&amp;")","")</f>
        <v>#N/A</v>
      </c>
      <c r="U81"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81" s="22"/>
      <c r="W81" s="5" t="e">
        <f>INDEX(meta_Classifiers[Class - Generalization:src],MATCH(meta_TypedModelElements[[#This Row],[Type Super Type 6]],meta_Classifiers[ID],0))</f>
        <v>#N/A</v>
      </c>
      <c r="X81" s="5" t="e">
        <f>INDEX(meta_Classifiers[Class - Generalization:src],MATCH(meta_TypedModelElements[[#This Row],[Type Super Type 5]],meta_Classifiers[ID],0))</f>
        <v>#N/A</v>
      </c>
      <c r="Y81" s="5" t="e">
        <f>INDEX(meta_Classifiers[Class - Generalization:src],MATCH(meta_TypedModelElements[[#This Row],[Type Super Type 4]],meta_Classifiers[ID],0))</f>
        <v>#N/A</v>
      </c>
      <c r="Z81" s="5" t="e">
        <f>INDEX(meta_Classifiers[Class - Generalization:src],MATCH(meta_TypedModelElements[[#This Row],[Type Super Type 3]],meta_Classifiers[ID],0))</f>
        <v>#N/A</v>
      </c>
      <c r="AA81" s="5" t="e">
        <f>INDEX(meta_Classifiers[Class - Generalization:src],MATCH(meta_TypedModelElements[[#This Row],[Type Super Type 2]],meta_Classifiers[ID],0))</f>
        <v>#N/A</v>
      </c>
      <c r="AB81" s="5" t="e">
        <f>INDEX(meta_Classifiers[Class - Generalization:src],MATCH(meta_TypedModelElements[[#This Row],[Type Super Type 1]],meta_Classifiers[ID],0))</f>
        <v>#N/A</v>
      </c>
      <c r="AC81" s="5" t="str">
        <f>INDEX(meta_Classifiers[Class - Generalization:src],MATCH(meta_TypedModelElements[[#This Row],[Type:src]],meta_Classifiers[ID],0))</f>
        <v/>
      </c>
      <c r="AD81" s="5" t="e">
        <f>IF(meta_TypedModelElements[[#This Row],[Kind:src]]&lt;&gt;"_Function",meta_TypedModelElements[[#This Row],[Type]],INDEX(meta_TypedModelElements[Type],MATCH(meta_TypedModelElements[[#This Row],[Function - Owning Property:src]],meta_TypedModelElements[ID],0)))</f>
        <v>#N/A</v>
      </c>
      <c r="AE81" s="5" t="e">
        <f>IF(meta_TypedModelElements[[#This Row],[Kind:src]]&lt;&gt;"_Function",meta_TypedModelElements[[#This Row],[Type:src]],INDEX(meta_TypedModelElements[Type:src],MATCH(meta_TypedModelElements[[#This Row],[Function - Owning Property:src]],meta_TypedModelElements[ID],0)))</f>
        <v>#N/A</v>
      </c>
      <c r="AF81" s="5" t="str">
        <f>IF(meta_TypedModelElements[[#This Row],[Type:src]]="","",INDEX(meta_Classifiers[Name],MATCH(meta_TypedModelElements[[#This Row],[Type:src]],meta_Classifiers[ID],0)))</f>
        <v>String</v>
      </c>
      <c r="AG81" s="5" t="s">
        <v>180</v>
      </c>
      <c r="AH81" s="22" t="str">
        <f xml:space="preserve"> IF( TRIM( meta_TypedModelElements[[#This Row],[Type:src]] ) = "", "",
        INDEX( meta_Classifiers[Display Qualified], MATCH( meta_TypedModelElements[[#This Row],[Type:src]], meta_Classifiers[ID], 0 ) ) )</f>
        <v>String</v>
      </c>
      <c r="AI81" s="22" t="s">
        <v>21</v>
      </c>
      <c r="AJ81" s="22"/>
      <c r="AK81" s="8"/>
      <c r="AL81" s="22" t="str">
        <f xml:space="preserve"> IF( TRIM( meta_TypedModelElements[[#This Row],[Reference - Opposite:src]] ) = "", "",
        INDEX( meta_TypedModelElements[Display Qualified], MATCH( meta_TypedModelElements[[#This Row],[Reference - Opposite:src]], meta_TypedModelElements[ID], 0 ) ) )</f>
        <v/>
      </c>
      <c r="AM81" s="8"/>
      <c r="AN8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1" s="22"/>
      <c r="AP81"/>
      <c r="AQ81" s="22" t="str">
        <f xml:space="preserve"> IF( TRIM( meta_TypedModelElements[[#This Row],[Function - Owning Property:src]] ) = "", "",
        INDEX( meta_TypedModelElements[Display Qualified], MATCH( meta_TypedModelElements[[#This Row],[Function - Owning Property:src]], meta_TypedModelElements[ID], 0 ) ) )</f>
        <v/>
      </c>
      <c r="AT81" s="22" t="str">
        <f>IF(meta_TypedModelElements[[#This Row],[Parameter - Owning Function:src]]="","",INDEX(meta_TypedModelElements[Display Qualified],MATCH(meta_TypedModelElements[[#This Row],[Parameter - Owning Function:src]],meta_TypedModelElements[ID],0)))</f>
        <v/>
      </c>
      <c r="AV81" s="89"/>
      <c r="AW8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1" s="5" t="e">
        <f>"[@["&amp;meta_TypedModelElements[[#This Row],[Name or Type]]&amp;":src]]"</f>
        <v>#N/A</v>
      </c>
      <c r="AY8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1" s="40"/>
      <c r="BC81" s="40" t="str">
        <f>IF(meta_TypedModelElements[[#This Row],[Kind:src]]="_Parameter","",IF(AND(meta_TypedModelElements[[#This Row],[Package]]="util",meta_TypedModelElements[[#This Row],[Containing Class]]=0), "public", "method"))</f>
        <v>method</v>
      </c>
      <c r="BD81" s="40"/>
      <c r="BE8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1" s="40"/>
      <c r="BK81" s="5"/>
    </row>
    <row r="82" spans="1:63">
      <c r="A82" s="5" t="s">
        <v>370</v>
      </c>
      <c r="B82" s="5" t="s">
        <v>166</v>
      </c>
      <c r="C82" s="22" t="str">
        <f xml:space="preserve"> IF( TRIM( meta_TypedModelElements[[#This Row],[Kind:src]] ) = "", "",
        INDEX( meta_Classifiers[Display Qualified], MATCH( meta_TypedModelElements[[#This Row],[Kind:src]], meta_Classifiers[ID], 0 ) ) )</f>
        <v>Parameter</v>
      </c>
      <c r="D82" s="22">
        <v>81</v>
      </c>
      <c r="E82" s="22" t="s">
        <v>143</v>
      </c>
      <c r="F82" s="22"/>
      <c r="G8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2" s="8"/>
      <c r="J82" s="22" t="str">
        <f xml:space="preserve"> IF( TRIM( meta_TypedModelElements[[#This Row],[Property - Owning Class:src]] ) = "", "",
        INDEX( meta_Classifiers[Display Qualified], MATCH( meta_TypedModelElements[[#This Row],[Property - Owning Class:src]], meta_Classifiers[ID], 0 ) ) )</f>
        <v/>
      </c>
      <c r="K82"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82" s="5" t="str">
        <f>IF(meta_TypedModelElements[[#This Row],[Kind:src]]="_Function",meta_TypedModelElements[[#This Row],[Display Qualified]],"")</f>
        <v/>
      </c>
      <c r="M82" s="5" t="str">
        <f>IF(meta_TypedModelElements[[#This Row],[Kind:src]]="_Attribute",meta_TypedModelElements[[#This Row],[Display Qualified]],"")</f>
        <v/>
      </c>
      <c r="N82" s="5" t="str">
        <f>IF(meta_TypedModelElements[[#This Row],[Kind:src]]="_Reference",meta_TypedModelElements[[#This Row],[Display Qualified]],"")</f>
        <v/>
      </c>
      <c r="O82" s="5" t="str">
        <f>IF(OR(meta_TypedModelElements[[#This Row],[Kind:src]]="_Attribute",meta_TypedModelElements[[#This Row],[Kind:src]]="_Reference"),meta_TypedModelElements[[#This Row],[Display Qualified]],"")</f>
        <v/>
      </c>
      <c r="P82" s="22"/>
      <c r="Q82" s="22"/>
      <c r="R82" s="5" t="str">
        <f>IF(meta_TypedModelElements[[#This Row],[Containing Class:display]]="","",meta_TypedModelElements[[#This Row],[Containing Class:display]]&amp;".")&amp;meta_TypedModelElements[[#This Row],[Display without Class]]</f>
        <v>firstParameter</v>
      </c>
      <c r="S82" s="5" t="str" cm="1">
        <f t="array" ref="S82">_xlfn.IFNA(INDEX(meta_Names[Camel Lower], MATCH(meta_TypedModelElements[[#This Row],[Name or Type]],meta_Names[String],0)),camelCaseLower(meta_TypedModelElements[[#This Row],[Name or Type]]))</f>
        <v>firstParameter</v>
      </c>
      <c r="T82" s="5" t="str">
        <f>IF(meta_TypedModelElements[[#This Row],[Name or Type]]="","",meta_TypedModelElements[[#This Row],[Name or Type Camel Case Lower]])&amp;IF(meta_TypedModelElements[[#This Row],[Kind:src]]="_Function","("&amp;meta_TypedModelElements[[#This Row],[Function - Parameters Display]]&amp;")","")</f>
        <v>firstParameter</v>
      </c>
      <c r="U8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First Parameter</v>
      </c>
      <c r="V82" s="22" t="s">
        <v>371</v>
      </c>
      <c r="W82" s="5" t="e">
        <f>INDEX(meta_Classifiers[Class - Generalization:src],MATCH(meta_TypedModelElements[[#This Row],[Type Super Type 6]],meta_Classifiers[ID],0))</f>
        <v>#N/A</v>
      </c>
      <c r="X82" s="5" t="e">
        <f>INDEX(meta_Classifiers[Class - Generalization:src],MATCH(meta_TypedModelElements[[#This Row],[Type Super Type 5]],meta_Classifiers[ID],0))</f>
        <v>#N/A</v>
      </c>
      <c r="Y82" s="5" t="e">
        <f>INDEX(meta_Classifiers[Class - Generalization:src],MATCH(meta_TypedModelElements[[#This Row],[Type Super Type 4]],meta_Classifiers[ID],0))</f>
        <v>#N/A</v>
      </c>
      <c r="Z82" s="5" t="e">
        <f>INDEX(meta_Classifiers[Class - Generalization:src],MATCH(meta_TypedModelElements[[#This Row],[Type Super Type 3]],meta_Classifiers[ID],0))</f>
        <v>#N/A</v>
      </c>
      <c r="AA82" s="5" t="e">
        <f>INDEX(meta_Classifiers[Class - Generalization:src],MATCH(meta_TypedModelElements[[#This Row],[Type Super Type 2]],meta_Classifiers[ID],0))</f>
        <v>#N/A</v>
      </c>
      <c r="AB82" s="5" t="e">
        <f>INDEX(meta_Classifiers[Class - Generalization:src],MATCH(meta_TypedModelElements[[#This Row],[Type Super Type 1]],meta_Classifiers[ID],0))</f>
        <v>#N/A</v>
      </c>
      <c r="AC82" s="5" t="str">
        <f>INDEX(meta_Classifiers[Class - Generalization:src],MATCH(meta_TypedModelElements[[#This Row],[Type:src]],meta_Classifiers[ID],0))</f>
        <v/>
      </c>
      <c r="AD82" s="5" t="str">
        <f>IF(meta_TypedModelElements[[#This Row],[Kind:src]]&lt;&gt;"_Function",meta_TypedModelElements[[#This Row],[Type]],INDEX(meta_TypedModelElements[Type],MATCH(meta_TypedModelElements[[#This Row],[Function - Owning Property:src]],meta_TypedModelElements[ID],0)))</f>
        <v>String</v>
      </c>
      <c r="AE82" s="5" t="str">
        <f>IF(meta_TypedModelElements[[#This Row],[Kind:src]]&lt;&gt;"_Function",meta_TypedModelElements[[#This Row],[Type:src]],INDEX(meta_TypedModelElements[Type:src],MATCH(meta_TypedModelElements[[#This Row],[Function - Owning Property:src]],meta_TypedModelElements[ID],0)))</f>
        <v>_String</v>
      </c>
      <c r="AF82" s="5" t="str">
        <f>IF(meta_TypedModelElements[[#This Row],[Type:src]]="","",INDEX(meta_Classifiers[Name],MATCH(meta_TypedModelElements[[#This Row],[Type:src]],meta_Classifiers[ID],0)))</f>
        <v>String</v>
      </c>
      <c r="AG82" s="5" t="s">
        <v>180</v>
      </c>
      <c r="AH82" s="22" t="str">
        <f xml:space="preserve"> IF( TRIM( meta_TypedModelElements[[#This Row],[Type:src]] ) = "", "",
        INDEX( meta_Classifiers[Display Qualified], MATCH( meta_TypedModelElements[[#This Row],[Type:src]], meta_Classifiers[ID], 0 ) ) )</f>
        <v>String</v>
      </c>
      <c r="AI82" s="22" t="s">
        <v>19</v>
      </c>
      <c r="AJ82" s="22"/>
      <c r="AK82" s="8"/>
      <c r="AL82" s="22" t="str">
        <f xml:space="preserve"> IF( TRIM( meta_TypedModelElements[[#This Row],[Reference - Opposite:src]] ) = "", "",
        INDEX( meta_TypedModelElements[Display Qualified], MATCH( meta_TypedModelElements[[#This Row],[Reference - Opposite:src]], meta_TypedModelElements[ID], 0 ) ) )</f>
        <v/>
      </c>
      <c r="AM82" s="8"/>
      <c r="AN8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2" s="22">
        <v>1</v>
      </c>
      <c r="AP82"/>
      <c r="AQ82" s="22" t="str">
        <f xml:space="preserve"> IF( TRIM( meta_TypedModelElements[[#This Row],[Function - Owning Property:src]] ) = "", "",
        INDEX( meta_TypedModelElements[Display Qualified], MATCH( meta_TypedModelElements[[#This Row],[Function - Owning Property:src]], meta_TypedModelElements[ID], 0 ) ) )</f>
        <v/>
      </c>
      <c r="AT82" s="22" t="str">
        <f>IF(meta_TypedModelElements[[#This Row],[Parameter - Owning Function:src]]="","",INDEX(meta_TypedModelElements[Display Qualified],MATCH(meta_TypedModelElements[[#This Row],[Parameter - Owning Function:src]],meta_TypedModelElements[ID],0)))</f>
        <v/>
      </c>
      <c r="AV82" s="89"/>
      <c r="AW8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2" s="5" t="str">
        <f>"[@["&amp;meta_TypedModelElements[[#This Row],[Name or Type]]&amp;":src]]"</f>
        <v>[@[First Parameter:src]]</v>
      </c>
      <c r="AY8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2" s="40"/>
      <c r="BC82" s="40" t="str">
        <f>IF(meta_TypedModelElements[[#This Row],[Kind:src]]="_Parameter","",IF(AND(meta_TypedModelElements[[#This Row],[Package]]="util",meta_TypedModelElements[[#This Row],[Containing Class]]=0), "public", "method"))</f>
        <v/>
      </c>
      <c r="BD82" s="40"/>
      <c r="BE8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82" s="40"/>
      <c r="BK82" s="5"/>
    </row>
    <row r="83" spans="1:63">
      <c r="A83" s="5" t="s">
        <v>277</v>
      </c>
      <c r="B83" s="5" t="s">
        <v>168</v>
      </c>
      <c r="C83" s="22" t="str">
        <f xml:space="preserve"> IF( TRIM( meta_TypedModelElements[[#This Row],[Kind:src]] ) = "", "",
        INDEX( meta_Classifiers[Display Qualified], MATCH( meta_TypedModelElements[[#This Row],[Kind:src]], meta_Classifiers[ID], 0 ) ) )</f>
        <v>Attribute</v>
      </c>
      <c r="D83" s="22">
        <v>82</v>
      </c>
      <c r="E83" s="22" t="s">
        <v>143</v>
      </c>
      <c r="F83" s="22"/>
      <c r="G8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3" s="8"/>
      <c r="J83" s="22" t="str">
        <f xml:space="preserve"> IF( TRIM( meta_TypedModelElements[[#This Row],[Property - Owning Class:src]] ) = "", "",
        INDEX( meta_Classifiers[Display Qualified], MATCH( meta_TypedModelElements[[#This Row],[Property - Owning Class:src]], meta_Classifiers[ID], 0 ) ) )</f>
        <v/>
      </c>
      <c r="K8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belowred::table2Ref</v>
      </c>
      <c r="L83" s="5" t="str">
        <f>IF(meta_TypedModelElements[[#This Row],[Kind:src]]="_Function",meta_TypedModelElements[[#This Row],[Display Qualified]],"")</f>
        <v/>
      </c>
      <c r="M83" s="5" t="str">
        <f>IF(meta_TypedModelElements[[#This Row],[Kind:src]]="_Attribute",meta_TypedModelElements[[#This Row],[Display Qualified]],"")</f>
        <v>belowred::table2Ref</v>
      </c>
      <c r="N83" s="5" t="str">
        <f>IF(meta_TypedModelElements[[#This Row],[Kind:src]]="_Reference",meta_TypedModelElements[[#This Row],[Display Qualified]],"")</f>
        <v/>
      </c>
      <c r="O83" s="5" t="str">
        <f>IF(OR(meta_TypedModelElements[[#This Row],[Kind:src]]="_Attribute",meta_TypedModelElements[[#This Row],[Kind:src]]="_Reference"),meta_TypedModelElements[[#This Row],[Display Qualified]],"")</f>
        <v>belowred::table2Ref</v>
      </c>
      <c r="P83" s="22"/>
      <c r="Q83" s="22"/>
      <c r="R83" s="5" t="str">
        <f>IF(meta_TypedModelElements[[#This Row],[Containing Class:display]]="","",meta_TypedModelElements[[#This Row],[Containing Class:display]]&amp;".")&amp;meta_TypedModelElements[[#This Row],[Display without Class]]</f>
        <v>table2Ref</v>
      </c>
      <c r="S83" s="5" t="str" cm="1">
        <f t="array" ref="S83">_xlfn.IFNA(INDEX(meta_Names[Camel Lower], MATCH(meta_TypedModelElements[[#This Row],[Name or Type]],meta_Names[String],0)),camelCaseLower(meta_TypedModelElements[[#This Row],[Name or Type]]))</f>
        <v>table2Ref</v>
      </c>
      <c r="T83" s="5" t="str">
        <f>IF(meta_TypedModelElements[[#This Row],[Name or Type]]="","",meta_TypedModelElements[[#This Row],[Name or Type Camel Case Lower]])&amp;IF(meta_TypedModelElements[[#This Row],[Kind:src]]="_Function","("&amp;meta_TypedModelElements[[#This Row],[Function - Parameters Display]]&amp;")","")</f>
        <v>table2Ref</v>
      </c>
      <c r="U8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Ref</v>
      </c>
      <c r="V83" s="22" t="s">
        <v>123</v>
      </c>
      <c r="W83" s="5" t="e">
        <f>INDEX(meta_Classifiers[Class - Generalization:src],MATCH(meta_TypedModelElements[[#This Row],[Type Super Type 6]],meta_Classifiers[ID],0))</f>
        <v>#N/A</v>
      </c>
      <c r="X83" s="5" t="e">
        <f>INDEX(meta_Classifiers[Class - Generalization:src],MATCH(meta_TypedModelElements[[#This Row],[Type Super Type 5]],meta_Classifiers[ID],0))</f>
        <v>#N/A</v>
      </c>
      <c r="Y83" s="5" t="e">
        <f>INDEX(meta_Classifiers[Class - Generalization:src],MATCH(meta_TypedModelElements[[#This Row],[Type Super Type 4]],meta_Classifiers[ID],0))</f>
        <v>#N/A</v>
      </c>
      <c r="Z83" s="5" t="e">
        <f>INDEX(meta_Classifiers[Class - Generalization:src],MATCH(meta_TypedModelElements[[#This Row],[Type Super Type 3]],meta_Classifiers[ID],0))</f>
        <v>#N/A</v>
      </c>
      <c r="AA83" s="5" t="e">
        <f>INDEX(meta_Classifiers[Class - Generalization:src],MATCH(meta_TypedModelElements[[#This Row],[Type Super Type 2]],meta_Classifiers[ID],0))</f>
        <v>#N/A</v>
      </c>
      <c r="AB83" s="5" t="e">
        <f>INDEX(meta_Classifiers[Class - Generalization:src],MATCH(meta_TypedModelElements[[#This Row],[Type Super Type 1]],meta_Classifiers[ID],0))</f>
        <v>#N/A</v>
      </c>
      <c r="AC83" s="5" t="e">
        <f>INDEX(meta_Classifiers[Class - Generalization:src],MATCH(meta_TypedModelElements[[#This Row],[Type:src]],meta_Classifiers[ID],0))</f>
        <v>#N/A</v>
      </c>
      <c r="AD83" s="5" t="str">
        <f>IF(meta_TypedModelElements[[#This Row],[Kind:src]]&lt;&gt;"_Function",meta_TypedModelElements[[#This Row],[Type]],INDEX(meta_TypedModelElements[Type],MATCH(meta_TypedModelElements[[#This Row],[Function - Owning Property:src]],meta_TypedModelElements[ID],0)))</f>
        <v/>
      </c>
      <c r="AE83" s="5">
        <f>IF(meta_TypedModelElements[[#This Row],[Kind:src]]&lt;&gt;"_Function",meta_TypedModelElements[[#This Row],[Type:src]],INDEX(meta_TypedModelElements[Type:src],MATCH(meta_TypedModelElements[[#This Row],[Function - Owning Property:src]],meta_TypedModelElements[ID],0)))</f>
        <v>0</v>
      </c>
      <c r="AF83" s="5" t="str">
        <f>IF(meta_TypedModelElements[[#This Row],[Type:src]]="","",INDEX(meta_Classifiers[Name],MATCH(meta_TypedModelElements[[#This Row],[Type:src]],meta_Classifiers[ID],0)))</f>
        <v/>
      </c>
      <c r="AH83" s="22" t="str">
        <f xml:space="preserve"> IF( TRIM( meta_TypedModelElements[[#This Row],[Type:src]] ) = "", "",
        INDEX( meta_Classifiers[Display Qualified], MATCH( meta_TypedModelElements[[#This Row],[Type:src]], meta_Classifiers[ID], 0 ) ) )</f>
        <v/>
      </c>
      <c r="AI83" s="22" t="s">
        <v>21</v>
      </c>
      <c r="AJ83" s="22"/>
      <c r="AK83" s="8"/>
      <c r="AL83" s="22" t="str">
        <f xml:space="preserve"> IF( TRIM( meta_TypedModelElements[[#This Row],[Reference - Opposite:src]] ) = "", "",
        INDEX( meta_TypedModelElements[Display Qualified], MATCH( meta_TypedModelElements[[#This Row],[Reference - Opposite:src]], meta_TypedModelElements[ID], 0 ) ) )</f>
        <v/>
      </c>
      <c r="AM83" s="8"/>
      <c r="AN8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3" s="22"/>
      <c r="AP83"/>
      <c r="AQ83" s="22" t="str">
        <f xml:space="preserve"> IF( TRIM( meta_TypedModelElements[[#This Row],[Function - Owning Property:src]] ) = "", "",
        INDEX( meta_TypedModelElements[Display Qualified], MATCH( meta_TypedModelElements[[#This Row],[Function - Owning Property:src]], meta_TypedModelElements[ID], 0 ) ) )</f>
        <v/>
      </c>
      <c r="AT83" s="22" t="str">
        <f>IF(meta_TypedModelElements[[#This Row],[Parameter - Owning Function:src]]="","",INDEX(meta_TypedModelElements[Display Qualified],MATCH(meta_TypedModelElements[[#This Row],[Parameter - Owning Function:src]],meta_TypedModelElements[ID],0)))</f>
        <v/>
      </c>
      <c r="AV83" s="89"/>
      <c r="AW8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3" s="5" t="str">
        <f>"[@["&amp;meta_TypedModelElements[[#This Row],[Name or Type]]&amp;":src]]"</f>
        <v>[@[Table 2 Ref:src]]</v>
      </c>
      <c r="AY8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3" s="40"/>
      <c r="BC83" s="40" t="str">
        <f>IF(meta_TypedModelElements[[#This Row],[Kind:src]]="_Parameter","",IF(AND(meta_TypedModelElements[[#This Row],[Package]]="util",meta_TypedModelElements[[#This Row],[Containing Class]]=0), "public", "method"))</f>
        <v>method</v>
      </c>
      <c r="BD83" s="40"/>
      <c r="BE8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3" s="40"/>
    </row>
    <row r="84" spans="1:63">
      <c r="A84" s="5" t="s">
        <v>278</v>
      </c>
      <c r="B84" s="5" t="s">
        <v>168</v>
      </c>
      <c r="C84" s="22" t="str">
        <f xml:space="preserve"> IF( TRIM( meta_TypedModelElements[[#This Row],[Kind:src]] ) = "", "",
        INDEX( meta_Classifiers[Display Qualified], MATCH( meta_TypedModelElements[[#This Row],[Kind:src]], meta_Classifiers[ID], 0 ) ) )</f>
        <v>Attribute</v>
      </c>
      <c r="D84" s="22">
        <v>83</v>
      </c>
      <c r="E84" s="22" t="s">
        <v>143</v>
      </c>
      <c r="F84" s="22"/>
      <c r="G8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4" s="8" t="s">
        <v>160</v>
      </c>
      <c r="J84" s="22" t="str">
        <f xml:space="preserve"> IF( TRIM( meta_TypedModelElements[[#This Row],[Property - Owning Class:src]] ) = "", "",
        INDEX( meta_Classifiers[Display Qualified], MATCH( meta_TypedModelElements[[#This Row],[Property - Owning Class:src]], meta_Classifiers[ID], 0 ) ) )</f>
        <v>Object</v>
      </c>
      <c r="K8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belowred::Object.table2StringValue2</v>
      </c>
      <c r="L84" s="5" t="str">
        <f>IF(meta_TypedModelElements[[#This Row],[Kind:src]]="_Function",meta_TypedModelElements[[#This Row],[Display Qualified]],"")</f>
        <v/>
      </c>
      <c r="M84" s="5" t="str">
        <f>IF(meta_TypedModelElements[[#This Row],[Kind:src]]="_Attribute",meta_TypedModelElements[[#This Row],[Display Qualified]],"")</f>
        <v>belowred::Object.table2StringValue2</v>
      </c>
      <c r="N84" s="5" t="str">
        <f>IF(meta_TypedModelElements[[#This Row],[Kind:src]]="_Reference",meta_TypedModelElements[[#This Row],[Display Qualified]],"")</f>
        <v/>
      </c>
      <c r="O84" s="5" t="str">
        <f>IF(OR(meta_TypedModelElements[[#This Row],[Kind:src]]="_Attribute",meta_TypedModelElements[[#This Row],[Kind:src]]="_Reference"),meta_TypedModelElements[[#This Row],[Display Qualified]],"")</f>
        <v>belowred::Object.table2StringValue2</v>
      </c>
      <c r="P84" s="22"/>
      <c r="Q84" s="22"/>
      <c r="R84" s="5" t="str">
        <f>IF(meta_TypedModelElements[[#This Row],[Containing Class:display]]="","",meta_TypedModelElements[[#This Row],[Containing Class:display]]&amp;".")&amp;meta_TypedModelElements[[#This Row],[Display without Class]]</f>
        <v>Object.table2StringValue2</v>
      </c>
      <c r="S84" s="5" t="str" cm="1">
        <f t="array" ref="S84">_xlfn.IFNA(INDEX(meta_Names[Camel Lower], MATCH(meta_TypedModelElements[[#This Row],[Name or Type]],meta_Names[String],0)),camelCaseLower(meta_TypedModelElements[[#This Row],[Name or Type]]))</f>
        <v>table2StringValue2</v>
      </c>
      <c r="T84" s="5" t="str">
        <f>IF(meta_TypedModelElements[[#This Row],[Name or Type]]="","",meta_TypedModelElements[[#This Row],[Name or Type Camel Case Lower]])&amp;IF(meta_TypedModelElements[[#This Row],[Kind:src]]="_Function","("&amp;meta_TypedModelElements[[#This Row],[Function - Parameters Display]]&amp;")","")</f>
        <v>table2StringValue2</v>
      </c>
      <c r="U8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String Value 2</v>
      </c>
      <c r="V84" s="22" t="s">
        <v>130</v>
      </c>
      <c r="W84" s="5" t="e">
        <f>INDEX(meta_Classifiers[Class - Generalization:src],MATCH(meta_TypedModelElements[[#This Row],[Type Super Type 6]],meta_Classifiers[ID],0))</f>
        <v>#N/A</v>
      </c>
      <c r="X84" s="5" t="e">
        <f>INDEX(meta_Classifiers[Class - Generalization:src],MATCH(meta_TypedModelElements[[#This Row],[Type Super Type 5]],meta_Classifiers[ID],0))</f>
        <v>#N/A</v>
      </c>
      <c r="Y84" s="5" t="e">
        <f>INDEX(meta_Classifiers[Class - Generalization:src],MATCH(meta_TypedModelElements[[#This Row],[Type Super Type 4]],meta_Classifiers[ID],0))</f>
        <v>#N/A</v>
      </c>
      <c r="Z84" s="5" t="e">
        <f>INDEX(meta_Classifiers[Class - Generalization:src],MATCH(meta_TypedModelElements[[#This Row],[Type Super Type 3]],meta_Classifiers[ID],0))</f>
        <v>#N/A</v>
      </c>
      <c r="AA84" s="5" t="e">
        <f>INDEX(meta_Classifiers[Class - Generalization:src],MATCH(meta_TypedModelElements[[#This Row],[Type Super Type 2]],meta_Classifiers[ID],0))</f>
        <v>#N/A</v>
      </c>
      <c r="AB84" s="5" t="e">
        <f>INDEX(meta_Classifiers[Class - Generalization:src],MATCH(meta_TypedModelElements[[#This Row],[Type Super Type 1]],meta_Classifiers[ID],0))</f>
        <v>#N/A</v>
      </c>
      <c r="AC84" s="5" t="str">
        <f>INDEX(meta_Classifiers[Class - Generalization:src],MATCH(meta_TypedModelElements[[#This Row],[Type:src]],meta_Classifiers[ID],0))</f>
        <v/>
      </c>
      <c r="AD84" s="5" t="str">
        <f>IF(meta_TypedModelElements[[#This Row],[Kind:src]]&lt;&gt;"_Function",meta_TypedModelElements[[#This Row],[Type]],INDEX(meta_TypedModelElements[Type],MATCH(meta_TypedModelElements[[#This Row],[Function - Owning Property:src]],meta_TypedModelElements[ID],0)))</f>
        <v>String</v>
      </c>
      <c r="AE84" s="5" t="str">
        <f>IF(meta_TypedModelElements[[#This Row],[Kind:src]]&lt;&gt;"_Function",meta_TypedModelElements[[#This Row],[Type:src]],INDEX(meta_TypedModelElements[Type:src],MATCH(meta_TypedModelElements[[#This Row],[Function - Owning Property:src]],meta_TypedModelElements[ID],0)))</f>
        <v>_String</v>
      </c>
      <c r="AF84" s="5" t="str">
        <f>IF(meta_TypedModelElements[[#This Row],[Type:src]]="","",INDEX(meta_Classifiers[Name],MATCH(meta_TypedModelElements[[#This Row],[Type:src]],meta_Classifiers[ID],0)))</f>
        <v>String</v>
      </c>
      <c r="AG84" s="5" t="s">
        <v>180</v>
      </c>
      <c r="AH84" s="22" t="str">
        <f xml:space="preserve"> IF( TRIM( meta_TypedModelElements[[#This Row],[Type:src]] ) = "", "",
        INDEX( meta_Classifiers[Display Qualified], MATCH( meta_TypedModelElements[[#This Row],[Type:src]], meta_Classifiers[ID], 0 ) ) )</f>
        <v>String</v>
      </c>
      <c r="AI84" s="22" t="s">
        <v>21</v>
      </c>
      <c r="AJ84" s="22"/>
      <c r="AK84" s="8"/>
      <c r="AL84" s="22" t="str">
        <f xml:space="preserve"> IF( TRIM( meta_TypedModelElements[[#This Row],[Reference - Opposite:src]] ) = "", "",
        INDEX( meta_TypedModelElements[Display Qualified], MATCH( meta_TypedModelElements[[#This Row],[Reference - Opposite:src]], meta_TypedModelElements[ID], 0 ) ) )</f>
        <v/>
      </c>
      <c r="AM84" s="8"/>
      <c r="AN8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4" s="22"/>
      <c r="AP84"/>
      <c r="AQ84" s="22" t="str">
        <f xml:space="preserve"> IF( TRIM( meta_TypedModelElements[[#This Row],[Function - Owning Property:src]] ) = "", "",
        INDEX( meta_TypedModelElements[Display Qualified], MATCH( meta_TypedModelElements[[#This Row],[Function - Owning Property:src]], meta_TypedModelElements[ID], 0 ) ) )</f>
        <v/>
      </c>
      <c r="AT84" s="22" t="str">
        <f>IF(meta_TypedModelElements[[#This Row],[Parameter - Owning Function:src]]="","",INDEX(meta_TypedModelElements[Display Qualified],MATCH(meta_TypedModelElements[[#This Row],[Parameter - Owning Function:src]],meta_TypedModelElements[ID],0)))</f>
        <v/>
      </c>
      <c r="AV84" s="89"/>
      <c r="AW8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4" s="5" t="str">
        <f>"[@["&amp;meta_TypedModelElements[[#This Row],[Name or Type]]&amp;":src]]"</f>
        <v>[@[Table 2 String Value 2:src]]</v>
      </c>
      <c r="AY8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4" s="40"/>
      <c r="BC84" s="40" t="str">
        <f>IF(meta_TypedModelElements[[#This Row],[Kind:src]]="_Parameter","",IF(AND(meta_TypedModelElements[[#This Row],[Package]]="util",meta_TypedModelElements[[#This Row],[Containing Class]]=0), "public", "method"))</f>
        <v>method</v>
      </c>
      <c r="BD84" s="40"/>
      <c r="BE8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4" s="40"/>
    </row>
    <row r="85" spans="1:63" ht="202.5">
      <c r="A85" s="5" t="s">
        <v>805</v>
      </c>
      <c r="B85" s="5" t="s">
        <v>167</v>
      </c>
      <c r="C85" s="22" t="str">
        <f xml:space="preserve"> IF( TRIM( meta_TypedModelElements[[#This Row],[Kind:src]] ) = "", "",
        INDEX( meta_Classifiers[Display Qualified], MATCH( meta_TypedModelElements[[#This Row],[Kind:src]], meta_Classifiers[ID], 0 ) ) )</f>
        <v>Reference</v>
      </c>
      <c r="D85" s="22">
        <v>84</v>
      </c>
      <c r="E85" s="22" t="s">
        <v>143</v>
      </c>
      <c r="F85" s="22"/>
      <c r="G8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5" s="8" t="s">
        <v>160</v>
      </c>
      <c r="J85" s="22" t="str">
        <f xml:space="preserve"> IF( TRIM( meta_TypedModelElements[[#This Row],[Property - Owning Class:src]] ) = "", "",
        INDEX( meta_Classifiers[Display Qualified], MATCH( meta_TypedModelElements[[#This Row],[Property - Owning Class:src]], meta_Classifiers[ID], 0 ) ) )</f>
        <v>Object</v>
      </c>
      <c r="K8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belowred::Object.t_2Name</v>
      </c>
      <c r="L85" s="5" t="str">
        <f>IF(meta_TypedModelElements[[#This Row],[Kind:src]]="_Function",meta_TypedModelElements[[#This Row],[Display Qualified]],"")</f>
        <v/>
      </c>
      <c r="M85" s="5" t="str">
        <f>IF(meta_TypedModelElements[[#This Row],[Kind:src]]="_Attribute",meta_TypedModelElements[[#This Row],[Display Qualified]],"")</f>
        <v/>
      </c>
      <c r="N85" s="5" t="str">
        <f>IF(meta_TypedModelElements[[#This Row],[Kind:src]]="_Reference",meta_TypedModelElements[[#This Row],[Display Qualified]],"")</f>
        <v>belowred::Object.t_2Name</v>
      </c>
      <c r="O85" s="5" t="str">
        <f>IF(OR(meta_TypedModelElements[[#This Row],[Kind:src]]="_Attribute",meta_TypedModelElements[[#This Row],[Kind:src]]="_Reference"),meta_TypedModelElements[[#This Row],[Display Qualified]],"")</f>
        <v>belowred::Object.t_2Name</v>
      </c>
      <c r="P85" s="22"/>
      <c r="Q85" s="22"/>
      <c r="R85" s="5" t="str">
        <f>IF(meta_TypedModelElements[[#This Row],[Containing Class:display]]="","",meta_TypedModelElements[[#This Row],[Containing Class:display]]&amp;".")&amp;meta_TypedModelElements[[#This Row],[Display without Class]]</f>
        <v>Object.t_2Name</v>
      </c>
      <c r="S85" s="5" t="str" cm="1">
        <f t="array" ref="S85">_xlfn.IFNA(INDEX(meta_Names[Camel Lower], MATCH(meta_TypedModelElements[[#This Row],[Name or Type]],meta_Names[String],0)),camelCaseLower(meta_TypedModelElements[[#This Row],[Name or Type]]))</f>
        <v>t_2Name</v>
      </c>
      <c r="T85" s="5" t="str">
        <f>IF(meta_TypedModelElements[[#This Row],[Name or Type]]="","",meta_TypedModelElements[[#This Row],[Name or Type Camel Case Lower]])&amp;IF(meta_TypedModelElements[[#This Row],[Kind:src]]="_Function","("&amp;meta_TypedModelElements[[#This Row],[Function - Parameters Display]]&amp;")","")</f>
        <v>t_2Name</v>
      </c>
      <c r="U8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T2 Name</v>
      </c>
      <c r="V85" s="22" t="s">
        <v>121</v>
      </c>
      <c r="W85" s="5" t="e">
        <f>INDEX(meta_Classifiers[Class - Generalization:src],MATCH(meta_TypedModelElements[[#This Row],[Type Super Type 6]],meta_Classifiers[ID],0))</f>
        <v>#N/A</v>
      </c>
      <c r="X85" s="5" t="e">
        <f>INDEX(meta_Classifiers[Class - Generalization:src],MATCH(meta_TypedModelElements[[#This Row],[Type Super Type 5]],meta_Classifiers[ID],0))</f>
        <v>#N/A</v>
      </c>
      <c r="Y85" s="5" t="e">
        <f>INDEX(meta_Classifiers[Class - Generalization:src],MATCH(meta_TypedModelElements[[#This Row],[Type Super Type 4]],meta_Classifiers[ID],0))</f>
        <v>#N/A</v>
      </c>
      <c r="Z85" s="5" t="str">
        <f>INDEX(meta_Classifiers[Class - Generalization:src],MATCH(meta_TypedModelElements[[#This Row],[Type Super Type 3]],meta_Classifiers[ID],0))</f>
        <v/>
      </c>
      <c r="AA85" s="5" t="str">
        <f>INDEX(meta_Classifiers[Class - Generalization:src],MATCH(meta_TypedModelElements[[#This Row],[Type Super Type 2]],meta_Classifiers[ID],0))</f>
        <v>_Object</v>
      </c>
      <c r="AB85" s="5" t="str">
        <f>INDEX(meta_Classifiers[Class - Generalization:src],MATCH(meta_TypedModelElements[[#This Row],[Type Super Type 1]],meta_Classifiers[ID],0))</f>
        <v>_NamedElement</v>
      </c>
      <c r="AC85" s="5" t="str">
        <f>INDEX(meta_Classifiers[Class - Generalization:src],MATCH(meta_TypedModelElements[[#This Row],[Type:src]],meta_Classifiers[ID],0))</f>
        <v>_Classifier</v>
      </c>
      <c r="AD85" s="5" t="str">
        <f>IF(meta_TypedModelElements[[#This Row],[Kind:src]]&lt;&gt;"_Function",meta_TypedModelElements[[#This Row],[Type]],INDEX(meta_TypedModelElements[Type],MATCH(meta_TypedModelElements[[#This Row],[Function - Owning Property:src]],meta_TypedModelElements[ID],0)))</f>
        <v>Class</v>
      </c>
      <c r="AE85" s="5" t="str">
        <f>IF(meta_TypedModelElements[[#This Row],[Kind:src]]&lt;&gt;"_Function",meta_TypedModelElements[[#This Row],[Type:src]],INDEX(meta_TypedModelElements[Type:src],MATCH(meta_TypedModelElements[[#This Row],[Function - Owning Property:src]],meta_TypedModelElements[ID],0)))</f>
        <v>_Class</v>
      </c>
      <c r="AF85" s="5" t="str">
        <f>IF(meta_TypedModelElements[[#This Row],[Type:src]]="","",INDEX(meta_Classifiers[Name],MATCH(meta_TypedModelElements[[#This Row],[Type:src]],meta_Classifiers[ID],0)))</f>
        <v>Class</v>
      </c>
      <c r="AG85" s="5" t="s">
        <v>163</v>
      </c>
      <c r="AH85" s="22" t="str">
        <f xml:space="preserve"> IF( TRIM( meta_TypedModelElements[[#This Row],[Type:src]] ) = "", "",
        INDEX( meta_Classifiers[Display Qualified], MATCH( meta_TypedModelElements[[#This Row],[Type:src]], meta_Classifiers[ID], 0 ) ) )</f>
        <v>Class</v>
      </c>
      <c r="AI85" s="22" t="s">
        <v>19</v>
      </c>
      <c r="AJ85" s="22"/>
      <c r="AK85" s="8"/>
      <c r="AL85" s="22" t="str">
        <f xml:space="preserve"> IF( TRIM( meta_TypedModelElements[[#This Row],[Reference - Opposite:src]] ) = "", "",
        INDEX( meta_TypedModelElements[Display Qualified], MATCH( meta_TypedModelElements[[#This Row],[Reference - Opposite:src]], meta_TypedModelElements[ID], 0 ) ) )</f>
        <v/>
      </c>
      <c r="AM85" s="8"/>
      <c r="AN8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5" s="22"/>
      <c r="AP85"/>
      <c r="AQ85" s="22" t="str">
        <f xml:space="preserve"> IF( TRIM( meta_TypedModelElements[[#This Row],[Function - Owning Property:src]] ) = "", "",
        INDEX( meta_TypedModelElements[Display Qualified], MATCH( meta_TypedModelElements[[#This Row],[Function - Owning Property:src]], meta_TypedModelElements[ID], 0 ) ) )</f>
        <v/>
      </c>
      <c r="AT85" s="22" t="str">
        <f>IF(meta_TypedModelElements[[#This Row],[Parameter - Owning Function:src]]="","",INDEX(meta_TypedModelElements[Display Qualified],MATCH(meta_TypedModelElements[[#This Row],[Parameter - Owning Function:src]],meta_TypedModelElements[ID],0)))</f>
        <v/>
      </c>
      <c r="AV85" s="89"/>
      <c r="AW8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85" s="5" t="str">
        <f>"[@["&amp;meta_TypedModelElements[[#This Row],[Name or Type]]&amp;":src]]"</f>
        <v>[@[T2 Name:src]]</v>
      </c>
      <c r="AY8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[@[T2 Name:src]] ) = "",
        "",
    IF( LEFT([@[T2 Name:src]],1)="_",
        RIGHT([@[T2 Name:src]],LEN([@[T2 Name:src]])-1),
    IF( TRIM( [@Package] )
            &lt;&gt; TRIM( INDEX( meta_Classifiers[Package], MATCH( [@[T2 Name:src]], meta_Classifiers[ID],0 ) ) ),
        TRIM( INDEX( meta_Classifiers[Package], MATCH( [@[T2 Name:src]], meta_Classifiers[ID], 0 ) ) )
            &amp; "::"
            &amp; INDEX( meta_Classifiers[Display], MATCH( [@[T2 Name:src]], meta_Classifiers[ID], 0 ) ),
        INDEX( meta_Classifiers[Display], MATCH( [@[T2 Name:src]], meta_Classifiers[ID], 0 ) )
    ))), "")</v>
      </c>
      <c r="AZ8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"T2 Name" Then
                   referedTableName = "meta_Classifiers"
                   referedColumnName = "Display"
                   Call StaticCode.updateIdOnNameChange(cellRef, referingTableName, referingColumnName, referedTableName, referedColumnName)
            End If</v>
      </c>
      <c r="BA8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T2 Name" Then
                   referedTableName = "meta_Classifiers"
                   referedColumnName = "Display"
                   Call StaticCode.updateIdOnNameChange(cellRef, referingTableName, referingColumnName, referedTableName, referedColumnName)
            End If</v>
      </c>
      <c r="BB85" s="40"/>
      <c r="BC85" s="40" t="str">
        <f>IF(meta_TypedModelElements[[#This Row],[Kind:src]]="_Parameter","",IF(AND(meta_TypedModelElements[[#This Row],[Package]]="util",meta_TypedModelElements[[#This Row],[Containing Class]]=0), "public", "method"))</f>
        <v>method</v>
      </c>
      <c r="BD85" s="40"/>
      <c r="BE8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5" s="40"/>
    </row>
    <row r="86" spans="1:63">
      <c r="A86" s="5" t="s">
        <v>279</v>
      </c>
      <c r="B86" s="5" t="s">
        <v>168</v>
      </c>
      <c r="C86" s="22" t="str">
        <f xml:space="preserve"> IF( TRIM( meta_TypedModelElements[[#This Row],[Kind:src]] ) = "", "",
        INDEX( meta_Classifiers[Display Qualified], MATCH( meta_TypedModelElements[[#This Row],[Kind:src]], meta_Classifiers[ID], 0 ) ) )</f>
        <v>Attribute</v>
      </c>
      <c r="D86" s="22">
        <v>85</v>
      </c>
      <c r="E86" s="22" t="s">
        <v>143</v>
      </c>
      <c r="F86" s="22"/>
      <c r="G8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6" s="8" t="s">
        <v>160</v>
      </c>
      <c r="J86" s="22" t="str">
        <f xml:space="preserve"> IF( TRIM( meta_TypedModelElements[[#This Row],[Property - Owning Class:src]] ) = "", "",
        INDEX( meta_Classifiers[Display Qualified], MATCH( meta_TypedModelElements[[#This Row],[Property - Owning Class:src]], meta_Classifiers[ID], 0 ) ) )</f>
        <v>Object</v>
      </c>
      <c r="K8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belowred::Object.name_d__Q</v>
      </c>
      <c r="L86" s="5" t="str">
        <f>IF(meta_TypedModelElements[[#This Row],[Kind:src]]="_Function",meta_TypedModelElements[[#This Row],[Display Qualified]],"")</f>
        <v/>
      </c>
      <c r="M86" s="5" t="str">
        <f>IF(meta_TypedModelElements[[#This Row],[Kind:src]]="_Attribute",meta_TypedModelElements[[#This Row],[Display Qualified]],"")</f>
        <v>belowred::Object.name_d__Q</v>
      </c>
      <c r="N86" s="5" t="str">
        <f>IF(meta_TypedModelElements[[#This Row],[Kind:src]]="_Reference",meta_TypedModelElements[[#This Row],[Display Qualified]],"")</f>
        <v/>
      </c>
      <c r="O86" s="5" t="str">
        <f>IF(OR(meta_TypedModelElements[[#This Row],[Kind:src]]="_Attribute",meta_TypedModelElements[[#This Row],[Kind:src]]="_Reference"),meta_TypedModelElements[[#This Row],[Display Qualified]],"")</f>
        <v>belowred::Object.name_d__Q</v>
      </c>
      <c r="P86" s="22"/>
      <c r="Q86" s="22"/>
      <c r="R86" s="5" t="str">
        <f>IF(meta_TypedModelElements[[#This Row],[Containing Class:display]]="","",meta_TypedModelElements[[#This Row],[Containing Class:display]]&amp;".")&amp;meta_TypedModelElements[[#This Row],[Display without Class]]</f>
        <v>Object.name_d__Q</v>
      </c>
      <c r="S86" s="5" t="str" cm="1">
        <f t="array" ref="S86">_xlfn.IFNA(INDEX(meta_Names[Camel Lower], MATCH(meta_TypedModelElements[[#This Row],[Name or Type]],meta_Names[String],0)),camelCaseLower(meta_TypedModelElements[[#This Row],[Name or Type]]))</f>
        <v>name_d__Q</v>
      </c>
      <c r="T86" s="5" t="str">
        <f>IF(meta_TypedModelElements[[#This Row],[Name or Type]]="","",meta_TypedModelElements[[#This Row],[Name or Type Camel Case Lower]])&amp;IF(meta_TypedModelElements[[#This Row],[Kind:src]]="_Function","("&amp;meta_TypedModelElements[[#This Row],[Function - Parameters Display]]&amp;")","")</f>
        <v>name_d__Q</v>
      </c>
      <c r="U8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Name:q</v>
      </c>
      <c r="V86" s="22" t="s">
        <v>131</v>
      </c>
      <c r="W86" s="5" t="e">
        <f>INDEX(meta_Classifiers[Class - Generalization:src],MATCH(meta_TypedModelElements[[#This Row],[Type Super Type 6]],meta_Classifiers[ID],0))</f>
        <v>#N/A</v>
      </c>
      <c r="X86" s="5" t="e">
        <f>INDEX(meta_Classifiers[Class - Generalization:src],MATCH(meta_TypedModelElements[[#This Row],[Type Super Type 5]],meta_Classifiers[ID],0))</f>
        <v>#N/A</v>
      </c>
      <c r="Y86" s="5" t="e">
        <f>INDEX(meta_Classifiers[Class - Generalization:src],MATCH(meta_TypedModelElements[[#This Row],[Type Super Type 4]],meta_Classifiers[ID],0))</f>
        <v>#N/A</v>
      </c>
      <c r="Z86" s="5" t="e">
        <f>INDEX(meta_Classifiers[Class - Generalization:src],MATCH(meta_TypedModelElements[[#This Row],[Type Super Type 3]],meta_Classifiers[ID],0))</f>
        <v>#N/A</v>
      </c>
      <c r="AA86" s="5" t="e">
        <f>INDEX(meta_Classifiers[Class - Generalization:src],MATCH(meta_TypedModelElements[[#This Row],[Type Super Type 2]],meta_Classifiers[ID],0))</f>
        <v>#N/A</v>
      </c>
      <c r="AB86" s="5" t="e">
        <f>INDEX(meta_Classifiers[Class - Generalization:src],MATCH(meta_TypedModelElements[[#This Row],[Type Super Type 1]],meta_Classifiers[ID],0))</f>
        <v>#N/A</v>
      </c>
      <c r="AC86" s="5" t="str">
        <f>INDEX(meta_Classifiers[Class - Generalization:src],MATCH(meta_TypedModelElements[[#This Row],[Type:src]],meta_Classifiers[ID],0))</f>
        <v/>
      </c>
      <c r="AD86" s="5" t="str">
        <f>IF(meta_TypedModelElements[[#This Row],[Kind:src]]&lt;&gt;"_Function",meta_TypedModelElements[[#This Row],[Type]],INDEX(meta_TypedModelElements[Type],MATCH(meta_TypedModelElements[[#This Row],[Function - Owning Property:src]],meta_TypedModelElements[ID],0)))</f>
        <v>String</v>
      </c>
      <c r="AE86" s="5" t="str">
        <f>IF(meta_TypedModelElements[[#This Row],[Kind:src]]&lt;&gt;"_Function",meta_TypedModelElements[[#This Row],[Type:src]],INDEX(meta_TypedModelElements[Type:src],MATCH(meta_TypedModelElements[[#This Row],[Function - Owning Property:src]],meta_TypedModelElements[ID],0)))</f>
        <v>_String</v>
      </c>
      <c r="AF86" s="5" t="str">
        <f>IF(meta_TypedModelElements[[#This Row],[Type:src]]="","",INDEX(meta_Classifiers[Name],MATCH(meta_TypedModelElements[[#This Row],[Type:src]],meta_Classifiers[ID],0)))</f>
        <v>String</v>
      </c>
      <c r="AG86" s="5" t="s">
        <v>180</v>
      </c>
      <c r="AH86" s="22" t="str">
        <f xml:space="preserve"> IF( TRIM( meta_TypedModelElements[[#This Row],[Type:src]] ) = "", "",
        INDEX( meta_Classifiers[Display Qualified], MATCH( meta_TypedModelElements[[#This Row],[Type:src]], meta_Classifiers[ID], 0 ) ) )</f>
        <v>String</v>
      </c>
      <c r="AI86" s="22" t="s">
        <v>19</v>
      </c>
      <c r="AJ86" s="22"/>
      <c r="AK86" s="8"/>
      <c r="AL86" s="22" t="str">
        <f xml:space="preserve"> IF( TRIM( meta_TypedModelElements[[#This Row],[Reference - Opposite:src]] ) = "", "",
        INDEX( meta_TypedModelElements[Display Qualified], MATCH( meta_TypedModelElements[[#This Row],[Reference - Opposite:src]], meta_TypedModelElements[ID], 0 ) ) )</f>
        <v/>
      </c>
      <c r="AM86" s="8"/>
      <c r="AN8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6" s="22"/>
      <c r="AP86"/>
      <c r="AQ86" s="22" t="str">
        <f xml:space="preserve"> IF( TRIM( meta_TypedModelElements[[#This Row],[Function - Owning Property:src]] ) = "", "",
        INDEX( meta_TypedModelElements[Display Qualified], MATCH( meta_TypedModelElements[[#This Row],[Function - Owning Property:src]], meta_TypedModelElements[ID], 0 ) ) )</f>
        <v/>
      </c>
      <c r="AT86" s="22" t="str">
        <f>IF(meta_TypedModelElements[[#This Row],[Parameter - Owning Function:src]]="","",INDEX(meta_TypedModelElements[Display Qualified],MATCH(meta_TypedModelElements[[#This Row],[Parameter - Owning Function:src]],meta_TypedModelElements[ID],0)))</f>
        <v/>
      </c>
      <c r="AV86" s="89"/>
      <c r="AW8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6" s="5" t="str">
        <f>"[@["&amp;meta_TypedModelElements[[#This Row],[Name or Type]]&amp;":src]]"</f>
        <v>[@[Name:q:src]]</v>
      </c>
      <c r="AY8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6" s="40"/>
      <c r="BC86" s="40" t="str">
        <f>IF(meta_TypedModelElements[[#This Row],[Kind:src]]="_Parameter","",IF(AND(meta_TypedModelElements[[#This Row],[Package]]="util",meta_TypedModelElements[[#This Row],[Containing Class]]=0), "public", "method"))</f>
        <v>method</v>
      </c>
      <c r="BD86" s="40"/>
      <c r="BE8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6" s="40"/>
    </row>
    <row r="87" spans="1:63">
      <c r="A87" s="5" t="s">
        <v>280</v>
      </c>
      <c r="B87" s="5" t="s">
        <v>168</v>
      </c>
      <c r="C87" s="22" t="str">
        <f xml:space="preserve"> IF( TRIM( meta_TypedModelElements[[#This Row],[Kind:src]] ) = "", "",
        INDEX( meta_Classifiers[Display Qualified], MATCH( meta_TypedModelElements[[#This Row],[Kind:src]], meta_Classifiers[ID], 0 ) ) )</f>
        <v>Attribute</v>
      </c>
      <c r="D87" s="22">
        <v>86</v>
      </c>
      <c r="E87" s="22" t="s">
        <v>143</v>
      </c>
      <c r="F87" s="22"/>
      <c r="G8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7" s="8" t="s">
        <v>160</v>
      </c>
      <c r="J87" s="22" t="str">
        <f xml:space="preserve"> IF( TRIM( meta_TypedModelElements[[#This Row],[Property - Owning Class:src]] ) = "", "",
        INDEX( meta_Classifiers[Display Qualified], MATCH( meta_TypedModelElements[[#This Row],[Property - Owning Class:src]], meta_Classifiers[ID], 0 ) ) )</f>
        <v>Object</v>
      </c>
      <c r="K8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belowred::Object.stringValue2</v>
      </c>
      <c r="L87" s="5" t="str">
        <f>IF(meta_TypedModelElements[[#This Row],[Kind:src]]="_Function",meta_TypedModelElements[[#This Row],[Display Qualified]],"")</f>
        <v/>
      </c>
      <c r="M87" s="5" t="str">
        <f>IF(meta_TypedModelElements[[#This Row],[Kind:src]]="_Attribute",meta_TypedModelElements[[#This Row],[Display Qualified]],"")</f>
        <v>belowred::Object.stringValue2</v>
      </c>
      <c r="N87" s="5" t="str">
        <f>IF(meta_TypedModelElements[[#This Row],[Kind:src]]="_Reference",meta_TypedModelElements[[#This Row],[Display Qualified]],"")</f>
        <v/>
      </c>
      <c r="O87" s="5" t="str">
        <f>IF(OR(meta_TypedModelElements[[#This Row],[Kind:src]]="_Attribute",meta_TypedModelElements[[#This Row],[Kind:src]]="_Reference"),meta_TypedModelElements[[#This Row],[Display Qualified]],"")</f>
        <v>belowred::Object.stringValue2</v>
      </c>
      <c r="P87" s="22"/>
      <c r="Q87" s="22"/>
      <c r="R87" s="5" t="str">
        <f>IF(meta_TypedModelElements[[#This Row],[Containing Class:display]]="","",meta_TypedModelElements[[#This Row],[Containing Class:display]]&amp;".")&amp;meta_TypedModelElements[[#This Row],[Display without Class]]</f>
        <v>Object.stringValue2</v>
      </c>
      <c r="S87" s="5" t="str" cm="1">
        <f t="array" ref="S87">_xlfn.IFNA(INDEX(meta_Names[Camel Lower], MATCH(meta_TypedModelElements[[#This Row],[Name or Type]],meta_Names[String],0)),camelCaseLower(meta_TypedModelElements[[#This Row],[Name or Type]]))</f>
        <v>stringValue2</v>
      </c>
      <c r="T87" s="5" t="str">
        <f>IF(meta_TypedModelElements[[#This Row],[Name or Type]]="","",meta_TypedModelElements[[#This Row],[Name or Type Camel Case Lower]])&amp;IF(meta_TypedModelElements[[#This Row],[Kind:src]]="_Function","("&amp;meta_TypedModelElements[[#This Row],[Function - Parameters Display]]&amp;")","")</f>
        <v>stringValue2</v>
      </c>
      <c r="U8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2</v>
      </c>
      <c r="V87" s="22" t="s">
        <v>64</v>
      </c>
      <c r="W87" s="5" t="e">
        <f>INDEX(meta_Classifiers[Class - Generalization:src],MATCH(meta_TypedModelElements[[#This Row],[Type Super Type 6]],meta_Classifiers[ID],0))</f>
        <v>#N/A</v>
      </c>
      <c r="X87" s="5" t="e">
        <f>INDEX(meta_Classifiers[Class - Generalization:src],MATCH(meta_TypedModelElements[[#This Row],[Type Super Type 5]],meta_Classifiers[ID],0))</f>
        <v>#N/A</v>
      </c>
      <c r="Y87" s="5" t="e">
        <f>INDEX(meta_Classifiers[Class - Generalization:src],MATCH(meta_TypedModelElements[[#This Row],[Type Super Type 4]],meta_Classifiers[ID],0))</f>
        <v>#N/A</v>
      </c>
      <c r="Z87" s="5" t="e">
        <f>INDEX(meta_Classifiers[Class - Generalization:src],MATCH(meta_TypedModelElements[[#This Row],[Type Super Type 3]],meta_Classifiers[ID],0))</f>
        <v>#N/A</v>
      </c>
      <c r="AA87" s="5" t="e">
        <f>INDEX(meta_Classifiers[Class - Generalization:src],MATCH(meta_TypedModelElements[[#This Row],[Type Super Type 2]],meta_Classifiers[ID],0))</f>
        <v>#N/A</v>
      </c>
      <c r="AB87" s="5" t="e">
        <f>INDEX(meta_Classifiers[Class - Generalization:src],MATCH(meta_TypedModelElements[[#This Row],[Type Super Type 1]],meta_Classifiers[ID],0))</f>
        <v>#N/A</v>
      </c>
      <c r="AC87" s="5" t="str">
        <f>INDEX(meta_Classifiers[Class - Generalization:src],MATCH(meta_TypedModelElements[[#This Row],[Type:src]],meta_Classifiers[ID],0))</f>
        <v/>
      </c>
      <c r="AD87" s="5" t="str">
        <f>IF(meta_TypedModelElements[[#This Row],[Kind:src]]&lt;&gt;"_Function",meta_TypedModelElements[[#This Row],[Type]],INDEX(meta_TypedModelElements[Type],MATCH(meta_TypedModelElements[[#This Row],[Function - Owning Property:src]],meta_TypedModelElements[ID],0)))</f>
        <v>String</v>
      </c>
      <c r="AE87" s="5" t="str">
        <f>IF(meta_TypedModelElements[[#This Row],[Kind:src]]&lt;&gt;"_Function",meta_TypedModelElements[[#This Row],[Type:src]],INDEX(meta_TypedModelElements[Type:src],MATCH(meta_TypedModelElements[[#This Row],[Function - Owning Property:src]],meta_TypedModelElements[ID],0)))</f>
        <v>_String</v>
      </c>
      <c r="AF87" s="5" t="str">
        <f>IF(meta_TypedModelElements[[#This Row],[Type:src]]="","",INDEX(meta_Classifiers[Name],MATCH(meta_TypedModelElements[[#This Row],[Type:src]],meta_Classifiers[ID],0)))</f>
        <v>String</v>
      </c>
      <c r="AG87" s="5" t="s">
        <v>180</v>
      </c>
      <c r="AH87" s="22" t="str">
        <f xml:space="preserve"> IF( TRIM( meta_TypedModelElements[[#This Row],[Type:src]] ) = "", "",
        INDEX( meta_Classifiers[Display Qualified], MATCH( meta_TypedModelElements[[#This Row],[Type:src]], meta_Classifiers[ID], 0 ) ) )</f>
        <v>String</v>
      </c>
      <c r="AI87" s="22" t="s">
        <v>21</v>
      </c>
      <c r="AJ87" s="22"/>
      <c r="AK87" s="8"/>
      <c r="AL87" s="22" t="str">
        <f xml:space="preserve"> IF( TRIM( meta_TypedModelElements[[#This Row],[Reference - Opposite:src]] ) = "", "",
        INDEX( meta_TypedModelElements[Display Qualified], MATCH( meta_TypedModelElements[[#This Row],[Reference - Opposite:src]], meta_TypedModelElements[ID], 0 ) ) )</f>
        <v/>
      </c>
      <c r="AM87" s="8"/>
      <c r="AN8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7" s="22"/>
      <c r="AP87"/>
      <c r="AQ87" s="22" t="str">
        <f xml:space="preserve"> IF( TRIM( meta_TypedModelElements[[#This Row],[Function - Owning Property:src]] ) = "", "",
        INDEX( meta_TypedModelElements[Display Qualified], MATCH( meta_TypedModelElements[[#This Row],[Function - Owning Property:src]], meta_TypedModelElements[ID], 0 ) ) )</f>
        <v/>
      </c>
      <c r="AT87" s="22" t="str">
        <f>IF(meta_TypedModelElements[[#This Row],[Parameter - Owning Function:src]]="","",INDEX(meta_TypedModelElements[Display Qualified],MATCH(meta_TypedModelElements[[#This Row],[Parameter - Owning Function:src]],meta_TypedModelElements[ID],0)))</f>
        <v/>
      </c>
      <c r="AV87" s="89"/>
      <c r="AW8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7" s="5" t="str">
        <f>"[@["&amp;meta_TypedModelElements[[#This Row],[Name or Type]]&amp;":src]]"</f>
        <v>[@[String Value 2:src]]</v>
      </c>
      <c r="AY8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7" s="40"/>
      <c r="BC87" s="40" t="str">
        <f>IF(meta_TypedModelElements[[#This Row],[Kind:src]]="_Parameter","",IF(AND(meta_TypedModelElements[[#This Row],[Package]]="util",meta_TypedModelElements[[#This Row],[Containing Class]]=0), "public", "method"))</f>
        <v>method</v>
      </c>
      <c r="BD87" s="40"/>
      <c r="BE8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7" s="40"/>
    </row>
    <row r="88" spans="1:63">
      <c r="A88" s="5" t="s">
        <v>359</v>
      </c>
      <c r="B88" s="5" t="s">
        <v>168</v>
      </c>
      <c r="C88" s="22" t="str">
        <f xml:space="preserve"> IF( TRIM( meta_TypedModelElements[[#This Row],[Kind:src]] ) = "", "",
        INDEX( meta_Classifiers[Display Qualified], MATCH( meta_TypedModelElements[[#This Row],[Kind:src]], meta_Classifiers[ID], 0 ) ) )</f>
        <v>Attribute</v>
      </c>
      <c r="D88" s="22">
        <v>87</v>
      </c>
      <c r="E88" s="22" t="s">
        <v>143</v>
      </c>
      <c r="F88" s="22"/>
      <c r="G8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8" s="8" t="s">
        <v>160</v>
      </c>
      <c r="J88" s="22" t="str">
        <f xml:space="preserve"> IF( TRIM( meta_TypedModelElements[[#This Row],[Property - Owning Class:src]] ) = "", "",
        INDEX( meta_Classifiers[Display Qualified], MATCH( meta_TypedModelElements[[#This Row],[Property - Owning Class:src]], meta_Classifiers[ID], 0 ) ) )</f>
        <v>Object</v>
      </c>
      <c r="K8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belowred::Object.string</v>
      </c>
      <c r="L88" s="5" t="str">
        <f>IF(meta_TypedModelElements[[#This Row],[Kind:src]]="_Function",meta_TypedModelElements[[#This Row],[Display Qualified]],"")</f>
        <v/>
      </c>
      <c r="M88" s="5" t="str">
        <f>IF(meta_TypedModelElements[[#This Row],[Kind:src]]="_Attribute",meta_TypedModelElements[[#This Row],[Display Qualified]],"")</f>
        <v>belowred::Object.string</v>
      </c>
      <c r="N88" s="5" t="str">
        <f>IF(meta_TypedModelElements[[#This Row],[Kind:src]]="_Reference",meta_TypedModelElements[[#This Row],[Display Qualified]],"")</f>
        <v/>
      </c>
      <c r="O88" s="5" t="str">
        <f>IF(OR(meta_TypedModelElements[[#This Row],[Kind:src]]="_Attribute",meta_TypedModelElements[[#This Row],[Kind:src]]="_Reference"),meta_TypedModelElements[[#This Row],[Display Qualified]],"")</f>
        <v>belowred::Object.string</v>
      </c>
      <c r="P88" s="22"/>
      <c r="Q88" s="22"/>
      <c r="R88" s="5" t="str">
        <f>IF(meta_TypedModelElements[[#This Row],[Containing Class:display]]="","",meta_TypedModelElements[[#This Row],[Containing Class:display]]&amp;".")&amp;meta_TypedModelElements[[#This Row],[Display without Class]]</f>
        <v>Object.string</v>
      </c>
      <c r="S88" s="5" t="str" cm="1">
        <f t="array" ref="S88">_xlfn.IFNA(INDEX(meta_Names[Camel Lower], MATCH(meta_TypedModelElements[[#This Row],[Name or Type]],meta_Names[String],0)),camelCaseLower(meta_TypedModelElements[[#This Row],[Name or Type]]))</f>
        <v>string</v>
      </c>
      <c r="T88" s="5" t="str">
        <f>IF(meta_TypedModelElements[[#This Row],[Name or Type]]="","",meta_TypedModelElements[[#This Row],[Name or Type Camel Case Lower]])&amp;IF(meta_TypedModelElements[[#This Row],[Kind:src]]="_Function","("&amp;meta_TypedModelElements[[#This Row],[Function - Parameters Display]]&amp;")","")</f>
        <v>string</v>
      </c>
      <c r="U8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v>
      </c>
      <c r="V88" s="22"/>
      <c r="W88" s="5" t="e">
        <f>INDEX(meta_Classifiers[Class - Generalization:src],MATCH(meta_TypedModelElements[[#This Row],[Type Super Type 6]],meta_Classifiers[ID],0))</f>
        <v>#N/A</v>
      </c>
      <c r="X88" s="5" t="e">
        <f>INDEX(meta_Classifiers[Class - Generalization:src],MATCH(meta_TypedModelElements[[#This Row],[Type Super Type 5]],meta_Classifiers[ID],0))</f>
        <v>#N/A</v>
      </c>
      <c r="Y88" s="5" t="e">
        <f>INDEX(meta_Classifiers[Class - Generalization:src],MATCH(meta_TypedModelElements[[#This Row],[Type Super Type 4]],meta_Classifiers[ID],0))</f>
        <v>#N/A</v>
      </c>
      <c r="Z88" s="5" t="e">
        <f>INDEX(meta_Classifiers[Class - Generalization:src],MATCH(meta_TypedModelElements[[#This Row],[Type Super Type 3]],meta_Classifiers[ID],0))</f>
        <v>#N/A</v>
      </c>
      <c r="AA88" s="5" t="e">
        <f>INDEX(meta_Classifiers[Class - Generalization:src],MATCH(meta_TypedModelElements[[#This Row],[Type Super Type 2]],meta_Classifiers[ID],0))</f>
        <v>#N/A</v>
      </c>
      <c r="AB88" s="5" t="e">
        <f>INDEX(meta_Classifiers[Class - Generalization:src],MATCH(meta_TypedModelElements[[#This Row],[Type Super Type 1]],meta_Classifiers[ID],0))</f>
        <v>#N/A</v>
      </c>
      <c r="AC88" s="5" t="str">
        <f>INDEX(meta_Classifiers[Class - Generalization:src],MATCH(meta_TypedModelElements[[#This Row],[Type:src]],meta_Classifiers[ID],0))</f>
        <v/>
      </c>
      <c r="AD88" s="5" t="str">
        <f>IF(meta_TypedModelElements[[#This Row],[Kind:src]]&lt;&gt;"_Function",meta_TypedModelElements[[#This Row],[Type]],INDEX(meta_TypedModelElements[Type],MATCH(meta_TypedModelElements[[#This Row],[Function - Owning Property:src]],meta_TypedModelElements[ID],0)))</f>
        <v>String</v>
      </c>
      <c r="AE88" s="5" t="str">
        <f>IF(meta_TypedModelElements[[#This Row],[Kind:src]]&lt;&gt;"_Function",meta_TypedModelElements[[#This Row],[Type:src]],INDEX(meta_TypedModelElements[Type:src],MATCH(meta_TypedModelElements[[#This Row],[Function - Owning Property:src]],meta_TypedModelElements[ID],0)))</f>
        <v>_String</v>
      </c>
      <c r="AF88" s="5" t="str">
        <f>IF(meta_TypedModelElements[[#This Row],[Type:src]]="","",INDEX(meta_Classifiers[Name],MATCH(meta_TypedModelElements[[#This Row],[Type:src]],meta_Classifiers[ID],0)))</f>
        <v>String</v>
      </c>
      <c r="AG88" s="5" t="s">
        <v>180</v>
      </c>
      <c r="AH88" s="22" t="str">
        <f xml:space="preserve"> IF( TRIM( meta_TypedModelElements[[#This Row],[Type:src]] ) = "", "",
        INDEX( meta_Classifiers[Display Qualified], MATCH( meta_TypedModelElements[[#This Row],[Type:src]], meta_Classifiers[ID], 0 ) ) )</f>
        <v>String</v>
      </c>
      <c r="AI88" s="22" t="s">
        <v>22</v>
      </c>
      <c r="AJ88" s="22"/>
      <c r="AK88" s="8"/>
      <c r="AL88" s="22" t="str">
        <f xml:space="preserve"> IF( TRIM( meta_TypedModelElements[[#This Row],[Reference - Opposite:src]] ) = "", "",
        INDEX( meta_TypedModelElements[Display Qualified], MATCH( meta_TypedModelElements[[#This Row],[Reference - Opposite:src]], meta_TypedModelElements[ID], 0 ) ) )</f>
        <v/>
      </c>
      <c r="AM88" s="8"/>
      <c r="AN8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8" s="22"/>
      <c r="AP88"/>
      <c r="AQ88" s="22" t="str">
        <f xml:space="preserve"> IF( TRIM( meta_TypedModelElements[[#This Row],[Function - Owning Property:src]] ) = "", "",
        INDEX( meta_TypedModelElements[Display Qualified], MATCH( meta_TypedModelElements[[#This Row],[Function - Owning Property:src]], meta_TypedModelElements[ID], 0 ) ) )</f>
        <v/>
      </c>
      <c r="AT88" s="22" t="str">
        <f>IF(meta_TypedModelElements[[#This Row],[Parameter - Owning Function:src]]="","",INDEX(meta_TypedModelElements[Display Qualified],MATCH(meta_TypedModelElements[[#This Row],[Parameter - Owning Function:src]],meta_TypedModelElements[ID],0)))</f>
        <v/>
      </c>
      <c r="AV88" s="89"/>
      <c r="AW8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8" s="5" t="str">
        <f>"[@["&amp;meta_TypedModelElements[[#This Row],[Name or Type]]&amp;":src]]"</f>
        <v>[@[String:src]]</v>
      </c>
      <c r="AY8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8" s="40"/>
      <c r="BC88" s="40" t="str">
        <f>IF(meta_TypedModelElements[[#This Row],[Kind:src]]="_Parameter","",IF(AND(meta_TypedModelElements[[#This Row],[Package]]="util",meta_TypedModelElements[[#This Row],[Containing Class]]=0), "public", "method"))</f>
        <v>method</v>
      </c>
      <c r="BD88" s="40"/>
      <c r="BE8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8" s="40"/>
    </row>
    <row r="89" spans="1:63">
      <c r="A89" s="5" t="s">
        <v>361</v>
      </c>
      <c r="B89" s="5" t="s">
        <v>168</v>
      </c>
      <c r="C89" s="22" t="str">
        <f xml:space="preserve"> IF( TRIM( meta_TypedModelElements[[#This Row],[Kind:src]] ) = "", "",
        INDEX( meta_Classifiers[Display Qualified], MATCH( meta_TypedModelElements[[#This Row],[Kind:src]], meta_Classifiers[ID], 0 ) ) )</f>
        <v>Attribute</v>
      </c>
      <c r="D89" s="22">
        <v>88</v>
      </c>
      <c r="E89" s="22" t="s">
        <v>143</v>
      </c>
      <c r="F89" s="22"/>
      <c r="G8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9" s="8" t="s">
        <v>160</v>
      </c>
      <c r="J89" s="22" t="str">
        <f xml:space="preserve"> IF( TRIM( meta_TypedModelElements[[#This Row],[Property - Owning Class:src]] ) = "", "",
        INDEX( meta_Classifiers[Display Qualified], MATCH( meta_TypedModelElements[[#This Row],[Property - Owning Class:src]], meta_Classifiers[ID], 0 ) ) )</f>
        <v>Object</v>
      </c>
      <c r="K8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belowred::Object.testDerived</v>
      </c>
      <c r="L89" s="5" t="str">
        <f>IF(meta_TypedModelElements[[#This Row],[Kind:src]]="_Function",meta_TypedModelElements[[#This Row],[Display Qualified]],"")</f>
        <v/>
      </c>
      <c r="M89" s="5" t="str">
        <f>IF(meta_TypedModelElements[[#This Row],[Kind:src]]="_Attribute",meta_TypedModelElements[[#This Row],[Display Qualified]],"")</f>
        <v>belowred::Object.testDerived</v>
      </c>
      <c r="N89" s="5" t="str">
        <f>IF(meta_TypedModelElements[[#This Row],[Kind:src]]="_Reference",meta_TypedModelElements[[#This Row],[Display Qualified]],"")</f>
        <v/>
      </c>
      <c r="O89" s="5" t="str">
        <f>IF(OR(meta_TypedModelElements[[#This Row],[Kind:src]]="_Attribute",meta_TypedModelElements[[#This Row],[Kind:src]]="_Reference"),meta_TypedModelElements[[#This Row],[Display Qualified]],"")</f>
        <v>belowred::Object.testDerived</v>
      </c>
      <c r="P89" s="22"/>
      <c r="Q89" s="22"/>
      <c r="R89" s="5" t="str">
        <f>IF(meta_TypedModelElements[[#This Row],[Containing Class:display]]="","",meta_TypedModelElements[[#This Row],[Containing Class:display]]&amp;".")&amp;meta_TypedModelElements[[#This Row],[Display without Class]]</f>
        <v>Object.testDerived</v>
      </c>
      <c r="S89" s="5" t="str" cm="1">
        <f t="array" ref="S89">_xlfn.IFNA(INDEX(meta_Names[Camel Lower], MATCH(meta_TypedModelElements[[#This Row],[Name or Type]],meta_Names[String],0)),camelCaseLower(meta_TypedModelElements[[#This Row],[Name or Type]]))</f>
        <v>testDerived</v>
      </c>
      <c r="T89" s="5" t="str">
        <f>IF(meta_TypedModelElements[[#This Row],[Name or Type]]="","",meta_TypedModelElements[[#This Row],[Name or Type Camel Case Lower]])&amp;IF(meta_TypedModelElements[[#This Row],[Kind:src]]="_Function","("&amp;meta_TypedModelElements[[#This Row],[Function - Parameters Display]]&amp;")","")</f>
        <v>testDerived</v>
      </c>
      <c r="U8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Derived</v>
      </c>
      <c r="V89" s="22" t="s">
        <v>360</v>
      </c>
      <c r="W89" s="5" t="e">
        <f>INDEX(meta_Classifiers[Class - Generalization:src],MATCH(meta_TypedModelElements[[#This Row],[Type Super Type 6]],meta_Classifiers[ID],0))</f>
        <v>#N/A</v>
      </c>
      <c r="X89" s="5" t="e">
        <f>INDEX(meta_Classifiers[Class - Generalization:src],MATCH(meta_TypedModelElements[[#This Row],[Type Super Type 5]],meta_Classifiers[ID],0))</f>
        <v>#N/A</v>
      </c>
      <c r="Y89" s="5" t="e">
        <f>INDEX(meta_Classifiers[Class - Generalization:src],MATCH(meta_TypedModelElements[[#This Row],[Type Super Type 4]],meta_Classifiers[ID],0))</f>
        <v>#N/A</v>
      </c>
      <c r="Z89" s="5" t="e">
        <f>INDEX(meta_Classifiers[Class - Generalization:src],MATCH(meta_TypedModelElements[[#This Row],[Type Super Type 3]],meta_Classifiers[ID],0))</f>
        <v>#N/A</v>
      </c>
      <c r="AA89" s="5" t="e">
        <f>INDEX(meta_Classifiers[Class - Generalization:src],MATCH(meta_TypedModelElements[[#This Row],[Type Super Type 2]],meta_Classifiers[ID],0))</f>
        <v>#N/A</v>
      </c>
      <c r="AB89" s="5" t="e">
        <f>INDEX(meta_Classifiers[Class - Generalization:src],MATCH(meta_TypedModelElements[[#This Row],[Type Super Type 1]],meta_Classifiers[ID],0))</f>
        <v>#N/A</v>
      </c>
      <c r="AC89" s="5" t="str">
        <f>INDEX(meta_Classifiers[Class - Generalization:src],MATCH(meta_TypedModelElements[[#This Row],[Type:src]],meta_Classifiers[ID],0))</f>
        <v/>
      </c>
      <c r="AD89" s="5" t="str">
        <f>IF(meta_TypedModelElements[[#This Row],[Kind:src]]&lt;&gt;"_Function",meta_TypedModelElements[[#This Row],[Type]],INDEX(meta_TypedModelElements[Type],MATCH(meta_TypedModelElements[[#This Row],[Function - Owning Property:src]],meta_TypedModelElements[ID],0)))</f>
        <v>String</v>
      </c>
      <c r="AE89" s="5" t="str">
        <f>IF(meta_TypedModelElements[[#This Row],[Kind:src]]&lt;&gt;"_Function",meta_TypedModelElements[[#This Row],[Type:src]],INDEX(meta_TypedModelElements[Type:src],MATCH(meta_TypedModelElements[[#This Row],[Function - Owning Property:src]],meta_TypedModelElements[ID],0)))</f>
        <v>_String</v>
      </c>
      <c r="AF89" s="5" t="str">
        <f>IF(meta_TypedModelElements[[#This Row],[Type:src]]="","",INDEX(meta_Classifiers[Name],MATCH(meta_TypedModelElements[[#This Row],[Type:src]],meta_Classifiers[ID],0)))</f>
        <v>String</v>
      </c>
      <c r="AG89" s="5" t="s">
        <v>180</v>
      </c>
      <c r="AH89" s="22" t="str">
        <f xml:space="preserve"> IF( TRIM( meta_TypedModelElements[[#This Row],[Type:src]] ) = "", "",
        INDEX( meta_Classifiers[Display Qualified], MATCH( meta_TypedModelElements[[#This Row],[Type:src]], meta_Classifiers[ID], 0 ) ) )</f>
        <v>String</v>
      </c>
      <c r="AI89" s="22"/>
      <c r="AJ89" s="22"/>
      <c r="AK89" s="8"/>
      <c r="AL89" s="22" t="str">
        <f xml:space="preserve"> IF( TRIM( meta_TypedModelElements[[#This Row],[Reference - Opposite:src]] ) = "", "",
        INDEX( meta_TypedModelElements[Display Qualified], MATCH( meta_TypedModelElements[[#This Row],[Reference - Opposite:src]], meta_TypedModelElements[ID], 0 ) ) )</f>
        <v/>
      </c>
      <c r="AM89" s="8"/>
      <c r="AN8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9" s="22"/>
      <c r="AP89"/>
      <c r="AQ89" s="22" t="str">
        <f xml:space="preserve"> IF( TRIM( meta_TypedModelElements[[#This Row],[Function - Owning Property:src]] ) = "", "",
        INDEX( meta_TypedModelElements[Display Qualified], MATCH( meta_TypedModelElements[[#This Row],[Function - Owning Property:src]], meta_TypedModelElements[ID], 0 ) ) )</f>
        <v/>
      </c>
      <c r="AT89" s="22" t="str">
        <f>IF(meta_TypedModelElements[[#This Row],[Parameter - Owning Function:src]]="","",INDEX(meta_TypedModelElements[Display Qualified],MATCH(meta_TypedModelElements[[#This Row],[Parameter - Owning Function:src]],meta_TypedModelElements[ID],0)))</f>
        <v/>
      </c>
      <c r="AV89" s="89"/>
      <c r="AW8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9" s="5" t="str">
        <f>"[@["&amp;meta_TypedModelElements[[#This Row],[Name or Type]]&amp;":src]]"</f>
        <v>[@[Test Derived:src]]</v>
      </c>
      <c r="AY8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9" s="40"/>
      <c r="BC89" s="40" t="str">
        <f>IF(meta_TypedModelElements[[#This Row],[Kind:src]]="_Parameter","",IF(AND(meta_TypedModelElements[[#This Row],[Package]]="util",meta_TypedModelElements[[#This Row],[Containing Class]]=0), "public", "method"))</f>
        <v>method</v>
      </c>
      <c r="BD89" s="40"/>
      <c r="BE8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9" s="40"/>
    </row>
    <row r="90" spans="1:63">
      <c r="A90" s="5" t="s">
        <v>368</v>
      </c>
      <c r="B90" s="5" t="s">
        <v>168</v>
      </c>
      <c r="C90" s="22" t="str">
        <f xml:space="preserve"> IF( TRIM( meta_TypedModelElements[[#This Row],[Kind:src]] ) = "", "",
        INDEX( meta_Classifiers[Display Qualified], MATCH( meta_TypedModelElements[[#This Row],[Kind:src]], meta_Classifiers[ID], 0 ) ) )</f>
        <v>Attribute</v>
      </c>
      <c r="D90" s="22">
        <v>89</v>
      </c>
      <c r="E90" s="22" t="s">
        <v>143</v>
      </c>
      <c r="F90" s="22"/>
      <c r="G9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0" s="8" t="s">
        <v>160</v>
      </c>
      <c r="J90" s="22" t="str">
        <f xml:space="preserve"> IF( TRIM( meta_TypedModelElements[[#This Row],[Property - Owning Class:src]] ) = "", "",
        INDEX( meta_Classifiers[Display Qualified], MATCH( meta_TypedModelElements[[#This Row],[Property - Owning Class:src]], meta_Classifiers[ID], 0 ) ) )</f>
        <v>Object</v>
      </c>
      <c r="K9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belowred::Object.testNumber</v>
      </c>
      <c r="L90" s="5" t="str">
        <f>IF(meta_TypedModelElements[[#This Row],[Kind:src]]="_Function",meta_TypedModelElements[[#This Row],[Display Qualified]],"")</f>
        <v/>
      </c>
      <c r="M90" s="5" t="str">
        <f>IF(meta_TypedModelElements[[#This Row],[Kind:src]]="_Attribute",meta_TypedModelElements[[#This Row],[Display Qualified]],"")</f>
        <v>belowred::Object.testNumber</v>
      </c>
      <c r="N90" s="5" t="str">
        <f>IF(meta_TypedModelElements[[#This Row],[Kind:src]]="_Reference",meta_TypedModelElements[[#This Row],[Display Qualified]],"")</f>
        <v/>
      </c>
      <c r="O90" s="5" t="str">
        <f>IF(OR(meta_TypedModelElements[[#This Row],[Kind:src]]="_Attribute",meta_TypedModelElements[[#This Row],[Kind:src]]="_Reference"),meta_TypedModelElements[[#This Row],[Display Qualified]],"")</f>
        <v>belowred::Object.testNumber</v>
      </c>
      <c r="P90" s="22"/>
      <c r="Q90" s="22"/>
      <c r="R90" s="5" t="str">
        <f>IF(meta_TypedModelElements[[#This Row],[Containing Class:display]]="","",meta_TypedModelElements[[#This Row],[Containing Class:display]]&amp;".")&amp;meta_TypedModelElements[[#This Row],[Display without Class]]</f>
        <v>Object.testNumber</v>
      </c>
      <c r="S90" s="5" t="str" cm="1">
        <f t="array" ref="S90">_xlfn.IFNA(INDEX(meta_Names[Camel Lower], MATCH(meta_TypedModelElements[[#This Row],[Name or Type]],meta_Names[String],0)),camelCaseLower(meta_TypedModelElements[[#This Row],[Name or Type]]))</f>
        <v>testNumber</v>
      </c>
      <c r="T90" s="5" t="str">
        <f>IF(meta_TypedModelElements[[#This Row],[Name or Type]]="","",meta_TypedModelElements[[#This Row],[Name or Type Camel Case Lower]])&amp;IF(meta_TypedModelElements[[#This Row],[Kind:src]]="_Function","("&amp;meta_TypedModelElements[[#This Row],[Function - Parameters Display]]&amp;")","")</f>
        <v>testNumber</v>
      </c>
      <c r="U9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Number</v>
      </c>
      <c r="V90" s="22" t="s">
        <v>369</v>
      </c>
      <c r="W90" s="5" t="e">
        <f>INDEX(meta_Classifiers[Class - Generalization:src],MATCH(meta_TypedModelElements[[#This Row],[Type Super Type 6]],meta_Classifiers[ID],0))</f>
        <v>#N/A</v>
      </c>
      <c r="X90" s="5" t="e">
        <f>INDEX(meta_Classifiers[Class - Generalization:src],MATCH(meta_TypedModelElements[[#This Row],[Type Super Type 5]],meta_Classifiers[ID],0))</f>
        <v>#N/A</v>
      </c>
      <c r="Y90" s="5" t="e">
        <f>INDEX(meta_Classifiers[Class - Generalization:src],MATCH(meta_TypedModelElements[[#This Row],[Type Super Type 4]],meta_Classifiers[ID],0))</f>
        <v>#N/A</v>
      </c>
      <c r="Z90" s="5" t="e">
        <f>INDEX(meta_Classifiers[Class - Generalization:src],MATCH(meta_TypedModelElements[[#This Row],[Type Super Type 3]],meta_Classifiers[ID],0))</f>
        <v>#N/A</v>
      </c>
      <c r="AA90" s="5" t="e">
        <f>INDEX(meta_Classifiers[Class - Generalization:src],MATCH(meta_TypedModelElements[[#This Row],[Type Super Type 2]],meta_Classifiers[ID],0))</f>
        <v>#N/A</v>
      </c>
      <c r="AB90" s="5" t="e">
        <f>INDEX(meta_Classifiers[Class - Generalization:src],MATCH(meta_TypedModelElements[[#This Row],[Type Super Type 1]],meta_Classifiers[ID],0))</f>
        <v>#N/A</v>
      </c>
      <c r="AC90" s="5" t="str">
        <f>INDEX(meta_Classifiers[Class - Generalization:src],MATCH(meta_TypedModelElements[[#This Row],[Type:src]],meta_Classifiers[ID],0))</f>
        <v/>
      </c>
      <c r="AD90" s="5" t="str">
        <f>IF(meta_TypedModelElements[[#This Row],[Kind:src]]&lt;&gt;"_Function",meta_TypedModelElements[[#This Row],[Type]],INDEX(meta_TypedModelElements[Type],MATCH(meta_TypedModelElements[[#This Row],[Function - Owning Property:src]],meta_TypedModelElements[ID],0)))</f>
        <v>String</v>
      </c>
      <c r="AE90" s="5" t="str">
        <f>IF(meta_TypedModelElements[[#This Row],[Kind:src]]&lt;&gt;"_Function",meta_TypedModelElements[[#This Row],[Type:src]],INDEX(meta_TypedModelElements[Type:src],MATCH(meta_TypedModelElements[[#This Row],[Function - Owning Property:src]],meta_TypedModelElements[ID],0)))</f>
        <v>_String</v>
      </c>
      <c r="AF90" s="5" t="str">
        <f>IF(meta_TypedModelElements[[#This Row],[Type:src]]="","",INDEX(meta_Classifiers[Name],MATCH(meta_TypedModelElements[[#This Row],[Type:src]],meta_Classifiers[ID],0)))</f>
        <v>String</v>
      </c>
      <c r="AG90" s="5" t="s">
        <v>180</v>
      </c>
      <c r="AH90" s="22" t="str">
        <f xml:space="preserve"> IF( TRIM( meta_TypedModelElements[[#This Row],[Type:src]] ) = "", "",
        INDEX( meta_Classifiers[Display Qualified], MATCH( meta_TypedModelElements[[#This Row],[Type:src]], meta_Classifiers[ID], 0 ) ) )</f>
        <v>String</v>
      </c>
      <c r="AI90" s="22" t="s">
        <v>21</v>
      </c>
      <c r="AJ90" s="22"/>
      <c r="AK90" s="8"/>
      <c r="AL90" s="22" t="str">
        <f xml:space="preserve"> IF( TRIM( meta_TypedModelElements[[#This Row],[Reference - Opposite:src]] ) = "", "",
        INDEX( meta_TypedModelElements[Display Qualified], MATCH( meta_TypedModelElements[[#This Row],[Reference - Opposite:src]], meta_TypedModelElements[ID], 0 ) ) )</f>
        <v/>
      </c>
      <c r="AM90" s="8"/>
      <c r="AN9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0" s="22"/>
      <c r="AP90"/>
      <c r="AQ90" s="22" t="str">
        <f xml:space="preserve"> IF( TRIM( meta_TypedModelElements[[#This Row],[Function - Owning Property:src]] ) = "", "",
        INDEX( meta_TypedModelElements[Display Qualified], MATCH( meta_TypedModelElements[[#This Row],[Function - Owning Property:src]], meta_TypedModelElements[ID], 0 ) ) )</f>
        <v/>
      </c>
      <c r="AT90" s="22" t="str">
        <f>IF(meta_TypedModelElements[[#This Row],[Parameter - Owning Function:src]]="","",INDEX(meta_TypedModelElements[Display Qualified],MATCH(meta_TypedModelElements[[#This Row],[Parameter - Owning Function:src]],meta_TypedModelElements[ID],0)))</f>
        <v/>
      </c>
      <c r="AV90" s="89"/>
      <c r="AW9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0" s="5" t="str">
        <f>"[@["&amp;meta_TypedModelElements[[#This Row],[Name or Type]]&amp;":src]]"</f>
        <v>[@[Test Number:src]]</v>
      </c>
      <c r="AY9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0" s="40"/>
      <c r="BC90" s="40" t="str">
        <f>IF(meta_TypedModelElements[[#This Row],[Kind:src]]="_Parameter","",IF(AND(meta_TypedModelElements[[#This Row],[Package]]="util",meta_TypedModelElements[[#This Row],[Containing Class]]=0), "public", "method"))</f>
        <v>method</v>
      </c>
      <c r="BD90" s="40"/>
      <c r="BE9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0" s="40"/>
    </row>
    <row r="91" spans="1:63">
      <c r="A91" s="5" t="s">
        <v>674</v>
      </c>
      <c r="B91" s="5" t="s">
        <v>168</v>
      </c>
      <c r="C91" s="22" t="str">
        <f xml:space="preserve"> IF( TRIM( meta_TypedModelElements[[#This Row],[Kind:src]] ) = "", "",
        INDEX( meta_Classifiers[Display Qualified], MATCH( meta_TypedModelElements[[#This Row],[Kind:src]], meta_Classifiers[ID], 0 ) ) )</f>
        <v>Attribute</v>
      </c>
      <c r="D91" s="22">
        <v>90</v>
      </c>
      <c r="E91" s="22" t="s">
        <v>660</v>
      </c>
      <c r="F91" s="22"/>
      <c r="G9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1" s="8" t="s">
        <v>696</v>
      </c>
      <c r="J91" s="22" t="str">
        <f xml:space="preserve"> IF( TRIM( meta_TypedModelElements[[#This Row],[Property - Owning Class:src]] ) = "", "",
        INDEX( meta_Classifiers[Display Qualified], MATCH( meta_TypedModelElements[[#This Row],[Property - Owning Class:src]], meta_Classifiers[ID], 0 ) ) )</f>
        <v>finance::Portfolio</v>
      </c>
      <c r="K9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finance::Portfolio.owner</v>
      </c>
      <c r="L91" s="5" t="str">
        <f>IF(meta_TypedModelElements[[#This Row],[Kind:src]]="_Function",meta_TypedModelElements[[#This Row],[Display Qualified]],"")</f>
        <v/>
      </c>
      <c r="M91" s="5" t="str">
        <f>IF(meta_TypedModelElements[[#This Row],[Kind:src]]="_Attribute",meta_TypedModelElements[[#This Row],[Display Qualified]],"")</f>
        <v>finance::Portfolio.owner</v>
      </c>
      <c r="N91" s="5" t="str">
        <f>IF(meta_TypedModelElements[[#This Row],[Kind:src]]="_Reference",meta_TypedModelElements[[#This Row],[Display Qualified]],"")</f>
        <v/>
      </c>
      <c r="O91" s="5" t="str">
        <f>IF(OR(meta_TypedModelElements[[#This Row],[Kind:src]]="_Attribute",meta_TypedModelElements[[#This Row],[Kind:src]]="_Reference"),meta_TypedModelElements[[#This Row],[Display Qualified]],"")</f>
        <v>finance::Portfolio.owner</v>
      </c>
      <c r="P91" s="22"/>
      <c r="Q91" s="22"/>
      <c r="R91" s="5" t="str">
        <f>IF(meta_TypedModelElements[[#This Row],[Containing Class:display]]="","",meta_TypedModelElements[[#This Row],[Containing Class:display]]&amp;".")&amp;meta_TypedModelElements[[#This Row],[Display without Class]]</f>
        <v>Portfolio.owner</v>
      </c>
      <c r="S91" s="5" t="str" cm="1">
        <f t="array" ref="S91">_xlfn.IFNA(INDEX(meta_Names[Camel Lower], MATCH(meta_TypedModelElements[[#This Row],[Name or Type]],meta_Names[String],0)),camelCaseLower(meta_TypedModelElements[[#This Row],[Name or Type]]))</f>
        <v>owner</v>
      </c>
      <c r="T91" s="5" t="str">
        <f>IF(meta_TypedModelElements[[#This Row],[Name or Type]]="","",meta_TypedModelElements[[#This Row],[Name or Type Camel Case Lower]])&amp;IF(meta_TypedModelElements[[#This Row],[Kind:src]]="_Function","("&amp;meta_TypedModelElements[[#This Row],[Function - Parameters Display]]&amp;")","")</f>
        <v>owner</v>
      </c>
      <c r="U9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Owner</v>
      </c>
      <c r="V91" s="22" t="s">
        <v>668</v>
      </c>
      <c r="W91" s="5" t="e">
        <f>INDEX(meta_Classifiers[Class - Generalization:src],MATCH(meta_TypedModelElements[[#This Row],[Type Super Type 6]],meta_Classifiers[ID],0))</f>
        <v>#N/A</v>
      </c>
      <c r="X91" s="5" t="e">
        <f>INDEX(meta_Classifiers[Class - Generalization:src],MATCH(meta_TypedModelElements[[#This Row],[Type Super Type 5]],meta_Classifiers[ID],0))</f>
        <v>#N/A</v>
      </c>
      <c r="Y91" s="5" t="e">
        <f>INDEX(meta_Classifiers[Class - Generalization:src],MATCH(meta_TypedModelElements[[#This Row],[Type Super Type 4]],meta_Classifiers[ID],0))</f>
        <v>#N/A</v>
      </c>
      <c r="Z91" s="5" t="e">
        <f>INDEX(meta_Classifiers[Class - Generalization:src],MATCH(meta_TypedModelElements[[#This Row],[Type Super Type 3]],meta_Classifiers[ID],0))</f>
        <v>#N/A</v>
      </c>
      <c r="AA91" s="5" t="e">
        <f>INDEX(meta_Classifiers[Class - Generalization:src],MATCH(meta_TypedModelElements[[#This Row],[Type Super Type 2]],meta_Classifiers[ID],0))</f>
        <v>#N/A</v>
      </c>
      <c r="AB91" s="5" t="e">
        <f>INDEX(meta_Classifiers[Class - Generalization:src],MATCH(meta_TypedModelElements[[#This Row],[Type Super Type 1]],meta_Classifiers[ID],0))</f>
        <v>#N/A</v>
      </c>
      <c r="AC91" s="5" t="str">
        <f>INDEX(meta_Classifiers[Class - Generalization:src],MATCH(meta_TypedModelElements[[#This Row],[Type:src]],meta_Classifiers[ID],0))</f>
        <v/>
      </c>
      <c r="AD91" s="5" t="str">
        <f>IF(meta_TypedModelElements[[#This Row],[Kind:src]]&lt;&gt;"_Function",meta_TypedModelElements[[#This Row],[Type]],INDEX(meta_TypedModelElements[Type],MATCH(meta_TypedModelElements[[#This Row],[Function - Owning Property:src]],meta_TypedModelElements[ID],0)))</f>
        <v>String</v>
      </c>
      <c r="AE91" s="5" t="str">
        <f>IF(meta_TypedModelElements[[#This Row],[Kind:src]]&lt;&gt;"_Function",meta_TypedModelElements[[#This Row],[Type:src]],INDEX(meta_TypedModelElements[Type:src],MATCH(meta_TypedModelElements[[#This Row],[Function - Owning Property:src]],meta_TypedModelElements[ID],0)))</f>
        <v>_String</v>
      </c>
      <c r="AF91" s="5" t="str">
        <f>IF(meta_TypedModelElements[[#This Row],[Type:src]]="","",INDEX(meta_Classifiers[Name],MATCH(meta_TypedModelElements[[#This Row],[Type:src]],meta_Classifiers[ID],0)))</f>
        <v>String</v>
      </c>
      <c r="AG91" s="5" t="s">
        <v>180</v>
      </c>
      <c r="AH91" s="22" t="str">
        <f xml:space="preserve"> IF( TRIM( meta_TypedModelElements[[#This Row],[Type:src]] ) = "", "",
        INDEX( meta_Classifiers[Display Qualified], MATCH( meta_TypedModelElements[[#This Row],[Type:src]], meta_Classifiers[ID], 0 ) ) )</f>
        <v>String</v>
      </c>
      <c r="AI91" s="22" t="s">
        <v>19</v>
      </c>
      <c r="AJ91" s="22" t="s">
        <v>232</v>
      </c>
      <c r="AK91" s="8"/>
      <c r="AL91" s="22" t="str">
        <f xml:space="preserve"> IF( TRIM( meta_TypedModelElements[[#This Row],[Reference - Opposite:src]] ) = "", "",
        INDEX( meta_TypedModelElements[Display Qualified], MATCH( meta_TypedModelElements[[#This Row],[Reference - Opposite:src]], meta_TypedModelElements[ID], 0 ) ) )</f>
        <v/>
      </c>
      <c r="AM91" s="8"/>
      <c r="AN9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1" s="22"/>
      <c r="AP91"/>
      <c r="AQ91" s="22" t="str">
        <f xml:space="preserve"> IF( TRIM( meta_TypedModelElements[[#This Row],[Function - Owning Property:src]] ) = "", "",
        INDEX( meta_TypedModelElements[Display Qualified], MATCH( meta_TypedModelElements[[#This Row],[Function - Owning Property:src]], meta_TypedModelElements[ID], 0 ) ) )</f>
        <v/>
      </c>
      <c r="AT91" s="22" t="str">
        <f>IF(meta_TypedModelElements[[#This Row],[Parameter - Owning Function:src]]="","",INDEX(meta_TypedModelElements[Display Qualified],MATCH(meta_TypedModelElements[[#This Row],[Parameter - Owning Function:src]],meta_TypedModelElements[ID],0)))</f>
        <v/>
      </c>
      <c r="AV91" s="89"/>
      <c r="AW9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1" s="5" t="str">
        <f>"[@["&amp;meta_TypedModelElements[[#This Row],[Name or Type]]&amp;":src]]"</f>
        <v>[@[Owner:src]]</v>
      </c>
      <c r="AY9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1" s="40"/>
      <c r="BC91" s="40" t="str">
        <f>IF(meta_TypedModelElements[[#This Row],[Kind:src]]="_Parameter","",IF(AND(meta_TypedModelElements[[#This Row],[Package]]="util",meta_TypedModelElements[[#This Row],[Containing Class]]=0), "public", "method"))</f>
        <v>method</v>
      </c>
      <c r="BD91" s="40"/>
      <c r="BE9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1" s="40"/>
      <c r="BK91" s="5"/>
    </row>
    <row r="92" spans="1:63" ht="202.5">
      <c r="A92" s="5" t="s">
        <v>675</v>
      </c>
      <c r="B92" s="5" t="s">
        <v>167</v>
      </c>
      <c r="C92" s="22" t="str">
        <f xml:space="preserve"> IF( TRIM( meta_TypedModelElements[[#This Row],[Kind:src]] ) = "", "",
        INDEX( meta_Classifiers[Display Qualified], MATCH( meta_TypedModelElements[[#This Row],[Kind:src]], meta_Classifiers[ID], 0 ) ) )</f>
        <v>Reference</v>
      </c>
      <c r="D92" s="22">
        <v>91</v>
      </c>
      <c r="E92" s="22" t="s">
        <v>660</v>
      </c>
      <c r="F92" s="22"/>
      <c r="G9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2" s="8" t="s">
        <v>696</v>
      </c>
      <c r="J92" s="22" t="str">
        <f xml:space="preserve"> IF( TRIM( meta_TypedModelElements[[#This Row],[Property - Owning Class:src]] ) = "", "",
        INDEX( meta_Classifiers[Display Qualified], MATCH( meta_TypedModelElements[[#This Row],[Property - Owning Class:src]], meta_Classifiers[ID], 0 ) ) )</f>
        <v>finance::Portfolio</v>
      </c>
      <c r="K9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finance::Portfolio.position</v>
      </c>
      <c r="L92" s="5" t="str">
        <f>IF(meta_TypedModelElements[[#This Row],[Kind:src]]="_Function",meta_TypedModelElements[[#This Row],[Display Qualified]],"")</f>
        <v/>
      </c>
      <c r="M92" s="5" t="str">
        <f>IF(meta_TypedModelElements[[#This Row],[Kind:src]]="_Attribute",meta_TypedModelElements[[#This Row],[Display Qualified]],"")</f>
        <v/>
      </c>
      <c r="N92" s="5" t="str">
        <f>IF(meta_TypedModelElements[[#This Row],[Kind:src]]="_Reference",meta_TypedModelElements[[#This Row],[Display Qualified]],"")</f>
        <v>finance::Portfolio.position</v>
      </c>
      <c r="O92" s="5" t="str">
        <f>IF(OR(meta_TypedModelElements[[#This Row],[Kind:src]]="_Attribute",meta_TypedModelElements[[#This Row],[Kind:src]]="_Reference"),meta_TypedModelElements[[#This Row],[Display Qualified]],"")</f>
        <v>finance::Portfolio.position</v>
      </c>
      <c r="P92" s="22"/>
      <c r="Q92" s="22"/>
      <c r="R92" s="5" t="str">
        <f>IF(meta_TypedModelElements[[#This Row],[Containing Class:display]]="","",meta_TypedModelElements[[#This Row],[Containing Class:display]]&amp;".")&amp;meta_TypedModelElements[[#This Row],[Display without Class]]</f>
        <v>Portfolio.position</v>
      </c>
      <c r="S92" s="5" t="str" cm="1">
        <f t="array" ref="S92">_xlfn.IFNA(INDEX(meta_Names[Camel Lower], MATCH(meta_TypedModelElements[[#This Row],[Name or Type]],meta_Names[String],0)),camelCaseLower(meta_TypedModelElements[[#This Row],[Name or Type]]))</f>
        <v>position</v>
      </c>
      <c r="T92" s="5" t="str">
        <f>IF(meta_TypedModelElements[[#This Row],[Name or Type]]="","",meta_TypedModelElements[[#This Row],[Name or Type Camel Case Lower]])&amp;IF(meta_TypedModelElements[[#This Row],[Kind:src]]="_Function","("&amp;meta_TypedModelElements[[#This Row],[Function - Parameters Display]]&amp;")","")</f>
        <v>position</v>
      </c>
      <c r="U9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92" s="22"/>
      <c r="W92" s="5" t="e">
        <f>INDEX(meta_Classifiers[Class - Generalization:src],MATCH(meta_TypedModelElements[[#This Row],[Type Super Type 6]],meta_Classifiers[ID],0))</f>
        <v>#N/A</v>
      </c>
      <c r="X92" s="5" t="e">
        <f>INDEX(meta_Classifiers[Class - Generalization:src],MATCH(meta_TypedModelElements[[#This Row],[Type Super Type 5]],meta_Classifiers[ID],0))</f>
        <v>#N/A</v>
      </c>
      <c r="Y92" s="5" t="e">
        <f>INDEX(meta_Classifiers[Class - Generalization:src],MATCH(meta_TypedModelElements[[#This Row],[Type Super Type 4]],meta_Classifiers[ID],0))</f>
        <v>#N/A</v>
      </c>
      <c r="Z92" s="5" t="e">
        <f>INDEX(meta_Classifiers[Class - Generalization:src],MATCH(meta_TypedModelElements[[#This Row],[Type Super Type 3]],meta_Classifiers[ID],0))</f>
        <v>#N/A</v>
      </c>
      <c r="AA92" s="5" t="e">
        <f>INDEX(meta_Classifiers[Class - Generalization:src],MATCH(meta_TypedModelElements[[#This Row],[Type Super Type 2]],meta_Classifiers[ID],0))</f>
        <v>#N/A</v>
      </c>
      <c r="AB92" s="5" t="str">
        <f>INDEX(meta_Classifiers[Class - Generalization:src],MATCH(meta_TypedModelElements[[#This Row],[Type Super Type 1]],meta_Classifiers[ID],0))</f>
        <v/>
      </c>
      <c r="AC92" s="5" t="str">
        <f>INDEX(meta_Classifiers[Class - Generalization:src],MATCH(meta_TypedModelElements[[#This Row],[Type:src]],meta_Classifiers[ID],0))</f>
        <v>_Object</v>
      </c>
      <c r="AD92" s="5" t="str">
        <f>IF(meta_TypedModelElements[[#This Row],[Kind:src]]&lt;&gt;"_Function",meta_TypedModelElements[[#This Row],[Type]],INDEX(meta_TypedModelElements[Type],MATCH(meta_TypedModelElements[[#This Row],[Function - Owning Property:src]],meta_TypedModelElements[ID],0)))</f>
        <v>finance::Position</v>
      </c>
      <c r="AE92" s="5" t="str">
        <f>IF(meta_TypedModelElements[[#This Row],[Kind:src]]&lt;&gt;"_Function",meta_TypedModelElements[[#This Row],[Type:src]],INDEX(meta_TypedModelElements[Type:src],MATCH(meta_TypedModelElements[[#This Row],[Function - Owning Property:src]],meta_TypedModelElements[ID],0)))</f>
        <v>finance::Position</v>
      </c>
      <c r="AF92" s="5" t="str">
        <f>IF(meta_TypedModelElements[[#This Row],[Type:src]]="","",INDEX(meta_Classifiers[Name],MATCH(meta_TypedModelElements[[#This Row],[Type:src]],meta_Classifiers[ID],0)))</f>
        <v>Position</v>
      </c>
      <c r="AG92" s="5" t="s">
        <v>697</v>
      </c>
      <c r="AH92" s="22" t="str">
        <f xml:space="preserve"> IF( TRIM( meta_TypedModelElements[[#This Row],[Type:src]] ) = "", "",
        INDEX( meta_Classifiers[Display Qualified], MATCH( meta_TypedModelElements[[#This Row],[Type:src]], meta_Classifiers[ID], 0 ) ) )</f>
        <v>finance::Position</v>
      </c>
      <c r="AI92" s="22" t="s">
        <v>22</v>
      </c>
      <c r="AJ92" s="22"/>
      <c r="AK92" s="5" t="s">
        <v>683</v>
      </c>
      <c r="AL92" s="22" t="str">
        <f xml:space="preserve"> IF( TRIM( meta_TypedModelElements[[#This Row],[Reference - Opposite:src]] ) = "", "",
        INDEX( meta_TypedModelElements[Display Qualified], MATCH( meta_TypedModelElements[[#This Row],[Reference - Opposite:src]], meta_TypedModelElements[ID], 0 ) ) )</f>
        <v>finance::Position.portfolio</v>
      </c>
      <c r="AM92" s="8"/>
      <c r="AN9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2" s="22"/>
      <c r="AP92"/>
      <c r="AQ92" s="22" t="str">
        <f xml:space="preserve"> IF( TRIM( meta_TypedModelElements[[#This Row],[Function - Owning Property:src]] ) = "", "",
        INDEX( meta_TypedModelElements[Display Qualified], MATCH( meta_TypedModelElements[[#This Row],[Function - Owning Property:src]], meta_TypedModelElements[ID], 0 ) ) )</f>
        <v/>
      </c>
      <c r="AT92" s="22" t="str">
        <f>IF(meta_TypedModelElements[[#This Row],[Parameter - Owning Function:src]]="","",INDEX(meta_TypedModelElements[Display Qualified],MATCH(meta_TypedModelElements[[#This Row],[Parameter - Owning Function:src]],meta_TypedModelElements[ID],0)))</f>
        <v/>
      </c>
      <c r="AV92" s="89"/>
      <c r="AW9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finance_Positions</v>
      </c>
      <c r="AX92" s="5" t="str">
        <f>"[@["&amp;meta_TypedModelElements[[#This Row],[Name or Type]]&amp;":src]]"</f>
        <v>[@[Position:src]]</v>
      </c>
      <c r="AY9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[@[Position:src]] ) = "",
        "",
    IF( LEFT([@[Position:src]],1)="_",
        RIGHT([@[Position:src]],LEN([@[Position:src]])-1),
    IF( TRIM( [@Package] )
            &lt;&gt; TRIM( INDEX( finance_Positions[Package], MATCH( [@[Position:src]], finance_Positions[ID],0 ) ) ),
        TRIM( INDEX( finance_Positions[Package], MATCH( [@[Position:src]], finance_Positions[ID], 0 ) ) )
            &amp; "::"
            &amp; INDEX( finance_Positions[Display], MATCH( [@[Position:src]], finance_Positions[ID], 0 ) ),
        INDEX( finance_Positions[Display], MATCH( [@[Position:src]], finance_Positions[ID], 0 ) )
    ))), "")</v>
      </c>
      <c r="AZ9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"Position" Then
                   referedTableName = "finance_Positions"
                   referedColumnName = "Display"
                   Call StaticCode.updateIdOnNameChange(cellRef, referingTableName, referingColumnName, referedTableName, referedColumnName)
            End If</v>
      </c>
      <c r="BA9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"finance::Portfolio - Position" Then
                   referedTableName = "finance_Positions"
                   referedColumnName = "Display"
                   Call StaticCode.updateIdOnNameChange(cellRef, referingTableName, referingColumnName, referedTableName, referedColumnName)
            End If</v>
      </c>
      <c r="BB92" s="40"/>
      <c r="BC92" s="40" t="str">
        <f>IF(meta_TypedModelElements[[#This Row],[Kind:src]]="_Parameter","",IF(AND(meta_TypedModelElements[[#This Row],[Package]]="util",meta_TypedModelElements[[#This Row],[Containing Class]]=0), "public", "method"))</f>
        <v>method</v>
      </c>
      <c r="BD92" s="40"/>
      <c r="BE9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2" s="40"/>
      <c r="BK92" s="5"/>
    </row>
    <row r="93" spans="1:63">
      <c r="A93" s="5" t="s">
        <v>676</v>
      </c>
      <c r="B93" s="5" t="s">
        <v>168</v>
      </c>
      <c r="C93" s="22" t="str">
        <f xml:space="preserve"> IF( TRIM( meta_TypedModelElements[[#This Row],[Kind:src]] ) = "", "",
        INDEX( meta_Classifiers[Display Qualified], MATCH( meta_TypedModelElements[[#This Row],[Kind:src]], meta_Classifiers[ID], 0 ) ) )</f>
        <v>Attribute</v>
      </c>
      <c r="D93" s="22">
        <v>92</v>
      </c>
      <c r="E93" s="22" t="s">
        <v>660</v>
      </c>
      <c r="F93" s="22"/>
      <c r="G9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3" s="8" t="s">
        <v>696</v>
      </c>
      <c r="J93" s="22" t="str">
        <f xml:space="preserve"> IF( TRIM( meta_TypedModelElements[[#This Row],[Property - Owning Class:src]] ) = "", "",
        INDEX( meta_Classifiers[Display Qualified], MATCH( meta_TypedModelElements[[#This Row],[Property - Owning Class:src]], meta_Classifiers[ID], 0 ) ) )</f>
        <v>finance::Portfolio</v>
      </c>
      <c r="K9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finance::Portfolio.value</v>
      </c>
      <c r="L93" s="5" t="str">
        <f>IF(meta_TypedModelElements[[#This Row],[Kind:src]]="_Function",meta_TypedModelElements[[#This Row],[Display Qualified]],"")</f>
        <v/>
      </c>
      <c r="M93" s="5" t="str">
        <f>IF(meta_TypedModelElements[[#This Row],[Kind:src]]="_Attribute",meta_TypedModelElements[[#This Row],[Display Qualified]],"")</f>
        <v>finance::Portfolio.value</v>
      </c>
      <c r="N93" s="5" t="str">
        <f>IF(meta_TypedModelElements[[#This Row],[Kind:src]]="_Reference",meta_TypedModelElements[[#This Row],[Display Qualified]],"")</f>
        <v/>
      </c>
      <c r="O93" s="5" t="str">
        <f>IF(OR(meta_TypedModelElements[[#This Row],[Kind:src]]="_Attribute",meta_TypedModelElements[[#This Row],[Kind:src]]="_Reference"),meta_TypedModelElements[[#This Row],[Display Qualified]],"")</f>
        <v>finance::Portfolio.value</v>
      </c>
      <c r="P93" s="22"/>
      <c r="Q93" s="22"/>
      <c r="R93" s="5" t="str">
        <f>IF(meta_TypedModelElements[[#This Row],[Containing Class:display]]="","",meta_TypedModelElements[[#This Row],[Containing Class:display]]&amp;".")&amp;meta_TypedModelElements[[#This Row],[Display without Class]]</f>
        <v>Portfolio.value</v>
      </c>
      <c r="S93" s="5" t="str" cm="1">
        <f t="array" ref="S93">_xlfn.IFNA(INDEX(meta_Names[Camel Lower], MATCH(meta_TypedModelElements[[#This Row],[Name or Type]],meta_Names[String],0)),camelCaseLower(meta_TypedModelElements[[#This Row],[Name or Type]]))</f>
        <v>value</v>
      </c>
      <c r="T93" s="5" t="str">
        <f>IF(meta_TypedModelElements[[#This Row],[Name or Type]]="","",meta_TypedModelElements[[#This Row],[Name or Type Camel Case Lower]])&amp;IF(meta_TypedModelElements[[#This Row],[Kind:src]]="_Function","("&amp;meta_TypedModelElements[[#This Row],[Function - Parameters Display]]&amp;")","")</f>
        <v>value</v>
      </c>
      <c r="U9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Value</v>
      </c>
      <c r="V93" s="22" t="s">
        <v>669</v>
      </c>
      <c r="W93" s="5" t="e">
        <f>INDEX(meta_Classifiers[Class - Generalization:src],MATCH(meta_TypedModelElements[[#This Row],[Type Super Type 6]],meta_Classifiers[ID],0))</f>
        <v>#N/A</v>
      </c>
      <c r="X93" s="5" t="e">
        <f>INDEX(meta_Classifiers[Class - Generalization:src],MATCH(meta_TypedModelElements[[#This Row],[Type Super Type 5]],meta_Classifiers[ID],0))</f>
        <v>#N/A</v>
      </c>
      <c r="Y93" s="5" t="e">
        <f>INDEX(meta_Classifiers[Class - Generalization:src],MATCH(meta_TypedModelElements[[#This Row],[Type Super Type 4]],meta_Classifiers[ID],0))</f>
        <v>#N/A</v>
      </c>
      <c r="Z93" s="5" t="e">
        <f>INDEX(meta_Classifiers[Class - Generalization:src],MATCH(meta_TypedModelElements[[#This Row],[Type Super Type 3]],meta_Classifiers[ID],0))</f>
        <v>#N/A</v>
      </c>
      <c r="AA93" s="5" t="e">
        <f>INDEX(meta_Classifiers[Class - Generalization:src],MATCH(meta_TypedModelElements[[#This Row],[Type Super Type 2]],meta_Classifiers[ID],0))</f>
        <v>#N/A</v>
      </c>
      <c r="AB93" s="5" t="e">
        <f>INDEX(meta_Classifiers[Class - Generalization:src],MATCH(meta_TypedModelElements[[#This Row],[Type Super Type 1]],meta_Classifiers[ID],0))</f>
        <v>#N/A</v>
      </c>
      <c r="AC93" s="5" t="str">
        <f>INDEX(meta_Classifiers[Class - Generalization:src],MATCH(meta_TypedModelElements[[#This Row],[Type:src]],meta_Classifiers[ID],0))</f>
        <v/>
      </c>
      <c r="AD93" s="5" t="str">
        <f>IF(meta_TypedModelElements[[#This Row],[Kind:src]]&lt;&gt;"_Function",meta_TypedModelElements[[#This Row],[Type]],INDEX(meta_TypedModelElements[Type],MATCH(meta_TypedModelElements[[#This Row],[Function - Owning Property:src]],meta_TypedModelElements[ID],0)))</f>
        <v>Real</v>
      </c>
      <c r="AE93" s="5" t="str">
        <f>IF(meta_TypedModelElements[[#This Row],[Kind:src]]&lt;&gt;"_Function",meta_TypedModelElements[[#This Row],[Type:src]],INDEX(meta_TypedModelElements[Type:src],MATCH(meta_TypedModelElements[[#This Row],[Function - Owning Property:src]],meta_TypedModelElements[ID],0)))</f>
        <v>_Real</v>
      </c>
      <c r="AF93" s="5" t="str">
        <f>IF(meta_TypedModelElements[[#This Row],[Type:src]]="","",INDEX(meta_Classifiers[Name],MATCH(meta_TypedModelElements[[#This Row],[Type:src]],meta_Classifiers[ID],0)))</f>
        <v>Real</v>
      </c>
      <c r="AG93" s="5" t="s">
        <v>185</v>
      </c>
      <c r="AH93" s="22" t="str">
        <f xml:space="preserve"> IF( TRIM( meta_TypedModelElements[[#This Row],[Type:src]] ) = "", "",
        INDEX( meta_Classifiers[Display Qualified], MATCH( meta_TypedModelElements[[#This Row],[Type:src]], meta_Classifiers[ID], 0 ) ) )</f>
        <v>Real</v>
      </c>
      <c r="AI93" s="22" t="s">
        <v>19</v>
      </c>
      <c r="AJ93" s="22"/>
      <c r="AK93" s="8"/>
      <c r="AL93" s="22" t="str">
        <f xml:space="preserve"> IF( TRIM( meta_TypedModelElements[[#This Row],[Reference - Opposite:src]] ) = "", "",
        INDEX( meta_TypedModelElements[Display Qualified], MATCH( meta_TypedModelElements[[#This Row],[Reference - Opposite:src]], meta_TypedModelElements[ID], 0 ) ) )</f>
        <v/>
      </c>
      <c r="AM93" s="8"/>
      <c r="AN9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3" s="22"/>
      <c r="AP93"/>
      <c r="AQ93" s="22" t="str">
        <f xml:space="preserve"> IF( TRIM( meta_TypedModelElements[[#This Row],[Function - Owning Property:src]] ) = "", "",
        INDEX( meta_TypedModelElements[Display Qualified], MATCH( meta_TypedModelElements[[#This Row],[Function - Owning Property:src]], meta_TypedModelElements[ID], 0 ) ) )</f>
        <v/>
      </c>
      <c r="AT93" s="22" t="str">
        <f>IF(meta_TypedModelElements[[#This Row],[Parameter - Owning Function:src]]="","",INDEX(meta_TypedModelElements[Display Qualified],MATCH(meta_TypedModelElements[[#This Row],[Parameter - Owning Function:src]],meta_TypedModelElements[ID],0)))</f>
        <v/>
      </c>
      <c r="AV93" s="89"/>
      <c r="AW9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3" s="5" t="str">
        <f>"[@["&amp;meta_TypedModelElements[[#This Row],[Name or Type]]&amp;":src]]"</f>
        <v>[@[Value:src]]</v>
      </c>
      <c r="AY9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3" s="40"/>
      <c r="BC93" s="40" t="str">
        <f>IF(meta_TypedModelElements[[#This Row],[Kind:src]]="_Parameter","",IF(AND(meta_TypedModelElements[[#This Row],[Package]]="util",meta_TypedModelElements[[#This Row],[Containing Class]]=0), "public", "method"))</f>
        <v>method</v>
      </c>
      <c r="BD93" s="40"/>
      <c r="BE9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3" s="40"/>
      <c r="BK93" s="5"/>
    </row>
    <row r="94" spans="1:63">
      <c r="A94" s="5" t="s">
        <v>683</v>
      </c>
      <c r="B94" s="5" t="s">
        <v>168</v>
      </c>
      <c r="C94" s="22" t="str">
        <f xml:space="preserve"> IF( TRIM( meta_TypedModelElements[[#This Row],[Kind:src]] ) = "", "",
        INDEX( meta_Classifiers[Display Qualified], MATCH( meta_TypedModelElements[[#This Row],[Kind:src]], meta_Classifiers[ID], 0 ) ) )</f>
        <v>Attribute</v>
      </c>
      <c r="D94" s="22">
        <v>93</v>
      </c>
      <c r="E94" s="22" t="s">
        <v>660</v>
      </c>
      <c r="F94" s="22"/>
      <c r="G9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4" s="8" t="s">
        <v>697</v>
      </c>
      <c r="J94" s="22" t="str">
        <f xml:space="preserve"> IF( TRIM( meta_TypedModelElements[[#This Row],[Property - Owning Class:src]] ) = "", "",
        INDEX( meta_Classifiers[Display Qualified], MATCH( meta_TypedModelElements[[#This Row],[Property - Owning Class:src]], meta_Classifiers[ID], 0 ) ) )</f>
        <v>finance::Position</v>
      </c>
      <c r="K9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finance::Position.portfolio</v>
      </c>
      <c r="L94" s="5" t="str">
        <f>IF(meta_TypedModelElements[[#This Row],[Kind:src]]="_Function",meta_TypedModelElements[[#This Row],[Display Qualified]],"")</f>
        <v/>
      </c>
      <c r="M94" s="5" t="str">
        <f>IF(meta_TypedModelElements[[#This Row],[Kind:src]]="_Attribute",meta_TypedModelElements[[#This Row],[Display Qualified]],"")</f>
        <v>finance::Position.portfolio</v>
      </c>
      <c r="N94" s="5" t="str">
        <f>IF(meta_TypedModelElements[[#This Row],[Kind:src]]="_Reference",meta_TypedModelElements[[#This Row],[Display Qualified]],"")</f>
        <v/>
      </c>
      <c r="O94" s="5" t="str">
        <f>IF(OR(meta_TypedModelElements[[#This Row],[Kind:src]]="_Attribute",meta_TypedModelElements[[#This Row],[Kind:src]]="_Reference"),meta_TypedModelElements[[#This Row],[Display Qualified]],"")</f>
        <v>finance::Position.portfolio</v>
      </c>
      <c r="P94" s="22"/>
      <c r="Q94" s="22"/>
      <c r="R94" s="5" t="str">
        <f>IF(meta_TypedModelElements[[#This Row],[Containing Class:display]]="","",meta_TypedModelElements[[#This Row],[Containing Class:display]]&amp;".")&amp;meta_TypedModelElements[[#This Row],[Display without Class]]</f>
        <v>Position.portfolio</v>
      </c>
      <c r="S94" s="5" t="str" cm="1">
        <f t="array" ref="S94">_xlfn.IFNA(INDEX(meta_Names[Camel Lower], MATCH(meta_TypedModelElements[[#This Row],[Name or Type]],meta_Names[String],0)),camelCaseLower(meta_TypedModelElements[[#This Row],[Name or Type]]))</f>
        <v>portfolio</v>
      </c>
      <c r="T94" s="5" t="str">
        <f>IF(meta_TypedModelElements[[#This Row],[Name or Type]]="","",meta_TypedModelElements[[#This Row],[Name or Type Camel Case Lower]])&amp;IF(meta_TypedModelElements[[#This Row],[Kind:src]]="_Function","("&amp;meta_TypedModelElements[[#This Row],[Function - Parameters Display]]&amp;")","")</f>
        <v>portfolio</v>
      </c>
      <c r="U9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Portfolio</v>
      </c>
      <c r="V94" s="22"/>
      <c r="W94" s="5" t="e">
        <f>INDEX(meta_Classifiers[Class - Generalization:src],MATCH(meta_TypedModelElements[[#This Row],[Type Super Type 6]],meta_Classifiers[ID],0))</f>
        <v>#N/A</v>
      </c>
      <c r="X94" s="5" t="e">
        <f>INDEX(meta_Classifiers[Class - Generalization:src],MATCH(meta_TypedModelElements[[#This Row],[Type Super Type 5]],meta_Classifiers[ID],0))</f>
        <v>#N/A</v>
      </c>
      <c r="Y94" s="5" t="e">
        <f>INDEX(meta_Classifiers[Class - Generalization:src],MATCH(meta_TypedModelElements[[#This Row],[Type Super Type 4]],meta_Classifiers[ID],0))</f>
        <v>#N/A</v>
      </c>
      <c r="Z94" s="5" t="e">
        <f>INDEX(meta_Classifiers[Class - Generalization:src],MATCH(meta_TypedModelElements[[#This Row],[Type Super Type 3]],meta_Classifiers[ID],0))</f>
        <v>#N/A</v>
      </c>
      <c r="AA94" s="5" t="e">
        <f>INDEX(meta_Classifiers[Class - Generalization:src],MATCH(meta_TypedModelElements[[#This Row],[Type Super Type 2]],meta_Classifiers[ID],0))</f>
        <v>#N/A</v>
      </c>
      <c r="AB94" s="5" t="str">
        <f>INDEX(meta_Classifiers[Class - Generalization:src],MATCH(meta_TypedModelElements[[#This Row],[Type Super Type 1]],meta_Classifiers[ID],0))</f>
        <v/>
      </c>
      <c r="AC94" s="5" t="str">
        <f>INDEX(meta_Classifiers[Class - Generalization:src],MATCH(meta_TypedModelElements[[#This Row],[Type:src]],meta_Classifiers[ID],0))</f>
        <v>_Object</v>
      </c>
      <c r="AD94" s="5" t="str">
        <f>IF(meta_TypedModelElements[[#This Row],[Kind:src]]&lt;&gt;"_Function",meta_TypedModelElements[[#This Row],[Type]],INDEX(meta_TypedModelElements[Type],MATCH(meta_TypedModelElements[[#This Row],[Function - Owning Property:src]],meta_TypedModelElements[ID],0)))</f>
        <v>finance::Portfolio</v>
      </c>
      <c r="AE94" s="5" t="str">
        <f>IF(meta_TypedModelElements[[#This Row],[Kind:src]]&lt;&gt;"_Function",meta_TypedModelElements[[#This Row],[Type:src]],INDEX(meta_TypedModelElements[Type:src],MATCH(meta_TypedModelElements[[#This Row],[Function - Owning Property:src]],meta_TypedModelElements[ID],0)))</f>
        <v>finance::Portfolio</v>
      </c>
      <c r="AF94" s="5" t="str">
        <f>IF(meta_TypedModelElements[[#This Row],[Type:src]]="","",INDEX(meta_Classifiers[Name],MATCH(meta_TypedModelElements[[#This Row],[Type:src]],meta_Classifiers[ID],0)))</f>
        <v>Portfolio</v>
      </c>
      <c r="AG94" s="5" t="s">
        <v>696</v>
      </c>
      <c r="AH94" s="22" t="str">
        <f xml:space="preserve"> IF( TRIM( meta_TypedModelElements[[#This Row],[Type:src]] ) = "", "",
        INDEX( meta_Classifiers[Display Qualified], MATCH( meta_TypedModelElements[[#This Row],[Type:src]], meta_Classifiers[ID], 0 ) ) )</f>
        <v>finance::Portfolio</v>
      </c>
      <c r="AI94" s="22" t="s">
        <v>19</v>
      </c>
      <c r="AJ94" s="22" t="s">
        <v>232</v>
      </c>
      <c r="AK94" s="5" t="s">
        <v>675</v>
      </c>
      <c r="AL94" s="22" t="str">
        <f xml:space="preserve"> IF( TRIM( meta_TypedModelElements[[#This Row],[Reference - Opposite:src]] ) = "", "",
        INDEX( meta_TypedModelElements[Display Qualified], MATCH( meta_TypedModelElements[[#This Row],[Reference - Opposite:src]], meta_TypedModelElements[ID], 0 ) ) )</f>
        <v>finance::Portfolio.position</v>
      </c>
      <c r="AM94" s="8"/>
      <c r="AN9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4" s="22"/>
      <c r="AP94"/>
      <c r="AQ94" s="22" t="str">
        <f xml:space="preserve"> IF( TRIM( meta_TypedModelElements[[#This Row],[Function - Owning Property:src]] ) = "", "",
        INDEX( meta_TypedModelElements[Display Qualified], MATCH( meta_TypedModelElements[[#This Row],[Function - Owning Property:src]], meta_TypedModelElements[ID], 0 ) ) )</f>
        <v/>
      </c>
      <c r="AT94" s="22" t="str">
        <f>IF(meta_TypedModelElements[[#This Row],[Parameter - Owning Function:src]]="","",INDEX(meta_TypedModelElements[Display Qualified],MATCH(meta_TypedModelElements[[#This Row],[Parameter - Owning Function:src]],meta_TypedModelElements[ID],0)))</f>
        <v/>
      </c>
      <c r="AV94" s="89"/>
      <c r="AW9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4" s="5" t="str">
        <f>"[@["&amp;meta_TypedModelElements[[#This Row],[Name or Type]]&amp;":src]]"</f>
        <v>[@[Portfolio:src]]</v>
      </c>
      <c r="AY9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4" s="40"/>
      <c r="BC94" s="40" t="str">
        <f>IF(meta_TypedModelElements[[#This Row],[Kind:src]]="_Parameter","",IF(AND(meta_TypedModelElements[[#This Row],[Package]]="util",meta_TypedModelElements[[#This Row],[Containing Class]]=0), "public", "method"))</f>
        <v>method</v>
      </c>
      <c r="BD94" s="40"/>
      <c r="BE9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4" s="40"/>
      <c r="BK94" s="5"/>
    </row>
    <row r="95" spans="1:63">
      <c r="A95" s="5" t="s">
        <v>677</v>
      </c>
      <c r="B95" s="5" t="s">
        <v>168</v>
      </c>
      <c r="C95" s="22" t="str">
        <f xml:space="preserve"> IF( TRIM( meta_TypedModelElements[[#This Row],[Kind:src]] ) = "", "",
        INDEX( meta_Classifiers[Display Qualified], MATCH( meta_TypedModelElements[[#This Row],[Kind:src]], meta_Classifiers[ID], 0 ) ) )</f>
        <v>Attribute</v>
      </c>
      <c r="D95" s="22">
        <v>94</v>
      </c>
      <c r="E95" s="22" t="s">
        <v>660</v>
      </c>
      <c r="F95" s="22"/>
      <c r="G9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5" s="8" t="s">
        <v>697</v>
      </c>
      <c r="J95" s="22" t="str">
        <f xml:space="preserve"> IF( TRIM( meta_TypedModelElements[[#This Row],[Property - Owning Class:src]] ) = "", "",
        INDEX( meta_Classifiers[Display Qualified], MATCH( meta_TypedModelElements[[#This Row],[Property - Owning Class:src]], meta_Classifiers[ID], 0 ) ) )</f>
        <v>finance::Position</v>
      </c>
      <c r="K9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finance::Position.security</v>
      </c>
      <c r="L95" s="5" t="str">
        <f>IF(meta_TypedModelElements[[#This Row],[Kind:src]]="_Function",meta_TypedModelElements[[#This Row],[Display Qualified]],"")</f>
        <v/>
      </c>
      <c r="M95" s="5" t="str">
        <f>IF(meta_TypedModelElements[[#This Row],[Kind:src]]="_Attribute",meta_TypedModelElements[[#This Row],[Display Qualified]],"")</f>
        <v>finance::Position.security</v>
      </c>
      <c r="N95" s="5" t="str">
        <f>IF(meta_TypedModelElements[[#This Row],[Kind:src]]="_Reference",meta_TypedModelElements[[#This Row],[Display Qualified]],"")</f>
        <v/>
      </c>
      <c r="O95" s="5" t="str">
        <f>IF(OR(meta_TypedModelElements[[#This Row],[Kind:src]]="_Attribute",meta_TypedModelElements[[#This Row],[Kind:src]]="_Reference"),meta_TypedModelElements[[#This Row],[Display Qualified]],"")</f>
        <v>finance::Position.security</v>
      </c>
      <c r="P95" s="22"/>
      <c r="Q95" s="22"/>
      <c r="R95" s="5" t="str">
        <f>IF(meta_TypedModelElements[[#This Row],[Containing Class:display]]="","",meta_TypedModelElements[[#This Row],[Containing Class:display]]&amp;".")&amp;meta_TypedModelElements[[#This Row],[Display without Class]]</f>
        <v>Position.security</v>
      </c>
      <c r="S95" s="5" t="str" cm="1">
        <f t="array" ref="S95">_xlfn.IFNA(INDEX(meta_Names[Camel Lower], MATCH(meta_TypedModelElements[[#This Row],[Name or Type]],meta_Names[String],0)),camelCaseLower(meta_TypedModelElements[[#This Row],[Name or Type]]))</f>
        <v>security</v>
      </c>
      <c r="T95" s="5" t="str">
        <f>IF(meta_TypedModelElements[[#This Row],[Name or Type]]="","",meta_TypedModelElements[[#This Row],[Name or Type Camel Case Lower]])&amp;IF(meta_TypedModelElements[[#This Row],[Kind:src]]="_Function","("&amp;meta_TypedModelElements[[#This Row],[Function - Parameters Display]]&amp;")","")</f>
        <v>security</v>
      </c>
      <c r="U9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Security</v>
      </c>
      <c r="V95" s="22"/>
      <c r="W95" s="5" t="e">
        <f>INDEX(meta_Classifiers[Class - Generalization:src],MATCH(meta_TypedModelElements[[#This Row],[Type Super Type 6]],meta_Classifiers[ID],0))</f>
        <v>#N/A</v>
      </c>
      <c r="X95" s="5" t="e">
        <f>INDEX(meta_Classifiers[Class - Generalization:src],MATCH(meta_TypedModelElements[[#This Row],[Type Super Type 5]],meta_Classifiers[ID],0))</f>
        <v>#N/A</v>
      </c>
      <c r="Y95" s="5" t="e">
        <f>INDEX(meta_Classifiers[Class - Generalization:src],MATCH(meta_TypedModelElements[[#This Row],[Type Super Type 4]],meta_Classifiers[ID],0))</f>
        <v>#N/A</v>
      </c>
      <c r="Z95" s="5" t="e">
        <f>INDEX(meta_Classifiers[Class - Generalization:src],MATCH(meta_TypedModelElements[[#This Row],[Type Super Type 3]],meta_Classifiers[ID],0))</f>
        <v>#N/A</v>
      </c>
      <c r="AA95" s="5" t="e">
        <f>INDEX(meta_Classifiers[Class - Generalization:src],MATCH(meta_TypedModelElements[[#This Row],[Type Super Type 2]],meta_Classifiers[ID],0))</f>
        <v>#N/A</v>
      </c>
      <c r="AB95" s="5" t="str">
        <f>INDEX(meta_Classifiers[Class - Generalization:src],MATCH(meta_TypedModelElements[[#This Row],[Type Super Type 1]],meta_Classifiers[ID],0))</f>
        <v/>
      </c>
      <c r="AC95" s="5" t="str">
        <f>INDEX(meta_Classifiers[Class - Generalization:src],MATCH(meta_TypedModelElements[[#This Row],[Type:src]],meta_Classifiers[ID],0))</f>
        <v>_Object</v>
      </c>
      <c r="AD95" s="5" t="str">
        <f>IF(meta_TypedModelElements[[#This Row],[Kind:src]]&lt;&gt;"_Function",meta_TypedModelElements[[#This Row],[Type]],INDEX(meta_TypedModelElements[Type],MATCH(meta_TypedModelElements[[#This Row],[Function - Owning Property:src]],meta_TypedModelElements[ID],0)))</f>
        <v>finance::Security</v>
      </c>
      <c r="AE95" s="5" t="str">
        <f>IF(meta_TypedModelElements[[#This Row],[Kind:src]]&lt;&gt;"_Function",meta_TypedModelElements[[#This Row],[Type:src]],INDEX(meta_TypedModelElements[Type:src],MATCH(meta_TypedModelElements[[#This Row],[Function - Owning Property:src]],meta_TypedModelElements[ID],0)))</f>
        <v>finance::Security</v>
      </c>
      <c r="AF95" s="5" t="str">
        <f>IF(meta_TypedModelElements[[#This Row],[Type:src]]="","",INDEX(meta_Classifiers[Name],MATCH(meta_TypedModelElements[[#This Row],[Type:src]],meta_Classifiers[ID],0)))</f>
        <v>Security</v>
      </c>
      <c r="AG95" s="5" t="s">
        <v>698</v>
      </c>
      <c r="AH95" s="22" t="str">
        <f xml:space="preserve"> IF( TRIM( meta_TypedModelElements[[#This Row],[Type:src]] ) = "", "",
        INDEX( meta_Classifiers[Display Qualified], MATCH( meta_TypedModelElements[[#This Row],[Type:src]], meta_Classifiers[ID], 0 ) ) )</f>
        <v>finance::Security</v>
      </c>
      <c r="AI95" s="22" t="s">
        <v>19</v>
      </c>
      <c r="AJ95" s="22" t="s">
        <v>232</v>
      </c>
      <c r="AK95" s="8"/>
      <c r="AL95" s="22" t="str">
        <f xml:space="preserve"> IF( TRIM( meta_TypedModelElements[[#This Row],[Reference - Opposite:src]] ) = "", "",
        INDEX( meta_TypedModelElements[Display Qualified], MATCH( meta_TypedModelElements[[#This Row],[Reference - Opposite:src]], meta_TypedModelElements[ID], 0 ) ) )</f>
        <v/>
      </c>
      <c r="AM95" s="8"/>
      <c r="AN9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5" s="22"/>
      <c r="AP95"/>
      <c r="AQ95" s="22" t="str">
        <f xml:space="preserve"> IF( TRIM( meta_TypedModelElements[[#This Row],[Function - Owning Property:src]] ) = "", "",
        INDEX( meta_TypedModelElements[Display Qualified], MATCH( meta_TypedModelElements[[#This Row],[Function - Owning Property:src]], meta_TypedModelElements[ID], 0 ) ) )</f>
        <v/>
      </c>
      <c r="AT95" s="22" t="str">
        <f>IF(meta_TypedModelElements[[#This Row],[Parameter - Owning Function:src]]="","",INDEX(meta_TypedModelElements[Display Qualified],MATCH(meta_TypedModelElements[[#This Row],[Parameter - Owning Function:src]],meta_TypedModelElements[ID],0)))</f>
        <v/>
      </c>
      <c r="AV95" s="89"/>
      <c r="AW9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5" s="5" t="str">
        <f>"[@["&amp;meta_TypedModelElements[[#This Row],[Name or Type]]&amp;":src]]"</f>
        <v>[@[Security:src]]</v>
      </c>
      <c r="AY9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5" s="40"/>
      <c r="BC95" s="40" t="str">
        <f>IF(meta_TypedModelElements[[#This Row],[Kind:src]]="_Parameter","",IF(AND(meta_TypedModelElements[[#This Row],[Package]]="util",meta_TypedModelElements[[#This Row],[Containing Class]]=0), "public", "method"))</f>
        <v>method</v>
      </c>
      <c r="BD95" s="40"/>
      <c r="BE9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5" s="40"/>
      <c r="BK95" s="5"/>
    </row>
    <row r="96" spans="1:63">
      <c r="A96" s="5" t="s">
        <v>678</v>
      </c>
      <c r="B96" s="5" t="s">
        <v>168</v>
      </c>
      <c r="C96" s="22" t="str">
        <f xml:space="preserve"> IF( TRIM( meta_TypedModelElements[[#This Row],[Kind:src]] ) = "", "",
        INDEX( meta_Classifiers[Display Qualified], MATCH( meta_TypedModelElements[[#This Row],[Kind:src]], meta_Classifiers[ID], 0 ) ) )</f>
        <v>Attribute</v>
      </c>
      <c r="D96" s="22">
        <v>95</v>
      </c>
      <c r="E96" s="22" t="s">
        <v>660</v>
      </c>
      <c r="F96" s="22"/>
      <c r="G9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6" s="8" t="s">
        <v>697</v>
      </c>
      <c r="J96" s="22" t="str">
        <f xml:space="preserve"> IF( TRIM( meta_TypedModelElements[[#This Row],[Property - Owning Class:src]] ) = "", "",
        INDEX( meta_Classifiers[Display Qualified], MATCH( meta_TypedModelElements[[#This Row],[Property - Owning Class:src]], meta_Classifiers[ID], 0 ) ) )</f>
        <v>finance::Position</v>
      </c>
      <c r="K9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finance::Position.amount</v>
      </c>
      <c r="L96" s="5" t="str">
        <f>IF(meta_TypedModelElements[[#This Row],[Kind:src]]="_Function",meta_TypedModelElements[[#This Row],[Display Qualified]],"")</f>
        <v/>
      </c>
      <c r="M96" s="5" t="str">
        <f>IF(meta_TypedModelElements[[#This Row],[Kind:src]]="_Attribute",meta_TypedModelElements[[#This Row],[Display Qualified]],"")</f>
        <v>finance::Position.amount</v>
      </c>
      <c r="N96" s="5" t="str">
        <f>IF(meta_TypedModelElements[[#This Row],[Kind:src]]="_Reference",meta_TypedModelElements[[#This Row],[Display Qualified]],"")</f>
        <v/>
      </c>
      <c r="O96" s="5" t="str">
        <f>IF(OR(meta_TypedModelElements[[#This Row],[Kind:src]]="_Attribute",meta_TypedModelElements[[#This Row],[Kind:src]]="_Reference"),meta_TypedModelElements[[#This Row],[Display Qualified]],"")</f>
        <v>finance::Position.amount</v>
      </c>
      <c r="P96" s="22"/>
      <c r="Q96" s="22"/>
      <c r="R96" s="5" t="str">
        <f>IF(meta_TypedModelElements[[#This Row],[Containing Class:display]]="","",meta_TypedModelElements[[#This Row],[Containing Class:display]]&amp;".")&amp;meta_TypedModelElements[[#This Row],[Display without Class]]</f>
        <v>Position.amount</v>
      </c>
      <c r="S96" s="5" t="str" cm="1">
        <f t="array" ref="S96">_xlfn.IFNA(INDEX(meta_Names[Camel Lower], MATCH(meta_TypedModelElements[[#This Row],[Name or Type]],meta_Names[String],0)),camelCaseLower(meta_TypedModelElements[[#This Row],[Name or Type]]))</f>
        <v>amount</v>
      </c>
      <c r="T96" s="5" t="str">
        <f>IF(meta_TypedModelElements[[#This Row],[Name or Type]]="","",meta_TypedModelElements[[#This Row],[Name or Type Camel Case Lower]])&amp;IF(meta_TypedModelElements[[#This Row],[Kind:src]]="_Function","("&amp;meta_TypedModelElements[[#This Row],[Function - Parameters Display]]&amp;")","")</f>
        <v>amount</v>
      </c>
      <c r="U9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Amount</v>
      </c>
      <c r="V96" s="22" t="s">
        <v>670</v>
      </c>
      <c r="W96" s="5" t="e">
        <f>INDEX(meta_Classifiers[Class - Generalization:src],MATCH(meta_TypedModelElements[[#This Row],[Type Super Type 6]],meta_Classifiers[ID],0))</f>
        <v>#N/A</v>
      </c>
      <c r="X96" s="5" t="e">
        <f>INDEX(meta_Classifiers[Class - Generalization:src],MATCH(meta_TypedModelElements[[#This Row],[Type Super Type 5]],meta_Classifiers[ID],0))</f>
        <v>#N/A</v>
      </c>
      <c r="Y96" s="5" t="e">
        <f>INDEX(meta_Classifiers[Class - Generalization:src],MATCH(meta_TypedModelElements[[#This Row],[Type Super Type 4]],meta_Classifiers[ID],0))</f>
        <v>#N/A</v>
      </c>
      <c r="Z96" s="5" t="e">
        <f>INDEX(meta_Classifiers[Class - Generalization:src],MATCH(meta_TypedModelElements[[#This Row],[Type Super Type 3]],meta_Classifiers[ID],0))</f>
        <v>#N/A</v>
      </c>
      <c r="AA96" s="5" t="e">
        <f>INDEX(meta_Classifiers[Class - Generalization:src],MATCH(meta_TypedModelElements[[#This Row],[Type Super Type 2]],meta_Classifiers[ID],0))</f>
        <v>#N/A</v>
      </c>
      <c r="AB96" s="5" t="e">
        <f>INDEX(meta_Classifiers[Class - Generalization:src],MATCH(meta_TypedModelElements[[#This Row],[Type Super Type 1]],meta_Classifiers[ID],0))</f>
        <v>#N/A</v>
      </c>
      <c r="AC96" s="5" t="str">
        <f>INDEX(meta_Classifiers[Class - Generalization:src],MATCH(meta_TypedModelElements[[#This Row],[Type:src]],meta_Classifiers[ID],0))</f>
        <v/>
      </c>
      <c r="AD96" s="5" t="str">
        <f>IF(meta_TypedModelElements[[#This Row],[Kind:src]]&lt;&gt;"_Function",meta_TypedModelElements[[#This Row],[Type]],INDEX(meta_TypedModelElements[Type],MATCH(meta_TypedModelElements[[#This Row],[Function - Owning Property:src]],meta_TypedModelElements[ID],0)))</f>
        <v>Integer</v>
      </c>
      <c r="AE96" s="5" t="str">
        <f>IF(meta_TypedModelElements[[#This Row],[Kind:src]]&lt;&gt;"_Function",meta_TypedModelElements[[#This Row],[Type:src]],INDEX(meta_TypedModelElements[Type:src],MATCH(meta_TypedModelElements[[#This Row],[Function - Owning Property:src]],meta_TypedModelElements[ID],0)))</f>
        <v>_Integer</v>
      </c>
      <c r="AF96" s="5" t="str">
        <f>IF(meta_TypedModelElements[[#This Row],[Type:src]]="","",INDEX(meta_Classifiers[Name],MATCH(meta_TypedModelElements[[#This Row],[Type:src]],meta_Classifiers[ID],0)))</f>
        <v>Integer</v>
      </c>
      <c r="AG96" s="5" t="s">
        <v>184</v>
      </c>
      <c r="AH96" s="22" t="str">
        <f xml:space="preserve"> IF( TRIM( meta_TypedModelElements[[#This Row],[Type:src]] ) = "", "",
        INDEX( meta_Classifiers[Display Qualified], MATCH( meta_TypedModelElements[[#This Row],[Type:src]], meta_Classifiers[ID], 0 ) ) )</f>
        <v>Integer</v>
      </c>
      <c r="AI96" s="22" t="s">
        <v>19</v>
      </c>
      <c r="AJ96" s="22" t="s">
        <v>232</v>
      </c>
      <c r="AK96" s="8"/>
      <c r="AL96" s="22" t="str">
        <f xml:space="preserve"> IF( TRIM( meta_TypedModelElements[[#This Row],[Reference - Opposite:src]] ) = "", "",
        INDEX( meta_TypedModelElements[Display Qualified], MATCH( meta_TypedModelElements[[#This Row],[Reference - Opposite:src]], meta_TypedModelElements[ID], 0 ) ) )</f>
        <v/>
      </c>
      <c r="AM96" s="8"/>
      <c r="AN9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6" s="22"/>
      <c r="AP96"/>
      <c r="AQ96" s="22" t="str">
        <f xml:space="preserve"> IF( TRIM( meta_TypedModelElements[[#This Row],[Function - Owning Property:src]] ) = "", "",
        INDEX( meta_TypedModelElements[Display Qualified], MATCH( meta_TypedModelElements[[#This Row],[Function - Owning Property:src]], meta_TypedModelElements[ID], 0 ) ) )</f>
        <v/>
      </c>
      <c r="AT96" s="22" t="str">
        <f>IF(meta_TypedModelElements[[#This Row],[Parameter - Owning Function:src]]="","",INDEX(meta_TypedModelElements[Display Qualified],MATCH(meta_TypedModelElements[[#This Row],[Parameter - Owning Function:src]],meta_TypedModelElements[ID],0)))</f>
        <v/>
      </c>
      <c r="AV96" s="89"/>
      <c r="AW9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6" s="5" t="str">
        <f>"[@["&amp;meta_TypedModelElements[[#This Row],[Name or Type]]&amp;":src]]"</f>
        <v>[@[Amount:src]]</v>
      </c>
      <c r="AY9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6" s="40"/>
      <c r="BC96" s="40" t="str">
        <f>IF(meta_TypedModelElements[[#This Row],[Kind:src]]="_Parameter","",IF(AND(meta_TypedModelElements[[#This Row],[Package]]="util",meta_TypedModelElements[[#This Row],[Containing Class]]=0), "public", "method"))</f>
        <v>method</v>
      </c>
      <c r="BD96" s="40"/>
      <c r="BE9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6" s="40"/>
      <c r="BK96" s="5"/>
    </row>
    <row r="97" spans="1:63">
      <c r="A97" s="5" t="s">
        <v>679</v>
      </c>
      <c r="B97" s="5" t="s">
        <v>168</v>
      </c>
      <c r="C97" s="22" t="str">
        <f xml:space="preserve"> IF( TRIM( meta_TypedModelElements[[#This Row],[Kind:src]] ) = "", "",
        INDEX( meta_Classifiers[Display Qualified], MATCH( meta_TypedModelElements[[#This Row],[Kind:src]], meta_Classifiers[ID], 0 ) ) )</f>
        <v>Attribute</v>
      </c>
      <c r="D97" s="22">
        <v>96</v>
      </c>
      <c r="E97" s="22" t="s">
        <v>660</v>
      </c>
      <c r="F97" s="22"/>
      <c r="G9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7" s="8" t="s">
        <v>697</v>
      </c>
      <c r="J97" s="22" t="str">
        <f xml:space="preserve"> IF( TRIM( meta_TypedModelElements[[#This Row],[Property - Owning Class:src]] ) = "", "",
        INDEX( meta_Classifiers[Display Qualified], MATCH( meta_TypedModelElements[[#This Row],[Property - Owning Class:src]], meta_Classifiers[ID], 0 ) ) )</f>
        <v>finance::Position</v>
      </c>
      <c r="K9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finance::Position.valuation</v>
      </c>
      <c r="L97" s="5" t="str">
        <f>IF(meta_TypedModelElements[[#This Row],[Kind:src]]="_Function",meta_TypedModelElements[[#This Row],[Display Qualified]],"")</f>
        <v/>
      </c>
      <c r="M97" s="5" t="str">
        <f>IF(meta_TypedModelElements[[#This Row],[Kind:src]]="_Attribute",meta_TypedModelElements[[#This Row],[Display Qualified]],"")</f>
        <v>finance::Position.valuation</v>
      </c>
      <c r="N97" s="5" t="str">
        <f>IF(meta_TypedModelElements[[#This Row],[Kind:src]]="_Reference",meta_TypedModelElements[[#This Row],[Display Qualified]],"")</f>
        <v/>
      </c>
      <c r="O97" s="5" t="str">
        <f>IF(OR(meta_TypedModelElements[[#This Row],[Kind:src]]="_Attribute",meta_TypedModelElements[[#This Row],[Kind:src]]="_Reference"),meta_TypedModelElements[[#This Row],[Display Qualified]],"")</f>
        <v>finance::Position.valuation</v>
      </c>
      <c r="P97" s="22"/>
      <c r="Q97" s="22"/>
      <c r="R97" s="5" t="str">
        <f>IF(meta_TypedModelElements[[#This Row],[Containing Class:display]]="","",meta_TypedModelElements[[#This Row],[Containing Class:display]]&amp;".")&amp;meta_TypedModelElements[[#This Row],[Display without Class]]</f>
        <v>Position.valuation</v>
      </c>
      <c r="S97" s="5" t="str" cm="1">
        <f t="array" ref="S97">_xlfn.IFNA(INDEX(meta_Names[Camel Lower], MATCH(meta_TypedModelElements[[#This Row],[Name or Type]],meta_Names[String],0)),camelCaseLower(meta_TypedModelElements[[#This Row],[Name or Type]]))</f>
        <v>valuation</v>
      </c>
      <c r="T97" s="5" t="str">
        <f>IF(meta_TypedModelElements[[#This Row],[Name or Type]]="","",meta_TypedModelElements[[#This Row],[Name or Type Camel Case Lower]])&amp;IF(meta_TypedModelElements[[#This Row],[Kind:src]]="_Function","("&amp;meta_TypedModelElements[[#This Row],[Function - Parameters Display]]&amp;")","")</f>
        <v>valuation</v>
      </c>
      <c r="U9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Valuation</v>
      </c>
      <c r="V97" s="22" t="s">
        <v>671</v>
      </c>
      <c r="W97" s="5" t="e">
        <f>INDEX(meta_Classifiers[Class - Generalization:src],MATCH(meta_TypedModelElements[[#This Row],[Type Super Type 6]],meta_Classifiers[ID],0))</f>
        <v>#N/A</v>
      </c>
      <c r="X97" s="5" t="e">
        <f>INDEX(meta_Classifiers[Class - Generalization:src],MATCH(meta_TypedModelElements[[#This Row],[Type Super Type 5]],meta_Classifiers[ID],0))</f>
        <v>#N/A</v>
      </c>
      <c r="Y97" s="5" t="e">
        <f>INDEX(meta_Classifiers[Class - Generalization:src],MATCH(meta_TypedModelElements[[#This Row],[Type Super Type 4]],meta_Classifiers[ID],0))</f>
        <v>#N/A</v>
      </c>
      <c r="Z97" s="5" t="e">
        <f>INDEX(meta_Classifiers[Class - Generalization:src],MATCH(meta_TypedModelElements[[#This Row],[Type Super Type 3]],meta_Classifiers[ID],0))</f>
        <v>#N/A</v>
      </c>
      <c r="AA97" s="5" t="e">
        <f>INDEX(meta_Classifiers[Class - Generalization:src],MATCH(meta_TypedModelElements[[#This Row],[Type Super Type 2]],meta_Classifiers[ID],0))</f>
        <v>#N/A</v>
      </c>
      <c r="AB97" s="5" t="e">
        <f>INDEX(meta_Classifiers[Class - Generalization:src],MATCH(meta_TypedModelElements[[#This Row],[Type Super Type 1]],meta_Classifiers[ID],0))</f>
        <v>#N/A</v>
      </c>
      <c r="AC97" s="5" t="str">
        <f>INDEX(meta_Classifiers[Class - Generalization:src],MATCH(meta_TypedModelElements[[#This Row],[Type:src]],meta_Classifiers[ID],0))</f>
        <v/>
      </c>
      <c r="AD97" s="5" t="str">
        <f>IF(meta_TypedModelElements[[#This Row],[Kind:src]]&lt;&gt;"_Function",meta_TypedModelElements[[#This Row],[Type]],INDEX(meta_TypedModelElements[Type],MATCH(meta_TypedModelElements[[#This Row],[Function - Owning Property:src]],meta_TypedModelElements[ID],0)))</f>
        <v>Real</v>
      </c>
      <c r="AE97" s="5" t="str">
        <f>IF(meta_TypedModelElements[[#This Row],[Kind:src]]&lt;&gt;"_Function",meta_TypedModelElements[[#This Row],[Type:src]],INDEX(meta_TypedModelElements[Type:src],MATCH(meta_TypedModelElements[[#This Row],[Function - Owning Property:src]],meta_TypedModelElements[ID],0)))</f>
        <v>_Real</v>
      </c>
      <c r="AF97" s="5" t="str">
        <f>IF(meta_TypedModelElements[[#This Row],[Type:src]]="","",INDEX(meta_Classifiers[Name],MATCH(meta_TypedModelElements[[#This Row],[Type:src]],meta_Classifiers[ID],0)))</f>
        <v>Real</v>
      </c>
      <c r="AG97" s="5" t="s">
        <v>185</v>
      </c>
      <c r="AH97" s="22" t="str">
        <f xml:space="preserve"> IF( TRIM( meta_TypedModelElements[[#This Row],[Type:src]] ) = "", "",
        INDEX( meta_Classifiers[Display Qualified], MATCH( meta_TypedModelElements[[#This Row],[Type:src]], meta_Classifiers[ID], 0 ) ) )</f>
        <v>Real</v>
      </c>
      <c r="AI97" s="22" t="s">
        <v>19</v>
      </c>
      <c r="AJ97" s="22"/>
      <c r="AK97" s="8"/>
      <c r="AL97" s="22" t="str">
        <f xml:space="preserve"> IF( TRIM( meta_TypedModelElements[[#This Row],[Reference - Opposite:src]] ) = "", "",
        INDEX( meta_TypedModelElements[Display Qualified], MATCH( meta_TypedModelElements[[#This Row],[Reference - Opposite:src]], meta_TypedModelElements[ID], 0 ) ) )</f>
        <v/>
      </c>
      <c r="AM97" s="8"/>
      <c r="AN9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7" s="22"/>
      <c r="AP97"/>
      <c r="AQ97" s="22" t="str">
        <f xml:space="preserve"> IF( TRIM( meta_TypedModelElements[[#This Row],[Function - Owning Property:src]] ) = "", "",
        INDEX( meta_TypedModelElements[Display Qualified], MATCH( meta_TypedModelElements[[#This Row],[Function - Owning Property:src]], meta_TypedModelElements[ID], 0 ) ) )</f>
        <v/>
      </c>
      <c r="AT97" s="22" t="str">
        <f>IF(meta_TypedModelElements[[#This Row],[Parameter - Owning Function:src]]="","",INDEX(meta_TypedModelElements[Display Qualified],MATCH(meta_TypedModelElements[[#This Row],[Parameter - Owning Function:src]],meta_TypedModelElements[ID],0)))</f>
        <v/>
      </c>
      <c r="AV97" s="89"/>
      <c r="AW9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7" s="5" t="str">
        <f>"[@["&amp;meta_TypedModelElements[[#This Row],[Name or Type]]&amp;":src]]"</f>
        <v>[@[Valuation:src]]</v>
      </c>
      <c r="AY9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7" s="40"/>
      <c r="BC97" s="40" t="str">
        <f>IF(meta_TypedModelElements[[#This Row],[Kind:src]]="_Parameter","",IF(AND(meta_TypedModelElements[[#This Row],[Package]]="util",meta_TypedModelElements[[#This Row],[Containing Class]]=0), "public", "method"))</f>
        <v>method</v>
      </c>
      <c r="BD97" s="40"/>
      <c r="BE9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7" s="40"/>
      <c r="BK97" s="5"/>
    </row>
    <row r="98" spans="1:63">
      <c r="A98" s="5" t="s">
        <v>680</v>
      </c>
      <c r="B98" s="5" t="s">
        <v>168</v>
      </c>
      <c r="C98" s="22" t="str">
        <f xml:space="preserve"> IF( TRIM( meta_TypedModelElements[[#This Row],[Kind:src]] ) = "", "",
        INDEX( meta_Classifiers[Display Qualified], MATCH( meta_TypedModelElements[[#This Row],[Kind:src]], meta_Classifiers[ID], 0 ) ) )</f>
        <v>Attribute</v>
      </c>
      <c r="D98" s="22">
        <v>97</v>
      </c>
      <c r="E98" s="22" t="s">
        <v>660</v>
      </c>
      <c r="F98" s="22"/>
      <c r="G9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8" s="8" t="s">
        <v>698</v>
      </c>
      <c r="J98" s="22" t="str">
        <f xml:space="preserve"> IF( TRIM( meta_TypedModelElements[[#This Row],[Property - Owning Class:src]] ) = "", "",
        INDEX( meta_Classifiers[Display Qualified], MATCH( meta_TypedModelElements[[#This Row],[Property - Owning Class:src]], meta_Classifiers[ID], 0 ) ) )</f>
        <v>finance::Security</v>
      </c>
      <c r="K9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finance::Security.tradingSymbol</v>
      </c>
      <c r="L98" s="5" t="str">
        <f>IF(meta_TypedModelElements[[#This Row],[Kind:src]]="_Function",meta_TypedModelElements[[#This Row],[Display Qualified]],"")</f>
        <v/>
      </c>
      <c r="M98" s="5" t="str">
        <f>IF(meta_TypedModelElements[[#This Row],[Kind:src]]="_Attribute",meta_TypedModelElements[[#This Row],[Display Qualified]],"")</f>
        <v>finance::Security.tradingSymbol</v>
      </c>
      <c r="N98" s="5" t="str">
        <f>IF(meta_TypedModelElements[[#This Row],[Kind:src]]="_Reference",meta_TypedModelElements[[#This Row],[Display Qualified]],"")</f>
        <v/>
      </c>
      <c r="O98" s="5" t="str">
        <f>IF(OR(meta_TypedModelElements[[#This Row],[Kind:src]]="_Attribute",meta_TypedModelElements[[#This Row],[Kind:src]]="_Reference"),meta_TypedModelElements[[#This Row],[Display Qualified]],"")</f>
        <v>finance::Security.tradingSymbol</v>
      </c>
      <c r="P98" s="22"/>
      <c r="Q98" s="22"/>
      <c r="R98" s="5" t="str">
        <f>IF(meta_TypedModelElements[[#This Row],[Containing Class:display]]="","",meta_TypedModelElements[[#This Row],[Containing Class:display]]&amp;".")&amp;meta_TypedModelElements[[#This Row],[Display without Class]]</f>
        <v>Security.tradingSymbol</v>
      </c>
      <c r="S98" s="5" t="str" cm="1">
        <f t="array" ref="S98">_xlfn.IFNA(INDEX(meta_Names[Camel Lower], MATCH(meta_TypedModelElements[[#This Row],[Name or Type]],meta_Names[String],0)),camelCaseLower(meta_TypedModelElements[[#This Row],[Name or Type]]))</f>
        <v>tradingSymbol</v>
      </c>
      <c r="T98" s="5" t="str">
        <f>IF(meta_TypedModelElements[[#This Row],[Name or Type]]="","",meta_TypedModelElements[[#This Row],[Name or Type Camel Case Lower]])&amp;IF(meta_TypedModelElements[[#This Row],[Kind:src]]="_Function","("&amp;meta_TypedModelElements[[#This Row],[Function - Parameters Display]]&amp;")","")</f>
        <v>tradingSymbol</v>
      </c>
      <c r="U9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Trading Symbol</v>
      </c>
      <c r="V98" s="22" t="s">
        <v>672</v>
      </c>
      <c r="W98" s="5" t="e">
        <f>INDEX(meta_Classifiers[Class - Generalization:src],MATCH(meta_TypedModelElements[[#This Row],[Type Super Type 6]],meta_Classifiers[ID],0))</f>
        <v>#N/A</v>
      </c>
      <c r="X98" s="5" t="e">
        <f>INDEX(meta_Classifiers[Class - Generalization:src],MATCH(meta_TypedModelElements[[#This Row],[Type Super Type 5]],meta_Classifiers[ID],0))</f>
        <v>#N/A</v>
      </c>
      <c r="Y98" s="5" t="e">
        <f>INDEX(meta_Classifiers[Class - Generalization:src],MATCH(meta_TypedModelElements[[#This Row],[Type Super Type 4]],meta_Classifiers[ID],0))</f>
        <v>#N/A</v>
      </c>
      <c r="Z98" s="5" t="e">
        <f>INDEX(meta_Classifiers[Class - Generalization:src],MATCH(meta_TypedModelElements[[#This Row],[Type Super Type 3]],meta_Classifiers[ID],0))</f>
        <v>#N/A</v>
      </c>
      <c r="AA98" s="5" t="e">
        <f>INDEX(meta_Classifiers[Class - Generalization:src],MATCH(meta_TypedModelElements[[#This Row],[Type Super Type 2]],meta_Classifiers[ID],0))</f>
        <v>#N/A</v>
      </c>
      <c r="AB98" s="5" t="e">
        <f>INDEX(meta_Classifiers[Class - Generalization:src],MATCH(meta_TypedModelElements[[#This Row],[Type Super Type 1]],meta_Classifiers[ID],0))</f>
        <v>#N/A</v>
      </c>
      <c r="AC98" s="5" t="str">
        <f>INDEX(meta_Classifiers[Class - Generalization:src],MATCH(meta_TypedModelElements[[#This Row],[Type:src]],meta_Classifiers[ID],0))</f>
        <v/>
      </c>
      <c r="AD98" s="5" t="str">
        <f>IF(meta_TypedModelElements[[#This Row],[Kind:src]]&lt;&gt;"_Function",meta_TypedModelElements[[#This Row],[Type]],INDEX(meta_TypedModelElements[Type],MATCH(meta_TypedModelElements[[#This Row],[Function - Owning Property:src]],meta_TypedModelElements[ID],0)))</f>
        <v>String</v>
      </c>
      <c r="AE98" s="5" t="str">
        <f>IF(meta_TypedModelElements[[#This Row],[Kind:src]]&lt;&gt;"_Function",meta_TypedModelElements[[#This Row],[Type:src]],INDEX(meta_TypedModelElements[Type:src],MATCH(meta_TypedModelElements[[#This Row],[Function - Owning Property:src]],meta_TypedModelElements[ID],0)))</f>
        <v>_String</v>
      </c>
      <c r="AF98" s="5" t="str">
        <f>IF(meta_TypedModelElements[[#This Row],[Type:src]]="","",INDEX(meta_Classifiers[Name],MATCH(meta_TypedModelElements[[#This Row],[Type:src]],meta_Classifiers[ID],0)))</f>
        <v>String</v>
      </c>
      <c r="AG98" s="5" t="s">
        <v>180</v>
      </c>
      <c r="AH98" s="22" t="str">
        <f xml:space="preserve"> IF( TRIM( meta_TypedModelElements[[#This Row],[Type:src]] ) = "", "",
        INDEX( meta_Classifiers[Display Qualified], MATCH( meta_TypedModelElements[[#This Row],[Type:src]], meta_Classifiers[ID], 0 ) ) )</f>
        <v>String</v>
      </c>
      <c r="AI98" s="22" t="s">
        <v>19</v>
      </c>
      <c r="AJ98" s="22" t="s">
        <v>232</v>
      </c>
      <c r="AK98" s="8"/>
      <c r="AL98" s="22" t="str">
        <f xml:space="preserve"> IF( TRIM( meta_TypedModelElements[[#This Row],[Reference - Opposite:src]] ) = "", "",
        INDEX( meta_TypedModelElements[Display Qualified], MATCH( meta_TypedModelElements[[#This Row],[Reference - Opposite:src]], meta_TypedModelElements[ID], 0 ) ) )</f>
        <v/>
      </c>
      <c r="AM98" s="8"/>
      <c r="AN9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8" s="22"/>
      <c r="AP98"/>
      <c r="AQ98" s="22" t="str">
        <f xml:space="preserve"> IF( TRIM( meta_TypedModelElements[[#This Row],[Function - Owning Property:src]] ) = "", "",
        INDEX( meta_TypedModelElements[Display Qualified], MATCH( meta_TypedModelElements[[#This Row],[Function - Owning Property:src]], meta_TypedModelElements[ID], 0 ) ) )</f>
        <v/>
      </c>
      <c r="AT98" s="22" t="str">
        <f>IF(meta_TypedModelElements[[#This Row],[Parameter - Owning Function:src]]="","",INDEX(meta_TypedModelElements[Display Qualified],MATCH(meta_TypedModelElements[[#This Row],[Parameter - Owning Function:src]],meta_TypedModelElements[ID],0)))</f>
        <v/>
      </c>
      <c r="AV98" s="89"/>
      <c r="AW9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8" s="5" t="str">
        <f>"[@["&amp;meta_TypedModelElements[[#This Row],[Name or Type]]&amp;":src]]"</f>
        <v>[@[Trading Symbol:src]]</v>
      </c>
      <c r="AY9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8" s="40"/>
      <c r="BC98" s="40" t="str">
        <f>IF(meta_TypedModelElements[[#This Row],[Kind:src]]="_Parameter","",IF(AND(meta_TypedModelElements[[#This Row],[Package]]="util",meta_TypedModelElements[[#This Row],[Containing Class]]=0), "public", "method"))</f>
        <v>method</v>
      </c>
      <c r="BD98" s="40"/>
      <c r="BE9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8" s="40"/>
      <c r="BK98" s="5"/>
    </row>
    <row r="99" spans="1:63">
      <c r="A99" s="5" t="s">
        <v>681</v>
      </c>
      <c r="B99" s="5" t="s">
        <v>168</v>
      </c>
      <c r="C99" s="22" t="str">
        <f xml:space="preserve"> IF( TRIM( meta_TypedModelElements[[#This Row],[Kind:src]] ) = "", "",
        INDEX( meta_Classifiers[Display Qualified], MATCH( meta_TypedModelElements[[#This Row],[Kind:src]], meta_Classifiers[ID], 0 ) ) )</f>
        <v>Attribute</v>
      </c>
      <c r="D99" s="22">
        <v>98</v>
      </c>
      <c r="E99" s="22" t="s">
        <v>660</v>
      </c>
      <c r="F99" s="22"/>
      <c r="G9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9" s="8" t="s">
        <v>698</v>
      </c>
      <c r="J99" s="22" t="str">
        <f xml:space="preserve"> IF( TRIM( meta_TypedModelElements[[#This Row],[Property - Owning Class:src]] ) = "", "",
        INDEX( meta_Classifiers[Display Qualified], MATCH( meta_TypedModelElements[[#This Row],[Property - Owning Class:src]], meta_Classifiers[ID], 0 ) ) )</f>
        <v>finance::Security</v>
      </c>
      <c r="K9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finance::Security.price</v>
      </c>
      <c r="L99" s="5" t="str">
        <f>IF(meta_TypedModelElements[[#This Row],[Kind:src]]="_Function",meta_TypedModelElements[[#This Row],[Display Qualified]],"")</f>
        <v/>
      </c>
      <c r="M99" s="5" t="str">
        <f>IF(meta_TypedModelElements[[#This Row],[Kind:src]]="_Attribute",meta_TypedModelElements[[#This Row],[Display Qualified]],"")</f>
        <v>finance::Security.price</v>
      </c>
      <c r="N99" s="5" t="str">
        <f>IF(meta_TypedModelElements[[#This Row],[Kind:src]]="_Reference",meta_TypedModelElements[[#This Row],[Display Qualified]],"")</f>
        <v/>
      </c>
      <c r="O99" s="5" t="str">
        <f>IF(OR(meta_TypedModelElements[[#This Row],[Kind:src]]="_Attribute",meta_TypedModelElements[[#This Row],[Kind:src]]="_Reference"),meta_TypedModelElements[[#This Row],[Display Qualified]],"")</f>
        <v>finance::Security.price</v>
      </c>
      <c r="P99" s="22"/>
      <c r="Q99" s="22"/>
      <c r="R99" s="5" t="str">
        <f>IF(meta_TypedModelElements[[#This Row],[Containing Class:display]]="","",meta_TypedModelElements[[#This Row],[Containing Class:display]]&amp;".")&amp;meta_TypedModelElements[[#This Row],[Display without Class]]</f>
        <v>Security.price</v>
      </c>
      <c r="S99" s="5" t="str" cm="1">
        <f t="array" ref="S99">_xlfn.IFNA(INDEX(meta_Names[Camel Lower], MATCH(meta_TypedModelElements[[#This Row],[Name or Type]],meta_Names[String],0)),camelCaseLower(meta_TypedModelElements[[#This Row],[Name or Type]]))</f>
        <v>price</v>
      </c>
      <c r="T99" s="5" t="str">
        <f>IF(meta_TypedModelElements[[#This Row],[Name or Type]]="","",meta_TypedModelElements[[#This Row],[Name or Type Camel Case Lower]])&amp;IF(meta_TypedModelElements[[#This Row],[Kind:src]]="_Function","("&amp;meta_TypedModelElements[[#This Row],[Function - Parameters Display]]&amp;")","")</f>
        <v>price</v>
      </c>
      <c r="U9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Price</v>
      </c>
      <c r="V99" s="22" t="s">
        <v>673</v>
      </c>
      <c r="W99" s="5" t="e">
        <f>INDEX(meta_Classifiers[Class - Generalization:src],MATCH(meta_TypedModelElements[[#This Row],[Type Super Type 6]],meta_Classifiers[ID],0))</f>
        <v>#N/A</v>
      </c>
      <c r="X99" s="5" t="e">
        <f>INDEX(meta_Classifiers[Class - Generalization:src],MATCH(meta_TypedModelElements[[#This Row],[Type Super Type 5]],meta_Classifiers[ID],0))</f>
        <v>#N/A</v>
      </c>
      <c r="Y99" s="5" t="e">
        <f>INDEX(meta_Classifiers[Class - Generalization:src],MATCH(meta_TypedModelElements[[#This Row],[Type Super Type 4]],meta_Classifiers[ID],0))</f>
        <v>#N/A</v>
      </c>
      <c r="Z99" s="5" t="e">
        <f>INDEX(meta_Classifiers[Class - Generalization:src],MATCH(meta_TypedModelElements[[#This Row],[Type Super Type 3]],meta_Classifiers[ID],0))</f>
        <v>#N/A</v>
      </c>
      <c r="AA99" s="5" t="e">
        <f>INDEX(meta_Classifiers[Class - Generalization:src],MATCH(meta_TypedModelElements[[#This Row],[Type Super Type 2]],meta_Classifiers[ID],0))</f>
        <v>#N/A</v>
      </c>
      <c r="AB99" s="5" t="e">
        <f>INDEX(meta_Classifiers[Class - Generalization:src],MATCH(meta_TypedModelElements[[#This Row],[Type Super Type 1]],meta_Classifiers[ID],0))</f>
        <v>#N/A</v>
      </c>
      <c r="AC99" s="5" t="str">
        <f>INDEX(meta_Classifiers[Class - Generalization:src],MATCH(meta_TypedModelElements[[#This Row],[Type:src]],meta_Classifiers[ID],0))</f>
        <v/>
      </c>
      <c r="AD99" s="5" t="str">
        <f>IF(meta_TypedModelElements[[#This Row],[Kind:src]]&lt;&gt;"_Function",meta_TypedModelElements[[#This Row],[Type]],INDEX(meta_TypedModelElements[Type],MATCH(meta_TypedModelElements[[#This Row],[Function - Owning Property:src]],meta_TypedModelElements[ID],0)))</f>
        <v>Real</v>
      </c>
      <c r="AE99" s="5" t="str">
        <f>IF(meta_TypedModelElements[[#This Row],[Kind:src]]&lt;&gt;"_Function",meta_TypedModelElements[[#This Row],[Type:src]],INDEX(meta_TypedModelElements[Type:src],MATCH(meta_TypedModelElements[[#This Row],[Function - Owning Property:src]],meta_TypedModelElements[ID],0)))</f>
        <v>_Real</v>
      </c>
      <c r="AF99" s="5" t="str">
        <f>IF(meta_TypedModelElements[[#This Row],[Type:src]]="","",INDEX(meta_Classifiers[Name],MATCH(meta_TypedModelElements[[#This Row],[Type:src]],meta_Classifiers[ID],0)))</f>
        <v>Real</v>
      </c>
      <c r="AG99" s="5" t="s">
        <v>185</v>
      </c>
      <c r="AH99" s="22" t="str">
        <f xml:space="preserve"> IF( TRIM( meta_TypedModelElements[[#This Row],[Type:src]] ) = "", "",
        INDEX( meta_Classifiers[Display Qualified], MATCH( meta_TypedModelElements[[#This Row],[Type:src]], meta_Classifiers[ID], 0 ) ) )</f>
        <v>Real</v>
      </c>
      <c r="AI99" s="22" t="s">
        <v>19</v>
      </c>
      <c r="AJ99" s="22" t="s">
        <v>232</v>
      </c>
      <c r="AK99" s="8"/>
      <c r="AL99" s="22" t="str">
        <f xml:space="preserve"> IF( TRIM( meta_TypedModelElements[[#This Row],[Reference - Opposite:src]] ) = "", "",
        INDEX( meta_TypedModelElements[Display Qualified], MATCH( meta_TypedModelElements[[#This Row],[Reference - Opposite:src]], meta_TypedModelElements[ID], 0 ) ) )</f>
        <v/>
      </c>
      <c r="AM99" s="8"/>
      <c r="AN9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9" s="22"/>
      <c r="AP99"/>
      <c r="AQ99" s="22" t="str">
        <f xml:space="preserve"> IF( TRIM( meta_TypedModelElements[[#This Row],[Function - Owning Property:src]] ) = "", "",
        INDEX( meta_TypedModelElements[Display Qualified], MATCH( meta_TypedModelElements[[#This Row],[Function - Owning Property:src]], meta_TypedModelElements[ID], 0 ) ) )</f>
        <v/>
      </c>
      <c r="AT99" s="22" t="str">
        <f>IF(meta_TypedModelElements[[#This Row],[Parameter - Owning Function:src]]="","",INDEX(meta_TypedModelElements[Display Qualified],MATCH(meta_TypedModelElements[[#This Row],[Parameter - Owning Function:src]],meta_TypedModelElements[ID],0)))</f>
        <v/>
      </c>
      <c r="AV99" s="89"/>
      <c r="AW9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9" s="5" t="str">
        <f>"[@["&amp;meta_TypedModelElements[[#This Row],[Name or Type]]&amp;":src]]"</f>
        <v>[@[Price:src]]</v>
      </c>
      <c r="AY9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9" s="40"/>
      <c r="BC99" s="40" t="str">
        <f>IF(meta_TypedModelElements[[#This Row],[Kind:src]]="_Parameter","",IF(AND(meta_TypedModelElements[[#This Row],[Package]]="util",meta_TypedModelElements[[#This Row],[Containing Class]]=0), "public", "method"))</f>
        <v>method</v>
      </c>
      <c r="BD99" s="40"/>
      <c r="BE9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9" s="40"/>
      <c r="BK99" s="5"/>
    </row>
    <row r="100" spans="1:63">
      <c r="A100" s="70" t="s">
        <v>753</v>
      </c>
      <c r="B100" s="5" t="s">
        <v>168</v>
      </c>
      <c r="C100" s="22" t="str">
        <f xml:space="preserve"> IF( TRIM( meta_TypedModelElements[[#This Row],[Kind:src]] ) = "", "",
        INDEX( meta_Classifiers[Display Qualified], MATCH( meta_TypedModelElements[[#This Row],[Kind:src]], meta_Classifiers[ID], 0 ) ) )</f>
        <v>Attribute</v>
      </c>
      <c r="D100" s="22">
        <v>99</v>
      </c>
      <c r="E100" s="22" t="s">
        <v>748</v>
      </c>
      <c r="F100" s="22"/>
      <c r="G10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myxyzpackage::MyXYZ_Object</v>
      </c>
      <c r="H10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MyXYZ_Object</v>
      </c>
      <c r="I100" s="8" t="s">
        <v>750</v>
      </c>
      <c r="J100" s="22" t="str">
        <f xml:space="preserve"> IF( TRIM( meta_TypedModelElements[[#This Row],[Property - Owning Class:src]] ) = "", "",
        INDEX( meta_Classifiers[Display Qualified], MATCH( meta_TypedModelElements[[#This Row],[Property - Owning Class:src]], meta_Classifiers[ID], 0 ) ) )</f>
        <v>myxyzpackage::MyXYZ_Object</v>
      </c>
      <c r="K10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myxyzpackage::MyXYZ_Object.myXYZ_Property</v>
      </c>
      <c r="L100" s="5" t="str">
        <f>IF(meta_TypedModelElements[[#This Row],[Kind:src]]="_Function",meta_TypedModelElements[[#This Row],[Display Qualified]],"")</f>
        <v/>
      </c>
      <c r="M100" s="5" t="str">
        <f>IF(meta_TypedModelElements[[#This Row],[Kind:src]]="_Attribute",meta_TypedModelElements[[#This Row],[Display Qualified]],"")</f>
        <v>myxyzpackage::MyXYZ_Object.myXYZ_Property</v>
      </c>
      <c r="N100" s="5" t="str">
        <f>IF(meta_TypedModelElements[[#This Row],[Kind:src]]="_Reference",meta_TypedModelElements[[#This Row],[Display Qualified]],"")</f>
        <v/>
      </c>
      <c r="O100" s="5" t="str">
        <f>IF(OR(meta_TypedModelElements[[#This Row],[Kind:src]]="_Attribute",meta_TypedModelElements[[#This Row],[Kind:src]]="_Reference"),meta_TypedModelElements[[#This Row],[Display Qualified]],"")</f>
        <v>myxyzpackage::MyXYZ_Object.myXYZ_Property</v>
      </c>
      <c r="P100" s="22"/>
      <c r="Q100" s="22"/>
      <c r="R100" s="5" t="str">
        <f>IF(meta_TypedModelElements[[#This Row],[Containing Class:display]]="","",meta_TypedModelElements[[#This Row],[Containing Class:display]]&amp;".")&amp;meta_TypedModelElements[[#This Row],[Display without Class]]</f>
        <v>MyXYZ_Object.myXYZ_Property</v>
      </c>
      <c r="S100" s="5" t="str" cm="1">
        <f t="array" ref="S100">_xlfn.IFNA(INDEX(meta_Names[Camel Lower], MATCH(meta_TypedModelElements[[#This Row],[Name or Type]],meta_Names[String],0)),camelCaseLower(meta_TypedModelElements[[#This Row],[Name or Type]]))</f>
        <v>myXYZ_Property</v>
      </c>
      <c r="T100" s="5" t="str">
        <f>IF(meta_TypedModelElements[[#This Row],[Name or Type]]="","",meta_TypedModelElements[[#This Row],[Name or Type Camel Case Lower]])&amp;IF(meta_TypedModelElements[[#This Row],[Kind:src]]="_Function","("&amp;meta_TypedModelElements[[#This Row],[Function - Parameters Display]]&amp;")","")</f>
        <v>myXYZ_Property</v>
      </c>
      <c r="U10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My XYZ Property</v>
      </c>
      <c r="V100" s="70" t="s">
        <v>752</v>
      </c>
      <c r="W100" s="5" t="e">
        <f>INDEX(meta_Classifiers[Class - Generalization:src],MATCH(meta_TypedModelElements[[#This Row],[Type Super Type 6]],meta_Classifiers[ID],0))</f>
        <v>#N/A</v>
      </c>
      <c r="X100" s="5" t="e">
        <f>INDEX(meta_Classifiers[Class - Generalization:src],MATCH(meta_TypedModelElements[[#This Row],[Type Super Type 5]],meta_Classifiers[ID],0))</f>
        <v>#N/A</v>
      </c>
      <c r="Y100" s="5" t="e">
        <f>INDEX(meta_Classifiers[Class - Generalization:src],MATCH(meta_TypedModelElements[[#This Row],[Type Super Type 4]],meta_Classifiers[ID],0))</f>
        <v>#N/A</v>
      </c>
      <c r="Z100" s="5" t="e">
        <f>INDEX(meta_Classifiers[Class - Generalization:src],MATCH(meta_TypedModelElements[[#This Row],[Type Super Type 3]],meta_Classifiers[ID],0))</f>
        <v>#N/A</v>
      </c>
      <c r="AA100" s="5" t="e">
        <f>INDEX(meta_Classifiers[Class - Generalization:src],MATCH(meta_TypedModelElements[[#This Row],[Type Super Type 2]],meta_Classifiers[ID],0))</f>
        <v>#N/A</v>
      </c>
      <c r="AB100" s="5" t="e">
        <f>INDEX(meta_Classifiers[Class - Generalization:src],MATCH(meta_TypedModelElements[[#This Row],[Type Super Type 1]],meta_Classifiers[ID],0))</f>
        <v>#N/A</v>
      </c>
      <c r="AC100" s="5" t="str">
        <f>INDEX(meta_Classifiers[Class - Generalization:src],MATCH(meta_TypedModelElements[[#This Row],[Type:src]],meta_Classifiers[ID],0))</f>
        <v/>
      </c>
      <c r="AD100" s="5" t="str">
        <f>IF(meta_TypedModelElements[[#This Row],[Kind:src]]&lt;&gt;"_Function",meta_TypedModelElements[[#This Row],[Type]],INDEX(meta_TypedModelElements[Type],MATCH(meta_TypedModelElements[[#This Row],[Function - Owning Property:src]],meta_TypedModelElements[ID],0)))</f>
        <v>String</v>
      </c>
      <c r="AE100" s="5" t="str">
        <f>IF(meta_TypedModelElements[[#This Row],[Kind:src]]&lt;&gt;"_Function",meta_TypedModelElements[[#This Row],[Type:src]],INDEX(meta_TypedModelElements[Type:src],MATCH(meta_TypedModelElements[[#This Row],[Function - Owning Property:src]],meta_TypedModelElements[ID],0)))</f>
        <v>_String</v>
      </c>
      <c r="AF100" s="5" t="str">
        <f>IF(meta_TypedModelElements[[#This Row],[Type:src]]="","",INDEX(meta_Classifiers[Name],MATCH(meta_TypedModelElements[[#This Row],[Type:src]],meta_Classifiers[ID],0)))</f>
        <v>String</v>
      </c>
      <c r="AG100" s="5" t="s">
        <v>180</v>
      </c>
      <c r="AH100" s="22" t="str">
        <f xml:space="preserve"> IF( TRIM( meta_TypedModelElements[[#This Row],[Type:src]] ) = "", "",
        INDEX( meta_Classifiers[Display Qualified], MATCH( meta_TypedModelElements[[#This Row],[Type:src]], meta_Classifiers[ID], 0 ) ) )</f>
        <v>String</v>
      </c>
      <c r="AI100" s="22" t="s">
        <v>21</v>
      </c>
      <c r="AJ100" s="22" t="s">
        <v>232</v>
      </c>
      <c r="AK100" s="8"/>
      <c r="AL100" s="22" t="str">
        <f xml:space="preserve"> IF( TRIM( meta_TypedModelElements[[#This Row],[Reference - Opposite:src]] ) = "", "",
        INDEX( meta_TypedModelElements[Display Qualified], MATCH( meta_TypedModelElements[[#This Row],[Reference - Opposite:src]], meta_TypedModelElements[ID], 0 ) ) )</f>
        <v/>
      </c>
      <c r="AM100" s="8"/>
      <c r="AN10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0" s="22"/>
      <c r="AP100"/>
      <c r="AQ100" s="22" t="str">
        <f xml:space="preserve"> IF( TRIM( meta_TypedModelElements[[#This Row],[Function - Owning Property:src]] ) = "", "",
        INDEX( meta_TypedModelElements[Display Qualified], MATCH( meta_TypedModelElements[[#This Row],[Function - Owning Property:src]], meta_TypedModelElements[ID], 0 ) ) )</f>
        <v/>
      </c>
      <c r="AT100" s="22" t="str">
        <f>IF(meta_TypedModelElements[[#This Row],[Parameter - Owning Function:src]]="","",INDEX(meta_TypedModelElements[Display Qualified],MATCH(meta_TypedModelElements[[#This Row],[Parameter - Owning Function:src]],meta_TypedModelElements[ID],0)))</f>
        <v/>
      </c>
      <c r="AV100" s="89"/>
      <c r="AW10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0" s="5" t="str">
        <f>"[@["&amp;meta_TypedModelElements[[#This Row],[Name or Type]]&amp;":src]]"</f>
        <v>[@[My XYZ Property:src]]</v>
      </c>
      <c r="AY10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0" s="40"/>
      <c r="BC100" s="40" t="str">
        <f>IF(meta_TypedModelElements[[#This Row],[Kind:src]]="_Parameter","",IF(AND(meta_TypedModelElements[[#This Row],[Package]]="util",meta_TypedModelElements[[#This Row],[Containing Class]]=0), "public", "method"))</f>
        <v>method</v>
      </c>
      <c r="BD100" s="40"/>
      <c r="BE10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0" s="40"/>
      <c r="BK100" s="5"/>
    </row>
  </sheetData>
  <phoneticPr fontId="2" type="noConversion"/>
  <dataValidations count="8">
    <dataValidation type="list" allowBlank="1" showInputMessage="1" showErrorMessage="1" sqref="C2:C100" xr:uid="{99B39FFC-374C-4A52-8389-D32F99C394CD}">
      <formula1>INDIRECT("meta_Classifiers[Display Qualified]")</formula1>
    </dataValidation>
    <dataValidation type="list" allowBlank="1" showInputMessage="1" showErrorMessage="1" sqref="AV2:AV100" xr:uid="{1BFC2017-A5D6-4BC3-9C1C-93BDBF7CA528}">
      <formula1>INDIRECT("meta_TypedModelElements[Display Qualified]")</formula1>
    </dataValidation>
    <dataValidation type="list" allowBlank="1" sqref="AH2:AH100" xr:uid="{48B7CF18-EEBC-4CD3-9BCE-EC0B30D93B91}">
      <formula1>INDIRECT("meta_Classifiers[Display Qualified]")</formula1>
    </dataValidation>
    <dataValidation type="list" allowBlank="1" sqref="J2:J100" xr:uid="{C65D256F-D771-4594-B197-813B7455B161}">
      <formula1>INDIRECT("meta_Classifiers[Class Display Qualified]")</formula1>
    </dataValidation>
    <dataValidation type="list" allowBlank="1" sqref="AL2:AL100" xr:uid="{A3A16A9B-6BE0-43C0-ACEB-EFED4AF7B134}">
      <formula1>INDIRECT("meta_TypedModelElements[Reference Display Qualified]")</formula1>
    </dataValidation>
    <dataValidation type="list" allowBlank="1" showInputMessage="1" showErrorMessage="1" sqref="AQ2:AQ100" xr:uid="{DB903BE7-F37E-404C-BD55-0F9F0C63FFB8}">
      <formula1>INDIRECT("meta_TypedModelElements[Property Display Qualified]")</formula1>
    </dataValidation>
    <dataValidation type="list" allowBlank="1" sqref="AN2:AN100" xr:uid="{9603DDEA-2FF5-495E-BD72-A0D0C06620B5}">
      <formula1>INDIRECT("meta_TypedModelElements[Attribute Display Qualified]")</formula1>
    </dataValidation>
    <dataValidation type="list" allowBlank="1" showInputMessage="1" showErrorMessage="1" sqref="AT2:AT100" xr:uid="{D5A9F497-09AD-47FB-A4ED-8F2472B01A0E}">
      <formula1>INDIRECT("meta_TypedModelElements[Function 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eta_Literals"/>
  <dimension ref="A1:J31"/>
  <sheetViews>
    <sheetView zoomScaleNormal="100" workbookViewId="0">
      <pane ySplit="1" topLeftCell="A2" activePane="bottomLeft" state="frozen"/>
      <selection pane="bottomLeft" activeCell="C2" sqref="C2"/>
    </sheetView>
  </sheetViews>
  <sheetFormatPr defaultColWidth="11.42578125" defaultRowHeight="15" outlineLevelCol="2"/>
  <cols>
    <col min="1" max="1" width="29.42578125" customWidth="1"/>
    <col min="2" max="2" width="29.42578125" customWidth="1" outlineLevel="1"/>
    <col min="3" max="3" width="17.42578125" customWidth="1"/>
    <col min="4" max="4" width="7.85546875" bestFit="1" customWidth="1"/>
    <col min="5" max="5" width="7.85546875" customWidth="1"/>
    <col min="6" max="6" width="33.42578125" hidden="1" customWidth="1" outlineLevel="2"/>
    <col min="7" max="7" width="18" hidden="1" customWidth="1" outlineLevel="1"/>
    <col min="8" max="8" width="24.140625" customWidth="1" collapsed="1"/>
    <col min="9" max="9" width="24.140625" customWidth="1" outlineLevel="1"/>
  </cols>
  <sheetData>
    <row r="1" spans="1:10" ht="66.75">
      <c r="A1" s="15" t="s">
        <v>0</v>
      </c>
      <c r="B1" s="15" t="s">
        <v>230</v>
      </c>
      <c r="C1" s="15" t="s">
        <v>5</v>
      </c>
      <c r="D1" s="15" t="s">
        <v>120</v>
      </c>
      <c r="E1" s="15" t="s">
        <v>461</v>
      </c>
      <c r="F1" s="15" t="s">
        <v>141</v>
      </c>
      <c r="G1" s="15" t="s">
        <v>32</v>
      </c>
      <c r="H1" s="15" t="s">
        <v>1</v>
      </c>
      <c r="I1" s="15" t="s">
        <v>238</v>
      </c>
      <c r="J1" s="15" t="s">
        <v>49</v>
      </c>
    </row>
    <row r="2" spans="1:10">
      <c r="A2" t="s">
        <v>591</v>
      </c>
      <c r="B2" t="s">
        <v>218</v>
      </c>
      <c r="C2" s="24" t="str">
        <f>IF(meta_Literals[[#This Row],[Kind:src]]="","",INDEX(meta_Classifiers[Display Qualified],MATCH(meta_Literals[[#This Row],[Kind:src]],meta_Classifiers[ID],0)))</f>
        <v>RulePartType</v>
      </c>
      <c r="E2" s="24"/>
      <c r="F2" t="str">
        <f>IF(TRIM(meta_Literals[[#This Row],[Package]])="","",TRIM(LOWER(meta_Literals[[#This Row],[Package]]))&amp;"::")&amp;meta_Literals[[#This Row],[Display]]</f>
        <v/>
      </c>
      <c r="G2" t="str">
        <f>TRIM(SUBSTITUTE(meta_Literals[[#This Row],[Name]]," ",""))</f>
        <v/>
      </c>
      <c r="J2"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 spans="1:10">
      <c r="A3" t="s">
        <v>188</v>
      </c>
      <c r="B3" t="s">
        <v>219</v>
      </c>
      <c r="C3" s="24" t="str">
        <f>IF(meta_Literals[[#This Row],[Kind:src]]="","",INDEX(meta_Classifiers[Display Qualified],MATCH(meta_Literals[[#This Row],[Kind:src]],meta_Classifiers[ID],0)))</f>
        <v>RuleBaseOption</v>
      </c>
      <c r="D3" t="s">
        <v>142</v>
      </c>
      <c r="E3" s="24"/>
      <c r="F3" t="str">
        <f>IF(TRIM(meta_Literals[[#This Row],[Package]])="","",TRIM(LOWER(meta_Literals[[#This Row],[Package]]))&amp;"::")&amp;meta_Literals[[#This Row],[Display]]</f>
        <v>meta::CHAIN</v>
      </c>
      <c r="G3" t="str">
        <f>TRIM(SUBSTITUTE(meta_Literals[[#This Row],[Name]]," ",""))</f>
        <v>CHAIN</v>
      </c>
      <c r="H3" s="1" t="s">
        <v>151</v>
      </c>
      <c r="J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4" spans="1:10">
      <c r="A4" t="s">
        <v>189</v>
      </c>
      <c r="B4" t="s">
        <v>218</v>
      </c>
      <c r="C4" s="24" t="str">
        <f>IF(meta_Literals[[#This Row],[Kind:src]]="","",INDEX(meta_Classifiers[Display Qualified],MATCH(meta_Literals[[#This Row],[Kind:src]],meta_Classifiers[ID],0)))</f>
        <v>RulePartType</v>
      </c>
      <c r="D4" t="s">
        <v>142</v>
      </c>
      <c r="E4" s="24"/>
      <c r="F4" t="str">
        <f>IF(TRIM(meta_Literals[[#This Row],[Package]])="","",TRIM(LOWER(meta_Literals[[#This Row],[Package]]))&amp;"::")&amp;meta_Literals[[#This Row],[Display]]</f>
        <v>meta::ARGUMENT</v>
      </c>
      <c r="G4" t="str">
        <f>TRIM(SUBSTITUTE(meta_Literals[[#This Row],[Name]]," ",""))</f>
        <v>ARGUMENT</v>
      </c>
      <c r="H4" s="1" t="s">
        <v>155</v>
      </c>
      <c r="J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5" spans="1:10">
      <c r="A5" t="s">
        <v>190</v>
      </c>
      <c r="B5" t="s">
        <v>218</v>
      </c>
      <c r="C5" s="24" t="str">
        <f>IF(meta_Literals[[#This Row],[Kind:src]]="","",INDEX(meta_Classifiers[Display Qualified],MATCH(meta_Literals[[#This Row],[Kind:src]],meta_Classifiers[ID],0)))</f>
        <v>RulePartType</v>
      </c>
      <c r="D5" t="s">
        <v>142</v>
      </c>
      <c r="E5" s="24"/>
      <c r="F5" t="str">
        <f>IF(TRIM(meta_Literals[[#This Row],[Package]])="","",TRIM(LOWER(meta_Literals[[#This Row],[Package]]))&amp;"::")&amp;meta_Literals[[#This Row],[Display]]</f>
        <v>meta::SUBCHAIN</v>
      </c>
      <c r="G5" t="str">
        <f>TRIM(SUBSTITUTE(meta_Literals[[#This Row],[Name]]," ",""))</f>
        <v>SUBCHAIN</v>
      </c>
      <c r="H5" s="1" t="s">
        <v>156</v>
      </c>
      <c r="J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6" spans="1:10">
      <c r="A6" t="s">
        <v>191</v>
      </c>
      <c r="B6" t="s">
        <v>218</v>
      </c>
      <c r="C6" s="24" t="str">
        <f>IF(meta_Literals[[#This Row],[Kind:src]]="","",INDEX(meta_Classifiers[Display Qualified],MATCH(meta_Literals[[#This Row],[Kind:src]],meta_Classifiers[ID],0)))</f>
        <v>RulePartType</v>
      </c>
      <c r="D6" t="s">
        <v>142</v>
      </c>
      <c r="E6" s="24"/>
      <c r="F6" t="str">
        <f>IF(TRIM(meta_Literals[[#This Row],[Package]])="","",TRIM(LOWER(meta_Literals[[#This Row],[Package]]))&amp;"::")&amp;meta_Literals[[#This Row],[Display]]</f>
        <v>meta::OPERAND</v>
      </c>
      <c r="G6" t="str">
        <f>TRIM(SUBSTITUTE(meta_Literals[[#This Row],[Name]]," ",""))</f>
        <v>OPERAND</v>
      </c>
      <c r="H6" s="1" t="s">
        <v>154</v>
      </c>
      <c r="J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7" spans="1:10">
      <c r="A7" t="s">
        <v>192</v>
      </c>
      <c r="B7" t="s">
        <v>218</v>
      </c>
      <c r="C7" s="24" t="str">
        <f>IF(meta_Literals[[#This Row],[Kind:src]]="","",INDEX(meta_Classifiers[Display Qualified],MATCH(meta_Literals[[#This Row],[Kind:src]],meta_Classifiers[ID],0)))</f>
        <v>RulePartType</v>
      </c>
      <c r="D7" t="s">
        <v>142</v>
      </c>
      <c r="E7" s="24"/>
      <c r="F7" t="str">
        <f>IF(TRIM(meta_Literals[[#This Row],[Package]])="","",TRIM(LOWER(meta_Literals[[#This Row],[Package]]))&amp;"::")&amp;meta_Literals[[#This Row],[Display]]</f>
        <v>meta::IF</v>
      </c>
      <c r="G7" t="str">
        <f>TRIM(SUBSTITUTE(meta_Literals[[#This Row],[Name]]," ",""))</f>
        <v>IF</v>
      </c>
      <c r="H7" s="1" t="s">
        <v>152</v>
      </c>
      <c r="J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8" spans="1:10">
      <c r="A8" t="s">
        <v>193</v>
      </c>
      <c r="B8" t="s">
        <v>218</v>
      </c>
      <c r="C8" s="24" t="str">
        <f>IF(meta_Literals[[#This Row],[Kind:src]]="","",INDEX(meta_Classifiers[Display Qualified],MATCH(meta_Literals[[#This Row],[Kind:src]],meta_Classifiers[ID],0)))</f>
        <v>RulePartType</v>
      </c>
      <c r="D8" t="s">
        <v>142</v>
      </c>
      <c r="E8" s="24"/>
      <c r="F8" t="str">
        <f>IF(TRIM(meta_Literals[[#This Row],[Package]])="","",TRIM(LOWER(meta_Literals[[#This Row],[Package]]))&amp;"::")&amp;meta_Literals[[#This Row],[Display]]</f>
        <v>meta::THEN</v>
      </c>
      <c r="G8" t="str">
        <f>TRIM(SUBSTITUTE(meta_Literals[[#This Row],[Name]]," ",""))</f>
        <v>THEN</v>
      </c>
      <c r="H8" s="1" t="s">
        <v>157</v>
      </c>
      <c r="J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9" spans="1:10">
      <c r="A9" t="s">
        <v>194</v>
      </c>
      <c r="B9" t="s">
        <v>218</v>
      </c>
      <c r="C9" s="24" t="str">
        <f>IF(meta_Literals[[#This Row],[Kind:src]]="","",INDEX(meta_Classifiers[Display Qualified],MATCH(meta_Literals[[#This Row],[Kind:src]],meta_Classifiers[ID],0)))</f>
        <v>RulePartType</v>
      </c>
      <c r="D9" t="s">
        <v>142</v>
      </c>
      <c r="E9" s="24"/>
      <c r="F9" t="str">
        <f>IF(TRIM(meta_Literals[[#This Row],[Package]])="","",TRIM(LOWER(meta_Literals[[#This Row],[Package]]))&amp;"::")&amp;meta_Literals[[#This Row],[Display]]</f>
        <v>meta::ELSE</v>
      </c>
      <c r="G9" t="str">
        <f>TRIM(SUBSTITUTE(meta_Literals[[#This Row],[Name]]," ",""))</f>
        <v>ELSE</v>
      </c>
      <c r="H9" s="1" t="s">
        <v>158</v>
      </c>
      <c r="J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0" spans="1:10">
      <c r="A10" t="s">
        <v>195</v>
      </c>
      <c r="B10" t="s">
        <v>218</v>
      </c>
      <c r="C10" s="24" t="str">
        <f>IF(meta_Literals[[#This Row],[Kind:src]]="","",INDEX(meta_Classifiers[Display Qualified],MATCH(meta_Literals[[#This Row],[Kind:src]],meta_Classifiers[ID],0)))</f>
        <v>RulePartType</v>
      </c>
      <c r="D10" t="s">
        <v>142</v>
      </c>
      <c r="E10" s="24"/>
      <c r="F10" t="str">
        <f>IF(TRIM(meta_Literals[[#This Row],[Package]])="","",TRIM(LOWER(meta_Literals[[#This Row],[Package]]))&amp;"::")&amp;meta_Literals[[#This Row],[Display]]</f>
        <v>meta::ENDIF</v>
      </c>
      <c r="G10" t="str">
        <f>TRIM(SUBSTITUTE(meta_Literals[[#This Row],[Name]]," ",""))</f>
        <v>ENDIF</v>
      </c>
      <c r="H10" s="1" t="s">
        <v>153</v>
      </c>
      <c r="J1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1" spans="1:10">
      <c r="A11" t="s">
        <v>196</v>
      </c>
      <c r="B11" t="s">
        <v>218</v>
      </c>
      <c r="C11" s="24" t="str">
        <f>IF(meta_Literals[[#This Row],[Kind:src]]="","",INDEX(meta_Classifiers[Display Qualified],MATCH(meta_Literals[[#This Row],[Kind:src]],meta_Classifiers[ID],0)))</f>
        <v>RulePartType</v>
      </c>
      <c r="D11" t="s">
        <v>142</v>
      </c>
      <c r="E11" s="24"/>
      <c r="F11" t="str">
        <f>IF(TRIM(meta_Literals[[#This Row],[Package]])="","",TRIM(LOWER(meta_Literals[[#This Row],[Package]]))&amp;"::")&amp;meta_Literals[[#This Row],[Display]]</f>
        <v>meta::COLLECTOR</v>
      </c>
      <c r="G11" t="str">
        <f>TRIM(SUBSTITUTE(meta_Literals[[#This Row],[Name]]," ",""))</f>
        <v>COLLECTOR</v>
      </c>
      <c r="H11" s="1" t="s">
        <v>159</v>
      </c>
      <c r="J1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2" spans="1:10">
      <c r="A12" t="s">
        <v>197</v>
      </c>
      <c r="B12" t="s">
        <v>219</v>
      </c>
      <c r="C12" s="24" t="str">
        <f>IF(meta_Literals[[#This Row],[Kind:src]]="","",INDEX(meta_Classifiers[Display Qualified],MATCH(meta_Literals[[#This Row],[Kind:src]],meta_Classifiers[ID],0)))</f>
        <v>RuleBaseOption</v>
      </c>
      <c r="D12" t="s">
        <v>142</v>
      </c>
      <c r="E12" s="24"/>
      <c r="F12" t="str">
        <f>IF(TRIM(meta_Literals[[#This Row],[Package]])="","",TRIM(LOWER(meta_Literals[[#This Row],[Package]]))&amp;"::")&amp;meta_Literals[[#This Row],[Display]]</f>
        <v>meta::self</v>
      </c>
      <c r="G12" t="str">
        <f>TRIM(SUBSTITUTE(meta_Literals[[#This Row],[Name]]," ",""))</f>
        <v>self</v>
      </c>
      <c r="H12" s="1" t="s">
        <v>39</v>
      </c>
      <c r="J1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3" spans="1:10">
      <c r="A13" t="s">
        <v>198</v>
      </c>
      <c r="B13" t="s">
        <v>219</v>
      </c>
      <c r="C13" s="24" t="str">
        <f>IF(meta_Literals[[#This Row],[Kind:src]]="","",INDEX(meta_Classifiers[Display Qualified],MATCH(meta_Literals[[#This Row],[Kind:src]],meta_Classifiers[ID],0)))</f>
        <v>RuleBaseOption</v>
      </c>
      <c r="D13" t="s">
        <v>142</v>
      </c>
      <c r="E13" s="24"/>
      <c r="F13" t="str">
        <f>IF(TRIM(meta_Literals[[#This Row],[Package]])="","",TRIM(LOWER(meta_Literals[[#This Row],[Package]]))&amp;"::")&amp;meta_Literals[[#This Row],[Display]]</f>
        <v>meta::super</v>
      </c>
      <c r="G13" t="str">
        <f>TRIM(SUBSTITUTE(meta_Literals[[#This Row],[Name]]," ",""))</f>
        <v>super</v>
      </c>
      <c r="H13" s="1" t="s">
        <v>40</v>
      </c>
      <c r="J1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4" spans="1:10">
      <c r="A14" t="s">
        <v>199</v>
      </c>
      <c r="B14" t="s">
        <v>219</v>
      </c>
      <c r="C14" s="24" t="str">
        <f>IF(meta_Literals[[#This Row],[Kind:src]]="","",INDEX(meta_Classifiers[Display Qualified],MATCH(meta_Literals[[#This Row],[Kind:src]],meta_Classifiers[ID],0)))</f>
        <v>RuleBaseOption</v>
      </c>
      <c r="D14" t="s">
        <v>142</v>
      </c>
      <c r="E14" s="24"/>
      <c r="F14" t="str">
        <f>IF(TRIM(meta_Literals[[#This Row],[Package]])="","",TRIM(LOWER(meta_Literals[[#This Row],[Package]]))&amp;"::")&amp;meta_Literals[[#This Row],[Display]]</f>
        <v>meta::trg</v>
      </c>
      <c r="G14" t="str">
        <f>TRIM(SUBSTITUTE(meta_Literals[[#This Row],[Name]]," ",""))</f>
        <v>trg</v>
      </c>
      <c r="H14" s="1" t="s">
        <v>41</v>
      </c>
      <c r="J1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5" spans="1:10">
      <c r="A15" t="s">
        <v>200</v>
      </c>
      <c r="B15" t="s">
        <v>219</v>
      </c>
      <c r="C15" s="24" t="str">
        <f>IF(meta_Literals[[#This Row],[Kind:src]]="","",INDEX(meta_Classifiers[Display Qualified],MATCH(meta_Literals[[#This Row],[Kind:src]],meta_Classifiers[ID],0)))</f>
        <v>RuleBaseOption</v>
      </c>
      <c r="D15" t="s">
        <v>142</v>
      </c>
      <c r="E15" s="24"/>
      <c r="F15" t="str">
        <f>IF(TRIM(meta_Literals[[#This Row],[Package]])="","",TRIM(LOWER(meta_Literals[[#This Row],[Package]]))&amp;"::")&amp;meta_Literals[[#This Row],[Display]]</f>
        <v>meta::src</v>
      </c>
      <c r="G15" t="str">
        <f>TRIM(SUBSTITUTE(meta_Literals[[#This Row],[Name]]," ",""))</f>
        <v>src</v>
      </c>
      <c r="H15" s="1" t="s">
        <v>42</v>
      </c>
      <c r="J1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6" spans="1:10">
      <c r="A16" t="s">
        <v>201</v>
      </c>
      <c r="B16" t="s">
        <v>219</v>
      </c>
      <c r="C16" s="24" t="str">
        <f>IF(meta_Literals[[#This Row],[Kind:src]]="","",INDEX(meta_Classifiers[Display Qualified],MATCH(meta_Literals[[#This Row],[Kind:src]],meta_Classifiers[ID],0)))</f>
        <v>RuleBaseOption</v>
      </c>
      <c r="D16" t="s">
        <v>142</v>
      </c>
      <c r="E16" s="24"/>
      <c r="F16" t="str">
        <f>IF(TRIM(meta_Literals[[#This Row],[Package]])="","",TRIM(LOWER(meta_Literals[[#This Row],[Package]]))&amp;"::")&amp;meta_Literals[[#This Row],[Display]]</f>
        <v>meta::obj</v>
      </c>
      <c r="G16" t="str">
        <f>TRIM(SUBSTITUTE(meta_Literals[[#This Row],[Name]]," ",""))</f>
        <v>obj</v>
      </c>
      <c r="H16" s="1" t="s">
        <v>43</v>
      </c>
      <c r="J1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7" spans="1:10">
      <c r="A17" t="s">
        <v>202</v>
      </c>
      <c r="B17" t="s">
        <v>219</v>
      </c>
      <c r="C17" s="24" t="str">
        <f>IF(meta_Literals[[#This Row],[Kind:src]]="","",INDEX(meta_Classifiers[Display Qualified],MATCH(meta_Literals[[#This Row],[Kind:src]],meta_Classifiers[ID],0)))</f>
        <v>RuleBaseOption</v>
      </c>
      <c r="D17" t="s">
        <v>142</v>
      </c>
      <c r="E17" s="24"/>
      <c r="F17" t="str">
        <f>IF(TRIM(meta_Literals[[#This Row],[Package]])="","",TRIM(LOWER(meta_Literals[[#This Row],[Package]]))&amp;"::")&amp;meta_Literals[[#This Row],[Display]]</f>
        <v>meta::allInstances</v>
      </c>
      <c r="G17" t="str">
        <f>TRIM(SUBSTITUTE(meta_Literals[[#This Row],[Name]]," ",""))</f>
        <v>allInstances</v>
      </c>
      <c r="H17" s="1" t="s">
        <v>82</v>
      </c>
      <c r="J1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8" spans="1:10">
      <c r="A18" t="s">
        <v>203</v>
      </c>
      <c r="B18" t="s">
        <v>214</v>
      </c>
      <c r="C18" s="24" t="str">
        <f>IF(meta_Literals[[#This Row],[Kind:src]]="","",INDEX(meta_Classifiers[Display Qualified],MATCH(meta_Literals[[#This Row],[Kind:src]],meta_Classifiers[ID],0)))</f>
        <v>Arity</v>
      </c>
      <c r="D18" t="s">
        <v>142</v>
      </c>
      <c r="E18" s="24"/>
      <c r="F18" t="str">
        <f>IF(TRIM(meta_Literals[[#This Row],[Package]])="","",TRIM(LOWER(meta_Literals[[#This Row],[Package]]))&amp;"::")&amp;meta_Literals[[#This Row],[Display]]</f>
        <v>meta::0..1</v>
      </c>
      <c r="G18" t="str">
        <f>TRIM(SUBSTITUTE(meta_Literals[[#This Row],[Name]]," ",""))</f>
        <v>0..1</v>
      </c>
      <c r="H18" s="1" t="s">
        <v>21</v>
      </c>
      <c r="J1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9" spans="1:10">
      <c r="A19" t="s">
        <v>204</v>
      </c>
      <c r="B19" t="s">
        <v>214</v>
      </c>
      <c r="C19" s="24" t="str">
        <f>IF(meta_Literals[[#This Row],[Kind:src]]="","",INDEX(meta_Classifiers[Display Qualified],MATCH(meta_Literals[[#This Row],[Kind:src]],meta_Classifiers[ID],0)))</f>
        <v>Arity</v>
      </c>
      <c r="D19" t="s">
        <v>142</v>
      </c>
      <c r="E19" s="24"/>
      <c r="F19" t="str">
        <f>IF(TRIM(meta_Literals[[#This Row],[Package]])="","",TRIM(LOWER(meta_Literals[[#This Row],[Package]]))&amp;"::")&amp;meta_Literals[[#This Row],[Display]]</f>
        <v>meta::1..1</v>
      </c>
      <c r="G19" t="str">
        <f>TRIM(SUBSTITUTE(meta_Literals[[#This Row],[Name]]," ",""))</f>
        <v>1..1</v>
      </c>
      <c r="H19" s="1" t="s">
        <v>19</v>
      </c>
      <c r="J1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0" spans="1:10">
      <c r="A20" t="s">
        <v>205</v>
      </c>
      <c r="B20" t="s">
        <v>214</v>
      </c>
      <c r="C20" s="24" t="str">
        <f>IF(meta_Literals[[#This Row],[Kind:src]]="","",INDEX(meta_Classifiers[Display Qualified],MATCH(meta_Literals[[#This Row],[Kind:src]],meta_Classifiers[ID],0)))</f>
        <v>Arity</v>
      </c>
      <c r="D20" t="s">
        <v>142</v>
      </c>
      <c r="E20" s="24"/>
      <c r="F20" t="str">
        <f>IF(TRIM(meta_Literals[[#This Row],[Package]])="","",TRIM(LOWER(meta_Literals[[#This Row],[Package]]))&amp;"::")&amp;meta_Literals[[#This Row],[Display]]</f>
        <v>meta::0..*</v>
      </c>
      <c r="G20" t="str">
        <f>TRIM(SUBSTITUTE(meta_Literals[[#This Row],[Name]]," ",""))</f>
        <v>0..*</v>
      </c>
      <c r="H20" s="1" t="s">
        <v>22</v>
      </c>
      <c r="J2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1" spans="1:10">
      <c r="A21" t="s">
        <v>206</v>
      </c>
      <c r="B21" t="s">
        <v>214</v>
      </c>
      <c r="C21" s="24" t="str">
        <f>IF(meta_Literals[[#This Row],[Kind:src]]="","",INDEX(meta_Classifiers[Display Qualified],MATCH(meta_Literals[[#This Row],[Kind:src]],meta_Classifiers[ID],0)))</f>
        <v>Arity</v>
      </c>
      <c r="D21" t="s">
        <v>142</v>
      </c>
      <c r="E21" s="24"/>
      <c r="F21" t="str">
        <f>IF(TRIM(meta_Literals[[#This Row],[Package]])="","",TRIM(LOWER(meta_Literals[[#This Row],[Package]]))&amp;"::")&amp;meta_Literals[[#This Row],[Display]]</f>
        <v>meta::1..*</v>
      </c>
      <c r="G21" t="str">
        <f>TRIM(SUBSTITUTE(meta_Literals[[#This Row],[Name]]," ",""))</f>
        <v>1..*</v>
      </c>
      <c r="H21" s="1" t="s">
        <v>50</v>
      </c>
      <c r="J2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2" spans="1:10">
      <c r="A22" t="s">
        <v>207</v>
      </c>
      <c r="B22" t="s">
        <v>221</v>
      </c>
      <c r="C22" s="24" t="str">
        <f>IF(meta_Literals[[#This Row],[Kind:src]]="","",INDEX(meta_Classifiers[Display Qualified],MATCH(meta_Literals[[#This Row],[Kind:src]],meta_Classifiers[ID],0)))</f>
        <v>Operator</v>
      </c>
      <c r="D22" t="s">
        <v>142</v>
      </c>
      <c r="E22" s="24"/>
      <c r="F22" t="str">
        <f>IF(TRIM(meta_Literals[[#This Row],[Package]])="","",TRIM(LOWER(meta_Literals[[#This Row],[Package]]))&amp;"::")&amp;meta_Literals[[#This Row],[Display]]</f>
        <v>meta::Union</v>
      </c>
      <c r="G22" t="str">
        <f>TRIM(SUBSTITUTE(meta_Literals[[#This Row],[Name]]," ",""))</f>
        <v>Union</v>
      </c>
      <c r="H22" s="1" t="s">
        <v>79</v>
      </c>
      <c r="J2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3" spans="1:10">
      <c r="A23" t="s">
        <v>208</v>
      </c>
      <c r="B23" t="s">
        <v>221</v>
      </c>
      <c r="C23" s="24" t="str">
        <f>IF(meta_Literals[[#This Row],[Kind:src]]="","",INDEX(meta_Classifiers[Display Qualified],MATCH(meta_Literals[[#This Row],[Kind:src]],meta_Classifiers[ID],0)))</f>
        <v>Operator</v>
      </c>
      <c r="D23" t="s">
        <v>142</v>
      </c>
      <c r="E23" s="24"/>
      <c r="F23" t="str">
        <f>IF(TRIM(meta_Literals[[#This Row],[Package]])="","",TRIM(LOWER(meta_Literals[[#This Row],[Package]]))&amp;"::")&amp;meta_Literals[[#This Row],[Display]]</f>
        <v>meta::&amp;</v>
      </c>
      <c r="G23" t="str">
        <f>TRIM(SUBSTITUTE(meta_Literals[[#This Row],[Name]]," ",""))</f>
        <v>&amp;</v>
      </c>
      <c r="H23" s="1" t="s">
        <v>134</v>
      </c>
      <c r="J2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4" spans="1:10">
      <c r="A24" t="s">
        <v>209</v>
      </c>
      <c r="B24" t="s">
        <v>221</v>
      </c>
      <c r="C24" s="24" t="str">
        <f>IF(meta_Literals[[#This Row],[Kind:src]]="","",INDEX(meta_Classifiers[Display Qualified],MATCH(meta_Literals[[#This Row],[Kind:src]],meta_Classifiers[ID],0)))</f>
        <v>Operator</v>
      </c>
      <c r="D24" t="s">
        <v>142</v>
      </c>
      <c r="E24" s="24"/>
      <c r="F24" t="str">
        <f>IF(TRIM(meta_Literals[[#This Row],[Package]])="","",TRIM(LOWER(meta_Literals[[#This Row],[Package]]))&amp;"::")&amp;meta_Literals[[#This Row],[Display]]</f>
        <v>meta::&lt;&gt;</v>
      </c>
      <c r="G24" t="str">
        <f>TRIM(SUBSTITUTE(meta_Literals[[#This Row],[Name]]," ",""))</f>
        <v>&lt;&gt;</v>
      </c>
      <c r="H24" s="1" t="s">
        <v>135</v>
      </c>
      <c r="J2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5" spans="1:10">
      <c r="A25" t="s">
        <v>139</v>
      </c>
      <c r="B25" t="s">
        <v>222</v>
      </c>
      <c r="C25" s="24" t="str">
        <f>IF(meta_Literals[[#This Row],[Kind:src]]="","",INDEX(meta_Classifiers[Display Qualified],MATCH(meta_Literals[[#This Row],[Kind:src]],meta_Classifiers[ID],0)))</f>
        <v>Processor</v>
      </c>
      <c r="D25" t="s">
        <v>142</v>
      </c>
      <c r="E25" s="24"/>
      <c r="F25" t="str">
        <f>IF(TRIM(meta_Literals[[#This Row],[Package]])="","",TRIM(LOWER(meta_Literals[[#This Row],[Package]]))&amp;"::")&amp;meta_Literals[[#This Row],[Display]]</f>
        <v>meta::.excludes(trg)</v>
      </c>
      <c r="G25" t="str">
        <f>TRIM(SUBSTITUTE(meta_Literals[[#This Row],[Name]]," ",""))</f>
        <v>.excludes(trg)</v>
      </c>
      <c r="H25" s="1" t="s">
        <v>226</v>
      </c>
      <c r="J2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6" spans="1:10">
      <c r="A26" t="s">
        <v>80</v>
      </c>
      <c r="B26" t="s">
        <v>222</v>
      </c>
      <c r="C26" s="24" t="str">
        <f>IF(meta_Literals[[#This Row],[Kind:src]]="","",INDEX(meta_Classifiers[Display Qualified],MATCH(meta_Literals[[#This Row],[Kind:src]],meta_Classifiers[ID],0)))</f>
        <v>Processor</v>
      </c>
      <c r="D26" t="s">
        <v>142</v>
      </c>
      <c r="E26" s="24"/>
      <c r="F26" t="str">
        <f>IF(TRIM(meta_Literals[[#This Row],[Package]])="","",TRIM(LOWER(meta_Literals[[#This Row],[Package]]))&amp;"::")&amp;meta_Literals[[#This Row],[Display]]</f>
        <v>meta::unionself</v>
      </c>
      <c r="G26" t="str">
        <f>TRIM(SUBSTITUTE(meta_Literals[[#This Row],[Name]]," ",""))</f>
        <v>unionself</v>
      </c>
      <c r="H26" s="1" t="s">
        <v>80</v>
      </c>
      <c r="J2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7" spans="1:10">
      <c r="A27" t="s">
        <v>605</v>
      </c>
      <c r="B27" t="s">
        <v>222</v>
      </c>
      <c r="C27" s="24" t="str">
        <f>IF(meta_Literals[[#This Row],[Kind:src]]="","",INDEX(meta_Classifiers[Display Qualified],MATCH(meta_Literals[[#This Row],[Kind:src]],meta_Classifiers[ID],0)))</f>
        <v>Processor</v>
      </c>
      <c r="D27" t="s">
        <v>142</v>
      </c>
      <c r="E27" s="24"/>
      <c r="F27" t="str">
        <f>IF(TRIM(meta_Literals[[#This Row],[Package]])="","",TRIM(LOWER(meta_Literals[[#This Row],[Package]]))&amp;"::")&amp;meta_Literals[[#This Row],[Display]]</f>
        <v>meta::=self</v>
      </c>
      <c r="G27" t="str">
        <f>TRIM(SUBSTITUTE(meta_Literals[[#This Row],[Name]]," ",""))</f>
        <v>=self</v>
      </c>
      <c r="H27" s="119" t="s">
        <v>1558</v>
      </c>
      <c r="J2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8" spans="1:10">
      <c r="A28" t="s">
        <v>607</v>
      </c>
      <c r="B28" t="s">
        <v>222</v>
      </c>
      <c r="C28" s="24" t="str">
        <f>IF(meta_Literals[[#This Row],[Kind:src]]="","",INDEX(meta_Classifiers[Display Qualified],MATCH(meta_Literals[[#This Row],[Kind:src]],meta_Classifiers[ID],0)))</f>
        <v>Processor</v>
      </c>
      <c r="D28" t="s">
        <v>142</v>
      </c>
      <c r="E28" s="24"/>
      <c r="F28" t="str">
        <f>IF(TRIM(meta_Literals[[#This Row],[Package]])="","",TRIM(LOWER(meta_Literals[[#This Row],[Package]]))&amp;"::")&amp;meta_Literals[[#This Row],[Display]]</f>
        <v>meta::internalID()</v>
      </c>
      <c r="G28" t="str">
        <f>TRIM(SUBSTITUTE(meta_Literals[[#This Row],[Name]]," ",""))</f>
        <v>internalID()</v>
      </c>
      <c r="H28" s="1" t="s">
        <v>227</v>
      </c>
      <c r="J2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9" spans="1:10">
      <c r="A29" t="s">
        <v>606</v>
      </c>
      <c r="B29" t="s">
        <v>222</v>
      </c>
      <c r="C29" s="24" t="str">
        <f>IF(meta_Literals[[#This Row],[Kind:src]]="","",INDEX(meta_Classifiers[Display Qualified],MATCH(meta_Literals[[#This Row],[Kind:src]],meta_Classifiers[ID],0)))</f>
        <v>Processor</v>
      </c>
      <c r="D29" t="s">
        <v>142</v>
      </c>
      <c r="E29" s="24"/>
      <c r="F29" t="str">
        <f>IF(TRIM(meta_Literals[[#This Row],[Package]])="","",TRIM(LOWER(meta_Literals[[#This Row],[Package]]))&amp;"::")&amp;meta_Literals[[#This Row],[Display]]</f>
        <v>meta::=null</v>
      </c>
      <c r="G29" t="str">
        <f>TRIM(SUBSTITUTE(meta_Literals[[#This Row],[Name]]," ",""))</f>
        <v>=null</v>
      </c>
      <c r="H29" s="119" t="s">
        <v>1559</v>
      </c>
      <c r="J2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0" spans="1:10">
      <c r="A30" t="s">
        <v>608</v>
      </c>
      <c r="B30" t="s">
        <v>222</v>
      </c>
      <c r="C30" s="24" t="str">
        <f>IF(meta_Literals[[#This Row],[Kind:src]]="","",INDEX(meta_Classifiers[Display Qualified],MATCH(meta_Literals[[#This Row],[Kind:src]],meta_Classifiers[ID],0)))</f>
        <v>Processor</v>
      </c>
      <c r="D30" t="s">
        <v>142</v>
      </c>
      <c r="E30" s="24"/>
      <c r="F30" t="str">
        <f>IF(TRIM(meta_Literals[[#This Row],[Package]])="","",TRIM(LOWER(meta_Literals[[#This Row],[Package]]))&amp;"::")&amp;meta_Literals[[#This Row],[Display]]</f>
        <v>meta::="_"</v>
      </c>
      <c r="G30" t="str">
        <f>TRIM(SUBSTITUTE(meta_Literals[[#This Row],[Name]]," ",""))</f>
        <v>="_"</v>
      </c>
      <c r="H30" s="1" t="s">
        <v>228</v>
      </c>
      <c r="J3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1" spans="1:10">
      <c r="A31" t="s">
        <v>609</v>
      </c>
      <c r="B31" t="s">
        <v>222</v>
      </c>
      <c r="C31" s="24" t="str">
        <f>IF(meta_Literals[[#This Row],[Kind:src]]="","",INDEX(meta_Classifiers[Display Qualified],MATCH(meta_Literals[[#This Row],[Kind:src]],meta_Classifiers[ID],0)))</f>
        <v>Processor</v>
      </c>
      <c r="D31" t="s">
        <v>142</v>
      </c>
      <c r="E31" s="24"/>
      <c r="F31" t="str">
        <f>IF(TRIM(meta_Literals[[#This Row],[Package]])="","",TRIM(LOWER(meta_Literals[[#This Row],[Package]]))&amp;"::")&amp;meta_Literals[[#This Row],[Display]]</f>
        <v>meta::.left(1)</v>
      </c>
      <c r="G31" t="str">
        <f>TRIM(SUBSTITUTE(meta_Literals[[#This Row],[Name]]," ",""))</f>
        <v>.left(1)</v>
      </c>
      <c r="H31" s="1" t="s">
        <v>225</v>
      </c>
      <c r="J3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sheetData>
  <dataValidations count="1">
    <dataValidation type="list" allowBlank="1" sqref="C2:C31" xr:uid="{12A98D22-0555-4303-99BA-453823096B46}">
      <formula1>INDIRECT("meta_Classifiers[Class Display Qualified]")</formula1>
    </dataValidation>
  </dataValidations>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eta_Rules">
    <tabColor rgb="FF0070C0"/>
  </sheetPr>
  <dimension ref="A1:DD5"/>
  <sheetViews>
    <sheetView zoomScale="80" zoomScaleNormal="80" workbookViewId="0">
      <selection activeCell="C2" sqref="C2"/>
    </sheetView>
  </sheetViews>
  <sheetFormatPr defaultColWidth="11" defaultRowHeight="15" outlineLevelCol="5"/>
  <cols>
    <col min="1" max="1" width="5.140625" style="5" customWidth="1" outlineLevel="1"/>
    <col min="2" max="2" width="27.85546875" style="5" customWidth="1" outlineLevel="2"/>
    <col min="3" max="3" width="19" style="5" customWidth="1" outlineLevel="1"/>
    <col min="4" max="5" width="6.85546875" style="5" customWidth="1" outlineLevel="1"/>
    <col min="6" max="6" width="7.42578125" style="5" customWidth="1" outlineLevel="4"/>
    <col min="7" max="7" width="7.42578125" style="5" customWidth="1" outlineLevel="3"/>
    <col min="8" max="8" width="7.42578125" style="5" customWidth="1" outlineLevel="4"/>
    <col min="9" max="9" width="7.42578125" style="5" customWidth="1" outlineLevel="3"/>
    <col min="10" max="10" width="13.42578125" style="5" customWidth="1" outlineLevel="4"/>
    <col min="11" max="11" width="7.85546875" style="5" customWidth="1" outlineLevel="3"/>
    <col min="12" max="12" width="21.42578125" style="5" customWidth="1" outlineLevel="4"/>
    <col min="13" max="13" width="16" style="5" customWidth="1" outlineLevel="3"/>
    <col min="14" max="14" width="21.42578125" style="5" customWidth="1" outlineLevel="4"/>
    <col min="15" max="15" width="16" style="5" customWidth="1" outlineLevel="3"/>
    <col min="16" max="16" width="21.42578125" style="5" customWidth="1" outlineLevel="4"/>
    <col min="17" max="17" width="16" style="5" customWidth="1" outlineLevel="3"/>
    <col min="18" max="18" width="21.42578125" style="5" customWidth="1" outlineLevel="3"/>
    <col min="19" max="19" width="16" style="5" customWidth="1" outlineLevel="2"/>
    <col min="20" max="20" width="9.42578125" style="5" customWidth="1" outlineLevel="1"/>
    <col min="21" max="22" width="19.42578125" style="5" hidden="1" customWidth="1" outlineLevel="3"/>
    <col min="23" max="23" width="44.42578125" style="5" hidden="1" customWidth="1" outlineLevel="2"/>
    <col min="24" max="24" width="32" style="5" customWidth="1" outlineLevel="1" collapsed="1"/>
    <col min="25" max="27" width="32" style="5" customWidth="1" outlineLevel="2"/>
    <col min="28" max="28" width="32" style="5" customWidth="1" outlineLevel="1"/>
    <col min="29" max="29" width="5.42578125" style="5" customWidth="1"/>
    <col min="30" max="30" width="25.42578125" style="5" customWidth="1" outlineLevel="3"/>
    <col min="31" max="31" width="52.42578125" style="5" customWidth="1" outlineLevel="3"/>
    <col min="32" max="32" width="24.42578125" style="5" customWidth="1" outlineLevel="3"/>
    <col min="33" max="33" width="46.42578125" style="5" customWidth="1"/>
    <col min="34" max="34" width="10.42578125" style="5" customWidth="1"/>
    <col min="35" max="35" width="65.42578125" customWidth="1"/>
    <col min="36" max="36" width="11" customWidth="1" outlineLevel="1"/>
    <col min="37" max="37" width="27.85546875" style="14" customWidth="1" outlineLevel="1"/>
    <col min="38" max="38" width="18.42578125" style="14" customWidth="1" outlineLevel="1"/>
    <col min="39" max="39" width="13.85546875" style="14" customWidth="1" outlineLevel="1"/>
    <col min="40" max="40" width="20.42578125" style="14" customWidth="1" outlineLevel="1"/>
    <col min="41" max="41" width="5.42578125" style="14" customWidth="1"/>
    <col min="42" max="42" width="10.42578125" style="14" customWidth="1" outlineLevel="1"/>
    <col min="43" max="43" width="7.85546875" style="14" hidden="1" customWidth="1" outlineLevel="3"/>
    <col min="44" max="44" width="11" hidden="1" customWidth="1" outlineLevel="2"/>
    <col min="45" max="45" width="11" hidden="1" customWidth="1" outlineLevel="3"/>
    <col min="46" max="46" width="11" hidden="1" customWidth="1" outlineLevel="2"/>
    <col min="47" max="47" width="11" hidden="1" customWidth="1" outlineLevel="3"/>
    <col min="48" max="48" width="11" hidden="1" customWidth="1" outlineLevel="2"/>
    <col min="49" max="49" width="11" hidden="1" customWidth="1" outlineLevel="3"/>
    <col min="50" max="50" width="11" hidden="1" customWidth="1" outlineLevel="2"/>
    <col min="51" max="51" width="11" hidden="1" customWidth="1" outlineLevel="3"/>
    <col min="52" max="52" width="11" hidden="1" customWidth="1" outlineLevel="2"/>
    <col min="53" max="53" width="11" hidden="1" customWidth="1" outlineLevel="3"/>
    <col min="54" max="54" width="11" hidden="1" customWidth="1" outlineLevel="2"/>
    <col min="55" max="56" width="25.42578125" hidden="1" customWidth="1" outlineLevel="3"/>
    <col min="57" max="57" width="11" hidden="1" customWidth="1" outlineLevel="2"/>
    <col min="58" max="58" width="38" hidden="1" customWidth="1" outlineLevel="2"/>
    <col min="59" max="59" width="11" customWidth="1" outlineLevel="1" collapsed="1"/>
    <col min="60" max="60" width="30.42578125" hidden="1" customWidth="1" outlineLevel="2"/>
    <col min="61" max="61" width="15.42578125" style="5" customWidth="1" outlineLevel="1" collapsed="1"/>
    <col min="62" max="62" width="10.42578125" style="5" hidden="1" customWidth="1" outlineLevel="3"/>
    <col min="63" max="63" width="7.85546875" style="5" hidden="1" customWidth="1" outlineLevel="2"/>
    <col min="64" max="64" width="7.85546875" style="5" hidden="1" customWidth="1" outlineLevel="3"/>
    <col min="65" max="65" width="7.85546875" style="5" hidden="1" customWidth="1" outlineLevel="2"/>
    <col min="66" max="66" width="7.85546875" style="5" hidden="1" customWidth="1" outlineLevel="3"/>
    <col min="67" max="67" width="7.85546875" style="5" hidden="1" customWidth="1" outlineLevel="2"/>
    <col min="68" max="68" width="7.85546875" style="5" hidden="1" customWidth="1" outlineLevel="3"/>
    <col min="69" max="69" width="7.85546875" style="5" hidden="1" customWidth="1" outlineLevel="2"/>
    <col min="70" max="70" width="21.42578125" style="5" hidden="1" customWidth="1" outlineLevel="3"/>
    <col min="71" max="71" width="7.85546875" style="5" hidden="1" customWidth="1" outlineLevel="2"/>
    <col min="72" max="72" width="15.42578125" style="5" hidden="1" customWidth="1" outlineLevel="3"/>
    <col min="73" max="73" width="7.85546875" style="5" hidden="1" customWidth="1" outlineLevel="2"/>
    <col min="74" max="75" width="7.85546875" style="5" hidden="1" customWidth="1" outlineLevel="3"/>
    <col min="76" max="77" width="34.42578125" style="5" hidden="1" customWidth="1" outlineLevel="2"/>
    <col min="78" max="78" width="23.42578125" style="5" customWidth="1" outlineLevel="1" collapsed="1"/>
    <col min="79" max="79" width="6.85546875" style="5" hidden="1" customWidth="1" outlineLevel="2"/>
    <col min="80" max="80" width="7.140625" style="5" customWidth="1" outlineLevel="1" collapsed="1"/>
    <col min="81" max="81" width="4.42578125" style="5" hidden="1" customWidth="1" outlineLevel="5"/>
    <col min="82" max="82" width="5.42578125" style="5" hidden="1" customWidth="1" outlineLevel="4"/>
    <col min="83" max="83" width="5.42578125" style="5" hidden="1" customWidth="1" outlineLevel="5"/>
    <col min="84" max="84" width="5.42578125" style="5" hidden="1" customWidth="1" outlineLevel="4"/>
    <col min="85" max="85" width="5.42578125" style="5" hidden="1" customWidth="1" outlineLevel="5"/>
    <col min="86" max="86" width="5.42578125" style="5" hidden="1" customWidth="1" outlineLevel="4"/>
    <col min="87" max="87" width="5.42578125" style="5" hidden="1" customWidth="1" outlineLevel="5"/>
    <col min="88" max="88" width="5.42578125" style="5" hidden="1" customWidth="1" outlineLevel="4"/>
    <col min="89" max="89" width="5.42578125" style="5" hidden="1" customWidth="1" outlineLevel="5"/>
    <col min="90" max="90" width="5.42578125" style="5" hidden="1" customWidth="1" outlineLevel="4"/>
    <col min="91" max="91" width="5.42578125" style="5" hidden="1" customWidth="1" outlineLevel="5"/>
    <col min="92" max="92" width="5.42578125" style="5" hidden="1" customWidth="1" outlineLevel="4"/>
    <col min="93" max="93" width="5.42578125" style="5" hidden="1" customWidth="1" outlineLevel="5"/>
    <col min="94" max="94" width="7.42578125" style="5" hidden="1" customWidth="1" outlineLevel="5"/>
    <col min="95" max="95" width="13.85546875" style="5" hidden="1" customWidth="1" outlineLevel="4"/>
    <col min="96" max="96" width="13.85546875" style="5" hidden="1" customWidth="1" outlineLevel="3"/>
    <col min="97" max="97" width="7" style="5" customWidth="1" outlineLevel="1" collapsed="1"/>
    <col min="98" max="98" width="9.42578125" style="5" customWidth="1" outlineLevel="1"/>
    <col min="99" max="99" width="5.42578125" style="5" customWidth="1"/>
    <col min="100" max="100" width="66.85546875" style="5" customWidth="1" outlineLevel="1"/>
    <col min="101" max="101" width="66.85546875" style="5" customWidth="1"/>
    <col min="102" max="102" width="37.42578125" style="5" customWidth="1" outlineLevel="1"/>
    <col min="103" max="103" width="37.42578125" style="5" customWidth="1"/>
    <col min="104" max="104" width="28.42578125" style="5" customWidth="1"/>
    <col min="105" max="105" width="30.42578125" style="5" customWidth="1"/>
    <col min="106" max="108" width="31.42578125" style="5" customWidth="1"/>
    <col min="109" max="16384" width="11" style="5"/>
  </cols>
  <sheetData>
    <row r="1" spans="1:108" ht="162.75" customHeight="1">
      <c r="A1" s="2" t="s">
        <v>0</v>
      </c>
      <c r="B1" s="2" t="s">
        <v>230</v>
      </c>
      <c r="C1" s="2" t="s">
        <v>5</v>
      </c>
      <c r="D1" s="2" t="s">
        <v>120</v>
      </c>
      <c r="E1" s="2" t="s">
        <v>461</v>
      </c>
      <c r="F1" s="30" t="s">
        <v>284</v>
      </c>
      <c r="G1" s="30" t="s">
        <v>244</v>
      </c>
      <c r="H1" s="30" t="s">
        <v>285</v>
      </c>
      <c r="I1" s="30" t="s">
        <v>243</v>
      </c>
      <c r="J1" s="30" t="s">
        <v>286</v>
      </c>
      <c r="K1" s="30" t="s">
        <v>241</v>
      </c>
      <c r="L1" s="30" t="s">
        <v>287</v>
      </c>
      <c r="M1" s="30" t="s">
        <v>242</v>
      </c>
      <c r="N1" s="30" t="s">
        <v>282</v>
      </c>
      <c r="O1" s="30" t="s">
        <v>240</v>
      </c>
      <c r="P1" s="30" t="s">
        <v>281</v>
      </c>
      <c r="Q1" s="30" t="s">
        <v>239</v>
      </c>
      <c r="R1" s="30" t="s">
        <v>283</v>
      </c>
      <c r="S1" s="30" t="s">
        <v>147</v>
      </c>
      <c r="T1" s="2" t="s">
        <v>6</v>
      </c>
      <c r="U1" s="30" t="s">
        <v>425</v>
      </c>
      <c r="V1" s="30" t="s">
        <v>429</v>
      </c>
      <c r="W1" s="30" t="s">
        <v>421</v>
      </c>
      <c r="X1" s="2" t="s">
        <v>12</v>
      </c>
      <c r="Y1" s="2" t="s">
        <v>813</v>
      </c>
      <c r="Z1" s="2" t="s">
        <v>814</v>
      </c>
      <c r="AA1" s="2" t="s">
        <v>815</v>
      </c>
      <c r="AB1" s="2" t="s">
        <v>812</v>
      </c>
      <c r="AC1" s="2" t="s">
        <v>31</v>
      </c>
      <c r="AD1" s="30" t="s">
        <v>132</v>
      </c>
      <c r="AE1" s="30" t="s">
        <v>119</v>
      </c>
      <c r="AF1" s="30" t="s">
        <v>133</v>
      </c>
      <c r="AG1" s="30" t="s">
        <v>386</v>
      </c>
      <c r="AH1" s="9" t="s">
        <v>30</v>
      </c>
      <c r="AI1" s="15" t="s">
        <v>449</v>
      </c>
      <c r="AJ1" s="15" t="s">
        <v>148</v>
      </c>
      <c r="AK1" s="15" t="s">
        <v>149</v>
      </c>
      <c r="AL1" s="15" t="s">
        <v>150</v>
      </c>
      <c r="AM1" s="15" t="s">
        <v>146</v>
      </c>
      <c r="AN1" s="15" t="s">
        <v>145</v>
      </c>
      <c r="AO1" s="28" t="s">
        <v>144</v>
      </c>
      <c r="AP1" s="31" t="s">
        <v>29</v>
      </c>
      <c r="AQ1" s="32" t="s">
        <v>288</v>
      </c>
      <c r="AR1" s="32" t="s">
        <v>289</v>
      </c>
      <c r="AS1" s="32" t="s">
        <v>290</v>
      </c>
      <c r="AT1" s="32" t="s">
        <v>291</v>
      </c>
      <c r="AU1" s="32" t="s">
        <v>292</v>
      </c>
      <c r="AV1" s="32" t="s">
        <v>293</v>
      </c>
      <c r="AW1" s="32" t="s">
        <v>294</v>
      </c>
      <c r="AX1" s="32" t="s">
        <v>295</v>
      </c>
      <c r="AY1" s="32" t="s">
        <v>296</v>
      </c>
      <c r="AZ1" s="32" t="s">
        <v>297</v>
      </c>
      <c r="BA1" s="32" t="s">
        <v>298</v>
      </c>
      <c r="BB1" s="32" t="s">
        <v>299</v>
      </c>
      <c r="BC1" s="32" t="s">
        <v>300</v>
      </c>
      <c r="BD1" s="32" t="s">
        <v>428</v>
      </c>
      <c r="BE1" s="32" t="s">
        <v>424</v>
      </c>
      <c r="BF1" s="32" t="s">
        <v>426</v>
      </c>
      <c r="BG1" s="31" t="s">
        <v>23</v>
      </c>
      <c r="BH1" s="32" t="s">
        <v>301</v>
      </c>
      <c r="BI1" s="31" t="s">
        <v>24</v>
      </c>
      <c r="BJ1" s="32" t="s">
        <v>336</v>
      </c>
      <c r="BK1" s="32" t="s">
        <v>337</v>
      </c>
      <c r="BL1" s="32" t="s">
        <v>338</v>
      </c>
      <c r="BM1" s="32" t="s">
        <v>339</v>
      </c>
      <c r="BN1" s="32" t="s">
        <v>340</v>
      </c>
      <c r="BO1" s="32" t="s">
        <v>341</v>
      </c>
      <c r="BP1" s="32" t="s">
        <v>342</v>
      </c>
      <c r="BQ1" s="32" t="s">
        <v>343</v>
      </c>
      <c r="BR1" s="32" t="s">
        <v>344</v>
      </c>
      <c r="BS1" s="32" t="s">
        <v>345</v>
      </c>
      <c r="BT1" s="32" t="s">
        <v>346</v>
      </c>
      <c r="BU1" s="32" t="s">
        <v>347</v>
      </c>
      <c r="BV1" s="32" t="s">
        <v>348</v>
      </c>
      <c r="BW1" s="32" t="s">
        <v>431</v>
      </c>
      <c r="BX1" s="32" t="s">
        <v>430</v>
      </c>
      <c r="BY1" s="32" t="s">
        <v>335</v>
      </c>
      <c r="BZ1" s="33" t="s">
        <v>25</v>
      </c>
      <c r="CA1" s="33" t="s">
        <v>334</v>
      </c>
      <c r="CB1" s="31" t="s">
        <v>26</v>
      </c>
      <c r="CC1" s="31" t="s">
        <v>373</v>
      </c>
      <c r="CD1" s="31" t="s">
        <v>374</v>
      </c>
      <c r="CE1" s="31" t="s">
        <v>375</v>
      </c>
      <c r="CF1" s="31" t="s">
        <v>376</v>
      </c>
      <c r="CG1" s="31" t="s">
        <v>377</v>
      </c>
      <c r="CH1" s="31" t="s">
        <v>378</v>
      </c>
      <c r="CI1" s="31" t="s">
        <v>379</v>
      </c>
      <c r="CJ1" s="31" t="s">
        <v>380</v>
      </c>
      <c r="CK1" s="31" t="s">
        <v>381</v>
      </c>
      <c r="CL1" s="31" t="s">
        <v>382</v>
      </c>
      <c r="CM1" s="31" t="s">
        <v>383</v>
      </c>
      <c r="CN1" s="31" t="s">
        <v>384</v>
      </c>
      <c r="CO1" s="31" t="s">
        <v>385</v>
      </c>
      <c r="CP1" s="31" t="s">
        <v>433</v>
      </c>
      <c r="CQ1" s="31" t="s">
        <v>432</v>
      </c>
      <c r="CR1" s="31" t="s">
        <v>372</v>
      </c>
      <c r="CS1" s="31" t="s">
        <v>27</v>
      </c>
      <c r="CT1" s="31" t="s">
        <v>28</v>
      </c>
      <c r="CU1" s="29" t="s">
        <v>9</v>
      </c>
      <c r="CV1" s="2" t="s">
        <v>76</v>
      </c>
      <c r="CW1" s="2" t="s">
        <v>450</v>
      </c>
      <c r="CX1" s="2" t="s">
        <v>77</v>
      </c>
      <c r="CY1" s="2" t="s">
        <v>451</v>
      </c>
      <c r="CZ1" s="2" t="s">
        <v>102</v>
      </c>
      <c r="DA1" s="3" t="s">
        <v>738</v>
      </c>
      <c r="DB1" s="4" t="s">
        <v>333</v>
      </c>
      <c r="DC1" s="4" t="s">
        <v>510</v>
      </c>
      <c r="DD1" s="4" t="s">
        <v>332</v>
      </c>
    </row>
    <row r="2" spans="1:108" ht="19.5" customHeight="1">
      <c r="A2" s="41" t="s">
        <v>590</v>
      </c>
      <c r="B2" s="8" t="s">
        <v>173</v>
      </c>
      <c r="C2" s="22" t="str">
        <f>IF(meta_Rules[[#This Row],[Kind:src]]="","",INDEX(meta_Classifiers[Display Qualified],MATCH(meta_Rules[[#This Row],[Kind:src]],meta_Classifiers[ID],0)))</f>
        <v>Derive</v>
      </c>
      <c r="D2" s="5" t="str">
        <f>_xlfn.IFNA(IF(meta_Rules[[#This Row],[Class:src]]="","util",INDEX(meta_Classifiers[Package],MATCH(meta_Rules[[#This Row],[Class:src]],meta_Classifiers[ID],0))),"")</f>
        <v>util</v>
      </c>
      <c r="E2" s="22"/>
      <c r="F2" s="38" t="str">
        <f>_xlfn.IFNA(INDEX(meta_Classifiers[Display Qualified],MATCH(meta_Rules[[#This Row],[Super Class 6]],meta_Classifiers[ID],0))&amp;".","")</f>
        <v/>
      </c>
      <c r="G2" s="38">
        <f>_xlfn.IFNA(INDEX(meta_Classifiers[Class - Generalization:src],MATCH(meta_Rules[[#This Row],[Super Class 5]],meta_Classifiers[ID],0)),0)</f>
        <v>0</v>
      </c>
      <c r="H2" s="38" t="str">
        <f>_xlfn.IFNA(INDEX(meta_Classifiers[Display Qualified],MATCH(meta_Rules[[#This Row],[Super Class 5]],meta_Classifiers[ID],0))&amp;".","")</f>
        <v/>
      </c>
      <c r="I2" s="38">
        <f>_xlfn.IFNA(INDEX(meta_Classifiers[Class - Generalization:src],MATCH(meta_Rules[[#This Row],[Super Class 4]],meta_Classifiers[ID],0)),0)</f>
        <v>0</v>
      </c>
      <c r="J2" s="38" t="str">
        <f>_xlfn.IFNA(INDEX(meta_Classifiers[Display Qualified],MATCH(meta_Rules[[#This Row],[Super Class 4]],meta_Classifiers[ID],0))&amp;".","")</f>
        <v/>
      </c>
      <c r="K2" s="38">
        <f>_xlfn.IFNA(INDEX(meta_Classifiers[Class - Generalization:src],MATCH(meta_Rules[[#This Row],[Super Class 3]],meta_Classifiers[ID],0)),0)</f>
        <v>0</v>
      </c>
      <c r="L2" s="38" t="str">
        <f>_xlfn.IFNA(INDEX(meta_Classifiers[Display Qualified],MATCH(meta_Rules[[#This Row],[Super Class 3]],meta_Classifiers[ID],0))&amp;".","")</f>
        <v/>
      </c>
      <c r="M2" s="38">
        <f>_xlfn.IFNA(INDEX(meta_Classifiers[Class - Generalization:src],MATCH(meta_Rules[[#This Row],[Super Class 2]],meta_Classifiers[ID],0)),0)</f>
        <v>0</v>
      </c>
      <c r="N2" s="38" t="str">
        <f>_xlfn.IFNA(INDEX(meta_Classifiers[Display Qualified],MATCH(meta_Rules[[#This Row],[Super Class 2]],meta_Classifiers[ID],0))&amp;".","")</f>
        <v/>
      </c>
      <c r="O2" s="38">
        <f>_xlfn.IFNA(INDEX(meta_Classifiers[Class - Generalization:src],MATCH(meta_Rules[[#This Row],[Super Class 1]],meta_Classifiers[ID],0)),0)</f>
        <v>0</v>
      </c>
      <c r="P2" s="38" t="str">
        <f>_xlfn.IFNA(INDEX(meta_Classifiers[Display Qualified],MATCH(meta_Rules[[#This Row],[Super Class 1]],meta_Classifiers[ID],0))&amp;".","")</f>
        <v/>
      </c>
      <c r="Q2" s="38">
        <f>_xlfn.IFNA(INDEX(meta_Classifiers[Class - Generalization:src],MATCH(meta_Rules[[#This Row],[Class:src]],meta_Classifiers[ID],0)),0)</f>
        <v>0</v>
      </c>
      <c r="R2" s="38" t="e">
        <f>INDEX(meta_Classifiers[Display Qualified],MATCH(meta_Rules[[#This Row],[Class:src]],meta_Classifiers[ID],0))&amp;"."</f>
        <v>#N/A</v>
      </c>
      <c r="S2" s="8"/>
      <c r="T2" s="22" t="str">
        <f xml:space="preserve"> IF( TRIM( meta_Rules[[#This Row],[Class:src]] ) = "", "",
        INDEX( meta_Classifiers[Display Qualified], MATCH( meta_Rules[[#This Row],[Class:src]], meta_Classifiers[ID], 0 ) ) )</f>
        <v/>
      </c>
      <c r="U2" s="8" t="str">
        <f>IF(TRIM(meta_Rules[[#This Row],[Feature]])="","",INDEX(meta_TypedModelElements[Type Derived],MATCH(meta_Rules[[#This Row],[Feature:src]],meta_TypedModelElements[ID],0)))</f>
        <v/>
      </c>
      <c r="V2" s="8" t="str">
        <f>IF(meta_Rules[[#This Row],[Class:src]]="","_Datatype","_Class")</f>
        <v>_Datatype</v>
      </c>
      <c r="W2" s="8"/>
      <c r="X2" s="24" t="str">
        <f xml:space="preserve"> _xlfn.IFNA( IF( TRIM( meta_Rules[[#This Row],[Feature:src]] ) = "",
        "",
        INDEX( meta_TypedModelElements[Display without Class], MATCH( meta_Rules[[#This Row],[Feature:src]], meta_TypedModelElements[ID], 0 ) )
 ), "")</f>
        <v/>
      </c>
      <c r="Y2" s="24"/>
      <c r="Z2" s="24"/>
      <c r="AA2" s="24"/>
      <c r="AB2" s="24"/>
      <c r="AC2" s="22"/>
      <c r="AD2" s="8"/>
      <c r="AE2" s="8"/>
      <c r="AF2" s="8" t="str">
        <f>IF(TRIM(meta_Rules[[#This Row],[Part]])="","",IF(
  TRIM(meta_Rules[[#This Row],[Package]])="",
          "",
          meta_Rules[[#This Row],[Package]]&amp;"::")
&amp;meta_Rules[[#This Row],[Part]])</f>
        <v/>
      </c>
      <c r="AG2" s="37"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Derive</v>
      </c>
      <c r="AH2" s="37"/>
      <c r="AI2" s="14"/>
      <c r="AJ2" s="14" t="str">
        <f>meta_Rules[[#This Row],[Class:src]]&amp;"_"&amp;meta_Rules[[#This Row],[Feature]]&amp;"_"&amp;meta_Rules[[#This Row],[Kind]]</f>
        <v>__Derive</v>
      </c>
      <c r="AK2" s="14" t="str">
        <f>meta_Rules[[#This Row],[Rule Biz ID Without Line]]&amp;"_"&amp;meta_Rules[[#This Row],[Line]]</f>
        <v>__Derive_</v>
      </c>
      <c r="AL2" s="14" t="str">
        <f>IF(meta_Rules[[#This Row],[Line-1]]="","",INDEX(meta_Rules[Part:src],MATCH(meta_Rules[[#This Row],[Rule Biz ID Without Line]]&amp;"_"&amp;meta_Rules[[#This Row],[Line-1]],meta_Rules[Rule Biz ID],0)))</f>
        <v/>
      </c>
      <c r="AM2" s="14" t="str">
        <f>IF(TRIM(meta_Rules[[#This Row],[Line]])="","",IF(meta_Rules[[#This Row],[Line]]=1,"",meta_Rules[[#This Row],[Line]]-1))</f>
        <v/>
      </c>
      <c r="AN2" s="14">
        <f>IF(TRIM(meta_Rules[[#This Row],[Line]])="",0,IF(meta_Rules[[#This Row],[Line]]=1,0,
999))</f>
        <v>0</v>
      </c>
      <c r="AO2" s="37"/>
      <c r="AP2" s="39"/>
      <c r="AQ2" s="36" t="e">
        <f>_xlfn.IFNA(INDEX(meta_Classifiers[Display Qualified],MATCH(meta_Rules[[#This Row],[Base Super Class 6]],meta_Classifiers[ID],0))&amp;".","")</f>
        <v>#REF!</v>
      </c>
      <c r="AR2" s="36" t="e">
        <f>_xlfn.IFNA(INDEX(#REF!,MATCH(meta_Rules[[#This Row],[Base Super Class 5]],meta_Classifiers[ID],0)),0)</f>
        <v>#REF!</v>
      </c>
      <c r="AS2" s="36" t="e">
        <f>_xlfn.IFNA(INDEX(meta_Classifiers[Display Qualified],MATCH(meta_Rules[[#This Row],[Base Super Class 5]],meta_Classifiers[ID],0))&amp;".","")</f>
        <v>#REF!</v>
      </c>
      <c r="AT2" s="36" t="e">
        <f>_xlfn.IFNA(INDEX(#REF!,MATCH(meta_Rules[[#This Row],[Base Super Class 4]],meta_Classifiers[ID],0)),0)</f>
        <v>#REF!</v>
      </c>
      <c r="AU2" s="36" t="e">
        <f>_xlfn.IFNA(INDEX(meta_Classifiers[Display Qualified],MATCH(meta_Rules[[#This Row],[Base Super Class 4]],meta_Classifiers[ID],0))&amp;".","")</f>
        <v>#REF!</v>
      </c>
      <c r="AV2" s="36" t="e">
        <f>_xlfn.IFNA(INDEX(#REF!,MATCH(meta_Rules[[#This Row],[Base Super Class 3]],meta_Classifiers[ID],0)),0)</f>
        <v>#REF!</v>
      </c>
      <c r="AW2" s="36" t="e">
        <f>_xlfn.IFNA(INDEX(meta_Classifiers[Display Qualified],MATCH(meta_Rules[[#This Row],[Base Super Class 3]],meta_Classifiers[ID],0))&amp;".","")</f>
        <v>#REF!</v>
      </c>
      <c r="AX2" s="36" t="e">
        <f>_xlfn.IFNA(INDEX(#REF!,MATCH(meta_Rules[[#This Row],[Base Super Class 2]],meta_Classifiers[ID],0)),0)</f>
        <v>#REF!</v>
      </c>
      <c r="AY2" s="36" t="e">
        <f>_xlfn.IFNA(INDEX(meta_Classifiers[Display Qualified],MATCH(meta_Rules[[#This Row],[Base Super Class 2]],meta_Classifiers[ID],0))&amp;".","")</f>
        <v>#REF!</v>
      </c>
      <c r="AZ2" s="36" t="e">
        <f>_xlfn.IFNA(INDEX(#REF!,MATCH(meta_Rules[[#This Row],[Base Super Class 1]],meta_Classifiers[ID],0)),0)</f>
        <v>#REF!</v>
      </c>
      <c r="BA2" s="36" t="e">
        <f>_xlfn.IFNA(INDEX(meta_Classifiers[Display Qualified],MATCH(meta_Rules[[#This Row],[Base Super Class 1]],meta_Classifiers[ID],0))&amp;".","")</f>
        <v>#REF!</v>
      </c>
      <c r="BB2" s="36" t="e">
        <f>_xlfn.IFNA(INDEX(#REF!,MATCH(meta_Rules[[#This Row],[Base Type]],meta_Classifiers[ID],0)),0)</f>
        <v>#REF!</v>
      </c>
      <c r="BC2" s="36" t="str">
        <f>INDEX(meta_Classifiers[Display Qualified],MATCH(meta_Rules[[#This Row],[Base Type]],meta_Classifiers[ID],0))&amp;"."</f>
        <v>String.</v>
      </c>
      <c r="BD2" s="36" t="e">
        <f>INDEX(#REF!,MATCH(meta_Rules[[#This Row],[Base Type]],meta_Classifiers[ID],0))</f>
        <v>#REF!</v>
      </c>
      <c r="BE2" s="36"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2" s="36" t="str">
        <f>_xlfn.IFNA(INDEX(meta_TypedModelElements[ID],MATCH(meta_Rules[[#This Row],[Feature:src]]&amp;"."&amp;meta_Rules[[#This Row],[Base]],meta_TypedModelElements[ID],0)),"")</f>
        <v/>
      </c>
      <c r="BG2" s="34"/>
      <c r="BH2" s="36"/>
      <c r="BI2" s="34" t="str">
        <f xml:space="preserve"> _xlfn.IFNA( IF( TRIM( meta_Rules[[#This Row],[Property 1:src]] ) = "",
        "",
        INDEX( meta_TypedModelElements[Display without Class], MATCH( meta_Rules[[#This Row],[Property 1:src]], meta_TypedModelElements[ID], 0 ) )
 ), "")</f>
        <v/>
      </c>
      <c r="BJ2" s="36" t="e">
        <f>_xlfn.IFNA(INDEX(meta_Classifiers[Display Qualified],MATCH(meta_Rules[[#This Row],[Property 1 Super Class 6]],meta_Classifiers[ID],0))&amp;".","")</f>
        <v>#REF!</v>
      </c>
      <c r="BK2" s="36" t="e">
        <f>_xlfn.IFNA(INDEX(#REF!,MATCH(meta_Rules[[#This Row],[Property 1 Super Class 5]],meta_Classifiers[ID],0)),0)</f>
        <v>#REF!</v>
      </c>
      <c r="BL2" s="36" t="e">
        <f>_xlfn.IFNA(INDEX(meta_Classifiers[Display Qualified],MATCH(meta_Rules[[#This Row],[Property 1 Super Class 5]],meta_Classifiers[ID],0))&amp;".","")</f>
        <v>#REF!</v>
      </c>
      <c r="BM2" s="36" t="e">
        <f>_xlfn.IFNA(INDEX(#REF!,MATCH(meta_Rules[[#This Row],[Property 1 Super Class 4]],meta_Classifiers[ID],0)),0)</f>
        <v>#REF!</v>
      </c>
      <c r="BN2" s="36" t="e">
        <f>_xlfn.IFNA(INDEX(meta_Classifiers[Display Qualified],MATCH(meta_Rules[[#This Row],[Property 1 Super Class 4]],meta_Classifiers[ID],0))&amp;".","")</f>
        <v>#REF!</v>
      </c>
      <c r="BO2" s="36" t="e">
        <f>_xlfn.IFNA(INDEX(#REF!,MATCH(meta_Rules[[#This Row],[Property 1 Super Class 3]],meta_Classifiers[ID],0)),0)</f>
        <v>#REF!</v>
      </c>
      <c r="BP2" s="36" t="e">
        <f>_xlfn.IFNA(INDEX(meta_Classifiers[Display Qualified],MATCH(meta_Rules[[#This Row],[Property 1 Super Class 3]],meta_Classifiers[ID],0))&amp;".","")</f>
        <v>#REF!</v>
      </c>
      <c r="BQ2" s="36" t="e">
        <f>_xlfn.IFNA(INDEX(#REF!,MATCH(meta_Rules[[#This Row],[Property 1 Super Class 2]],meta_Classifiers[ID],0)),0)</f>
        <v>#REF!</v>
      </c>
      <c r="BR2" s="36" t="e">
        <f>_xlfn.IFNA(INDEX(meta_Classifiers[Display Qualified],MATCH(meta_Rules[[#This Row],[Property 1 Super Class 2]],meta_Classifiers[ID],0))&amp;".","")</f>
        <v>#REF!</v>
      </c>
      <c r="BS2" s="36" t="e">
        <f>_xlfn.IFNA(INDEX(#REF!,MATCH(meta_Rules[[#This Row],[Property 1 Super Class 1]],meta_Classifiers[ID],0)),0)</f>
        <v>#REF!</v>
      </c>
      <c r="BT2" s="36" t="e">
        <f>_xlfn.IFNA(INDEX(meta_Classifiers[Display Qualified],MATCH(meta_Rules[[#This Row],[Property 1 Super Class 1]],meta_Classifiers[ID],0))&amp;".","")</f>
        <v>#REF!</v>
      </c>
      <c r="BU2" s="36" t="e">
        <f>_xlfn.IFNA(INDEX(#REF!,MATCH(meta_Rules[[#This Row],[Property 1 Type]],meta_Classifiers[ID],0)),0)</f>
        <v>#REF!</v>
      </c>
      <c r="BV2" s="36">
        <f>_xlfn.IFNA(INDEX(meta_Classifiers[Display Qualified],MATCH(meta_Rules[[#This Row],[Property 1 Type]],meta_Classifiers[ID],0))&amp;".",0)</f>
        <v>0</v>
      </c>
      <c r="BW2" s="36" t="str">
        <f>IF(meta_Rules[[#This Row],[Property 1 Type]]="","",INDEX(#REF!,MATCH(meta_Rules[[#This Row],[Property 1 Type]],meta_Classifiers[ID],0)))</f>
        <v/>
      </c>
      <c r="BX2" s="36" t="str">
        <f>IF(meta_Rules[[#This Row],[Property 1:src]]="","",INDEX(meta_TypedModelElements[Type:src],MATCH(meta_Rules[[#This Row],[Property 1:src]],meta_TypedModelElements[ID],0)))</f>
        <v/>
      </c>
      <c r="BY2" s="35"/>
      <c r="BZ2" s="34" t="str">
        <f xml:space="preserve"> _xlfn.IFNA( IF( TRIM( meta_Rules[[#This Row],[Property 2:src]] ) = "",
        "",
        INDEX( meta_TypedModelElements[Display without Class], MATCH( meta_Rules[[#This Row],[Property 2:src]], meta_TypedModelElements[ID], 0 ) )
 ), "")</f>
        <v/>
      </c>
      <c r="CA2" s="35"/>
      <c r="CB2"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2" s="36" t="e">
        <f>_xlfn.IFNA(INDEX(meta_Classifiers[Display Qualified],MATCH(meta_Rules[[#This Row],[Property 2 Super Class 6]],meta_Classifiers[ID],0))&amp;".","")</f>
        <v>#REF!</v>
      </c>
      <c r="CD2" s="36" t="e">
        <f>_xlfn.IFNA(INDEX(#REF!,MATCH(meta_Rules[[#This Row],[Property 2 Super Class 5]],meta_Classifiers[ID],0)),0)</f>
        <v>#REF!</v>
      </c>
      <c r="CE2" s="36" t="e">
        <f>_xlfn.IFNA(INDEX(meta_Classifiers[Display Qualified],MATCH(meta_Rules[[#This Row],[Property 2 Super Class 5]],meta_Classifiers[ID],0))&amp;".","")</f>
        <v>#REF!</v>
      </c>
      <c r="CF2" s="36" t="e">
        <f>_xlfn.IFNA(INDEX(#REF!,MATCH(meta_Rules[[#This Row],[Property 2 Super Class 4]],meta_Classifiers[ID],0)),0)</f>
        <v>#REF!</v>
      </c>
      <c r="CG2" s="36" t="e">
        <f>_xlfn.IFNA(INDEX(meta_Classifiers[Display Qualified],MATCH(meta_Rules[[#This Row],[Property 2 Super Class 4]],meta_Classifiers[ID],0))&amp;".","")</f>
        <v>#REF!</v>
      </c>
      <c r="CH2" s="36" t="e">
        <f>_xlfn.IFNA(INDEX(#REF!,MATCH(meta_Rules[[#This Row],[Property 2 Super Class 3]],meta_Classifiers[ID],0)),0)</f>
        <v>#REF!</v>
      </c>
      <c r="CI2" s="36" t="e">
        <f>_xlfn.IFNA(INDEX(meta_Classifiers[Display Qualified],MATCH(meta_Rules[[#This Row],[Property 2 Super Class 3]],meta_Classifiers[ID],0))&amp;".","")</f>
        <v>#REF!</v>
      </c>
      <c r="CJ2" s="36" t="e">
        <f>_xlfn.IFNA(INDEX(#REF!,MATCH(meta_Rules[[#This Row],[Property 2 Super Class 2]],meta_Classifiers[ID],0)),0)</f>
        <v>#REF!</v>
      </c>
      <c r="CK2" s="36" t="e">
        <f>_xlfn.IFNA(INDEX(meta_Classifiers[Display Qualified],MATCH(meta_Rules[[#This Row],[Property 2 Super Class 2]],meta_Classifiers[ID],0))&amp;".","")</f>
        <v>#REF!</v>
      </c>
      <c r="CL2" s="36" t="e">
        <f>_xlfn.IFNA(INDEX(#REF!,MATCH(meta_Rules[[#This Row],[Property 2 Super Class 1]],meta_Classifiers[ID],0)),0)</f>
        <v>#REF!</v>
      </c>
      <c r="CM2" s="36" t="e">
        <f>_xlfn.IFNA(INDEX(meta_Classifiers[Display Qualified],MATCH(meta_Rules[[#This Row],[Property 2 Super Class 1]],meta_Classifiers[ID],0))&amp;".","")</f>
        <v>#REF!</v>
      </c>
      <c r="CN2" s="36" t="e">
        <f>_xlfn.IFNA(INDEX(#REF!,MATCH(meta_Rules[[#This Row],[Property 2 or Cast Type]],meta_Classifiers[ID],0)),0)</f>
        <v>#REF!</v>
      </c>
      <c r="CO2" s="36">
        <f>_xlfn.IFNA(INDEX(meta_Classifiers[Display Qualified],MATCH(meta_Rules[[#This Row],[Property 2 or Cast Type]],meta_Classifiers[ID],0))&amp;".",0)</f>
        <v>0</v>
      </c>
      <c r="CP2" s="36" t="str">
        <f>IF(meta_Rules[[#This Row],[Property 2 or Cast Type]]="","",INDEX(#REF!,MATCH(meta_Rules[[#This Row],[Property 2 or Cast Type]],meta_Classifiers[ID],0)))</f>
        <v/>
      </c>
      <c r="CQ2" s="36" t="str">
        <f>IF(meta_Rules[[#This Row],[Cast:src]]&lt;&gt;"",meta_Rules[[#This Row],[Cast:src]],IF(meta_Rules[[#This Row],[Property 2:src]]="","",INDEX(meta_TypedModelElements[Type:src],MATCH(meta_Rules[[#This Row],[Property 2:src]],meta_TypedModelElements[ID],0))))</f>
        <v/>
      </c>
      <c r="CR2" s="36"/>
      <c r="CS2" s="34" t="str">
        <f xml:space="preserve"> _xlfn.IFNA( IF( TRIM( meta_Rules[[#This Row],[Property 3:src]] ) = "",
        "",
        INDEX( meta_TypedModelElements[Display without Class], MATCH( meta_Rules[[#This Row],[Property 3:src]], meta_TypedModelElements[ID], 0 ) )
 ), "")</f>
        <v/>
      </c>
      <c r="CT2" s="34"/>
      <c r="CU2" s="5" t="str">
        <f t="shared" ref="CU2:CU5" si="0">+"1"</f>
        <v>1</v>
      </c>
      <c r="CV2" s="22"/>
      <c r="CW2" s="5" t="str">
        <f>IF(meta_Rules[[#This Row],[Manual VBA Code]]&lt;&gt;"",meta_Rules[[#This Row],[Manual VBA Code]],"TODO")</f>
        <v>TODO</v>
      </c>
      <c r="CX2" s="42"/>
      <c r="CY2" s="14"/>
      <c r="CZ2" s="22"/>
      <c r="DA2" s="22"/>
    </row>
    <row r="3" spans="1:108">
      <c r="A3" s="5">
        <v>1</v>
      </c>
      <c r="B3" s="8" t="s">
        <v>173</v>
      </c>
      <c r="C3" s="22" t="str">
        <f>IF(meta_Rules[[#This Row],[Kind:src]]="","",INDEX(meta_Classifiers[Display Qualified],MATCH(meta_Rules[[#This Row],[Kind:src]],meta_Classifiers[ID],0)))</f>
        <v>Derive</v>
      </c>
      <c r="D3" s="5" t="str">
        <f>_xlfn.IFNA(IF(meta_Rules[[#This Row],[Class:src]]="","util",INDEX(meta_Classifiers[Package],MATCH(meta_Rules[[#This Row],[Class:src]],meta_Classifiers[ID],0))),"")</f>
        <v>util</v>
      </c>
      <c r="E3" s="53"/>
      <c r="F3" s="38" t="str">
        <f>_xlfn.IFNA(INDEX(meta_Classifiers[Display Qualified],MATCH(meta_Rules[[#This Row],[Super Class 6]],meta_Classifiers[ID],0))&amp;".","")</f>
        <v/>
      </c>
      <c r="G3" s="38">
        <f>_xlfn.IFNA(INDEX(meta_Classifiers[Class - Generalization:src],MATCH(meta_Rules[[#This Row],[Super Class 5]],meta_Classifiers[ID],0)),0)</f>
        <v>0</v>
      </c>
      <c r="H3" s="38" t="str">
        <f>_xlfn.IFNA(INDEX(meta_Classifiers[Display Qualified],MATCH(meta_Rules[[#This Row],[Super Class 5]],meta_Classifiers[ID],0))&amp;".","")</f>
        <v/>
      </c>
      <c r="I3" s="38">
        <f>_xlfn.IFNA(INDEX(meta_Classifiers[Class - Generalization:src],MATCH(meta_Rules[[#This Row],[Super Class 4]],meta_Classifiers[ID],0)),0)</f>
        <v>0</v>
      </c>
      <c r="J3" s="38" t="str">
        <f>_xlfn.IFNA(INDEX(meta_Classifiers[Display Qualified],MATCH(meta_Rules[[#This Row],[Super Class 4]],meta_Classifiers[ID],0))&amp;".","")</f>
        <v/>
      </c>
      <c r="K3" s="38">
        <f>_xlfn.IFNA(INDEX(meta_Classifiers[Class - Generalization:src],MATCH(meta_Rules[[#This Row],[Super Class 3]],meta_Classifiers[ID],0)),0)</f>
        <v>0</v>
      </c>
      <c r="L3" s="38" t="str">
        <f>_xlfn.IFNA(INDEX(meta_Classifiers[Display Qualified],MATCH(meta_Rules[[#This Row],[Super Class 3]],meta_Classifiers[ID],0))&amp;".","")</f>
        <v/>
      </c>
      <c r="M3" s="38">
        <f>_xlfn.IFNA(INDEX(meta_Classifiers[Class - Generalization:src],MATCH(meta_Rules[[#This Row],[Super Class 2]],meta_Classifiers[ID],0)),0)</f>
        <v>0</v>
      </c>
      <c r="N3" s="38" t="str">
        <f>_xlfn.IFNA(INDEX(meta_Classifiers[Display Qualified],MATCH(meta_Rules[[#This Row],[Super Class 2]],meta_Classifiers[ID],0))&amp;".","")</f>
        <v/>
      </c>
      <c r="O3" s="38">
        <f>_xlfn.IFNA(INDEX(meta_Classifiers[Class - Generalization:src],MATCH(meta_Rules[[#This Row],[Super Class 1]],meta_Classifiers[ID],0)),0)</f>
        <v>0</v>
      </c>
      <c r="P3" s="38" t="str">
        <f>_xlfn.IFNA(INDEX(meta_Classifiers[Display Qualified],MATCH(meta_Rules[[#This Row],[Super Class 1]],meta_Classifiers[ID],0))&amp;".","")</f>
        <v/>
      </c>
      <c r="Q3" s="38">
        <f>_xlfn.IFNA(INDEX(meta_Classifiers[Class - Generalization:src],MATCH(meta_Rules[[#This Row],[Class:src]],meta_Classifiers[ID],0)),0)</f>
        <v>0</v>
      </c>
      <c r="R3" s="6" t="e">
        <f>INDEX(meta_Classifiers[Display Qualified],MATCH(meta_Rules[[#This Row],[Class:src]],meta_Classifiers[ID],0))&amp;"."</f>
        <v>#N/A</v>
      </c>
      <c r="T3" s="22" t="str">
        <f xml:space="preserve"> IF( TRIM( meta_Rules[[#This Row],[Class:src]] ) = "", "",
        INDEX( meta_Classifiers[Display Qualified], MATCH( meta_Rules[[#This Row],[Class:src]], meta_Classifiers[ID], 0 ) ) )</f>
        <v/>
      </c>
      <c r="U3" s="5" t="str">
        <f>IF(TRIM(meta_Rules[[#This Row],[Feature]])="","",INDEX(meta_TypedModelElements[Type Derived],MATCH(meta_Rules[[#This Row],[Feature:src]],meta_TypedModelElements[ID],0)))</f>
        <v/>
      </c>
      <c r="V3" s="5" t="str">
        <f>IF(meta_Rules[[#This Row],[Class:src]]="","_Datatype","_Class")</f>
        <v>_Datatype</v>
      </c>
      <c r="W3" s="5" t="s">
        <v>399</v>
      </c>
      <c r="X3" s="22" t="str">
        <f xml:space="preserve"> _xlfn.IFNA( IF( TRIM( meta_Rules[[#This Row],[Feature:src]] ) = "",
        "",
        INDEX( meta_TypedModelElements[Display without Class], MATCH( meta_Rules[[#This Row],[Feature:src]], meta_TypedModelElements[ID], 0 ) )
 ), "")</f>
        <v/>
      </c>
      <c r="Y3" s="22"/>
      <c r="Z3" s="22"/>
      <c r="AA3" s="22"/>
      <c r="AB3" s="22"/>
      <c r="AC3" s="22"/>
      <c r="AF3" s="5" t="str">
        <f>IF(TRIM(meta_Rules[[#This Row],[Part]])="","",IF(
  TRIM(meta_Rules[[#This Row],[Package]])="",
          "",
          meta_Rules[[#This Row],[Package]]&amp;"::")
&amp;meta_Rules[[#This Row],[Part]])</f>
        <v>util::CHAIN</v>
      </c>
      <c r="AG3"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Derive</v>
      </c>
      <c r="AH3" s="14" t="s">
        <v>151</v>
      </c>
      <c r="AI3" s="14" t="s">
        <v>447</v>
      </c>
      <c r="AJ3" s="14" t="str">
        <f>meta_Rules[[#This Row],[Class:src]]&amp;"_"&amp;meta_Rules[[#This Row],[Feature]]&amp;"_"&amp;meta_Rules[[#This Row],[Kind]]</f>
        <v>__Derive</v>
      </c>
      <c r="AK3" s="14" t="str">
        <f>meta_Rules[[#This Row],[Rule Biz ID Without Line]]&amp;"_"&amp;meta_Rules[[#This Row],[Line]]</f>
        <v>__Derive_</v>
      </c>
      <c r="AL3" s="14" t="str">
        <f>IF(meta_Rules[[#This Row],[Line-1]]="","",INDEX(meta_Rules[Part:src],MATCH(meta_Rules[[#This Row],[Rule Biz ID Without Line]]&amp;"_"&amp;meta_Rules[[#This Row],[Line-1]],meta_Rules[Rule Biz ID],0)))</f>
        <v/>
      </c>
      <c r="AM3" s="14" t="str">
        <f>IF(TRIM(meta_Rules[[#This Row],[Line]])="","",IF(meta_Rules[[#This Row],[Line]]=1,"",meta_Rules[[#This Row],[Line]]-1))</f>
        <v/>
      </c>
      <c r="AN3" s="14">
        <f>IF(TRIM(meta_Rules[[#This Row],[Line]])="",0,IF(meta_Rules[[#This Row],[Line]]=1,0,
999))</f>
        <v>0</v>
      </c>
      <c r="AP3" s="49"/>
      <c r="AQ3" s="54" t="e">
        <f>_xlfn.IFNA(INDEX(meta_Classifiers[Display Qualified],MATCH(meta_Rules[[#This Row],[Base Super Class 6]],meta_Classifiers[ID],0))&amp;".","")</f>
        <v>#REF!</v>
      </c>
      <c r="AR3" s="50" t="e">
        <f>_xlfn.IFNA(INDEX(#REF!,MATCH(meta_Rules[[#This Row],[Base Super Class 5]],meta_Classifiers[ID],0)),0)</f>
        <v>#REF!</v>
      </c>
      <c r="AS3" s="50" t="e">
        <f>_xlfn.IFNA(INDEX(meta_Classifiers[Display Qualified],MATCH(meta_Rules[[#This Row],[Base Super Class 5]],meta_Classifiers[ID],0))&amp;".","")</f>
        <v>#REF!</v>
      </c>
      <c r="AT3" s="50" t="e">
        <f>_xlfn.IFNA(INDEX(#REF!,MATCH(meta_Rules[[#This Row],[Base Super Class 4]],meta_Classifiers[ID],0)),0)</f>
        <v>#REF!</v>
      </c>
      <c r="AU3" s="50" t="e">
        <f>_xlfn.IFNA(INDEX(meta_Classifiers[Display Qualified],MATCH(meta_Rules[[#This Row],[Base Super Class 4]],meta_Classifiers[ID],0))&amp;".","")</f>
        <v>#REF!</v>
      </c>
      <c r="AV3" s="50" t="e">
        <f>_xlfn.IFNA(INDEX(#REF!,MATCH(meta_Rules[[#This Row],[Base Super Class 3]],meta_Classifiers[ID],0)),0)</f>
        <v>#REF!</v>
      </c>
      <c r="AW3" s="50" t="e">
        <f>_xlfn.IFNA(INDEX(meta_Classifiers[Display Qualified],MATCH(meta_Rules[[#This Row],[Base Super Class 3]],meta_Classifiers[ID],0))&amp;".","")</f>
        <v>#REF!</v>
      </c>
      <c r="AX3" s="50" t="e">
        <f>_xlfn.IFNA(INDEX(#REF!,MATCH(meta_Rules[[#This Row],[Base Super Class 2]],meta_Classifiers[ID],0)),0)</f>
        <v>#REF!</v>
      </c>
      <c r="AY3" s="50" t="e">
        <f>_xlfn.IFNA(INDEX(meta_Classifiers[Display Qualified],MATCH(meta_Rules[[#This Row],[Base Super Class 2]],meta_Classifiers[ID],0))&amp;".","")</f>
        <v>#REF!</v>
      </c>
      <c r="AZ3" s="50" t="e">
        <f>_xlfn.IFNA(INDEX(#REF!,MATCH(meta_Rules[[#This Row],[Base Super Class 1]],meta_Classifiers[ID],0)),0)</f>
        <v>#REF!</v>
      </c>
      <c r="BA3" s="50" t="e">
        <f>_xlfn.IFNA(INDEX(meta_Classifiers[Display Qualified],MATCH(meta_Rules[[#This Row],[Base Super Class 1]],meta_Classifiers[ID],0))&amp;".","")</f>
        <v>#REF!</v>
      </c>
      <c r="BB3" s="50" t="e">
        <f>_xlfn.IFNA(INDEX(#REF!,MATCH(meta_Rules[[#This Row],[Base Type]],meta_Classifiers[ID],0)),0)</f>
        <v>#REF!</v>
      </c>
      <c r="BC3" s="50" t="str">
        <f>INDEX(meta_Classifiers[Display Qualified],MATCH(meta_Rules[[#This Row],[Base Type]],meta_Classifiers[ID],0))&amp;"."</f>
        <v>String.</v>
      </c>
      <c r="BD3" s="50" t="e">
        <f>INDEX(#REF!,MATCH(meta_Rules[[#This Row],[Base Type]],meta_Classifiers[ID],0))</f>
        <v>#REF!</v>
      </c>
      <c r="BE3" s="50"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3" s="50" t="str">
        <f>_xlfn.IFNA(INDEX(meta_TypedModelElements[ID],MATCH(meta_Rules[[#This Row],[Feature:src]]&amp;"."&amp;meta_Rules[[#This Row],[Base]],meta_TypedModelElements[ID],0)),"")</f>
        <v>util::camelCaseUpper(String).inputString</v>
      </c>
      <c r="BG3" s="51" t="s">
        <v>427</v>
      </c>
      <c r="BH3" s="50" t="s">
        <v>396</v>
      </c>
      <c r="BI3" s="51" t="str">
        <f xml:space="preserve"> _xlfn.IFNA( IF( TRIM( meta_Rules[[#This Row],[Property 1:src]] ) = "",
        "",
        INDEX( meta_TypedModelElements[Display without Class], MATCH( meta_Rules[[#This Row],[Property 1:src]], meta_TypedModelElements[ID], 0 ) )
 ), "")</f>
        <v>stringToBusiness</v>
      </c>
      <c r="BJ3" s="50" t="e">
        <f>_xlfn.IFNA(INDEX(meta_Classifiers[Display Qualified],MATCH(meta_Rules[[#This Row],[Property 1 Super Class 6]],meta_Classifiers[ID],0))&amp;".","")</f>
        <v>#REF!</v>
      </c>
      <c r="BK3" s="50" t="e">
        <f>_xlfn.IFNA(INDEX(#REF!,MATCH(meta_Rules[[#This Row],[Property 1 Super Class 5]],meta_Classifiers[ID],0)),0)</f>
        <v>#REF!</v>
      </c>
      <c r="BL3" s="50" t="e">
        <f>_xlfn.IFNA(INDEX(meta_Classifiers[Display Qualified],MATCH(meta_Rules[[#This Row],[Property 1 Super Class 5]],meta_Classifiers[ID],0))&amp;".","")</f>
        <v>#REF!</v>
      </c>
      <c r="BM3" s="50" t="e">
        <f>_xlfn.IFNA(INDEX(#REF!,MATCH(meta_Rules[[#This Row],[Property 1 Super Class 4]],meta_Classifiers[ID],0)),0)</f>
        <v>#REF!</v>
      </c>
      <c r="BN3" s="50" t="e">
        <f>_xlfn.IFNA(INDEX(meta_Classifiers[Display Qualified],MATCH(meta_Rules[[#This Row],[Property 1 Super Class 4]],meta_Classifiers[ID],0))&amp;".","")</f>
        <v>#REF!</v>
      </c>
      <c r="BO3" s="50" t="e">
        <f>_xlfn.IFNA(INDEX(#REF!,MATCH(meta_Rules[[#This Row],[Property 1 Super Class 3]],meta_Classifiers[ID],0)),0)</f>
        <v>#REF!</v>
      </c>
      <c r="BP3" s="50" t="e">
        <f>_xlfn.IFNA(INDEX(meta_Classifiers[Display Qualified],MATCH(meta_Rules[[#This Row],[Property 1 Super Class 3]],meta_Classifiers[ID],0))&amp;".","")</f>
        <v>#REF!</v>
      </c>
      <c r="BQ3" s="50" t="e">
        <f>_xlfn.IFNA(INDEX(#REF!,MATCH(meta_Rules[[#This Row],[Property 1 Super Class 2]],meta_Classifiers[ID],0)),0)</f>
        <v>#REF!</v>
      </c>
      <c r="BR3" s="50" t="e">
        <f>_xlfn.IFNA(INDEX(meta_Classifiers[Display Qualified],MATCH(meta_Rules[[#This Row],[Property 1 Super Class 2]],meta_Classifiers[ID],0))&amp;".","")</f>
        <v>#REF!</v>
      </c>
      <c r="BS3" s="50" t="e">
        <f>_xlfn.IFNA(INDEX(#REF!,MATCH(meta_Rules[[#This Row],[Property 1 Super Class 1]],meta_Classifiers[ID],0)),0)</f>
        <v>#REF!</v>
      </c>
      <c r="BT3" s="50" t="e">
        <f>_xlfn.IFNA(INDEX(meta_Classifiers[Display Qualified],MATCH(meta_Rules[[#This Row],[Property 1 Super Class 1]],meta_Classifiers[ID],0))&amp;".","")</f>
        <v>#REF!</v>
      </c>
      <c r="BU3" s="50" t="e">
        <f>_xlfn.IFNA(INDEX(#REF!,MATCH(meta_Rules[[#This Row],[Property 1 Type]],meta_Classifiers[ID],0)),0)</f>
        <v>#REF!</v>
      </c>
      <c r="BV3" s="50" t="str">
        <f>_xlfn.IFNA(INDEX(meta_Classifiers[Display Qualified],MATCH(meta_Rules[[#This Row],[Property 1 Type]],meta_Classifiers[ID],0))&amp;".",0)</f>
        <v>String.</v>
      </c>
      <c r="BW3" s="50" t="e">
        <f>IF(meta_Rules[[#This Row],[Property 1 Type]]="","",INDEX(#REF!,MATCH(meta_Rules[[#This Row],[Property 1 Type]],meta_Classifiers[ID],0)))</f>
        <v>#REF!</v>
      </c>
      <c r="BX3" s="50" t="str">
        <f>IF(meta_Rules[[#This Row],[Property 1:src]]="","",INDEX(meta_TypedModelElements[Type:src],MATCH(meta_Rules[[#This Row],[Property 1:src]],meta_TypedModelElements[ID],0)))</f>
        <v>_String</v>
      </c>
      <c r="BY3" s="50" t="s">
        <v>397</v>
      </c>
      <c r="BZ3" s="51" t="str">
        <f xml:space="preserve"> _xlfn.IFNA( IF( TRIM( meta_Rules[[#This Row],[Property 2:src]] ) = "",
        "",
        INDEX( meta_TypedModelElements[Display without Class], MATCH( meta_Rules[[#This Row],[Property 2:src]], meta_TypedModelElements[ID], 0 ) )
 ), "")</f>
        <v>businessToCamelCaseUpper</v>
      </c>
      <c r="CA3" s="50"/>
      <c r="CB3" s="51"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3" s="52" t="e">
        <f>_xlfn.IFNA(INDEX(meta_Classifiers[Display Qualified],MATCH(meta_Rules[[#This Row],[Property 2 Super Class 6]],meta_Classifiers[ID],0))&amp;".","")</f>
        <v>#REF!</v>
      </c>
      <c r="CD3" s="52" t="e">
        <f>_xlfn.IFNA(INDEX(#REF!,MATCH(meta_Rules[[#This Row],[Property 2 Super Class 5]],meta_Classifiers[ID],0)),0)</f>
        <v>#REF!</v>
      </c>
      <c r="CE3" s="52" t="e">
        <f>_xlfn.IFNA(INDEX(meta_Classifiers[Display Qualified],MATCH(meta_Rules[[#This Row],[Property 2 Super Class 5]],meta_Classifiers[ID],0))&amp;".","")</f>
        <v>#REF!</v>
      </c>
      <c r="CF3" s="52" t="e">
        <f>_xlfn.IFNA(INDEX(#REF!,MATCH(meta_Rules[[#This Row],[Property 2 Super Class 4]],meta_Classifiers[ID],0)),0)</f>
        <v>#REF!</v>
      </c>
      <c r="CG3" s="52" t="e">
        <f>_xlfn.IFNA(INDEX(meta_Classifiers[Display Qualified],MATCH(meta_Rules[[#This Row],[Property 2 Super Class 4]],meta_Classifiers[ID],0))&amp;".","")</f>
        <v>#REF!</v>
      </c>
      <c r="CH3" s="52" t="e">
        <f>_xlfn.IFNA(INDEX(#REF!,MATCH(meta_Rules[[#This Row],[Property 2 Super Class 3]],meta_Classifiers[ID],0)),0)</f>
        <v>#REF!</v>
      </c>
      <c r="CI3" s="52" t="e">
        <f>_xlfn.IFNA(INDEX(meta_Classifiers[Display Qualified],MATCH(meta_Rules[[#This Row],[Property 2 Super Class 3]],meta_Classifiers[ID],0))&amp;".","")</f>
        <v>#REF!</v>
      </c>
      <c r="CJ3" s="52" t="e">
        <f>_xlfn.IFNA(INDEX(#REF!,MATCH(meta_Rules[[#This Row],[Property 2 Super Class 2]],meta_Classifiers[ID],0)),0)</f>
        <v>#REF!</v>
      </c>
      <c r="CK3" s="52" t="e">
        <f>_xlfn.IFNA(INDEX(meta_Classifiers[Display Qualified],MATCH(meta_Rules[[#This Row],[Property 2 Super Class 2]],meta_Classifiers[ID],0))&amp;".","")</f>
        <v>#REF!</v>
      </c>
      <c r="CL3" s="52" t="e">
        <f>_xlfn.IFNA(INDEX(#REF!,MATCH(meta_Rules[[#This Row],[Property 2 Super Class 1]],meta_Classifiers[ID],0)),0)</f>
        <v>#REF!</v>
      </c>
      <c r="CM3" s="52" t="e">
        <f>_xlfn.IFNA(INDEX(meta_Classifiers[Display Qualified],MATCH(meta_Rules[[#This Row],[Property 2 Super Class 1]],meta_Classifiers[ID],0))&amp;".","")</f>
        <v>#REF!</v>
      </c>
      <c r="CN3" s="52" t="e">
        <f>_xlfn.IFNA(INDEX(#REF!,MATCH(meta_Rules[[#This Row],[Property 2 or Cast Type]],meta_Classifiers[ID],0)),0)</f>
        <v>#REF!</v>
      </c>
      <c r="CO3" s="52" t="str">
        <f>_xlfn.IFNA(INDEX(meta_Classifiers[Display Qualified],MATCH(meta_Rules[[#This Row],[Property 2 or Cast Type]],meta_Classifiers[ID],0))&amp;".",0)</f>
        <v>String.</v>
      </c>
      <c r="CP3" s="52" t="e">
        <f>IF(meta_Rules[[#This Row],[Property 2 or Cast Type]]="","",INDEX(#REF!,MATCH(meta_Rules[[#This Row],[Property 2 or Cast Type]],meta_Classifiers[ID],0)))</f>
        <v>#REF!</v>
      </c>
      <c r="CQ3" s="52" t="str">
        <f>IF(meta_Rules[[#This Row],[Cast:src]]&lt;&gt;"",meta_Rules[[#This Row],[Cast:src]],IF(meta_Rules[[#This Row],[Property 2:src]]="","",INDEX(meta_TypedModelElements[Type:src],MATCH(meta_Rules[[#This Row],[Property 2:src]],meta_TypedModelElements[ID],0))))</f>
        <v>_String</v>
      </c>
      <c r="CR3" s="52"/>
      <c r="CS3" s="51" t="str">
        <f xml:space="preserve"> _xlfn.IFNA( IF( TRIM( meta_Rules[[#This Row],[Property 3:src]] ) = "",
        "",
        INDEX( meta_TypedModelElements[Display without Class], MATCH( meta_Rules[[#This Row],[Property 3:src]], meta_TypedModelElements[ID], 0 ) )
 ), "")</f>
        <v/>
      </c>
      <c r="CT3" s="51"/>
      <c r="CU3" s="5" t="str">
        <f t="shared" si="0"/>
        <v>1</v>
      </c>
      <c r="CV3" s="22" t="s">
        <v>448</v>
      </c>
      <c r="CW3" s="5" t="str">
        <f>IF(meta_Rules[[#This Row],[Manual VBA Code]]&lt;&gt;"",meta_Rules[[#This Row],[Manual VBA Code]],"TODO")</f>
        <v>camelCaseUpper = businessToCamelCaseUpper(stringToBusiness(inputString))</v>
      </c>
      <c r="CX3" s="42"/>
      <c r="CY3" s="14"/>
      <c r="CZ3" s="22"/>
      <c r="DA3" s="22"/>
    </row>
    <row r="4" spans="1:108">
      <c r="B4" s="8" t="s">
        <v>171</v>
      </c>
      <c r="C4" s="22" t="str">
        <f>IF(meta_Rules[[#This Row],[Kind:src]]="","",INDEX(meta_Classifiers[Display Qualified],MATCH(meta_Rules[[#This Row],[Kind:src]],meta_Classifiers[ID],0)))</f>
        <v>Display</v>
      </c>
      <c r="D4" s="5" t="str">
        <f>_xlfn.IFNA(IF(meta_Rules[[#This Row],[Class:src]]="","util",INDEX(meta_Classifiers[Package],MATCH(meta_Rules[[#This Row],[Class:src]],meta_Classifiers[ID],0))),"")</f>
        <v>belowred</v>
      </c>
      <c r="E4" s="53"/>
      <c r="F4" s="38" t="str">
        <f>_xlfn.IFNA(INDEX(meta_Classifiers[Display Qualified],MATCH(meta_Rules[[#This Row],[Super Class 6]],meta_Classifiers[ID],0))&amp;".","")</f>
        <v/>
      </c>
      <c r="G4" s="38">
        <f>_xlfn.IFNA(INDEX(meta_Classifiers[Class - Generalization:src],MATCH(meta_Rules[[#This Row],[Super Class 5]],meta_Classifiers[ID],0)),0)</f>
        <v>0</v>
      </c>
      <c r="H4" s="38" t="str">
        <f>_xlfn.IFNA(INDEX(meta_Classifiers[Display Qualified],MATCH(meta_Rules[[#This Row],[Super Class 5]],meta_Classifiers[ID],0))&amp;".","")</f>
        <v/>
      </c>
      <c r="I4" s="38">
        <f>_xlfn.IFNA(INDEX(meta_Classifiers[Class - Generalization:src],MATCH(meta_Rules[[#This Row],[Super Class 4]],meta_Classifiers[ID],0)),0)</f>
        <v>0</v>
      </c>
      <c r="J4" s="38" t="str">
        <f>_xlfn.IFNA(INDEX(meta_Classifiers[Display Qualified],MATCH(meta_Rules[[#This Row],[Super Class 4]],meta_Classifiers[ID],0))&amp;".","")</f>
        <v/>
      </c>
      <c r="K4" s="38">
        <f>_xlfn.IFNA(INDEX(meta_Classifiers[Class - Generalization:src],MATCH(meta_Rules[[#This Row],[Super Class 3]],meta_Classifiers[ID],0)),0)</f>
        <v>0</v>
      </c>
      <c r="L4" s="38" t="str">
        <f>_xlfn.IFNA(INDEX(meta_Classifiers[Display Qualified],MATCH(meta_Rules[[#This Row],[Super Class 3]],meta_Classifiers[ID],0))&amp;".","")</f>
        <v/>
      </c>
      <c r="M4" s="38">
        <f>_xlfn.IFNA(INDEX(meta_Classifiers[Class - Generalization:src],MATCH(meta_Rules[[#This Row],[Super Class 2]],meta_Classifiers[ID],0)),0)</f>
        <v>0</v>
      </c>
      <c r="N4" s="38" t="str">
        <f>_xlfn.IFNA(INDEX(meta_Classifiers[Display Qualified],MATCH(meta_Rules[[#This Row],[Super Class 2]],meta_Classifiers[ID],0))&amp;".","")</f>
        <v/>
      </c>
      <c r="O4" s="38" t="str">
        <f>_xlfn.IFNA(INDEX(meta_Classifiers[Class - Generalization:src],MATCH(meta_Rules[[#This Row],[Super Class 1]],meta_Classifiers[ID],0)),0)</f>
        <v/>
      </c>
      <c r="P4" s="38" t="str">
        <f>_xlfn.IFNA(INDEX(meta_Classifiers[Display Qualified],MATCH(meta_Rules[[#This Row],[Super Class 1]],meta_Classifiers[ID],0))&amp;".","")</f>
        <v>Object.</v>
      </c>
      <c r="Q4" s="38" t="str">
        <f>_xlfn.IFNA(INDEX(meta_Classifiers[Class - Generalization:src],MATCH(meta_Rules[[#This Row],[Class:src]],meta_Classifiers[ID],0)),0)</f>
        <v>_Object</v>
      </c>
      <c r="R4" s="6" t="str">
        <f>INDEX(meta_Classifiers[Display Qualified],MATCH(meta_Rules[[#This Row],[Class:src]],meta_Classifiers[ID],0))&amp;"."</f>
        <v>belowred::Table2Row.</v>
      </c>
      <c r="S4" s="5" t="s">
        <v>127</v>
      </c>
      <c r="T4" s="22" t="str">
        <f xml:space="preserve"> IF( TRIM( meta_Rules[[#This Row],[Class:src]] ) = "", "",
        INDEX( meta_Classifiers[Display Qualified], MATCH( meta_Rules[[#This Row],[Class:src]], meta_Classifiers[ID], 0 ) ) )</f>
        <v>belowred::Table2Row</v>
      </c>
      <c r="U4" s="5" t="str">
        <f>IF(TRIM(meta_Rules[[#This Row],[Feature]])="","",INDEX(meta_TypedModelElements[Type Derived],MATCH(meta_Rules[[#This Row],[Feature:src]],meta_TypedModelElements[ID],0)))</f>
        <v/>
      </c>
      <c r="V4" s="5" t="str">
        <f>IF(meta_Rules[[#This Row],[Class:src]]="","_Datatype","_Class")</f>
        <v>_Class</v>
      </c>
      <c r="X4" s="22" t="str">
        <f xml:space="preserve"> _xlfn.IFNA( IF( TRIM( meta_Rules[[#This Row],[Feature:src]] ) = "",
        "",
        INDEX( meta_TypedModelElements[Display without Class], MATCH( meta_Rules[[#This Row],[Feature:src]], meta_TypedModelElements[ID], 0 ) )
 ), "")</f>
        <v/>
      </c>
      <c r="Y4" s="22"/>
      <c r="Z4" s="22"/>
      <c r="AA4" s="22"/>
      <c r="AB4" s="22"/>
      <c r="AC4" s="22"/>
      <c r="AF4" s="5" t="str">
        <f>IF(TRIM(meta_Rules[[#This Row],[Part]])="","",IF(
  TRIM(meta_Rules[[#This Row],[Package]])="",
          "",
          meta_Rules[[#This Row],[Package]]&amp;"::")
&amp;meta_Rules[[#This Row],[Part]])</f>
        <v>belowred::CHAIN</v>
      </c>
      <c r="AG4"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belowred::Table2Row           Display</v>
      </c>
      <c r="AH4" s="14" t="s">
        <v>151</v>
      </c>
      <c r="AI4" s="14"/>
      <c r="AJ4" s="14" t="str">
        <f>meta_Rules[[#This Row],[Class:src]]&amp;"_"&amp;meta_Rules[[#This Row],[Feature]]&amp;"_"&amp;meta_Rules[[#This Row],[Kind]]</f>
        <v>[c Table 2 Row]__Display</v>
      </c>
      <c r="AK4" s="14" t="str">
        <f>meta_Rules[[#This Row],[Rule Biz ID Without Line]]&amp;"_"&amp;meta_Rules[[#This Row],[Line]]</f>
        <v>[c Table 2 Row]__Display_</v>
      </c>
      <c r="AL4" s="14" t="str">
        <f>IF(meta_Rules[[#This Row],[Line-1]]="","",INDEX(meta_Rules[Part:src],MATCH(meta_Rules[[#This Row],[Rule Biz ID Without Line]]&amp;"_"&amp;meta_Rules[[#This Row],[Line-1]],meta_Rules[Rule Biz ID],0)))</f>
        <v/>
      </c>
      <c r="AM4" s="14" t="str">
        <f>IF(TRIM(meta_Rules[[#This Row],[Line]])="","",IF(meta_Rules[[#This Row],[Line]]=1,"",meta_Rules[[#This Row],[Line]]-1))</f>
        <v/>
      </c>
      <c r="AN4" s="14">
        <f>IF(TRIM(meta_Rules[[#This Row],[Line]])="",0,IF(meta_Rules[[#This Row],[Line]]=1,0,
999))</f>
        <v>0</v>
      </c>
      <c r="AP4" s="39"/>
      <c r="AQ4" s="94" t="e">
        <f>_xlfn.IFNA(INDEX(meta_Classifiers[Display Qualified],MATCH(meta_Rules[[#This Row],[Base Super Class 6]],meta_Classifiers[ID],0))&amp;".","")</f>
        <v>#REF!</v>
      </c>
      <c r="AR4" s="35" t="e">
        <f>_xlfn.IFNA(INDEX(#REF!,MATCH(meta_Rules[[#This Row],[Base Super Class 5]],meta_Classifiers[ID],0)),0)</f>
        <v>#REF!</v>
      </c>
      <c r="AS4" s="35" t="e">
        <f>_xlfn.IFNA(INDEX(meta_Classifiers[Display Qualified],MATCH(meta_Rules[[#This Row],[Base Super Class 5]],meta_Classifiers[ID],0))&amp;".","")</f>
        <v>#REF!</v>
      </c>
      <c r="AT4" s="35" t="e">
        <f>_xlfn.IFNA(INDEX(#REF!,MATCH(meta_Rules[[#This Row],[Base Super Class 4]],meta_Classifiers[ID],0)),0)</f>
        <v>#REF!</v>
      </c>
      <c r="AU4" s="35" t="e">
        <f>_xlfn.IFNA(INDEX(meta_Classifiers[Display Qualified],MATCH(meta_Rules[[#This Row],[Base Super Class 4]],meta_Classifiers[ID],0))&amp;".","")</f>
        <v>#REF!</v>
      </c>
      <c r="AV4" s="35" t="e">
        <f>_xlfn.IFNA(INDEX(#REF!,MATCH(meta_Rules[[#This Row],[Base Super Class 3]],meta_Classifiers[ID],0)),0)</f>
        <v>#REF!</v>
      </c>
      <c r="AW4" s="35" t="e">
        <f>_xlfn.IFNA(INDEX(meta_Classifiers[Display Qualified],MATCH(meta_Rules[[#This Row],[Base Super Class 3]],meta_Classifiers[ID],0))&amp;".","")</f>
        <v>#REF!</v>
      </c>
      <c r="AX4" s="35" t="e">
        <f>_xlfn.IFNA(INDEX(#REF!,MATCH(meta_Rules[[#This Row],[Base Super Class 2]],meta_Classifiers[ID],0)),0)</f>
        <v>#REF!</v>
      </c>
      <c r="AY4" s="35" t="e">
        <f>_xlfn.IFNA(INDEX(meta_Classifiers[Display Qualified],MATCH(meta_Rules[[#This Row],[Base Super Class 2]],meta_Classifiers[ID],0))&amp;".","")</f>
        <v>#REF!</v>
      </c>
      <c r="AZ4" s="35" t="e">
        <f>_xlfn.IFNA(INDEX(#REF!,MATCH(meta_Rules[[#This Row],[Base Super Class 1]],meta_Classifiers[ID],0)),0)</f>
        <v>#REF!</v>
      </c>
      <c r="BA4" s="35" t="e">
        <f>_xlfn.IFNA(INDEX(meta_Classifiers[Display Qualified],MATCH(meta_Rules[[#This Row],[Base Super Class 1]],meta_Classifiers[ID],0))&amp;".","")</f>
        <v>#REF!</v>
      </c>
      <c r="BB4" s="35" t="e">
        <f>_xlfn.IFNA(INDEX(#REF!,MATCH(meta_Rules[[#This Row],[Base Type]],meta_Classifiers[ID],0)),0)</f>
        <v>#REF!</v>
      </c>
      <c r="BC4" s="35" t="str">
        <f>INDEX(meta_Classifiers[Display Qualified],MATCH(meta_Rules[[#This Row],[Base Type]],meta_Classifiers[ID],0))&amp;"."</f>
        <v>String.</v>
      </c>
      <c r="BD4" s="35" t="e">
        <f>INDEX(#REF!,MATCH(meta_Rules[[#This Row],[Base Type]],meta_Classifiers[ID],0))</f>
        <v>#REF!</v>
      </c>
      <c r="BE4"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4" s="35" t="str">
        <f>_xlfn.IFNA(INDEX(meta_TypedModelElements[ID],MATCH(meta_Rules[[#This Row],[Feature:src]]&amp;"."&amp;meta_Rules[[#This Row],[Base]],meta_TypedModelElements[ID],0)),"")</f>
        <v/>
      </c>
      <c r="BG4" s="34"/>
      <c r="BH4" s="35"/>
      <c r="BI4" s="34" t="str">
        <f xml:space="preserve"> _xlfn.IFNA( IF( TRIM( meta_Rules[[#This Row],[Property 1:src]] ) = "",
        "",
        INDEX( meta_TypedModelElements[Display without Class], MATCH( meta_Rules[[#This Row],[Property 1:src]], meta_TypedModelElements[ID], 0 ) )
 ), "")</f>
        <v/>
      </c>
      <c r="BJ4" s="35" t="e">
        <f>_xlfn.IFNA(INDEX(meta_Classifiers[Display Qualified],MATCH(meta_Rules[[#This Row],[Property 1 Super Class 6]],meta_Classifiers[ID],0))&amp;".","")</f>
        <v>#REF!</v>
      </c>
      <c r="BK4" s="35" t="e">
        <f>_xlfn.IFNA(INDEX(#REF!,MATCH(meta_Rules[[#This Row],[Property 1 Super Class 5]],meta_Classifiers[ID],0)),0)</f>
        <v>#REF!</v>
      </c>
      <c r="BL4" s="35" t="e">
        <f>_xlfn.IFNA(INDEX(meta_Classifiers[Display Qualified],MATCH(meta_Rules[[#This Row],[Property 1 Super Class 5]],meta_Classifiers[ID],0))&amp;".","")</f>
        <v>#REF!</v>
      </c>
      <c r="BM4" s="35" t="e">
        <f>_xlfn.IFNA(INDEX(#REF!,MATCH(meta_Rules[[#This Row],[Property 1 Super Class 4]],meta_Classifiers[ID],0)),0)</f>
        <v>#REF!</v>
      </c>
      <c r="BN4" s="35" t="e">
        <f>_xlfn.IFNA(INDEX(meta_Classifiers[Display Qualified],MATCH(meta_Rules[[#This Row],[Property 1 Super Class 4]],meta_Classifiers[ID],0))&amp;".","")</f>
        <v>#REF!</v>
      </c>
      <c r="BO4" s="35" t="e">
        <f>_xlfn.IFNA(INDEX(#REF!,MATCH(meta_Rules[[#This Row],[Property 1 Super Class 3]],meta_Classifiers[ID],0)),0)</f>
        <v>#REF!</v>
      </c>
      <c r="BP4" s="35" t="e">
        <f>_xlfn.IFNA(INDEX(meta_Classifiers[Display Qualified],MATCH(meta_Rules[[#This Row],[Property 1 Super Class 3]],meta_Classifiers[ID],0))&amp;".","")</f>
        <v>#REF!</v>
      </c>
      <c r="BQ4" s="35" t="e">
        <f>_xlfn.IFNA(INDEX(#REF!,MATCH(meta_Rules[[#This Row],[Property 1 Super Class 2]],meta_Classifiers[ID],0)),0)</f>
        <v>#REF!</v>
      </c>
      <c r="BR4" s="35" t="e">
        <f>_xlfn.IFNA(INDEX(meta_Classifiers[Display Qualified],MATCH(meta_Rules[[#This Row],[Property 1 Super Class 2]],meta_Classifiers[ID],0))&amp;".","")</f>
        <v>#REF!</v>
      </c>
      <c r="BS4" s="35" t="e">
        <f>_xlfn.IFNA(INDEX(#REF!,MATCH(meta_Rules[[#This Row],[Property 1 Super Class 1]],meta_Classifiers[ID],0)),0)</f>
        <v>#REF!</v>
      </c>
      <c r="BT4" s="35" t="e">
        <f>_xlfn.IFNA(INDEX(meta_Classifiers[Display Qualified],MATCH(meta_Rules[[#This Row],[Property 1 Super Class 1]],meta_Classifiers[ID],0))&amp;".","")</f>
        <v>#REF!</v>
      </c>
      <c r="BU4" s="35" t="e">
        <f>_xlfn.IFNA(INDEX(#REF!,MATCH(meta_Rules[[#This Row],[Property 1 Type]],meta_Classifiers[ID],0)),0)</f>
        <v>#REF!</v>
      </c>
      <c r="BV4" s="35">
        <f>_xlfn.IFNA(INDEX(meta_Classifiers[Display Qualified],MATCH(meta_Rules[[#This Row],[Property 1 Type]],meta_Classifiers[ID],0))&amp;".",0)</f>
        <v>0</v>
      </c>
      <c r="BW4" s="35" t="str">
        <f>IF(meta_Rules[[#This Row],[Property 1 Type]]="","",INDEX(#REF!,MATCH(meta_Rules[[#This Row],[Property 1 Type]],meta_Classifiers[ID],0)))</f>
        <v/>
      </c>
      <c r="BX4" s="35" t="str">
        <f>IF(meta_Rules[[#This Row],[Property 1:src]]="","",INDEX(meta_TypedModelElements[Type:src],MATCH(meta_Rules[[#This Row],[Property 1:src]],meta_TypedModelElements[ID],0)))</f>
        <v/>
      </c>
      <c r="BY4" s="35"/>
      <c r="BZ4" s="34" t="str">
        <f xml:space="preserve"> _xlfn.IFNA( IF( TRIM( meta_Rules[[#This Row],[Property 2:src]] ) = "",
        "",
        INDEX( meta_TypedModelElements[Display without Class], MATCH( meta_Rules[[#This Row],[Property 2:src]], meta_TypedModelElements[ID], 0 ) )
 ), "")</f>
        <v/>
      </c>
      <c r="CA4" s="35"/>
      <c r="CB4"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4" s="36" t="e">
        <f>_xlfn.IFNA(INDEX(meta_Classifiers[Display Qualified],MATCH(meta_Rules[[#This Row],[Property 2 Super Class 6]],meta_Classifiers[ID],0))&amp;".","")</f>
        <v>#REF!</v>
      </c>
      <c r="CD4" s="36" t="e">
        <f>_xlfn.IFNA(INDEX(#REF!,MATCH(meta_Rules[[#This Row],[Property 2 Super Class 5]],meta_Classifiers[ID],0)),0)</f>
        <v>#REF!</v>
      </c>
      <c r="CE4" s="36" t="e">
        <f>_xlfn.IFNA(INDEX(meta_Classifiers[Display Qualified],MATCH(meta_Rules[[#This Row],[Property 2 Super Class 5]],meta_Classifiers[ID],0))&amp;".","")</f>
        <v>#REF!</v>
      </c>
      <c r="CF4" s="36" t="e">
        <f>_xlfn.IFNA(INDEX(#REF!,MATCH(meta_Rules[[#This Row],[Property 2 Super Class 4]],meta_Classifiers[ID],0)),0)</f>
        <v>#REF!</v>
      </c>
      <c r="CG4" s="36" t="e">
        <f>_xlfn.IFNA(INDEX(meta_Classifiers[Display Qualified],MATCH(meta_Rules[[#This Row],[Property 2 Super Class 4]],meta_Classifiers[ID],0))&amp;".","")</f>
        <v>#REF!</v>
      </c>
      <c r="CH4" s="36" t="e">
        <f>_xlfn.IFNA(INDEX(#REF!,MATCH(meta_Rules[[#This Row],[Property 2 Super Class 3]],meta_Classifiers[ID],0)),0)</f>
        <v>#REF!</v>
      </c>
      <c r="CI4" s="36" t="e">
        <f>_xlfn.IFNA(INDEX(meta_Classifiers[Display Qualified],MATCH(meta_Rules[[#This Row],[Property 2 Super Class 3]],meta_Classifiers[ID],0))&amp;".","")</f>
        <v>#REF!</v>
      </c>
      <c r="CJ4" s="36" t="e">
        <f>_xlfn.IFNA(INDEX(#REF!,MATCH(meta_Rules[[#This Row],[Property 2 Super Class 2]],meta_Classifiers[ID],0)),0)</f>
        <v>#REF!</v>
      </c>
      <c r="CK4" s="36" t="e">
        <f>_xlfn.IFNA(INDEX(meta_Classifiers[Display Qualified],MATCH(meta_Rules[[#This Row],[Property 2 Super Class 2]],meta_Classifiers[ID],0))&amp;".","")</f>
        <v>#REF!</v>
      </c>
      <c r="CL4" s="36" t="e">
        <f>_xlfn.IFNA(INDEX(#REF!,MATCH(meta_Rules[[#This Row],[Property 2 Super Class 1]],meta_Classifiers[ID],0)),0)</f>
        <v>#REF!</v>
      </c>
      <c r="CM4" s="36" t="e">
        <f>_xlfn.IFNA(INDEX(meta_Classifiers[Display Qualified],MATCH(meta_Rules[[#This Row],[Property 2 Super Class 1]],meta_Classifiers[ID],0))&amp;".","")</f>
        <v>#REF!</v>
      </c>
      <c r="CN4" s="36" t="e">
        <f>_xlfn.IFNA(INDEX(#REF!,MATCH(meta_Rules[[#This Row],[Property 2 or Cast Type]],meta_Classifiers[ID],0)),0)</f>
        <v>#REF!</v>
      </c>
      <c r="CO4" s="36">
        <f>_xlfn.IFNA(INDEX(meta_Classifiers[Display Qualified],MATCH(meta_Rules[[#This Row],[Property 2 or Cast Type]],meta_Classifiers[ID],0))&amp;".",0)</f>
        <v>0</v>
      </c>
      <c r="CP4" s="36" t="str">
        <f>IF(meta_Rules[[#This Row],[Property 2 or Cast Type]]="","",INDEX(#REF!,MATCH(meta_Rules[[#This Row],[Property 2 or Cast Type]],meta_Classifiers[ID],0)))</f>
        <v/>
      </c>
      <c r="CQ4" s="36" t="str">
        <f>IF(meta_Rules[[#This Row],[Cast:src]]&lt;&gt;"",meta_Rules[[#This Row],[Cast:src]],IF(meta_Rules[[#This Row],[Property 2:src]]="","",INDEX(meta_TypedModelElements[Type:src],MATCH(meta_Rules[[#This Row],[Property 2:src]],meta_TypedModelElements[ID],0))))</f>
        <v/>
      </c>
      <c r="CR4" s="36"/>
      <c r="CS4" s="34" t="str">
        <f xml:space="preserve"> _xlfn.IFNA( IF( TRIM( meta_Rules[[#This Row],[Property 3:src]] ) = "",
        "",
        INDEX( meta_TypedModelElements[Display without Class], MATCH( meta_Rules[[#This Row],[Property 3:src]], meta_TypedModelElements[ID], 0 ) )
 ), "")</f>
        <v/>
      </c>
      <c r="CT4" s="34"/>
      <c r="CU4" s="5" t="str">
        <f t="shared" si="0"/>
        <v>1</v>
      </c>
      <c r="CV4" s="22"/>
      <c r="CW4" s="5" t="str">
        <f>IF(meta_Rules[[#This Row],[Manual VBA Code]]&lt;&gt;"",meta_Rules[[#This Row],[Manual VBA Code]],"TODO")</f>
        <v>TODO</v>
      </c>
      <c r="CX4" s="42"/>
      <c r="CY4" s="14"/>
      <c r="CZ4" s="22"/>
      <c r="DA4" s="22"/>
    </row>
    <row r="5" spans="1:108">
      <c r="B5" s="8" t="s">
        <v>808</v>
      </c>
      <c r="C5" s="22" t="str">
        <f>IF(meta_Rules[[#This Row],[Kind:src]]="","",INDEX(meta_Classifiers[Display Qualified],MATCH(meta_Rules[[#This Row],[Kind:src]],meta_Classifiers[ID],0)))</f>
        <v>DoActionRule</v>
      </c>
      <c r="D5" s="5" t="str">
        <f>_xlfn.IFNA(IF(meta_Rules[[#This Row],[Class:src]]="","util",INDEX(meta_Classifiers[Package],MATCH(meta_Rules[[#This Row],[Class:src]],meta_Classifiers[ID],0))),"")</f>
        <v>util</v>
      </c>
      <c r="E5" s="53"/>
      <c r="F5" s="38" t="str">
        <f>_xlfn.IFNA(INDEX(meta_Classifiers[Display Qualified],MATCH(meta_Rules[[#This Row],[Super Class 6]],meta_Classifiers[ID],0))&amp;".","")</f>
        <v/>
      </c>
      <c r="G5" s="38">
        <f>_xlfn.IFNA(INDEX(meta_Classifiers[Class - Generalization:src],MATCH(meta_Rules[[#This Row],[Super Class 5]],meta_Classifiers[ID],0)),0)</f>
        <v>0</v>
      </c>
      <c r="H5" s="38" t="str">
        <f>_xlfn.IFNA(INDEX(meta_Classifiers[Display Qualified],MATCH(meta_Rules[[#This Row],[Super Class 5]],meta_Classifiers[ID],0))&amp;".","")</f>
        <v/>
      </c>
      <c r="I5" s="38">
        <f>_xlfn.IFNA(INDEX(meta_Classifiers[Class - Generalization:src],MATCH(meta_Rules[[#This Row],[Super Class 4]],meta_Classifiers[ID],0)),0)</f>
        <v>0</v>
      </c>
      <c r="J5" s="38" t="str">
        <f>_xlfn.IFNA(INDEX(meta_Classifiers[Display Qualified],MATCH(meta_Rules[[#This Row],[Super Class 4]],meta_Classifiers[ID],0))&amp;".","")</f>
        <v/>
      </c>
      <c r="K5" s="38">
        <f>_xlfn.IFNA(INDEX(meta_Classifiers[Class - Generalization:src],MATCH(meta_Rules[[#This Row],[Super Class 3]],meta_Classifiers[ID],0)),0)</f>
        <v>0</v>
      </c>
      <c r="L5" s="38" t="str">
        <f>_xlfn.IFNA(INDEX(meta_Classifiers[Display Qualified],MATCH(meta_Rules[[#This Row],[Super Class 3]],meta_Classifiers[ID],0))&amp;".","")</f>
        <v/>
      </c>
      <c r="M5" s="38">
        <f>_xlfn.IFNA(INDEX(meta_Classifiers[Class - Generalization:src],MATCH(meta_Rules[[#This Row],[Super Class 2]],meta_Classifiers[ID],0)),0)</f>
        <v>0</v>
      </c>
      <c r="N5" s="38" t="str">
        <f>_xlfn.IFNA(INDEX(meta_Classifiers[Display Qualified],MATCH(meta_Rules[[#This Row],[Super Class 2]],meta_Classifiers[ID],0))&amp;".","")</f>
        <v/>
      </c>
      <c r="O5" s="38">
        <f>_xlfn.IFNA(INDEX(meta_Classifiers[Class - Generalization:src],MATCH(meta_Rules[[#This Row],[Super Class 1]],meta_Classifiers[ID],0)),0)</f>
        <v>0</v>
      </c>
      <c r="P5" s="38" t="str">
        <f>_xlfn.IFNA(INDEX(meta_Classifiers[Display Qualified],MATCH(meta_Rules[[#This Row],[Super Class 1]],meta_Classifiers[ID],0))&amp;".","")</f>
        <v/>
      </c>
      <c r="Q5" s="38">
        <f>_xlfn.IFNA(INDEX(meta_Classifiers[Class - Generalization:src],MATCH(meta_Rules[[#This Row],[Class:src]],meta_Classifiers[ID],0)),0)</f>
        <v>0</v>
      </c>
      <c r="R5" s="6" t="e">
        <f>INDEX(meta_Classifiers[Display Qualified],MATCH(meta_Rules[[#This Row],[Class:src]],meta_Classifiers[ID],0))&amp;"."</f>
        <v>#N/A</v>
      </c>
      <c r="T5" s="22" t="str">
        <f xml:space="preserve"> IF( TRIM( meta_Rules[[#This Row],[Class:src]] ) = "", "",
        INDEX( meta_Classifiers[Display Qualified], MATCH( meta_Rules[[#This Row],[Class:src]], meta_Classifiers[ID], 0 ) ) )</f>
        <v/>
      </c>
      <c r="U5" s="5" t="str">
        <f>IF(TRIM(meta_Rules[[#This Row],[Feature]])="","",INDEX(meta_TypedModelElements[Type Derived],MATCH(meta_Rules[[#This Row],[Feature:src]],meta_TypedModelElements[ID],0)))</f>
        <v/>
      </c>
      <c r="V5" s="5" t="str">
        <f>IF(meta_Rules[[#This Row],[Class:src]]="","_Datatype","_Class")</f>
        <v>_Datatype</v>
      </c>
      <c r="X5" s="22" t="str">
        <f xml:space="preserve"> _xlfn.IFNA( IF( TRIM( meta_Rules[[#This Row],[Feature:src]] ) = "",
        "",
        INDEX( meta_TypedModelElements[Display without Class], MATCH( meta_Rules[[#This Row],[Feature:src]], meta_TypedModelElements[ID], 0 ) )
 ), "")</f>
        <v/>
      </c>
      <c r="Y5" s="22"/>
      <c r="Z5" s="22"/>
      <c r="AA5" s="22"/>
      <c r="AB5" s="22"/>
      <c r="AC5" s="22"/>
      <c r="AF5" s="5" t="str">
        <f>IF(TRIM(meta_Rules[[#This Row],[Part]])="","",IF(
  TRIM(meta_Rules[[#This Row],[Package]])="",
          "",
          meta_Rules[[#This Row],[Package]]&amp;"::")
&amp;meta_Rules[[#This Row],[Part]])</f>
        <v/>
      </c>
      <c r="AG5" s="101"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DoActionRule</v>
      </c>
      <c r="AH5" s="101"/>
      <c r="AI5" s="101"/>
      <c r="AJ5" s="101" t="str">
        <f>meta_Rules[[#This Row],[Class:src]]&amp;"_"&amp;meta_Rules[[#This Row],[Feature]]&amp;"_"&amp;meta_Rules[[#This Row],[Kind]]</f>
        <v>__DoActionRule</v>
      </c>
      <c r="AK5" s="101" t="str">
        <f>meta_Rules[[#This Row],[Rule Biz ID Without Line]]&amp;"_"&amp;meta_Rules[[#This Row],[Line]]</f>
        <v>__DoActionRule_</v>
      </c>
      <c r="AL5" s="101" t="str">
        <f>IF(meta_Rules[[#This Row],[Line-1]]="","",INDEX(meta_Rules[Part:src],MATCH(meta_Rules[[#This Row],[Rule Biz ID Without Line]]&amp;"_"&amp;meta_Rules[[#This Row],[Line-1]],meta_Rules[Rule Biz ID],0)))</f>
        <v/>
      </c>
      <c r="AM5" s="101" t="str">
        <f>IF(TRIM(meta_Rules[[#This Row],[Line]])="","",IF(meta_Rules[[#This Row],[Line]]=1,"",meta_Rules[[#This Row],[Line]]-1))</f>
        <v/>
      </c>
      <c r="AN5" s="101">
        <f>IF(TRIM(meta_Rules[[#This Row],[Line]])="",0,IF(meta_Rules[[#This Row],[Line]]=1,0,
999))</f>
        <v>0</v>
      </c>
      <c r="AO5" s="101"/>
      <c r="AP5" s="39"/>
      <c r="AQ5" s="94" t="e">
        <f>_xlfn.IFNA(INDEX(meta_Classifiers[Display Qualified],MATCH(meta_Rules[[#This Row],[Base Super Class 6]],meta_Classifiers[ID],0))&amp;".","")</f>
        <v>#REF!</v>
      </c>
      <c r="AR5" s="35" t="e">
        <f>_xlfn.IFNA(INDEX(#REF!,MATCH(meta_Rules[[#This Row],[Base Super Class 5]],meta_Classifiers[ID],0)),0)</f>
        <v>#REF!</v>
      </c>
      <c r="AS5" s="35" t="e">
        <f>_xlfn.IFNA(INDEX(meta_Classifiers[Display Qualified],MATCH(meta_Rules[[#This Row],[Base Super Class 5]],meta_Classifiers[ID],0))&amp;".","")</f>
        <v>#REF!</v>
      </c>
      <c r="AT5" s="35" t="e">
        <f>_xlfn.IFNA(INDEX(#REF!,MATCH(meta_Rules[[#This Row],[Base Super Class 4]],meta_Classifiers[ID],0)),0)</f>
        <v>#REF!</v>
      </c>
      <c r="AU5" s="35" t="e">
        <f>_xlfn.IFNA(INDEX(meta_Classifiers[Display Qualified],MATCH(meta_Rules[[#This Row],[Base Super Class 4]],meta_Classifiers[ID],0))&amp;".","")</f>
        <v>#REF!</v>
      </c>
      <c r="AV5" s="35" t="e">
        <f>_xlfn.IFNA(INDEX(#REF!,MATCH(meta_Rules[[#This Row],[Base Super Class 3]],meta_Classifiers[ID],0)),0)</f>
        <v>#REF!</v>
      </c>
      <c r="AW5" s="35" t="e">
        <f>_xlfn.IFNA(INDEX(meta_Classifiers[Display Qualified],MATCH(meta_Rules[[#This Row],[Base Super Class 3]],meta_Classifiers[ID],0))&amp;".","")</f>
        <v>#REF!</v>
      </c>
      <c r="AX5" s="35" t="e">
        <f>_xlfn.IFNA(INDEX(#REF!,MATCH(meta_Rules[[#This Row],[Base Super Class 2]],meta_Classifiers[ID],0)),0)</f>
        <v>#REF!</v>
      </c>
      <c r="AY5" s="35" t="e">
        <f>_xlfn.IFNA(INDEX(meta_Classifiers[Display Qualified],MATCH(meta_Rules[[#This Row],[Base Super Class 2]],meta_Classifiers[ID],0))&amp;".","")</f>
        <v>#REF!</v>
      </c>
      <c r="AZ5" s="35" t="e">
        <f>_xlfn.IFNA(INDEX(#REF!,MATCH(meta_Rules[[#This Row],[Base Super Class 1]],meta_Classifiers[ID],0)),0)</f>
        <v>#REF!</v>
      </c>
      <c r="BA5" s="35" t="e">
        <f>_xlfn.IFNA(INDEX(meta_Classifiers[Display Qualified],MATCH(meta_Rules[[#This Row],[Base Super Class 1]],meta_Classifiers[ID],0))&amp;".","")</f>
        <v>#REF!</v>
      </c>
      <c r="BB5" s="35" t="e">
        <f>_xlfn.IFNA(INDEX(#REF!,MATCH(meta_Rules[[#This Row],[Base Type]],meta_Classifiers[ID],0)),0)</f>
        <v>#REF!</v>
      </c>
      <c r="BC5" s="35" t="str">
        <f>INDEX(meta_Classifiers[Display Qualified],MATCH(meta_Rules[[#This Row],[Base Type]],meta_Classifiers[ID],0))&amp;"."</f>
        <v>String.</v>
      </c>
      <c r="BD5" s="35" t="e">
        <f>INDEX(#REF!,MATCH(meta_Rules[[#This Row],[Base Type]],meta_Classifiers[ID],0))</f>
        <v>#REF!</v>
      </c>
      <c r="BE5"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5" s="35" t="str">
        <f>_xlfn.IFNA(INDEX(meta_TypedModelElements[ID],MATCH(meta_Rules[[#This Row],[Feature:src]]&amp;"."&amp;meta_Rules[[#This Row],[Base]],meta_TypedModelElements[ID],0)),"")</f>
        <v/>
      </c>
      <c r="BG5" s="34"/>
      <c r="BH5" s="35"/>
      <c r="BI5" s="34" t="str">
        <f xml:space="preserve"> _xlfn.IFNA( IF( TRIM( meta_Rules[[#This Row],[Property 1:src]] ) = "",
        "",
        INDEX( meta_TypedModelElements[Display without Class], MATCH( meta_Rules[[#This Row],[Property 1:src]], meta_TypedModelElements[ID], 0 ) )
 ), "")</f>
        <v/>
      </c>
      <c r="BJ5" s="35" t="e">
        <f>_xlfn.IFNA(INDEX(meta_Classifiers[Display Qualified],MATCH(meta_Rules[[#This Row],[Property 1 Super Class 6]],meta_Classifiers[ID],0))&amp;".","")</f>
        <v>#REF!</v>
      </c>
      <c r="BK5" s="35" t="e">
        <f>_xlfn.IFNA(INDEX(#REF!,MATCH(meta_Rules[[#This Row],[Property 1 Super Class 5]],meta_Classifiers[ID],0)),0)</f>
        <v>#REF!</v>
      </c>
      <c r="BL5" s="35" t="e">
        <f>_xlfn.IFNA(INDEX(meta_Classifiers[Display Qualified],MATCH(meta_Rules[[#This Row],[Property 1 Super Class 5]],meta_Classifiers[ID],0))&amp;".","")</f>
        <v>#REF!</v>
      </c>
      <c r="BM5" s="35" t="e">
        <f>_xlfn.IFNA(INDEX(#REF!,MATCH(meta_Rules[[#This Row],[Property 1 Super Class 4]],meta_Classifiers[ID],0)),0)</f>
        <v>#REF!</v>
      </c>
      <c r="BN5" s="35" t="e">
        <f>_xlfn.IFNA(INDEX(meta_Classifiers[Display Qualified],MATCH(meta_Rules[[#This Row],[Property 1 Super Class 4]],meta_Classifiers[ID],0))&amp;".","")</f>
        <v>#REF!</v>
      </c>
      <c r="BO5" s="35" t="e">
        <f>_xlfn.IFNA(INDEX(#REF!,MATCH(meta_Rules[[#This Row],[Property 1 Super Class 3]],meta_Classifiers[ID],0)),0)</f>
        <v>#REF!</v>
      </c>
      <c r="BP5" s="35" t="e">
        <f>_xlfn.IFNA(INDEX(meta_Classifiers[Display Qualified],MATCH(meta_Rules[[#This Row],[Property 1 Super Class 3]],meta_Classifiers[ID],0))&amp;".","")</f>
        <v>#REF!</v>
      </c>
      <c r="BQ5" s="35" t="e">
        <f>_xlfn.IFNA(INDEX(#REF!,MATCH(meta_Rules[[#This Row],[Property 1 Super Class 2]],meta_Classifiers[ID],0)),0)</f>
        <v>#REF!</v>
      </c>
      <c r="BR5" s="35" t="e">
        <f>_xlfn.IFNA(INDEX(meta_Classifiers[Display Qualified],MATCH(meta_Rules[[#This Row],[Property 1 Super Class 2]],meta_Classifiers[ID],0))&amp;".","")</f>
        <v>#REF!</v>
      </c>
      <c r="BS5" s="35" t="e">
        <f>_xlfn.IFNA(INDEX(#REF!,MATCH(meta_Rules[[#This Row],[Property 1 Super Class 1]],meta_Classifiers[ID],0)),0)</f>
        <v>#REF!</v>
      </c>
      <c r="BT5" s="35" t="e">
        <f>_xlfn.IFNA(INDEX(meta_Classifiers[Display Qualified],MATCH(meta_Rules[[#This Row],[Property 1 Super Class 1]],meta_Classifiers[ID],0))&amp;".","")</f>
        <v>#REF!</v>
      </c>
      <c r="BU5" s="35" t="e">
        <f>_xlfn.IFNA(INDEX(#REF!,MATCH(meta_Rules[[#This Row],[Property 1 Type]],meta_Classifiers[ID],0)),0)</f>
        <v>#REF!</v>
      </c>
      <c r="BV5" s="35">
        <f>_xlfn.IFNA(INDEX(meta_Classifiers[Display Qualified],MATCH(meta_Rules[[#This Row],[Property 1 Type]],meta_Classifiers[ID],0))&amp;".",0)</f>
        <v>0</v>
      </c>
      <c r="BW5" s="35" t="str">
        <f>IF(meta_Rules[[#This Row],[Property 1 Type]]="","",INDEX(#REF!,MATCH(meta_Rules[[#This Row],[Property 1 Type]],meta_Classifiers[ID],0)))</f>
        <v/>
      </c>
      <c r="BX5" s="35" t="str">
        <f>IF(meta_Rules[[#This Row],[Property 1:src]]="","",INDEX(meta_TypedModelElements[Type:src],MATCH(meta_Rules[[#This Row],[Property 1:src]],meta_TypedModelElements[ID],0)))</f>
        <v/>
      </c>
      <c r="BY5" s="35"/>
      <c r="BZ5" s="34" t="str">
        <f xml:space="preserve"> _xlfn.IFNA( IF( TRIM( meta_Rules[[#This Row],[Property 2:src]] ) = "",
        "",
        INDEX( meta_TypedModelElements[Display without Class], MATCH( meta_Rules[[#This Row],[Property 2:src]], meta_TypedModelElements[ID], 0 ) )
 ), "")</f>
        <v/>
      </c>
      <c r="CA5" s="35"/>
      <c r="CB5"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5" s="36" t="e">
        <f>_xlfn.IFNA(INDEX(meta_Classifiers[Display Qualified],MATCH(meta_Rules[[#This Row],[Property 2 Super Class 6]],meta_Classifiers[ID],0))&amp;".","")</f>
        <v>#REF!</v>
      </c>
      <c r="CD5" s="36" t="e">
        <f>_xlfn.IFNA(INDEX(#REF!,MATCH(meta_Rules[[#This Row],[Property 2 Super Class 5]],meta_Classifiers[ID],0)),0)</f>
        <v>#REF!</v>
      </c>
      <c r="CE5" s="36" t="e">
        <f>_xlfn.IFNA(INDEX(meta_Classifiers[Display Qualified],MATCH(meta_Rules[[#This Row],[Property 2 Super Class 5]],meta_Classifiers[ID],0))&amp;".","")</f>
        <v>#REF!</v>
      </c>
      <c r="CF5" s="36" t="e">
        <f>_xlfn.IFNA(INDEX(#REF!,MATCH(meta_Rules[[#This Row],[Property 2 Super Class 4]],meta_Classifiers[ID],0)),0)</f>
        <v>#REF!</v>
      </c>
      <c r="CG5" s="36" t="e">
        <f>_xlfn.IFNA(INDEX(meta_Classifiers[Display Qualified],MATCH(meta_Rules[[#This Row],[Property 2 Super Class 4]],meta_Classifiers[ID],0))&amp;".","")</f>
        <v>#REF!</v>
      </c>
      <c r="CH5" s="36" t="e">
        <f>_xlfn.IFNA(INDEX(#REF!,MATCH(meta_Rules[[#This Row],[Property 2 Super Class 3]],meta_Classifiers[ID],0)),0)</f>
        <v>#REF!</v>
      </c>
      <c r="CI5" s="36" t="e">
        <f>_xlfn.IFNA(INDEX(meta_Classifiers[Display Qualified],MATCH(meta_Rules[[#This Row],[Property 2 Super Class 3]],meta_Classifiers[ID],0))&amp;".","")</f>
        <v>#REF!</v>
      </c>
      <c r="CJ5" s="36" t="e">
        <f>_xlfn.IFNA(INDEX(#REF!,MATCH(meta_Rules[[#This Row],[Property 2 Super Class 2]],meta_Classifiers[ID],0)),0)</f>
        <v>#REF!</v>
      </c>
      <c r="CK5" s="36" t="e">
        <f>_xlfn.IFNA(INDEX(meta_Classifiers[Display Qualified],MATCH(meta_Rules[[#This Row],[Property 2 Super Class 2]],meta_Classifiers[ID],0))&amp;".","")</f>
        <v>#REF!</v>
      </c>
      <c r="CL5" s="36" t="e">
        <f>_xlfn.IFNA(INDEX(#REF!,MATCH(meta_Rules[[#This Row],[Property 2 Super Class 1]],meta_Classifiers[ID],0)),0)</f>
        <v>#REF!</v>
      </c>
      <c r="CM5" s="36" t="e">
        <f>_xlfn.IFNA(INDEX(meta_Classifiers[Display Qualified],MATCH(meta_Rules[[#This Row],[Property 2 Super Class 1]],meta_Classifiers[ID],0))&amp;".","")</f>
        <v>#REF!</v>
      </c>
      <c r="CN5" s="36" t="e">
        <f>_xlfn.IFNA(INDEX(#REF!,MATCH(meta_Rules[[#This Row],[Property 2 or Cast Type]],meta_Classifiers[ID],0)),0)</f>
        <v>#REF!</v>
      </c>
      <c r="CO5" s="36">
        <f>_xlfn.IFNA(INDEX(meta_Classifiers[Display Qualified],MATCH(meta_Rules[[#This Row],[Property 2 or Cast Type]],meta_Classifiers[ID],0))&amp;".",0)</f>
        <v>0</v>
      </c>
      <c r="CP5" s="36" t="str">
        <f>IF(meta_Rules[[#This Row],[Property 2 or Cast Type]]="","",INDEX(#REF!,MATCH(meta_Rules[[#This Row],[Property 2 or Cast Type]],meta_Classifiers[ID],0)))</f>
        <v/>
      </c>
      <c r="CQ5" s="36" t="str">
        <f>IF(meta_Rules[[#This Row],[Cast:src]]&lt;&gt;"",meta_Rules[[#This Row],[Cast:src]],IF(meta_Rules[[#This Row],[Property 2:src]]="","",INDEX(meta_TypedModelElements[Type:src],MATCH(meta_Rules[[#This Row],[Property 2:src]],meta_TypedModelElements[ID],0))))</f>
        <v/>
      </c>
      <c r="CR5" s="36"/>
      <c r="CS5" s="34" t="str">
        <f xml:space="preserve"> _xlfn.IFNA( IF( TRIM( meta_Rules[[#This Row],[Property 3:src]] ) = "",
        "",
        INDEX( meta_TypedModelElements[Display without Class], MATCH( meta_Rules[[#This Row],[Property 3:src]], meta_TypedModelElements[ID], 0 ) )
 ), "")</f>
        <v/>
      </c>
      <c r="CT5" s="34"/>
      <c r="CU5" s="5" t="str">
        <f t="shared" si="0"/>
        <v>1</v>
      </c>
      <c r="CV5" s="22"/>
      <c r="CW5" s="5" t="str">
        <f>IF(meta_Rules[[#This Row],[Manual VBA Code]]&lt;&gt;"",meta_Rules[[#This Row],[Manual VBA Code]],"TODO")</f>
        <v>TODO</v>
      </c>
      <c r="CX5" s="102"/>
      <c r="CY5" s="101"/>
      <c r="CZ5" s="22"/>
      <c r="DA5" s="22"/>
    </row>
  </sheetData>
  <phoneticPr fontId="2" type="noConversion"/>
  <dataValidations count="1">
    <dataValidation type="list" allowBlank="1" showInputMessage="1" showErrorMessage="1" sqref="C2:C5" xr:uid="{EA9B56EA-A067-4527-9BF5-30B68C671DEA}">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eta_TablePatterns">
    <tabColor rgb="FF7030A0"/>
  </sheetPr>
  <dimension ref="A2:V4"/>
  <sheetViews>
    <sheetView zoomScaleNormal="100" workbookViewId="0">
      <selection activeCell="C3" sqref="C3:C4"/>
    </sheetView>
  </sheetViews>
  <sheetFormatPr defaultColWidth="11" defaultRowHeight="15" outlineLevelRow="1" outlineLevelCol="2"/>
  <cols>
    <col min="1" max="1" width="23.140625" style="5" customWidth="1"/>
    <col min="2" max="2" width="23.140625" style="5" customWidth="1" outlineLevel="1"/>
    <col min="3" max="4" width="11" style="5"/>
    <col min="5" max="5" width="4" style="5" customWidth="1"/>
    <col min="6" max="6" width="17.42578125" style="5" hidden="1" customWidth="1" outlineLevel="2"/>
    <col min="7" max="7" width="11" style="5" hidden="1" customWidth="1" outlineLevel="1"/>
    <col min="8" max="8" width="20.42578125" style="5" bestFit="1" customWidth="1" collapsed="1"/>
    <col min="9" max="20" width="20.42578125" style="5" customWidth="1"/>
    <col min="21" max="21" width="135.140625" customWidth="1"/>
    <col min="22" max="22" width="10.42578125" style="7" bestFit="1" customWidth="1"/>
    <col min="23" max="16384" width="11" style="5"/>
  </cols>
  <sheetData>
    <row r="2" spans="1:22" ht="112.5">
      <c r="A2" s="2" t="s">
        <v>0</v>
      </c>
      <c r="B2" s="18" t="s">
        <v>230</v>
      </c>
      <c r="C2" s="18" t="s">
        <v>5</v>
      </c>
      <c r="D2" s="2" t="s">
        <v>120</v>
      </c>
      <c r="E2" s="2" t="s">
        <v>461</v>
      </c>
      <c r="F2" s="19" t="s">
        <v>141</v>
      </c>
      <c r="G2" s="19" t="s">
        <v>32</v>
      </c>
      <c r="H2" s="2" t="s">
        <v>1</v>
      </c>
      <c r="I2" s="2" t="s">
        <v>511</v>
      </c>
      <c r="J2" s="2" t="s">
        <v>532</v>
      </c>
      <c r="K2" s="2" t="s">
        <v>533</v>
      </c>
      <c r="L2" s="2" t="s">
        <v>512</v>
      </c>
      <c r="M2" s="2" t="s">
        <v>513</v>
      </c>
      <c r="N2" s="2" t="s">
        <v>514</v>
      </c>
      <c r="O2" s="2" t="s">
        <v>515</v>
      </c>
      <c r="P2" s="2" t="s">
        <v>516</v>
      </c>
      <c r="Q2" s="2" t="s">
        <v>517</v>
      </c>
      <c r="R2" s="2" t="s">
        <v>518</v>
      </c>
      <c r="S2" s="2" t="s">
        <v>519</v>
      </c>
      <c r="T2" s="2" t="s">
        <v>520</v>
      </c>
      <c r="U2" s="20" t="s">
        <v>84</v>
      </c>
      <c r="V2" s="5"/>
    </row>
    <row r="3" spans="1:22" ht="30.75" customHeight="1" outlineLevel="1">
      <c r="A3" s="5" t="s">
        <v>600</v>
      </c>
      <c r="B3" s="5" t="s">
        <v>524</v>
      </c>
      <c r="C3" s="22" t="str">
        <f>IF(meta_TablePatterns[[#This Row],[Kind:src]]="","",INDEX(meta_Classifiers[Display Qualified],MATCH(meta_TablePatterns[[#This Row],[Kind:src]],meta_Classifiers[ID],0)))</f>
        <v>TablePattern</v>
      </c>
      <c r="D3" s="23"/>
      <c r="E3" s="22"/>
      <c r="F3" s="5" t="str">
        <f>IF(TRIM(meta_TablePatterns[[#This Row],[Package]])="","",TRIM(LOWER(meta_TablePatterns[[#This Row],[Package]]))&amp;"::")&amp;meta_TablePatterns[[#This Row],[Display]]</f>
        <v/>
      </c>
      <c r="G3" s="5" t="str">
        <f>TRIM(SUBSTITUTE(meta_TablePatterns[[#This Row],[Name]]," ",""))</f>
        <v/>
      </c>
      <c r="H3" s="22"/>
      <c r="I3" s="22"/>
      <c r="J3" s="22"/>
      <c r="K3" s="22"/>
      <c r="L3" s="22"/>
      <c r="M3" s="22"/>
      <c r="N3" s="22"/>
      <c r="O3" s="22"/>
      <c r="P3" s="22"/>
      <c r="Q3" s="22"/>
      <c r="R3" s="22"/>
      <c r="S3" s="22"/>
      <c r="T3" s="22"/>
      <c r="U3" s="25"/>
      <c r="V3" s="5"/>
    </row>
    <row r="4" spans="1:22">
      <c r="A4" s="5" t="s">
        <v>160</v>
      </c>
      <c r="B4" s="5" t="s">
        <v>524</v>
      </c>
      <c r="C4" s="22" t="str">
        <f>IF(meta_TablePatterns[[#This Row],[Kind:src]]="","",INDEX(meta_Classifiers[Display Qualified],MATCH(meta_TablePatterns[[#This Row],[Kind:src]],meta_Classifiers[ID],0)))</f>
        <v>TablePattern</v>
      </c>
      <c r="D4" s="22" t="s">
        <v>142</v>
      </c>
      <c r="E4" s="22"/>
      <c r="F4" s="5" t="str">
        <f>IF(TRIM(meta_TablePatterns[[#This Row],[Package]])="","",TRIM(LOWER(meta_TablePatterns[[#This Row],[Package]]))&amp;"::")&amp;meta_TablePatterns[[#This Row],[Display]]</f>
        <v>meta::UtilCode</v>
      </c>
      <c r="G4" s="5" t="str">
        <f>TRIM(SUBSTITUTE(meta_TablePatterns[[#This Row],[Name]]," ",""))</f>
        <v>UtilCode</v>
      </c>
      <c r="H4" s="22" t="s">
        <v>509</v>
      </c>
      <c r="I4" s="22" t="s">
        <v>9</v>
      </c>
      <c r="J4" s="22" t="s">
        <v>5</v>
      </c>
      <c r="K4" s="22"/>
      <c r="L4" s="22" t="s">
        <v>6</v>
      </c>
      <c r="M4" s="22" t="s">
        <v>12</v>
      </c>
      <c r="N4" s="22" t="s">
        <v>5</v>
      </c>
      <c r="O4" s="22" t="s">
        <v>510</v>
      </c>
      <c r="P4" s="22"/>
      <c r="Q4" s="22"/>
      <c r="R4" s="22"/>
      <c r="S4" s="22"/>
      <c r="T4" s="22"/>
      <c r="U4" s="25"/>
      <c r="V4" s="5"/>
    </row>
  </sheetData>
  <phoneticPr fontId="2" type="noConversion"/>
  <dataValidations count="1">
    <dataValidation type="list" allowBlank="1" showInputMessage="1" showErrorMessage="1" sqref="C3:C4" xr:uid="{F69508DC-2A8A-480D-B5F0-9763591EA4C5}">
      <formula1>INDIRECT("meta_Classifiers[Display Qualified]")</formula1>
    </dataValidation>
  </dataValidations>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eta_CodeTemplates">
    <tabColor rgb="FF7030A0"/>
  </sheetPr>
  <dimension ref="A1:AC5"/>
  <sheetViews>
    <sheetView zoomScale="130" zoomScaleNormal="130" workbookViewId="0">
      <pane xSplit="1" ySplit="2" topLeftCell="B3" activePane="bottomRight" state="frozen"/>
      <selection activeCell="J1" sqref="J1:J1048576"/>
      <selection pane="topRight" activeCell="J1" sqref="J1:J1048576"/>
      <selection pane="bottomLeft" activeCell="J1" sqref="J1:J1048576"/>
      <selection pane="bottomRight" activeCell="C3" sqref="C3"/>
    </sheetView>
  </sheetViews>
  <sheetFormatPr defaultColWidth="11" defaultRowHeight="15" outlineLevelRow="1" outlineLevelCol="1"/>
  <cols>
    <col min="1" max="1" width="23.140625" style="5" customWidth="1"/>
    <col min="2" max="2" width="23.140625" style="5" customWidth="1" outlineLevel="1"/>
    <col min="3" max="4" width="11" style="5"/>
    <col min="5" max="5" width="4" style="5" customWidth="1"/>
    <col min="6" max="6" width="17.42578125" style="5" hidden="1" customWidth="1" outlineLevel="1"/>
    <col min="7" max="7" width="11" style="5" customWidth="1" collapsed="1"/>
    <col min="8" max="8" width="11" style="5" customWidth="1"/>
    <col min="11" max="11" width="20.42578125" style="5" bestFit="1" customWidth="1"/>
    <col min="12" max="14" width="20.42578125" style="5" customWidth="1"/>
    <col min="15" max="20" width="18.140625" style="5" customWidth="1"/>
    <col min="21" max="23" width="20.42578125" style="5" customWidth="1"/>
    <col min="24" max="24" width="175.42578125" style="5" bestFit="1" customWidth="1"/>
    <col min="25" max="25" width="8.85546875" style="5" customWidth="1"/>
    <col min="28" max="28" width="135.140625" customWidth="1"/>
    <col min="29" max="29" width="124.42578125" style="7" customWidth="1"/>
    <col min="30" max="16384" width="11" style="5"/>
  </cols>
  <sheetData>
    <row r="1" spans="1:29">
      <c r="I1" s="5"/>
      <c r="J1" s="5"/>
      <c r="X1"/>
      <c r="Y1" s="7"/>
      <c r="Z1" s="5"/>
      <c r="AA1" s="5"/>
      <c r="AB1" s="5"/>
      <c r="AC1" s="5"/>
    </row>
    <row r="2" spans="1:29" ht="132" customHeight="1">
      <c r="A2" s="2" t="s">
        <v>0</v>
      </c>
      <c r="B2" s="18" t="s">
        <v>230</v>
      </c>
      <c r="C2" s="18" t="s">
        <v>5</v>
      </c>
      <c r="D2" s="2" t="s">
        <v>120</v>
      </c>
      <c r="E2" s="2" t="s">
        <v>461</v>
      </c>
      <c r="F2" s="19" t="s">
        <v>141</v>
      </c>
      <c r="G2" s="19" t="s">
        <v>32</v>
      </c>
      <c r="H2" s="2" t="s">
        <v>536</v>
      </c>
      <c r="I2" s="2" t="s">
        <v>506</v>
      </c>
      <c r="J2" s="18" t="s">
        <v>504</v>
      </c>
      <c r="K2" s="18" t="s">
        <v>505</v>
      </c>
      <c r="L2" s="18" t="s">
        <v>537</v>
      </c>
      <c r="M2" s="18" t="s">
        <v>538</v>
      </c>
      <c r="N2" s="18" t="s">
        <v>531</v>
      </c>
      <c r="O2" s="2" t="s">
        <v>507</v>
      </c>
      <c r="P2" s="18" t="s">
        <v>528</v>
      </c>
      <c r="Q2" s="18" t="s">
        <v>529</v>
      </c>
      <c r="R2" s="18" t="s">
        <v>539</v>
      </c>
      <c r="S2" s="18" t="s">
        <v>540</v>
      </c>
      <c r="T2" s="18" t="s">
        <v>530</v>
      </c>
      <c r="U2" s="2" t="s">
        <v>508</v>
      </c>
      <c r="V2" s="2" t="s">
        <v>502</v>
      </c>
      <c r="W2" s="2" t="s">
        <v>503</v>
      </c>
      <c r="X2" s="20" t="s">
        <v>84</v>
      </c>
      <c r="Z2" s="5"/>
      <c r="AA2" s="5"/>
      <c r="AB2" s="5"/>
      <c r="AC2" s="5"/>
    </row>
    <row r="3" spans="1:29" ht="240.95" customHeight="1" outlineLevel="1">
      <c r="A3" s="5" t="s">
        <v>601</v>
      </c>
      <c r="C3" s="22"/>
      <c r="D3" s="23"/>
      <c r="E3" s="22"/>
      <c r="F3" s="5" t="str">
        <f>IF(TRIM(meta_CodeTemplates[[#This Row],[Package]])="","",TRIM(LOWER(meta_CodeTemplates[[#This Row],[Package]]))&amp;"::")&amp;meta_CodeTemplates[[#This Row],[Display]]</f>
        <v/>
      </c>
      <c r="G3" s="5" t="str">
        <f>TRIM(SUBSTITUTE(meta_CodeTemplates[[#This Row],[Template Begin]]," ",""))</f>
        <v/>
      </c>
      <c r="I3" s="25"/>
      <c r="J3" s="5"/>
      <c r="K3"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3" s="22"/>
      <c r="M3" s="22"/>
      <c r="N3" s="22"/>
      <c r="O3" s="22"/>
      <c r="P3" s="22"/>
      <c r="Q3" s="22"/>
      <c r="R3" s="22"/>
      <c r="S3" s="22"/>
      <c r="T3" s="22"/>
      <c r="U3" s="22"/>
      <c r="V3" s="22"/>
      <c r="W3" s="22"/>
      <c r="X3" s="25"/>
      <c r="Z3" s="5"/>
      <c r="AA3" s="5"/>
      <c r="AB3" s="5"/>
      <c r="AC3" s="5"/>
    </row>
    <row r="4" spans="1:29" ht="255">
      <c r="A4" s="5" t="s">
        <v>160</v>
      </c>
      <c r="B4" s="5" t="s">
        <v>163</v>
      </c>
      <c r="C4" s="22" t="s">
        <v>451</v>
      </c>
      <c r="D4" s="22" t="s">
        <v>142</v>
      </c>
      <c r="E4" s="22"/>
      <c r="F4" s="5" t="str">
        <f>IF(TRIM(meta_CodeTemplates[[#This Row],[Package]])="","",TRIM(LOWER(meta_CodeTemplates[[#This Row],[Package]]))&amp;"::")&amp;meta_CodeTemplates[[#This Row],[Display]]</f>
        <v xml:space="preserve">meta::mystartbla…
@g1.p1
@g2.p3
</v>
      </c>
      <c r="G4" s="5" t="str">
        <f>TRIM(SUBSTITUTE(meta_CodeTemplates[[#This Row],[Template Begin]]," ",""))</f>
        <v xml:space="preserve">mystartbla…
@g1.p1
@g2.p3
</v>
      </c>
      <c r="I4" s="25" t="s">
        <v>501</v>
      </c>
      <c r="J4" s="22"/>
      <c r="K4"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4" s="22"/>
      <c r="M4" s="22"/>
      <c r="N4" s="22"/>
      <c r="O4" s="22"/>
      <c r="P4" s="22"/>
      <c r="Q4" s="22"/>
      <c r="R4" s="22"/>
      <c r="S4" s="22"/>
      <c r="T4" s="22"/>
      <c r="U4" s="22"/>
      <c r="V4" s="22"/>
      <c r="W4" s="22"/>
      <c r="X4" s="25" t="s">
        <v>367</v>
      </c>
      <c r="Y4"/>
      <c r="AA4" s="7"/>
      <c r="AB4" s="5"/>
      <c r="AC4" s="5"/>
    </row>
    <row r="5" spans="1:29">
      <c r="A5" s="5" t="s">
        <v>604</v>
      </c>
      <c r="C5" s="22" t="s">
        <v>450</v>
      </c>
      <c r="D5" s="22"/>
      <c r="E5" s="22"/>
      <c r="F5" s="5" t="str">
        <f>IF(TRIM(meta_CodeTemplates[[#This Row],[Package]])="","",TRIM(LOWER(meta_CodeTemplates[[#This Row],[Package]]))&amp;"::")&amp;meta_CodeTemplates[[#This Row],[Display]]</f>
        <v/>
      </c>
      <c r="G5" s="5" t="str">
        <f>TRIM(SUBSTITUTE(meta_CodeTemplates[[#This Row],[Template Begin]]," ",""))</f>
        <v/>
      </c>
      <c r="I5" s="22"/>
      <c r="J5" s="22"/>
      <c r="K5"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5" s="22"/>
      <c r="M5" s="22"/>
      <c r="N5" s="22"/>
      <c r="O5" s="22"/>
      <c r="P5" s="22"/>
      <c r="Q5" s="22"/>
      <c r="R5" s="22"/>
      <c r="S5" s="22"/>
      <c r="T5" s="22"/>
      <c r="U5" s="22"/>
      <c r="V5" s="22"/>
      <c r="W5" s="22"/>
      <c r="X5" s="25"/>
      <c r="Y5"/>
      <c r="AA5" s="7"/>
      <c r="AB5" s="5"/>
      <c r="AC5" s="5"/>
    </row>
  </sheetData>
  <phoneticPr fontId="2" type="noConversion"/>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elowred_Table1Rows">
    <tabColor theme="7" tint="0.79998168889431442"/>
  </sheetPr>
  <dimension ref="A1:AB62"/>
  <sheetViews>
    <sheetView zoomScale="90" zoomScaleNormal="90" workbookViewId="0">
      <pane xSplit="9" ySplit="4" topLeftCell="J5" activePane="bottomRight" state="frozen"/>
      <selection activeCell="F1" sqref="F1"/>
      <selection pane="topRight" activeCell="G1" sqref="G1"/>
      <selection pane="bottomLeft" activeCell="F2" sqref="F2"/>
      <selection pane="bottomRight" activeCell="H5" sqref="H5:H62"/>
    </sheetView>
  </sheetViews>
  <sheetFormatPr defaultColWidth="11.42578125" defaultRowHeight="15" outlineLevelCol="2"/>
  <cols>
    <col min="1" max="1" width="20.85546875" style="5" bestFit="1" customWidth="1"/>
    <col min="2" max="3" width="7.85546875" style="5" customWidth="1" outlineLevel="1"/>
    <col min="4" max="4" width="18" style="5" customWidth="1" outlineLevel="1"/>
    <col min="5" max="6" width="9.42578125" style="5" customWidth="1" outlineLevel="1"/>
    <col min="7" max="7" width="15.140625" style="5" customWidth="1" outlineLevel="2"/>
    <col min="8" max="8" width="37.140625" style="5" customWidth="1" outlineLevel="1"/>
    <col min="9" max="9" width="56.42578125" style="5" customWidth="1"/>
    <col min="10" max="10" width="31.42578125" style="7" customWidth="1" outlineLevel="1"/>
    <col min="11" max="11" width="31.42578125" style="5" customWidth="1" outlineLevel="1"/>
    <col min="12" max="12" width="8.85546875" style="7" customWidth="1" outlineLevel="1"/>
    <col min="13" max="13" width="18" style="7" customWidth="1" outlineLevel="1"/>
    <col min="14" max="14" width="10.85546875" style="7" customWidth="1" outlineLevel="1"/>
    <col min="15" max="15" width="11.42578125" style="7" customWidth="1" outlineLevel="1"/>
    <col min="16" max="27" width="11.42578125" style="5" customWidth="1" outlineLevel="1"/>
    <col min="28" max="16384" width="11.42578125" style="5"/>
  </cols>
  <sheetData>
    <row r="1" spans="1:28">
      <c r="A1" s="5" t="s">
        <v>816</v>
      </c>
      <c r="B1" s="5" t="s">
        <v>817</v>
      </c>
    </row>
    <row r="2" spans="1:28">
      <c r="A2" s="5" t="s">
        <v>818</v>
      </c>
      <c r="B2" s="5" t="s">
        <v>819</v>
      </c>
    </row>
    <row r="3" spans="1:28">
      <c r="A3" s="5" t="s">
        <v>810</v>
      </c>
      <c r="B3" s="5" t="s">
        <v>810</v>
      </c>
      <c r="C3" s="5" t="s">
        <v>810</v>
      </c>
      <c r="D3" s="5" t="s">
        <v>810</v>
      </c>
      <c r="E3" s="5" t="s">
        <v>810</v>
      </c>
      <c r="F3" s="5" t="s">
        <v>810</v>
      </c>
      <c r="G3" s="5" t="s">
        <v>810</v>
      </c>
      <c r="H3" s="5" t="s">
        <v>810</v>
      </c>
      <c r="I3" s="5" t="s">
        <v>810</v>
      </c>
      <c r="J3" s="5" t="s">
        <v>810</v>
      </c>
      <c r="K3" s="5" t="s">
        <v>810</v>
      </c>
      <c r="L3" s="5" t="s">
        <v>810</v>
      </c>
      <c r="M3" s="5" t="s">
        <v>810</v>
      </c>
      <c r="N3" s="5" t="s">
        <v>810</v>
      </c>
      <c r="O3" s="5" t="s">
        <v>810</v>
      </c>
      <c r="P3" s="5" t="s">
        <v>810</v>
      </c>
      <c r="Q3" s="5" t="s">
        <v>810</v>
      </c>
      <c r="R3" s="5" t="s">
        <v>810</v>
      </c>
      <c r="S3" s="5" t="s">
        <v>810</v>
      </c>
      <c r="T3" s="5" t="s">
        <v>810</v>
      </c>
      <c r="U3" s="5" t="s">
        <v>810</v>
      </c>
      <c r="V3" s="5" t="s">
        <v>810</v>
      </c>
      <c r="W3" s="5" t="s">
        <v>810</v>
      </c>
      <c r="X3" s="5" t="s">
        <v>810</v>
      </c>
      <c r="Y3" s="5" t="s">
        <v>810</v>
      </c>
      <c r="Z3" s="5" t="s">
        <v>810</v>
      </c>
      <c r="AA3" s="5" t="s">
        <v>810</v>
      </c>
      <c r="AB3" s="5" t="s">
        <v>810</v>
      </c>
    </row>
    <row r="4" spans="1:28" s="7" customFormat="1" ht="54" customHeight="1">
      <c r="B4" s="20" t="s">
        <v>0</v>
      </c>
      <c r="C4" s="20" t="s">
        <v>230</v>
      </c>
      <c r="D4" s="20" t="s">
        <v>5</v>
      </c>
      <c r="E4" s="20" t="s">
        <v>120</v>
      </c>
      <c r="F4" s="20" t="s">
        <v>461</v>
      </c>
      <c r="G4" s="67" t="s">
        <v>1842</v>
      </c>
      <c r="H4" s="67" t="s">
        <v>123</v>
      </c>
      <c r="I4" s="20" t="s">
        <v>63</v>
      </c>
      <c r="J4" s="55" t="s">
        <v>302</v>
      </c>
      <c r="K4" s="56" t="s">
        <v>303</v>
      </c>
      <c r="L4" s="57" t="s">
        <v>565</v>
      </c>
      <c r="M4" s="56" t="s">
        <v>304</v>
      </c>
      <c r="N4" s="57" t="s">
        <v>566</v>
      </c>
      <c r="O4" s="58" t="s">
        <v>308</v>
      </c>
      <c r="P4" s="58" t="s">
        <v>306</v>
      </c>
      <c r="Q4" s="58" t="s">
        <v>307</v>
      </c>
      <c r="R4" s="55" t="s">
        <v>627</v>
      </c>
      <c r="S4" s="55" t="s">
        <v>628</v>
      </c>
      <c r="T4" s="55" t="s">
        <v>629</v>
      </c>
      <c r="U4" s="55" t="s">
        <v>630</v>
      </c>
      <c r="V4" s="55" t="s">
        <v>631</v>
      </c>
      <c r="W4" s="55" t="s">
        <v>634</v>
      </c>
      <c r="X4" s="55" t="s">
        <v>632</v>
      </c>
      <c r="Y4" s="55" t="s">
        <v>633</v>
      </c>
      <c r="Z4" s="55" t="s">
        <v>794</v>
      </c>
    </row>
    <row r="5" spans="1:28" ht="17.25" customHeight="1">
      <c r="A5" s="99" t="s">
        <v>810</v>
      </c>
      <c r="B5" s="5" t="s">
        <v>592</v>
      </c>
      <c r="D5" s="8"/>
      <c r="E5" s="8" t="s">
        <v>143</v>
      </c>
      <c r="F5" s="8"/>
      <c r="G5" s="8"/>
      <c r="H5" s="89" t="str">
        <f>IF(belowred_Table1Rows[[#This Row],[Table 2 Ref:src]]="","",INDEX(belowred_Table2Rows[T2 Name:q],MATCH(belowred_Table1Rows[[#This Row],[Table 2 Ref:src]],belowred_Table2Rows[ID],0)))</f>
        <v/>
      </c>
      <c r="J5" s="7" t="str">
        <f>stringToBusiness(belowred_Table1Rows[[#This Row],[String Value 1]])</f>
        <v/>
      </c>
      <c r="K5" s="7" t="str">
        <f>camelCaseUpper(belowred_Table1Rows[[#This Row],[String Value 1]])</f>
        <v/>
      </c>
      <c r="M5" s="7" t="str">
        <f>camelCaseToBusiness(belowred_Table1Rows[[#This Row],[Test CamelCaseUpper]])</f>
        <v/>
      </c>
      <c r="N5" s="5"/>
      <c r="O5" s="7" t="b">
        <f>EXACT(camelCaseLower(belowred_Table1Rows[[#This Row],[String Value 1]]),businessToCamelCaseLower(stringToBusiness(belowred_Table1Rows[[#This Row],[String Value 1]])))</f>
        <v>1</v>
      </c>
      <c r="P5" s="7" t="b">
        <f>EXACT(camelCaseUpper(belowred_Table1Rows[[#This Row],[String Value 1]]),businessToCamelCaseUpper(stringToBusiness(belowred_Table1Rows[[#This Row],[String Value 1]])))</f>
        <v>1</v>
      </c>
      <c r="Q5" s="7" t="b">
        <f>EXACT(camelCaseToBusiness(
businessToCamelCaseUpper(
stringToBusiness(belowred_Table1Rows[[#This Row],[String Value 1]]))),
stringToBusiness(belowred_Table1Rows[[#This Row],[String Value 1]]))</f>
        <v>1</v>
      </c>
      <c r="R5" s="7"/>
      <c r="S5" s="7"/>
      <c r="T5" s="7"/>
      <c r="U5" s="7"/>
      <c r="V5" s="7"/>
      <c r="W5" s="7"/>
      <c r="X5" s="7"/>
      <c r="Y5" s="7"/>
      <c r="Z5" s="7"/>
    </row>
    <row r="6" spans="1:28" ht="17.25" customHeight="1">
      <c r="A6" s="99" t="s">
        <v>810</v>
      </c>
      <c r="B6" s="5" t="s">
        <v>51</v>
      </c>
      <c r="D6" s="8" t="s">
        <v>71</v>
      </c>
      <c r="E6" s="8" t="s">
        <v>143</v>
      </c>
      <c r="F6" s="8"/>
      <c r="G6" s="8"/>
      <c r="H6" s="89" t="str">
        <f>IF(belowred_Table1Rows[[#This Row],[Table 2 Ref:src]]="","",INDEX(belowred_Table2Rows[T2 Name:q],MATCH(belowred_Table1Rows[[#This Row],[Table 2 Ref:src]],belowred_Table2Rows[ID],0)))</f>
        <v/>
      </c>
      <c r="I6" s="59" t="s">
        <v>305</v>
      </c>
      <c r="J6" s="7" t="str">
        <f>stringToBusiness(belowred_Table1Rows[[#This Row],[String Value 1]])</f>
        <v>i Was in the Shop</v>
      </c>
      <c r="K6" s="7" t="str">
        <f>camelCaseUpper(belowred_Table1Rows[[#This Row],[String Value 1]])</f>
        <v>iWasInTheShop</v>
      </c>
      <c r="M6" s="7" t="str">
        <f>camelCaseToBusiness(belowred_Table1Rows[[#This Row],[Test CamelCaseUpper]])</f>
        <v>i Was in the Shop</v>
      </c>
      <c r="N6" s="5"/>
      <c r="O6" s="7" t="b">
        <f>EXACT(camelCaseLower(belowred_Table1Rows[[#This Row],[String Value 1]]),businessToCamelCaseLower(stringToBusiness(belowred_Table1Rows[[#This Row],[String Value 1]])))</f>
        <v>1</v>
      </c>
      <c r="P6" s="7" t="b">
        <f>EXACT(camelCaseUpper(belowred_Table1Rows[[#This Row],[String Value 1]]),businessToCamelCaseUpper(stringToBusiness(belowred_Table1Rows[[#This Row],[String Value 1]])))</f>
        <v>1</v>
      </c>
      <c r="Q6" s="7" t="b">
        <f>EXACT(camelCaseToBusiness(
businessToCamelCaseUpper(
stringToBusiness(belowred_Table1Rows[[#This Row],[String Value 1]]))),
stringToBusiness(belowred_Table1Rows[[#This Row],[String Value 1]]))</f>
        <v>1</v>
      </c>
      <c r="R6" s="7" t="s">
        <v>619</v>
      </c>
      <c r="S6" s="7" t="s">
        <v>620</v>
      </c>
      <c r="T6" s="7" t="s">
        <v>621</v>
      </c>
      <c r="U6" s="7" t="s">
        <v>622</v>
      </c>
      <c r="V6" s="7" t="s">
        <v>623</v>
      </c>
      <c r="W6" s="7" t="s">
        <v>626</v>
      </c>
      <c r="X6" s="7" t="s">
        <v>624</v>
      </c>
      <c r="Y6" s="7" t="s">
        <v>625</v>
      </c>
      <c r="Z6" s="7"/>
    </row>
    <row r="7" spans="1:28" ht="17.25" customHeight="1">
      <c r="A7" s="99" t="s">
        <v>810</v>
      </c>
      <c r="B7" s="5" t="s">
        <v>52</v>
      </c>
      <c r="D7" s="8" t="s">
        <v>71</v>
      </c>
      <c r="E7" s="8" t="s">
        <v>143</v>
      </c>
      <c r="F7" s="8"/>
      <c r="G7" s="8"/>
      <c r="H7" s="89" t="str">
        <f>IF(belowred_Table1Rows[[#This Row],[Table 2 Ref:src]]="","",INDEX(belowred_Table2Rows[T2 Name:q],MATCH(belowred_Table1Rows[[#This Row],[Table 2 Ref:src]],belowred_Table2Rows[ID],0)))</f>
        <v/>
      </c>
      <c r="I7" s="59" t="s">
        <v>309</v>
      </c>
      <c r="J7" s="7" t="str">
        <f>stringToBusiness(belowred_Table1Rows[[#This Row],[String Value 1]])</f>
        <v>No Trailing Spaces Please</v>
      </c>
      <c r="K7" s="7" t="str">
        <f>camelCaseUpper(belowred_Table1Rows[[#This Row],[String Value 1]])</f>
        <v>NoTrailingSpacesPlease</v>
      </c>
      <c r="M7" s="7" t="str">
        <f>camelCaseToBusiness(belowred_Table1Rows[[#This Row],[Test CamelCaseUpper]])</f>
        <v>No Trailing Spaces Please</v>
      </c>
      <c r="N7" s="5"/>
      <c r="O7" s="7" t="b">
        <f>EXACT(camelCaseLower(belowred_Table1Rows[[#This Row],[String Value 1]]),businessToCamelCaseLower(stringToBusiness(belowred_Table1Rows[[#This Row],[String Value 1]])))</f>
        <v>1</v>
      </c>
      <c r="P7" s="7" t="b">
        <f>EXACT(camelCaseUpper(belowred_Table1Rows[[#This Row],[String Value 1]]),businessToCamelCaseUpper(stringToBusiness(belowred_Table1Rows[[#This Row],[String Value 1]])))</f>
        <v>1</v>
      </c>
      <c r="Q7" s="7" t="b">
        <f>EXACT(camelCaseToBusiness(
businessToCamelCaseUpper(
stringToBusiness(belowred_Table1Rows[[#This Row],[String Value 1]]))),
stringToBusiness(belowred_Table1Rows[[#This Row],[String Value 1]]))</f>
        <v>1</v>
      </c>
      <c r="R7" s="7" t="s">
        <v>619</v>
      </c>
      <c r="S7" s="5" t="s">
        <v>620</v>
      </c>
      <c r="T7" s="5" t="s">
        <v>621</v>
      </c>
      <c r="U7" s="5" t="s">
        <v>622</v>
      </c>
      <c r="V7" s="5" t="s">
        <v>623</v>
      </c>
      <c r="W7" s="5" t="s">
        <v>626</v>
      </c>
      <c r="X7" s="5" t="s">
        <v>624</v>
      </c>
      <c r="Y7" s="7" t="s">
        <v>625</v>
      </c>
    </row>
    <row r="8" spans="1:28" ht="58.5" customHeight="1">
      <c r="A8" s="99" t="s">
        <v>810</v>
      </c>
      <c r="B8" s="5" t="s">
        <v>53</v>
      </c>
      <c r="D8" s="8" t="s">
        <v>71</v>
      </c>
      <c r="E8" s="8" t="s">
        <v>143</v>
      </c>
      <c r="F8" s="8"/>
      <c r="G8" s="8"/>
      <c r="H8" s="89" t="str">
        <f>IF(belowred_Table1Rows[[#This Row],[Table 2 Ref:src]]="","",INDEX(belowred_Table2Rows[T2 Name:q],MATCH(belowred_Table1Rows[[#This Row],[Table 2 Ref:src]],belowred_Table2Rows[ID],0)))</f>
        <v/>
      </c>
      <c r="I8" s="60" t="s">
        <v>310</v>
      </c>
      <c r="J8" s="7" t="str">
        <f>stringToBusiness(belowred_Table1Rows[[#This Row],[String Value 1]])</f>
        <v>Titel
- Bullet 1
  - Second Indent Level
- Bullet 2</v>
      </c>
      <c r="K8" s="7" t="str">
        <f>camelCaseUpper(belowred_Table1Rows[[#This Row],[String Value 1]])</f>
        <v>Titel_n___MIN__Bullet1_n___2s___MIN__SecondIndentLevel_n___MIN__Bullet2</v>
      </c>
      <c r="M8" s="7" t="str">
        <f>camelCaseToBusiness(belowred_Table1Rows[[#This Row],[Test CamelCaseUpper]])</f>
        <v>Titel
- Bullet 1
  - Second Indent Level
- Bullet 2</v>
      </c>
      <c r="N8" s="5"/>
      <c r="O8" s="7" t="b">
        <f>EXACT(camelCaseLower(belowred_Table1Rows[[#This Row],[String Value 1]]),businessToCamelCaseLower(stringToBusiness(belowred_Table1Rows[[#This Row],[String Value 1]])))</f>
        <v>1</v>
      </c>
      <c r="P8" s="7" t="b">
        <f>EXACT(camelCaseUpper(belowred_Table1Rows[[#This Row],[String Value 1]]),businessToCamelCaseUpper(stringToBusiness(belowred_Table1Rows[[#This Row],[String Value 1]])))</f>
        <v>1</v>
      </c>
      <c r="Q8" s="7" t="b">
        <f>EXACT(camelCaseToBusiness(
businessToCamelCaseUpper(
stringToBusiness(belowred_Table1Rows[[#This Row],[String Value 1]]))),
stringToBusiness(belowred_Table1Rows[[#This Row],[String Value 1]]))</f>
        <v>1</v>
      </c>
      <c r="R8" s="7" t="s">
        <v>619</v>
      </c>
      <c r="S8" s="5" t="s">
        <v>620</v>
      </c>
      <c r="T8" s="5" t="s">
        <v>621</v>
      </c>
      <c r="U8" s="5" t="s">
        <v>622</v>
      </c>
      <c r="V8" s="5" t="s">
        <v>623</v>
      </c>
      <c r="W8" s="5" t="s">
        <v>626</v>
      </c>
      <c r="X8" s="5" t="s">
        <v>624</v>
      </c>
      <c r="Y8" s="7" t="s">
        <v>625</v>
      </c>
    </row>
    <row r="9" spans="1:28" ht="45.75" customHeight="1">
      <c r="A9" s="99" t="s">
        <v>810</v>
      </c>
      <c r="B9" s="5" t="s">
        <v>54</v>
      </c>
      <c r="D9" s="8" t="s">
        <v>71</v>
      </c>
      <c r="E9" s="8" t="s">
        <v>143</v>
      </c>
      <c r="F9" s="8"/>
      <c r="G9" s="8"/>
      <c r="H9" s="89" t="str">
        <f>IF(belowred_Table1Rows[[#This Row],[Table 2 Ref:src]]="","",INDEX(belowred_Table2Rows[T2 Name:q],MATCH(belowred_Table1Rows[[#This Row],[Table 2 Ref:src]],belowred_Table2Rows[ID],0)))</f>
        <v/>
      </c>
      <c r="I9" s="59" t="s">
        <v>311</v>
      </c>
      <c r="J9" s="7" t="str">
        <f>stringToBusiness(belowred_Table1Rows[[#This Row],[String Value 1]])</f>
        <v>Typical Title Case 1/Case 2::My Good Things. (to Be Removed!)</v>
      </c>
      <c r="K9" s="7" t="str">
        <f>camelCaseUpper(belowred_Table1Rows[[#This Row],[String Value 1]])</f>
        <v>TypicalTitleCase1_div__Case2_d___d__MyGoodThings_P___op__toBeRemoved_e___cp__</v>
      </c>
      <c r="M9" s="7" t="str">
        <f>camelCaseToBusiness(belowred_Table1Rows[[#This Row],[Test CamelCaseUpper]])</f>
        <v>Typical Title Case 1/Case 2::My Good Things. (to Be Removed!)</v>
      </c>
      <c r="N9" s="5"/>
      <c r="O9" s="7" t="b">
        <f>EXACT(camelCaseLower(belowred_Table1Rows[[#This Row],[String Value 1]]),businessToCamelCaseLower(stringToBusiness(belowred_Table1Rows[[#This Row],[String Value 1]])))</f>
        <v>1</v>
      </c>
      <c r="P9" s="7" t="b">
        <f>EXACT(camelCaseUpper(belowred_Table1Rows[[#This Row],[String Value 1]]),businessToCamelCaseUpper(stringToBusiness(belowred_Table1Rows[[#This Row],[String Value 1]])))</f>
        <v>1</v>
      </c>
      <c r="Q9" s="7" t="b">
        <f>EXACT(camelCaseToBusiness(
businessToCamelCaseUpper(
stringToBusiness(belowred_Table1Rows[[#This Row],[String Value 1]]))),
stringToBusiness(belowred_Table1Rows[[#This Row],[String Value 1]]))</f>
        <v>1</v>
      </c>
      <c r="R9" s="7" t="s">
        <v>619</v>
      </c>
      <c r="S9" s="5" t="s">
        <v>620</v>
      </c>
      <c r="T9" s="5" t="s">
        <v>621</v>
      </c>
      <c r="U9" s="5" t="s">
        <v>622</v>
      </c>
      <c r="V9" s="5" t="s">
        <v>623</v>
      </c>
      <c r="W9" s="5" t="s">
        <v>626</v>
      </c>
      <c r="X9" s="5" t="s">
        <v>624</v>
      </c>
      <c r="Y9" s="7" t="s">
        <v>625</v>
      </c>
    </row>
    <row r="10" spans="1:28" ht="18.75" customHeight="1">
      <c r="A10" s="99" t="s">
        <v>810</v>
      </c>
      <c r="B10" s="5" t="s">
        <v>55</v>
      </c>
      <c r="D10" s="8" t="s">
        <v>71</v>
      </c>
      <c r="E10" s="8" t="s">
        <v>143</v>
      </c>
      <c r="F10" s="8"/>
      <c r="G10" s="8"/>
      <c r="H10" s="89" t="str">
        <f>IF(belowred_Table1Rows[[#This Row],[Table 2 Ref:src]]="","",INDEX(belowred_Table2Rows[T2 Name:q],MATCH(belowred_Table1Rows[[#This Row],[Table 2 Ref:src]],belowred_Table2Rows[ID],0)))</f>
        <v/>
      </c>
      <c r="I10" s="59" t="s">
        <v>312</v>
      </c>
      <c r="J10" s="7" t="str">
        <f>stringToBusiness(belowred_Table1Rows[[#This Row],[String Value 1]])</f>
        <v>1. the Intro</v>
      </c>
      <c r="K10" s="7" t="str">
        <f>camelCaseUpper(belowred_Table1Rows[[#This Row],[String Value 1]])</f>
        <v>N1_P__TheIntro</v>
      </c>
      <c r="M10" s="7" t="str">
        <f>camelCaseToBusiness(belowred_Table1Rows[[#This Row],[Test CamelCaseUpper]])</f>
        <v>1. the Intro</v>
      </c>
      <c r="N10" s="5"/>
      <c r="O10" s="7" t="b">
        <f>EXACT(camelCaseLower(belowred_Table1Rows[[#This Row],[String Value 1]]),businessToCamelCaseLower(stringToBusiness(belowred_Table1Rows[[#This Row],[String Value 1]])))</f>
        <v>1</v>
      </c>
      <c r="P10" s="7" t="b">
        <f>EXACT(camelCaseUpper(belowred_Table1Rows[[#This Row],[String Value 1]]),businessToCamelCaseUpper(stringToBusiness(belowred_Table1Rows[[#This Row],[String Value 1]])))</f>
        <v>1</v>
      </c>
      <c r="Q10" s="7" t="b">
        <f>EXACT(camelCaseToBusiness(
businessToCamelCaseUpper(
stringToBusiness(belowred_Table1Rows[[#This Row],[String Value 1]]))),
stringToBusiness(belowred_Table1Rows[[#This Row],[String Value 1]]))</f>
        <v>1</v>
      </c>
      <c r="R10" s="7" t="s">
        <v>619</v>
      </c>
      <c r="S10" s="5" t="s">
        <v>620</v>
      </c>
      <c r="T10" s="5" t="s">
        <v>621</v>
      </c>
      <c r="U10" s="5" t="s">
        <v>622</v>
      </c>
      <c r="V10" s="5" t="s">
        <v>623</v>
      </c>
      <c r="W10" s="5" t="s">
        <v>626</v>
      </c>
      <c r="X10" s="5" t="s">
        <v>624</v>
      </c>
      <c r="Y10" s="7" t="s">
        <v>625</v>
      </c>
    </row>
    <row r="11" spans="1:28" ht="18" customHeight="1">
      <c r="A11" s="99" t="s">
        <v>810</v>
      </c>
      <c r="B11" s="5" t="s">
        <v>56</v>
      </c>
      <c r="D11" s="8" t="s">
        <v>71</v>
      </c>
      <c r="E11" s="8" t="s">
        <v>143</v>
      </c>
      <c r="F11" s="8"/>
      <c r="G11" s="8"/>
      <c r="H11" s="89" t="str">
        <f>IF(belowred_Table1Rows[[#This Row],[Table 2 Ref:src]]="","",INDEX(belowred_Table2Rows[T2 Name:q],MATCH(belowred_Table1Rows[[#This Row],[Table 2 Ref:src]],belowred_Table2Rows[ID],0)))</f>
        <v/>
      </c>
      <c r="I11" s="59" t="s">
        <v>316</v>
      </c>
      <c r="J11" s="7" t="str">
        <f>stringToBusiness(belowred_Table1Rows[[#This Row],[String Value 1]])</f>
        <v>Hugo Boss</v>
      </c>
      <c r="K11" s="7" t="str">
        <f>camelCaseUpper(belowred_Table1Rows[[#This Row],[String Value 1]])</f>
        <v>HugoBoss</v>
      </c>
      <c r="M11" s="7" t="str">
        <f>camelCaseToBusiness(belowred_Table1Rows[[#This Row],[Test CamelCaseUpper]])</f>
        <v>Hugo Boss</v>
      </c>
      <c r="N11" s="5"/>
      <c r="O11" s="7" t="b">
        <f>EXACT(camelCaseLower(belowred_Table1Rows[[#This Row],[String Value 1]]),businessToCamelCaseLower(stringToBusiness(belowred_Table1Rows[[#This Row],[String Value 1]])))</f>
        <v>1</v>
      </c>
      <c r="P11" s="7" t="b">
        <f>EXACT(camelCaseUpper(belowred_Table1Rows[[#This Row],[String Value 1]]),businessToCamelCaseUpper(stringToBusiness(belowred_Table1Rows[[#This Row],[String Value 1]])))</f>
        <v>1</v>
      </c>
      <c r="Q11" s="7" t="b">
        <f>EXACT(camelCaseToBusiness(
businessToCamelCaseUpper(
stringToBusiness(belowred_Table1Rows[[#This Row],[String Value 1]]))),
stringToBusiness(belowred_Table1Rows[[#This Row],[String Value 1]]))</f>
        <v>1</v>
      </c>
      <c r="R11" s="7" t="s">
        <v>619</v>
      </c>
      <c r="S11" s="5" t="s">
        <v>620</v>
      </c>
      <c r="T11" s="5" t="s">
        <v>621</v>
      </c>
      <c r="U11" s="5" t="s">
        <v>622</v>
      </c>
      <c r="V11" s="5" t="s">
        <v>623</v>
      </c>
      <c r="W11" s="5" t="s">
        <v>626</v>
      </c>
      <c r="X11" s="5" t="s">
        <v>624</v>
      </c>
      <c r="Y11" s="7" t="s">
        <v>625</v>
      </c>
    </row>
    <row r="12" spans="1:28" ht="12.75" customHeight="1">
      <c r="A12" s="99" t="s">
        <v>810</v>
      </c>
      <c r="B12" s="5" t="s">
        <v>610</v>
      </c>
      <c r="D12" s="8"/>
      <c r="E12" s="8" t="s">
        <v>143</v>
      </c>
      <c r="F12" s="8"/>
      <c r="G12" s="8"/>
      <c r="H12" s="89" t="str">
        <f>IF(belowred_Table1Rows[[#This Row],[Table 2 Ref:src]]="","",INDEX(belowred_Table2Rows[T2 Name:q],MATCH(belowred_Table1Rows[[#This Row],[Table 2 Ref:src]],belowred_Table2Rows[ID],0)))</f>
        <v/>
      </c>
      <c r="I12" s="59" t="s">
        <v>319</v>
      </c>
      <c r="J12" s="7" t="str">
        <f>stringToBusiness(belowred_Table1Rows[[#This Row],[String Value 1]])</f>
        <v>Entries Describing VBA Functions</v>
      </c>
      <c r="K12" s="7" t="str">
        <f>camelCaseUpper(belowred_Table1Rows[[#This Row],[String Value 1]])</f>
        <v>EntriesDescribingVBA_Functions</v>
      </c>
      <c r="M12" s="7" t="str">
        <f>camelCaseToBusiness(belowred_Table1Rows[[#This Row],[Test CamelCaseUpper]])</f>
        <v>Entries Describing VBA Functions</v>
      </c>
      <c r="N12" s="5"/>
      <c r="O12" s="7" t="b">
        <f>EXACT(camelCaseLower(belowred_Table1Rows[[#This Row],[String Value 1]]),businessToCamelCaseLower(stringToBusiness(belowred_Table1Rows[[#This Row],[String Value 1]])))</f>
        <v>1</v>
      </c>
      <c r="P12" s="7" t="b">
        <f>EXACT(camelCaseUpper(belowred_Table1Rows[[#This Row],[String Value 1]]),businessToCamelCaseUpper(stringToBusiness(belowred_Table1Rows[[#This Row],[String Value 1]])))</f>
        <v>1</v>
      </c>
      <c r="Q12" s="7" t="b">
        <f>EXACT(camelCaseToBusiness(
businessToCamelCaseUpper(
stringToBusiness(belowred_Table1Rows[[#This Row],[String Value 1]]))),
stringToBusiness(belowred_Table1Rows[[#This Row],[String Value 1]]))</f>
        <v>1</v>
      </c>
      <c r="R12" s="7" t="s">
        <v>619</v>
      </c>
      <c r="S12" s="5" t="s">
        <v>620</v>
      </c>
      <c r="T12" s="5" t="s">
        <v>621</v>
      </c>
      <c r="U12" s="5" t="s">
        <v>622</v>
      </c>
      <c r="V12" s="5" t="s">
        <v>623</v>
      </c>
      <c r="W12" s="5" t="s">
        <v>626</v>
      </c>
      <c r="X12" s="5" t="s">
        <v>624</v>
      </c>
      <c r="Y12" s="7" t="s">
        <v>625</v>
      </c>
    </row>
    <row r="13" spans="1:28" ht="16.5" customHeight="1">
      <c r="A13" s="99" t="s">
        <v>810</v>
      </c>
      <c r="B13" s="5" t="s">
        <v>611</v>
      </c>
      <c r="D13" s="8"/>
      <c r="E13" s="8" t="s">
        <v>143</v>
      </c>
      <c r="F13" s="8"/>
      <c r="G13" s="8"/>
      <c r="H13" s="89" t="str">
        <f>IF(belowred_Table1Rows[[#This Row],[Table 2 Ref:src]]="","",INDEX(belowred_Table2Rows[T2 Name:q],MATCH(belowred_Table1Rows[[#This Row],[Table 2 Ref:src]],belowred_Table2Rows[ID],0)))</f>
        <v/>
      </c>
      <c r="I13" s="59" t="s">
        <v>564</v>
      </c>
      <c r="J13" s="7" t="str">
        <f>stringToBusiness(belowred_Table1Rows[[#This Row],[String Value 1]])</f>
        <v>1.1.3 My Subchapter</v>
      </c>
      <c r="K13" s="7" t="str">
        <f>camelCaseUpper(belowred_Table1Rows[[#This Row],[String Value 1]])</f>
        <v>N1_p__1_p__3MySubchapter</v>
      </c>
      <c r="M13" s="7" t="str">
        <f>camelCaseToBusiness(belowred_Table1Rows[[#This Row],[Test CamelCaseUpper]])</f>
        <v>1.1.3 My Subchapter</v>
      </c>
      <c r="N13" s="5"/>
      <c r="O13" s="7" t="b">
        <f>EXACT(camelCaseLower(belowred_Table1Rows[[#This Row],[String Value 1]]),businessToCamelCaseLower(stringToBusiness(belowred_Table1Rows[[#This Row],[String Value 1]])))</f>
        <v>1</v>
      </c>
      <c r="P13" s="7" t="b">
        <f>EXACT(camelCaseUpper(belowred_Table1Rows[[#This Row],[String Value 1]]),businessToCamelCaseUpper(stringToBusiness(belowred_Table1Rows[[#This Row],[String Value 1]])))</f>
        <v>1</v>
      </c>
      <c r="Q13" s="7" t="b">
        <f>EXACT(camelCaseToBusiness(
businessToCamelCaseUpper(
stringToBusiness(belowred_Table1Rows[[#This Row],[String Value 1]]))),
stringToBusiness(belowred_Table1Rows[[#This Row],[String Value 1]]))</f>
        <v>1</v>
      </c>
      <c r="R13" s="7" t="s">
        <v>619</v>
      </c>
      <c r="S13" s="5" t="s">
        <v>620</v>
      </c>
      <c r="T13" s="5" t="s">
        <v>621</v>
      </c>
      <c r="U13" s="5" t="s">
        <v>622</v>
      </c>
      <c r="V13" s="5" t="s">
        <v>623</v>
      </c>
      <c r="W13" s="5" t="s">
        <v>626</v>
      </c>
      <c r="X13" s="5" t="s">
        <v>624</v>
      </c>
      <c r="Y13" s="7" t="s">
        <v>625</v>
      </c>
    </row>
    <row r="14" spans="1:28" ht="17.25" customHeight="1">
      <c r="A14" s="99" t="s">
        <v>810</v>
      </c>
      <c r="B14" s="5" t="s">
        <v>612</v>
      </c>
      <c r="D14" s="8"/>
      <c r="E14" s="8" t="s">
        <v>143</v>
      </c>
      <c r="F14" s="8"/>
      <c r="G14" s="8"/>
      <c r="H14" s="89" t="str">
        <f>IF(belowred_Table1Rows[[#This Row],[Table 2 Ref:src]]="","",INDEX(belowred_Table2Rows[T2 Name:q],MATCH(belowred_Table1Rows[[#This Row],[Table 2 Ref:src]],belowred_Table2Rows[ID],0)))</f>
        <v/>
      </c>
      <c r="I14" s="59" t="s">
        <v>567</v>
      </c>
      <c r="J14" s="7" t="str">
        <f>stringToBusiness(belowred_Table1Rows[[#This Row],[String Value 1]])</f>
        <v>Hu.Habba</v>
      </c>
      <c r="K14" s="7" t="str">
        <f>camelCaseUpper(belowred_Table1Rows[[#This Row],[String Value 1]])</f>
        <v>Hu_p__Habba</v>
      </c>
      <c r="M14" s="7" t="str">
        <f>camelCaseToBusiness(belowred_Table1Rows[[#This Row],[Test CamelCaseUpper]])</f>
        <v>Hu.Habba</v>
      </c>
      <c r="N14" s="5"/>
      <c r="O14" s="7" t="b">
        <f>EXACT(camelCaseLower(belowred_Table1Rows[[#This Row],[String Value 1]]),businessToCamelCaseLower(stringToBusiness(belowred_Table1Rows[[#This Row],[String Value 1]])))</f>
        <v>1</v>
      </c>
      <c r="P14" s="7" t="b">
        <f>EXACT(camelCaseUpper(belowred_Table1Rows[[#This Row],[String Value 1]]),businessToCamelCaseUpper(stringToBusiness(belowred_Table1Rows[[#This Row],[String Value 1]])))</f>
        <v>1</v>
      </c>
      <c r="Q14" s="7" t="b">
        <f>EXACT(camelCaseToBusiness(
businessToCamelCaseUpper(
stringToBusiness(belowred_Table1Rows[[#This Row],[String Value 1]]))),
stringToBusiness(belowred_Table1Rows[[#This Row],[String Value 1]]))</f>
        <v>1</v>
      </c>
      <c r="R14" s="7" t="s">
        <v>619</v>
      </c>
      <c r="S14" s="5" t="s">
        <v>620</v>
      </c>
      <c r="T14" s="5" t="s">
        <v>621</v>
      </c>
      <c r="U14" s="5" t="s">
        <v>622</v>
      </c>
      <c r="V14" s="5" t="s">
        <v>623</v>
      </c>
      <c r="W14" s="5" t="s">
        <v>626</v>
      </c>
      <c r="X14" s="5" t="s">
        <v>624</v>
      </c>
      <c r="Y14" s="7" t="s">
        <v>625</v>
      </c>
    </row>
    <row r="15" spans="1:28" ht="45.75" customHeight="1">
      <c r="A15" s="99" t="s">
        <v>810</v>
      </c>
      <c r="B15" s="5" t="s">
        <v>613</v>
      </c>
      <c r="D15" s="8"/>
      <c r="E15" s="8" t="s">
        <v>143</v>
      </c>
      <c r="F15" s="8"/>
      <c r="G15" s="8"/>
      <c r="H15" s="89" t="str">
        <f>IF(belowred_Table1Rows[[#This Row],[Table 2 Ref:src]]="","",INDEX(belowred_Table2Rows[T2 Name:q],MATCH(belowred_Table1Rows[[#This Row],[Table 2 Ref:src]],belowred_Table2Rows[ID],0)))</f>
        <v/>
      </c>
      <c r="I15" s="59" t="s">
        <v>568</v>
      </c>
      <c r="J15" s="7" t="str">
        <f>stringToBusiness(belowred_Table1Rows[[#This Row],[String Value 1]])</f>
        <v>We Are the Champions of the World</v>
      </c>
      <c r="K15" s="7" t="str">
        <f>camelCaseUpper(belowred_Table1Rows[[#This Row],[String Value 1]])</f>
        <v>WeAreTheChampionsOfTheWorld</v>
      </c>
      <c r="M15" s="7" t="str">
        <f>camelCaseToBusiness(belowred_Table1Rows[[#This Row],[Test CamelCaseUpper]])</f>
        <v>We Are the Champions of the World</v>
      </c>
      <c r="N15" s="5"/>
      <c r="O15" s="7" t="b">
        <f>EXACT(camelCaseLower(belowred_Table1Rows[[#This Row],[String Value 1]]),businessToCamelCaseLower(stringToBusiness(belowred_Table1Rows[[#This Row],[String Value 1]])))</f>
        <v>1</v>
      </c>
      <c r="P15" s="7" t="b">
        <f>EXACT(camelCaseUpper(belowred_Table1Rows[[#This Row],[String Value 1]]),businessToCamelCaseUpper(stringToBusiness(belowred_Table1Rows[[#This Row],[String Value 1]])))</f>
        <v>1</v>
      </c>
      <c r="Q15" s="7" t="b">
        <f>EXACT(camelCaseToBusiness(
businessToCamelCaseUpper(
stringToBusiness(belowred_Table1Rows[[#This Row],[String Value 1]]))),
stringToBusiness(belowred_Table1Rows[[#This Row],[String Value 1]]))</f>
        <v>1</v>
      </c>
      <c r="R15" s="7" t="s">
        <v>619</v>
      </c>
      <c r="S15" s="5" t="s">
        <v>620</v>
      </c>
      <c r="T15" s="5" t="s">
        <v>621</v>
      </c>
      <c r="U15" s="5" t="s">
        <v>622</v>
      </c>
      <c r="V15" s="5" t="s">
        <v>623</v>
      </c>
      <c r="W15" s="5" t="s">
        <v>626</v>
      </c>
      <c r="X15" s="5" t="s">
        <v>624</v>
      </c>
      <c r="Y15" s="7" t="s">
        <v>625</v>
      </c>
    </row>
    <row r="16" spans="1:28" ht="15.75" customHeight="1">
      <c r="A16" s="99" t="s">
        <v>810</v>
      </c>
      <c r="B16" s="5" t="s">
        <v>614</v>
      </c>
      <c r="D16" s="8"/>
      <c r="E16" s="8" t="s">
        <v>143</v>
      </c>
      <c r="F16" s="8"/>
      <c r="G16" s="8"/>
      <c r="H16" s="89" t="str">
        <f>IF(belowred_Table1Rows[[#This Row],[Table 2 Ref:src]]="","",INDEX(belowred_Table2Rows[T2 Name:q],MATCH(belowred_Table1Rows[[#This Row],[Table 2 Ref:src]],belowred_Table2Rows[ID],0)))</f>
        <v/>
      </c>
      <c r="I16" s="59" t="s">
        <v>569</v>
      </c>
      <c r="J16" s="7" t="str">
        <f>stringToBusiness(belowred_Table1Rows[[#This Row],[String Value 1]])</f>
        <v>the the</v>
      </c>
      <c r="K16" s="7" t="str">
        <f>camelCaseUpper(belowred_Table1Rows[[#This Row],[String Value 1]])</f>
        <v>theThe</v>
      </c>
      <c r="M16" s="7" t="str">
        <f>camelCaseToBusiness(belowred_Table1Rows[[#This Row],[Test CamelCaseUpper]])</f>
        <v>the the</v>
      </c>
      <c r="N16" s="5"/>
      <c r="O16" s="7" t="b">
        <f>EXACT(camelCaseLower(belowred_Table1Rows[[#This Row],[String Value 1]]),businessToCamelCaseLower(stringToBusiness(belowred_Table1Rows[[#This Row],[String Value 1]])))</f>
        <v>1</v>
      </c>
      <c r="P16" s="7" t="b">
        <f>EXACT(camelCaseUpper(belowred_Table1Rows[[#This Row],[String Value 1]]),businessToCamelCaseUpper(stringToBusiness(belowred_Table1Rows[[#This Row],[String Value 1]])))</f>
        <v>1</v>
      </c>
      <c r="Q16" s="7" t="b">
        <f>EXACT(camelCaseToBusiness(
businessToCamelCaseUpper(
stringToBusiness(belowred_Table1Rows[[#This Row],[String Value 1]]))),
stringToBusiness(belowred_Table1Rows[[#This Row],[String Value 1]]))</f>
        <v>1</v>
      </c>
      <c r="R16" s="7" t="s">
        <v>619</v>
      </c>
      <c r="S16" s="5" t="s">
        <v>620</v>
      </c>
      <c r="T16" s="5" t="s">
        <v>621</v>
      </c>
      <c r="U16" s="5" t="s">
        <v>622</v>
      </c>
      <c r="V16" s="5" t="s">
        <v>623</v>
      </c>
      <c r="W16" s="5" t="s">
        <v>626</v>
      </c>
      <c r="X16" s="5" t="s">
        <v>624</v>
      </c>
      <c r="Y16" s="7" t="s">
        <v>625</v>
      </c>
    </row>
    <row r="17" spans="1:25" ht="15.75" customHeight="1">
      <c r="A17" s="99" t="s">
        <v>810</v>
      </c>
      <c r="B17" s="5" t="s">
        <v>615</v>
      </c>
      <c r="D17" s="8"/>
      <c r="E17" s="8" t="s">
        <v>143</v>
      </c>
      <c r="F17" s="8"/>
      <c r="G17" s="8"/>
      <c r="H17" s="89" t="str">
        <f>IF(belowred_Table1Rows[[#This Row],[Table 2 Ref:src]]="","",INDEX(belowred_Table2Rows[T2 Name:q],MATCH(belowred_Table1Rows[[#This Row],[Table 2 Ref:src]],belowred_Table2Rows[ID],0)))</f>
        <v/>
      </c>
      <c r="I17" s="61" t="s">
        <v>635</v>
      </c>
      <c r="J17" s="7" t="str">
        <f>stringToBusiness(belowred_Table1Rows[[#This Row],[String Value 1]])</f>
        <v>Calculate 3-1</v>
      </c>
      <c r="K17" s="7" t="str">
        <f>camelCaseUpper(belowred_Table1Rows[[#This Row],[String Value 1]])</f>
        <v>Calculate3_min__1</v>
      </c>
      <c r="M17" s="7" t="str">
        <f>camelCaseToBusiness(belowred_Table1Rows[[#This Row],[Test CamelCaseUpper]])</f>
        <v>Calculate 3-1</v>
      </c>
      <c r="N17" s="5"/>
      <c r="O17" s="7" t="b">
        <f>EXACT(camelCaseLower(belowred_Table1Rows[[#This Row],[String Value 1]]),businessToCamelCaseLower(stringToBusiness(belowred_Table1Rows[[#This Row],[String Value 1]])))</f>
        <v>1</v>
      </c>
      <c r="P17" s="7" t="b">
        <f>EXACT(camelCaseUpper(belowred_Table1Rows[[#This Row],[String Value 1]]),businessToCamelCaseUpper(stringToBusiness(belowred_Table1Rows[[#This Row],[String Value 1]])))</f>
        <v>1</v>
      </c>
      <c r="Q17" s="7" t="b">
        <f>EXACT(camelCaseToBusiness(
businessToCamelCaseUpper(
stringToBusiness(belowred_Table1Rows[[#This Row],[String Value 1]]))),
stringToBusiness(belowred_Table1Rows[[#This Row],[String Value 1]]))</f>
        <v>1</v>
      </c>
      <c r="R17" s="7" t="s">
        <v>619</v>
      </c>
      <c r="S17" s="5" t="s">
        <v>620</v>
      </c>
      <c r="T17" s="5" t="s">
        <v>621</v>
      </c>
      <c r="U17" s="5" t="s">
        <v>622</v>
      </c>
      <c r="V17" s="5" t="s">
        <v>623</v>
      </c>
      <c r="W17" s="5" t="s">
        <v>626</v>
      </c>
      <c r="X17" s="5" t="s">
        <v>624</v>
      </c>
      <c r="Y17" s="7" t="s">
        <v>625</v>
      </c>
    </row>
    <row r="18" spans="1:25" ht="15" customHeight="1">
      <c r="A18" s="99" t="s">
        <v>810</v>
      </c>
      <c r="B18" s="5" t="s">
        <v>616</v>
      </c>
      <c r="D18" s="8"/>
      <c r="E18" s="8" t="s">
        <v>143</v>
      </c>
      <c r="F18" s="8"/>
      <c r="G18" s="8"/>
      <c r="H18" s="89" t="str">
        <f>IF(belowred_Table1Rows[[#This Row],[Table 2 Ref:src]]="","",INDEX(belowred_Table2Rows[T2 Name:q],MATCH(belowred_Table1Rows[[#This Row],[Table 2 Ref:src]],belowred_Table2Rows[ID],0)))</f>
        <v/>
      </c>
      <c r="I18" s="59" t="s">
        <v>636</v>
      </c>
      <c r="J18" s="7" t="str">
        <f>stringToBusiness(belowred_Table1Rows[[#This Row],[String Value 1]])</f>
        <v>(4*6)/5</v>
      </c>
      <c r="K18" s="7" t="str">
        <f>camelCaseUpper(belowred_Table1Rows[[#This Row],[String Value 1]])</f>
        <v>_op__4_mul__6_cp___div__5</v>
      </c>
      <c r="M18" s="7" t="str">
        <f>camelCaseToBusiness(belowred_Table1Rows[[#This Row],[Test CamelCaseUpper]])</f>
        <v>(4*6)/5</v>
      </c>
      <c r="N18" s="5"/>
      <c r="O18" s="7" t="b">
        <f>EXACT(camelCaseLower(belowred_Table1Rows[[#This Row],[String Value 1]]),businessToCamelCaseLower(stringToBusiness(belowred_Table1Rows[[#This Row],[String Value 1]])))</f>
        <v>1</v>
      </c>
      <c r="P18" s="7" t="b">
        <f>EXACT(camelCaseUpper(belowred_Table1Rows[[#This Row],[String Value 1]]),businessToCamelCaseUpper(stringToBusiness(belowred_Table1Rows[[#This Row],[String Value 1]])))</f>
        <v>1</v>
      </c>
      <c r="Q18" s="7" t="b">
        <f>EXACT(camelCaseToBusiness(
businessToCamelCaseUpper(
stringToBusiness(belowred_Table1Rows[[#This Row],[String Value 1]]))),
stringToBusiness(belowred_Table1Rows[[#This Row],[String Value 1]]))</f>
        <v>1</v>
      </c>
      <c r="R18" s="7" t="s">
        <v>619</v>
      </c>
      <c r="S18" s="5" t="s">
        <v>620</v>
      </c>
      <c r="T18" s="5" t="s">
        <v>621</v>
      </c>
      <c r="U18" s="5" t="s">
        <v>622</v>
      </c>
      <c r="V18" s="5" t="s">
        <v>623</v>
      </c>
      <c r="W18" s="5" t="s">
        <v>626</v>
      </c>
      <c r="X18" s="5" t="s">
        <v>624</v>
      </c>
      <c r="Y18" s="7" t="s">
        <v>625</v>
      </c>
    </row>
    <row r="19" spans="1:25" ht="45.75" customHeight="1">
      <c r="A19" s="99" t="s">
        <v>810</v>
      </c>
      <c r="B19" s="5" t="s">
        <v>617</v>
      </c>
      <c r="D19" s="8"/>
      <c r="E19" s="8" t="s">
        <v>143</v>
      </c>
      <c r="F19" s="8"/>
      <c r="G19" s="8"/>
      <c r="H19" s="89" t="str">
        <f>IF(belowred_Table1Rows[[#This Row],[Table 2 Ref:src]]="","",INDEX(belowred_Table2Rows[T2 Name:q],MATCH(belowred_Table1Rows[[#This Row],[Table 2 Ref:src]],belowred_Table2Rows[ID],0)))</f>
        <v/>
      </c>
      <c r="I19" s="60" t="s">
        <v>714</v>
      </c>
      <c r="J19" s="7" t="str">
        <f>stringToBusiness(belowred_Table1Rows[[#This Row],[String Value 1]])</f>
        <v>E E E E
e!e!e E !E</v>
      </c>
      <c r="K19" s="7" t="str">
        <f>camelCaseUpper(belowred_Table1Rows[[#This Row],[String Value 1]])</f>
        <v>E_E_E_E_n__e_e__e_e__eE_E2__E</v>
      </c>
      <c r="M19" s="7" t="str">
        <f>camelCaseToBusiness(belowred_Table1Rows[[#This Row],[Test CamelCaseUpper]])</f>
        <v>E E E E
e!e!e E !E</v>
      </c>
      <c r="N19" s="5"/>
      <c r="O19" s="7" t="b">
        <f>EXACT(camelCaseLower(belowred_Table1Rows[[#This Row],[String Value 1]]),businessToCamelCaseLower(stringToBusiness(belowred_Table1Rows[[#This Row],[String Value 1]])))</f>
        <v>1</v>
      </c>
      <c r="P19" s="7" t="b">
        <f>EXACT(camelCaseUpper(belowred_Table1Rows[[#This Row],[String Value 1]]),businessToCamelCaseUpper(stringToBusiness(belowred_Table1Rows[[#This Row],[String Value 1]])))</f>
        <v>1</v>
      </c>
      <c r="Q19" s="7" t="b">
        <f>EXACT(camelCaseToBusiness(
businessToCamelCaseUpper(
stringToBusiness(belowred_Table1Rows[[#This Row],[String Value 1]]))),
stringToBusiness(belowred_Table1Rows[[#This Row],[String Value 1]]))</f>
        <v>1</v>
      </c>
      <c r="R19" s="7" t="s">
        <v>619</v>
      </c>
      <c r="S19" s="5" t="s">
        <v>620</v>
      </c>
      <c r="T19" s="5" t="s">
        <v>621</v>
      </c>
      <c r="U19" s="5" t="s">
        <v>622</v>
      </c>
      <c r="V19" s="5" t="s">
        <v>623</v>
      </c>
      <c r="W19" s="5" t="s">
        <v>626</v>
      </c>
      <c r="X19" s="5" t="s">
        <v>624</v>
      </c>
      <c r="Y19" s="7" t="s">
        <v>625</v>
      </c>
    </row>
    <row r="20" spans="1:25" ht="45.75" customHeight="1">
      <c r="A20" s="99" t="s">
        <v>810</v>
      </c>
      <c r="B20" s="5" t="s">
        <v>618</v>
      </c>
      <c r="D20" s="8"/>
      <c r="E20" s="8" t="s">
        <v>143</v>
      </c>
      <c r="F20" s="8"/>
      <c r="G20" s="8"/>
      <c r="H20" s="89" t="str">
        <f>IF(belowred_Table1Rows[[#This Row],[Table 2 Ref:src]]="","",INDEX(belowred_Table2Rows[T2 Name:q],MATCH(belowred_Table1Rows[[#This Row],[Table 2 Ref:src]],belowred_Table2Rows[ID],0)))</f>
        <v/>
      </c>
      <c r="I20" s="59" t="s">
        <v>732</v>
      </c>
      <c r="J20" s="7" t="str">
        <f>stringToBusiness(belowred_Table1Rows[[#This Row],[String Value 1]])</f>
        <v>Aa</v>
      </c>
      <c r="K20" s="7" t="str">
        <f>camelCaseUpper(belowred_Table1Rows[[#This Row],[String Value 1]])</f>
        <v>Aa</v>
      </c>
      <c r="M20" s="7" t="str">
        <f>camelCaseToBusiness(belowred_Table1Rows[[#This Row],[Test CamelCaseUpper]])</f>
        <v>Aa</v>
      </c>
      <c r="N20" s="5"/>
      <c r="O20" s="7" t="b">
        <f>EXACT(camelCaseLower(belowred_Table1Rows[[#This Row],[String Value 1]]),businessToCamelCaseLower(stringToBusiness(belowred_Table1Rows[[#This Row],[String Value 1]])))</f>
        <v>1</v>
      </c>
      <c r="P20" s="7" t="b">
        <f>EXACT(camelCaseUpper(belowred_Table1Rows[[#This Row],[String Value 1]]),businessToCamelCaseUpper(stringToBusiness(belowred_Table1Rows[[#This Row],[String Value 1]])))</f>
        <v>1</v>
      </c>
      <c r="Q20" s="7" t="b">
        <f>EXACT(camelCaseToBusiness(
businessToCamelCaseUpper(
stringToBusiness(belowred_Table1Rows[[#This Row],[String Value 1]]))),
stringToBusiness(belowred_Table1Rows[[#This Row],[String Value 1]]))</f>
        <v>1</v>
      </c>
      <c r="R20" s="7" t="s">
        <v>619</v>
      </c>
      <c r="S20" s="5" t="s">
        <v>620</v>
      </c>
      <c r="T20" s="5" t="s">
        <v>621</v>
      </c>
      <c r="U20" s="5" t="s">
        <v>622</v>
      </c>
      <c r="V20" s="5" t="s">
        <v>623</v>
      </c>
      <c r="W20" s="5" t="s">
        <v>626</v>
      </c>
      <c r="X20" s="5" t="s">
        <v>624</v>
      </c>
      <c r="Y20" s="7" t="s">
        <v>625</v>
      </c>
    </row>
    <row r="21" spans="1:25">
      <c r="A21" s="99" t="s">
        <v>810</v>
      </c>
      <c r="D21" s="8"/>
      <c r="E21" s="8" t="s">
        <v>143</v>
      </c>
      <c r="F21" s="8"/>
      <c r="G21" s="8"/>
      <c r="H21" s="89" t="str">
        <f>IF(belowred_Table1Rows[[#This Row],[Table 2 Ref:src]]="","",INDEX(belowred_Table2Rows[T2 Name:q],MATCH(belowred_Table1Rows[[#This Row],[Table 2 Ref:src]],belowred_Table2Rows[ID],0)))</f>
        <v/>
      </c>
      <c r="I21" s="59" t="s">
        <v>702</v>
      </c>
      <c r="J21" s="7" t="str">
        <f>stringToBusiness(belowred_Table1Rows[[#This Row],[String Value 1]])</f>
        <v>EE E E</v>
      </c>
      <c r="K21" s="7" t="str">
        <f>camelCaseUpper(belowred_Table1Rows[[#This Row],[String Value 1]])</f>
        <v>EE_E_E</v>
      </c>
      <c r="M21" s="7" t="str">
        <f>camelCaseToBusiness(belowred_Table1Rows[[#This Row],[Test CamelCaseUpper]])</f>
        <v>EE E E</v>
      </c>
      <c r="N21" s="5"/>
      <c r="O21" s="7" t="b">
        <f>EXACT(camelCaseLower(belowred_Table1Rows[[#This Row],[String Value 1]]),businessToCamelCaseLower(stringToBusiness(belowred_Table1Rows[[#This Row],[String Value 1]])))</f>
        <v>1</v>
      </c>
      <c r="P21" s="7" t="b">
        <f>EXACT(camelCaseUpper(belowred_Table1Rows[[#This Row],[String Value 1]]),businessToCamelCaseUpper(stringToBusiness(belowred_Table1Rows[[#This Row],[String Value 1]])))</f>
        <v>1</v>
      </c>
      <c r="Q21" s="7" t="b">
        <f>EXACT(camelCaseToBusiness(
businessToCamelCaseUpper(
stringToBusiness(belowred_Table1Rows[[#This Row],[String Value 1]]))),
stringToBusiness(belowred_Table1Rows[[#This Row],[String Value 1]]))</f>
        <v>1</v>
      </c>
    </row>
    <row r="22" spans="1:25">
      <c r="A22" s="99" t="s">
        <v>810</v>
      </c>
      <c r="D22" s="8"/>
      <c r="E22" s="8" t="s">
        <v>143</v>
      </c>
      <c r="F22" s="8"/>
      <c r="G22" s="8"/>
      <c r="H22" s="89" t="str">
        <f>IF(belowred_Table1Rows[[#This Row],[Table 2 Ref:src]]="","",INDEX(belowred_Table2Rows[T2 Name:q],MATCH(belowred_Table1Rows[[#This Row],[Table 2 Ref:src]],belowred_Table2Rows[ID],0)))</f>
        <v/>
      </c>
      <c r="I22" s="60" t="s">
        <v>704</v>
      </c>
      <c r="J22" s="7" t="str">
        <f>stringToBusiness(belowred_Table1Rows[[#This Row],[String Value 1]])</f>
        <v>E E !E</v>
      </c>
      <c r="K22" s="7" t="str">
        <f>camelCaseUpper(belowred_Table1Rows[[#This Row],[String Value 1]])</f>
        <v>E_E_E2__E</v>
      </c>
      <c r="M22" s="7" t="str">
        <f>camelCaseToBusiness(belowred_Table1Rows[[#This Row],[Test CamelCaseUpper]])</f>
        <v>E E !E</v>
      </c>
      <c r="N22" s="5"/>
      <c r="O22" s="7" t="b">
        <f>EXACT(camelCaseLower(belowred_Table1Rows[[#This Row],[String Value 1]]),businessToCamelCaseLower(stringToBusiness(belowred_Table1Rows[[#This Row],[String Value 1]])))</f>
        <v>1</v>
      </c>
      <c r="P22" s="7" t="b">
        <f>EXACT(camelCaseUpper(belowred_Table1Rows[[#This Row],[String Value 1]]),businessToCamelCaseUpper(stringToBusiness(belowred_Table1Rows[[#This Row],[String Value 1]])))</f>
        <v>1</v>
      </c>
      <c r="Q22" s="7" t="b">
        <f>EXACT(camelCaseToBusiness(
businessToCamelCaseUpper(
stringToBusiness(belowred_Table1Rows[[#This Row],[String Value 1]]))),
stringToBusiness(belowred_Table1Rows[[#This Row],[String Value 1]]))</f>
        <v>1</v>
      </c>
    </row>
    <row r="23" spans="1:25">
      <c r="A23" s="99" t="s">
        <v>810</v>
      </c>
      <c r="D23" s="8"/>
      <c r="E23" s="8" t="s">
        <v>143</v>
      </c>
      <c r="F23" s="8"/>
      <c r="G23" s="8"/>
      <c r="H23" s="89" t="str">
        <f>IF(belowred_Table1Rows[[#This Row],[Table 2 Ref:src]]="","",INDEX(belowred_Table2Rows[T2 Name:q],MATCH(belowred_Table1Rows[[#This Row],[Table 2 Ref:src]],belowred_Table2Rows[ID],0)))</f>
        <v/>
      </c>
      <c r="I23" s="59" t="s">
        <v>703</v>
      </c>
      <c r="J23" s="7" t="str">
        <f>stringToBusiness(belowred_Table1Rows[[#This Row],[String Value 1]])</f>
        <v>E E</v>
      </c>
      <c r="K23" s="7" t="str">
        <f>camelCaseUpper(belowred_Table1Rows[[#This Row],[String Value 1]])</f>
        <v>E_E</v>
      </c>
      <c r="M23" s="7" t="str">
        <f>camelCaseToBusiness(belowred_Table1Rows[[#This Row],[Test CamelCaseUpper]])</f>
        <v>E E</v>
      </c>
      <c r="N23" s="5"/>
      <c r="O23" s="7" t="b">
        <f>EXACT(camelCaseLower(belowred_Table1Rows[[#This Row],[String Value 1]]),businessToCamelCaseLower(stringToBusiness(belowred_Table1Rows[[#This Row],[String Value 1]])))</f>
        <v>1</v>
      </c>
      <c r="P23" s="7" t="b">
        <f>EXACT(camelCaseUpper(belowred_Table1Rows[[#This Row],[String Value 1]]),businessToCamelCaseUpper(stringToBusiness(belowred_Table1Rows[[#This Row],[String Value 1]])))</f>
        <v>1</v>
      </c>
      <c r="Q23" s="7" t="b">
        <f>EXACT(camelCaseToBusiness(
businessToCamelCaseUpper(
stringToBusiness(belowred_Table1Rows[[#This Row],[String Value 1]]))),
stringToBusiness(belowred_Table1Rows[[#This Row],[String Value 1]]))</f>
        <v>1</v>
      </c>
    </row>
    <row r="24" spans="1:25">
      <c r="A24" s="99" t="s">
        <v>810</v>
      </c>
      <c r="D24" s="8"/>
      <c r="E24" s="8" t="s">
        <v>143</v>
      </c>
      <c r="F24" s="8"/>
      <c r="G24" s="8"/>
      <c r="H24" s="89" t="str">
        <f>IF(belowred_Table1Rows[[#This Row],[Table 2 Ref:src]]="","",INDEX(belowred_Table2Rows[T2 Name:q],MATCH(belowred_Table1Rows[[#This Row],[Table 2 Ref:src]],belowred_Table2Rows[ID],0)))</f>
        <v/>
      </c>
      <c r="I24" s="59" t="s">
        <v>705</v>
      </c>
      <c r="J24" s="7" t="str">
        <f>stringToBusiness(belowred_Table1Rows[[#This Row],[String Value 1]])</f>
        <v>USA Foundation</v>
      </c>
      <c r="K24" s="7" t="str">
        <f>camelCaseUpper(belowred_Table1Rows[[#This Row],[String Value 1]])</f>
        <v>USA_Foundation</v>
      </c>
      <c r="M24" s="7" t="str">
        <f>camelCaseToBusiness(belowred_Table1Rows[[#This Row],[Test CamelCaseUpper]])</f>
        <v>USA Foundation</v>
      </c>
      <c r="N24" s="5"/>
      <c r="O24" s="7" t="b">
        <f>EXACT(camelCaseLower(belowred_Table1Rows[[#This Row],[String Value 1]]),businessToCamelCaseLower(stringToBusiness(belowred_Table1Rows[[#This Row],[String Value 1]])))</f>
        <v>1</v>
      </c>
      <c r="P24" s="7" t="b">
        <f>EXACT(camelCaseUpper(belowred_Table1Rows[[#This Row],[String Value 1]]),businessToCamelCaseUpper(stringToBusiness(belowred_Table1Rows[[#This Row],[String Value 1]])))</f>
        <v>1</v>
      </c>
      <c r="Q24" s="7" t="b">
        <f>EXACT(camelCaseToBusiness(
businessToCamelCaseUpper(
stringToBusiness(belowred_Table1Rows[[#This Row],[String Value 1]]))),
stringToBusiness(belowred_Table1Rows[[#This Row],[String Value 1]]))</f>
        <v>1</v>
      </c>
    </row>
    <row r="25" spans="1:25">
      <c r="A25" s="99" t="s">
        <v>810</v>
      </c>
      <c r="D25" s="8"/>
      <c r="E25" s="8" t="s">
        <v>143</v>
      </c>
      <c r="F25" s="8"/>
      <c r="G25" s="8"/>
      <c r="H25" s="89" t="str">
        <f>IF(belowred_Table1Rows[[#This Row],[Table 2 Ref:src]]="","",INDEX(belowred_Table2Rows[T2 Name:q],MATCH(belowred_Table1Rows[[#This Row],[Table 2 Ref:src]],belowred_Table2Rows[ID],0)))</f>
        <v/>
      </c>
      <c r="I25" s="59" t="s">
        <v>706</v>
      </c>
      <c r="J25" s="7" t="str">
        <f>stringToBusiness(belowred_Table1Rows[[#This Row],[String Value 1]])</f>
        <v>USA !</v>
      </c>
      <c r="K25" s="7" t="str">
        <f>camelCaseUpper(belowred_Table1Rows[[#This Row],[String Value 1]])</f>
        <v>USA_E2__</v>
      </c>
      <c r="M25" s="7" t="str">
        <f>camelCaseToBusiness(belowred_Table1Rows[[#This Row],[Test CamelCaseUpper]])</f>
        <v>USA !</v>
      </c>
      <c r="N25" s="5"/>
      <c r="O25" s="7" t="b">
        <f>EXACT(camelCaseLower(belowred_Table1Rows[[#This Row],[String Value 1]]),businessToCamelCaseLower(stringToBusiness(belowred_Table1Rows[[#This Row],[String Value 1]])))</f>
        <v>1</v>
      </c>
      <c r="P25" s="7" t="b">
        <f>EXACT(camelCaseUpper(belowred_Table1Rows[[#This Row],[String Value 1]]),businessToCamelCaseUpper(stringToBusiness(belowred_Table1Rows[[#This Row],[String Value 1]])))</f>
        <v>1</v>
      </c>
      <c r="Q25" s="7" t="b">
        <f>EXACT(camelCaseToBusiness(
businessToCamelCaseUpper(
stringToBusiness(belowred_Table1Rows[[#This Row],[String Value 1]]))),
stringToBusiness(belowred_Table1Rows[[#This Row],[String Value 1]]))</f>
        <v>1</v>
      </c>
    </row>
    <row r="26" spans="1:25">
      <c r="A26" s="99" t="s">
        <v>810</v>
      </c>
      <c r="D26" s="8"/>
      <c r="E26" s="8" t="s">
        <v>143</v>
      </c>
      <c r="F26" s="8"/>
      <c r="G26" s="8"/>
      <c r="H26" s="89" t="str">
        <f>IF(belowred_Table1Rows[[#This Row],[Table 2 Ref:src]]="","",INDEX(belowred_Table2Rows[T2 Name:q],MATCH(belowred_Table1Rows[[#This Row],[Table 2 Ref:src]],belowred_Table2Rows[ID],0)))</f>
        <v/>
      </c>
      <c r="I26" s="59" t="s">
        <v>707</v>
      </c>
      <c r="J26" s="7" t="str">
        <f>stringToBusiness(belowred_Table1Rows[[#This Row],[String Value 1]])</f>
        <v>U !</v>
      </c>
      <c r="K26" s="7" t="str">
        <f>camelCaseUpper(belowred_Table1Rows[[#This Row],[String Value 1]])</f>
        <v>U_E2__</v>
      </c>
      <c r="M26" s="7" t="str">
        <f>camelCaseToBusiness(belowred_Table1Rows[[#This Row],[Test CamelCaseUpper]])</f>
        <v>U !</v>
      </c>
      <c r="N26" s="5"/>
      <c r="O26" s="7" t="b">
        <f>EXACT(camelCaseLower(belowred_Table1Rows[[#This Row],[String Value 1]]),businessToCamelCaseLower(stringToBusiness(belowred_Table1Rows[[#This Row],[String Value 1]])))</f>
        <v>1</v>
      </c>
      <c r="P26" s="7" t="b">
        <f>EXACT(camelCaseUpper(belowred_Table1Rows[[#This Row],[String Value 1]]),businessToCamelCaseUpper(stringToBusiness(belowred_Table1Rows[[#This Row],[String Value 1]])))</f>
        <v>1</v>
      </c>
      <c r="Q26" s="7" t="b">
        <f>EXACT(camelCaseToBusiness(
businessToCamelCaseUpper(
stringToBusiness(belowred_Table1Rows[[#This Row],[String Value 1]]))),
stringToBusiness(belowred_Table1Rows[[#This Row],[String Value 1]]))</f>
        <v>1</v>
      </c>
    </row>
    <row r="27" spans="1:25">
      <c r="A27" s="99" t="s">
        <v>810</v>
      </c>
      <c r="D27" s="8"/>
      <c r="E27" s="8" t="s">
        <v>143</v>
      </c>
      <c r="F27" s="8"/>
      <c r="G27" s="8"/>
      <c r="H27" s="89" t="str">
        <f>IF(belowred_Table1Rows[[#This Row],[Table 2 Ref:src]]="","",INDEX(belowred_Table2Rows[T2 Name:q],MATCH(belowred_Table1Rows[[#This Row],[Table 2 Ref:src]],belowred_Table2Rows[ID],0)))</f>
        <v/>
      </c>
      <c r="I27" s="59" t="s">
        <v>708</v>
      </c>
      <c r="J27" s="7" t="str">
        <f>stringToBusiness(belowred_Table1Rows[[#This Row],[String Value 1]])</f>
        <v>E !</v>
      </c>
      <c r="K27" s="7" t="str">
        <f>camelCaseUpper(belowred_Table1Rows[[#This Row],[String Value 1]])</f>
        <v>E_E2__</v>
      </c>
      <c r="M27" s="7" t="str">
        <f>camelCaseToBusiness(belowred_Table1Rows[[#This Row],[Test CamelCaseUpper]])</f>
        <v>E !</v>
      </c>
      <c r="N27" s="5"/>
      <c r="O27" s="7" t="b">
        <f>EXACT(camelCaseLower(belowred_Table1Rows[[#This Row],[String Value 1]]),businessToCamelCaseLower(stringToBusiness(belowred_Table1Rows[[#This Row],[String Value 1]])))</f>
        <v>1</v>
      </c>
      <c r="P27" s="7" t="b">
        <f>EXACT(camelCaseUpper(belowred_Table1Rows[[#This Row],[String Value 1]]),businessToCamelCaseUpper(stringToBusiness(belowred_Table1Rows[[#This Row],[String Value 1]])))</f>
        <v>1</v>
      </c>
      <c r="Q27" s="7" t="b">
        <f>EXACT(camelCaseToBusiness(
businessToCamelCaseUpper(
stringToBusiness(belowred_Table1Rows[[#This Row],[String Value 1]]))),
stringToBusiness(belowred_Table1Rows[[#This Row],[String Value 1]]))</f>
        <v>1</v>
      </c>
    </row>
    <row r="28" spans="1:25">
      <c r="A28" s="99" t="s">
        <v>810</v>
      </c>
      <c r="D28" s="8"/>
      <c r="E28" s="8" t="s">
        <v>143</v>
      </c>
      <c r="F28" s="8"/>
      <c r="G28" s="8"/>
      <c r="H28" s="89" t="str">
        <f>IF(belowred_Table1Rows[[#This Row],[Table 2 Ref:src]]="","",INDEX(belowred_Table2Rows[T2 Name:q],MATCH(belowred_Table1Rows[[#This Row],[Table 2 Ref:src]],belowred_Table2Rows[ID],0)))</f>
        <v/>
      </c>
      <c r="I28" s="59" t="s">
        <v>709</v>
      </c>
      <c r="J28" s="7" t="str">
        <f>stringToBusiness(belowred_Table1Rows[[#This Row],[String Value 1]])</f>
        <v>E !E</v>
      </c>
      <c r="K28" s="7" t="str">
        <f>camelCaseUpper(belowred_Table1Rows[[#This Row],[String Value 1]])</f>
        <v>E_E2__E</v>
      </c>
      <c r="M28" s="7" t="str">
        <f>camelCaseToBusiness(belowred_Table1Rows[[#This Row],[Test CamelCaseUpper]])</f>
        <v>E !E</v>
      </c>
      <c r="N28" s="5"/>
      <c r="O28" s="7" t="b">
        <f>EXACT(camelCaseLower(belowred_Table1Rows[[#This Row],[String Value 1]]),businessToCamelCaseLower(stringToBusiness(belowred_Table1Rows[[#This Row],[String Value 1]])))</f>
        <v>1</v>
      </c>
      <c r="P28" s="7" t="b">
        <f>EXACT(camelCaseUpper(belowred_Table1Rows[[#This Row],[String Value 1]]),businessToCamelCaseUpper(stringToBusiness(belowred_Table1Rows[[#This Row],[String Value 1]])))</f>
        <v>1</v>
      </c>
      <c r="Q28" s="7" t="b">
        <f>EXACT(camelCaseToBusiness(
businessToCamelCaseUpper(
stringToBusiness(belowred_Table1Rows[[#This Row],[String Value 1]]))),
stringToBusiness(belowred_Table1Rows[[#This Row],[String Value 1]]))</f>
        <v>1</v>
      </c>
    </row>
    <row r="29" spans="1:25">
      <c r="A29" s="99" t="s">
        <v>810</v>
      </c>
      <c r="D29" s="8"/>
      <c r="E29" s="8" t="s">
        <v>143</v>
      </c>
      <c r="F29" s="8"/>
      <c r="G29" s="8"/>
      <c r="H29" s="89" t="str">
        <f>IF(belowred_Table1Rows[[#This Row],[Table 2 Ref:src]]="","",INDEX(belowred_Table2Rows[T2 Name:q],MATCH(belowred_Table1Rows[[#This Row],[Table 2 Ref:src]],belowred_Table2Rows[ID],0)))</f>
        <v/>
      </c>
      <c r="I29" s="59" t="s">
        <v>710</v>
      </c>
      <c r="J29" s="7" t="str">
        <f>stringToBusiness(belowred_Table1Rows[[#This Row],[String Value 1]])</f>
        <v>EE !E</v>
      </c>
      <c r="K29" s="7" t="str">
        <f>camelCaseUpper(belowred_Table1Rows[[#This Row],[String Value 1]])</f>
        <v>EE_E2__E</v>
      </c>
      <c r="M29" s="7" t="str">
        <f>camelCaseToBusiness(belowred_Table1Rows[[#This Row],[Test CamelCaseUpper]])</f>
        <v>EE !E</v>
      </c>
      <c r="N29" s="5"/>
      <c r="O29" s="7" t="b">
        <f>EXACT(camelCaseLower(belowred_Table1Rows[[#This Row],[String Value 1]]),businessToCamelCaseLower(stringToBusiness(belowred_Table1Rows[[#This Row],[String Value 1]])))</f>
        <v>1</v>
      </c>
      <c r="P29" s="7" t="b">
        <f>EXACT(camelCaseUpper(belowred_Table1Rows[[#This Row],[String Value 1]]),businessToCamelCaseUpper(stringToBusiness(belowred_Table1Rows[[#This Row],[String Value 1]])))</f>
        <v>1</v>
      </c>
      <c r="Q29" s="7" t="b">
        <f>EXACT(camelCaseToBusiness(
businessToCamelCaseUpper(
stringToBusiness(belowred_Table1Rows[[#This Row],[String Value 1]]))),
stringToBusiness(belowred_Table1Rows[[#This Row],[String Value 1]]))</f>
        <v>1</v>
      </c>
    </row>
    <row r="30" spans="1:25">
      <c r="A30" s="99" t="s">
        <v>810</v>
      </c>
      <c r="D30" s="8"/>
      <c r="E30" s="8" t="s">
        <v>143</v>
      </c>
      <c r="F30" s="8"/>
      <c r="G30" s="8"/>
      <c r="H30" s="89" t="str">
        <f>IF(belowred_Table1Rows[[#This Row],[Table 2 Ref:src]]="","",INDEX(belowred_Table2Rows[T2 Name:q],MATCH(belowred_Table1Rows[[#This Row],[Table 2 Ref:src]],belowred_Table2Rows[ID],0)))</f>
        <v/>
      </c>
      <c r="I30" s="59" t="s">
        <v>704</v>
      </c>
      <c r="J30" s="7" t="str">
        <f>stringToBusiness(belowred_Table1Rows[[#This Row],[String Value 1]])</f>
        <v>E E !E</v>
      </c>
      <c r="K30" s="7" t="str">
        <f>camelCaseUpper(belowred_Table1Rows[[#This Row],[String Value 1]])</f>
        <v>E_E_E2__E</v>
      </c>
      <c r="M30" s="7" t="str">
        <f>camelCaseToBusiness(belowred_Table1Rows[[#This Row],[Test CamelCaseUpper]])</f>
        <v>E E !E</v>
      </c>
      <c r="N30" s="5"/>
      <c r="O30" s="7" t="b">
        <f>EXACT(camelCaseLower(belowred_Table1Rows[[#This Row],[String Value 1]]),businessToCamelCaseLower(stringToBusiness(belowred_Table1Rows[[#This Row],[String Value 1]])))</f>
        <v>1</v>
      </c>
      <c r="P30" s="7" t="b">
        <f>EXACT(camelCaseUpper(belowred_Table1Rows[[#This Row],[String Value 1]]),businessToCamelCaseUpper(stringToBusiness(belowred_Table1Rows[[#This Row],[String Value 1]])))</f>
        <v>1</v>
      </c>
      <c r="Q30" s="7" t="b">
        <f>EXACT(camelCaseToBusiness(
businessToCamelCaseUpper(
stringToBusiness(belowred_Table1Rows[[#This Row],[String Value 1]]))),
stringToBusiness(belowred_Table1Rows[[#This Row],[String Value 1]]))</f>
        <v>1</v>
      </c>
    </row>
    <row r="31" spans="1:25">
      <c r="A31" s="99" t="s">
        <v>810</v>
      </c>
      <c r="D31" s="8"/>
      <c r="E31" s="8" t="s">
        <v>143</v>
      </c>
      <c r="F31" s="8"/>
      <c r="G31" s="8"/>
      <c r="H31" s="89" t="str">
        <f>IF(belowred_Table1Rows[[#This Row],[Table 2 Ref:src]]="","",INDEX(belowred_Table2Rows[T2 Name:q],MATCH(belowred_Table1Rows[[#This Row],[Table 2 Ref:src]],belowred_Table2Rows[ID],0)))</f>
        <v/>
      </c>
      <c r="I31" s="59" t="s">
        <v>711</v>
      </c>
      <c r="J31" s="7" t="str">
        <f>stringToBusiness(belowred_Table1Rows[[#This Row],[String Value 1]])</f>
        <v>u!</v>
      </c>
      <c r="K31" s="7" t="str">
        <f>camelCaseUpper(belowred_Table1Rows[[#This Row],[String Value 1]])</f>
        <v>u_e__</v>
      </c>
      <c r="M31" s="7" t="str">
        <f>camelCaseToBusiness(belowred_Table1Rows[[#This Row],[Test CamelCaseUpper]])</f>
        <v>u!</v>
      </c>
      <c r="N31" s="5"/>
      <c r="O31" s="7" t="b">
        <f>EXACT(camelCaseLower(belowred_Table1Rows[[#This Row],[String Value 1]]),businessToCamelCaseLower(stringToBusiness(belowred_Table1Rows[[#This Row],[String Value 1]])))</f>
        <v>1</v>
      </c>
      <c r="P31" s="7" t="b">
        <f>EXACT(camelCaseUpper(belowred_Table1Rows[[#This Row],[String Value 1]]),businessToCamelCaseUpper(stringToBusiness(belowred_Table1Rows[[#This Row],[String Value 1]])))</f>
        <v>1</v>
      </c>
      <c r="Q31" s="7" t="b">
        <f>EXACT(camelCaseToBusiness(
businessToCamelCaseUpper(
stringToBusiness(belowred_Table1Rows[[#This Row],[String Value 1]]))),
stringToBusiness(belowred_Table1Rows[[#This Row],[String Value 1]]))</f>
        <v>1</v>
      </c>
    </row>
    <row r="32" spans="1:25">
      <c r="A32" s="99" t="s">
        <v>810</v>
      </c>
      <c r="D32" s="8"/>
      <c r="E32" s="8" t="s">
        <v>143</v>
      </c>
      <c r="F32" s="8"/>
      <c r="G32" s="8"/>
      <c r="H32" s="89" t="str">
        <f>IF(belowred_Table1Rows[[#This Row],[Table 2 Ref:src]]="","",INDEX(belowred_Table2Rows[T2 Name:q],MATCH(belowred_Table1Rows[[#This Row],[Table 2 Ref:src]],belowred_Table2Rows[ID],0)))</f>
        <v/>
      </c>
      <c r="I32" s="59" t="s">
        <v>712</v>
      </c>
      <c r="J32" s="7" t="str">
        <f>stringToBusiness(belowred_Table1Rows[[#This Row],[String Value 1]])</f>
        <v>e!</v>
      </c>
      <c r="K32" s="7" t="str">
        <f>camelCaseUpper(belowred_Table1Rows[[#This Row],[String Value 1]])</f>
        <v>e_e__</v>
      </c>
      <c r="M32" s="7" t="str">
        <f>camelCaseToBusiness(belowred_Table1Rows[[#This Row],[Test CamelCaseUpper]])</f>
        <v>e!</v>
      </c>
      <c r="N32" s="5"/>
      <c r="O32" s="7" t="b">
        <f>EXACT(camelCaseLower(belowred_Table1Rows[[#This Row],[String Value 1]]),businessToCamelCaseLower(stringToBusiness(belowred_Table1Rows[[#This Row],[String Value 1]])))</f>
        <v>1</v>
      </c>
      <c r="P32" s="7" t="b">
        <f>EXACT(camelCaseUpper(belowred_Table1Rows[[#This Row],[String Value 1]]),businessToCamelCaseUpper(stringToBusiness(belowred_Table1Rows[[#This Row],[String Value 1]])))</f>
        <v>1</v>
      </c>
      <c r="Q32" s="7" t="b">
        <f>EXACT(camelCaseToBusiness(
businessToCamelCaseUpper(
stringToBusiness(belowred_Table1Rows[[#This Row],[String Value 1]]))),
stringToBusiness(belowred_Table1Rows[[#This Row],[String Value 1]]))</f>
        <v>1</v>
      </c>
    </row>
    <row r="33" spans="1:17">
      <c r="A33" s="99" t="s">
        <v>810</v>
      </c>
      <c r="D33" s="8"/>
      <c r="E33" s="8" t="s">
        <v>143</v>
      </c>
      <c r="F33" s="8"/>
      <c r="G33" s="8"/>
      <c r="H33" s="89" t="str">
        <f>IF(belowred_Table1Rows[[#This Row],[Table 2 Ref:src]]="","",INDEX(belowred_Table2Rows[T2 Name:q],MATCH(belowred_Table1Rows[[#This Row],[Table 2 Ref:src]],belowred_Table2Rows[ID],0)))</f>
        <v/>
      </c>
      <c r="I33" s="59" t="s">
        <v>713</v>
      </c>
      <c r="J33" s="7" t="str">
        <f>stringToBusiness(belowred_Table1Rows[[#This Row],[String Value 1]])</f>
        <v>a a a a</v>
      </c>
      <c r="K33" s="7" t="str">
        <f>camelCaseUpper(belowred_Table1Rows[[#This Row],[String Value 1]])</f>
        <v>aA_A_A</v>
      </c>
      <c r="M33" s="7" t="str">
        <f>camelCaseToBusiness(belowred_Table1Rows[[#This Row],[Test CamelCaseUpper]])</f>
        <v>a a a a</v>
      </c>
      <c r="N33" s="5"/>
      <c r="O33" s="7" t="b">
        <f>EXACT(camelCaseLower(belowred_Table1Rows[[#This Row],[String Value 1]]),businessToCamelCaseLower(stringToBusiness(belowred_Table1Rows[[#This Row],[String Value 1]])))</f>
        <v>1</v>
      </c>
      <c r="P33" s="7" t="b">
        <f>EXACT(camelCaseUpper(belowred_Table1Rows[[#This Row],[String Value 1]]),businessToCamelCaseUpper(stringToBusiness(belowred_Table1Rows[[#This Row],[String Value 1]])))</f>
        <v>1</v>
      </c>
      <c r="Q33" s="7" t="b">
        <f>EXACT(camelCaseToBusiness(
businessToCamelCaseUpper(
stringToBusiness(belowred_Table1Rows[[#This Row],[String Value 1]]))),
stringToBusiness(belowred_Table1Rows[[#This Row],[String Value 1]]))</f>
        <v>1</v>
      </c>
    </row>
    <row r="34" spans="1:17" ht="30">
      <c r="A34" s="99" t="s">
        <v>810</v>
      </c>
      <c r="D34" s="8"/>
      <c r="E34" s="8" t="s">
        <v>143</v>
      </c>
      <c r="F34" s="8"/>
      <c r="G34" s="8"/>
      <c r="H34" s="89" t="str">
        <f>IF(belowred_Table1Rows[[#This Row],[Table 2 Ref:src]]="","",INDEX(belowred_Table2Rows[T2 Name:q],MATCH(belowred_Table1Rows[[#This Row],[Table 2 Ref:src]],belowred_Table2Rows[ID],0)))</f>
        <v/>
      </c>
      <c r="I34" s="60" t="s">
        <v>715</v>
      </c>
      <c r="J34" s="7" t="str">
        <f>stringToBusiness(belowred_Table1Rows[[#This Row],[String Value 1]])</f>
        <v>o First
o Second</v>
      </c>
      <c r="K34" s="7" t="str">
        <f>camelCaseUpper(belowred_Table1Rows[[#This Row],[String Value 1]])</f>
        <v>oFirst_n__oSecond</v>
      </c>
      <c r="M34" s="7" t="str">
        <f>camelCaseToBusiness(belowred_Table1Rows[[#This Row],[Test CamelCaseUpper]])</f>
        <v>o First
o Second</v>
      </c>
      <c r="N34" s="5"/>
      <c r="O34" s="7" t="b">
        <f>EXACT(camelCaseLower(belowred_Table1Rows[[#This Row],[String Value 1]]),businessToCamelCaseLower(stringToBusiness(belowred_Table1Rows[[#This Row],[String Value 1]])))</f>
        <v>1</v>
      </c>
      <c r="P34" s="7" t="b">
        <f>EXACT(camelCaseUpper(belowred_Table1Rows[[#This Row],[String Value 1]]),businessToCamelCaseUpper(stringToBusiness(belowred_Table1Rows[[#This Row],[String Value 1]])))</f>
        <v>1</v>
      </c>
      <c r="Q34" s="7" t="b">
        <f>EXACT(camelCaseToBusiness(
businessToCamelCaseUpper(
stringToBusiness(belowred_Table1Rows[[#This Row],[String Value 1]]))),
stringToBusiness(belowred_Table1Rows[[#This Row],[String Value 1]]))</f>
        <v>1</v>
      </c>
    </row>
    <row r="35" spans="1:17" ht="30">
      <c r="A35" s="99" t="s">
        <v>810</v>
      </c>
      <c r="D35" s="8"/>
      <c r="E35" s="8" t="s">
        <v>143</v>
      </c>
      <c r="F35" s="8"/>
      <c r="G35" s="8"/>
      <c r="H35" s="89" t="str">
        <f>IF(belowred_Table1Rows[[#This Row],[Table 2 Ref:src]]="","",INDEX(belowred_Table2Rows[T2 Name:q],MATCH(belowred_Table1Rows[[#This Row],[Table 2 Ref:src]],belowred_Table2Rows[ID],0)))</f>
        <v/>
      </c>
      <c r="I35" s="59" t="s">
        <v>716</v>
      </c>
      <c r="J35" s="7" t="str">
        <f>stringToBusiness(belowred_Table1Rows[[#This Row],[String Value 1]])</f>
        <v>Asdasf Sdf Ddk Dkdkd</v>
      </c>
      <c r="K35" s="7" t="str">
        <f>camelCaseUpper(belowred_Table1Rows[[#This Row],[String Value 1]])</f>
        <v>AsdasfSdfDdkDkdkd</v>
      </c>
      <c r="M35" s="7" t="str">
        <f>camelCaseToBusiness(belowred_Table1Rows[[#This Row],[Test CamelCaseUpper]])</f>
        <v>Asdasf Sdf Ddk Dkdkd</v>
      </c>
      <c r="N35" s="5"/>
      <c r="O35" s="7" t="b">
        <f>EXACT(camelCaseLower(belowred_Table1Rows[[#This Row],[String Value 1]]),businessToCamelCaseLower(stringToBusiness(belowred_Table1Rows[[#This Row],[String Value 1]])))</f>
        <v>1</v>
      </c>
      <c r="P35" s="7" t="b">
        <f>EXACT(camelCaseUpper(belowred_Table1Rows[[#This Row],[String Value 1]]),businessToCamelCaseUpper(stringToBusiness(belowred_Table1Rows[[#This Row],[String Value 1]])))</f>
        <v>1</v>
      </c>
      <c r="Q35" s="7" t="b">
        <f>EXACT(camelCaseToBusiness(
businessToCamelCaseUpper(
stringToBusiness(belowred_Table1Rows[[#This Row],[String Value 1]]))),
stringToBusiness(belowred_Table1Rows[[#This Row],[String Value 1]]))</f>
        <v>1</v>
      </c>
    </row>
    <row r="36" spans="1:17" ht="30">
      <c r="A36" s="99" t="s">
        <v>810</v>
      </c>
      <c r="D36" s="8"/>
      <c r="E36" s="8" t="s">
        <v>143</v>
      </c>
      <c r="F36" s="8"/>
      <c r="G36" s="8"/>
      <c r="H36" s="89" t="str">
        <f>IF(belowred_Table1Rows[[#This Row],[Table 2 Ref:src]]="","",INDEX(belowred_Table2Rows[T2 Name:q],MATCH(belowred_Table1Rows[[#This Row],[Table 2 Ref:src]],belowred_Table2Rows[ID],0)))</f>
        <v/>
      </c>
      <c r="I36" s="60" t="s">
        <v>717</v>
      </c>
      <c r="J36" s="7" t="str">
        <f>stringToBusiness(belowred_Table1Rows[[#This Row],[String Value 1]])</f>
        <v>Hello
 a</v>
      </c>
      <c r="K36" s="7" t="str">
        <f>camelCaseUpper(belowred_Table1Rows[[#This Row],[String Value 1]])</f>
        <v>Hello_n___1s__a</v>
      </c>
      <c r="M36" s="7" t="str">
        <f>camelCaseToBusiness(belowred_Table1Rows[[#This Row],[Test CamelCaseUpper]])</f>
        <v>Hello
 a</v>
      </c>
      <c r="N36" s="5"/>
      <c r="O36" s="7" t="b">
        <f>EXACT(camelCaseLower(belowred_Table1Rows[[#This Row],[String Value 1]]),businessToCamelCaseLower(stringToBusiness(belowred_Table1Rows[[#This Row],[String Value 1]])))</f>
        <v>1</v>
      </c>
      <c r="P36" s="7" t="b">
        <f>EXACT(camelCaseUpper(belowred_Table1Rows[[#This Row],[String Value 1]]),businessToCamelCaseUpper(stringToBusiness(belowred_Table1Rows[[#This Row],[String Value 1]])))</f>
        <v>1</v>
      </c>
      <c r="Q36" s="7" t="b">
        <f>EXACT(camelCaseToBusiness(
businessToCamelCaseUpper(
stringToBusiness(belowred_Table1Rows[[#This Row],[String Value 1]]))),
stringToBusiness(belowred_Table1Rows[[#This Row],[String Value 1]]))</f>
        <v>1</v>
      </c>
    </row>
    <row r="37" spans="1:17" ht="45">
      <c r="A37" s="99" t="s">
        <v>810</v>
      </c>
      <c r="D37" s="8"/>
      <c r="E37" s="8" t="s">
        <v>143</v>
      </c>
      <c r="F37" s="8"/>
      <c r="G37" s="8"/>
      <c r="H37" s="89" t="str">
        <f>IF(belowred_Table1Rows[[#This Row],[Table 2 Ref:src]]="","",INDEX(belowred_Table2Rows[T2 Name:q],MATCH(belowred_Table1Rows[[#This Row],[Table 2 Ref:src]],belowred_Table2Rows[ID],0)))</f>
        <v/>
      </c>
      <c r="I37" s="60" t="s">
        <v>718</v>
      </c>
      <c r="J37" s="7" t="str">
        <f>stringToBusiness(belowred_Table1Rows[[#This Row],[String Value 1]])</f>
        <v>o Var 1 = "Ali Baba"
o Var 2 = 13
o Var 3 = True</v>
      </c>
      <c r="K37" s="7" t="str">
        <f>camelCaseUpper(belowred_Table1Rows[[#This Row],[String Value 1]])</f>
        <v>oVar1_EQU3___quo__AliBaba_quo___n__oVar2_EQU3__13_n__oVar3_EQU3__True</v>
      </c>
      <c r="M37" s="7" t="str">
        <f>camelCaseToBusiness(belowred_Table1Rows[[#This Row],[Test CamelCaseUpper]])</f>
        <v>o Var 1 = "Ali Baba"
o Var 2 = 13
o Var 3 = True</v>
      </c>
      <c r="N37" s="5"/>
      <c r="O37" s="7" t="b">
        <f>EXACT(camelCaseLower(belowred_Table1Rows[[#This Row],[String Value 1]]),businessToCamelCaseLower(stringToBusiness(belowred_Table1Rows[[#This Row],[String Value 1]])))</f>
        <v>1</v>
      </c>
      <c r="P37" s="7" t="b">
        <f>EXACT(camelCaseUpper(belowred_Table1Rows[[#This Row],[String Value 1]]),businessToCamelCaseUpper(stringToBusiness(belowred_Table1Rows[[#This Row],[String Value 1]])))</f>
        <v>1</v>
      </c>
      <c r="Q37" s="7" t="b">
        <f>EXACT(camelCaseToBusiness(
businessToCamelCaseUpper(
stringToBusiness(belowred_Table1Rows[[#This Row],[String Value 1]]))),
stringToBusiness(belowred_Table1Rows[[#This Row],[String Value 1]]))</f>
        <v>1</v>
      </c>
    </row>
    <row r="38" spans="1:17" ht="45">
      <c r="A38" s="99" t="s">
        <v>810</v>
      </c>
      <c r="D38" s="8"/>
      <c r="E38" s="8" t="s">
        <v>143</v>
      </c>
      <c r="F38" s="8"/>
      <c r="G38" s="8"/>
      <c r="H38" s="89" t="str">
        <f>IF(belowred_Table1Rows[[#This Row],[Table 2 Ref:src]]="","",INDEX(belowred_Table2Rows[T2 Name:q],MATCH(belowred_Table1Rows[[#This Row],[Table 2 Ref:src]],belowred_Table2Rows[ID],0)))</f>
        <v/>
      </c>
      <c r="I38" s="60" t="s">
        <v>719</v>
      </c>
      <c r="J38" s="7" t="str">
        <f>stringToBusiness(belowred_Table1Rows[[#This Row],[String Value 1]])</f>
        <v>a) Asd
b) Asdf
c) Asdfg</v>
      </c>
      <c r="K38" s="7" t="str">
        <f>camelCaseUpper(belowred_Table1Rows[[#This Row],[String Value 1]])</f>
        <v>a_CP__Asd_n__b_CP__Asdf_n__c_CP__Asdfg</v>
      </c>
      <c r="M38" s="7" t="str">
        <f>camelCaseToBusiness(belowred_Table1Rows[[#This Row],[Test CamelCaseUpper]])</f>
        <v>a) Asd
b) Asdf
c) Asdfg</v>
      </c>
      <c r="N38" s="5"/>
      <c r="O38" s="7" t="b">
        <f>EXACT(camelCaseLower(belowred_Table1Rows[[#This Row],[String Value 1]]),businessToCamelCaseLower(stringToBusiness(belowred_Table1Rows[[#This Row],[String Value 1]])))</f>
        <v>1</v>
      </c>
      <c r="P38" s="7" t="b">
        <f>EXACT(camelCaseUpper(belowred_Table1Rows[[#This Row],[String Value 1]]),businessToCamelCaseUpper(stringToBusiness(belowred_Table1Rows[[#This Row],[String Value 1]])))</f>
        <v>1</v>
      </c>
      <c r="Q38" s="7" t="b">
        <f>EXACT(camelCaseToBusiness(
businessToCamelCaseUpper(
stringToBusiness(belowred_Table1Rows[[#This Row],[String Value 1]]))),
stringToBusiness(belowred_Table1Rows[[#This Row],[String Value 1]]))</f>
        <v>1</v>
      </c>
    </row>
    <row r="39" spans="1:17" ht="45">
      <c r="A39" s="99" t="s">
        <v>810</v>
      </c>
      <c r="D39" s="8"/>
      <c r="E39" s="8" t="s">
        <v>143</v>
      </c>
      <c r="F39" s="8"/>
      <c r="G39" s="8"/>
      <c r="H39" s="89" t="str">
        <f>IF(belowred_Table1Rows[[#This Row],[Table 2 Ref:src]]="","",INDEX(belowred_Table2Rows[T2 Name:q],MATCH(belowred_Table1Rows[[#This Row],[Table 2 Ref:src]],belowred_Table2Rows[ID],0)))</f>
        <v/>
      </c>
      <c r="I39" s="60" t="s">
        <v>720</v>
      </c>
      <c r="J39" s="7" t="str">
        <f>stringToBusiness(belowred_Table1Rows[[#This Row],[String Value 1]])</f>
        <v>i First
ii Second
iii Third</v>
      </c>
      <c r="K39" s="7" t="str">
        <f>camelCaseUpper(belowred_Table1Rows[[#This Row],[String Value 1]])</f>
        <v>iFirst_n__iiSecond_n__iiiThird</v>
      </c>
      <c r="M39" s="7" t="str">
        <f>camelCaseToBusiness(belowred_Table1Rows[[#This Row],[Test CamelCaseUpper]])</f>
        <v>i First
ii Second
iii Third</v>
      </c>
      <c r="N39" s="5"/>
      <c r="O39" s="7" t="b">
        <f>EXACT(camelCaseLower(belowred_Table1Rows[[#This Row],[String Value 1]]),businessToCamelCaseLower(stringToBusiness(belowred_Table1Rows[[#This Row],[String Value 1]])))</f>
        <v>1</v>
      </c>
      <c r="P39" s="7" t="b">
        <f>EXACT(camelCaseUpper(belowred_Table1Rows[[#This Row],[String Value 1]]),businessToCamelCaseUpper(stringToBusiness(belowred_Table1Rows[[#This Row],[String Value 1]])))</f>
        <v>1</v>
      </c>
      <c r="Q39" s="7" t="b">
        <f>EXACT(camelCaseToBusiness(
businessToCamelCaseUpper(
stringToBusiness(belowred_Table1Rows[[#This Row],[String Value 1]]))),
stringToBusiness(belowred_Table1Rows[[#This Row],[String Value 1]]))</f>
        <v>1</v>
      </c>
    </row>
    <row r="40" spans="1:17">
      <c r="A40" s="99" t="s">
        <v>810</v>
      </c>
      <c r="D40" s="8"/>
      <c r="E40" s="8" t="s">
        <v>143</v>
      </c>
      <c r="F40" s="8"/>
      <c r="G40" s="8"/>
      <c r="H40" s="89" t="str">
        <f>IF(belowred_Table1Rows[[#This Row],[Table 2 Ref:src]]="","",INDEX(belowred_Table2Rows[T2 Name:q],MATCH(belowred_Table1Rows[[#This Row],[Table 2 Ref:src]],belowred_Table2Rows[ID],0)))</f>
        <v/>
      </c>
      <c r="I40" s="60" t="s">
        <v>724</v>
      </c>
      <c r="J40" s="7" t="str">
        <f>stringToBusiness(belowred_Table1Rows[[#This Row],[String Value 1]])</f>
        <v>e!e!e E !E</v>
      </c>
      <c r="K40" s="7" t="str">
        <f>camelCaseUpper(belowred_Table1Rows[[#This Row],[String Value 1]])</f>
        <v>e_e__e_e__eE_E2__E</v>
      </c>
      <c r="M40" s="7" t="str">
        <f>camelCaseToBusiness(belowred_Table1Rows[[#This Row],[Test CamelCaseUpper]])</f>
        <v>e!e!e E !E</v>
      </c>
      <c r="N40" s="5"/>
      <c r="O40" s="7" t="b">
        <f>EXACT(camelCaseLower(belowred_Table1Rows[[#This Row],[String Value 1]]),businessToCamelCaseLower(stringToBusiness(belowred_Table1Rows[[#This Row],[String Value 1]])))</f>
        <v>1</v>
      </c>
      <c r="P40" s="7" t="b">
        <f>EXACT(camelCaseUpper(belowred_Table1Rows[[#This Row],[String Value 1]]),businessToCamelCaseUpper(stringToBusiness(belowred_Table1Rows[[#This Row],[String Value 1]])))</f>
        <v>1</v>
      </c>
      <c r="Q40" s="7" t="b">
        <f>EXACT(camelCaseToBusiness(
businessToCamelCaseUpper(
stringToBusiness(belowred_Table1Rows[[#This Row],[String Value 1]]))),
stringToBusiness(belowred_Table1Rows[[#This Row],[String Value 1]]))</f>
        <v>1</v>
      </c>
    </row>
    <row r="41" spans="1:17">
      <c r="A41" s="99" t="s">
        <v>810</v>
      </c>
      <c r="D41" s="8"/>
      <c r="E41" s="8" t="s">
        <v>143</v>
      </c>
      <c r="F41" s="8"/>
      <c r="G41" s="8"/>
      <c r="H41" s="89" t="str">
        <f>IF(belowred_Table1Rows[[#This Row],[Table 2 Ref:src]]="","",INDEX(belowred_Table2Rows[T2 Name:q],MATCH(belowred_Table1Rows[[#This Row],[Table 2 Ref:src]],belowred_Table2Rows[ID],0)))</f>
        <v/>
      </c>
      <c r="I41" s="59" t="s">
        <v>721</v>
      </c>
      <c r="J41" s="7" t="str">
        <f>stringToBusiness(belowred_Table1Rows[[#This Row],[String Value 1]])</f>
        <v>USD EUR Exchange</v>
      </c>
      <c r="K41" s="7" t="str">
        <f>camelCaseUpper(belowred_Table1Rows[[#This Row],[String Value 1]])</f>
        <v>USD_EUR_Exchange</v>
      </c>
      <c r="M41" s="7" t="str">
        <f>camelCaseToBusiness(belowred_Table1Rows[[#This Row],[Test CamelCaseUpper]])</f>
        <v>USD EUR Exchange</v>
      </c>
      <c r="N41" s="5"/>
      <c r="O41" s="7" t="b">
        <f>EXACT(camelCaseLower(belowred_Table1Rows[[#This Row],[String Value 1]]),businessToCamelCaseLower(stringToBusiness(belowred_Table1Rows[[#This Row],[String Value 1]])))</f>
        <v>1</v>
      </c>
      <c r="P41" s="7" t="b">
        <f>EXACT(camelCaseUpper(belowred_Table1Rows[[#This Row],[String Value 1]]),businessToCamelCaseUpper(stringToBusiness(belowred_Table1Rows[[#This Row],[String Value 1]])))</f>
        <v>1</v>
      </c>
      <c r="Q41" s="7" t="b">
        <f>EXACT(camelCaseToBusiness(
businessToCamelCaseUpper(
stringToBusiness(belowred_Table1Rows[[#This Row],[String Value 1]]))),
stringToBusiness(belowred_Table1Rows[[#This Row],[String Value 1]]))</f>
        <v>1</v>
      </c>
    </row>
    <row r="42" spans="1:17">
      <c r="A42" s="99" t="s">
        <v>810</v>
      </c>
      <c r="D42" s="8"/>
      <c r="E42" s="8" t="s">
        <v>143</v>
      </c>
      <c r="F42" s="8"/>
      <c r="G42" s="8"/>
      <c r="H42" s="89" t="str">
        <f>IF(belowred_Table1Rows[[#This Row],[Table 2 Ref:src]]="","",INDEX(belowred_Table2Rows[T2 Name:q],MATCH(belowred_Table1Rows[[#This Row],[Table 2 Ref:src]],belowred_Table2Rows[ID],0)))</f>
        <v/>
      </c>
      <c r="I42" s="59" t="s">
        <v>722</v>
      </c>
      <c r="J42" s="7" t="str">
        <f>stringToBusiness(belowred_Table1Rows[[#This Row],[String Value 1]])</f>
        <v>USD_EUR Exchange</v>
      </c>
      <c r="K42" s="7" t="str">
        <f>camelCaseUpper(belowred_Table1Rows[[#This Row],[String Value 1]])</f>
        <v>USD_u__EUR_Exchange</v>
      </c>
      <c r="M42" s="7" t="str">
        <f>camelCaseToBusiness(belowred_Table1Rows[[#This Row],[Test CamelCaseUpper]])</f>
        <v>USD_EUR Exchange</v>
      </c>
      <c r="N42" s="5"/>
      <c r="O42" s="7" t="b">
        <f>EXACT(camelCaseLower(belowred_Table1Rows[[#This Row],[String Value 1]]),businessToCamelCaseLower(stringToBusiness(belowred_Table1Rows[[#This Row],[String Value 1]])))</f>
        <v>1</v>
      </c>
      <c r="P42" s="7" t="b">
        <f>EXACT(camelCaseUpper(belowred_Table1Rows[[#This Row],[String Value 1]]),businessToCamelCaseUpper(stringToBusiness(belowred_Table1Rows[[#This Row],[String Value 1]])))</f>
        <v>1</v>
      </c>
      <c r="Q42" s="7" t="b">
        <f>EXACT(camelCaseToBusiness(
businessToCamelCaseUpper(
stringToBusiness(belowred_Table1Rows[[#This Row],[String Value 1]]))),
stringToBusiness(belowred_Table1Rows[[#This Row],[String Value 1]]))</f>
        <v>1</v>
      </c>
    </row>
    <row r="43" spans="1:17">
      <c r="A43" s="99" t="s">
        <v>810</v>
      </c>
      <c r="D43" s="8"/>
      <c r="E43" s="8" t="s">
        <v>143</v>
      </c>
      <c r="F43" s="8"/>
      <c r="G43" s="8"/>
      <c r="H43" s="89" t="str">
        <f>IF(belowred_Table1Rows[[#This Row],[Table 2 Ref:src]]="","",INDEX(belowred_Table2Rows[T2 Name:q],MATCH(belowred_Table1Rows[[#This Row],[Table 2 Ref:src]],belowred_Table2Rows[ID],0)))</f>
        <v/>
      </c>
      <c r="I43" s="59" t="s">
        <v>723</v>
      </c>
      <c r="J43" s="7" t="str">
        <f>stringToBusiness(belowred_Table1Rows[[#This Row],[String Value 1]])</f>
        <v>USD_EUR Exchange</v>
      </c>
      <c r="K43" s="7" t="str">
        <f>camelCaseUpper(belowred_Table1Rows[[#This Row],[String Value 1]])</f>
        <v>USD_u__EUR_Exchange</v>
      </c>
      <c r="M43" s="7" t="str">
        <f>camelCaseToBusiness(belowred_Table1Rows[[#This Row],[Test CamelCaseUpper]])</f>
        <v>USD_EUR Exchange</v>
      </c>
      <c r="N43" s="5"/>
      <c r="O43" s="7" t="b">
        <f>EXACT(camelCaseLower(belowred_Table1Rows[[#This Row],[String Value 1]]),businessToCamelCaseLower(stringToBusiness(belowred_Table1Rows[[#This Row],[String Value 1]])))</f>
        <v>1</v>
      </c>
      <c r="P43" s="7" t="b">
        <f>EXACT(camelCaseUpper(belowred_Table1Rows[[#This Row],[String Value 1]]),businessToCamelCaseUpper(stringToBusiness(belowred_Table1Rows[[#This Row],[String Value 1]])))</f>
        <v>1</v>
      </c>
      <c r="Q43" s="7" t="b">
        <f>EXACT(camelCaseToBusiness(
businessToCamelCaseUpper(
stringToBusiness(belowred_Table1Rows[[#This Row],[String Value 1]]))),
stringToBusiness(belowred_Table1Rows[[#This Row],[String Value 1]]))</f>
        <v>1</v>
      </c>
    </row>
    <row r="44" spans="1:17">
      <c r="A44" s="99" t="s">
        <v>810</v>
      </c>
      <c r="D44" s="8"/>
      <c r="E44" s="8" t="s">
        <v>143</v>
      </c>
      <c r="F44" s="8"/>
      <c r="G44" s="8"/>
      <c r="H44" s="89" t="str">
        <f>IF(belowred_Table1Rows[[#This Row],[Table 2 Ref:src]]="","",INDEX(belowred_Table2Rows[T2 Name:q],MATCH(belowred_Table1Rows[[#This Row],[Table 2 Ref:src]],belowred_Table2Rows[ID],0)))</f>
        <v/>
      </c>
      <c r="I44" s="59" t="s">
        <v>725</v>
      </c>
      <c r="J44" s="7" t="str">
        <f>stringToBusiness(belowred_Table1Rows[[#This Row],[String Value 1]])</f>
        <v>?</v>
      </c>
      <c r="K44" s="7" t="str">
        <f>camelCaseUpper(belowred_Table1Rows[[#This Row],[String Value 1]])</f>
        <v>_q__</v>
      </c>
      <c r="M44" s="7" t="str">
        <f>camelCaseToBusiness(belowred_Table1Rows[[#This Row],[Test CamelCaseUpper]])</f>
        <v>?</v>
      </c>
      <c r="N44" s="5"/>
      <c r="O44" s="7" t="b">
        <f>EXACT(camelCaseLower(belowred_Table1Rows[[#This Row],[String Value 1]]),businessToCamelCaseLower(stringToBusiness(belowred_Table1Rows[[#This Row],[String Value 1]])))</f>
        <v>1</v>
      </c>
      <c r="P44" s="7" t="b">
        <f>EXACT(camelCaseUpper(belowred_Table1Rows[[#This Row],[String Value 1]]),businessToCamelCaseUpper(stringToBusiness(belowred_Table1Rows[[#This Row],[String Value 1]])))</f>
        <v>1</v>
      </c>
      <c r="Q44" s="7" t="b">
        <f>EXACT(camelCaseToBusiness(
businessToCamelCaseUpper(
stringToBusiness(belowred_Table1Rows[[#This Row],[String Value 1]]))),
stringToBusiness(belowred_Table1Rows[[#This Row],[String Value 1]]))</f>
        <v>1</v>
      </c>
    </row>
    <row r="45" spans="1:17">
      <c r="A45" s="99" t="s">
        <v>810</v>
      </c>
      <c r="D45" s="8"/>
      <c r="E45" s="8" t="s">
        <v>143</v>
      </c>
      <c r="F45" s="8"/>
      <c r="G45" s="8"/>
      <c r="H45" s="89" t="str">
        <f>IF(belowred_Table1Rows[[#This Row],[Table 2 Ref:src]]="","",INDEX(belowred_Table2Rows[T2 Name:q],MATCH(belowred_Table1Rows[[#This Row],[Table 2 Ref:src]],belowred_Table2Rows[ID],0)))</f>
        <v/>
      </c>
      <c r="I45" s="59" t="s">
        <v>727</v>
      </c>
      <c r="J45" s="7" t="str">
        <f>stringToBusiness(belowred_Table1Rows[[#This Row],[String Value 1]])</f>
        <v>Question? Answer</v>
      </c>
      <c r="K45" s="7" t="str">
        <f>camelCaseUpper(belowred_Table1Rows[[#This Row],[String Value 1]])</f>
        <v>Question_Q__Answer</v>
      </c>
      <c r="M45" s="7" t="str">
        <f>camelCaseToBusiness(belowred_Table1Rows[[#This Row],[Test CamelCaseUpper]])</f>
        <v>Question? Answer</v>
      </c>
      <c r="N45" s="5"/>
      <c r="O45" s="7" t="b">
        <f>EXACT(camelCaseLower(belowred_Table1Rows[[#This Row],[String Value 1]]),businessToCamelCaseLower(stringToBusiness(belowred_Table1Rows[[#This Row],[String Value 1]])))</f>
        <v>1</v>
      </c>
      <c r="P45" s="7" t="b">
        <f>EXACT(camelCaseUpper(belowred_Table1Rows[[#This Row],[String Value 1]]),businessToCamelCaseUpper(stringToBusiness(belowred_Table1Rows[[#This Row],[String Value 1]])))</f>
        <v>1</v>
      </c>
      <c r="Q45" s="7" t="b">
        <f>EXACT(camelCaseToBusiness(
businessToCamelCaseUpper(
stringToBusiness(belowred_Table1Rows[[#This Row],[String Value 1]]))),
stringToBusiness(belowred_Table1Rows[[#This Row],[String Value 1]]))</f>
        <v>1</v>
      </c>
    </row>
    <row r="46" spans="1:17">
      <c r="A46" s="99" t="s">
        <v>810</v>
      </c>
      <c r="D46" s="8"/>
      <c r="E46" s="8" t="s">
        <v>143</v>
      </c>
      <c r="F46" s="8"/>
      <c r="G46" s="8"/>
      <c r="H46" s="89" t="str">
        <f>IF(belowred_Table1Rows[[#This Row],[Table 2 Ref:src]]="","",INDEX(belowred_Table2Rows[T2 Name:q],MATCH(belowred_Table1Rows[[#This Row],[Table 2 Ref:src]],belowred_Table2Rows[ID],0)))</f>
        <v/>
      </c>
      <c r="I46" s="59" t="s">
        <v>726</v>
      </c>
      <c r="J46" s="7" t="str">
        <f>stringToBusiness(belowred_Table1Rows[[#This Row],[String Value 1]])</f>
        <v>Question ?</v>
      </c>
      <c r="K46" s="7" t="str">
        <f>camelCaseUpper(belowred_Table1Rows[[#This Row],[String Value 1]])</f>
        <v>Question_Q2__</v>
      </c>
      <c r="M46" s="7" t="str">
        <f>camelCaseToBusiness(belowred_Table1Rows[[#This Row],[Test CamelCaseUpper]])</f>
        <v>Question ?</v>
      </c>
      <c r="N46" s="5"/>
      <c r="O46" s="7" t="b">
        <f>EXACT(camelCaseLower(belowred_Table1Rows[[#This Row],[String Value 1]]),businessToCamelCaseLower(stringToBusiness(belowred_Table1Rows[[#This Row],[String Value 1]])))</f>
        <v>1</v>
      </c>
      <c r="P46" s="7" t="b">
        <f>EXACT(camelCaseUpper(belowred_Table1Rows[[#This Row],[String Value 1]]),businessToCamelCaseUpper(stringToBusiness(belowred_Table1Rows[[#This Row],[String Value 1]])))</f>
        <v>1</v>
      </c>
      <c r="Q46" s="7" t="b">
        <f>EXACT(camelCaseToBusiness(
businessToCamelCaseUpper(
stringToBusiness(belowred_Table1Rows[[#This Row],[String Value 1]]))),
stringToBusiness(belowred_Table1Rows[[#This Row],[String Value 1]]))</f>
        <v>1</v>
      </c>
    </row>
    <row r="47" spans="1:17">
      <c r="A47" s="99" t="s">
        <v>810</v>
      </c>
      <c r="D47" s="8"/>
      <c r="E47" s="8" t="s">
        <v>143</v>
      </c>
      <c r="F47" s="8"/>
      <c r="G47" s="8"/>
      <c r="H47" s="89" t="str">
        <f>IF(belowred_Table1Rows[[#This Row],[Table 2 Ref:src]]="","",INDEX(belowred_Table2Rows[T2 Name:q],MATCH(belowred_Table1Rows[[#This Row],[Table 2 Ref:src]],belowred_Table2Rows[ID],0)))</f>
        <v/>
      </c>
      <c r="I47" s="59" t="s">
        <v>728</v>
      </c>
      <c r="J47" s="7" t="str">
        <f>stringToBusiness(belowred_Table1Rows[[#This Row],[String Value 1]])</f>
        <v>Question ? Answer</v>
      </c>
      <c r="K47" s="7" t="str">
        <f>camelCaseUpper(belowred_Table1Rows[[#This Row],[String Value 1]])</f>
        <v>Question_Q3__Answer</v>
      </c>
      <c r="M47" s="7" t="str">
        <f>camelCaseToBusiness(belowred_Table1Rows[[#This Row],[Test CamelCaseUpper]])</f>
        <v>Question ? Answer</v>
      </c>
      <c r="N47" s="5"/>
      <c r="O47" s="7" t="b">
        <f>EXACT(camelCaseLower(belowred_Table1Rows[[#This Row],[String Value 1]]),businessToCamelCaseLower(stringToBusiness(belowred_Table1Rows[[#This Row],[String Value 1]])))</f>
        <v>1</v>
      </c>
      <c r="P47" s="7" t="b">
        <f>EXACT(camelCaseUpper(belowred_Table1Rows[[#This Row],[String Value 1]]),businessToCamelCaseUpper(stringToBusiness(belowred_Table1Rows[[#This Row],[String Value 1]])))</f>
        <v>1</v>
      </c>
      <c r="Q47" s="7" t="b">
        <f>EXACT(camelCaseToBusiness(
businessToCamelCaseUpper(
stringToBusiness(belowred_Table1Rows[[#This Row],[String Value 1]]))),
stringToBusiness(belowred_Table1Rows[[#This Row],[String Value 1]]))</f>
        <v>1</v>
      </c>
    </row>
    <row r="48" spans="1:17" ht="30">
      <c r="A48" s="99" t="s">
        <v>810</v>
      </c>
      <c r="D48" s="8"/>
      <c r="E48" s="8" t="s">
        <v>143</v>
      </c>
      <c r="F48" s="8"/>
      <c r="G48" s="8"/>
      <c r="H48" s="89" t="str">
        <f>IF(belowred_Table1Rows[[#This Row],[Table 2 Ref:src]]="","",INDEX(belowred_Table2Rows[T2 Name:q],MATCH(belowred_Table1Rows[[#This Row],[Table 2 Ref:src]],belowred_Table2Rows[ID],0)))</f>
        <v/>
      </c>
      <c r="I48" s="60" t="s">
        <v>729</v>
      </c>
      <c r="J48" s="7" t="str">
        <f>stringToBusiness(belowred_Table1Rows[[#This Row],[String Value 1]])</f>
        <v>a) First
b) Second</v>
      </c>
      <c r="K48" s="7" t="str">
        <f>camelCaseUpper(belowred_Table1Rows[[#This Row],[String Value 1]])</f>
        <v>a_CP__First_n__b_CP__Second</v>
      </c>
      <c r="M48" s="7" t="str">
        <f>camelCaseToBusiness(belowred_Table1Rows[[#This Row],[Test CamelCaseUpper]])</f>
        <v>a) First
b) Second</v>
      </c>
      <c r="N48" s="5"/>
      <c r="O48" s="7" t="b">
        <f>EXACT(camelCaseLower(belowred_Table1Rows[[#This Row],[String Value 1]]),businessToCamelCaseLower(stringToBusiness(belowred_Table1Rows[[#This Row],[String Value 1]])))</f>
        <v>1</v>
      </c>
      <c r="P48" s="7" t="b">
        <f>EXACT(camelCaseUpper(belowred_Table1Rows[[#This Row],[String Value 1]]),businessToCamelCaseUpper(stringToBusiness(belowred_Table1Rows[[#This Row],[String Value 1]])))</f>
        <v>1</v>
      </c>
      <c r="Q48" s="7" t="b">
        <f>EXACT(camelCaseToBusiness(
businessToCamelCaseUpper(
stringToBusiness(belowred_Table1Rows[[#This Row],[String Value 1]]))),
stringToBusiness(belowred_Table1Rows[[#This Row],[String Value 1]]))</f>
        <v>1</v>
      </c>
    </row>
    <row r="49" spans="1:17" ht="30">
      <c r="A49" s="99" t="s">
        <v>810</v>
      </c>
      <c r="D49" s="8"/>
      <c r="E49" s="8" t="s">
        <v>143</v>
      </c>
      <c r="F49" s="8"/>
      <c r="G49" s="8"/>
      <c r="H49" s="89" t="str">
        <f>IF(belowred_Table1Rows[[#This Row],[Table 2 Ref:src]]="","",INDEX(belowred_Table2Rows[T2 Name:q],MATCH(belowred_Table1Rows[[#This Row],[Table 2 Ref:src]],belowred_Table2Rows[ID],0)))</f>
        <v/>
      </c>
      <c r="I49" s="60" t="s">
        <v>730</v>
      </c>
      <c r="J49" s="7" t="str">
        <f>stringToBusiness(belowred_Table1Rows[[#This Row],[String Value 1]])</f>
        <v>i) Hello
ii) My Friend</v>
      </c>
      <c r="K49" s="7" t="str">
        <f>camelCaseUpper(belowred_Table1Rows[[#This Row],[String Value 1]])</f>
        <v>i_CP__Hello_n__ii_CP__MyFriend</v>
      </c>
      <c r="M49" s="7" t="str">
        <f>camelCaseToBusiness(belowred_Table1Rows[[#This Row],[Test CamelCaseUpper]])</f>
        <v>i) Hello
ii) My Friend</v>
      </c>
      <c r="N49" s="5"/>
      <c r="O49" s="7" t="b">
        <f>EXACT(camelCaseLower(belowred_Table1Rows[[#This Row],[String Value 1]]),businessToCamelCaseLower(stringToBusiness(belowred_Table1Rows[[#This Row],[String Value 1]])))</f>
        <v>1</v>
      </c>
      <c r="P49" s="7" t="b">
        <f>EXACT(camelCaseUpper(belowred_Table1Rows[[#This Row],[String Value 1]]),businessToCamelCaseUpper(stringToBusiness(belowred_Table1Rows[[#This Row],[String Value 1]])))</f>
        <v>1</v>
      </c>
      <c r="Q49" s="7" t="b">
        <f>EXACT(camelCaseToBusiness(
businessToCamelCaseUpper(
stringToBusiness(belowred_Table1Rows[[#This Row],[String Value 1]]))),
stringToBusiness(belowred_Table1Rows[[#This Row],[String Value 1]]))</f>
        <v>1</v>
      </c>
    </row>
    <row r="50" spans="1:17">
      <c r="A50" s="99" t="s">
        <v>810</v>
      </c>
      <c r="D50" s="8"/>
      <c r="E50" s="8" t="s">
        <v>143</v>
      </c>
      <c r="F50" s="8"/>
      <c r="G50" s="8"/>
      <c r="H50" s="89" t="str">
        <f>IF(belowred_Table1Rows[[#This Row],[Table 2 Ref:src]]="","",INDEX(belowred_Table2Rows[T2 Name:q],MATCH(belowred_Table1Rows[[#This Row],[Table 2 Ref:src]],belowred_Table2Rows[ID],0)))</f>
        <v/>
      </c>
      <c r="I50" s="59" t="s">
        <v>128</v>
      </c>
      <c r="J50" s="7" t="str">
        <f>stringToBusiness(belowred_Table1Rows[[#This Row],[String Value 1]])</f>
        <v>Table 1 Row</v>
      </c>
      <c r="K50" s="7" t="str">
        <f>camelCaseUpper(belowred_Table1Rows[[#This Row],[String Value 1]])</f>
        <v>Table1Row</v>
      </c>
      <c r="M50" s="7" t="str">
        <f>camelCaseToBusiness(belowred_Table1Rows[[#This Row],[Test CamelCaseUpper]])</f>
        <v>Table 1 Row</v>
      </c>
      <c r="N50" s="5"/>
      <c r="O50" s="7" t="b">
        <f>EXACT(camelCaseLower(belowred_Table1Rows[[#This Row],[String Value 1]]),businessToCamelCaseLower(stringToBusiness(belowred_Table1Rows[[#This Row],[String Value 1]])))</f>
        <v>1</v>
      </c>
      <c r="P50" s="7" t="b">
        <f>EXACT(camelCaseUpper(belowred_Table1Rows[[#This Row],[String Value 1]]),businessToCamelCaseUpper(stringToBusiness(belowred_Table1Rows[[#This Row],[String Value 1]])))</f>
        <v>1</v>
      </c>
      <c r="Q50" s="7" t="b">
        <f>EXACT(camelCaseToBusiness(
businessToCamelCaseUpper(
stringToBusiness(belowred_Table1Rows[[#This Row],[String Value 1]]))),
stringToBusiness(belowred_Table1Rows[[#This Row],[String Value 1]]))</f>
        <v>1</v>
      </c>
    </row>
    <row r="51" spans="1:17">
      <c r="A51" s="100" t="s">
        <v>810</v>
      </c>
      <c r="D51" s="8"/>
      <c r="E51" s="8" t="s">
        <v>143</v>
      </c>
      <c r="F51" s="8"/>
      <c r="G51" s="8"/>
      <c r="H51" s="89" t="str">
        <f>IF(belowred_Table1Rows[[#This Row],[Table 2 Ref:src]]="","",INDEX(belowred_Table2Rows[T2 Name:q],MATCH(belowred_Table1Rows[[#This Row],[Table 2 Ref:src]],belowred_Table2Rows[ID],0)))</f>
        <v/>
      </c>
      <c r="I51" s="59" t="s">
        <v>773</v>
      </c>
      <c r="J51" s="7" t="str">
        <f>stringToBusiness(belowred_Table1Rows[[#This Row],[String Value 1]])</f>
        <v>Date YYYY_mm_DD</v>
      </c>
      <c r="K51" s="7" t="str">
        <f>camelCaseUpper(belowred_Table1Rows[[#This Row],[String Value 1]])</f>
        <v>DateYYYY_u__mm_u__DD</v>
      </c>
      <c r="M51" s="7" t="str">
        <f>camelCaseToBusiness(belowred_Table1Rows[[#This Row],[Test CamelCaseUpper]])</f>
        <v>Date YYYY_mm_DD</v>
      </c>
      <c r="N51" s="5"/>
      <c r="O51" s="7" t="b">
        <f>EXACT(camelCaseLower(belowred_Table1Rows[[#This Row],[String Value 1]]),businessToCamelCaseLower(stringToBusiness(belowred_Table1Rows[[#This Row],[String Value 1]])))</f>
        <v>1</v>
      </c>
      <c r="P51" s="7" t="b">
        <f>EXACT(camelCaseUpper(belowred_Table1Rows[[#This Row],[String Value 1]]),businessToCamelCaseUpper(stringToBusiness(belowred_Table1Rows[[#This Row],[String Value 1]])))</f>
        <v>1</v>
      </c>
      <c r="Q51" s="7" t="b">
        <f>EXACT(camelCaseToBusiness(
businessToCamelCaseUpper(
stringToBusiness(belowred_Table1Rows[[#This Row],[String Value 1]]))),
stringToBusiness(belowred_Table1Rows[[#This Row],[String Value 1]]))</f>
        <v>1</v>
      </c>
    </row>
    <row r="52" spans="1:17">
      <c r="D52" s="8"/>
      <c r="E52" s="8"/>
      <c r="F52" s="8"/>
      <c r="G52" s="8"/>
      <c r="H52" s="89" t="str">
        <f>IF(belowred_Table1Rows[[#This Row],[Table 2 Ref:src]]="","",INDEX(belowred_Table2Rows[T2 Name:q],MATCH(belowred_Table1Rows[[#This Row],[Table 2 Ref:src]],belowred_Table2Rows[ID],0)))</f>
        <v/>
      </c>
      <c r="I52" s="59" t="s">
        <v>933</v>
      </c>
      <c r="J52" s="7" t="str">
        <f>stringToBusiness(belowred_Table1Rows[[#This Row],[String Value 1]])</f>
        <v>Tats#Chlich</v>
      </c>
      <c r="K52" s="7" t="str">
        <f>camelCaseUpper(belowred_Table1Rows[[#This Row],[String Value 1]])</f>
        <v>Tats_nr__Chlich</v>
      </c>
      <c r="M52" s="7" t="str">
        <f>camelCaseToBusiness(belowred_Table1Rows[[#This Row],[Test CamelCaseUpper]])</f>
        <v>Tats#Chlich</v>
      </c>
      <c r="N52" s="5"/>
      <c r="O52" s="7" t="b">
        <f>EXACT(camelCaseLower(belowred_Table1Rows[[#This Row],[String Value 1]]),businessToCamelCaseLower(stringToBusiness(belowred_Table1Rows[[#This Row],[String Value 1]])))</f>
        <v>1</v>
      </c>
      <c r="P52" s="7" t="b">
        <f>EXACT(camelCaseUpper(belowred_Table1Rows[[#This Row],[String Value 1]]),businessToCamelCaseUpper(stringToBusiness(belowred_Table1Rows[[#This Row],[String Value 1]])))</f>
        <v>1</v>
      </c>
      <c r="Q52" s="7" t="b">
        <f>EXACT(camelCaseToBusiness(
businessToCamelCaseUpper(
stringToBusiness(belowred_Table1Rows[[#This Row],[String Value 1]]))),
stringToBusiness(belowred_Table1Rows[[#This Row],[String Value 1]]))</f>
        <v>1</v>
      </c>
    </row>
    <row r="53" spans="1:17">
      <c r="D53" s="8"/>
      <c r="E53" s="8"/>
      <c r="F53" s="8"/>
      <c r="G53" s="8"/>
      <c r="H53" s="89" t="str">
        <f>IF(belowred_Table1Rows[[#This Row],[Table 2 Ref:src]]="","",INDEX(belowred_Table2Rows[T2 Name:q],MATCH(belowred_Table1Rows[[#This Row],[Table 2 Ref:src]],belowred_Table2Rows[ID],0)))</f>
        <v/>
      </c>
      <c r="I53" s="59" t="s">
        <v>934</v>
      </c>
      <c r="J53" s="7" t="str">
        <f>stringToBusiness(belowred_Table1Rows[[#This Row],[String Value 1]])</f>
        <v>#Ffentlich</v>
      </c>
      <c r="K53" s="7" t="str">
        <f>camelCaseUpper(belowred_Table1Rows[[#This Row],[String Value 1]])</f>
        <v>_nr__Ffentlich</v>
      </c>
      <c r="M53" s="7" t="str">
        <f>camelCaseToBusiness(belowred_Table1Rows[[#This Row],[Test CamelCaseUpper]])</f>
        <v>#Ffentlich</v>
      </c>
      <c r="N53" s="5"/>
      <c r="O53" s="7" t="b">
        <f>EXACT(camelCaseLower(belowred_Table1Rows[[#This Row],[String Value 1]]),businessToCamelCaseLower(stringToBusiness(belowred_Table1Rows[[#This Row],[String Value 1]])))</f>
        <v>1</v>
      </c>
      <c r="P53" s="7" t="b">
        <f>EXACT(camelCaseUpper(belowred_Table1Rows[[#This Row],[String Value 1]]),businessToCamelCaseUpper(stringToBusiness(belowred_Table1Rows[[#This Row],[String Value 1]])))</f>
        <v>1</v>
      </c>
      <c r="Q53" s="7" t="b">
        <f>EXACT(camelCaseToBusiness(
businessToCamelCaseUpper(
stringToBusiness(belowred_Table1Rows[[#This Row],[String Value 1]]))),
stringToBusiness(belowred_Table1Rows[[#This Row],[String Value 1]]))</f>
        <v>1</v>
      </c>
    </row>
    <row r="54" spans="1:17">
      <c r="D54" s="8"/>
      <c r="E54" s="8"/>
      <c r="F54" s="8"/>
      <c r="G54" s="8"/>
      <c r="H54" s="89" t="str">
        <f>IF(belowred_Table1Rows[[#This Row],[Table 2 Ref:src]]="","",INDEX(belowred_Table2Rows[T2 Name:q],MATCH(belowred_Table1Rows[[#This Row],[Table 2 Ref:src]],belowred_Table2Rows[ID],0)))</f>
        <v/>
      </c>
      <c r="I54" s="59" t="s">
        <v>935</v>
      </c>
      <c r="J54" s="7" t="str">
        <f>stringToBusiness(belowred_Table1Rows[[#This Row],[String Value 1]])</f>
        <v>#FFENTLICH</v>
      </c>
      <c r="K54" s="7" t="str">
        <f>camelCaseUpper(belowred_Table1Rows[[#This Row],[String Value 1]])</f>
        <v>_nr__FFENTLICH</v>
      </c>
      <c r="M54" s="7" t="str">
        <f>camelCaseToBusiness(belowred_Table1Rows[[#This Row],[Test CamelCaseUpper]])</f>
        <v>#FFENTLICH</v>
      </c>
      <c r="N54" s="5"/>
      <c r="O54" s="7" t="b">
        <f>EXACT(camelCaseLower(belowred_Table1Rows[[#This Row],[String Value 1]]),businessToCamelCaseLower(stringToBusiness(belowred_Table1Rows[[#This Row],[String Value 1]])))</f>
        <v>1</v>
      </c>
      <c r="P54" s="7" t="b">
        <f>EXACT(camelCaseUpper(belowred_Table1Rows[[#This Row],[String Value 1]]),businessToCamelCaseUpper(stringToBusiness(belowred_Table1Rows[[#This Row],[String Value 1]])))</f>
        <v>1</v>
      </c>
      <c r="Q54" s="7" t="b">
        <f>EXACT(camelCaseToBusiness(
businessToCamelCaseUpper(
stringToBusiness(belowred_Table1Rows[[#This Row],[String Value 1]]))),
stringToBusiness(belowred_Table1Rows[[#This Row],[String Value 1]]))</f>
        <v>1</v>
      </c>
    </row>
    <row r="55" spans="1:17">
      <c r="D55" s="8"/>
      <c r="E55" s="8"/>
      <c r="F55" s="8"/>
      <c r="G55" s="8"/>
      <c r="H55" s="89" t="str">
        <f>IF(belowred_Table1Rows[[#This Row],[Table 2 Ref:src]]="","",INDEX(belowred_Table2Rows[T2 Name:q],MATCH(belowred_Table1Rows[[#This Row],[Table 2 Ref:src]],belowred_Table2Rows[ID],0)))</f>
        <v/>
      </c>
      <c r="I55" s="59" t="s">
        <v>936</v>
      </c>
      <c r="J55" s="7" t="str">
        <f>stringToBusiness(belowred_Table1Rows[[#This Row],[String Value 1]])</f>
        <v>#####</v>
      </c>
      <c r="K55" s="7" t="str">
        <f>camelCaseUpper(belowred_Table1Rows[[#This Row],[String Value 1]])</f>
        <v>_nr___nr___nr___nr___nr__</v>
      </c>
      <c r="M55" s="7" t="str">
        <f>camelCaseToBusiness(belowred_Table1Rows[[#This Row],[Test CamelCaseUpper]])</f>
        <v>#####</v>
      </c>
      <c r="N55" s="5"/>
      <c r="O55" s="7" t="b">
        <f>EXACT(camelCaseLower(belowred_Table1Rows[[#This Row],[String Value 1]]),businessToCamelCaseLower(stringToBusiness(belowred_Table1Rows[[#This Row],[String Value 1]])))</f>
        <v>1</v>
      </c>
      <c r="P55" s="7" t="b">
        <f>EXACT(camelCaseUpper(belowred_Table1Rows[[#This Row],[String Value 1]]),businessToCamelCaseUpper(stringToBusiness(belowred_Table1Rows[[#This Row],[String Value 1]])))</f>
        <v>1</v>
      </c>
      <c r="Q55" s="7" t="b">
        <f>EXACT(camelCaseToBusiness(
businessToCamelCaseUpper(
stringToBusiness(belowred_Table1Rows[[#This Row],[String Value 1]]))),
stringToBusiness(belowred_Table1Rows[[#This Row],[String Value 1]]))</f>
        <v>1</v>
      </c>
    </row>
    <row r="56" spans="1:17" ht="135">
      <c r="D56" s="8"/>
      <c r="E56" s="8"/>
      <c r="F56" s="8"/>
      <c r="G56" s="8"/>
      <c r="H56" s="89" t="str">
        <f>IF(belowred_Table1Rows[[#This Row],[Table 2 Ref:src]]="","",INDEX(belowred_Table2Rows[T2 Name:q],MATCH(belowred_Table1Rows[[#This Row],[Table 2 Ref:src]],belowred_Table2Rows[ID],0)))</f>
        <v/>
      </c>
      <c r="I56" s="60" t="s">
        <v>1803</v>
      </c>
      <c r="J56" s="7" t="str">
        <f>stringToBusiness(belowred_Table1Rows[[#This Row],[String Value 1]])</f>
        <v>Excel Column - Label Actual
(Formula Calculated in Meta_Tables "Excel Formula for Column Label Actual Calculation" Column)</v>
      </c>
      <c r="K56" s="7" t="str">
        <f>camelCaseUpper(belowred_Table1Rows[[#This Row],[String Value 1]])</f>
        <v>ExcelColumn_MIN3__LabelActual_n___op__FormulaCalculatedInMeta_u__Tables_QUO2__ExcelFormulaForColumnLabelActualCalculation_QUO__Column_cp__</v>
      </c>
      <c r="M56" s="7" t="str">
        <f>camelCaseToBusiness(belowred_Table1Rows[[#This Row],[Test CamelCaseUpper]])</f>
        <v>Excel Column - Label Actual
(Formula Calculated in Meta_Tables "Excel Formula for Column Label Actual Calculation" Column)</v>
      </c>
      <c r="N56" s="5"/>
      <c r="O56" s="7" t="b">
        <f>EXACT(camelCaseLower(belowred_Table1Rows[[#This Row],[String Value 1]]),businessToCamelCaseLower(stringToBusiness(belowred_Table1Rows[[#This Row],[String Value 1]])))</f>
        <v>1</v>
      </c>
      <c r="P56" s="7" t="b">
        <f>EXACT(camelCaseUpper(belowred_Table1Rows[[#This Row],[String Value 1]]),businessToCamelCaseUpper(stringToBusiness(belowred_Table1Rows[[#This Row],[String Value 1]])))</f>
        <v>1</v>
      </c>
      <c r="Q56" s="7" t="b">
        <f>EXACT(camelCaseToBusiness(
businessToCamelCaseUpper(
stringToBusiness(belowred_Table1Rows[[#This Row],[String Value 1]]))),
stringToBusiness(belowred_Table1Rows[[#This Row],[String Value 1]]))</f>
        <v>1</v>
      </c>
    </row>
    <row r="57" spans="1:17">
      <c r="D57" s="8"/>
      <c r="E57" s="8"/>
      <c r="F57" s="8"/>
      <c r="G57" s="8"/>
      <c r="H57" s="89" t="str">
        <f>IF(belowred_Table1Rows[[#This Row],[Table 2 Ref:src]]="","",INDEX(belowred_Table2Rows[T2 Name:q],MATCH(belowred_Table1Rows[[#This Row],[Table 2 Ref:src]],belowred_Table2Rows[ID],0)))</f>
        <v/>
      </c>
      <c r="I57" s="60" t="s">
        <v>183</v>
      </c>
      <c r="J57" s="7" t="str">
        <f>stringToBusiness(belowred_Table1Rows[[#This Row],[String Value 1]])</f>
        <v>Date YYYY mm DD</v>
      </c>
      <c r="K57" s="7" t="str">
        <f>camelCaseUpper(belowred_Table1Rows[[#This Row],[String Value 1]])</f>
        <v>DateYYYY_MmDD</v>
      </c>
      <c r="M57" s="7" t="str">
        <f>camelCaseToBusiness(belowred_Table1Rows[[#This Row],[Test CamelCaseUpper]])</f>
        <v>Date YYYY mm DD</v>
      </c>
      <c r="N57" s="5"/>
      <c r="O57" s="7" t="b">
        <f>EXACT(camelCaseLower(belowred_Table1Rows[[#This Row],[String Value 1]]),businessToCamelCaseLower(stringToBusiness(belowred_Table1Rows[[#This Row],[String Value 1]])))</f>
        <v>1</v>
      </c>
      <c r="P57" s="7" t="b">
        <f>EXACT(camelCaseUpper(belowred_Table1Rows[[#This Row],[String Value 1]]),businessToCamelCaseUpper(stringToBusiness(belowred_Table1Rows[[#This Row],[String Value 1]])))</f>
        <v>1</v>
      </c>
      <c r="Q57" s="7" t="b">
        <f>EXACT(camelCaseToBusiness(
businessToCamelCaseUpper(
stringToBusiness(belowred_Table1Rows[[#This Row],[String Value 1]]))),
stringToBusiness(belowred_Table1Rows[[#This Row],[String Value 1]]))</f>
        <v>1</v>
      </c>
    </row>
    <row r="58" spans="1:17">
      <c r="D58" s="8"/>
      <c r="E58" s="8"/>
      <c r="F58" s="8"/>
      <c r="G58" s="8"/>
      <c r="H58" s="89" t="str">
        <f>IF(belowred_Table1Rows[[#This Row],[Table 2 Ref:src]]="","",INDEX(belowred_Table2Rows[T2 Name:q],MATCH(belowred_Table1Rows[[#This Row],[Table 2 Ref:src]],belowred_Table2Rows[ID],0)))</f>
        <v/>
      </c>
      <c r="I58" s="60" t="s">
        <v>1805</v>
      </c>
      <c r="J58" s="7" t="str">
        <f>stringToBusiness(belowred_Table1Rows[[#This Row],[String Value 1]])</f>
        <v>Date YYYY-mm-DD</v>
      </c>
      <c r="K58" s="7" t="str">
        <f>camelCaseUpper(belowred_Table1Rows[[#This Row],[String Value 1]])</f>
        <v>DateYYYY_min__mm_min__DD</v>
      </c>
      <c r="M58" s="7" t="str">
        <f>camelCaseToBusiness(belowred_Table1Rows[[#This Row],[Test CamelCaseUpper]])</f>
        <v>Date YYYY-mm-DD</v>
      </c>
      <c r="O58" s="7" t="b">
        <f>EXACT(camelCaseLower(belowred_Table1Rows[[#This Row],[String Value 1]]),businessToCamelCaseLower(stringToBusiness(belowred_Table1Rows[[#This Row],[String Value 1]])))</f>
        <v>1</v>
      </c>
      <c r="P58" s="5" t="b">
        <f>EXACT(camelCaseUpper(belowred_Table1Rows[[#This Row],[String Value 1]]),businessToCamelCaseUpper(stringToBusiness(belowred_Table1Rows[[#This Row],[String Value 1]])))</f>
        <v>1</v>
      </c>
      <c r="Q58" s="5" t="b">
        <f>EXACT(camelCaseToBusiness(
businessToCamelCaseUpper(
stringToBusiness(belowred_Table1Rows[[#This Row],[String Value 1]]))),
stringToBusiness(belowred_Table1Rows[[#This Row],[String Value 1]]))</f>
        <v>1</v>
      </c>
    </row>
    <row r="59" spans="1:17" ht="30">
      <c r="D59" s="8"/>
      <c r="E59" s="8"/>
      <c r="F59" s="8"/>
      <c r="G59" s="8"/>
      <c r="H59" s="89" t="str">
        <f>IF(belowred_Table1Rows[[#This Row],[Table 2 Ref:src]]="","",INDEX(belowred_Table2Rows[T2 Name:q],MATCH(belowred_Table1Rows[[#This Row],[Table 2 Ref:src]],belowred_Table2Rows[ID],0)))</f>
        <v/>
      </c>
      <c r="I59" s="60" t="s">
        <v>1806</v>
      </c>
      <c r="J59" s="7" t="str">
        <f>stringToBusiness(belowred_Table1Rows[[#This Row],[String Value 1]])</f>
        <v>Date Time YYYY mm DD Hh mm Ss</v>
      </c>
      <c r="K59" s="7" t="str">
        <f>camelCaseUpper(belowred_Table1Rows[[#This Row],[String Value 1]])</f>
        <v>DateTimeYYYY_MmDD_HhMmSs</v>
      </c>
      <c r="M59" s="7" t="str">
        <f>camelCaseToBusiness(belowred_Table1Rows[[#This Row],[Test CamelCaseUpper]])</f>
        <v>Date Time YYYY mm DD Hh mm Ss</v>
      </c>
      <c r="O59" s="7" t="b">
        <f>EXACT(camelCaseLower(belowred_Table1Rows[[#This Row],[String Value 1]]),businessToCamelCaseLower(stringToBusiness(belowred_Table1Rows[[#This Row],[String Value 1]])))</f>
        <v>1</v>
      </c>
      <c r="P59" s="5" t="b">
        <f>EXACT(camelCaseUpper(belowred_Table1Rows[[#This Row],[String Value 1]]),businessToCamelCaseUpper(stringToBusiness(belowred_Table1Rows[[#This Row],[String Value 1]])))</f>
        <v>1</v>
      </c>
      <c r="Q59" s="5" t="b">
        <f>EXACT(camelCaseToBusiness(
businessToCamelCaseUpper(
stringToBusiness(belowred_Table1Rows[[#This Row],[String Value 1]]))),
stringToBusiness(belowred_Table1Rows[[#This Row],[String Value 1]]))</f>
        <v>1</v>
      </c>
    </row>
    <row r="60" spans="1:17" ht="30">
      <c r="D60" s="8"/>
      <c r="E60" s="8"/>
      <c r="F60" s="8"/>
      <c r="G60" s="8"/>
      <c r="H60" s="89" t="str">
        <f>IF(belowred_Table1Rows[[#This Row],[Table 2 Ref:src]]="","",INDEX(belowred_Table2Rows[T2 Name:q],MATCH(belowred_Table1Rows[[#This Row],[Table 2 Ref:src]],belowred_Table2Rows[ID],0)))</f>
        <v/>
      </c>
      <c r="I60" s="60" t="s">
        <v>1807</v>
      </c>
      <c r="J60" s="7" t="str">
        <f>stringToBusiness(belowred_Table1Rows[[#This Row],[String Value 1]])</f>
        <v>Date Time YYYY-mm-DD Hh:mm:Ss</v>
      </c>
      <c r="K60" s="7" t="str">
        <f>camelCaseUpper(belowred_Table1Rows[[#This Row],[String Value 1]])</f>
        <v>DateTimeYYYY_min__mm_min__DD_Hh_d__mm_d__Ss</v>
      </c>
      <c r="M60" s="7" t="str">
        <f>camelCaseToBusiness(belowred_Table1Rows[[#This Row],[Test CamelCaseUpper]])</f>
        <v>Date Time YYYY-mm-DD Hh:mm:Ss</v>
      </c>
      <c r="O60" s="7" t="b">
        <f>EXACT(camelCaseLower(belowred_Table1Rows[[#This Row],[String Value 1]]),businessToCamelCaseLower(stringToBusiness(belowred_Table1Rows[[#This Row],[String Value 1]])))</f>
        <v>1</v>
      </c>
      <c r="P60" s="5" t="b">
        <f>EXACT(camelCaseUpper(belowred_Table1Rows[[#This Row],[String Value 1]]),businessToCamelCaseUpper(stringToBusiness(belowred_Table1Rows[[#This Row],[String Value 1]])))</f>
        <v>1</v>
      </c>
      <c r="Q60" s="5" t="b">
        <f>EXACT(camelCaseToBusiness(
businessToCamelCaseUpper(
stringToBusiness(belowred_Table1Rows[[#This Row],[String Value 1]]))),
stringToBusiness(belowred_Table1Rows[[#This Row],[String Value 1]]))</f>
        <v>1</v>
      </c>
    </row>
    <row r="61" spans="1:17">
      <c r="D61" s="8"/>
      <c r="E61" s="8"/>
      <c r="F61" s="8"/>
      <c r="G61" s="8"/>
      <c r="H61" s="89" t="str">
        <f>IF(belowred_Table1Rows[[#This Row],[Table 2 Ref:src]]="","",INDEX(belowred_Table2Rows[T2 Name:q],MATCH(belowred_Table1Rows[[#This Row],[Table 2 Ref:src]],belowred_Table2Rows[ID],0)))</f>
        <v/>
      </c>
      <c r="I61" s="60" t="s">
        <v>1808</v>
      </c>
      <c r="J61" s="7" t="str">
        <f>stringToBusiness(belowred_Table1Rows[[#This Row],[String Value 1]])</f>
        <v>a B c d E F G</v>
      </c>
      <c r="K61" s="7" t="str">
        <f>camelCaseUpper(belowred_Table1Rows[[#This Row],[String Value 1]])</f>
        <v>aB_C_D_E_F_G</v>
      </c>
      <c r="M61" s="7" t="str">
        <f>camelCaseToBusiness(belowred_Table1Rows[[#This Row],[Test CamelCaseUpper]])</f>
        <v>a B c d E F G</v>
      </c>
      <c r="O61" s="7" t="b">
        <f>EXACT(camelCaseLower(belowred_Table1Rows[[#This Row],[String Value 1]]),businessToCamelCaseLower(stringToBusiness(belowred_Table1Rows[[#This Row],[String Value 1]])))</f>
        <v>1</v>
      </c>
      <c r="P61" s="5" t="b">
        <f>EXACT(camelCaseUpper(belowred_Table1Rows[[#This Row],[String Value 1]]),businessToCamelCaseUpper(stringToBusiness(belowred_Table1Rows[[#This Row],[String Value 1]])))</f>
        <v>1</v>
      </c>
      <c r="Q61" s="5" t="b">
        <f>EXACT(camelCaseToBusiness(
businessToCamelCaseUpper(
stringToBusiness(belowred_Table1Rows[[#This Row],[String Value 1]]))),
stringToBusiness(belowred_Table1Rows[[#This Row],[String Value 1]]))</f>
        <v>1</v>
      </c>
    </row>
    <row r="62" spans="1:17">
      <c r="D62" s="8"/>
      <c r="E62" s="8"/>
      <c r="F62" s="8"/>
      <c r="G62" s="8"/>
      <c r="H62" s="89" t="str">
        <f>IF(belowred_Table1Rows[[#This Row],[Table 2 Ref:src]]="","",INDEX(belowred_Table2Rows[T2 Name:q],MATCH(belowred_Table1Rows[[#This Row],[Table 2 Ref:src]],belowred_Table2Rows[ID],0)))</f>
        <v/>
      </c>
      <c r="I62" s="60" t="s">
        <v>1809</v>
      </c>
      <c r="J62" s="7" t="str">
        <f>stringToBusiness(belowred_Table1Rows[[#This Row],[String Value 1]])</f>
        <v>a B c d E</v>
      </c>
      <c r="K62" s="7" t="str">
        <f>camelCaseUpper(belowred_Table1Rows[[#This Row],[String Value 1]])</f>
        <v>aB_C_D_E</v>
      </c>
      <c r="M62" s="7" t="str">
        <f>camelCaseToBusiness(belowred_Table1Rows[[#This Row],[Test CamelCaseUpper]])</f>
        <v>a B c d E</v>
      </c>
      <c r="O62" s="7" t="b">
        <f>EXACT(camelCaseLower(belowred_Table1Rows[[#This Row],[String Value 1]]),businessToCamelCaseLower(stringToBusiness(belowred_Table1Rows[[#This Row],[String Value 1]])))</f>
        <v>1</v>
      </c>
      <c r="P62" s="5" t="b">
        <f>EXACT(camelCaseUpper(belowred_Table1Rows[[#This Row],[String Value 1]]),businessToCamelCaseUpper(stringToBusiness(belowred_Table1Rows[[#This Row],[String Value 1]])))</f>
        <v>1</v>
      </c>
      <c r="Q62" s="5" t="b">
        <f>EXACT(camelCaseToBusiness(
businessToCamelCaseUpper(
stringToBusiness(belowred_Table1Rows[[#This Row],[String Value 1]]))),
stringToBusiness(belowred_Table1Rows[[#This Row],[String Value 1]]))</f>
        <v>1</v>
      </c>
    </row>
  </sheetData>
  <phoneticPr fontId="2" type="noConversion"/>
  <conditionalFormatting sqref="O5:Q62">
    <cfRule type="cellIs" dxfId="10" priority="1" operator="equal">
      <formula>TRUE</formula>
    </cfRule>
  </conditionalFormatting>
  <dataValidations count="3">
    <dataValidation type="list" allowBlank="1" showInputMessage="1" showErrorMessage="1" sqref="A3:AB3" xr:uid="{08DEF9C5-C2C9-CE40-B741-B119E721905E}">
      <formula1>"do..,.. Do Action Name 001,.. Do Action Name 002,.. Do Action Name 003"</formula1>
    </dataValidation>
    <dataValidation type="list" allowBlank="1" showInputMessage="1" showErrorMessage="1" sqref="R5:Z62" xr:uid="{00000000-0002-0000-0C00-000000000000}">
      <formula1>DynamicDropDownList</formula1>
    </dataValidation>
    <dataValidation type="list" allowBlank="1" sqref="H5:H62" xr:uid="{3074787E-0983-4F71-AB7B-FBD6E441A913}">
      <formula1>INDIRECT("belowred_Table2Rows[T2 Name:q]")</formula1>
    </dataValidation>
  </dataValidations>
  <pageMargins left="0.7" right="0.7" top="0.78740157499999996" bottom="0.78740157499999996"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elowred_Table2Rows">
    <tabColor theme="7" tint="0.79998168889431442"/>
  </sheetPr>
  <dimension ref="A1:J8"/>
  <sheetViews>
    <sheetView zoomScale="130" zoomScaleNormal="130" workbookViewId="0">
      <selection activeCell="F12" sqref="F12"/>
    </sheetView>
  </sheetViews>
  <sheetFormatPr defaultColWidth="11.42578125" defaultRowHeight="15" outlineLevelCol="1"/>
  <cols>
    <col min="2" max="2" width="11.42578125" customWidth="1" outlineLevel="1"/>
    <col min="3" max="3" width="17" customWidth="1"/>
    <col min="4" max="4" width="10.42578125" bestFit="1" customWidth="1"/>
    <col min="5" max="5" width="10.42578125" customWidth="1"/>
    <col min="6" max="6" width="17" customWidth="1"/>
    <col min="7" max="7" width="18.42578125" customWidth="1"/>
    <col min="8" max="8" width="16.42578125" customWidth="1"/>
  </cols>
  <sheetData>
    <row r="1" spans="1:10">
      <c r="A1" t="s">
        <v>0</v>
      </c>
      <c r="B1" t="s">
        <v>230</v>
      </c>
      <c r="C1" t="s">
        <v>5</v>
      </c>
      <c r="D1" t="s">
        <v>120</v>
      </c>
      <c r="E1" t="s">
        <v>461</v>
      </c>
      <c r="F1" t="s">
        <v>121</v>
      </c>
      <c r="G1" s="12" t="s">
        <v>122</v>
      </c>
      <c r="H1" t="s">
        <v>64</v>
      </c>
      <c r="I1" t="s">
        <v>128</v>
      </c>
      <c r="J1" t="s">
        <v>369</v>
      </c>
    </row>
    <row r="2" spans="1:10">
      <c r="A2" t="s">
        <v>593</v>
      </c>
      <c r="D2" t="s">
        <v>143</v>
      </c>
      <c r="G2" s="13" t="str">
        <f>IF(
  TRIM(belowred_Table2Rows[[#This Row],[Package]])="",
          "",
          belowred_Table2Rows[[#This Row],[Package]]&amp;"::")
&amp;belowred_Table2Rows[[#This Row],[T2 Name]]</f>
        <v>belowred::</v>
      </c>
    </row>
    <row r="3" spans="1:10">
      <c r="A3" t="s">
        <v>57</v>
      </c>
      <c r="C3" t="s">
        <v>72</v>
      </c>
      <c r="D3" t="s">
        <v>797</v>
      </c>
      <c r="F3" t="s">
        <v>929</v>
      </c>
      <c r="G3" t="str">
        <f>IF(
  TRIM(belowred_Table2Rows[[#This Row],[Package]])="",
          "",
          belowred_Table2Rows[[#This Row],[Package]]&amp;"::")
&amp;belowred_Table2Rows[[#This Row],[T2 Name]]</f>
        <v>belowred2::n7qwe</v>
      </c>
      <c r="H3" t="s">
        <v>65</v>
      </c>
      <c r="J3">
        <v>1</v>
      </c>
    </row>
    <row r="4" spans="1:10">
      <c r="A4" t="s">
        <v>58</v>
      </c>
      <c r="C4" t="s">
        <v>72</v>
      </c>
      <c r="D4" t="s">
        <v>143</v>
      </c>
      <c r="F4" t="s">
        <v>930</v>
      </c>
      <c r="G4" t="str">
        <f>IF(
  TRIM(belowred_Table2Rows[[#This Row],[Package]])="",
          "",
          belowred_Table2Rows[[#This Row],[Package]]&amp;"::")
&amp;belowred_Table2Rows[[#This Row],[T2 Name]]</f>
        <v>belowred::n8qee</v>
      </c>
      <c r="H4" t="s">
        <v>66</v>
      </c>
      <c r="J4">
        <v>23</v>
      </c>
    </row>
    <row r="5" spans="1:10">
      <c r="A5" t="s">
        <v>59</v>
      </c>
      <c r="C5" t="s">
        <v>72</v>
      </c>
      <c r="D5" t="s">
        <v>143</v>
      </c>
      <c r="F5" t="s">
        <v>931</v>
      </c>
      <c r="G5" t="str">
        <f>IF(
  TRIM(belowred_Table2Rows[[#This Row],[Package]])="",
          "",
          belowred_Table2Rows[[#This Row],[Package]]&amp;"::")
&amp;belowred_Table2Rows[[#This Row],[T2 Name]]</f>
        <v>belowred::n9qwe</v>
      </c>
      <c r="H5" t="s">
        <v>67</v>
      </c>
      <c r="J5">
        <v>45</v>
      </c>
    </row>
    <row r="6" spans="1:10">
      <c r="A6" t="s">
        <v>60</v>
      </c>
      <c r="C6" t="s">
        <v>72</v>
      </c>
      <c r="D6" t="s">
        <v>143</v>
      </c>
      <c r="F6" t="s">
        <v>932</v>
      </c>
      <c r="G6" t="str">
        <f>IF(
  TRIM(belowred_Table2Rows[[#This Row],[Package]])="",
          "",
          belowred_Table2Rows[[#This Row],[Package]]&amp;"::")
&amp;belowred_Table2Rows[[#This Row],[T2 Name]]</f>
        <v>belowred::n10qew234</v>
      </c>
      <c r="H6" t="s">
        <v>68</v>
      </c>
      <c r="J6">
        <v>56</v>
      </c>
    </row>
    <row r="7" spans="1:10">
      <c r="A7" t="s">
        <v>61</v>
      </c>
      <c r="C7" t="s">
        <v>72</v>
      </c>
      <c r="D7" t="s">
        <v>143</v>
      </c>
      <c r="F7" t="s">
        <v>136</v>
      </c>
      <c r="G7" t="str">
        <f>IF(
  TRIM(belowred_Table2Rows[[#This Row],[Package]])="",
          "",
          belowred_Table2Rows[[#This Row],[Package]]&amp;"::")
&amp;belowred_Table2Rows[[#This Row],[T2 Name]]</f>
        <v>belowred::n11</v>
      </c>
      <c r="H7" t="s">
        <v>69</v>
      </c>
    </row>
    <row r="8" spans="1:10">
      <c r="A8" t="s">
        <v>62</v>
      </c>
      <c r="C8" t="s">
        <v>72</v>
      </c>
      <c r="D8" t="s">
        <v>143</v>
      </c>
      <c r="F8" t="s">
        <v>137</v>
      </c>
      <c r="G8" t="str">
        <f>IF(
  TRIM(belowred_Table2Rows[[#This Row],[Package]])="",
          "",
          belowred_Table2Rows[[#This Row],[Package]]&amp;"::")
&amp;belowred_Table2Rows[[#This Row],[T2 Name]]</f>
        <v>belowred::n12</v>
      </c>
      <c r="H8" t="s">
        <v>70</v>
      </c>
    </row>
  </sheetData>
  <phoneticPr fontId="2" type="noConversion"/>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334E-637D-4EAE-801E-762932E998A7}">
  <sheetPr codeName="myxyzpackage_MyXYZ_Table">
    <tabColor rgb="FFFF0000"/>
  </sheetPr>
  <dimension ref="C5:K10"/>
  <sheetViews>
    <sheetView workbookViewId="0">
      <selection activeCell="F7" sqref="F7"/>
    </sheetView>
  </sheetViews>
  <sheetFormatPr defaultColWidth="8.85546875" defaultRowHeight="15" outlineLevelCol="1"/>
  <cols>
    <col min="3" max="3" width="14.42578125" bestFit="1" customWidth="1"/>
    <col min="4" max="4" width="14.42578125" hidden="1" customWidth="1" outlineLevel="1"/>
    <col min="5" max="5" width="12.42578125" bestFit="1" customWidth="1" collapsed="1"/>
    <col min="6" max="6" width="13.42578125" bestFit="1" customWidth="1"/>
    <col min="7" max="7" width="13" customWidth="1"/>
    <col min="8" max="8" width="10.42578125" customWidth="1"/>
    <col min="9" max="9" width="8.85546875" customWidth="1"/>
    <col min="10" max="10" width="16.42578125" customWidth="1"/>
    <col min="11" max="11" width="11" customWidth="1"/>
  </cols>
  <sheetData>
    <row r="5" spans="3:11" ht="15.75" thickBot="1"/>
    <row r="6" spans="3:11" ht="63.75" thickTop="1">
      <c r="C6" s="74" t="s">
        <v>0</v>
      </c>
      <c r="D6" s="74" t="s">
        <v>230</v>
      </c>
      <c r="E6" s="74" t="s">
        <v>5</v>
      </c>
      <c r="F6" s="74" t="s">
        <v>120</v>
      </c>
      <c r="G6" s="74" t="s">
        <v>461</v>
      </c>
      <c r="H6" s="74" t="s">
        <v>141</v>
      </c>
      <c r="I6" s="74" t="s">
        <v>32</v>
      </c>
      <c r="J6" s="79" t="s">
        <v>746</v>
      </c>
      <c r="K6" s="74" t="s">
        <v>84</v>
      </c>
    </row>
    <row r="7" spans="3:11">
      <c r="C7" t="s">
        <v>741</v>
      </c>
      <c r="E7" t="s">
        <v>747</v>
      </c>
      <c r="F7" t="s">
        <v>748</v>
      </c>
      <c r="J7" t="s">
        <v>775</v>
      </c>
    </row>
    <row r="8" spans="3:11">
      <c r="C8" t="s">
        <v>742</v>
      </c>
      <c r="E8" t="s">
        <v>747</v>
      </c>
      <c r="F8" t="s">
        <v>748</v>
      </c>
      <c r="J8">
        <v>1</v>
      </c>
    </row>
    <row r="9" spans="3:11">
      <c r="C9" t="s">
        <v>743</v>
      </c>
      <c r="E9" t="s">
        <v>747</v>
      </c>
      <c r="F9" t="s">
        <v>748</v>
      </c>
      <c r="J9">
        <v>2</v>
      </c>
    </row>
    <row r="10" spans="3:11">
      <c r="C10" t="s">
        <v>744</v>
      </c>
      <c r="E10" t="s">
        <v>747</v>
      </c>
      <c r="F10" t="s">
        <v>748</v>
      </c>
      <c r="J10">
        <v>3</v>
      </c>
    </row>
  </sheetData>
  <phoneticPr fontId="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7AC0B-1D50-C24C-B542-99EA5BA8AF15}">
  <sheetPr codeName="Sheet9"/>
  <dimension ref="A1:H6"/>
  <sheetViews>
    <sheetView workbookViewId="0">
      <selection activeCell="I10" sqref="I10"/>
    </sheetView>
  </sheetViews>
  <sheetFormatPr defaultColWidth="11.42578125" defaultRowHeight="15"/>
  <cols>
    <col min="8" max="8" width="29.85546875" customWidth="1"/>
  </cols>
  <sheetData>
    <row r="1" spans="1:8">
      <c r="A1" t="s">
        <v>0</v>
      </c>
      <c r="B1" t="s">
        <v>759</v>
      </c>
      <c r="C1" t="s">
        <v>760</v>
      </c>
      <c r="D1" t="s">
        <v>663</v>
      </c>
      <c r="E1" t="s">
        <v>761</v>
      </c>
      <c r="F1" t="s">
        <v>762</v>
      </c>
      <c r="H1" s="83" t="s">
        <v>763</v>
      </c>
    </row>
    <row r="2" spans="1:8" ht="30">
      <c r="A2">
        <v>1</v>
      </c>
      <c r="B2" s="84" t="s">
        <v>764</v>
      </c>
      <c r="C2" s="84" t="s">
        <v>765</v>
      </c>
      <c r="D2">
        <v>1</v>
      </c>
      <c r="E2" s="84" t="s">
        <v>766</v>
      </c>
      <c r="H2" s="66" t="str" cm="1">
        <f t="array" ref="H2">instantiatedSimpleCodePattern("meta_SimpleTestPattern",{"Filter1","Filter2"},{"Value1","Value2"}, "Order", "Template")</f>
        <v>first_x000D_
second</v>
      </c>
    </row>
    <row r="3" spans="1:8">
      <c r="A3">
        <v>2</v>
      </c>
      <c r="B3" t="s">
        <v>764</v>
      </c>
      <c r="C3" t="s">
        <v>767</v>
      </c>
      <c r="D3">
        <v>2</v>
      </c>
      <c r="E3" t="s">
        <v>768</v>
      </c>
    </row>
    <row r="4" spans="1:8">
      <c r="A4">
        <v>3</v>
      </c>
      <c r="B4" t="s">
        <v>769</v>
      </c>
      <c r="C4" t="s">
        <v>765</v>
      </c>
      <c r="D4">
        <v>3</v>
      </c>
      <c r="E4" t="s">
        <v>770</v>
      </c>
    </row>
    <row r="5" spans="1:8">
      <c r="A5">
        <v>4</v>
      </c>
      <c r="B5" t="s">
        <v>769</v>
      </c>
      <c r="C5" t="s">
        <v>767</v>
      </c>
      <c r="D5">
        <v>4</v>
      </c>
      <c r="E5" t="s">
        <v>771</v>
      </c>
    </row>
    <row r="6" spans="1:8">
      <c r="A6">
        <v>5</v>
      </c>
      <c r="B6" s="84" t="s">
        <v>764</v>
      </c>
      <c r="C6" s="84" t="s">
        <v>765</v>
      </c>
      <c r="D6">
        <v>5</v>
      </c>
      <c r="E6" s="84" t="s">
        <v>772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F3EB7-F561-3340-A1FA-1E6172B2747F}">
  <sheetPr codeName="Sheet17"/>
  <dimension ref="A1:C3"/>
  <sheetViews>
    <sheetView workbookViewId="0">
      <selection activeCell="C10" sqref="C10"/>
    </sheetView>
  </sheetViews>
  <sheetFormatPr defaultColWidth="11.42578125" defaultRowHeight="15"/>
  <sheetData>
    <row r="1" spans="1:3">
      <c r="A1" t="s">
        <v>0</v>
      </c>
      <c r="B1" t="s">
        <v>1451</v>
      </c>
      <c r="C1" t="s">
        <v>1452</v>
      </c>
    </row>
    <row r="2" spans="1:3">
      <c r="A2" t="s">
        <v>1459</v>
      </c>
      <c r="C2" t="s">
        <v>6</v>
      </c>
    </row>
    <row r="3" spans="1:3">
      <c r="A3" t="s">
        <v>1468</v>
      </c>
      <c r="C3" t="s">
        <v>1469</v>
      </c>
    </row>
  </sheetData>
  <phoneticPr fontId="2" type="noConversion"/>
  <dataValidations count="1">
    <dataValidation type="list" allowBlank="1" showInputMessage="1" showErrorMessage="1" sqref="C2:C3" xr:uid="{BF27B19C-1EA2-0041-AB4F-7CC62C4AA770}">
      <formula1>INDIRECT("meta_Classifiers[Display Qualified]")</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Portfolios</vt:lpstr>
      <vt:lpstr>Positions</vt:lpstr>
      <vt:lpstr>Securities</vt:lpstr>
      <vt:lpstr>Document Management</vt:lpstr>
      <vt:lpstr>Snippets</vt:lpstr>
      <vt:lpstr>Package Documentation</vt:lpstr>
      <vt:lpstr>Tables</vt:lpstr>
      <vt:lpstr>Columns</vt:lpstr>
      <vt:lpstr>Names</vt:lpstr>
      <vt:lpstr>Classifiers</vt:lpstr>
      <vt:lpstr>Property, Function, Parameter</vt:lpstr>
      <vt:lpstr>Literals</vt:lpstr>
      <vt:lpstr>Rules</vt:lpstr>
      <vt:lpstr>Table Patterns</vt:lpstr>
      <vt:lpstr>Code Templates</vt:lpstr>
      <vt:lpstr>Table 1 Rows</vt:lpstr>
      <vt:lpstr>Table 2 Rows</vt:lpstr>
      <vt:lpstr>My XYZ Table</vt:lpstr>
      <vt:lpstr>Simple Test Pattern</vt:lpstr>
      <vt:lpstr>New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Kutter Philipp</dc:creator>
  <cp:lastModifiedBy>Philipp W. Kutter</cp:lastModifiedBy>
  <dcterms:created xsi:type="dcterms:W3CDTF">2024-07-06T18:56:06Z</dcterms:created>
  <dcterms:modified xsi:type="dcterms:W3CDTF">2025-06-16T18:40:50Z</dcterms:modified>
</cp:coreProperties>
</file>