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943" documentId="8_{DE98C794-8499-4F3A-A97D-CFEADD4B44AD}" xr6:coauthVersionLast="47" xr6:coauthVersionMax="47" xr10:uidLastSave="{27C1A8B1-9DE4-4D21-9832-E2D747C192B6}"/>
  <bookViews>
    <workbookView xWindow="-110" yWindow="-110" windowWidth="38620" windowHeight="21220" tabRatio="898" activeTab="3"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K2" i="2" l="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s="1"/>
  <c r="K59" i="2"/>
  <c r="K60" i="2"/>
  <c r="K61" i="2" s="1"/>
  <c r="K62" i="2"/>
  <c r="K63" i="2"/>
  <c r="K64" i="2" s="1"/>
  <c r="K65" i="2"/>
  <c r="K66" i="2" s="1"/>
  <c r="K67" i="2" s="1"/>
  <c r="K68" i="2"/>
  <c r="K69" i="2"/>
  <c r="K70" i="2" s="1"/>
  <c r="K71" i="2"/>
  <c r="K72" i="2" s="1"/>
  <c r="K73" i="2" s="1"/>
  <c r="K74" i="2"/>
  <c r="K75" i="2"/>
  <c r="K76" i="2" s="1"/>
  <c r="K77" i="2"/>
  <c r="K78" i="2"/>
  <c r="K79" i="2" s="1"/>
  <c r="K80" i="2"/>
  <c r="K81" i="2"/>
  <c r="K82" i="2"/>
  <c r="K83" i="2"/>
  <c r="K84" i="2"/>
  <c r="K85" i="2"/>
  <c r="K86" i="2"/>
  <c r="K87" i="2"/>
  <c r="K88" i="2"/>
  <c r="K89" i="2"/>
  <c r="K90" i="2"/>
  <c r="K91" i="2"/>
  <c r="K92" i="2"/>
  <c r="K93" i="2"/>
  <c r="K94" i="2"/>
  <c r="K95" i="2"/>
  <c r="K96" i="2"/>
  <c r="K97" i="2"/>
  <c r="K98" i="2"/>
  <c r="K99" i="2"/>
  <c r="K100" i="2"/>
  <c r="AT59" i="2"/>
  <c r="AT60" i="2"/>
  <c r="AT62" i="2"/>
  <c r="AT63" i="2"/>
  <c r="AT65" i="2"/>
  <c r="AT66" i="2"/>
  <c r="AT68" i="2"/>
  <c r="AT69" i="2"/>
  <c r="AT71" i="2"/>
  <c r="AT72" i="2"/>
  <c r="AT74"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75" i="2"/>
  <c r="AT77" i="2"/>
  <c r="AT78"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F392" i="22"/>
  <c r="G392" i="22"/>
  <c r="D392" i="22" s="1"/>
  <c r="K392" i="22"/>
  <c r="P392" i="22"/>
  <c r="S392" i="22"/>
  <c r="AL392" i="22" s="1"/>
  <c r="Z392" i="22"/>
  <c r="Y392" i="22" s="1"/>
  <c r="X392" i="22" s="1"/>
  <c r="W392" i="22" s="1"/>
  <c r="V392" i="22" s="1"/>
  <c r="U392" i="22" s="1"/>
  <c r="AW392" i="22"/>
  <c r="AU392" i="22" s="1"/>
  <c r="BA392" i="22"/>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F359" i="22"/>
  <c r="G359" i="22"/>
  <c r="Z359" i="22" s="1"/>
  <c r="Y359" i="22" s="1"/>
  <c r="X359" i="22" s="1"/>
  <c r="W359" i="22" s="1"/>
  <c r="V359" i="22" s="1"/>
  <c r="U359" i="22" s="1"/>
  <c r="K359" i="22"/>
  <c r="P359" i="22"/>
  <c r="S359" i="22"/>
  <c r="AJ359" i="22" s="1"/>
  <c r="BC359" i="22"/>
  <c r="N359" i="22" s="1"/>
  <c r="F360" i="22"/>
  <c r="G360" i="22"/>
  <c r="Z360" i="22" s="1"/>
  <c r="Y360" i="22" s="1"/>
  <c r="X360" i="22" s="1"/>
  <c r="W360" i="22" s="1"/>
  <c r="V360" i="22" s="1"/>
  <c r="U360" i="22" s="1"/>
  <c r="K360" i="22"/>
  <c r="P360" i="22"/>
  <c r="S360" i="22"/>
  <c r="AJ360" i="22" s="1"/>
  <c r="BC360" i="22"/>
  <c r="N360" i="22" s="1"/>
  <c r="F361" i="22"/>
  <c r="G361" i="22"/>
  <c r="Z361" i="22" s="1"/>
  <c r="Y361" i="22" s="1"/>
  <c r="X361" i="22" s="1"/>
  <c r="W361" i="22" s="1"/>
  <c r="V361" i="22" s="1"/>
  <c r="U361" i="22" s="1"/>
  <c r="K361" i="22"/>
  <c r="P361" i="22"/>
  <c r="S361" i="22"/>
  <c r="AI361" i="22" s="1"/>
  <c r="BC361" i="22"/>
  <c r="N361" i="22" s="1"/>
  <c r="F362" i="22"/>
  <c r="G362" i="22"/>
  <c r="Z362" i="22" s="1"/>
  <c r="Y362" i="22" s="1"/>
  <c r="X362" i="22" s="1"/>
  <c r="W362" i="22" s="1"/>
  <c r="V362" i="22" s="1"/>
  <c r="U362" i="22" s="1"/>
  <c r="K362" i="22"/>
  <c r="P362" i="22"/>
  <c r="S362" i="22"/>
  <c r="AI362" i="22" s="1"/>
  <c r="BC362" i="22"/>
  <c r="N362" i="22" s="1"/>
  <c r="Q3" i="4"/>
  <c r="O3" i="4" s="1"/>
  <c r="Q4" i="4"/>
  <c r="O4" i="4" s="1"/>
  <c r="Q5" i="4"/>
  <c r="O5" i="4" s="1"/>
  <c r="G2" i="4"/>
  <c r="I2" i="4"/>
  <c r="K2" i="4"/>
  <c r="M2" i="4"/>
  <c r="O2" i="4"/>
  <c r="Q2" i="4"/>
  <c r="T2" i="4"/>
  <c r="T3" i="4"/>
  <c r="T5" i="4"/>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P56" i="6"/>
  <c r="O62" i="6"/>
  <c r="K60" i="6"/>
  <c r="Q61" i="6"/>
  <c r="Q59" i="6"/>
  <c r="O57" i="6"/>
  <c r="P59" i="6"/>
  <c r="O61" i="6"/>
  <c r="K61" i="6"/>
  <c r="Q58" i="6"/>
  <c r="O58" i="6"/>
  <c r="O56" i="6"/>
  <c r="K57" i="6"/>
  <c r="Q60" i="6"/>
  <c r="J60" i="6"/>
  <c r="J56" i="6"/>
  <c r="J57" i="6"/>
  <c r="J62" i="6"/>
  <c r="P61" i="6"/>
  <c r="K62" i="6"/>
  <c r="M57" i="6"/>
  <c r="Q57" i="6"/>
  <c r="M61" i="6"/>
  <c r="J58" i="6"/>
  <c r="K56" i="6"/>
  <c r="J59" i="6"/>
  <c r="J61" i="6"/>
  <c r="P60" i="6"/>
  <c r="P58" i="6"/>
  <c r="P62" i="6"/>
  <c r="K58" i="6"/>
  <c r="M58" i="6" s="1"/>
  <c r="K59" i="6"/>
  <c r="P57" i="6"/>
  <c r="O60" i="6"/>
  <c r="Q56" i="6"/>
  <c r="Q62" i="6"/>
  <c r="O59"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M59" i="6"/>
  <c r="M56" i="6"/>
  <c r="M62" i="6"/>
  <c r="M60" i="6"/>
  <c r="J3" i="1" a="1"/>
  <c r="AD392" i="22" l="1"/>
  <c r="AF392" i="22"/>
  <c r="AG392" i="22"/>
  <c r="AB392" i="22"/>
  <c r="AC392" i="22"/>
  <c r="AE392" i="22"/>
  <c r="AH360" i="22"/>
  <c r="AQ360" i="22" s="1"/>
  <c r="AP360" i="22" s="1"/>
  <c r="BA360" i="22" s="1"/>
  <c r="AH359" i="22"/>
  <c r="AQ359" i="22" s="1"/>
  <c r="AP359" i="22" s="1"/>
  <c r="BA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Z313" i="22"/>
  <c r="Y313" i="22" s="1"/>
  <c r="X313" i="22" s="1"/>
  <c r="W313" i="22" s="1"/>
  <c r="V313" i="22" s="1"/>
  <c r="U313" i="22" s="1"/>
  <c r="Z353" i="22"/>
  <c r="Y353" i="22" s="1"/>
  <c r="X353" i="22" s="1"/>
  <c r="W353" i="22" s="1"/>
  <c r="V353" i="22" s="1"/>
  <c r="U353" i="22" s="1"/>
  <c r="Q392" i="22"/>
  <c r="H3" i="1" l="1"/>
  <c r="AR360" i="22"/>
  <c r="AH392" i="22"/>
  <c r="AR359" i="22"/>
  <c r="AH361" i="22"/>
  <c r="AQ361" i="22" s="1"/>
  <c r="AP361" i="22" s="1"/>
  <c r="BA361" i="22" s="1"/>
  <c r="AH362" i="22"/>
  <c r="AR362" i="22" s="1"/>
  <c r="I5" i="4"/>
  <c r="J5" i="4"/>
  <c r="J4" i="4"/>
  <c r="I4" i="4"/>
  <c r="I3" i="4"/>
  <c r="J3" i="4"/>
  <c r="AT353" i="22"/>
  <c r="AT313" i="22"/>
  <c r="Q361" i="22"/>
  <c r="Q362" i="22"/>
  <c r="Q359" i="22"/>
  <c r="Q360" i="22"/>
  <c r="AR392" i="22" l="1"/>
  <c r="AQ392" i="22"/>
  <c r="AP392" i="22" s="1"/>
  <c r="AR361" i="22"/>
  <c r="AQ362" i="22"/>
  <c r="AP362" i="22" s="1"/>
  <c r="BA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K6" i="6"/>
  <c r="K48" i="6"/>
  <c r="Q8" i="6"/>
  <c r="P22" i="6"/>
  <c r="K32" i="6"/>
  <c r="O47" i="6"/>
  <c r="J8" i="6"/>
  <c r="O29" i="6"/>
  <c r="Q26" i="6"/>
  <c r="Q33" i="6"/>
  <c r="P43" i="6"/>
  <c r="K28" i="6"/>
  <c r="K39" i="6"/>
  <c r="O16" i="6"/>
  <c r="Q23" i="6"/>
  <c r="O51" i="6"/>
  <c r="P42" i="6"/>
  <c r="P23" i="6"/>
  <c r="O48" i="6"/>
  <c r="O36" i="6"/>
  <c r="K10" i="6"/>
  <c r="J23" i="6"/>
  <c r="P52" i="6"/>
  <c r="P31" i="6"/>
  <c r="P12" i="6"/>
  <c r="K24" i="6"/>
  <c r="P17" i="6"/>
  <c r="J6" i="6"/>
  <c r="K14" i="6"/>
  <c r="P9" i="6"/>
  <c r="O31" i="6"/>
  <c r="Q16" i="6"/>
  <c r="K9" i="6"/>
  <c r="O22" i="6"/>
  <c r="K7" i="6"/>
  <c r="P5" i="6"/>
  <c r="J43" i="6"/>
  <c r="O18" i="6"/>
  <c r="P13" i="6"/>
  <c r="O14" i="6"/>
  <c r="O49" i="6"/>
  <c r="P30" i="6"/>
  <c r="J15" i="6"/>
  <c r="Q47" i="6"/>
  <c r="K34" i="6"/>
  <c r="Q54" i="6"/>
  <c r="O38" i="6"/>
  <c r="O35" i="6"/>
  <c r="O8" i="6"/>
  <c r="K55" i="6"/>
  <c r="O52" i="6"/>
  <c r="J27" i="6"/>
  <c r="Q44" i="6"/>
  <c r="P8" i="6"/>
  <c r="O12" i="6"/>
  <c r="O54" i="6"/>
  <c r="J37" i="6"/>
  <c r="Q38" i="6"/>
  <c r="O44" i="6"/>
  <c r="O50" i="6"/>
  <c r="P11" i="6"/>
  <c r="P19" i="6"/>
  <c r="Q18" i="6"/>
  <c r="J20" i="6"/>
  <c r="K50" i="6"/>
  <c r="K47" i="6"/>
  <c r="K18" i="6"/>
  <c r="J11" i="6"/>
  <c r="K43" i="6"/>
  <c r="K22" i="6"/>
  <c r="J9" i="6"/>
  <c r="K54" i="6"/>
  <c r="J44" i="6"/>
  <c r="J45" i="6"/>
  <c r="K26" i="6"/>
  <c r="K25" i="6"/>
  <c r="Q6" i="6"/>
  <c r="J29" i="6"/>
  <c r="J7" i="6"/>
  <c r="J19" i="6"/>
  <c r="J31" i="6"/>
  <c r="K29" i="6"/>
  <c r="K38" i="6"/>
  <c r="K44" i="6"/>
  <c r="P33" i="6"/>
  <c r="K20" i="6"/>
  <c r="O9" i="6"/>
  <c r="J36" i="6"/>
  <c r="K27" i="6"/>
  <c r="J53" i="6"/>
  <c r="O46" i="6"/>
  <c r="P36" i="6"/>
  <c r="O41" i="6"/>
  <c r="K40" i="6"/>
  <c r="P41" i="6"/>
  <c r="Q49" i="6"/>
  <c r="J51" i="6"/>
  <c r="O17" i="6"/>
  <c r="O10" i="6"/>
  <c r="Q43" i="6"/>
  <c r="O55" i="6"/>
  <c r="K42" i="6"/>
  <c r="P37" i="6"/>
  <c r="O45" i="6"/>
  <c r="J46" i="6"/>
  <c r="Q36" i="6"/>
  <c r="Q17" i="6"/>
  <c r="P28" i="6"/>
  <c r="P45" i="6"/>
  <c r="K49" i="6"/>
  <c r="J16" i="6"/>
  <c r="P44" i="6"/>
  <c r="O21" i="6"/>
  <c r="J50" i="6"/>
  <c r="K15" i="6"/>
  <c r="P15" i="6"/>
  <c r="K19" i="6"/>
  <c r="P20" i="6"/>
  <c r="O34" i="6"/>
  <c r="O24" i="6"/>
  <c r="P48" i="6"/>
  <c r="Q31" i="6"/>
  <c r="P47" i="6"/>
  <c r="P32" i="6"/>
  <c r="J10" i="6"/>
  <c r="J38" i="6"/>
  <c r="Q12" i="6"/>
  <c r="O7" i="6"/>
  <c r="J55" i="6"/>
  <c r="O53" i="6"/>
  <c r="O25" i="6"/>
  <c r="J54" i="6"/>
  <c r="Q13" i="6"/>
  <c r="Q14" i="6"/>
  <c r="O27" i="6"/>
  <c r="P27" i="6"/>
  <c r="O15" i="6"/>
  <c r="O23" i="6"/>
  <c r="O32" i="6"/>
  <c r="K33" i="6"/>
  <c r="P6" i="6"/>
  <c r="K8" i="6"/>
  <c r="Q5" i="6"/>
  <c r="P51" i="6"/>
  <c r="P34" i="6"/>
  <c r="Q24" i="6"/>
  <c r="O28" i="6"/>
  <c r="Q40" i="6"/>
  <c r="O13" i="6"/>
  <c r="Q22" i="6"/>
  <c r="K52" i="6"/>
  <c r="J34" i="6"/>
  <c r="P54" i="6"/>
  <c r="K16" i="6"/>
  <c r="O19" i="6"/>
  <c r="J33" i="6"/>
  <c r="K5" i="6"/>
  <c r="J40" i="6"/>
  <c r="P16" i="6"/>
  <c r="Q55" i="6"/>
  <c r="J48" i="6"/>
  <c r="K21" i="6"/>
  <c r="J18" i="6"/>
  <c r="J41" i="6"/>
  <c r="J12" i="6"/>
  <c r="J24" i="6"/>
  <c r="P7" i="6"/>
  <c r="Q10" i="6"/>
  <c r="Q46" i="6"/>
  <c r="K41" i="6"/>
  <c r="J32" i="6"/>
  <c r="Q7" i="6"/>
  <c r="O5" i="6"/>
  <c r="K37" i="6"/>
  <c r="J25" i="6"/>
  <c r="J28" i="6"/>
  <c r="O42" i="6"/>
  <c r="P10" i="6"/>
  <c r="P38" i="6"/>
  <c r="K46" i="6"/>
  <c r="Q21" i="6"/>
  <c r="Q27" i="6"/>
  <c r="O26" i="6"/>
  <c r="J17" i="6"/>
  <c r="J35" i="6"/>
  <c r="Q48" i="6"/>
  <c r="Q28" i="6"/>
  <c r="K30" i="6"/>
  <c r="O39" i="6"/>
  <c r="J14" i="6"/>
  <c r="K23" i="6"/>
  <c r="P39" i="6"/>
  <c r="O37" i="6"/>
  <c r="K36" i="6"/>
  <c r="P25" i="6"/>
  <c r="O40" i="6"/>
  <c r="Q53" i="6"/>
  <c r="O6" i="6"/>
  <c r="J49" i="6"/>
  <c r="Q37" i="6"/>
  <c r="J22" i="6"/>
  <c r="Q19" i="6"/>
  <c r="Q34" i="6"/>
  <c r="Q50" i="6"/>
  <c r="J39" i="6"/>
  <c r="Q15" i="6"/>
  <c r="P35" i="6"/>
  <c r="K53" i="6"/>
  <c r="Q29" i="6"/>
  <c r="O20" i="6"/>
  <c r="P24" i="6"/>
  <c r="Q25" i="6"/>
  <c r="O11" i="6"/>
  <c r="Q45" i="6"/>
  <c r="J5" i="6"/>
  <c r="Q51" i="6"/>
  <c r="Q30" i="6"/>
  <c r="K17" i="6"/>
  <c r="J52" i="6"/>
  <c r="P18" i="6"/>
  <c r="P21" i="6"/>
  <c r="P40" i="6"/>
  <c r="K11" i="6"/>
  <c r="Q32" i="6"/>
  <c r="Q41" i="6"/>
  <c r="Q11" i="6"/>
  <c r="P26" i="6"/>
  <c r="K51" i="6"/>
  <c r="P29" i="6"/>
  <c r="P14" i="6"/>
  <c r="Q52" i="6"/>
  <c r="J26" i="6"/>
  <c r="J42" i="6"/>
  <c r="J30" i="6"/>
  <c r="K45" i="6"/>
  <c r="Q20" i="6"/>
  <c r="Q9" i="6"/>
  <c r="Q42" i="6"/>
  <c r="O43" i="6"/>
  <c r="P46" i="6"/>
  <c r="K35" i="6"/>
  <c r="K13" i="6"/>
  <c r="J47" i="6"/>
  <c r="P49" i="6"/>
  <c r="P55" i="6"/>
  <c r="O30" i="6"/>
  <c r="Q39" i="6"/>
  <c r="P53" i="6"/>
  <c r="P50" i="6"/>
  <c r="J21" i="6"/>
  <c r="K31" i="6"/>
  <c r="Q35" i="6"/>
  <c r="O33" i="6"/>
  <c r="J13" i="6"/>
  <c r="K12"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P4" i="4" s="1"/>
  <c r="G5" i="1"/>
  <c r="I5" i="1" s="1"/>
  <c r="G6" i="1"/>
  <c r="G7" i="1"/>
  <c r="C5" i="42" s="1"/>
  <c r="G8" i="1"/>
  <c r="G9" i="1"/>
  <c r="I9" i="1" s="1"/>
  <c r="G10" i="1"/>
  <c r="I10" i="1" s="1"/>
  <c r="G11" i="1"/>
  <c r="I11" i="1" s="1"/>
  <c r="G12" i="1"/>
  <c r="G13" i="1"/>
  <c r="J12" i="2" s="1"/>
  <c r="G14" i="1"/>
  <c r="G15" i="1"/>
  <c r="G16" i="1"/>
  <c r="G17" i="1"/>
  <c r="I17" i="1" s="1"/>
  <c r="G18" i="1"/>
  <c r="G19" i="1"/>
  <c r="G20" i="1"/>
  <c r="G21" i="1"/>
  <c r="G22" i="1"/>
  <c r="G23" i="1"/>
  <c r="G24" i="1"/>
  <c r="G25" i="1"/>
  <c r="G26" i="1"/>
  <c r="I26" i="1" s="1"/>
  <c r="G27" i="1"/>
  <c r="I27" i="1" s="1"/>
  <c r="G28" i="1"/>
  <c r="G29" i="1"/>
  <c r="I29" i="1" s="1"/>
  <c r="G30" i="1"/>
  <c r="G31" i="1"/>
  <c r="G32" i="1"/>
  <c r="J32" i="2" s="1"/>
  <c r="G33" i="1"/>
  <c r="G34" i="1"/>
  <c r="G35" i="1"/>
  <c r="G36" i="1"/>
  <c r="G37" i="1"/>
  <c r="G38" i="1"/>
  <c r="G39" i="1"/>
  <c r="G40" i="1"/>
  <c r="I40" i="1" s="1"/>
  <c r="G41" i="1"/>
  <c r="I41" i="1" s="1"/>
  <c r="G42" i="1"/>
  <c r="G43" i="1"/>
  <c r="I43" i="1" s="1"/>
  <c r="G44" i="1"/>
  <c r="G45" i="1"/>
  <c r="G46" i="1"/>
  <c r="I46" i="1" s="1"/>
  <c r="G47" i="1"/>
  <c r="I47" i="1" s="1"/>
  <c r="G48" i="1"/>
  <c r="G49" i="1"/>
  <c r="G50" i="1"/>
  <c r="I50" i="1" s="1"/>
  <c r="G51" i="1"/>
  <c r="G52" i="1"/>
  <c r="I52" i="1" s="1"/>
  <c r="G53" i="1"/>
  <c r="I53" i="1" s="1"/>
  <c r="G54" i="1"/>
  <c r="I54" i="1" s="1"/>
  <c r="G55" i="1"/>
  <c r="G56" i="1"/>
  <c r="G57" i="1"/>
  <c r="G58" i="1"/>
  <c r="G59" i="1"/>
  <c r="G2" i="7"/>
  <c r="G3" i="7"/>
  <c r="G4" i="7"/>
  <c r="G5" i="7"/>
  <c r="G6" i="7"/>
  <c r="G7" i="7"/>
  <c r="G8" i="7"/>
  <c r="S29" i="2" a="1"/>
  <c r="M20" i="6"/>
  <c r="M18" i="6"/>
  <c r="M28" i="6"/>
  <c r="M55" i="6"/>
  <c r="S62" i="2" a="1"/>
  <c r="M49" i="6"/>
  <c r="M24" i="6"/>
  <c r="M38" i="6"/>
  <c r="S65" i="2" a="1"/>
  <c r="S99" i="2" a="1"/>
  <c r="M53" i="6"/>
  <c r="M14" i="6"/>
  <c r="M17" i="6"/>
  <c r="M44" i="6"/>
  <c r="M45" i="6"/>
  <c r="M54" i="6"/>
  <c r="M34" i="6"/>
  <c r="M51" i="6"/>
  <c r="S93" i="2" a="1"/>
  <c r="M31" i="6"/>
  <c r="M8" i="6"/>
  <c r="S98" i="2" a="1"/>
  <c r="S87" i="2" a="1"/>
  <c r="S97" i="2" a="1"/>
  <c r="M50" i="6"/>
  <c r="M23" i="6"/>
  <c r="M27" i="6"/>
  <c r="S96" i="2" a="1"/>
  <c r="M32" i="6"/>
  <c r="S73" i="2" a="1"/>
  <c r="M48" i="6"/>
  <c r="M13" i="6"/>
  <c r="H2" i="49" a="1"/>
  <c r="M42" i="6"/>
  <c r="S100" i="2" a="1"/>
  <c r="S91" i="2" a="1"/>
  <c r="S76" i="2" a="1"/>
  <c r="M43" i="6"/>
  <c r="S64" i="2" a="1"/>
  <c r="M46" i="6"/>
  <c r="M30" i="6"/>
  <c r="M11" i="6"/>
  <c r="M10" i="6"/>
  <c r="M35" i="6"/>
  <c r="M22" i="6"/>
  <c r="M37" i="6"/>
  <c r="S61" i="2" a="1"/>
  <c r="M6" i="6"/>
  <c r="S77" i="2" a="1"/>
  <c r="S86" i="2" a="1"/>
  <c r="M41" i="6"/>
  <c r="M12" i="6"/>
  <c r="M21" i="6"/>
  <c r="S59" i="2" a="1"/>
  <c r="M36" i="6"/>
  <c r="S79" i="2" a="1"/>
  <c r="M40" i="6"/>
  <c r="S89" i="2" a="1"/>
  <c r="S74" i="2" a="1"/>
  <c r="M29" i="6"/>
  <c r="M15" i="6"/>
  <c r="S67" i="2" a="1"/>
  <c r="M19" i="6"/>
  <c r="M9" i="6"/>
  <c r="M25" i="6"/>
  <c r="M39" i="6"/>
  <c r="M26" i="6"/>
  <c r="M16" i="6"/>
  <c r="M33" i="6"/>
  <c r="M52" i="6"/>
  <c r="M47" i="6"/>
  <c r="M7" i="6"/>
  <c r="C31" i="5" l="1"/>
  <c r="C29" i="5"/>
  <c r="C25" i="5"/>
  <c r="C26" i="5"/>
  <c r="C27" i="5"/>
  <c r="C28" i="5"/>
  <c r="C30" i="5"/>
  <c r="C23" i="5"/>
  <c r="C24" i="5"/>
  <c r="C22" i="5"/>
  <c r="I51" i="1"/>
  <c r="C4" i="25"/>
  <c r="C3" i="25"/>
  <c r="I359" i="22"/>
  <c r="AY359" i="22" s="1"/>
  <c r="I360" i="22"/>
  <c r="AY360" i="22" s="1"/>
  <c r="I361" i="22"/>
  <c r="AY361" i="22" s="1"/>
  <c r="I362" i="22"/>
  <c r="AY362" i="22" s="1"/>
  <c r="I392" i="22"/>
  <c r="AY392" i="22" s="1"/>
  <c r="I42" i="1"/>
  <c r="C3" i="4"/>
  <c r="C2" i="4"/>
  <c r="C15" i="5"/>
  <c r="C13" i="5"/>
  <c r="C16" i="5"/>
  <c r="C17" i="5"/>
  <c r="C3" i="5"/>
  <c r="C12" i="5"/>
  <c r="C14" i="5"/>
  <c r="I49" i="1"/>
  <c r="C5" i="4"/>
  <c r="C7" i="5"/>
  <c r="C8" i="5"/>
  <c r="C2" i="5"/>
  <c r="C9" i="5"/>
  <c r="C10" i="5"/>
  <c r="C5" i="5"/>
  <c r="C11" i="5"/>
  <c r="C4" i="5"/>
  <c r="C6" i="5"/>
  <c r="I31" i="1"/>
  <c r="C359" i="22"/>
  <c r="C360" i="22"/>
  <c r="C361" i="22"/>
  <c r="C362" i="22"/>
  <c r="C392" i="22"/>
  <c r="I39" i="1"/>
  <c r="C4" i="4"/>
  <c r="AJ4" i="4" s="1"/>
  <c r="AK4" i="4" s="1"/>
  <c r="AH22" i="2"/>
  <c r="AD22" i="2" s="1"/>
  <c r="C21" i="5"/>
  <c r="C18" i="5"/>
  <c r="C19" i="5"/>
  <c r="C20" i="5"/>
  <c r="AE27" i="22"/>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T4" i="2" s="1"/>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S68" i="2" a="1"/>
  <c r="M5" i="6"/>
  <c r="S2" i="2" a="1"/>
  <c r="S80" i="2" a="1"/>
  <c r="S71" i="2" a="1"/>
  <c r="S82" i="2" a="1"/>
  <c r="S84" i="2" a="1"/>
  <c r="S70" i="2" a="1"/>
  <c r="S85" i="2" a="1"/>
  <c r="S58" i="2" a="1"/>
  <c r="S83" i="2" a="1"/>
  <c r="S90" i="2" a="1"/>
  <c r="Q391" i="22"/>
  <c r="Q135" i="22"/>
  <c r="Q396" i="22"/>
  <c r="Q276" i="22"/>
  <c r="Q212" i="22"/>
  <c r="Q175" i="22"/>
  <c r="Q26" i="22"/>
  <c r="Q270" i="22"/>
  <c r="Q332" i="22"/>
  <c r="Q115" i="22"/>
  <c r="Q84" i="22"/>
  <c r="Q370" i="22"/>
  <c r="Q83" i="22"/>
  <c r="Q422" i="22"/>
  <c r="Q176" i="22"/>
  <c r="Q388" i="22"/>
  <c r="Q188" i="22"/>
  <c r="Q198" i="22"/>
  <c r="Q302" i="22"/>
  <c r="Q86" i="22"/>
  <c r="Q347" i="22"/>
  <c r="Q153" i="22"/>
  <c r="Q161" i="22"/>
  <c r="Q318" i="22"/>
  <c r="Q263" i="22"/>
  <c r="Q246" i="22"/>
  <c r="Q156" i="22"/>
  <c r="Q323" i="22"/>
  <c r="Q171" i="22"/>
  <c r="Q18" i="22"/>
  <c r="Q363" i="22"/>
  <c r="Q257" i="22"/>
  <c r="Q241" i="22"/>
  <c r="Q15" i="22"/>
  <c r="Q407" i="22"/>
  <c r="Q138" i="22"/>
  <c r="Q93" i="22"/>
  <c r="Q13" i="22"/>
  <c r="Q278" i="22"/>
  <c r="Q98" i="22"/>
  <c r="Q252" i="22"/>
  <c r="Q121" i="22"/>
  <c r="Q279" i="22"/>
  <c r="Q329" i="22"/>
  <c r="Q416" i="22"/>
  <c r="Q345" i="22"/>
  <c r="Q374" i="22"/>
  <c r="Q410" i="22"/>
  <c r="Q357" i="22"/>
  <c r="Q228" i="22"/>
  <c r="Q34" i="22"/>
  <c r="Q27" i="22"/>
  <c r="Q90" i="22"/>
  <c r="Q182" i="22"/>
  <c r="Q148" i="22"/>
  <c r="Q288" i="22"/>
  <c r="Q233" i="22"/>
  <c r="Q147" i="22"/>
  <c r="Q287" i="22"/>
  <c r="Q231" i="22"/>
  <c r="Q354" i="22"/>
  <c r="Q108" i="22"/>
  <c r="Q207" i="22"/>
  <c r="Q282" i="22"/>
  <c r="Q301" i="22"/>
  <c r="Q268" i="22"/>
  <c r="Q325" i="22"/>
  <c r="Q149" i="22"/>
  <c r="Q139" i="22"/>
  <c r="Q16" i="22"/>
  <c r="Q277" i="22"/>
  <c r="Q291" i="22"/>
  <c r="Q128" i="22"/>
  <c r="Q402" i="22"/>
  <c r="Q320" i="22"/>
  <c r="Q223" i="22"/>
  <c r="Q383" i="22"/>
  <c r="Q123" i="22"/>
  <c r="Q134" i="22"/>
  <c r="Q24" i="22"/>
  <c r="Q403" i="22"/>
  <c r="Q222" i="22"/>
  <c r="Q169" i="22"/>
  <c r="Q247" i="22"/>
  <c r="Q238" i="22"/>
  <c r="Q395" i="22"/>
  <c r="Q204" i="22"/>
  <c r="Q327" i="22"/>
  <c r="Q11" i="22"/>
  <c r="Q382" i="22"/>
  <c r="Q322" i="22"/>
  <c r="Q224" i="22"/>
  <c r="Q63" i="22"/>
  <c r="Q421" i="22"/>
  <c r="Q300" i="22"/>
  <c r="Q14" i="22"/>
  <c r="Q89" i="22"/>
  <c r="Q211" i="22"/>
  <c r="Q344" i="22"/>
  <c r="Q229" i="22"/>
  <c r="Q245" i="22"/>
  <c r="Q21" i="22"/>
  <c r="Q358" i="22"/>
  <c r="Q330" i="22"/>
  <c r="Q25" i="22"/>
  <c r="Q342" i="22"/>
  <c r="Q326" i="22"/>
  <c r="Q297" i="22"/>
  <c r="Q180" i="22"/>
  <c r="Q208" i="22"/>
  <c r="Q126" i="22"/>
  <c r="Q110" i="22"/>
  <c r="Q217" i="22"/>
  <c r="Q367" i="22"/>
  <c r="Q189" i="22"/>
  <c r="Q255" i="22"/>
  <c r="Q226" i="22"/>
  <c r="Q295" i="22"/>
  <c r="Q377" i="22"/>
  <c r="Q232" i="22"/>
  <c r="Q328" i="22"/>
  <c r="Q262" i="22"/>
  <c r="Q272" i="22"/>
  <c r="Q400" i="22"/>
  <c r="Q319" i="22"/>
  <c r="Q260" i="22"/>
  <c r="Q303" i="22"/>
  <c r="Q237" i="22"/>
  <c r="Q136" i="22"/>
  <c r="Q408" i="22"/>
  <c r="Q199" i="22"/>
  <c r="Q386" i="22"/>
  <c r="Q37" i="22"/>
  <c r="Q220" i="22"/>
  <c r="Q296" i="22"/>
  <c r="Q419" i="22"/>
  <c r="Q95" i="22"/>
  <c r="Q256" i="22"/>
  <c r="Q19" i="22"/>
  <c r="Q197" i="22"/>
  <c r="Q390" i="22"/>
  <c r="Q380" i="22"/>
  <c r="Q394" i="22"/>
  <c r="Q210" i="22"/>
  <c r="Q254" i="22"/>
  <c r="Q215" i="22"/>
  <c r="Q317" i="22"/>
  <c r="Q106" i="22"/>
  <c r="Q96" i="22"/>
  <c r="Q214" i="22"/>
  <c r="Q298" i="22"/>
  <c r="Q200" i="22"/>
  <c r="Q151" i="22"/>
  <c r="Q292" i="22"/>
  <c r="Q371" i="22"/>
  <c r="Q146" i="22"/>
  <c r="Q274" i="22"/>
  <c r="Q249" i="22"/>
  <c r="Q160" i="22"/>
  <c r="Q387" i="22"/>
  <c r="Q137" i="22"/>
  <c r="Q109" i="22"/>
  <c r="Q265" i="22"/>
  <c r="Q372" i="22"/>
  <c r="Q145" i="22"/>
  <c r="Q163" i="22"/>
  <c r="Q118" i="22"/>
  <c r="Q97" i="22"/>
  <c r="Q36" i="22"/>
  <c r="Q418" i="22"/>
  <c r="Q178" i="22"/>
  <c r="Q113" i="22"/>
  <c r="Q250" i="22"/>
  <c r="Q218" i="22"/>
  <c r="Q196" i="22"/>
  <c r="Q338" i="22"/>
  <c r="Q271" i="22"/>
  <c r="Q23" i="22"/>
  <c r="Q35" i="22"/>
  <c r="Q331" i="22"/>
  <c r="Q117" i="22"/>
  <c r="Q125" i="22"/>
  <c r="Q172" i="22"/>
  <c r="Q120" i="22"/>
  <c r="Q404" i="22"/>
  <c r="Q143" i="22"/>
  <c r="Q230" i="22"/>
  <c r="Q269" i="22"/>
  <c r="Q409" i="22"/>
  <c r="Q114" i="22"/>
  <c r="Q155" i="22"/>
  <c r="Q366" i="22"/>
  <c r="Q140" i="22"/>
  <c r="Q346" i="22"/>
  <c r="Q181" i="22"/>
  <c r="Q221" i="22"/>
  <c r="Q150" i="22"/>
  <c r="Q206" i="22"/>
  <c r="Q209" i="22"/>
  <c r="Q20" i="22"/>
  <c r="Q285" i="22"/>
  <c r="Q131" i="22"/>
  <c r="Q116" i="22"/>
  <c r="Q243" i="22"/>
  <c r="Q376" i="22"/>
  <c r="Q356" i="22"/>
  <c r="Q190" i="22"/>
  <c r="Q267" i="22"/>
  <c r="Q234" i="22"/>
  <c r="Q236" i="22"/>
  <c r="Q133" i="22"/>
  <c r="Q85" i="22"/>
  <c r="Q244" i="22"/>
  <c r="Q364" i="22"/>
  <c r="Q173" i="22"/>
  <c r="Q304" i="22"/>
  <c r="Q162" i="22"/>
  <c r="Q259" i="22"/>
  <c r="Q289" i="22"/>
  <c r="Q100" i="22"/>
  <c r="Q275" i="22"/>
  <c r="Q177" i="22"/>
  <c r="Q273" i="22"/>
  <c r="Q132" i="22"/>
  <c r="Q378" i="22"/>
  <c r="Q213" i="22"/>
  <c r="Q141" i="22"/>
  <c r="Q240" i="22"/>
  <c r="Q399" i="22"/>
  <c r="Q293" i="22"/>
  <c r="Q202" i="22"/>
  <c r="Q2" i="22"/>
  <c r="Q258" i="22"/>
  <c r="Q142" i="22"/>
  <c r="Q129" i="22"/>
  <c r="Q174" i="22"/>
  <c r="Q280" i="22"/>
  <c r="Q239" i="22"/>
  <c r="Q107" i="22"/>
  <c r="Q22" i="22"/>
  <c r="Q355" i="22"/>
  <c r="Q227" i="22"/>
  <c r="Q219" i="22"/>
  <c r="Q92" i="22"/>
  <c r="Q179" i="22"/>
  <c r="Q33" i="22"/>
  <c r="Q159" i="22"/>
  <c r="Q205" i="22"/>
  <c r="Q99" i="22"/>
  <c r="Q266" i="22"/>
  <c r="Q12" i="22"/>
  <c r="Q284" i="22"/>
  <c r="Q201" i="22"/>
  <c r="Q144" i="22"/>
  <c r="Q251" i="22"/>
  <c r="Q152" i="22"/>
  <c r="Q397" i="22"/>
  <c r="Q124" i="22"/>
  <c r="Q94" i="22"/>
  <c r="Q321" i="22"/>
  <c r="Q157" i="22"/>
  <c r="Q203" i="22"/>
  <c r="Q406" i="22"/>
  <c r="Q264" i="22"/>
  <c r="Q242" i="22"/>
  <c r="Q158" i="22"/>
  <c r="Q389" i="22"/>
  <c r="Q324" i="22"/>
  <c r="Q87" i="22"/>
  <c r="Q248" i="22"/>
  <c r="Q17" i="22"/>
  <c r="Q417" i="22"/>
  <c r="Q381" i="22"/>
  <c r="Q281" i="22"/>
  <c r="Q286" i="22"/>
  <c r="Q127" i="22"/>
  <c r="Q290" i="22"/>
  <c r="Q82" i="22"/>
  <c r="Q379" i="22"/>
  <c r="Q375" i="22"/>
  <c r="Q235" i="22"/>
  <c r="Q384" i="22"/>
  <c r="Q373" i="22"/>
  <c r="Q294" i="22"/>
  <c r="Q91" i="22"/>
  <c r="Q398" i="22"/>
  <c r="Q112" i="22"/>
  <c r="Q261" i="22"/>
  <c r="Q368" i="22"/>
  <c r="Q405" i="22"/>
  <c r="Q88" i="22"/>
  <c r="Q253" i="22"/>
  <c r="Q352" i="22"/>
  <c r="Q119" i="22"/>
  <c r="Q401" i="22"/>
  <c r="Q170" i="22"/>
  <c r="Q111" i="22"/>
  <c r="Q216" i="22"/>
  <c r="Q225" i="22"/>
  <c r="Q385" i="22"/>
  <c r="Q130" i="22"/>
  <c r="Q122" i="22"/>
  <c r="Q283" i="22"/>
  <c r="BE77" i="2" l="1"/>
  <c r="T65" i="2"/>
  <c r="AB18" i="2"/>
  <c r="AA18" i="2" s="1"/>
  <c r="Z18" i="2" s="1"/>
  <c r="Y18" i="2" s="1"/>
  <c r="X18" i="2" s="1"/>
  <c r="W18" i="2" s="1"/>
  <c r="AW18" i="2"/>
  <c r="AB40" i="2"/>
  <c r="AA40" i="2" s="1"/>
  <c r="Z40" i="2" s="1"/>
  <c r="Y40" i="2" s="1"/>
  <c r="X40" i="2" s="1"/>
  <c r="W40" i="2" s="1"/>
  <c r="AW40" i="2"/>
  <c r="BA40" i="2" s="1"/>
  <c r="AB43" i="2"/>
  <c r="AA43" i="2" s="1"/>
  <c r="Z43" i="2" s="1"/>
  <c r="Y43" i="2" s="1"/>
  <c r="X43" i="2" s="1"/>
  <c r="W43" i="2" s="1"/>
  <c r="AW43" i="2"/>
  <c r="AZ43" i="2" s="1"/>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Z55" i="2" s="1"/>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Z20" i="2"/>
  <c r="H19" i="2"/>
  <c r="BE62" i="2"/>
  <c r="BE74" i="2"/>
  <c r="S19" i="2" a="1"/>
  <c r="S19" i="2" s="1"/>
  <c r="T19" i="2" s="1"/>
  <c r="S85" i="2"/>
  <c r="T85" i="2" s="1"/>
  <c r="AZ18" i="2"/>
  <c r="H5" i="2"/>
  <c r="R5" i="2" s="1"/>
  <c r="BC5" i="2"/>
  <c r="BE5" i="2" s="1"/>
  <c r="BC10" i="2"/>
  <c r="BE10" i="2" s="1"/>
  <c r="H17" i="2"/>
  <c r="R17" i="2" s="1"/>
  <c r="BC17" i="2"/>
  <c r="BE17" i="2" s="1"/>
  <c r="BA14" i="2"/>
  <c r="AB35" i="2"/>
  <c r="AA35" i="2" s="1"/>
  <c r="Z35" i="2" s="1"/>
  <c r="Y35" i="2" s="1"/>
  <c r="X35" i="2" s="1"/>
  <c r="W35" i="2" s="1"/>
  <c r="BC12" i="2"/>
  <c r="BE12" i="2" s="1"/>
  <c r="BC14" i="2"/>
  <c r="BE14" i="2" s="1"/>
  <c r="BA23" i="2"/>
  <c r="AB85" i="2"/>
  <c r="AA85" i="2" s="1"/>
  <c r="Z85" i="2" s="1"/>
  <c r="Y85" i="2" s="1"/>
  <c r="X85" i="2" s="1"/>
  <c r="W85" i="2" s="1"/>
  <c r="H11" i="2"/>
  <c r="R11" i="2" s="1"/>
  <c r="BC11" i="2"/>
  <c r="BE11" i="2" s="1"/>
  <c r="H16" i="2"/>
  <c r="R16" i="2" s="1"/>
  <c r="BC16" i="2"/>
  <c r="BE16" i="2" s="1"/>
  <c r="BA25" i="2"/>
  <c r="S20" i="2" a="1"/>
  <c r="S20" i="2" s="1"/>
  <c r="T20" i="2" s="1"/>
  <c r="AZ54" i="2"/>
  <c r="BA54" i="2"/>
  <c r="AZ49" i="2"/>
  <c r="H3" i="2"/>
  <c r="R3" i="2" s="1"/>
  <c r="BC3" i="2"/>
  <c r="BE3" i="2" s="1"/>
  <c r="H4" i="2"/>
  <c r="R4" i="2" s="1"/>
  <c r="BC4" i="2"/>
  <c r="BE4" i="2" s="1"/>
  <c r="BA21" i="2"/>
  <c r="BA47" i="2"/>
  <c r="AY16" i="2"/>
  <c r="AB4" i="2"/>
  <c r="AA4" i="2" s="1"/>
  <c r="Z4" i="2" s="1"/>
  <c r="Y4" i="2" s="1"/>
  <c r="X4" i="2" s="1"/>
  <c r="W4" i="2" s="1"/>
  <c r="H7" i="2"/>
  <c r="BC7" i="2"/>
  <c r="BE7" i="2" s="1"/>
  <c r="H9" i="2"/>
  <c r="BC9" i="2"/>
  <c r="BE9" i="2" s="1"/>
  <c r="BC25" i="2"/>
  <c r="BE25" i="2" s="1"/>
  <c r="BA20" i="2"/>
  <c r="BA18" i="2"/>
  <c r="S23" i="2" a="1"/>
  <c r="S23" i="2" s="1"/>
  <c r="T23" i="2" s="1"/>
  <c r="R23" i="2" s="1"/>
  <c r="AY47" i="2"/>
  <c r="AZ92" i="2"/>
  <c r="BC8" i="2"/>
  <c r="BE8" i="2" s="1"/>
  <c r="BC24" i="2"/>
  <c r="BE24" i="2" s="1"/>
  <c r="BC20" i="2"/>
  <c r="BE20" i="2" s="1"/>
  <c r="BA39" i="2"/>
  <c r="H6" i="2"/>
  <c r="BC6" i="2"/>
  <c r="BE6" i="2" s="1"/>
  <c r="BC22" i="2"/>
  <c r="BE22" i="2" s="1"/>
  <c r="H18" i="2"/>
  <c r="BC18" i="2"/>
  <c r="BE18" i="2" s="1"/>
  <c r="AZ21" i="2"/>
  <c r="AY14" i="2"/>
  <c r="AZ40" i="2"/>
  <c r="BC13" i="2"/>
  <c r="BE13" i="2" s="1"/>
  <c r="BC2" i="2"/>
  <c r="BE2" i="2" s="1"/>
  <c r="BA16" i="2"/>
  <c r="H2" i="2"/>
  <c r="S18" i="2"/>
  <c r="T18" i="2" s="1"/>
  <c r="S92" i="2"/>
  <c r="T92" i="2" s="1"/>
  <c r="S31" i="2"/>
  <c r="T31" i="2" s="1"/>
  <c r="R31" i="2" s="1"/>
  <c r="S9" i="2"/>
  <c r="T9" i="2" s="1"/>
  <c r="S42" i="2"/>
  <c r="T42" i="2" s="1"/>
  <c r="R42" i="2" s="1"/>
  <c r="S10" i="2"/>
  <c r="T10" i="2" s="1"/>
  <c r="S24" i="2"/>
  <c r="T24" i="2" s="1"/>
  <c r="R24" i="2" s="1"/>
  <c r="S54" i="2"/>
  <c r="T54" i="2" s="1"/>
  <c r="R54" i="2" s="1"/>
  <c r="S34" i="2"/>
  <c r="T34" i="2" s="1"/>
  <c r="R34" i="2" s="1"/>
  <c r="S22" i="2"/>
  <c r="T22" i="2" s="1"/>
  <c r="R22" i="2" s="1"/>
  <c r="S43" i="2"/>
  <c r="T43" i="2" s="1"/>
  <c r="R43" i="2" s="1"/>
  <c r="S46" i="2"/>
  <c r="T46" i="2" s="1"/>
  <c r="R46" i="2" s="1"/>
  <c r="S6" i="2"/>
  <c r="T6" i="2" s="1"/>
  <c r="S55" i="2"/>
  <c r="T55" i="2" s="1"/>
  <c r="R55" i="2" s="1"/>
  <c r="S49" i="2"/>
  <c r="T49" i="2" s="1"/>
  <c r="R49" i="2" s="1"/>
  <c r="S8" i="2"/>
  <c r="T8" i="2" s="1"/>
  <c r="R8" i="2" s="1"/>
  <c r="S40" i="2"/>
  <c r="T40" i="2" s="1"/>
  <c r="R40" i="2" s="1"/>
  <c r="S30" i="2"/>
  <c r="T30" i="2" s="1"/>
  <c r="R30" i="2" s="1"/>
  <c r="S32" i="2"/>
  <c r="T32" i="2" s="1"/>
  <c r="R32" i="2" s="1"/>
  <c r="S44" i="2"/>
  <c r="T44" i="2" s="1"/>
  <c r="R44" i="2" s="1"/>
  <c r="S21" i="2"/>
  <c r="T21" i="2" s="1"/>
  <c r="R21" i="2" s="1"/>
  <c r="S7" i="2"/>
  <c r="T7" i="2" s="1"/>
  <c r="S56" i="2"/>
  <c r="T56" i="2" s="1"/>
  <c r="R56" i="2" s="1"/>
  <c r="H25" i="2"/>
  <c r="R25" i="2" s="1"/>
  <c r="H10" i="2"/>
  <c r="S82" i="2"/>
  <c r="T82" i="2" s="1"/>
  <c r="S68" i="2"/>
  <c r="BE68" i="2" s="1"/>
  <c r="S88" i="2"/>
  <c r="T88" i="2" s="1"/>
  <c r="R88" i="2" s="1"/>
  <c r="S80" i="2"/>
  <c r="T80" i="2" s="1"/>
  <c r="R80" i="2" s="1"/>
  <c r="S95" i="2"/>
  <c r="T95" i="2" s="1"/>
  <c r="R95" i="2" s="1"/>
  <c r="S2" i="2"/>
  <c r="S83" i="2"/>
  <c r="T83" i="2" s="1"/>
  <c r="R83" i="2" s="1"/>
  <c r="S90" i="2"/>
  <c r="T90" i="2" s="1"/>
  <c r="R90" i="2" s="1"/>
  <c r="S58" i="2"/>
  <c r="T58" i="2" s="1"/>
  <c r="S71" i="2"/>
  <c r="S70" i="2"/>
  <c r="T70" i="2" s="1"/>
  <c r="S84" i="2"/>
  <c r="T84" i="2" s="1"/>
  <c r="R84" i="2" s="1"/>
  <c r="S94" i="2"/>
  <c r="T94" i="2" s="1"/>
  <c r="R94" i="2" s="1"/>
  <c r="T2" i="2"/>
  <c r="K16" i="3"/>
  <c r="I60" i="1"/>
  <c r="K19" i="3"/>
  <c r="I63" i="1"/>
  <c r="K20" i="3"/>
  <c r="I64" i="1"/>
  <c r="H12" i="2"/>
  <c r="R12" i="2" s="1"/>
  <c r="H20" i="2"/>
  <c r="H13" i="2"/>
  <c r="R13" i="2" s="1"/>
  <c r="K21" i="3"/>
  <c r="K22" i="3"/>
  <c r="AX49" i="2"/>
  <c r="AY49" i="2" s="1"/>
  <c r="AX88" i="2"/>
  <c r="R26" i="2"/>
  <c r="R14" i="2"/>
  <c r="CJ2" i="4"/>
  <c r="CH2" i="4" s="1"/>
  <c r="R50" i="2"/>
  <c r="CM2" i="4"/>
  <c r="H100" i="2"/>
  <c r="R100" i="2" s="1"/>
  <c r="H92" i="2"/>
  <c r="C2" i="47"/>
  <c r="C2" i="46"/>
  <c r="R38" i="2"/>
  <c r="G62" i="1"/>
  <c r="G61" i="1"/>
  <c r="T4" i="4" s="1"/>
  <c r="AG4" i="4" s="1"/>
  <c r="R36" i="2"/>
  <c r="R74" i="2"/>
  <c r="R86" i="2"/>
  <c r="R59" i="2"/>
  <c r="R48" i="2"/>
  <c r="R99" i="2"/>
  <c r="R51" i="2"/>
  <c r="R62" i="2"/>
  <c r="R65" i="2"/>
  <c r="R27" i="2"/>
  <c r="R39" i="2"/>
  <c r="AX95" i="2"/>
  <c r="AX40" i="2"/>
  <c r="R15" i="2"/>
  <c r="BT5" i="4"/>
  <c r="BS5" i="4"/>
  <c r="BT4" i="4"/>
  <c r="BS4" i="4"/>
  <c r="R87" i="2"/>
  <c r="R35" i="2"/>
  <c r="R85" i="2"/>
  <c r="R33" i="2"/>
  <c r="AX2" i="2"/>
  <c r="BT2" i="4"/>
  <c r="BS2" i="4"/>
  <c r="AX19" i="2"/>
  <c r="AX6" i="2"/>
  <c r="AX56" i="2"/>
  <c r="R77" i="2"/>
  <c r="AX58" i="2"/>
  <c r="R47" i="2"/>
  <c r="R93" i="2"/>
  <c r="AX21" i="2"/>
  <c r="AY21" i="2" s="1"/>
  <c r="AX31" i="2"/>
  <c r="R28" i="2"/>
  <c r="AX68" i="2"/>
  <c r="R89" i="2"/>
  <c r="AX70" i="2"/>
  <c r="AX7" i="2"/>
  <c r="AX18" i="2"/>
  <c r="AY18" i="2" s="1"/>
  <c r="AX8" i="2"/>
  <c r="AX43" i="2"/>
  <c r="R29" i="2"/>
  <c r="AX82" i="2"/>
  <c r="R97" i="2"/>
  <c r="AX84" i="2"/>
  <c r="AX90" i="2"/>
  <c r="AX30" i="2"/>
  <c r="L2" i="4"/>
  <c r="AX71" i="2"/>
  <c r="AX55" i="2"/>
  <c r="R52" i="2"/>
  <c r="AX92" i="2"/>
  <c r="AY92" i="2" s="1"/>
  <c r="R41" i="2"/>
  <c r="AX94" i="2"/>
  <c r="AX10" i="2"/>
  <c r="AX22" i="2"/>
  <c r="AX83" i="2"/>
  <c r="AX9" i="2"/>
  <c r="AX42" i="2"/>
  <c r="R96" i="2"/>
  <c r="AX24" i="2"/>
  <c r="R37" i="2"/>
  <c r="AX32" i="2"/>
  <c r="R53" i="2"/>
  <c r="CL5" i="4"/>
  <c r="CM5" i="4"/>
  <c r="AX34" i="2"/>
  <c r="AX80" i="2"/>
  <c r="AX23" i="2"/>
  <c r="AY23" i="2" s="1"/>
  <c r="AX20" i="2"/>
  <c r="AY20" i="2" s="1"/>
  <c r="AX54" i="2"/>
  <c r="AY54" i="2" s="1"/>
  <c r="CL4" i="4"/>
  <c r="CM4" i="4"/>
  <c r="R45" i="2"/>
  <c r="AX46" i="2"/>
  <c r="R91" i="2"/>
  <c r="R98" i="2"/>
  <c r="AX44" i="2"/>
  <c r="G29" i="5"/>
  <c r="F29" i="5" s="1"/>
  <c r="G27" i="5"/>
  <c r="F27" i="5" s="1"/>
  <c r="AT64" i="2" l="1"/>
  <c r="AY44" i="2"/>
  <c r="AY17" i="2"/>
  <c r="AT61" i="2"/>
  <c r="AQ60" i="2"/>
  <c r="BA43" i="2"/>
  <c r="AY43" i="2"/>
  <c r="BA17" i="2"/>
  <c r="AZ44" i="2"/>
  <c r="AQ57" i="2"/>
  <c r="AY55" i="2"/>
  <c r="AY25" i="2"/>
  <c r="AT67" i="2"/>
  <c r="AQ66" i="2"/>
  <c r="BA55" i="2"/>
  <c r="AY39" i="2"/>
  <c r="AY40" i="2"/>
  <c r="S8" i="22"/>
  <c r="AL25" i="2"/>
  <c r="Q4" i="1"/>
  <c r="M3" i="2"/>
  <c r="S68" i="22"/>
  <c r="Q68" i="22" s="1"/>
  <c r="AL92" i="2"/>
  <c r="Q61" i="1"/>
  <c r="BA41" i="2"/>
  <c r="AY41" i="2"/>
  <c r="R19" i="2"/>
  <c r="AQ63" i="2"/>
  <c r="R18" i="2"/>
  <c r="AW48" i="2"/>
  <c r="T68" i="2"/>
  <c r="R68" i="2" s="1"/>
  <c r="AW45" i="2"/>
  <c r="AW27" i="2"/>
  <c r="AY27" i="2" s="1"/>
  <c r="AW19" i="2"/>
  <c r="AY19" i="2" s="1"/>
  <c r="AW15" i="2"/>
  <c r="AW26" i="2"/>
  <c r="AW46" i="2"/>
  <c r="AY46" i="2" s="1"/>
  <c r="AW31" i="2"/>
  <c r="AH94" i="2"/>
  <c r="AD94" i="2" s="1"/>
  <c r="J91" i="2"/>
  <c r="J92" i="2"/>
  <c r="BA92" i="2" s="1"/>
  <c r="J93" i="2"/>
  <c r="N26" i="2"/>
  <c r="O26" i="2"/>
  <c r="R9" i="2"/>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R6" i="2"/>
  <c r="R7" i="2"/>
  <c r="T71" i="2"/>
  <c r="R71" i="2" s="1"/>
  <c r="AT73" i="2" s="1"/>
  <c r="BE71" i="2"/>
  <c r="AY4" i="2"/>
  <c r="AZ4" i="2"/>
  <c r="BA4" i="2"/>
  <c r="S69" i="22"/>
  <c r="Q69" i="22" s="1"/>
  <c r="S76" i="22"/>
  <c r="Q76" i="22" s="1"/>
  <c r="S71" i="22"/>
  <c r="Q71" i="22" s="1"/>
  <c r="S70" i="22"/>
  <c r="Q70" i="22" s="1"/>
  <c r="AY85" i="2"/>
  <c r="AZ85" i="2"/>
  <c r="BA85" i="2"/>
  <c r="AY35" i="2"/>
  <c r="BA35" i="2"/>
  <c r="AZ35" i="2"/>
  <c r="R2" i="2"/>
  <c r="R20" i="2"/>
  <c r="K17" i="3"/>
  <c r="P9" i="22" s="1"/>
  <c r="I61" i="1"/>
  <c r="K18" i="3"/>
  <c r="I62" i="1"/>
  <c r="CI2" i="4"/>
  <c r="M5" i="2"/>
  <c r="S186" i="22"/>
  <c r="Q186" i="22" s="1"/>
  <c r="S308" i="22"/>
  <c r="Q308" i="22" s="1"/>
  <c r="S57" i="22"/>
  <c r="Q57" i="22" s="1"/>
  <c r="O22" i="2"/>
  <c r="M22" i="2"/>
  <c r="O13" i="2"/>
  <c r="M13" i="2"/>
  <c r="O32" i="2"/>
  <c r="M32" i="2"/>
  <c r="O90" i="2"/>
  <c r="M90" i="2"/>
  <c r="O28" i="2"/>
  <c r="M28" i="2"/>
  <c r="O87" i="2"/>
  <c r="M87" i="2"/>
  <c r="O62" i="2"/>
  <c r="M62" i="2"/>
  <c r="O50" i="2"/>
  <c r="M50" i="2"/>
  <c r="O29" i="2"/>
  <c r="M29" i="2"/>
  <c r="O99" i="2"/>
  <c r="M99" i="2"/>
  <c r="O56" i="2"/>
  <c r="M56" i="2"/>
  <c r="O30" i="2"/>
  <c r="M30" i="2"/>
  <c r="O24" i="2"/>
  <c r="M24" i="2"/>
  <c r="O98" i="2"/>
  <c r="M98" i="2"/>
  <c r="O96" i="2"/>
  <c r="M96" i="2"/>
  <c r="O84" i="2"/>
  <c r="M84"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00" i="2"/>
  <c r="M100" i="2"/>
  <c r="O95" i="2"/>
  <c r="M95"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39" i="2"/>
  <c r="N39" i="2"/>
  <c r="O17" i="2"/>
  <c r="N17" i="2"/>
  <c r="O16" i="2"/>
  <c r="N16" i="2"/>
  <c r="O41" i="2"/>
  <c r="N41" i="2"/>
  <c r="O55" i="2"/>
  <c r="N55" i="2"/>
  <c r="O47" i="2"/>
  <c r="N47" i="2"/>
  <c r="O35" i="2"/>
  <c r="N35" i="2"/>
  <c r="O27" i="2"/>
  <c r="N27" i="2"/>
  <c r="O43" i="2"/>
  <c r="N43" i="2"/>
  <c r="O15" i="2"/>
  <c r="N15" i="2"/>
  <c r="S154" i="22"/>
  <c r="Q154" i="22" s="1"/>
  <c r="S77" i="22"/>
  <c r="Q77"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103" i="22"/>
  <c r="Q103" i="22" s="1"/>
  <c r="S54" i="22"/>
  <c r="Q54" i="22" s="1"/>
  <c r="S183" i="22"/>
  <c r="Q183" i="22" s="1"/>
  <c r="S305" i="22"/>
  <c r="Q305" i="22" s="1"/>
  <c r="S333" i="22"/>
  <c r="Q333" i="22" s="1"/>
  <c r="S104" i="22"/>
  <c r="Q104" i="22" s="1"/>
  <c r="R92" i="2"/>
  <c r="R4" i="4"/>
  <c r="C2" i="45"/>
  <c r="BR4" i="4"/>
  <c r="BQ4" i="4"/>
  <c r="BR5" i="4"/>
  <c r="BQ5" i="4"/>
  <c r="CF2" i="4"/>
  <c r="CG2" i="4"/>
  <c r="CJ4" i="4"/>
  <c r="CK4" i="4"/>
  <c r="CK5" i="4"/>
  <c r="CJ5" i="4"/>
  <c r="J2" i="4"/>
  <c r="BR2" i="4"/>
  <c r="BQ2" i="4"/>
  <c r="AT79" i="2" l="1"/>
  <c r="AT76" i="2"/>
  <c r="N25" i="2"/>
  <c r="O74" i="2"/>
  <c r="M74" i="2"/>
  <c r="O25" i="2"/>
  <c r="O85" i="2"/>
  <c r="O83" i="2"/>
  <c r="S44" i="22"/>
  <c r="Q44" i="22" s="1"/>
  <c r="S420" i="22"/>
  <c r="Q420" i="22" s="1"/>
  <c r="S191" i="22"/>
  <c r="Q191" i="22" s="1"/>
  <c r="S38" i="22"/>
  <c r="Q38" i="22" s="1"/>
  <c r="S299" i="22"/>
  <c r="Q299" i="22" s="1"/>
  <c r="S350" i="22"/>
  <c r="Q350" i="22" s="1"/>
  <c r="S28" i="22"/>
  <c r="Q28" i="22" s="1"/>
  <c r="O3" i="2"/>
  <c r="S312" i="22"/>
  <c r="Q312" i="22" s="1"/>
  <c r="S348" i="22"/>
  <c r="Q348" i="22" s="1"/>
  <c r="S411" i="22"/>
  <c r="Q411" i="22" s="1"/>
  <c r="AT58" i="2"/>
  <c r="M8" i="2"/>
  <c r="S66" i="22"/>
  <c r="Q66" i="22" s="1"/>
  <c r="O8" i="2"/>
  <c r="S339" i="22"/>
  <c r="Q339" i="22" s="1"/>
  <c r="O77" i="2"/>
  <c r="S60" i="22"/>
  <c r="Q60" i="22" s="1"/>
  <c r="S164" i="22"/>
  <c r="Q164" i="22" s="1"/>
  <c r="O12" i="2"/>
  <c r="S101" i="22"/>
  <c r="Q101" i="22" s="1"/>
  <c r="S3" i="22"/>
  <c r="Q3" i="22" s="1"/>
  <c r="M94" i="2"/>
  <c r="O94" i="2"/>
  <c r="Q8" i="22"/>
  <c r="AK8" i="22"/>
  <c r="AI8" i="22"/>
  <c r="N85" i="2"/>
  <c r="M83" i="2"/>
  <c r="M12" i="2"/>
  <c r="M77" i="2"/>
  <c r="AJ8" i="22"/>
  <c r="AE8" i="22" s="1"/>
  <c r="AQ78" i="2"/>
  <c r="AL94" i="2"/>
  <c r="O20" i="2"/>
  <c r="M2" i="2"/>
  <c r="S340" i="22"/>
  <c r="Q340" i="22" s="1"/>
  <c r="N18" i="2"/>
  <c r="S7" i="22"/>
  <c r="Q7" i="22" s="1"/>
  <c r="S72" i="22"/>
  <c r="O10" i="2"/>
  <c r="N19" i="2"/>
  <c r="AT70" i="2"/>
  <c r="AQ75" i="2"/>
  <c r="M71" i="2"/>
  <c r="AQ72" i="2"/>
  <c r="AZ27" i="2"/>
  <c r="BA27" i="2"/>
  <c r="AZ45" i="2"/>
  <c r="AY45" i="2"/>
  <c r="BA45" i="2"/>
  <c r="AZ48" i="2"/>
  <c r="AY48" i="2"/>
  <c r="BA48" i="2"/>
  <c r="AZ19" i="2"/>
  <c r="BA19" i="2"/>
  <c r="AZ26" i="2"/>
  <c r="AY26" i="2"/>
  <c r="BA26" i="2"/>
  <c r="AZ15" i="2"/>
  <c r="AY15" i="2"/>
  <c r="BA15" i="2"/>
  <c r="AZ31" i="2"/>
  <c r="BA31" i="2"/>
  <c r="AY31" i="2"/>
  <c r="BA46" i="2"/>
  <c r="AZ46" i="2"/>
  <c r="O71" i="2"/>
  <c r="AI64" i="22"/>
  <c r="AJ64" i="22"/>
  <c r="AI315" i="22"/>
  <c r="AJ315" i="22"/>
  <c r="AK315" i="22"/>
  <c r="AJ167" i="22"/>
  <c r="AK167" i="22"/>
  <c r="AI167" i="22"/>
  <c r="AK64" i="22"/>
  <c r="AJ31" i="22"/>
  <c r="AI31" i="22"/>
  <c r="AK31" i="22"/>
  <c r="AI351" i="22"/>
  <c r="AJ351" i="22"/>
  <c r="AK351" i="22"/>
  <c r="AK194" i="22"/>
  <c r="AJ194" i="22"/>
  <c r="AI194" i="22"/>
  <c r="AJ6" i="22"/>
  <c r="AI6" i="22"/>
  <c r="AK6" i="22"/>
  <c r="AJ80" i="22"/>
  <c r="AI80" i="22"/>
  <c r="AK80" i="22"/>
  <c r="AI339" i="22"/>
  <c r="AI414" i="22"/>
  <c r="AJ414" i="22"/>
  <c r="AK414" i="22"/>
  <c r="AJ70" i="22"/>
  <c r="AI70" i="22"/>
  <c r="AK70" i="22"/>
  <c r="AJ71" i="22"/>
  <c r="AI71" i="22"/>
  <c r="AK71" i="22"/>
  <c r="AJ76" i="22"/>
  <c r="AI76" i="22"/>
  <c r="AK76" i="22"/>
  <c r="AJ56" i="22"/>
  <c r="AI56" i="22"/>
  <c r="AK56" i="22"/>
  <c r="AJ313" i="22"/>
  <c r="AI313" i="22"/>
  <c r="AK313" i="22"/>
  <c r="AK57" i="22"/>
  <c r="AJ57" i="22"/>
  <c r="AI57" i="22"/>
  <c r="AI305" i="22"/>
  <c r="AJ305" i="22"/>
  <c r="AK305" i="22"/>
  <c r="AJ307" i="22"/>
  <c r="AI307" i="22"/>
  <c r="AK307" i="22"/>
  <c r="AI39" i="22"/>
  <c r="AJ39" i="22"/>
  <c r="AK39" i="22"/>
  <c r="AJ308" i="22"/>
  <c r="AK308" i="22"/>
  <c r="AI308" i="22"/>
  <c r="AJ193" i="22"/>
  <c r="AI193" i="22"/>
  <c r="AK193" i="22"/>
  <c r="AJ30" i="22"/>
  <c r="AI30" i="22"/>
  <c r="AK30" i="22"/>
  <c r="AJ47" i="22"/>
  <c r="AI47" i="22"/>
  <c r="AK47" i="22"/>
  <c r="AJ186" i="22"/>
  <c r="AI186" i="22"/>
  <c r="AK186" i="22"/>
  <c r="AI44" i="22"/>
  <c r="AK44" i="22"/>
  <c r="AJ184" i="22"/>
  <c r="AI184" i="22"/>
  <c r="AK184" i="22"/>
  <c r="AI334" i="22"/>
  <c r="AK334" i="22"/>
  <c r="AJ334" i="22"/>
  <c r="AJ41" i="22"/>
  <c r="AI41" i="22"/>
  <c r="AK41" i="22"/>
  <c r="AI336" i="22"/>
  <c r="AK336" i="22"/>
  <c r="AJ336" i="22"/>
  <c r="AK79" i="22"/>
  <c r="AJ79" i="22"/>
  <c r="AI79" i="22"/>
  <c r="AJ165" i="22"/>
  <c r="AI165" i="22"/>
  <c r="AK165" i="22"/>
  <c r="AJ183" i="22"/>
  <c r="AI183" i="22"/>
  <c r="AK183" i="22"/>
  <c r="AK413" i="22"/>
  <c r="AI413" i="22"/>
  <c r="AJ413" i="22"/>
  <c r="AI40" i="22"/>
  <c r="AJ40" i="22"/>
  <c r="AK40" i="22"/>
  <c r="AJ102" i="22"/>
  <c r="AI102" i="22"/>
  <c r="AK102" i="22"/>
  <c r="AJ54" i="22"/>
  <c r="AI54" i="22"/>
  <c r="AK54" i="22"/>
  <c r="AI349" i="22"/>
  <c r="AJ349" i="22"/>
  <c r="AK349" i="22"/>
  <c r="AI335" i="22"/>
  <c r="AJ335" i="22"/>
  <c r="AK335" i="22"/>
  <c r="AJ55" i="22"/>
  <c r="AI55" i="22"/>
  <c r="AK55" i="22"/>
  <c r="AI312" i="22"/>
  <c r="AJ312" i="22"/>
  <c r="AK312" i="22"/>
  <c r="AJ185" i="22"/>
  <c r="AI185" i="22"/>
  <c r="AK185" i="22"/>
  <c r="AJ306" i="22"/>
  <c r="AI306" i="22"/>
  <c r="AK306" i="22"/>
  <c r="AJ29" i="22"/>
  <c r="AI29" i="22"/>
  <c r="AK29" i="22"/>
  <c r="AJ104" i="22"/>
  <c r="AI104" i="22"/>
  <c r="AK104" i="22"/>
  <c r="AI340" i="22"/>
  <c r="AJ340" i="22"/>
  <c r="AI61" i="22"/>
  <c r="AJ61" i="22"/>
  <c r="AK61" i="22"/>
  <c r="AI192" i="22"/>
  <c r="AK192" i="22"/>
  <c r="AJ192" i="22"/>
  <c r="AJ314" i="22"/>
  <c r="AI314" i="22"/>
  <c r="AK314" i="22"/>
  <c r="AK45" i="22"/>
  <c r="AJ45" i="22"/>
  <c r="AI45" i="22"/>
  <c r="AI62" i="22"/>
  <c r="AK62" i="22"/>
  <c r="AJ62" i="22"/>
  <c r="AI38" i="22"/>
  <c r="AK38" i="22"/>
  <c r="AJ38" i="22"/>
  <c r="AJ103" i="22"/>
  <c r="AI103" i="22"/>
  <c r="AK103" i="22"/>
  <c r="AJ5" i="22"/>
  <c r="AI5" i="22"/>
  <c r="AK5" i="22"/>
  <c r="AJ166" i="22"/>
  <c r="AK166" i="22"/>
  <c r="AI166" i="22"/>
  <c r="AJ46" i="22"/>
  <c r="AI46" i="22"/>
  <c r="AK46" i="22"/>
  <c r="AJ77" i="22"/>
  <c r="AI77" i="22"/>
  <c r="AK77" i="22"/>
  <c r="AI333" i="22"/>
  <c r="AJ333" i="22"/>
  <c r="AK333" i="22"/>
  <c r="AI412" i="22"/>
  <c r="AK412" i="22"/>
  <c r="AJ412" i="22"/>
  <c r="AJ78" i="22"/>
  <c r="AI78" i="22"/>
  <c r="AK78" i="22"/>
  <c r="AI4" i="22"/>
  <c r="AJ4" i="22"/>
  <c r="AK4" i="22"/>
  <c r="AJ154" i="22"/>
  <c r="AI154" i="22"/>
  <c r="AK154" i="22"/>
  <c r="S51" i="22"/>
  <c r="Q51" i="22" s="1"/>
  <c r="S50" i="22"/>
  <c r="Q50" i="22" s="1"/>
  <c r="S49" i="22"/>
  <c r="Q49" i="22" s="1"/>
  <c r="S48" i="22"/>
  <c r="Q48" i="22" s="1"/>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275" i="22"/>
  <c r="AL123" i="22"/>
  <c r="AM399" i="22"/>
  <c r="AL153" i="22"/>
  <c r="AM381" i="22"/>
  <c r="AM312" i="22"/>
  <c r="AL228" i="22"/>
  <c r="AM161"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3" i="22"/>
  <c r="AM324" i="22"/>
  <c r="AM264" i="22"/>
  <c r="AM173" i="22"/>
  <c r="AL112" i="22"/>
  <c r="AM5" i="22"/>
  <c r="AL323" i="22"/>
  <c r="AL227" i="22"/>
  <c r="AM160" i="22"/>
  <c r="AL4" i="22"/>
  <c r="AL173" i="22"/>
  <c r="AL287" i="22"/>
  <c r="AM250" i="22"/>
  <c r="AM190" i="22"/>
  <c r="AL97" i="22"/>
  <c r="AL39" i="22"/>
  <c r="AM15" i="22"/>
  <c r="AM388" i="22"/>
  <c r="AL321" i="22"/>
  <c r="AL225" i="22"/>
  <c r="AM158"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L78" i="22"/>
  <c r="AM176" i="22"/>
  <c r="AL346" i="22"/>
  <c r="AM290" i="22"/>
  <c r="AL206" i="22"/>
  <c r="AM138" i="22"/>
  <c r="AL19" i="22"/>
  <c r="AL382" i="22"/>
  <c r="AL289" i="22"/>
  <c r="AM229" i="22"/>
  <c r="AL125" i="22"/>
  <c r="AM66" i="22"/>
  <c r="AL324" i="22"/>
  <c r="AL17"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M102" i="22"/>
  <c r="AL176" i="22"/>
  <c r="AM372" i="22"/>
  <c r="AL290" i="22"/>
  <c r="AM230" i="22"/>
  <c r="AL138" i="22"/>
  <c r="AM55" i="22"/>
  <c r="AM382" i="22"/>
  <c r="AL229" i="22"/>
  <c r="AM149" i="22"/>
  <c r="AL66" i="22"/>
  <c r="AL368" i="22"/>
  <c r="AM224" i="22"/>
  <c r="AL166" i="22"/>
  <c r="AM148" i="22"/>
  <c r="AL5" i="22"/>
  <c r="AM334" i="22"/>
  <c r="AL298" i="22"/>
  <c r="AM214" i="22"/>
  <c r="AL146" i="22"/>
  <c r="AM122" i="22"/>
  <c r="AM6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L379" i="22"/>
  <c r="AL273" i="22"/>
  <c r="AL213" i="22"/>
  <c r="AL121" i="22"/>
  <c r="AM62" i="22"/>
  <c r="AL409" i="22"/>
  <c r="AL351" i="22"/>
  <c r="AM272" i="22"/>
  <c r="AL212" i="22"/>
  <c r="AL120" i="22"/>
  <c r="AM61" i="22"/>
  <c r="AL408" i="22"/>
  <c r="AM319"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L421" i="22"/>
  <c r="AM24" i="22"/>
  <c r="AL293" i="22"/>
  <c r="AM252"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L422" i="22"/>
  <c r="AL367" i="22"/>
  <c r="AL261" i="22"/>
  <c r="AM237" i="22"/>
  <c r="AL201" i="22"/>
  <c r="AL109" i="22"/>
  <c r="AL397" i="22"/>
  <c r="AL344" i="22"/>
  <c r="AL260" i="22"/>
  <c r="AL200" i="22"/>
  <c r="AL108" i="22"/>
  <c r="AL396" i="22"/>
  <c r="AM307" i="22"/>
  <c r="AM283" i="22"/>
  <c r="AL223" i="22"/>
  <c r="AL199" i="22"/>
  <c r="AM156" i="22"/>
  <c r="AL131" i="22"/>
  <c r="AL107"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50" i="22"/>
  <c r="AL350" i="22"/>
  <c r="AM340" i="22"/>
  <c r="AL340" i="22"/>
  <c r="AM305" i="22"/>
  <c r="AL305" i="22"/>
  <c r="AM348" i="22"/>
  <c r="AL348" i="22"/>
  <c r="AM103" i="22"/>
  <c r="AL103" i="22"/>
  <c r="AM44" i="22"/>
  <c r="AL44"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U69" i="2"/>
  <c r="U81" i="2"/>
  <c r="U57" i="2"/>
  <c r="U63" i="2"/>
  <c r="U78" i="2"/>
  <c r="U66" i="2"/>
  <c r="S57" i="2" a="1"/>
  <c r="S78" i="2" a="1"/>
  <c r="S66" i="2" a="1"/>
  <c r="S69" i="2" a="1"/>
  <c r="S60" i="2" a="1"/>
  <c r="S81" i="2" a="1"/>
  <c r="S72" i="2" a="1"/>
  <c r="S75" i="2" a="1"/>
  <c r="S63" i="2" a="1"/>
  <c r="AJ191" i="22" l="1"/>
  <c r="AM191" i="22"/>
  <c r="AM7" i="22"/>
  <c r="AL411" i="22"/>
  <c r="AJ101" i="22"/>
  <c r="AK411" i="22"/>
  <c r="AM411" i="22"/>
  <c r="AL101" i="22"/>
  <c r="AM101" i="22"/>
  <c r="AK101" i="22"/>
  <c r="AI101" i="22"/>
  <c r="AI3" i="22"/>
  <c r="AL3" i="22"/>
  <c r="AM3" i="22"/>
  <c r="AK3" i="22"/>
  <c r="AJ3" i="22"/>
  <c r="AM420" i="22"/>
  <c r="AI348" i="22"/>
  <c r="AK420" i="22"/>
  <c r="AJ420" i="22"/>
  <c r="AI420" i="22"/>
  <c r="AK28" i="22"/>
  <c r="AJ299" i="22"/>
  <c r="AD299" i="22" s="1"/>
  <c r="AK7" i="22"/>
  <c r="AJ348" i="22"/>
  <c r="AD348" i="22" s="1"/>
  <c r="AK299" i="22"/>
  <c r="AL60" i="22"/>
  <c r="AI299" i="22"/>
  <c r="AM60" i="22"/>
  <c r="AL299" i="22"/>
  <c r="S310" i="22"/>
  <c r="Q310" i="22" s="1"/>
  <c r="O7" i="2"/>
  <c r="AD8" i="22"/>
  <c r="AK66" i="22"/>
  <c r="AK60" i="22"/>
  <c r="AI60" i="22"/>
  <c r="AJ60" i="22"/>
  <c r="AF60" i="22" s="1"/>
  <c r="AK350" i="22"/>
  <c r="AJ350" i="22"/>
  <c r="AE350" i="22" s="1"/>
  <c r="AI350" i="22"/>
  <c r="AI411" i="22"/>
  <c r="AM164" i="22"/>
  <c r="AJ411" i="22"/>
  <c r="AK164" i="22"/>
  <c r="N92" i="2"/>
  <c r="AL191" i="22"/>
  <c r="O92" i="2"/>
  <c r="AK191" i="22"/>
  <c r="AK340" i="22"/>
  <c r="AJ44" i="22"/>
  <c r="AK348" i="22"/>
  <c r="AI191" i="22"/>
  <c r="AJ28" i="22"/>
  <c r="AI28" i="22"/>
  <c r="AJ339" i="22"/>
  <c r="AG339" i="22" s="1"/>
  <c r="S415" i="22"/>
  <c r="Q415" i="22" s="1"/>
  <c r="AM28" i="22"/>
  <c r="AL28" i="22"/>
  <c r="N20" i="2"/>
  <c r="AL7" i="22"/>
  <c r="AK339" i="22"/>
  <c r="AI7" i="22"/>
  <c r="S316" i="22"/>
  <c r="Q316" i="22" s="1"/>
  <c r="S168" i="22"/>
  <c r="AK168" i="22" s="1"/>
  <c r="S337" i="22"/>
  <c r="AL337" i="22" s="1"/>
  <c r="AJ66" i="22"/>
  <c r="AG66" i="22" s="1"/>
  <c r="AL164" i="22"/>
  <c r="AI164" i="22"/>
  <c r="AJ164" i="22"/>
  <c r="AF164" i="22" s="1"/>
  <c r="AI66" i="22"/>
  <c r="S81" i="22"/>
  <c r="Q81" i="22" s="1"/>
  <c r="S32" i="22"/>
  <c r="Q32" i="22" s="1"/>
  <c r="AG8" i="22"/>
  <c r="M9" i="2"/>
  <c r="O2" i="2"/>
  <c r="S73" i="22"/>
  <c r="AJ73" i="22" s="1"/>
  <c r="AC73" i="22" s="1"/>
  <c r="AF8" i="22"/>
  <c r="O18" i="2"/>
  <c r="AJ7" i="22"/>
  <c r="AG7" i="22" s="1"/>
  <c r="S195" i="22"/>
  <c r="Q195" i="22" s="1"/>
  <c r="M7" i="2"/>
  <c r="S74" i="22"/>
  <c r="O9" i="2"/>
  <c r="AQ69" i="2"/>
  <c r="M6" i="2"/>
  <c r="M10" i="2"/>
  <c r="S365" i="22"/>
  <c r="S75" i="22"/>
  <c r="S67" i="22"/>
  <c r="O19" i="2"/>
  <c r="S42" i="22"/>
  <c r="Q72" i="22"/>
  <c r="AL72" i="22"/>
  <c r="AJ72" i="22"/>
  <c r="AG72" i="22" s="1"/>
  <c r="AM72" i="22"/>
  <c r="AK72" i="22"/>
  <c r="AI72" i="22"/>
  <c r="S353" i="22"/>
  <c r="Q353" i="22" s="1"/>
  <c r="S309" i="22"/>
  <c r="Q309" i="22" s="1"/>
  <c r="S65" i="22"/>
  <c r="S105" i="22"/>
  <c r="AI105" i="22" s="1"/>
  <c r="O68" i="2"/>
  <c r="O6" i="2"/>
  <c r="S187" i="22"/>
  <c r="AI187" i="22" s="1"/>
  <c r="M68" i="2"/>
  <c r="AL310"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E348" i="22"/>
  <c r="AE76" i="22"/>
  <c r="AF76" i="22"/>
  <c r="AG76" i="22"/>
  <c r="AD76" i="22"/>
  <c r="AD80" i="22"/>
  <c r="AE80" i="22"/>
  <c r="AF80" i="22"/>
  <c r="AG80" i="22"/>
  <c r="AD351" i="22"/>
  <c r="AE351" i="22"/>
  <c r="AF351" i="22"/>
  <c r="AG351" i="22"/>
  <c r="AD167" i="22"/>
  <c r="AE167" i="22"/>
  <c r="AF167" i="22"/>
  <c r="AG167" i="22"/>
  <c r="AD166" i="22"/>
  <c r="AE166" i="22"/>
  <c r="AF166" i="22"/>
  <c r="AG166" i="22"/>
  <c r="AD62" i="22"/>
  <c r="AF62" i="22"/>
  <c r="AG62" i="22"/>
  <c r="AE62" i="22"/>
  <c r="AD61" i="22"/>
  <c r="AE61" i="22"/>
  <c r="AF61" i="22"/>
  <c r="AG61" i="22"/>
  <c r="AD306" i="22"/>
  <c r="AE306" i="22"/>
  <c r="AG306" i="22"/>
  <c r="AF306" i="22"/>
  <c r="AD312" i="22"/>
  <c r="AE312" i="22"/>
  <c r="AF312" i="22"/>
  <c r="AG312" i="22"/>
  <c r="AD40" i="22"/>
  <c r="AE40" i="22"/>
  <c r="AF40" i="22"/>
  <c r="AG40" i="22"/>
  <c r="AD334" i="22"/>
  <c r="AE334" i="22"/>
  <c r="AF334" i="22"/>
  <c r="AG334" i="22"/>
  <c r="AD39" i="22"/>
  <c r="AF39" i="22"/>
  <c r="AE39" i="22"/>
  <c r="AG39" i="22"/>
  <c r="AD70" i="22"/>
  <c r="AE70" i="22"/>
  <c r="AF70" i="22"/>
  <c r="AG70" i="22"/>
  <c r="AE414" i="22"/>
  <c r="AD414" i="22"/>
  <c r="AF414" i="22"/>
  <c r="AG414" i="22"/>
  <c r="AE349" i="22"/>
  <c r="AD349" i="22"/>
  <c r="AF349" i="22"/>
  <c r="AG349" i="22"/>
  <c r="AD101" i="22"/>
  <c r="AE101" i="22"/>
  <c r="AF101" i="22"/>
  <c r="AG101" i="22"/>
  <c r="AD305" i="22"/>
  <c r="AE305" i="22"/>
  <c r="AF305" i="22"/>
  <c r="AG305"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D339" i="22"/>
  <c r="AD31" i="22"/>
  <c r="AE31" i="22"/>
  <c r="AF31" i="22"/>
  <c r="AG31" i="22"/>
  <c r="AD64" i="22"/>
  <c r="AF64" i="22"/>
  <c r="AE64" i="22"/>
  <c r="AG64" i="22"/>
  <c r="AD412" i="22"/>
  <c r="AE412" i="22"/>
  <c r="AF412" i="22"/>
  <c r="AG412"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D194" i="22"/>
  <c r="AE194" i="22"/>
  <c r="AF194" i="22"/>
  <c r="AG194" i="22"/>
  <c r="AD154" i="22"/>
  <c r="AE154" i="22"/>
  <c r="AF154" i="22"/>
  <c r="AG154" i="22"/>
  <c r="AD46" i="22"/>
  <c r="AF46" i="22"/>
  <c r="AE46" i="22"/>
  <c r="AG46" i="22"/>
  <c r="AD29" i="22"/>
  <c r="AE29" i="22"/>
  <c r="AF29" i="22"/>
  <c r="AG29" i="22"/>
  <c r="AD54" i="22"/>
  <c r="AE54" i="22"/>
  <c r="AF54" i="22"/>
  <c r="AG54" i="22"/>
  <c r="AD79" i="22"/>
  <c r="AE79" i="22"/>
  <c r="AF79" i="22"/>
  <c r="AG79" i="22"/>
  <c r="AD184" i="22"/>
  <c r="AF184" i="22"/>
  <c r="AE184" i="22"/>
  <c r="AG184" i="22"/>
  <c r="AD191" i="22"/>
  <c r="AF191" i="22"/>
  <c r="AE191" i="22"/>
  <c r="AG191"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B415" i="22" s="1"/>
  <c r="AI168" i="22"/>
  <c r="AJ32" i="22"/>
  <c r="AB32" i="22" s="1"/>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T66" i="2" s="1"/>
  <c r="S69" i="2"/>
  <c r="T69" i="2" s="1"/>
  <c r="S78" i="2"/>
  <c r="T78" i="2" s="1"/>
  <c r="S63" i="2"/>
  <c r="T63" i="2" s="1"/>
  <c r="S60" i="2"/>
  <c r="S72" i="2"/>
  <c r="T72" i="2" s="1"/>
  <c r="S57" i="2"/>
  <c r="T57" i="2" s="1"/>
  <c r="S75" i="2"/>
  <c r="T75" i="2" s="1"/>
  <c r="T81" i="2"/>
  <c r="T60" i="2"/>
  <c r="AB313" i="22"/>
  <c r="AC313" i="22"/>
  <c r="AA313" i="22"/>
  <c r="AC196" i="22"/>
  <c r="AB196" i="22"/>
  <c r="AB296" i="22"/>
  <c r="AC296" i="22"/>
  <c r="AB403" i="22"/>
  <c r="AC403" i="22"/>
  <c r="AC115" i="22"/>
  <c r="AB115" i="22"/>
  <c r="AC23" i="22"/>
  <c r="AB23" i="22"/>
  <c r="AC87" i="22"/>
  <c r="AB87" i="22"/>
  <c r="AC54" i="22"/>
  <c r="AB54" i="22"/>
  <c r="AB7"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C348" i="22"/>
  <c r="AC110" i="22"/>
  <c r="AB110" i="22"/>
  <c r="AC84" i="22"/>
  <c r="AB84" i="22"/>
  <c r="AB338" i="22"/>
  <c r="AC338" i="22"/>
  <c r="AB304" i="22"/>
  <c r="AC304" i="22"/>
  <c r="AB307" i="22"/>
  <c r="AC307" i="22"/>
  <c r="AB226" i="22"/>
  <c r="AC226" i="22"/>
  <c r="AB412" i="22"/>
  <c r="AC412" i="22"/>
  <c r="AB103" i="22"/>
  <c r="AC103"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280" i="22"/>
  <c r="AC280" i="22"/>
  <c r="AC202" i="22"/>
  <c r="AB20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383" i="22"/>
  <c r="AC383" i="22"/>
  <c r="AB404" i="22"/>
  <c r="AC404" i="22"/>
  <c r="AB243" i="22"/>
  <c r="AC243" i="22"/>
  <c r="AC45" i="22"/>
  <c r="AB45" i="22"/>
  <c r="AC179" i="22"/>
  <c r="AB179" i="22"/>
  <c r="AB270" i="22"/>
  <c r="AC270"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308" i="22"/>
  <c r="AA294" i="22"/>
  <c r="AA114" i="22"/>
  <c r="AA374" i="22"/>
  <c r="AA363" i="22"/>
  <c r="AA242" i="22"/>
  <c r="AA92" i="22"/>
  <c r="AA47" i="22"/>
  <c r="AA159" i="22"/>
  <c r="AA239" i="22"/>
  <c r="AM343" i="22"/>
  <c r="AL343"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147" i="22"/>
  <c r="AA161" i="22"/>
  <c r="AM59" i="22"/>
  <c r="AL59"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54" i="22"/>
  <c r="AA103" i="22"/>
  <c r="AA30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340" i="22"/>
  <c r="AA104" i="22"/>
  <c r="AA347" i="22"/>
  <c r="AA375" i="22"/>
  <c r="AA111" i="22"/>
  <c r="AA377" i="22"/>
  <c r="AA151" i="22"/>
  <c r="AA88" i="22"/>
  <c r="AA62"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350"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B299" i="22" l="1"/>
  <c r="AA299" i="22"/>
  <c r="AD72" i="22"/>
  <c r="AK81" i="22"/>
  <c r="AB72" i="22"/>
  <c r="AC72" i="22"/>
  <c r="AF299" i="22"/>
  <c r="AG299" i="22"/>
  <c r="AE299" i="22"/>
  <c r="AC299" i="22"/>
  <c r="AH299" i="22" s="1"/>
  <c r="AR299" i="22" s="1"/>
  <c r="AA60" i="22"/>
  <c r="AJ168" i="22"/>
  <c r="AA168" i="22" s="1"/>
  <c r="AG60" i="22"/>
  <c r="AB348" i="22"/>
  <c r="AC60" i="22"/>
  <c r="AA348" i="22"/>
  <c r="AK32" i="22"/>
  <c r="AG348" i="22"/>
  <c r="AI32" i="22"/>
  <c r="AF348" i="22"/>
  <c r="AC310" i="22"/>
  <c r="AA164" i="22"/>
  <c r="AB164" i="22"/>
  <c r="AC164" i="22"/>
  <c r="AG164" i="22"/>
  <c r="AE164" i="22"/>
  <c r="AD164" i="22"/>
  <c r="AM310" i="22"/>
  <c r="AE7" i="22"/>
  <c r="AF339" i="22"/>
  <c r="AF7" i="22"/>
  <c r="AE72" i="22"/>
  <c r="AE339" i="22"/>
  <c r="AD7" i="22"/>
  <c r="AM81" i="22"/>
  <c r="AC7" i="22"/>
  <c r="AI81" i="22"/>
  <c r="AK316" i="22"/>
  <c r="AJ81" i="22"/>
  <c r="AA81" i="22" s="1"/>
  <c r="AI316" i="22"/>
  <c r="AJ316" i="22"/>
  <c r="AA316" i="22" s="1"/>
  <c r="AF72" i="22"/>
  <c r="AK73" i="22"/>
  <c r="AD66" i="22"/>
  <c r="AF66" i="22"/>
  <c r="AE66" i="22"/>
  <c r="Q337" i="22"/>
  <c r="AM337" i="22"/>
  <c r="Q168" i="22"/>
  <c r="AM168" i="22"/>
  <c r="AL81" i="22"/>
  <c r="AM32" i="22"/>
  <c r="AC415" i="22"/>
  <c r="AK195" i="22"/>
  <c r="AK105" i="22"/>
  <c r="AI195" i="22"/>
  <c r="AL309" i="22"/>
  <c r="AJ195" i="22"/>
  <c r="AA195" i="22" s="1"/>
  <c r="AI73" i="22"/>
  <c r="AK309" i="22"/>
  <c r="AL73" i="22"/>
  <c r="AL195" i="22"/>
  <c r="AI309" i="22"/>
  <c r="AM309" i="22"/>
  <c r="Q73" i="22"/>
  <c r="AM73" i="22"/>
  <c r="AJ309" i="22"/>
  <c r="AM195" i="22"/>
  <c r="Q74" i="22"/>
  <c r="AK74" i="22"/>
  <c r="AM74" i="22"/>
  <c r="AI74" i="22"/>
  <c r="AJ74" i="22"/>
  <c r="AL74" i="22"/>
  <c r="Q365" i="22"/>
  <c r="AM365" i="22"/>
  <c r="AL365" i="22"/>
  <c r="AI365" i="22"/>
  <c r="AJ365" i="22"/>
  <c r="AK365" i="22"/>
  <c r="AK353" i="22"/>
  <c r="AJ187" i="22"/>
  <c r="AF187" i="22" s="1"/>
  <c r="AK187" i="22"/>
  <c r="Q42" i="22"/>
  <c r="AJ42" i="22"/>
  <c r="AI42" i="22"/>
  <c r="AK42" i="22"/>
  <c r="AM42" i="22"/>
  <c r="AL42" i="22"/>
  <c r="Q67" i="22"/>
  <c r="AJ67" i="22"/>
  <c r="AI67" i="22"/>
  <c r="AK67" i="22"/>
  <c r="AM67" i="22"/>
  <c r="AL67" i="22"/>
  <c r="Q75" i="22"/>
  <c r="AJ75" i="22"/>
  <c r="AI75" i="22"/>
  <c r="AL75" i="22"/>
  <c r="AK75" i="22"/>
  <c r="AM75" i="22"/>
  <c r="AJ105" i="22"/>
  <c r="AM353" i="22"/>
  <c r="Q187" i="22"/>
  <c r="AM187" i="22"/>
  <c r="AL187" i="22"/>
  <c r="Q105" i="22"/>
  <c r="AM105" i="22"/>
  <c r="AL105" i="22"/>
  <c r="AL353" i="22"/>
  <c r="Q65" i="22"/>
  <c r="AL65" i="22"/>
  <c r="AJ65" i="22"/>
  <c r="AI65" i="22"/>
  <c r="AK65" i="22"/>
  <c r="AM65" i="22"/>
  <c r="AB310" i="22"/>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81" i="22"/>
  <c r="AH304" i="22"/>
  <c r="AQ304" i="22" s="1"/>
  <c r="AP304" i="22" s="1"/>
  <c r="AH350" i="22"/>
  <c r="AR350" i="22" s="1"/>
  <c r="AA48" i="22"/>
  <c r="AB48" i="22"/>
  <c r="AB49" i="22"/>
  <c r="AA49" i="22"/>
  <c r="AA51" i="22"/>
  <c r="AC168" i="22"/>
  <c r="AC51" i="22"/>
  <c r="AC49" i="22"/>
  <c r="AC32" i="22"/>
  <c r="AA32" i="22"/>
  <c r="AH416" i="22"/>
  <c r="AR416" i="22" s="1"/>
  <c r="AH156" i="22"/>
  <c r="AR156" i="22" s="1"/>
  <c r="AH278" i="22"/>
  <c r="AR278" i="22" s="1"/>
  <c r="AH101" i="22"/>
  <c r="AR101" i="22" s="1"/>
  <c r="AH97" i="22"/>
  <c r="AR97" i="22" s="1"/>
  <c r="AH378" i="22"/>
  <c r="AQ378" i="22" s="1"/>
  <c r="AP378" i="22" s="1"/>
  <c r="AH183" i="22"/>
  <c r="AR183" i="22" s="1"/>
  <c r="AH281" i="22"/>
  <c r="AR281" i="22" s="1"/>
  <c r="AH279" i="22"/>
  <c r="AR279" i="22" s="1"/>
  <c r="AH325" i="22"/>
  <c r="AQ325" i="22" s="1"/>
  <c r="AP325" i="22" s="1"/>
  <c r="AH34" i="22"/>
  <c r="AR34" i="22" s="1"/>
  <c r="AH100" i="22"/>
  <c r="AR100" i="22" s="1"/>
  <c r="AH177" i="22"/>
  <c r="AR177" i="22" s="1"/>
  <c r="AH199" i="22"/>
  <c r="AR199" i="22" s="1"/>
  <c r="AH179" i="22"/>
  <c r="AR179" i="22" s="1"/>
  <c r="AH385" i="22"/>
  <c r="AR385" i="22" s="1"/>
  <c r="AH171" i="22"/>
  <c r="AR171" i="22" s="1"/>
  <c r="AH223" i="22"/>
  <c r="AQ223" i="22" s="1"/>
  <c r="AP223" i="22" s="1"/>
  <c r="AH60" i="22"/>
  <c r="AR60" i="22" s="1"/>
  <c r="AH210" i="22"/>
  <c r="AR210" i="22" s="1"/>
  <c r="AH158" i="22"/>
  <c r="AQ158" i="22" s="1"/>
  <c r="AP158" i="22" s="1"/>
  <c r="AH125" i="22"/>
  <c r="AR125" i="22" s="1"/>
  <c r="AH203" i="22"/>
  <c r="AR203" i="22" s="1"/>
  <c r="AH388" i="22"/>
  <c r="AR388" i="22" s="1"/>
  <c r="AH274" i="22"/>
  <c r="AR274" i="22" s="1"/>
  <c r="AH375" i="22"/>
  <c r="AR375" i="22" s="1"/>
  <c r="AH197" i="22"/>
  <c r="AR197" i="22" s="1"/>
  <c r="AH137" i="22"/>
  <c r="AQ137" i="22" s="1"/>
  <c r="AP137" i="22" s="1"/>
  <c r="AH96" i="22"/>
  <c r="AQ96" i="22" s="1"/>
  <c r="AP96" i="22" s="1"/>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54" i="22"/>
  <c r="AQ54" i="22" s="1"/>
  <c r="AP54" i="22" s="1"/>
  <c r="AH23" i="22"/>
  <c r="AQ23" i="22" s="1"/>
  <c r="AP23" i="22" s="1"/>
  <c r="AH143" i="22"/>
  <c r="AR143" i="22" s="1"/>
  <c r="AH202" i="22"/>
  <c r="AQ202" i="22" s="1"/>
  <c r="AP202" i="22" s="1"/>
  <c r="AH222" i="22"/>
  <c r="AR222"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Q253" i="22" s="1"/>
  <c r="AP253" i="22" s="1"/>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191" i="22"/>
  <c r="AR191" i="22" s="1"/>
  <c r="AH154" i="22"/>
  <c r="AR154" i="22" s="1"/>
  <c r="AH77" i="22"/>
  <c r="AR77"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A52" i="22"/>
  <c r="AA58" i="22"/>
  <c r="AA343" i="22"/>
  <c r="AA311" i="22"/>
  <c r="AA341" i="22"/>
  <c r="AA9" i="22"/>
  <c r="AA69" i="22"/>
  <c r="AA59" i="22"/>
  <c r="AQ127" i="22"/>
  <c r="AP127" i="22" s="1"/>
  <c r="AA10" i="22"/>
  <c r="AR241" i="22"/>
  <c r="AA369" i="22"/>
  <c r="AA43" i="22"/>
  <c r="AA53" i="22"/>
  <c r="AA393" i="22"/>
  <c r="R75" i="2"/>
  <c r="L75" i="2" s="1"/>
  <c r="R72" i="2"/>
  <c r="L72" i="2" s="1"/>
  <c r="BL5" i="4"/>
  <c r="BK5" i="4"/>
  <c r="BJ5" i="4" s="1"/>
  <c r="BL4" i="4"/>
  <c r="BK4" i="4"/>
  <c r="BJ4" i="4" s="1"/>
  <c r="R57" i="2"/>
  <c r="R69" i="2"/>
  <c r="L69" i="2" s="1"/>
  <c r="BA3" i="4"/>
  <c r="AZ3" i="4"/>
  <c r="AZ5" i="4"/>
  <c r="BA5" i="4"/>
  <c r="R78" i="2"/>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L81" i="2" s="1"/>
  <c r="AH164" i="22" l="1"/>
  <c r="AQ164" i="22" s="1"/>
  <c r="AP164" i="22" s="1"/>
  <c r="AR253" i="22"/>
  <c r="AH7" i="22"/>
  <c r="AQ7" i="22" s="1"/>
  <c r="AP7" i="22" s="1"/>
  <c r="AH66" i="22"/>
  <c r="AR66" i="22" s="1"/>
  <c r="AR96" i="22"/>
  <c r="AQ37" i="22"/>
  <c r="AP37" i="22" s="1"/>
  <c r="AH72" i="22"/>
  <c r="AQ72" i="22" s="1"/>
  <c r="AP72" i="22" s="1"/>
  <c r="AQ416" i="22"/>
  <c r="AP416" i="22" s="1"/>
  <c r="AB195" i="22"/>
  <c r="AQ336" i="22"/>
  <c r="AP336" i="22" s="1"/>
  <c r="AR88" i="22"/>
  <c r="AR158" i="22"/>
  <c r="AR378" i="22"/>
  <c r="AQ279" i="22"/>
  <c r="AP279" i="22" s="1"/>
  <c r="AF195" i="22"/>
  <c r="AG195" i="22"/>
  <c r="AD195" i="22"/>
  <c r="AE195" i="22"/>
  <c r="AC195" i="22"/>
  <c r="AR394" i="22"/>
  <c r="AQ179" i="22"/>
  <c r="AP179" i="22" s="1"/>
  <c r="AR328" i="22"/>
  <c r="AF74" i="22"/>
  <c r="AB74" i="22"/>
  <c r="AG74" i="22"/>
  <c r="AC74" i="22"/>
  <c r="AA74" i="22"/>
  <c r="AD74" i="22"/>
  <c r="AE74" i="22"/>
  <c r="AD365" i="22"/>
  <c r="AE365" i="22"/>
  <c r="AF365" i="22"/>
  <c r="AA365" i="22"/>
  <c r="AG365" i="22"/>
  <c r="AB365" i="22"/>
  <c r="AC365" i="22"/>
  <c r="AF309" i="22"/>
  <c r="AB309" i="22"/>
  <c r="AG309" i="22"/>
  <c r="AC309" i="22"/>
  <c r="AA309" i="22"/>
  <c r="AE309" i="22"/>
  <c r="AD309" i="22"/>
  <c r="AE187" i="22"/>
  <c r="AC42" i="22"/>
  <c r="AD42" i="22"/>
  <c r="AE42" i="22"/>
  <c r="AF42" i="22"/>
  <c r="AG42" i="22"/>
  <c r="AA42" i="22"/>
  <c r="AB42" i="22"/>
  <c r="AG67" i="22"/>
  <c r="AC67" i="22"/>
  <c r="AE67" i="22"/>
  <c r="AA67" i="22"/>
  <c r="AD67" i="22"/>
  <c r="AF67" i="22"/>
  <c r="AB67" i="22"/>
  <c r="AD187" i="22"/>
  <c r="AG187" i="22"/>
  <c r="AC187" i="22"/>
  <c r="AB187" i="22"/>
  <c r="AA187" i="22"/>
  <c r="AE75" i="22"/>
  <c r="AD75" i="22"/>
  <c r="AA75" i="22"/>
  <c r="AF75" i="22"/>
  <c r="AC75" i="22"/>
  <c r="AG75" i="22"/>
  <c r="AB75" i="22"/>
  <c r="AE65" i="22"/>
  <c r="AD65" i="22"/>
  <c r="AF65" i="22"/>
  <c r="AG65" i="22"/>
  <c r="AA65" i="22"/>
  <c r="AC65" i="22"/>
  <c r="AB65" i="22"/>
  <c r="AE105" i="22"/>
  <c r="AD105" i="22"/>
  <c r="AB105" i="22"/>
  <c r="AF105" i="22"/>
  <c r="AC105" i="22"/>
  <c r="AG105" i="22"/>
  <c r="AA105" i="22"/>
  <c r="AQ94" i="22"/>
  <c r="AP94" i="22" s="1"/>
  <c r="AH310" i="22"/>
  <c r="AQ310" i="22" s="1"/>
  <c r="AP310" i="22" s="1"/>
  <c r="AR421" i="22"/>
  <c r="AQ21" i="22"/>
  <c r="AP21" i="22" s="1"/>
  <c r="AH73" i="22"/>
  <c r="AR73" i="22" s="1"/>
  <c r="AQ117" i="22"/>
  <c r="AP117" i="22" s="1"/>
  <c r="AR150" i="22"/>
  <c r="AQ283" i="22"/>
  <c r="AP283" i="22" s="1"/>
  <c r="AR290" i="22"/>
  <c r="AH337" i="22"/>
  <c r="AR337" i="22" s="1"/>
  <c r="AR304" i="22"/>
  <c r="AH353" i="22"/>
  <c r="AQ353" i="22" s="1"/>
  <c r="AP353" i="22" s="1"/>
  <c r="AH316" i="22"/>
  <c r="AR316" i="22" s="1"/>
  <c r="AR291" i="22"/>
  <c r="L57" i="2"/>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251" i="22"/>
  <c r="AP251"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2" i="22"/>
  <c r="AR76" i="22"/>
  <c r="AQ66" i="22"/>
  <c r="AP66" i="22" s="1"/>
  <c r="AQ340" i="22"/>
  <c r="AP340" i="22" s="1"/>
  <c r="AR178" i="22"/>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73" i="22" l="1"/>
  <c r="AP73" i="22" s="1"/>
  <c r="AR310" i="22"/>
  <c r="AH195" i="22"/>
  <c r="AQ195" i="22" s="1"/>
  <c r="AP195" i="22" s="1"/>
  <c r="AH365" i="22"/>
  <c r="AH75" i="22"/>
  <c r="AH74" i="22"/>
  <c r="AH309" i="22"/>
  <c r="AH42" i="22"/>
  <c r="AH187" i="22"/>
  <c r="AH67" i="22"/>
  <c r="AH105" i="22"/>
  <c r="AH65" i="22"/>
  <c r="AQ48" i="22"/>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R195" i="22" l="1"/>
  <c r="AR365" i="22"/>
  <c r="AQ365" i="22"/>
  <c r="AP365" i="22" s="1"/>
  <c r="AR75" i="22"/>
  <c r="AQ75" i="22"/>
  <c r="AP75" i="22" s="1"/>
  <c r="AR309" i="22"/>
  <c r="AQ309" i="22"/>
  <c r="AP309" i="22" s="1"/>
  <c r="AQ74" i="22"/>
  <c r="AP74" i="22" s="1"/>
  <c r="AR74" i="22"/>
  <c r="AR187" i="22"/>
  <c r="AQ187" i="22"/>
  <c r="AP187" i="22" s="1"/>
  <c r="AR67" i="22"/>
  <c r="AQ67" i="22"/>
  <c r="AP67" i="22" s="1"/>
  <c r="AR42" i="22"/>
  <c r="AQ42" i="22"/>
  <c r="AP42" i="22" s="1"/>
  <c r="AR105" i="22"/>
  <c r="AQ105" i="22"/>
  <c r="AP105" i="22" s="1"/>
  <c r="AR65" i="22"/>
  <c r="AQ65" i="22"/>
  <c r="AP65" i="22" s="1"/>
  <c r="AU2" i="4"/>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<sst xmlns="http://schemas.openxmlformats.org/spreadsheetml/2006/main" count="6633" uniqueCount="2039">
  <si>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</si>
  <si>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</si>
  <si>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</si>
  <si>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</si>
  <si>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</si>
  <si>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</si>
  <si>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</si>
  <si>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</si>
  <si>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</si>
  <si>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</si>
  <si>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</si>
  <si>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</si>
  <si>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</si>
  <si>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</si>
  <si>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</si>
  <si>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</si>
  <si>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</si>
  <si>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</si>
  <si>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</si>
  <si>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</si>
  <si>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</si>
  <si>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</si>
  <si>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</si>
  <si>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</si>
  <si>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</si>
  <si>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</si>
  <si>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</si>
  <si>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</si>
  <si>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</si>
  <si>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</si>
  <si>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</si>
  <si>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</si>
  <si>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</si>
  <si>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</si>
  <si>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</si>
  <si>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</si>
  <si>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</si>
  <si>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</si>
  <si>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</si>
  <si>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</si>
  <si>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</si>
  <si>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</si>
  <si>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</si>
  <si>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</si>
  <si>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</si>
  <si>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</si>
  <si>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</si>
  <si>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</si>
  <si>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</si>
  <si>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</si>
  <si>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</si>
  <si>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</si>
  <si>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</si>
  <si>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</si>
  <si>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</si>
  <si>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</si>
  <si>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</si>
  <si>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</si>
  <si>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</si>
  <si>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</si>
  <si>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</si>
  <si>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</si>
  <si>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</si>
  <si>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</si>
  <si>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</si>
  <si>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</si>
  <si>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</si>
  <si>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</si>
  <si>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</si>
  <si>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</si>
  <si>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</si>
  <si>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</si>
  <si>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</si>
  <si>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</si>
  <si>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</si>
  <si>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</si>
  <si>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</si>
  <si>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</si>
  <si>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</si>
  <si>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</si>
  <si>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</si>
  <si>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</si>
  <si>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</si>
  <si>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</si>
  <si>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</si>
  <si>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</si>
  <si>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</si>
  <si>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</si>
  <si>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</si>
  <si>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</si>
  <si>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</si>
  <si>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</si>
  <si>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</si>
  <si>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</si>
  <si>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</si>
  <si>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</si>
  <si>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</si>
  <si>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</si>
  <si>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</si>
  <si>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</si>
  <si>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</si>
  <si>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</si>
  <si>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</si>
  <si>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</si>
  <si>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</si>
  <si>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</si>
  <si>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</si>
  <si>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</si>
  <si>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</si>
  <si>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</si>
  <si>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</si>
  <si>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</si>
  <si>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</si>
  <si>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</si>
  <si>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</si>
  <si>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</si>
  <si>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</si>
  <si>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</si>
  <si>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</si>
  <si>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</si>
  <si>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</si>
  <si>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</si>
  <si>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</si>
  <si>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</si>
  <si>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</si>
  <si>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</si>
  <si>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</si>
  <si>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</si>
  <si>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</si>
  <si>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</si>
  <si>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</si>
  <si>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</si>
  <si>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</si>
  <si>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</si>
  <si>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</si>
  <si>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</si>
  <si>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</si>
  <si>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</si>
  <si>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</si>
  <si>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</si>
  <si>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</si>
  <si>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</si>
  <si>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</si>
  <si>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</si>
  <si>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</si>
  <si>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</si>
  <si>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</si>
  <si>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</si>
  <si>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</si>
  <si>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</si>
  <si>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</si>
  <si>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</si>
  <si>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</si>
  <si>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</si>
  <si>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</si>
  <si>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</si>
  <si>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</si>
  <si>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</si>
  <si>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</si>
  <si>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</si>
  <si>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</si>
  <si>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</si>
  <si>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</si>
  <si>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</si>
  <si>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</si>
  <si>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</si>
  <si>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</si>
  <si>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</si>
  <si>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</si>
  <si>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</si>
  <si>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</si>
  <si>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</si>
  <si>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</si>
  <si>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</si>
  <si>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</si>
  <si>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</si>
  <si>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</si>
  <si>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</si>
  <si>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</si>
  <si>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</si>
  <si>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</si>
  <si>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</si>
  <si>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</si>
  <si>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</si>
  <si>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</si>
  <si>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</si>
  <si>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</si>
  <si>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</si>
  <si>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</si>
  <si>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</si>
  <si>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</si>
  <si>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</si>
  <si>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</si>
  <si>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</si>
  <si>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</si>
  <si>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</si>
  <si>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</si>
  <si>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</si>
  <si>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</si>
  <si>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</si>
  <si>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</si>
  <si>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</si>
  <si>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</si>
  <si>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</si>
  <si>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</si>
  <si>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</si>
  <si>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</si>
  <si>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</si>
  <si>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</si>
  <si>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</si>
  <si>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</si>
  <si>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</si>
  <si>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</si>
  <si>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</si>
  <si>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</si>
  <si>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</si>
  <si>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</si>
  <si>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</si>
  <si>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</si>
  <si>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</si>
  <si>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</si>
  <si>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</si>
  <si>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</si>
  <si>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</si>
  <si>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</si>
  <si>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</si>
  <si>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</si>
  <si>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</si>
  <si>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</si>
  <si>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</si>
  <si>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</si>
  <si>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</si>
  <si>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</si>
  <si>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</si>
  <si>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</si>
  <si>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</si>
  <si>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</si>
  <si>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</si>
  <si>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</si>
  <si>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</si>
  <si>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</si>
  <si>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</si>
  <si>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</si>
  <si>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</si>
  <si>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</si>
  <si>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</si>
  <si>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</si>
  <si>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</si>
  <si>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</si>
  <si>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</si>
  <si>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</si>
  <si>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</si>
  <si>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</si>
  <si>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</si>
  <si>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</si>
  <si>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</si>
  <si>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</si>
  <si>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</si>
  <si>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</si>
  <si>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</si>
  <si>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</si>
  <si>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</si>
  <si>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</si>
  <si>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</si>
  <si>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</si>
  <si>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</si>
  <si>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</si>
  <si>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</si>
  <si>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</si>
  <si>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</si>
  <si>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</si>
  <si>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</si>
  <si>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</si>
  <si>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</si>
  <si>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</si>
  <si>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</si>
  <si>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</si>
  <si>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</si>
  <si>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</si>
  <si>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</si>
  <si>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</si>
  <si>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</si>
  <si>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</si>
  <si>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</si>
  <si>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</si>
  <si>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</si>
  <si>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</si>
  <si>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</si>
  <si>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</si>
  <si>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</si>
  <si>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</si>
  <si>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</si>
  <si>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</si>
  <si>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</si>
  <si>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</si>
  <si>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</si>
  <si>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</si>
  <si>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</si>
  <si>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</si>
  <si>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</si>
  <si>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</si>
  <si>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</si>
  <si>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</si>
  <si>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</si>
  <si>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</si>
  <si>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</si>
  <si>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</si>
  <si>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</si>
  <si>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</si>
  <si>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</si>
  <si>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</si>
  <si>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</si>
  <si>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</si>
  <si>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</si>
  <si>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</si>
  <si>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</si>
  <si>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</si>
  <si>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</si>
  <si>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</si>
  <si>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</si>
  <si>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</si>
  <si>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</si>
  <si>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</si>
  <si>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</si>
  <si>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</si>
  <si>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</si>
  <si>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</si>
  <si>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</si>
  <si>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</si>
  <si>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</si>
  <si>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</si>
  <si>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</si>
  <si>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</si>
  <si>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</si>
  <si>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</si>
  <si>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</si>
  <si>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</si>
  <si>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</si>
  <si>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</si>
  <si>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</si>
  <si>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</si>
  <si>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</si>
  <si>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</si>
  <si>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</si>
  <si>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</si>
  <si>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</si>
  <si>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</si>
  <si>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</si>
  <si>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</si>
  <si>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</si>
  <si>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</si>
  <si>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</si>
  <si>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</si>
  <si>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</si>
  <si>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</si>
  <si>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</si>
  <si>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</si>
  <si>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</si>
  <si>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</si>
  <si>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</si>
  <si>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</si>
  <si>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</si>
  <si>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</si>
  <si>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</si>
  <si>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</si>
  <si>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</si>
  <si>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</si>
  <si>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</si>
  <si>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</si>
  <si>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</si>
  <si>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</si>
  <si>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</si>
  <si>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</si>
  <si>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</si>
  <si>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</si>
  <si>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</si>
  <si>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</si>
  <si>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</si>
  <si>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</si>
  <si>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</si>
  <si>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</si>
  <si>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</si>
  <si>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</si>
  <si>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</si>
  <si>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</si>
  <si>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</si>
  <si>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</si>
  <si>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</si>
  <si>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</si>
  <si>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</si>
  <si>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</si>
  <si>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</si>
  <si>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</si>
  <si>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</si>
  <si>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</si>
  <si>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</si>
  <si>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</si>
  <si>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</si>
  <si>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</si>
  <si>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</si>
  <si>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</si>
  <si>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</si>
  <si>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</si>
  <si>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</si>
  <si>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</si>
  <si>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</si>
  <si>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</si>
  <si>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</si>
  <si>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</si>
  <si>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</si>
  <si>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</si>
  <si>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</si>
  <si>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</si>
  <si>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</si>
  <si>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</si>
  <si>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</si>
  <si>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</si>
  <si>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</si>
  <si>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</si>
  <si>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</si>
  <si>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</si>
  <si>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</si>
  <si>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</si>
  <si>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</si>
  <si>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</si>
  <si>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</si>
  <si>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</si>
  <si>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</si>
  <si>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</si>
  <si>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</si>
  <si>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</si>
  <si>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</si>
  <si>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</si>
  <si>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</si>
  <si>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</si>
  <si>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</si>
  <si>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</si>
  <si>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</si>
  <si>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</si>
  <si>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</si>
  <si>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</si>
  <si>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</si>
  <si>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</si>
  <si>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</si>
  <si>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</si>
  <si>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</si>
  <si>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</si>
  <si>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</si>
  <si>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</si>
  <si>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</si>
  <si>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</si>
  <si>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</si>
  <si>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</si>
  <si>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</si>
  <si>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</si>
  <si>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</si>
  <si>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</si>
  <si>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</si>
  <si>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</si>
  <si>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</si>
  <si>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</si>
  <si>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</si>
  <si>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</si>
  <si>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</si>
  <si>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</si>
  <si>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</si>
  <si>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</si>
  <si>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</si>
  <si>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</si>
  <si>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</si>
  <si>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</si>
  <si>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</si>
  <si>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</si>
  <si>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</si>
  <si>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</si>
  <si>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</si>
  <si>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</si>
  <si>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</si>
  <si>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</si>
  <si>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</si>
  <si>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</si>
  <si>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</si>
  <si>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</si>
  <si>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</si>
  <si>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</si>
  <si>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</si>
  <si>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</si>
  <si>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</si>
  <si>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</si>
  <si>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</si>
  <si>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</si>
  <si>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</si>
  <si>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</si>
  <si>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</si>
  <si>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</si>
  <si>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</si>
  <si>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</si>
  <si>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</si>
  <si>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</si>
  <si>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</si>
  <si>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</si>
  <si>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</si>
  <si>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</si>
  <si>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</si>
  <si>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</si>
  <si>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</si>
  <si>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</si>
  <si>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</si>
  <si>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</si>
  <si>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</si>
  <si>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</si>
  <si>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</si>
  <si>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</si>
  <si>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</si>
  <si>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</si>
  <si>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</si>
  <si>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</si>
  <si>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</si>
  <si>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</si>
  <si>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</si>
  <si>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</si>
  <si>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</si>
  <si>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</si>
  <si>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</si>
  <si>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</si>
  <si>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</si>
  <si>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</si>
  <si>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</si>
  <si>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</si>
  <si>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</si>
  <si>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</si>
  <si>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</si>
  <si>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</si>
  <si>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</si>
  <si>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</si>
  <si>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</si>
  <si>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</si>
  <si>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</si>
  <si>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</si>
  <si>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</si>
  <si>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</si>
  <si>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</si>
  <si>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</si>
  <si>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</si>
  <si>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</si>
  <si>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</si>
  <si>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</si>
  <si>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</si>
  <si>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</si>
  <si>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</si>
  <si>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</si>
  <si>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</si>
  <si>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</si>
  <si>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</si>
  <si>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</si>
  <si>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</si>
  <si>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</si>
  <si>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</si>
  <si>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</si>
  <si>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</si>
  <si>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</si>
  <si>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</si>
  <si>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</si>
  <si>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</si>
  <si>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</si>
  <si>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</si>
  <si>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</si>
  <si>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</si>
  <si>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</si>
  <si>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</si>
  <si>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</si>
  <si>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</si>
  <si>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</si>
  <si>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</si>
  <si>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</si>
  <si>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</si>
  <si>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</si>
  <si>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</si>
  <si>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</si>
  <si>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</si>
  <si>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</si>
  <si>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</si>
  <si>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</si>
  <si>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</si>
  <si>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</si>
  <si>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</si>
  <si>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</si>
  <si>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</si>
  <si>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</si>
  <si>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</si>
  <si>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</si>
  <si>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</si>
  <si>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</si>
  <si>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</si>
  <si>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</si>
  <si>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</si>
  <si>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</si>
  <si>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</si>
  <si>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</si>
  <si>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</si>
  <si>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</si>
  <si>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</si>
  <si>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</si>
  <si>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</si>
  <si>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</si>
  <si>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</si>
  <si>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</si>
  <si>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</si>
  <si>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</si>
  <si>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</si>
  <si>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</si>
  <si>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</si>
  <si>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</si>
  <si>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</si>
  <si>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</si>
  <si>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</si>
  <si>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</si>
  <si>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</si>
  <si>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</si>
  <si>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</si>
  <si>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</si>
  <si>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</si>
  <si>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</si>
  <si>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</si>
  <si>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</si>
  <si>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</si>
  <si>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</si>
  <si>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</si>
  <si>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</si>
  <si>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</si>
  <si>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</si>
  <si>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</si>
  <si>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</si>
  <si>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</si>
  <si>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</si>
  <si>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</si>
  <si>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</si>
  <si>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</si>
  <si>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</si>
  <si>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</si>
  <si>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</si>
  <si>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</si>
  <si>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</si>
  <si>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</si>
  <si>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</si>
  <si>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</si>
  <si>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</si>
  <si>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</si>
  <si>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</si>
  <si>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</si>
  <si>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</si>
  <si>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</si>
  <si>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</si>
  <si>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</si>
  <si>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</si>
  <si>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</si>
  <si>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</si>
  <si>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</si>
  <si>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</si>
  <si>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</si>
  <si>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</si>
  <si>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</si>
  <si>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</si>
  <si>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</si>
  <si>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</si>
  <si>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</si>
  <si>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</si>
  <si>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</si>
  <si>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</si>
  <si>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</si>
  <si>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</si>
  <si>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</si>
  <si>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</si>
  <si>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</si>
  <si>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</si>
  <si>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</si>
  <si>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</si>
  <si>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</si>
  <si>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</si>
  <si>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</si>
  <si>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</si>
  <si>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</si>
  <si>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</si>
  <si>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</si>
  <si>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</si>
  <si>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</si>
  <si>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</si>
  <si>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</si>
  <si>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</si>
  <si>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</si>
  <si>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</si>
  <si>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</si>
  <si>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</si>
  <si>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</si>
  <si>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</si>
  <si>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</si>
  <si>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</si>
  <si>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</si>
  <si>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</si>
  <si>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</si>
  <si>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</si>
  <si>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</si>
  <si>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</si>
  <si>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</si>
  <si>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</si>
  <si>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</si>
  <si>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</si>
  <si>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</si>
  <si>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</si>
  <si>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</si>
  <si>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</si>
  <si>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</si>
  <si>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</si>
  <si>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</si>
  <si>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</si>
  <si>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</si>
  <si>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</si>
  <si>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</si>
  <si>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</si>
  <si>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</si>
  <si>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</si>
  <si>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</si>
  <si>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</si>
  <si>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</si>
  <si>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</si>
  <si>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</si>
  <si>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</si>
  <si>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</si>
  <si>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</si>
  <si>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</si>
  <si>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</si>
  <si>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</si>
  <si>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</si>
  <si>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</si>
  <si>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</si>
  <si>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</si>
  <si>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</si>
  <si>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</si>
  <si>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</si>
  <si>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</si>
  <si>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</si>
  <si>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</si>
  <si>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</si>
  <si>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</si>
  <si>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</si>
  <si>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</si>
  <si>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</si>
  <si>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</si>
  <si>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</si>
  <si>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</si>
  <si>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</si>
  <si>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</si>
  <si>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</si>
  <si>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</si>
  <si>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</si>
  <si>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</si>
  <si>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</si>
  <si>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</si>
  <si>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</si>
  <si>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</si>
  <si>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</si>
  <si>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</si>
  <si>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</si>
  <si>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</si>
  <si>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</si>
  <si>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</si>
  <si>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</si>
  <si>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</si>
  <si>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</si>
  <si>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</si>
  <si>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</si>
  <si>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</si>
  <si>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</si>
  <si>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</si>
  <si>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</si>
  <si>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</si>
  <si>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</si>
  <si>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</si>
  <si>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</si>
  <si>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</si>
  <si>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</si>
  <si>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</si>
  <si>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</si>
  <si>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</si>
  <si>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</si>
  <si>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</si>
  <si>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</si>
  <si>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</si>
  <si>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</si>
  <si>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</si>
  <si>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</si>
  <si>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</si>
  <si>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</si>
  <si>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</si>
  <si>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</si>
  <si>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</si>
  <si>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</si>
  <si>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</si>
  <si>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</si>
  <si>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</si>
  <si>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</si>
  <si>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</si>
  <si>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</si>
  <si>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</si>
  <si>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</si>
  <si>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</si>
  <si>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</si>
  <si>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</si>
  <si>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</si>
  <si>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</si>
  <si>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</si>
  <si>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</si>
  <si>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</si>
  <si>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</si>
  <si>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</si>
  <si>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</si>
  <si>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</si>
  <si>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</si>
  <si>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</si>
  <si>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</si>
  <si>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</si>
  <si>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</si>
  <si>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</si>
  <si>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</si>
  <si>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</si>
  <si>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</si>
  <si>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</si>
  <si>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</si>
  <si>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</si>
  <si>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</si>
  <si>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</si>
  <si>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</si>
  <si>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</si>
  <si>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</si>
  <si>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</si>
  <si>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</si>
  <si>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</si>
  <si>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</si>
  <si>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</si>
  <si>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</si>
  <si>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</si>
  <si>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</si>
  <si>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</si>
  <si>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</si>
  <si>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</si>
  <si>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</si>
  <si>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</si>
  <si>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</si>
  <si>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</si>
  <si>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</si>
  <si>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</si>
  <si>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</si>
  <si>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</si>
  <si>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</si>
  <si>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</si>
  <si>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</si>
  <si>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</si>
  <si>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</si>
  <si>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</si>
  <si>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</si>
  <si>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</si>
  <si>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</si>
  <si>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</si>
  <si>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</si>
  <si>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</si>
  <si>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</si>
  <si>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</si>
  <si>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</si>
  <si>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</si>
  <si>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</si>
  <si>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</si>
  <si>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</si>
  <si>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</si>
  <si>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</si>
  <si>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</si>
  <si>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</si>
  <si>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</si>
  <si>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</si>
  <si>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</si>
  <si>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</si>
  <si>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</si>
  <si>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</si>
  <si>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</si>
  <si>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</si>
  <si>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</si>
  <si>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</si>
  <si>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</si>
  <si>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</si>
  <si>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</si>
  <si>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</si>
  <si>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</si>
  <si>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</si>
  <si>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</si>
  <si>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</si>
  <si>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</si>
  <si>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</si>
  <si>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</si>
  <si>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</si>
  <si>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</si>
  <si>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</si>
  <si>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</si>
  <si>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</si>
  <si>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</si>
  <si>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</si>
  <si>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</si>
  <si>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</si>
  <si>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</si>
  <si>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</si>
  <si>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</si>
  <si>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</si>
  <si>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</si>
  <si>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</si>
  <si>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</si>
  <si>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</si>
  <si>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</si>
  <si>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</si>
  <si>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</si>
  <si>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</si>
  <si>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</si>
  <si>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</si>
  <si>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</si>
  <si>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</si>
  <si>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</si>
  <si>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</si>
  <si>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</si>
  <si>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</si>
  <si>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</si>
  <si>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</si>
  <si>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</si>
  <si>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</si>
  <si>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</si>
  <si>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</si>
  <si>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</si>
  <si>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</si>
  <si>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</si>
  <si>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</si>
  <si>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</si>
  <si>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</si>
  <si>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</si>
  <si>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</si>
  <si>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</si>
  <si>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</si>
  <si>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</si>
  <si>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</si>
  <si>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</si>
  <si>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</si>
  <si>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</si>
  <si>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</si>
  <si>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</si>
  <si>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</si>
  <si>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</si>
  <si>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</si>
  <si>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</si>
  <si>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</si>
  <si>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</si>
  <si>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</si>
  <si>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</si>
  <si>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</si>
  <si>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</si>
  <si>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</si>
  <si>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</si>
  <si>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</si>
  <si>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</si>
  <si>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</si>
  <si>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</si>
  <si>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</si>
  <si>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</si>
  <si>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</si>
  <si>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</si>
  <si>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</si>
  <si>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</si>
  <si>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</si>
  <si>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</si>
  <si>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</si>
  <si>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</si>
  <si>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</si>
  <si>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</si>
  <si>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</si>
  <si>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</si>
  <si>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</si>
  <si>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</si>
  <si>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</si>
  <si>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</si>
  <si>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</si>
  <si>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</si>
  <si>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</si>
  <si>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</si>
  <si>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</si>
  <si>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</si>
  <si>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</si>
  <si>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</si>
  <si>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</si>
  <si>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</si>
  <si>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</si>
  <si>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</si>
  <si>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</si>
  <si>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</si>
  <si>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</si>
  <si>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</si>
  <si>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</si>
  <si>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</si>
  <si>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</si>
  <si>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</si>
  <si>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</si>
  <si>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</si>
  <si>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</si>
  <si>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</si>
  <si>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</si>
  <si>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</si>
  <si>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</si>
  <si>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</si>
  <si>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</si>
  <si>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</si>
  <si>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</si>
  <si>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</si>
  <si>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</si>
  <si>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</si>
  <si>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</si>
  <si>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</si>
  <si>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</si>
  <si>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</si>
  <si>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</si>
  <si>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</si>
  <si>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</si>
  <si>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</si>
  <si>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</si>
  <si>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</si>
  <si>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</si>
  <si>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</si>
  <si>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</si>
  <si>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</si>
  <si>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</si>
  <si>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</si>
  <si>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</si>
  <si>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</si>
  <si>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</si>
  <si>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</si>
  <si>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</si>
  <si>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</si>
  <si>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</si>
  <si>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</si>
  <si>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</si>
  <si>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</si>
  <si>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</si>
  <si>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</si>
  <si>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</si>
  <si>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</si>
  <si>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</si>
  <si>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</si>
  <si>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</si>
  <si>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</si>
  <si>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</si>
  <si>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</si>
  <si>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</si>
  <si>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</si>
  <si>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</si>
  <si>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</si>
  <si>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</si>
  <si>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</si>
  <si>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</si>
  <si>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</si>
  <si>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</si>
  <si>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</si>
  <si>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</si>
  <si>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</si>
  <si>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</si>
  <si>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</si>
  <si>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</si>
  <si>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</si>
  <si>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</si>
  <si>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</si>
  <si>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</si>
  <si>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</si>
  <si>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</si>
  <si>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</si>
  <si>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</si>
  <si>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</si>
  <si>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</si>
  <si>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</si>
  <si>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</si>
  <si>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</si>
  <si>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</si>
  <si>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</si>
  <si>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</si>
  <si>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</si>
  <si>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</si>
  <si>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</si>
  <si>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</si>
  <si>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</si>
  <si>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</si>
  <si>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</si>
  <si>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</si>
  <si>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</si>
  <si>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</si>
  <si>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</si>
  <si>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</si>
  <si>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</si>
  <si>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</si>
  <si>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</si>
  <si>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</si>
  <si>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</si>
  <si>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</si>
  <si>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</si>
  <si>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</si>
  <si>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</si>
  <si>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</si>
  <si>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</si>
  <si>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</si>
  <si>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</si>
  <si>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</si>
  <si>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</si>
  <si>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</si>
  <si>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</si>
  <si>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</si>
  <si>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</si>
  <si>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</si>
  <si>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</si>
  <si>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</si>
  <si>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</si>
  <si>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</si>
  <si>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</si>
  <si>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</si>
  <si>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</si>
  <si>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</si>
  <si>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</si>
  <si>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</si>
  <si>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</si>
  <si>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</si>
  <si>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</si>
  <si>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</si>
  <si>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</si>
  <si>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</si>
  <si>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</si>
  <si>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</si>
  <si>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</si>
  <si>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</si>
  <si>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</si>
  <si>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</si>
  <si>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</si>
  <si>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</si>
  <si>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</si>
  <si>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</si>
  <si>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</si>
  <si>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</si>
  <si>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</si>
  <si>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</si>
  <si>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</si>
  <si>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</si>
  <si>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</si>
  <si>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</si>
  <si>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</si>
  <si>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</si>
  <si>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</si>
  <si>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</si>
  <si>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</si>
  <si>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</si>
  <si>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</si>
  <si>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</si>
  <si>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</si>
  <si>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</si>
  <si>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</si>
  <si>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</si>
  <si>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</si>
  <si>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</si>
  <si>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</si>
  <si>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</si>
  <si>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</si>
  <si>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</si>
  <si>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</si>
  <si>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</si>
  <si>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</si>
  <si>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</si>
  <si>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</si>
  <si>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</si>
  <si>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</si>
  <si>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</si>
  <si>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</si>
  <si>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</si>
  <si>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</si>
  <si>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</si>
  <si>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</si>
  <si>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</si>
  <si>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</si>
  <si>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</si>
  <si>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</si>
  <si>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</si>
  <si>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</si>
  <si>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</si>
  <si>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</si>
  <si>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</si>
  <si>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</si>
  <si>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</si>
  <si>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</si>
  <si>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</si>
  <si>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</si>
  <si>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</si>
  <si>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</si>
  <si>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</si>
  <si>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</si>
  <si>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</si>
  <si>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</si>
  <si>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</si>
  <si>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</si>
  <si>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</si>
  <si>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</si>
  <si>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</si>
  <si>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</si>
  <si>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</si>
  <si>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</si>
  <si>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</si>
  <si>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</si>
  <si>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</si>
  <si>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</si>
  <si>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</si>
  <si>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</si>
  <si>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</si>
  <si>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</si>
  <si>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</si>
  <si>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</si>
  <si>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</si>
  <si>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</si>
  <si>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</si>
  <si>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</si>
  <si>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</si>
  <si>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</si>
  <si>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</si>
  <si>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</si>
  <si>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</si>
  <si>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</si>
  <si>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</si>
  <si>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</si>
  <si>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</si>
  <si>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</si>
  <si>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</si>
  <si>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</si>
  <si>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</si>
  <si>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</si>
  <si>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</si>
  <si>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</si>
  <si>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</si>
  <si>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</si>
  <si>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</si>
  <si>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</si>
  <si>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</si>
  <si>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</si>
  <si>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</si>
  <si>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</si>
  <si>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</si>
  <si>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</si>
  <si>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</si>
  <si>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</si>
  <si>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</si>
  <si>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</si>
  <si>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</si>
  <si>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</si>
  <si>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</si>
  <si>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</si>
  <si>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</si>
  <si>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</si>
  <si>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</si>
  <si>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</si>
  <si>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</si>
  <si>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</si>
  <si>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</si>
  <si>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</si>
  <si>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</si>
  <si>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</si>
  <si>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</si>
  <si>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</si>
  <si>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</si>
  <si>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</si>
  <si>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</si>
  <si>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</si>
  <si>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</si>
  <si>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</si>
  <si>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</si>
  <si>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</si>
  <si>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</si>
  <si>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</si>
  <si>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</si>
  <si>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</si>
  <si>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</si>
  <si>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</si>
  <si>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</si>
  <si>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</si>
  <si>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</si>
  <si>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</si>
  <si>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</si>
  <si>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</si>
  <si>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</si>
  <si>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</si>
  <si>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</si>
  <si>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</si>
  <si>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</si>
  <si>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</si>
  <si>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</si>
  <si>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</si>
  <si>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</si>
  <si>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</si>
  <si>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</si>
  <si>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</si>
  <si>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</si>
  <si>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</si>
  <si>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</si>
  <si>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</si>
  <si>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</si>
  <si>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</si>
  <si>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</si>
  <si>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</si>
  <si>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</si>
  <si>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</si>
  <si>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</si>
  <si>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</si>
  <si>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</si>
  <si>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</si>
  <si>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</si>
  <si>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</si>
  <si>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</si>
  <si>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</si>
  <si>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</si>
  <si>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</si>
  <si>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</si>
  <si>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</si>
  <si>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</si>
  <si>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</si>
  <si>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</si>
  <si>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</si>
  <si>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</si>
  <si>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</si>
  <si>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</si>
  <si>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</si>
  <si>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</si>
  <si>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</si>
  <si>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</si>
  <si>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</si>
  <si>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</si>
  <si>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</si>
  <si>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</si>
  <si>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</si>
  <si>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</si>
  <si>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</si>
  <si>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</si>
  <si>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</si>
  <si>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</si>
  <si>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</si>
  <si>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</si>
  <si>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</si>
  <si>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</si>
  <si>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</si>
  <si>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</si>
  <si>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</si>
  <si>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</si>
  <si>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</si>
  <si>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</si>
  <si>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</si>
  <si>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</si>
  <si>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</si>
  <si>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</si>
  <si>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</si>
  <si>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</si>
  <si>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</si>
  <si>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</si>
  <si>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</si>
  <si>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</si>
  <si>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</si>
  <si>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</si>
  <si>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</si>
  <si>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</si>
  <si>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</si>
  <si>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</si>
  <si>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</si>
  <si>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</si>
  <si>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</si>
  <si>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</si>
  <si>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</si>
  <si>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</si>
  <si>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</si>
  <si>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</si>
  <si>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</si>
  <si>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</si>
  <si>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</si>
  <si>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</si>
  <si>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</si>
  <si>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</si>
  <si>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</si>
  <si>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</si>
  <si>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</si>
  <si>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</si>
  <si>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</si>
  <si>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</si>
  <si>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</si>
  <si>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</si>
  <si>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</si>
  <si>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</si>
  <si>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</si>
  <si>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</si>
  <si>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</si>
  <si>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</si>
  <si>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</si>
  <si>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</si>
  <si>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</si>
  <si>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</si>
  <si>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</si>
  <si>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</si>
  <si>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</si>
  <si>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</si>
  <si>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</si>
  <si>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</si>
  <si>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</si>
  <si>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</si>
  <si>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</si>
  <si>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</si>
  <si>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</si>
  <si>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</si>
  <si>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</si>
  <si>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</si>
  <si>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</si>
  <si>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</si>
  <si>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</si>
  <si>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</si>
  <si>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</si>
  <si>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</si>
  <si>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</si>
  <si>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</si>
  <si>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</si>
  <si>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</si>
  <si>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</si>
  <si>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</si>
  <si>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</si>
  <si>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</si>
  <si>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</si>
  <si>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</si>
  <si>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</si>
  <si>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</si>
  <si>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</si>
  <si>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</si>
  <si>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</si>
  <si>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</si>
  <si>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</si>
  <si>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</si>
  <si>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</si>
  <si>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</si>
  <si>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</si>
  <si>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</si>
  <si>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</si>
  <si>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</si>
  <si>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</si>
  <si>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</si>
  <si>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</si>
  <si>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</si>
  <si>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</si>
  <si>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</si>
  <si>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</si>
  <si>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</si>
  <si>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</si>
  <si>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</si>
  <si>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</si>
  <si>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</si>
  <si>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</si>
  <si>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</si>
  <si>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</si>
  <si>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</si>
  <si>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</si>
  <si>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</si>
  <si>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</si>
  <si>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</si>
  <si>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</si>
  <si>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</si>
  <si>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</si>
  <si>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</si>
  <si>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</si>
  <si>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</si>
  <si>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</si>
  <si>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</si>
  <si>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</si>
  <si>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</si>
  <si>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</si>
  <si>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</si>
  <si>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</si>
  <si>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</si>
  <si>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</si>
  <si>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</si>
  <si>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</si>
  <si>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</si>
  <si>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</si>
  <si>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</si>
  <si>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</si>
  <si>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</si>
  <si>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</si>
  <si>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</si>
  <si>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</si>
  <si>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</si>
  <si>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</si>
  <si>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</si>
  <si>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</si>
  <si>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</si>
  <si>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</si>
  <si>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</si>
  <si>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</si>
  <si>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</si>
  <si>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</si>
  <si>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</si>
  <si>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</si>
  <si>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</si>
  <si>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</si>
  <si>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</si>
  <si>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</si>
  <si>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</si>
  <si>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</si>
  <si>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</si>
  <si>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</si>
  <si>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</si>
  <si>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</si>
  <si>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</si>
  <si>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</si>
  <si>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</si>
  <si>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</si>
  <si>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</si>
  <si>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</si>
  <si>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</si>
  <si>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</si>
  <si>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</si>
  <si>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</si>
  <si>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</si>
  <si>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</si>
  <si>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</si>
  <si>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</si>
  <si>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</si>
  <si>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</si>
  <si>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</si>
  <si>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</si>
  <si>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</si>
  <si>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</si>
  <si>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</si>
  <si>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</si>
  <si>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</si>
  <si>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</si>
  <si>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</si>
  <si>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</si>
  <si>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</si>
  <si>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</si>
  <si>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</si>
  <si>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</si>
  <si>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</si>
  <si>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</si>
  <si>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</si>
  <si>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</si>
  <si>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</si>
  <si>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</si>
  <si>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</si>
  <si>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</si>
  <si>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</si>
  <si>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</si>
  <si>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</si>
  <si>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</si>
  <si>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</si>
  <si>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</si>
  <si>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</si>
  <si>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</si>
  <si>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</si>
  <si>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</si>
  <si>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</si>
  <si>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</si>
  <si>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</si>
  <si>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</si>
  <si>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</si>
  <si>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</si>
  <si>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</si>
  <si>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</si>
  <si>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</si>
  <si>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</si>
  <si>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</si>
  <si>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</si>
  <si>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</si>
  <si>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</si>
  <si>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</si>
  <si>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</si>
  <si>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</si>
  <si>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</si>
  <si>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</si>
  <si>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</si>
  <si>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</si>
  <si>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</si>
  <si>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</si>
  <si>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</si>
  <si>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</si>
  <si>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</si>
  <si>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</si>
  <si>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</si>
  <si>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</si>
  <si>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</si>
  <si>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</si>
  <si>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</si>
  <si>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</si>
  <si>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</si>
  <si>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</si>
  <si>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</si>
  <si>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</si>
  <si>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</si>
  <si>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</si>
  <si>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</si>
  <si>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</si>
  <si>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</si>
  <si>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</si>
  <si>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</si>
  <si>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</si>
  <si>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</si>
  <si>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</si>
  <si>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</si>
  <si>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</si>
  <si>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</si>
  <si>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</si>
  <si>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</si>
  <si>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</si>
  <si>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</si>
  <si>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</si>
  <si>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</si>
  <si>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</si>
  <si>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</si>
  <si>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</si>
  <si>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</si>
  <si>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</si>
  <si>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</si>
  <si>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</si>
  <si>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</si>
  <si>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</si>
  <si>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</si>
  <si>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</si>
  <si>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</si>
  <si>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</si>
  <si>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</si>
  <si>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</si>
  <si>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</si>
  <si>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</si>
  <si>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</si>
  <si>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</si>
  <si>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</si>
  <si>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</si>
  <si>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</si>
  <si>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</si>
  <si>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</si>
  <si>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</si>
  <si>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</si>
  <si>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</si>
  <si>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</si>
  <si>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</si>
  <si>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</si>
  <si>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</si>
  <si>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</si>
  <si>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</si>
  <si>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</si>
  <si>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</si>
  <si>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</si>
  <si>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</si>
  <si>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</si>
  <si>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</si>
  <si>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</si>
  <si>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</si>
  <si>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</si>
  <si>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</si>
  <si>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</si>
  <si>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</si>
  <si>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</si>
  <si>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</si>
  <si>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</si>
  <si>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</si>
  <si>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</si>
  <si>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</si>
  <si>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</si>
  <si>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</si>
  <si>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</si>
  <si>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</si>
  <si>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</si>
  <si>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</si>
  <si>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</si>
  <si>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</si>
  <si>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</si>
  <si>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</si>
  <si>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</si>
  <si>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</si>
  <si>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</si>
  <si>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</si>
  <si>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</si>
  <si>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</si>
  <si>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</si>
  <si>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</si>
  <si>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</si>
  <si>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</si>
  <si>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</si>
  <si>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</si>
  <si>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</si>
  <si>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</si>
  <si>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</si>
  <si>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</si>
  <si>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</si>
  <si>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</si>
  <si>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</si>
  <si>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</si>
  <si>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</si>
  <si>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</si>
  <si>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</si>
  <si>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</si>
  <si>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</si>
  <si>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</si>
  <si>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</si>
  <si>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</si>
  <si>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</si>
  <si>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</si>
  <si>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</si>
  <si>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</si>
  <si>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</si>
  <si>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</si>
  <si>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</si>
  <si>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</si>
  <si>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</si>
  <si>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</si>
  <si>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</si>
  <si>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</si>
  <si>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</si>
  <si>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</si>
  <si>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</si>
  <si>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</si>
  <si>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</si>
  <si>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</si>
  <si>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</si>
  <si>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</si>
  <si>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</si>
  <si>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</si>
  <si>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</si>
  <si>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</si>
  <si>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</si>
  <si>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</si>
  <si>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</si>
  <si>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</si>
  <si>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</si>
  <si>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</si>
  <si>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</si>
  <si>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</si>
  <si>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</si>
  <si>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</si>
  <si>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</si>
  <si>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</si>
  <si>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</si>
  <si>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</si>
  <si>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</si>
  <si>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</si>
  <si>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</si>
  <si>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</si>
  <si>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</si>
  <si>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</si>
  <si>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</si>
  <si>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</si>
  <si>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</si>
  <si>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</si>
  <si>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</si>
  <si>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</si>
  <si>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</si>
  <si>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</si>
  <si>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</si>
  <si>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</si>
  <si>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</si>
  <si>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</si>
  <si>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</si>
  <si>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</si>
  <si>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</si>
  <si>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</si>
  <si>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</si>
  <si>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</si>
  <si>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</si>
  <si>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</si>
  <si>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</si>
  <si>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</si>
  <si>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</si>
  <si>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</si>
  <si>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</si>
  <si>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</si>
  <si>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</si>
  <si>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</si>
  <si>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</si>
  <si>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</si>
  <si>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</si>
  <si>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</si>
  <si>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</si>
  <si>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</si>
  <si>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</si>
  <si>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</si>
  <si>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</si>
  <si>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</si>
  <si>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</si>
  <si>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</si>
  <si>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</si>
  <si>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</si>
  <si>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</si>
  <si>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</si>
  <si>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</si>
  <si>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</si>
  <si>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</si>
  <si>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</si>
  <si>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</si>
  <si>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</si>
  <si>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</si>
  <si>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</si>
  <si>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</si>
  <si>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</si>
  <si>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</si>
  <si>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</si>
  <si>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</si>
  <si>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</si>
  <si>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</si>
  <si>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</si>
  <si>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</si>
  <si>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</si>
  <si>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</si>
  <si>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</si>
  <si>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</si>
  <si>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</si>
  <si>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</si>
  <si>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</si>
  <si>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</si>
  <si>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</si>
  <si>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</si>
  <si>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</si>
  <si>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</si>
  <si>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</si>
  <si>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</si>
  <si>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</si>
  <si>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</si>
  <si>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</si>
  <si>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</si>
  <si>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</si>
  <si>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</si>
  <si>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</si>
  <si>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</si>
  <si>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</si>
  <si>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</si>
  <si>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</si>
  <si>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</si>
  <si>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</si>
  <si>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</si>
  <si>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</si>
  <si>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</si>
  <si>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</si>
  <si>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</si>
  <si>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</si>
  <si>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</si>
  <si>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</si>
  <si>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</si>
  <si>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</si>
  <si>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</si>
  <si>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</si>
  <si>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</si>
  <si>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</si>
  <si>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</si>
  <si>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</si>
  <si>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</si>
  <si>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</si>
  <si>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</si>
  <si>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</si>
  <si>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</si>
  <si>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</si>
  <si>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</si>
  <si>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</si>
  <si>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</si>
  <si>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</si>
  <si>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</si>
  <si>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</si>
  <si>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</si>
  <si>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</si>
  <si>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</si>
  <si>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</si>
  <si>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</si>
  <si>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</si>
  <si>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</si>
  <si>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</si>
  <si>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</si>
  <si>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</si>
  <si>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</si>
  <si>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</si>
  <si>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</si>
  <si>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</si>
  <si>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</si>
  <si>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</si>
  <si>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</si>
  <si>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</si>
  <si>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</si>
  <si>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</si>
  <si>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</si>
  <si>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</si>
  <si>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</si>
  <si>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</si>
  <si>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</si>
  <si>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</si>
  <si>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</si>
  <si>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</si>
  <si>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</si>
  <si>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</si>
  <si>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</si>
  <si>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</si>
  <si>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</si>
  <si>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</si>
  <si>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</si>
  <si>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</si>
  <si>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</si>
  <si>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</si>
  <si>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</si>
  <si>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</si>
  <si>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</si>
  <si>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</si>
  <si>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</si>
  <si>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</si>
  <si>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</si>
  <si>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</si>
  <si>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</si>
  <si>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</si>
  <si>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</si>
  <si>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</si>
  <si>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</si>
  <si>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</si>
  <si>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</si>
  <si>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</si>
  <si>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</si>
  <si>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</si>
  <si>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</si>
  <si>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</si>
  <si>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</si>
  <si>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</si>
  <si>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</si>
  <si>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</si>
  <si>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</si>
  <si>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</si>
  <si>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</si>
  <si>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</si>
  <si>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</si>
  <si>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</si>
  <si>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</si>
  <si>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</si>
  <si>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</si>
  <si>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</si>
  <si>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</si>
  <si>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</si>
  <si>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</si>
  <si>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</si>
  <si>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</si>
  <si>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</si>
  <si>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</si>
  <si>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</si>
  <si>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</si>
  <si>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</si>
  <si>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</si>
  <si>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</si>
  <si>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</si>
  <si>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</si>
  <si>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</si>
  <si>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</si>
  <si>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</si>
  <si>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</si>
  <si>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</si>
  <si>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</si>
  <si>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</si>
  <si>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</si>
  <si>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</si>
  <si>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</si>
  <si>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</si>
  <si>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</si>
  <si>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</si>
  <si>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</si>
  <si>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</si>
  <si>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</si>
  <si>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</si>
  <si>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</si>
  <si>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</si>
  <si>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</si>
  <si>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</si>
  <si>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</si>
  <si>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</si>
  <si>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</si>
  <si>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</si>
  <si>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</si>
  <si>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</si>
  <si>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</si>
  <si>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</si>
  <si>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</si>
  <si>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</si>
  <si>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</si>
  <si>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</si>
  <si>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</si>
  <si>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</si>
  <si>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</si>
  <si>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</si>
  <si>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</si>
  <si>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</si>
  <si>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</si>
  <si>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</si>
  <si>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</si>
  <si>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</si>
  <si>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</si>
  <si>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</si>
  <si>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</si>
  <si>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</si>
  <si>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</si>
  <si>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</si>
  <si>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</si>
  <si>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</si>
  <si>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</si>
  <si>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</si>
  <si>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</si>
  <si>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</si>
  <si>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</si>
  <si>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</si>
  <si>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</si>
  <si>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</si>
  <si>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</si>
  <si>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</si>
  <si>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</si>
  <si>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</si>
  <si>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</si>
  <si>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</si>
  <si>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</si>
  <si>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</si>
  <si>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</si>
  <si>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</si>
  <si>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</si>
  <si>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</si>
  <si>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</si>
  <si>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</si>
  <si>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</si>
  <si>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</si>
  <si>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</si>
  <si>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</si>
  <si>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</si>
  <si>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</si>
  <si>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</si>
  <si>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</si>
  <si>
    <t>v.04</t>
  </si>
  <si>
    <t>v7.05</t>
  </si>
  <si>
    <t>o delivered first time through github veri.git</t>
  </si>
  <si>
    <t>v8.01</t>
  </si>
  <si>
    <t>o reformatting one formula</t>
  </si>
  <si>
    <t>v8.02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</si>
</sst>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ont>
        <color rgb="FF006100"/>
      </font>
      <fill>
        <patternFill>
          <bgColor rgb="FFC6EFCE"/>
        </patternFill>
      </fill>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FF0000"/>
      </font>
    </dxf>
    <dxf>
      <font>
        <color rgb="FFFF0000"/>
      </font>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408" dataDxfId="407">
  <autoFilter ref="A1:G205" xr:uid="{562156AB-9B91-4FBB-9F02-9ABD0880D2F6}"/>
  <tableColumns count="7">
    <tableColumn id="1" xr3:uid="{BB2F4ADE-0D7D-4D13-912E-019FF7FF1AC6}" name="ID" dataDxfId="406"/>
    <tableColumn id="2" xr3:uid="{4A9AE7E1-8A7F-4300-A4E7-67FEAA60EAD9}" name="Kind:src" dataDxfId="405"/>
    <tableColumn id="3" xr3:uid="{4F54C0D4-4738-45F0-B498-B1D619E2BADA}" name="Kind" dataDxfId="404"/>
    <tableColumn id="4" xr3:uid="{C9BCC81A-225C-47C8-A413-44BEF397C333}" name="Package" dataDxfId="403"/>
    <tableColumn id="5" xr3:uid="{121AA17D-7A8E-4175-BD7D-33619E5912CF}" name="Sub Package" dataDxfId="402"/>
    <tableColumn id="6" xr3:uid="{FAD13CD6-D7EE-4E24-AA68-06BF359A6D24}" name="Line" dataDxfId="401"/>
    <tableColumn id="7" xr3:uid="{3FFF7657-D193-472C-B840-B1279D9BE850}" name="Snippet"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7" dataDxfId="365" headerRowBorderDxfId="366" tableBorderDxfId="364" totalsRowBorderDxfId="363">
  <autoFilter ref="A1:BE422" xr:uid="{00000000-0009-0000-0100-00000E000000}"/>
  <tableColumns count="57">
    <tableColumn id="1" xr3:uid="{00000000-0010-0000-0400-000001000000}" name="ID" dataDxfId="362"/>
    <tableColumn id="49" xr3:uid="{6E72B505-24D7-4338-9A65-D70EFDFFC57B}" name="Kind:src" dataDxfId="361"/>
    <tableColumn id="3" xr3:uid="{00000000-0010-0000-0400-000003000000}" name="Kind" dataDxfId="36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59">
      <calculatedColumnFormula>IF(meta_Columns[[#This Row],[Owning Table:src]]="","",INDEX(meta_Classifiers[Package],MATCH(meta_Columns[[#This Row],[Owning Table Instances Class]],meta_Classifiers[ID],0)))</calculatedColumnFormula>
    </tableColumn>
    <tableColumn id="5" xr3:uid="{00000000-0010-0000-0400-000005000000}" name="Sub Package" dataDxfId="358"/>
    <tableColumn id="14" xr3:uid="{00000000-0010-0000-0400-00000E000000}" name="_Tables" dataDxfId="357">
      <calculatedColumnFormula>INDEX(meta_Tables[Excel Table - Excel Name],MATCH(meta_Columns[[#This Row],[Owning Table:src]],meta_Tables[ID],0))</calculatedColumnFormula>
    </tableColumn>
    <tableColumn id="10" xr3:uid="{00000000-0010-0000-0400-00000A000000}" name="Owning Table Instances Class" dataDxfId="356">
      <calculatedColumnFormula>INDEX(meta_Tables[Instances Class:src],MATCH(meta_Columns[[#This Row],[Owning Table:src]],meta_Tables[ID],0))</calculatedColumnFormula>
    </tableColumn>
    <tableColumn id="40" xr3:uid="{C54BA0C1-D44D-4CFE-B1CA-3F830A4C1A66}" name="Owning Table:src" dataDxfId="355"/>
    <tableColumn id="9" xr3:uid="{00000000-0010-0000-0400-000009000000}" name="Owning Table" dataDxfId="35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3"/>
    <tableColumn id="45" xr3:uid="{B2BC55F0-4617-47EF-A1AE-AA473E4D6E63}" name="Referenced Table" dataDxfId="35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1"/>
    <tableColumn id="41" xr3:uid="{B2C65460-A4E0-A340-BFA4-E6287331A5B3}" name="Referenced Table Display and Select Column" dataDxfId="350"/>
    <tableColumn id="52" xr3:uid="{2BF52C4F-C41A-48F9-A0B1-82565B174F58}" name="Changeable" dataDxfId="349">
      <calculatedColumnFormula>IF(meta_Columns[[#This Row],[Excel Column - Excel Formula]]="","x","")</calculatedColumnFormula>
    </tableColumn>
    <tableColumn id="55" xr3:uid="{2BE28D52-EA0C-469A-B592-F2C9E6B6F804}" name="Excel Column - Name Prefix" dataDxfId="348"/>
    <tableColumn id="56" xr3:uid="{A1AFBA24-E5F8-4960-925A-492F12DA3C5C}" name="Referenced Table Instance Class Name" dataDxfId="34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5"/>
    <tableColumn id="22" xr3:uid="{00000000-0010-0000-0400-000016000000}" name="Property" dataDxfId="34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3"/>
    <tableColumn id="13" xr3:uid="{00000000-0010-0000-0400-00000D000000}" name="Generalization 6" dataDxfId="342">
      <calculatedColumnFormula>INDEX(meta_Classifiers[Class - Generalization:src], MATCH(meta_Columns[[#This Row],[Generalization 5]],meta_Classifiers[ID],0))</calculatedColumnFormula>
    </tableColumn>
    <tableColumn id="29" xr3:uid="{00000000-0010-0000-0400-00001D000000}" name="Generalization 5" dataDxfId="341">
      <calculatedColumnFormula>INDEX(meta_Classifiers[Class - Generalization:src], MATCH(meta_Columns[[#This Row],[Generalization 4]],meta_Classifiers[ID],0))</calculatedColumnFormula>
    </tableColumn>
    <tableColumn id="28" xr3:uid="{00000000-0010-0000-0400-00001C000000}" name="Generalization 4" dataDxfId="340">
      <calculatedColumnFormula>INDEX(meta_Classifiers[Class - Generalization:src], MATCH(meta_Columns[[#This Row],[Generalization 3]],meta_Classifiers[ID],0))</calculatedColumnFormula>
    </tableColumn>
    <tableColumn id="21" xr3:uid="{00000000-0010-0000-0400-000015000000}" name="Generalization 3" dataDxfId="339">
      <calculatedColumnFormula>INDEX(meta_Classifiers[Class - Generalization:src], MATCH(meta_Columns[[#This Row],[Generalization 2]],meta_Classifiers[ID],0))</calculatedColumnFormula>
    </tableColumn>
    <tableColumn id="20" xr3:uid="{00000000-0010-0000-0400-000014000000}" name="Generalization 2" dataDxfId="338">
      <calculatedColumnFormula>INDEX(meta_Classifiers[Class - Generalization:src], MATCH(meta_Columns[[#This Row],[Generalization 1]],meta_Classifiers[ID],0))</calculatedColumnFormula>
    </tableColumn>
    <tableColumn id="16" xr3:uid="{00000000-0010-0000-0400-000010000000}" name="Generalization 1" dataDxfId="33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2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7">
      <calculatedColumnFormula>INDEX(meta_TypedModelElements[Property - Owning Class:src],MATCH(meta_Columns[[#This Row],[Property]],meta_TypedModelElements[ID],0))</calculatedColumnFormula>
    </tableColumn>
    <tableColumn id="12" xr3:uid="{00000000-0010-0000-0400-00000C000000}" name="Property Kind" dataDxfId="326">
      <calculatedColumnFormula>INDEX(meta_TypedModelElements[Kind:src],MATCH(meta_Columns[[#This Row],[Property]],meta_TypedModelElements[ID],0))</calculatedColumnFormula>
    </tableColumn>
    <tableColumn id="19" xr3:uid="{00000000-0010-0000-0400-000013000000}" name="Property Name" dataDxfId="325">
      <calculatedColumnFormula>INDEX(meta_TypedModelElements[Name or Type],MATCH(meta_Columns[[#This Row],[Property]],meta_TypedModelElements[ID],0))</calculatedColumnFormula>
    </tableColumn>
    <tableColumn id="27" xr3:uid="{00000000-0010-0000-0400-00001B000000}" name="Property Changeable" dataDxfId="324">
      <calculatedColumnFormula>INDEX(meta_TypedModelElements[Property - Changeable],MATCH(meta_Columns[[#This Row],[Property]],meta_TypedModelElements[ID],0))</calculatedColumnFormula>
    </tableColumn>
    <tableColumn id="7" xr3:uid="{00000000-0010-0000-0400-000007000000}" name="Position" dataDxfId="323"/>
    <tableColumn id="37" xr3:uid="{00000000-0010-0000-0400-000025000000}" name="Stored Column Position" dataDxfId="322"/>
    <tableColumn id="18" xr3:uid="{00000000-0010-0000-0400-000012000000}" name="Excel Column - Label from Property or Referenced Table" dataDxfId="32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1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3"/>
    <tableColumn id="46" xr3:uid="{72F9B8E6-EC9A-4F83-89CF-8F88F28F6218}" name="Display Qualified" dataDxfId="312">
      <calculatedColumnFormula>meta_Columns[[#This Row],[Owning Table]]&amp;"."&amp;meta_Columns[[#This Row],[Excel Column - Label]]</calculatedColumnFormula>
    </tableColumn>
    <tableColumn id="8" xr3:uid="{00000000-0010-0000-0400-000008000000}" name="Excel Column - Label Overwrite" dataDxfId="311"/>
    <tableColumn id="17" xr3:uid="{00000000-0010-0000-0400-000011000000}" name="Excel Column - Label" dataDxfId="310">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09"/>
    <tableColumn id="39" xr3:uid="{00000000-0010-0000-0400-000027000000}" name="Excel Column - Excel Formula" dataDxfId="308">
      <calculatedColumnFormula>IF(meta_Columns[[#This Row],[Excel Column - Explicit Excel Formula]]="","",meta_Columns[[#This Row],[Excel Column - Explicit Excel Formula]])</calculatedColumnFormula>
    </tableColumn>
    <tableColumn id="57" xr3:uid="{C2776EE3-610F-C044-84D9-D4ECD4E36C59}" name="Excel Column - Validation Formula" dataDxfId="307"/>
    <tableColumn id="2" xr3:uid="{C6EC425D-35C3-094D-B676-8DF67F65D351}" name="Excel Column - String Type" dataDxfId="30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2" dataDxfId="301">
  <autoFilter ref="A1:J157" xr:uid="{7CD077CE-2522-E54B-8795-DD96B8910310}"/>
  <sortState xmlns:xlrd2="http://schemas.microsoft.com/office/spreadsheetml/2017/richdata2" ref="A2:J2">
    <sortCondition ref="B1:B2"/>
  </sortState>
  <tableColumns count="10">
    <tableColumn id="1" xr3:uid="{039C78D3-8B0F-A241-97FA-094A8046FF0F}" name="ID" dataDxfId="300"/>
    <tableColumn id="2" xr3:uid="{0AD79BEA-8662-8647-AAEF-78F179AB323F}" name="String" dataDxfId="299"/>
    <tableColumn id="3" xr3:uid="{CAA01845-91A3-F149-8742-D365F2921AC7}" name="Business" dataDxfId="298"/>
    <tableColumn id="4" xr3:uid="{C501D843-BE84-B84F-835C-B89F00987244}" name="Camel Upper" dataDxfId="297"/>
    <tableColumn id="5" xr3:uid="{EA94684F-8CB1-4D46-9F91-EEEEB67CE87D}" name="Camel Lower" dataDxfId="296"/>
    <tableColumn id="6" xr3:uid="{349D27A8-7D60-234A-854F-27A2BE2BA59E}" name="Business from Camel" dataDxfId="295"/>
    <tableColumn id="7" xr3:uid="{A3A5C058-B556-A842-AA1C-9CAEFA6CD30B}" name="Camel Upper from Business" dataDxfId="294"/>
    <tableColumn id="8" xr3:uid="{B32416A6-067A-0848-AE3B-CFE4CFA6A267}" name="Camel Lower from Business" dataDxfId="293"/>
    <tableColumn id="9" xr3:uid="{E6DD6C77-BEDD-7845-AE35-F805A41CAFF4}" name="Business =_x000a_Business from Camel" dataDxfId="292">
      <calculatedColumnFormula>meta_Names[[#This Row],[Business]]=meta_Names[[#This Row],[Business from Camel]]</calculatedColumnFormula>
    </tableColumn>
    <tableColumn id="10" xr3:uid="{48C49937-9D72-4E0D-BFD6-B4417D2170FD}" name="Business =_x000a_String" dataDxfId="291">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0" dataDxfId="288" headerRowBorderDxfId="289">
  <autoFilter ref="A2:S65" xr:uid="{00000000-0009-0000-0100-000002000000}">
    <filterColumn colId="10">
      <filters>
        <filter val="Package"/>
        <filter val="Package Documentation"/>
      </filters>
    </filterColumn>
  </autoFilter>
  <tableColumns count="19">
    <tableColumn id="1" xr3:uid="{00000000-0010-0000-0100-000001000000}" name="ID" dataDxfId="287"/>
    <tableColumn id="18" xr3:uid="{2BE72F52-E16A-4A6E-B454-1FDF1FC0AC76}" name="Kind:src" dataDxfId="286"/>
    <tableColumn id="3" xr3:uid="{00000000-0010-0000-0100-000003000000}" name="Kind" dataDxfId="285">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4"/>
    <tableColumn id="6" xr3:uid="{00000000-0010-0000-0100-000006000000}" name="Package" dataDxfId="283"/>
    <tableColumn id="11" xr3:uid="{00000000-0010-0000-0100-00000B000000}" name="Sub Package" dataDxfId="282"/>
    <tableColumn id="8" xr3:uid="{00000000-0010-0000-0100-000008000000}" name="Display Qualified" dataDxfId="281">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0">
      <calculatedColumnFormula>IF(TRIM(meta_Classifiers[[#This Row],[Package]])="","",TRIM(LOWER(meta_Classifiers[[#This Row],[Package]]))&amp;"::")&amp;meta_Classifiers[[#This Row],[Display]]</calculatedColumnFormula>
    </tableColumn>
    <tableColumn id="4" xr3:uid="{1F96AF77-F561-498C-83C6-97508193393F}" name="Class Display Qualified" dataDxfId="279">
      <calculatedColumnFormula>IF(meta_Classifiers[[#This Row],[Kind:src]]="_Class",meta_Classifiers[[#This Row],[Display Qualified]],"")</calculatedColumnFormula>
    </tableColumn>
    <tableColumn id="7" xr3:uid="{00000000-0010-0000-0100-000007000000}" name="Display" dataDxfId="278">
      <calculatedColumnFormula array="1">_xlfn.IFNA(INDEX(meta_Names[Camel Upper], MATCH(meta_Classifiers[[#This Row],[Name]],meta_Names[String],0)),camelCaseUpper(meta_Classifiers[[#This Row],[Name]]))</calculatedColumnFormula>
    </tableColumn>
    <tableColumn id="2" xr3:uid="{00000000-0010-0000-0100-000002000000}" name="Name" dataDxfId="277"/>
    <tableColumn id="10" xr3:uid="{00000000-0010-0000-0100-00000A000000}" name="Class - Abstract" dataDxfId="276"/>
    <tableColumn id="19" xr3:uid="{ED60A2E8-F17C-4073-BE76-82B6FA2B86D4}" name="Class - Generalization:src" dataDxfId="275"/>
    <tableColumn id="9" xr3:uid="{00000000-0010-0000-0100-000009000000}" name="Class - Generalization" dataDxfId="274">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3"/>
    <tableColumn id="15" xr3:uid="{67827286-A0CE-49AE-BFD2-FA4C08880A6B}" name="Class - Display Property:src" dataDxfId="272"/>
    <tableColumn id="13" xr3:uid="{FBD4F397-3D8C-4243-AF74-B11E28814CC7}" name="Class - Display Property" dataDxfId="271">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0">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69" dataDxfId="267" headerRowBorderDxfId="268">
  <autoFilter ref="A1:BK100" xr:uid="{00000000-0009-0000-0100-000003000000}"/>
  <tableColumns count="63">
    <tableColumn id="1" xr3:uid="{00000000-0010-0000-0200-000001000000}" name="ID" dataDxfId="266"/>
    <tableColumn id="60" xr3:uid="{22C14872-E9C6-4C69-AABF-C7FE84BF94C5}" name="Kind:src" dataDxfId="265"/>
    <tableColumn id="3" xr3:uid="{00000000-0010-0000-0200-000003000000}" name="Kind" dataDxfId="264">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3"/>
    <tableColumn id="9" xr3:uid="{00000000-0010-0000-0200-000009000000}" name="Package" dataDxfId="262"/>
    <tableColumn id="49" xr3:uid="{00000000-0010-0000-0200-000031000000}" name="Sub Package" dataDxfId="261"/>
    <tableColumn id="20" xr3:uid="{00000000-0010-0000-0200-000014000000}" name="Containing Class" dataDxfId="260">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59">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58"/>
    <tableColumn id="4" xr3:uid="{00000000-0010-0000-0200-000004000000}" name="Property - Owning Class" dataDxfId="257">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56">
      <calculatedColumnFormula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calculatedColumnFormula>
    </tableColumn>
    <tableColumn id="61" xr3:uid="{4A6FCA08-96F4-4D00-8533-79D4A5CE90B4}" name="Function Display Qualified" dataDxfId="255">
      <calculatedColumnFormula>IF(meta_TypedModelElements[[#This Row],[Kind:src]]="_Function",meta_TypedModelElements[[#This Row],[Display Qualified]],"")</calculatedColumnFormula>
    </tableColumn>
    <tableColumn id="14" xr3:uid="{A39D399D-CE9B-4CED-B0F2-EA4D1F04D511}" name="Attribute Display Qualified" dataDxfId="254">
      <calculatedColumnFormula>IF(meta_TypedModelElements[[#This Row],[Kind:src]]="_Attribute",meta_TypedModelElements[[#This Row],[Display Qualified]],"")</calculatedColumnFormula>
    </tableColumn>
    <tableColumn id="10" xr3:uid="{23E6FB92-8780-4BD5-95CD-5EB986F257A6}" name="Reference Display Qualified" dataDxfId="253">
      <calculatedColumnFormula>IF(meta_TypedModelElements[[#This Row],[Kind:src]]="_Reference",meta_TypedModelElements[[#This Row],[Display Qualified]],"")</calculatedColumnFormula>
    </tableColumn>
    <tableColumn id="67" xr3:uid="{592AD66C-C5D3-4B92-8A96-534BF43FB8E8}" name="Property Display Qualified" dataDxfId="252">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1"/>
    <tableColumn id="46" xr3:uid="{00000000-0010-0000-0200-00002E000000}" name="Function - Parameters in VBA Header" dataDxfId="250"/>
    <tableColumn id="13" xr3:uid="{00000000-0010-0000-0200-00000D000000}" name="Display" dataDxfId="249">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48">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47">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46">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5"/>
    <tableColumn id="35" xr3:uid="{00000000-0010-0000-0200-000023000000}" name="Type Super Type 7" dataDxfId="244">
      <calculatedColumnFormula>INDEX(meta_Classifiers[Class - Generalization:src],MATCH(meta_TypedModelElements[[#This Row],[Type Super Type 6]],meta_Classifiers[ID],0))</calculatedColumnFormula>
    </tableColumn>
    <tableColumn id="34" xr3:uid="{00000000-0010-0000-0200-000022000000}" name="Type Super Type 6" dataDxfId="243">
      <calculatedColumnFormula>INDEX(meta_Classifiers[Class - Generalization:src],MATCH(meta_TypedModelElements[[#This Row],[Type Super Type 5]],meta_Classifiers[ID],0))</calculatedColumnFormula>
    </tableColumn>
    <tableColumn id="33" xr3:uid="{00000000-0010-0000-0200-000021000000}" name="Type Super Type 5" dataDxfId="242">
      <calculatedColumnFormula>INDEX(meta_Classifiers[Class - Generalization:src],MATCH(meta_TypedModelElements[[#This Row],[Type Super Type 4]],meta_Classifiers[ID],0))</calculatedColumnFormula>
    </tableColumn>
    <tableColumn id="32" xr3:uid="{00000000-0010-0000-0200-000020000000}" name="Type Super Type 4" dataDxfId="241">
      <calculatedColumnFormula>INDEX(meta_Classifiers[Class - Generalization:src],MATCH(meta_TypedModelElements[[#This Row],[Type Super Type 3]],meta_Classifiers[ID],0))</calculatedColumnFormula>
    </tableColumn>
    <tableColumn id="31" xr3:uid="{00000000-0010-0000-0200-00001F000000}" name="Type Super Type 3" dataDxfId="240">
      <calculatedColumnFormula>INDEX(meta_Classifiers[Class - Generalization:src],MATCH(meta_TypedModelElements[[#This Row],[Type Super Type 2]],meta_Classifiers[ID],0))</calculatedColumnFormula>
    </tableColumn>
    <tableColumn id="30" xr3:uid="{00000000-0010-0000-0200-00001E000000}" name="Type Super Type 2" dataDxfId="239">
      <calculatedColumnFormula>INDEX(meta_Classifiers[Class - Generalization:src],MATCH(meta_TypedModelElements[[#This Row],[Type Super Type 1]],meta_Classifiers[ID],0))</calculatedColumnFormula>
    </tableColumn>
    <tableColumn id="29" xr3:uid="{00000000-0010-0000-0200-00001D000000}" name="Type Super Type 1" dataDxfId="238">
      <calculatedColumnFormula>INDEX(meta_Classifiers[Class - Generalization:src],MATCH(meta_TypedModelElements[[#This Row],[Type:src]],meta_Classifiers[ID],0))</calculatedColumnFormula>
    </tableColumn>
    <tableColumn id="47" xr3:uid="{00000000-0010-0000-0200-00002F000000}" name="Type Derived:display" dataDxfId="237">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36">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5">
      <calculatedColumnFormula>IF(meta_TypedModelElements[[#This Row],[Type:src]]="","",INDEX(meta_Classifiers[Name],MATCH(meta_TypedModelElements[[#This Row],[Type:src]],meta_Classifiers[ID],0)))</calculatedColumnFormula>
    </tableColumn>
    <tableColumn id="11" xr3:uid="{00000000-0010-0000-0200-00000B000000}" name="Type:src" dataDxfId="234"/>
    <tableColumn id="5" xr3:uid="{00000000-0010-0000-0200-000005000000}" name="Type" dataDxfId="233">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2"/>
    <tableColumn id="50" xr3:uid="{00000000-0010-0000-0200-000032000000}" name="Property - Changeable" dataDxfId="231"/>
    <tableColumn id="58" xr3:uid="{9E7F4ABC-E0DA-4357-9BB2-46A1146750FF}" name="Reference - Opposite:src" dataDxfId="230"/>
    <tableColumn id="57" xr3:uid="{96F48300-C9E1-40B3-805C-02D5E99508F5}" name="Reference - Opposite" dataDxfId="229">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28"/>
    <tableColumn id="43" xr3:uid="{44952ACE-694A-4E95-9E6E-306F3B9D6EA8}" name="Reference - Display and Select Property" dataDxfId="227">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26"/>
    <tableColumn id="26" xr3:uid="{00000000-0010-0000-0200-00001A000000}" name="Function - Owning Property:src"/>
    <tableColumn id="7" xr3:uid="{00000000-0010-0000-0200-000007000000}" name="Function - Owning Property" dataDxfId="225">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4"/>
    <tableColumn id="65" xr3:uid="{B27CF9EB-6CA4-46B8-B3EE-B959D8F16FA4}" name="Parameter - Owning Function:src" dataDxfId="223"/>
    <tableColumn id="8" xr3:uid="{00000000-0010-0000-0200-000008000000}" name="Parameter - Owning Function" dataDxfId="222">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1"/>
    <tableColumn id="23" xr3:uid="{00000000-0010-0000-0200-000017000000}" name="Property - Using Property" dataDxfId="220"/>
    <tableColumn id="28" xr3:uid="{00000000-0010-0000-0200-00001C000000}" name="Reference - Referenced Excel Table" dataDxfId="219">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18">
      <calculatedColumnFormula>"[@["&amp;meta_TypedModelElements[[#This Row],[Name or Type]]&amp;":src]]"</calculatedColumnFormula>
    </tableColumn>
    <tableColumn id="27" xr3:uid="{00000000-0010-0000-0200-00001B000000}" name="Reference - Excel Formula for Display" dataDxfId="217">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16">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15">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4"/>
    <tableColumn id="44" xr3:uid="{00000000-0010-0000-0200-00002C000000}" name="Feature - VBA Type" dataDxfId="213">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2"/>
    <tableColumn id="42" xr3:uid="{00000000-0010-0000-0200-00002A000000}" name="Feature - VBA Header" dataDxfId="211">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0"/>
    <tableColumn id="18" xr3:uid="{00000000-0010-0000-0200-000012000000}" name="Feature - Manual VBA Body" dataDxfId="209"/>
    <tableColumn id="53" xr3:uid="{00000000-0010-0000-0200-000035000000}" name="Feature - VBA Body" dataDxfId="208"/>
    <tableColumn id="51" xr3:uid="{00000000-0010-0000-0200-000033000000}" name="Feature - VBA Code" dataDxfId="207"/>
    <tableColumn id="56" xr3:uid="{308D7EAC-363C-424D-90DD-C718CDAD73DE}" name="Code" dataDxfId="206"/>
    <tableColumn id="12" xr3:uid="{00000000-0010-0000-0200-00000C000000}" name="Description" dataDxfId="205"/>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4" dataDxfId="202" headerRowBorderDxfId="203" tableBorderDxfId="201">
  <autoFilter ref="A1:J31" xr:uid="{00000000-0009-0000-0100-000005000000}"/>
  <tableColumns count="10">
    <tableColumn id="8" xr3:uid="{00000000-0010-0000-0800-000008000000}" name="ID" dataDxfId="200"/>
    <tableColumn id="5" xr3:uid="{00000000-0010-0000-0800-000005000000}" name="Kind:src" dataDxfId="199"/>
    <tableColumn id="2" xr3:uid="{00000000-0010-0000-0800-000002000000}" name="Kind" dataDxfId="198">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197"/>
    <tableColumn id="10" xr3:uid="{00000000-0010-0000-0800-00000A000000}" name="Display:q" dataDxfId="196">
      <calculatedColumnFormula>IF(TRIM(meta_Literals[[#This Row],[Package]])="","",TRIM(LOWER(meta_Literals[[#This Row],[Package]]))&amp;"::")&amp;meta_Literals[[#This Row],[Display]]</calculatedColumnFormula>
    </tableColumn>
    <tableColumn id="9" xr3:uid="{00000000-0010-0000-0800-000009000000}" name="Display" dataDxfId="195">
      <calculatedColumnFormula>TRIM(SUBSTITUTE(meta_Literals[[#This Row],[Name]]," ",""))</calculatedColumnFormula>
    </tableColumn>
    <tableColumn id="3" xr3:uid="{00000000-0010-0000-0800-000003000000}" name="Name" dataDxfId="194"/>
    <tableColumn id="7" xr3:uid="{00000000-0010-0000-0800-000007000000}" name="Parent:src"/>
    <tableColumn id="4" xr3:uid="{00000000-0010-0000-0800-000004000000}" name="Parent" dataDxfId="193">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2" dataDxfId="190" headerRowBorderDxfId="191">
  <autoFilter ref="A1:DD5" xr:uid="{00000000-0009-0000-0100-000001000000}"/>
  <tableColumns count="108">
    <tableColumn id="1" xr3:uid="{00000000-0010-0000-0500-000001000000}" name="ID" dataDxfId="189"/>
    <tableColumn id="32" xr3:uid="{00000000-0010-0000-0500-000020000000}" name="Kind:src" dataDxfId="188"/>
    <tableColumn id="3" xr3:uid="{00000000-0010-0000-0500-000003000000}" name="Kind" dataDxfId="187">
      <calculatedColumnFormula>IF(meta_Rules[[#This Row],[Kind:src]]="","",INDEX(meta_Classifiers[Display Qualified],MATCH(meta_Rules[[#This Row],[Kind:src]],meta_Classifiers[ID],0)))</calculatedColumnFormula>
    </tableColumn>
    <tableColumn id="23" xr3:uid="{00000000-0010-0000-0500-000017000000}" name="Package" dataDxfId="186">
      <calculatedColumnFormula>_xlfn.IFNA(IF(meta_Rules[[#This Row],[Class:src]]="","util",INDEX(meta_Classifiers[Package],MATCH(meta_Rules[[#This Row],[Class:src]],meta_Classifiers[ID],0))),"")</calculatedColumnFormula>
    </tableColumn>
    <tableColumn id="104" xr3:uid="{00000000-0010-0000-0500-000068000000}" name="Sub Package" dataDxfId="185"/>
    <tableColumn id="46" xr3:uid="{00000000-0010-0000-0500-00002E000000}" name="Super Class 6:display:q." dataDxfId="184">
      <calculatedColumnFormula>_xlfn.IFNA(INDEX(meta_Classifiers[Display Qualified],MATCH(meta_Rules[[#This Row],[Super Class 6]],meta_Classifiers[ID],0))&amp;".","")</calculatedColumnFormula>
    </tableColumn>
    <tableColumn id="38" xr3:uid="{00000000-0010-0000-0500-000026000000}" name="Super Class 6" dataDxfId="183">
      <calculatedColumnFormula>_xlfn.IFNA(INDEX(meta_Classifiers[Class - Generalization:src],MATCH(meta_Rules[[#This Row],[Super Class 5]],meta_Classifiers[ID],0)),0)</calculatedColumnFormula>
    </tableColumn>
    <tableColumn id="45" xr3:uid="{00000000-0010-0000-0500-00002D000000}" name="Super Class 5:display:q." dataDxfId="182">
      <calculatedColumnFormula>_xlfn.IFNA(INDEX(meta_Classifiers[Display Qualified],MATCH(meta_Rules[[#This Row],[Super Class 5]],meta_Classifiers[ID],0))&amp;".","")</calculatedColumnFormula>
    </tableColumn>
    <tableColumn id="37" xr3:uid="{00000000-0010-0000-0500-000025000000}" name="Super Class 5" dataDxfId="181">
      <calculatedColumnFormula>_xlfn.IFNA(INDEX(meta_Classifiers[Class - Generalization:src],MATCH(meta_Rules[[#This Row],[Super Class 4]],meta_Classifiers[ID],0)),0)</calculatedColumnFormula>
    </tableColumn>
    <tableColumn id="44" xr3:uid="{00000000-0010-0000-0500-00002C000000}" name="Super Class 4:display:q." dataDxfId="180">
      <calculatedColumnFormula>_xlfn.IFNA(INDEX(meta_Classifiers[Display Qualified],MATCH(meta_Rules[[#This Row],[Super Class 4]],meta_Classifiers[ID],0))&amp;".","")</calculatedColumnFormula>
    </tableColumn>
    <tableColumn id="36" xr3:uid="{00000000-0010-0000-0500-000024000000}" name="Super Class 4" dataDxfId="179">
      <calculatedColumnFormula>_xlfn.IFNA(INDEX(meta_Classifiers[Class - Generalization:src],MATCH(meta_Rules[[#This Row],[Super Class 3]],meta_Classifiers[ID],0)),0)</calculatedColumnFormula>
    </tableColumn>
    <tableColumn id="43" xr3:uid="{00000000-0010-0000-0500-00002B000000}" name="Super Class 3:display:q." dataDxfId="178">
      <calculatedColumnFormula>_xlfn.IFNA(INDEX(meta_Classifiers[Display Qualified],MATCH(meta_Rules[[#This Row],[Super Class 3]],meta_Classifiers[ID],0))&amp;".","")</calculatedColumnFormula>
    </tableColumn>
    <tableColumn id="35" xr3:uid="{00000000-0010-0000-0500-000023000000}" name="Super Class 3" dataDxfId="177">
      <calculatedColumnFormula>_xlfn.IFNA(INDEX(meta_Classifiers[Class - Generalization:src],MATCH(meta_Rules[[#This Row],[Super Class 2]],meta_Classifiers[ID],0)),0)</calculatedColumnFormula>
    </tableColumn>
    <tableColumn id="42" xr3:uid="{00000000-0010-0000-0500-00002A000000}" name="Super Class 2:display:q." dataDxfId="176">
      <calculatedColumnFormula>_xlfn.IFNA(INDEX(meta_Classifiers[Display Qualified],MATCH(meta_Rules[[#This Row],[Super Class 2]],meta_Classifiers[ID],0))&amp;".","")</calculatedColumnFormula>
    </tableColumn>
    <tableColumn id="34" xr3:uid="{00000000-0010-0000-0500-000022000000}" name="Super Class 2" dataDxfId="175">
      <calculatedColumnFormula>_xlfn.IFNA(INDEX(meta_Classifiers[Class - Generalization:src],MATCH(meta_Rules[[#This Row],[Super Class 1]],meta_Classifiers[ID],0)),0)</calculatedColumnFormula>
    </tableColumn>
    <tableColumn id="40" xr3:uid="{00000000-0010-0000-0500-000028000000}" name="Super Class 1:display:q." dataDxfId="174">
      <calculatedColumnFormula>_xlfn.IFNA(INDEX(meta_Classifiers[Display Qualified],MATCH(meta_Rules[[#This Row],[Super Class 1]],meta_Classifiers[ID],0))&amp;".","")</calculatedColumnFormula>
    </tableColumn>
    <tableColumn id="33" xr3:uid="{00000000-0010-0000-0500-000021000000}" name="Super Class 1" dataDxfId="173">
      <calculatedColumnFormula>_xlfn.IFNA(INDEX(meta_Classifiers[Class - Generalization:src],MATCH(meta_Rules[[#This Row],[Class:src]],meta_Classifiers[ID],0)),0)</calculatedColumnFormula>
    </tableColumn>
    <tableColumn id="41" xr3:uid="{00000000-0010-0000-0500-000029000000}" name="Class:display:q." dataDxfId="172">
      <calculatedColumnFormula>INDEX(meta_Classifiers[Display Qualified],MATCH(meta_Rules[[#This Row],[Class:src]],meta_Classifiers[ID],0))&amp;"."</calculatedColumnFormula>
    </tableColumn>
    <tableColumn id="4" xr3:uid="{00000000-0010-0000-0500-000004000000}" name="Class:src" dataDxfId="171"/>
    <tableColumn id="30" xr3:uid="{00000000-0010-0000-0500-00001E000000}" name="Class" dataDxfId="170">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69">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68">
      <calculatedColumnFormula>IF(meta_Rules[[#This Row],[Class:src]]="","_Datatype","_Class")</calculatedColumnFormula>
    </tableColumn>
    <tableColumn id="39" xr3:uid="{00000000-0010-0000-0500-000027000000}" name="Feature:src" dataDxfId="167"/>
    <tableColumn id="5" xr3:uid="{00000000-0010-0000-0500-000005000000}" name="Feature" dataDxfId="166">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65"/>
    <tableColumn id="113" xr3:uid="{48E2B363-37B5-F842-903F-FA77081BCE10}" name="VBA Function Step 2" dataDxfId="164"/>
    <tableColumn id="112" xr3:uid="{28CD41D5-218C-4942-89C9-F94630A9FC92}" name="VBA Function Step 3" dataDxfId="163"/>
    <tableColumn id="111" xr3:uid="{D81BFF57-55DF-E948-A4C2-C4202E263512}" name="Do Action Rule Details" dataDxfId="162"/>
    <tableColumn id="19" xr3:uid="{00000000-0010-0000-0500-000013000000}" name="Line" dataDxfId="161"/>
    <tableColumn id="21" xr3:uid="{00000000-0010-0000-0500-000015000000}" name="Part:src" dataDxfId="160"/>
    <tableColumn id="22" xr3:uid="{00000000-0010-0000-0500-000016000000}" name="Part:displayedChoice" dataDxfId="159"/>
    <tableColumn id="24" xr3:uid="{00000000-0010-0000-0500-000018000000}" name="Part:q" dataDxfId="158">
      <calculatedColumnFormula>IF(TRIM(meta_Rules[[#This Row],[Part]])="","",IF(
  TRIM(meta_Rules[[#This Row],[Package]])="",
          "",
          meta_Rules[[#This Row],[Package]]&amp;"::")
&amp;meta_Rules[[#This Row],[Part]])</calculatedColumnFormula>
    </tableColumn>
    <tableColumn id="97" xr3:uid="{00000000-0010-0000-0500-000061000000}" name="Line As Text" dataDxfId="157">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56"/>
    <tableColumn id="9" xr3:uid="{00000000-0010-0000-0500-000009000000}" name="Rule Code" dataDxfId="155"/>
    <tableColumn id="29" xr3:uid="{00000000-0010-0000-0500-00001D000000}" name="Rule Biz ID Without Line" dataDxfId="154">
      <calculatedColumnFormula>meta_Rules[[#This Row],[Class:src]]&amp;"_"&amp;meta_Rules[[#This Row],[Feature]]&amp;"_"&amp;meta_Rules[[#This Row],[Kind]]</calculatedColumnFormula>
    </tableColumn>
    <tableColumn id="27" xr3:uid="{00000000-0010-0000-0500-00001B000000}" name="Rule Biz ID" dataDxfId="153">
      <calculatedColumnFormula>meta_Rules[[#This Row],[Rule Biz ID Without Line]]&amp;"_"&amp;meta_Rules[[#This Row],[Line]]</calculatedColumnFormula>
    </tableColumn>
    <tableColumn id="31" xr3:uid="{00000000-0010-0000-0500-00001F000000}" name="Part:src At Line - 1" dataDxfId="152">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1">
      <calculatedColumnFormula>IF(TRIM(meta_Rules[[#This Row],[Line]])="","",IF(meta_Rules[[#This Row],[Line]]=1,"",meta_Rules[[#This Row],[Line]]-1))</calculatedColumnFormula>
    </tableColumn>
    <tableColumn id="26" xr3:uid="{00000000-0010-0000-0500-00001A000000}" name="Indent" dataDxfId="150">
      <calculatedColumnFormula>IF(TRIM(meta_Rules[[#This Row],[Line]])="",0,IF(meta_Rules[[#This Row],[Line]]=1,0,
999))</calculatedColumnFormula>
    </tableColumn>
    <tableColumn id="25" xr3:uid="{00000000-0010-0000-0500-000019000000}" name="Generation" dataDxfId="149"/>
    <tableColumn id="17" xr3:uid="{00000000-0010-0000-0500-000011000000}" name="Operator" dataDxfId="148"/>
    <tableColumn id="62" xr3:uid="{00000000-0010-0000-0500-00003E000000}" name="Base Super Class 6:display:q." dataDxfId="147">
      <calculatedColumnFormula>_xlfn.IFNA(INDEX(meta_Classifiers[Display Qualified],MATCH(meta_Rules[[#This Row],[Base Super Class 6]],meta_Classifiers[ID],0))&amp;".","")</calculatedColumnFormula>
    </tableColumn>
    <tableColumn id="61" xr3:uid="{00000000-0010-0000-0500-00003D000000}" name="Base Super Class 6" dataDxfId="146">
      <calculatedColumnFormula>_xlfn.IFNA(INDEX(#REF!,MATCH(meta_Rules[[#This Row],[Base Super Class 5]],meta_Classifiers[ID],0)),0)</calculatedColumnFormula>
    </tableColumn>
    <tableColumn id="60" xr3:uid="{00000000-0010-0000-0500-00003C000000}" name="Base Super Class 5:display:q." dataDxfId="145">
      <calculatedColumnFormula>_xlfn.IFNA(INDEX(meta_Classifiers[Display Qualified],MATCH(meta_Rules[[#This Row],[Base Super Class 5]],meta_Classifiers[ID],0))&amp;".","")</calculatedColumnFormula>
    </tableColumn>
    <tableColumn id="59" xr3:uid="{00000000-0010-0000-0500-00003B000000}" name="Base Super Class 5" dataDxfId="144">
      <calculatedColumnFormula>_xlfn.IFNA(INDEX(#REF!,MATCH(meta_Rules[[#This Row],[Base Super Class 4]],meta_Classifiers[ID],0)),0)</calculatedColumnFormula>
    </tableColumn>
    <tableColumn id="58" xr3:uid="{00000000-0010-0000-0500-00003A000000}" name="Base Super Class 4:display:q." dataDxfId="143">
      <calculatedColumnFormula>_xlfn.IFNA(INDEX(meta_Classifiers[Display Qualified],MATCH(meta_Rules[[#This Row],[Base Super Class 4]],meta_Classifiers[ID],0))&amp;".","")</calculatedColumnFormula>
    </tableColumn>
    <tableColumn id="57" xr3:uid="{00000000-0010-0000-0500-000039000000}" name="Base Super Class 4" dataDxfId="142">
      <calculatedColumnFormula>_xlfn.IFNA(INDEX(#REF!,MATCH(meta_Rules[[#This Row],[Base Super Class 3]],meta_Classifiers[ID],0)),0)</calculatedColumnFormula>
    </tableColumn>
    <tableColumn id="56" xr3:uid="{00000000-0010-0000-0500-000038000000}" name="Base Super Class 3:display:q." dataDxfId="141">
      <calculatedColumnFormula>_xlfn.IFNA(INDEX(meta_Classifiers[Display Qualified],MATCH(meta_Rules[[#This Row],[Base Super Class 3]],meta_Classifiers[ID],0))&amp;".","")</calculatedColumnFormula>
    </tableColumn>
    <tableColumn id="55" xr3:uid="{00000000-0010-0000-0500-000037000000}" name="Base Super Class 3" dataDxfId="140">
      <calculatedColumnFormula>_xlfn.IFNA(INDEX(#REF!,MATCH(meta_Rules[[#This Row],[Base Super Class 2]],meta_Classifiers[ID],0)),0)</calculatedColumnFormula>
    </tableColumn>
    <tableColumn id="54" xr3:uid="{00000000-0010-0000-0500-000036000000}" name="Base Super Class 2:display:q." dataDxfId="139">
      <calculatedColumnFormula>_xlfn.IFNA(INDEX(meta_Classifiers[Display Qualified],MATCH(meta_Rules[[#This Row],[Base Super Class 2]],meta_Classifiers[ID],0))&amp;".","")</calculatedColumnFormula>
    </tableColumn>
    <tableColumn id="53" xr3:uid="{00000000-0010-0000-0500-000035000000}" name="Base Super Class 2" dataDxfId="138">
      <calculatedColumnFormula>_xlfn.IFNA(INDEX(#REF!,MATCH(meta_Rules[[#This Row],[Base Super Class 1]],meta_Classifiers[ID],0)),0)</calculatedColumnFormula>
    </tableColumn>
    <tableColumn id="52" xr3:uid="{00000000-0010-0000-0500-000034000000}" name="Base Super Class 1:display:q." dataDxfId="137">
      <calculatedColumnFormula>_xlfn.IFNA(INDEX(meta_Classifiers[Display Qualified],MATCH(meta_Rules[[#This Row],[Base Super Class 1]],meta_Classifiers[ID],0))&amp;".","")</calculatedColumnFormula>
    </tableColumn>
    <tableColumn id="51" xr3:uid="{00000000-0010-0000-0500-000033000000}" name="Base Super Class 1" dataDxfId="136">
      <calculatedColumnFormula>_xlfn.IFNA(INDEX(#REF!,MATCH(meta_Rules[[#This Row],[Base Type]],meta_Classifiers[ID],0)),0)</calculatedColumnFormula>
    </tableColumn>
    <tableColumn id="50" xr3:uid="{00000000-0010-0000-0500-000032000000}" name="Base Class:display:q." dataDxfId="135">
      <calculatedColumnFormula>INDEX(meta_Classifiers[Display Qualified],MATCH(meta_Rules[[#This Row],[Base Type]],meta_Classifiers[ID],0))&amp;"."</calculatedColumnFormula>
    </tableColumn>
    <tableColumn id="98" xr3:uid="{00000000-0010-0000-0500-000062000000}" name="Base Type Kind" dataDxfId="134">
      <calculatedColumnFormula>INDEX(#REF!,MATCH(meta_Rules[[#This Row],[Base Type]],meta_Classifiers[ID],0))</calculatedColumnFormula>
    </tableColumn>
    <tableColumn id="49" xr3:uid="{00000000-0010-0000-0500-000031000000}" name="Base Type" dataDxfId="133">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2">
      <calculatedColumnFormula>_xlfn.IFNA(INDEX(meta_TypedModelElements[ID],MATCH(meta_Rules[[#This Row],[Feature:src]]&amp;"."&amp;meta_Rules[[#This Row],[Base]],meta_TypedModelElements[ID],0)),"")</calculatedColumnFormula>
    </tableColumn>
    <tableColumn id="15" xr3:uid="{00000000-0010-0000-0500-00000F000000}" name="Base" dataDxfId="131"/>
    <tableColumn id="63" xr3:uid="{00000000-0010-0000-0500-00003F000000}" name="Property 1:src" dataDxfId="130"/>
    <tableColumn id="14" xr3:uid="{00000000-0010-0000-0500-00000E000000}" name="Property 1" dataDxfId="129">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28">
      <calculatedColumnFormula>_xlfn.IFNA(INDEX(meta_Classifiers[Display Qualified],MATCH(meta_Rules[[#This Row],[Property 1 Super Class 6]],meta_Classifiers[ID],0))&amp;".","")</calculatedColumnFormula>
    </tableColumn>
    <tableColumn id="79" xr3:uid="{00000000-0010-0000-0500-00004F000000}" name="Property 1 Super Class 6" dataDxfId="127">
      <calculatedColumnFormula>_xlfn.IFNA(INDEX(#REF!,MATCH(meta_Rules[[#This Row],[Property 1 Super Class 5]],meta_Classifiers[ID],0)),0)</calculatedColumnFormula>
    </tableColumn>
    <tableColumn id="78" xr3:uid="{00000000-0010-0000-0500-00004E000000}" name="Property 1 Super Class 5:display:q." dataDxfId="126">
      <calculatedColumnFormula>_xlfn.IFNA(INDEX(meta_Classifiers[Display Qualified],MATCH(meta_Rules[[#This Row],[Property 1 Super Class 5]],meta_Classifiers[ID],0))&amp;".","")</calculatedColumnFormula>
    </tableColumn>
    <tableColumn id="77" xr3:uid="{00000000-0010-0000-0500-00004D000000}" name="Property 1 Super Class 5" dataDxfId="125">
      <calculatedColumnFormula>_xlfn.IFNA(INDEX(#REF!,MATCH(meta_Rules[[#This Row],[Property 1 Super Class 4]],meta_Classifiers[ID],0)),0)</calculatedColumnFormula>
    </tableColumn>
    <tableColumn id="76" xr3:uid="{00000000-0010-0000-0500-00004C000000}" name="Property 1 Super Class 4:display:q." dataDxfId="124">
      <calculatedColumnFormula>_xlfn.IFNA(INDEX(meta_Classifiers[Display Qualified],MATCH(meta_Rules[[#This Row],[Property 1 Super Class 4]],meta_Classifiers[ID],0))&amp;".","")</calculatedColumnFormula>
    </tableColumn>
    <tableColumn id="75" xr3:uid="{00000000-0010-0000-0500-00004B000000}" name="Property 1 Super Class 4" dataDxfId="123">
      <calculatedColumnFormula>_xlfn.IFNA(INDEX(#REF!,MATCH(meta_Rules[[#This Row],[Property 1 Super Class 3]],meta_Classifiers[ID],0)),0)</calculatedColumnFormula>
    </tableColumn>
    <tableColumn id="74" xr3:uid="{00000000-0010-0000-0500-00004A000000}" name="Property 1 Super Class 3:display:q." dataDxfId="122">
      <calculatedColumnFormula>_xlfn.IFNA(INDEX(meta_Classifiers[Display Qualified],MATCH(meta_Rules[[#This Row],[Property 1 Super Class 3]],meta_Classifiers[ID],0))&amp;".","")</calculatedColumnFormula>
    </tableColumn>
    <tableColumn id="73" xr3:uid="{00000000-0010-0000-0500-000049000000}" name="Property 1 Super Class 3" dataDxfId="121">
      <calculatedColumnFormula>_xlfn.IFNA(INDEX(#REF!,MATCH(meta_Rules[[#This Row],[Property 1 Super Class 2]],meta_Classifiers[ID],0)),0)</calculatedColumnFormula>
    </tableColumn>
    <tableColumn id="72" xr3:uid="{00000000-0010-0000-0500-000048000000}" name="Property 1 Super Class 2:display:q." dataDxfId="120">
      <calculatedColumnFormula>_xlfn.IFNA(INDEX(meta_Classifiers[Display Qualified],MATCH(meta_Rules[[#This Row],[Property 1 Super Class 2]],meta_Classifiers[ID],0))&amp;".","")</calculatedColumnFormula>
    </tableColumn>
    <tableColumn id="71" xr3:uid="{00000000-0010-0000-0500-000047000000}" name="Property 1 Super Class 2" dataDxfId="119">
      <calculatedColumnFormula>_xlfn.IFNA(INDEX(#REF!,MATCH(meta_Rules[[#This Row],[Property 1 Super Class 1]],meta_Classifiers[ID],0)),0)</calculatedColumnFormula>
    </tableColumn>
    <tableColumn id="70" xr3:uid="{00000000-0010-0000-0500-000046000000}" name="Property 1 Super Class 1:display:q." dataDxfId="118">
      <calculatedColumnFormula>_xlfn.IFNA(INDEX(meta_Classifiers[Display Qualified],MATCH(meta_Rules[[#This Row],[Property 1 Super Class 1]],meta_Classifiers[ID],0))&amp;".","")</calculatedColumnFormula>
    </tableColumn>
    <tableColumn id="69" xr3:uid="{00000000-0010-0000-0500-000045000000}" name="Property 1 Super Class 1" dataDxfId="117">
      <calculatedColumnFormula>_xlfn.IFNA(INDEX(#REF!,MATCH(meta_Rules[[#This Row],[Property 1 Type]],meta_Classifiers[ID],0)),0)</calculatedColumnFormula>
    </tableColumn>
    <tableColumn id="68" xr3:uid="{00000000-0010-0000-0500-000044000000}" name="Property 1 Class:display:q." dataDxfId="116">
      <calculatedColumnFormula>_xlfn.IFNA(INDEX(meta_Classifiers[Display Qualified],MATCH(meta_Rules[[#This Row],[Property 1 Type]],meta_Classifiers[ID],0))&amp;".",0)</calculatedColumnFormula>
    </tableColumn>
    <tableColumn id="100" xr3:uid="{00000000-0010-0000-0500-000064000000}" name="Property 1 Type Kind" dataDxfId="115">
      <calculatedColumnFormula>IF(meta_Rules[[#This Row],[Property 1 Type]]="","",INDEX(#REF!,MATCH(meta_Rules[[#This Row],[Property 1 Type]],meta_Classifiers[ID],0)))</calculatedColumnFormula>
    </tableColumn>
    <tableColumn id="67" xr3:uid="{00000000-0010-0000-0500-000043000000}" name="Property 1 Type" dataDxfId="114">
      <calculatedColumnFormula>IF(meta_Rules[[#This Row],[Property 1:src]]="","",INDEX(meta_TypedModelElements[Type:src],MATCH(meta_Rules[[#This Row],[Property 1:src]],meta_TypedModelElements[ID],0)))</calculatedColumnFormula>
    </tableColumn>
    <tableColumn id="66" xr3:uid="{00000000-0010-0000-0500-000042000000}" name="Property 2:src" dataDxfId="113"/>
    <tableColumn id="13" xr3:uid="{00000000-0010-0000-0500-00000D000000}" name="Property 2" dataDxfId="112">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1"/>
    <tableColumn id="12" xr3:uid="{00000000-0010-0000-0500-00000C000000}" name="Cast" dataDxfId="110">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09">
      <calculatedColumnFormula>_xlfn.IFNA(INDEX(meta_Classifiers[Display Qualified],MATCH(meta_Rules[[#This Row],[Property 2 Super Class 6]],meta_Classifiers[ID],0))&amp;".","")</calculatedColumnFormula>
    </tableColumn>
    <tableColumn id="95" xr3:uid="{00000000-0010-0000-0500-00005F000000}" name="Property 2 Super Class 6" dataDxfId="108">
      <calculatedColumnFormula>_xlfn.IFNA(INDEX(#REF!,MATCH(meta_Rules[[#This Row],[Property 2 Super Class 5]],meta_Classifiers[ID],0)),0)</calculatedColumnFormula>
    </tableColumn>
    <tableColumn id="94" xr3:uid="{00000000-0010-0000-0500-00005E000000}" name="Property 2 Super Class 5:display:q." dataDxfId="107">
      <calculatedColumnFormula>_xlfn.IFNA(INDEX(meta_Classifiers[Display Qualified],MATCH(meta_Rules[[#This Row],[Property 2 Super Class 5]],meta_Classifiers[ID],0))&amp;".","")</calculatedColumnFormula>
    </tableColumn>
    <tableColumn id="93" xr3:uid="{00000000-0010-0000-0500-00005D000000}" name="Property 2 Super Class 5" dataDxfId="106">
      <calculatedColumnFormula>_xlfn.IFNA(INDEX(#REF!,MATCH(meta_Rules[[#This Row],[Property 2 Super Class 4]],meta_Classifiers[ID],0)),0)</calculatedColumnFormula>
    </tableColumn>
    <tableColumn id="92" xr3:uid="{00000000-0010-0000-0500-00005C000000}" name="Property 2 Super Class 4:display:q." dataDxfId="105">
      <calculatedColumnFormula>_xlfn.IFNA(INDEX(meta_Classifiers[Display Qualified],MATCH(meta_Rules[[#This Row],[Property 2 Super Class 4]],meta_Classifiers[ID],0))&amp;".","")</calculatedColumnFormula>
    </tableColumn>
    <tableColumn id="91" xr3:uid="{00000000-0010-0000-0500-00005B000000}" name="Property 2 Super Class 4" dataDxfId="104">
      <calculatedColumnFormula>_xlfn.IFNA(INDEX(#REF!,MATCH(meta_Rules[[#This Row],[Property 2 Super Class 3]],meta_Classifiers[ID],0)),0)</calculatedColumnFormula>
    </tableColumn>
    <tableColumn id="90" xr3:uid="{00000000-0010-0000-0500-00005A000000}" name="Property 2 Super Class 3:display:q." dataDxfId="103">
      <calculatedColumnFormula>_xlfn.IFNA(INDEX(meta_Classifiers[Display Qualified],MATCH(meta_Rules[[#This Row],[Property 2 Super Class 3]],meta_Classifiers[ID],0))&amp;".","")</calculatedColumnFormula>
    </tableColumn>
    <tableColumn id="89" xr3:uid="{00000000-0010-0000-0500-000059000000}" name="Property 2 Super Class 3" dataDxfId="102">
      <calculatedColumnFormula>_xlfn.IFNA(INDEX(#REF!,MATCH(meta_Rules[[#This Row],[Property 2 Super Class 2]],meta_Classifiers[ID],0)),0)</calculatedColumnFormula>
    </tableColumn>
    <tableColumn id="88" xr3:uid="{00000000-0010-0000-0500-000058000000}" name="Property 2 Super Class 2:display:q." dataDxfId="101">
      <calculatedColumnFormula>_xlfn.IFNA(INDEX(meta_Classifiers[Display Qualified],MATCH(meta_Rules[[#This Row],[Property 2 Super Class 2]],meta_Classifiers[ID],0))&amp;".","")</calculatedColumnFormula>
    </tableColumn>
    <tableColumn id="87" xr3:uid="{00000000-0010-0000-0500-000057000000}" name="Property 2 Super Class 2" dataDxfId="100">
      <calculatedColumnFormula>_xlfn.IFNA(INDEX(#REF!,MATCH(meta_Rules[[#This Row],[Property 2 Super Class 1]],meta_Classifiers[ID],0)),0)</calculatedColumnFormula>
    </tableColumn>
    <tableColumn id="86" xr3:uid="{00000000-0010-0000-0500-000056000000}" name="Property 2 Super Class 1:display:q." dataDxfId="99">
      <calculatedColumnFormula>_xlfn.IFNA(INDEX(meta_Classifiers[Display Qualified],MATCH(meta_Rules[[#This Row],[Property 2 Super Class 1]],meta_Classifiers[ID],0))&amp;".","")</calculatedColumnFormula>
    </tableColumn>
    <tableColumn id="85" xr3:uid="{00000000-0010-0000-0500-000055000000}" name="Property 2 Super Class 1" dataDxfId="98">
      <calculatedColumnFormula>_xlfn.IFNA(INDEX(#REF!,MATCH(meta_Rules[[#This Row],[Property 2 or Cast Type]],meta_Classifiers[ID],0)),0)</calculatedColumnFormula>
    </tableColumn>
    <tableColumn id="84" xr3:uid="{00000000-0010-0000-0500-000054000000}" name="Property 2 Class:display:q." dataDxfId="97">
      <calculatedColumnFormula>_xlfn.IFNA(INDEX(meta_Classifiers[Display Qualified],MATCH(meta_Rules[[#This Row],[Property 2 or Cast Type]],meta_Classifiers[ID],0))&amp;".",0)</calculatedColumnFormula>
    </tableColumn>
    <tableColumn id="101" xr3:uid="{00000000-0010-0000-0500-000065000000}" name="Property 2 or Cast Type Kind" dataDxfId="96">
      <calculatedColumnFormula>IF(meta_Rules[[#This Row],[Property 2 or Cast Type]]="","",INDEX(#REF!,MATCH(meta_Rules[[#This Row],[Property 2 or Cast Type]],meta_Classifiers[ID],0)))</calculatedColumnFormula>
    </tableColumn>
    <tableColumn id="83" xr3:uid="{00000000-0010-0000-0500-000053000000}" name="Property 2 or Cast Type" dataDxfId="95">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94"/>
    <tableColumn id="11" xr3:uid="{00000000-0010-0000-0500-00000B000000}" name="Property 3" dataDxfId="93">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2"/>
    <tableColumn id="47" xr3:uid="{00000000-0010-0000-0500-00002F000000}" name="Rule" dataDxfId="91">
      <calculatedColumnFormula>+"1"</calculatedColumnFormula>
    </tableColumn>
    <tableColumn id="6" xr3:uid="{00000000-0010-0000-0500-000006000000}" name="Manual VBA Code" dataDxfId="90"/>
    <tableColumn id="102" xr3:uid="{00000000-0010-0000-0500-000066000000}" name="VBA Code" dataDxfId="89">
      <calculatedColumnFormula>IF(meta_Rules[[#This Row],[Manual VBA Code]]&lt;&gt;"",meta_Rules[[#This Row],[Manual VBA Code]],"TODO")</calculatedColumnFormula>
    </tableColumn>
    <tableColumn id="7" xr3:uid="{00000000-0010-0000-0500-000007000000}" name="Manual Excel Formula" dataDxfId="88"/>
    <tableColumn id="103" xr3:uid="{00000000-0010-0000-0500-000067000000}" name="Excel Formula" dataDxfId="87"/>
    <tableColumn id="20" xr3:uid="{00000000-0010-0000-0500-000014000000}" name="Constraint Is Invariant" dataDxfId="86"/>
    <tableColumn id="18" xr3:uid="{00000000-0010-0000-0500-000012000000}" name="Update - Name" dataDxfId="85"/>
    <tableColumn id="64" xr3:uid="{00000000-0010-0000-0500-000040000000}" name="Update LHS - Feature:src" dataDxfId="84"/>
    <tableColumn id="2" xr3:uid="{00000000-0010-0000-0500-000002000000}" name="Update LHS - Feature" dataDxfId="83"/>
    <tableColumn id="8" xr3:uid="{00000000-0010-0000-0500-000008000000}" name="Update LHS - Mode" dataDxfId="82"/>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1" dataDxfId="79" headerRowBorderDxfId="80">
  <autoFilter ref="A2:U4" xr:uid="{00000000-0009-0000-0100-000011000000}"/>
  <tableColumns count="21">
    <tableColumn id="1" xr3:uid="{00000000-0010-0000-0600-000001000000}" name="ID" dataDxfId="78"/>
    <tableColumn id="12" xr3:uid="{00000000-0010-0000-0600-00000C000000}" name="Kind:src" dataDxfId="77"/>
    <tableColumn id="3" xr3:uid="{00000000-0010-0000-0600-000003000000}" name="Kind" dataDxfId="76">
      <calculatedColumnFormula>IF(meta_TablePatterns[[#This Row],[Kind:src]]="","",INDEX(meta_Classifiers[Display Qualified],MATCH(meta_TablePatterns[[#This Row],[Kind:src]],meta_Classifiers[ID],0)))</calculatedColumnFormula>
    </tableColumn>
    <tableColumn id="6" xr3:uid="{00000000-0010-0000-0600-000006000000}" name="Package" dataDxfId="75"/>
    <tableColumn id="11" xr3:uid="{00000000-0010-0000-0600-00000B000000}" name="Sub Package" dataDxfId="74"/>
    <tableColumn id="8" xr3:uid="{00000000-0010-0000-0600-000008000000}" name="Display:q" dataDxfId="73">
      <calculatedColumnFormula>IF(TRIM(meta_TablePatterns[[#This Row],[Package]])="","",TRIM(LOWER(meta_TablePatterns[[#This Row],[Package]]))&amp;"::")&amp;meta_TablePatterns[[#This Row],[Display]]</calculatedColumnFormula>
    </tableColumn>
    <tableColumn id="7" xr3:uid="{00000000-0010-0000-0600-000007000000}" name="Display" dataDxfId="72">
      <calculatedColumnFormula>TRIM(SUBSTITUTE(meta_TablePatterns[[#This Row],[Name]]," ",""))</calculatedColumnFormula>
    </tableColumn>
    <tableColumn id="2" xr3:uid="{00000000-0010-0000-0600-000002000000}" name="Name" dataDxfId="71"/>
    <tableColumn id="18" xr3:uid="{00000000-0010-0000-0600-000012000000}" name="Source Table" dataDxfId="70"/>
    <tableColumn id="4" xr3:uid="{00000000-0010-0000-0600-000004000000}" name="Match Filter Column 1" dataDxfId="69"/>
    <tableColumn id="9" xr3:uid="{00000000-0010-0000-0600-000009000000}" name="Match Filter Column 2" dataDxfId="68"/>
    <tableColumn id="17" xr3:uid="{00000000-0010-0000-0600-000011000000}" name="Match Key Column 1" dataDxfId="67"/>
    <tableColumn id="16" xr3:uid="{00000000-0010-0000-0600-000010000000}" name="Match Key Column 2" dataDxfId="66"/>
    <tableColumn id="15" xr3:uid="{00000000-0010-0000-0600-00000F000000}" name="Match Key Column 3" dataDxfId="65"/>
    <tableColumn id="14" xr3:uid="{00000000-0010-0000-0600-00000E000000}" name="Match Key Column 4" dataDxfId="64"/>
    <tableColumn id="13" xr3:uid="{00000000-0010-0000-0600-00000D000000}" name="Match Key Column 5" dataDxfId="63"/>
    <tableColumn id="19" xr3:uid="{00000000-0010-0000-0600-000013000000}" name="Order Column" dataDxfId="62"/>
    <tableColumn id="22" xr3:uid="{00000000-0010-0000-0600-000016000000}" name="Template Parameter Column 1" dataDxfId="61"/>
    <tableColumn id="21" xr3:uid="{00000000-0010-0000-0600-000015000000}" name="Template Parameter Column 2" dataDxfId="60"/>
    <tableColumn id="20" xr3:uid="{00000000-0010-0000-0600-000014000000}" name="Template Parameter Column 3" dataDxfId="59"/>
    <tableColumn id="5" xr3:uid="{00000000-0010-0000-0600-000005000000}" name="Definition" dataDxfId="58"/>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57" dataDxfId="55" headerRowBorderDxfId="56">
  <autoFilter ref="A2:X5" xr:uid="{00000000-0009-0000-0100-000012000000}"/>
  <tableColumns count="24">
    <tableColumn id="1" xr3:uid="{00000000-0010-0000-0700-000001000000}" name="ID" dataDxfId="54"/>
    <tableColumn id="12" xr3:uid="{00000000-0010-0000-0700-00000C000000}" name="Kind:src" dataDxfId="53"/>
    <tableColumn id="3" xr3:uid="{00000000-0010-0000-0700-000003000000}" name="Kind" dataDxfId="52"/>
    <tableColumn id="6" xr3:uid="{00000000-0010-0000-0700-000006000000}" name="Package" dataDxfId="51"/>
    <tableColumn id="11" xr3:uid="{00000000-0010-0000-0700-00000B000000}" name="Sub Package" dataDxfId="50"/>
    <tableColumn id="8" xr3:uid="{00000000-0010-0000-0700-000008000000}" name="Display:q" dataDxfId="49">
      <calculatedColumnFormula>IF(TRIM(meta_CodeTemplates[[#This Row],[Package]])="","",TRIM(LOWER(meta_CodeTemplates[[#This Row],[Package]]))&amp;"::")&amp;meta_CodeTemplates[[#This Row],[Display]]</calculatedColumnFormula>
    </tableColumn>
    <tableColumn id="7" xr3:uid="{00000000-0010-0000-0700-000007000000}" name="Display" dataDxfId="48">
      <calculatedColumnFormula>TRIM(SUBSTITUTE(meta_CodeTemplates[[#This Row],[Template Begin]]," ",""))</calculatedColumnFormula>
    </tableColumn>
    <tableColumn id="10" xr3:uid="{00000000-0010-0000-0700-00000A000000}" name="Where Clause" dataDxfId="47"/>
    <tableColumn id="2" xr3:uid="{00000000-0010-0000-0700-000002000000}" name="Template Begin" dataDxfId="46"/>
    <tableColumn id="4" xr3:uid="{00000000-0010-0000-0700-000004000000}" name="Matched Patern 1:src" dataDxfId="45"/>
    <tableColumn id="9" xr3:uid="{00000000-0010-0000-0700-000009000000}" name="Matched Pattern 1" dataDxfId="44">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43"/>
    <tableColumn id="20" xr3:uid="{00000000-0010-0000-0700-000014000000}" name="Matched Pattern 1 Filter Value 2" dataDxfId="42"/>
    <tableColumn id="28" xr3:uid="{00000000-0010-0000-0700-00001C000000}" name="Matched Pattern 1 Template Column" dataDxfId="41"/>
    <tableColumn id="18" xr3:uid="{00000000-0010-0000-0700-000012000000}" name="Template Middle" dataDxfId="40"/>
    <tableColumn id="29" xr3:uid="{00000000-0010-0000-0700-00001D000000}" name="Matched Pattern 2:src" dataDxfId="39"/>
    <tableColumn id="27" xr3:uid="{00000000-0010-0000-0700-00001B000000}" name="Matched Pattern2" dataDxfId="38"/>
    <tableColumn id="21" xr3:uid="{00000000-0010-0000-0700-000015000000}" name="Matched Pattern 2 Filter Value 1" dataDxfId="37"/>
    <tableColumn id="22" xr3:uid="{00000000-0010-0000-0700-000016000000}" name="Matched Pattern 2 Filter Value 2" dataDxfId="36"/>
    <tableColumn id="17" xr3:uid="{00000000-0010-0000-0700-000011000000}" name="Matched Pattern 2 Template Column" dataDxfId="35"/>
    <tableColumn id="16" xr3:uid="{00000000-0010-0000-0700-000010000000}" name="Template End" dataDxfId="34"/>
    <tableColumn id="14" xr3:uid="{00000000-0010-0000-0700-00000E000000}" name="Excel Formula - Target Property" dataDxfId="33"/>
    <tableColumn id="13" xr3:uid="{00000000-0010-0000-0700-00000D000000}" name="VBA Code - Target Module" dataDxfId="32"/>
    <tableColumn id="5" xr3:uid="{00000000-0010-0000-0700-000005000000}" name="Definition" dataDxfId="3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29" dataDxfId="27" headerRowBorderDxfId="28">
  <autoFilter ref="B4:Z62" xr:uid="{00000000-0009-0000-0100-000006000000}"/>
  <tableColumns count="25">
    <tableColumn id="1" xr3:uid="{00000000-0010-0000-0900-000001000000}" name="ID" dataDxfId="26"/>
    <tableColumn id="11" xr3:uid="{83728BB8-FD3C-4294-9C12-F0266DF2CCAD}" name="Kind:src" dataDxfId="25"/>
    <tableColumn id="2" xr3:uid="{00000000-0010-0000-0900-000002000000}" name="Kind" dataDxfId="24"/>
    <tableColumn id="7" xr3:uid="{00000000-0010-0000-0900-000007000000}" name="Package" dataDxfId="23"/>
    <tableColumn id="12" xr3:uid="{8A817A20-4F8E-436B-AB4E-461EBA2A8598}" name="Sub Package" dataDxfId="22"/>
    <tableColumn id="6" xr3:uid="{00000000-0010-0000-0900-000006000000}" name="Table 2 Ref:src" dataDxfId="21"/>
    <tableColumn id="3" xr3:uid="{00000000-0010-0000-0900-000003000000}" name="Table 2 Ref" dataDxfId="20">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19"/>
    <tableColumn id="4" xr3:uid="{00000000-0010-0000-0900-000004000000}" name="Test stringToBusiness" dataDxfId="18">
      <calculatedColumnFormula>stringToBusiness(belowred_Table1Rows[[#This Row],[String Value 1]])</calculatedColumnFormula>
    </tableColumn>
    <tableColumn id="10" xr3:uid="{00000000-0010-0000-0900-00000A000000}" name="Test CamelCaseUpper" dataDxfId="17">
      <calculatedColumnFormula>camelCaseUpper(belowred_Table1Rows[[#This Row],[String Value 1]])</calculatedColumnFormula>
    </tableColumn>
    <tableColumn id="16" xr3:uid="{00000000-0010-0000-0900-000010000000}" name="CORRECTION camelCaseUpper" dataDxfId="16"/>
    <tableColumn id="9" xr3:uid="{00000000-0010-0000-0900-000009000000}" name="Test camelCaseToBusiness" dataDxfId="15">
      <calculatedColumnFormula>camelCaseToBusiness(belowred_Table1Rows[[#This Row],[Test CamelCaseUpper]])</calculatedColumnFormula>
    </tableColumn>
    <tableColumn id="17" xr3:uid="{00000000-0010-0000-0900-000011000000}" name="CORRECTIOON camelCaseToBusiness" dataDxfId="14"/>
    <tableColumn id="15" xr3:uid="{00000000-0010-0000-0900-00000F000000}" name="camelCaseLower(s)  = businessToCamelCaseLower(stringToBusiness(s))" dataDxfId="13">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12">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1">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0"/>
    <tableColumn id="21" xr3:uid="{770C2C9A-BBAB-4457-97BD-69E2595153E5}" name="Test stringToBusiness STORED" dataDxfId="9"/>
    <tableColumn id="22" xr3:uid="{17F64D8B-C998-4629-9067-1A50C2BCD590}" name="Test CamelCaseUpper STORED" dataDxfId="8"/>
    <tableColumn id="23" xr3:uid="{15A7580F-85BA-4065-9247-8A85E613DEE3}" name="Test camelCaseToBusiness STORED" dataDxfId="7"/>
    <tableColumn id="24" xr3:uid="{547C9E96-2E99-428A-8AF0-E7784322D1BF}" name="camelCaseLower(s)  = businessToCamelCaseLower(stringToBusiness(s)) STORED" dataDxfId="6"/>
    <tableColumn id="27" xr3:uid="{D00AA065-D27C-44C3-8130-D7F750719136}" name="Test FunctionToBeGenerated STORED" dataDxfId="5"/>
    <tableColumn id="25" xr3:uid="{D9B503A0-FF77-4C18-958A-2830436D071D}" name="camelCaseUpper(s)  = businessToCamelCaseUpper(stringToBusiness(s)),  STORED" dataDxfId="4"/>
    <tableColumn id="26" xr3:uid="{E62907A2-C5FF-4807-BA57-D095283A8E1D}" name="camelCaseToBusiness(_x000a_businessToCamelCaseUpper(_x000a_stringToBusiness(X))) = _x000a_stringToBusiness(X)  STORED" dataDxfId="3"/>
    <tableColumn id="8" xr3:uid="{3B3DCB7E-0556-4E7A-A4F4-5E24D45942E7}" name="Testing of Busines to Camel to Business" dataDxfId="2"/>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1">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0">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1640625" defaultRowHeight="14.5" outlineLevelCol="1"/>
  <cols>
    <col min="1" max="1" width="22.453125" bestFit="1" customWidth="1"/>
    <col min="2" max="2" width="12.453125" customWidth="1" outlineLevel="1"/>
    <col min="3" max="3" width="15.26953125" bestFit="1" customWidth="1"/>
    <col min="4" max="4" width="10.453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1640625" defaultRowHeight="14.5" outlineLevelCol="1"/>
  <cols>
    <col min="1" max="1" width="22.453125" bestFit="1" customWidth="1"/>
    <col min="2" max="2" width="16.1796875" bestFit="1" customWidth="1" outlineLevel="1"/>
    <col min="3" max="3" width="14.7265625" bestFit="1" customWidth="1"/>
    <col min="5" max="5" width="8.81640625" outlineLevel="1"/>
    <col min="6" max="6" width="10.453125" customWidth="1"/>
    <col min="7" max="7" width="10.453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1640625" defaultRowHeight="14.5" outlineLevelCol="1"/>
  <cols>
    <col min="1" max="1" width="22.453125" bestFit="1" customWidth="1"/>
    <col min="2" max="2" width="16" bestFit="1" customWidth="1" outlineLevel="1"/>
    <col min="3" max="3" width="16" bestFit="1" customWidth="1"/>
    <col min="5" max="5" width="10.453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abSelected="1" topLeftCell="A2" workbookViewId="0">
      <selection activeCell="D19" sqref="D19"/>
    </sheetView>
  </sheetViews>
  <sheetFormatPr defaultColWidth="8.453125" defaultRowHeight="14.5"/>
  <cols>
    <col min="1" max="1" width="11.81640625" style="26" bestFit="1" customWidth="1"/>
    <col min="2" max="2" width="8.453125" style="26"/>
    <col min="3" max="3" width="9.453125" style="26" customWidth="1"/>
    <col min="4" max="4" width="10.1796875" style="26" customWidth="1"/>
    <col min="5" max="5" width="28.453125" style="26" bestFit="1" customWidth="1"/>
    <col min="6" max="6" width="92.453125" style="26" customWidth="1"/>
    <col min="7" max="7" width="20.453125" style="26" bestFit="1" customWidth="1"/>
    <col min="8" max="8" width="16" style="26" customWidth="1"/>
    <col min="9" max="9" width="15.1796875" style="26" bestFit="1" customWidth="1"/>
    <col min="10" max="10" width="25.453125" style="26" customWidth="1"/>
    <col min="11" max="16384" width="8.453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01.5">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C7" s="26" t="s">
        <v>2033</v>
      </c>
      <c r="D7" s="26">
        <v>20250617</v>
      </c>
      <c r="E7" s="26" t="str">
        <f>meta_DocumentVersions[[#This Row],[Date Tag]]&amp;"_"&amp;meta_DocumentVersions[[#This Row],[Name]]&amp;"_"&amp;meta_DocumentVersions[[#This Row],[Version]]&amp;".xlsm"</f>
        <v>20250617__v.04.xlsm</v>
      </c>
    </row>
    <row r="8" spans="1:10">
      <c r="A8" s="26" t="s">
        <v>597</v>
      </c>
      <c r="C8" s="26" t="s">
        <v>2034</v>
      </c>
      <c r="D8" s="26">
        <v>20250617</v>
      </c>
      <c r="E8" s="26" t="str">
        <f>meta_DocumentVersions[[#This Row],[Date Tag]]&amp;"_"&amp;meta_DocumentVersions[[#This Row],[Name]]&amp;"_"&amp;meta_DocumentVersions[[#This Row],[Version]]&amp;".xlsm"</f>
        <v>20250617__v7.05.xlsm</v>
      </c>
      <c r="F8" s="26" t="s">
        <v>2035</v>
      </c>
    </row>
    <row r="9" spans="1:10">
      <c r="A9" s="26" t="s">
        <v>598</v>
      </c>
      <c r="C9" s="26" t="s">
        <v>2036</v>
      </c>
      <c r="D9" s="26">
        <v>20250617</v>
      </c>
      <c r="E9" s="26" t="str">
        <f>meta_DocumentVersions[[#This Row],[Date Tag]]&amp;"_"&amp;meta_DocumentVersions[[#This Row],[Name]]&amp;"_"&amp;meta_DocumentVersions[[#This Row],[Version]]&amp;".xlsm"</f>
        <v>20250617__v8.01.xlsm</v>
      </c>
      <c r="F9" s="26" t="s">
        <v>2037</v>
      </c>
    </row>
    <row r="10" spans="1:10">
      <c r="A10" s="26" t="s">
        <v>599</v>
      </c>
      <c r="C10" s="26" t="s">
        <v>2038</v>
      </c>
      <c r="D10" s="26">
        <v>20250617</v>
      </c>
      <c r="E10" s="26" t="str">
        <f>meta_DocumentVersions[[#This Row],[Date Tag]]&amp;"_"&amp;meta_DocumentVersions[[#This Row],[Name]]&amp;"_"&amp;meta_DocumentVersions[[#This Row],[Version]]&amp;".xlsm"</f>
        <v>20250617__v8.02.xlsm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1640625" defaultRowHeight="14.5" outlineLevelCol="1"/>
  <cols>
    <col min="1" max="1" width="11" style="5" customWidth="1"/>
    <col min="2" max="2" width="15.453125" style="5" bestFit="1" customWidth="1" outlineLevel="1"/>
    <col min="3" max="3" width="11" style="5" customWidth="1"/>
    <col min="4" max="4" width="14.453125" style="5" bestFit="1" customWidth="1"/>
    <col min="5" max="6" width="11" style="5" customWidth="1"/>
    <col min="7" max="7" width="197.7265625" style="5" customWidth="1"/>
    <col min="8" max="16384" width="10.81640625" style="5"/>
  </cols>
  <sheetData>
    <row r="1" spans="1:7">
      <c r="A1" s="5" t="s">
        <v>0</v>
      </c>
      <c r="B1" s="5" t="s">
        <v>230</v>
      </c>
      <c r="C1" s="5" t="s">
        <v>5</v>
      </c>
      <c r="D1" s="5" t="s">
        <v>120</v>
      </c>
      <c r="E1" s="5" t="s">
        <v>461</v>
      </c>
      <c r="F1" s="5" t="s">
        <v>31</v>
      </c>
      <c r="G1" s="5" t="s">
        <v>574</v>
      </c>
    </row>
    <row r="2" spans="1:7" ht="58">
      <c r="A2" s="5" t="s">
        <v>584</v>
      </c>
      <c r="B2" s="5" t="s">
        <v>594</v>
      </c>
      <c r="C2" s="5" t="s">
        <v>834</v>
      </c>
      <c r="D2" s="5" t="s">
        <v>1848</v>
      </c>
      <c r="F2" s="5">
        <v>1</v>
      </c>
      <c r="G2" s="129" t="s">
        <v>1849</v>
      </c>
    </row>
    <row r="3" spans="1:7" ht="87">
      <c r="A3" s="5" t="s">
        <v>584</v>
      </c>
      <c r="B3" s="5" t="s">
        <v>594</v>
      </c>
      <c r="C3" s="5" t="s">
        <v>834</v>
      </c>
      <c r="D3" s="5" t="s">
        <v>1848</v>
      </c>
      <c r="F3" s="5">
        <v>2</v>
      </c>
      <c r="G3" s="129" t="s">
        <v>1850</v>
      </c>
    </row>
    <row r="4" spans="1:7" ht="130.5">
      <c r="A4" s="5" t="s">
        <v>584</v>
      </c>
      <c r="B4" s="5" t="s">
        <v>594</v>
      </c>
      <c r="C4" s="5" t="s">
        <v>834</v>
      </c>
      <c r="D4" s="5" t="s">
        <v>1848</v>
      </c>
      <c r="F4" s="5">
        <v>3</v>
      </c>
      <c r="G4" s="129" t="s">
        <v>1851</v>
      </c>
    </row>
    <row r="5" spans="1:7" ht="130.5">
      <c r="A5" s="5" t="s">
        <v>584</v>
      </c>
      <c r="B5" s="5" t="s">
        <v>594</v>
      </c>
      <c r="C5" s="5" t="s">
        <v>834</v>
      </c>
      <c r="D5" s="5" t="s">
        <v>1848</v>
      </c>
      <c r="F5" s="5">
        <v>4</v>
      </c>
      <c r="G5" s="129" t="s">
        <v>1852</v>
      </c>
    </row>
    <row r="6" spans="1:7" ht="333.5">
      <c r="A6" s="5" t="s">
        <v>584</v>
      </c>
      <c r="B6" s="5" t="s">
        <v>594</v>
      </c>
      <c r="C6" s="5" t="s">
        <v>834</v>
      </c>
      <c r="D6" s="5" t="s">
        <v>1848</v>
      </c>
      <c r="F6" s="5">
        <v>5</v>
      </c>
      <c r="G6" s="129" t="s">
        <v>1853</v>
      </c>
    </row>
    <row r="7" spans="1:7">
      <c r="A7" s="5" t="s">
        <v>584</v>
      </c>
      <c r="B7" s="5" t="s">
        <v>594</v>
      </c>
      <c r="C7" s="5" t="s">
        <v>834</v>
      </c>
      <c r="D7" s="5" t="s">
        <v>837</v>
      </c>
      <c r="F7" s="5">
        <v>1</v>
      </c>
      <c r="G7" s="129" t="s">
        <v>849</v>
      </c>
    </row>
    <row r="8" spans="1:7" ht="348">
      <c r="A8" s="5" t="s">
        <v>584</v>
      </c>
      <c r="B8" s="5" t="s">
        <v>594</v>
      </c>
      <c r="C8" s="5" t="s">
        <v>834</v>
      </c>
      <c r="D8" s="5" t="s">
        <v>837</v>
      </c>
      <c r="F8" s="5">
        <v>2</v>
      </c>
      <c r="G8" s="129" t="s">
        <v>1854</v>
      </c>
    </row>
    <row r="9" spans="1:7">
      <c r="A9" s="5" t="s">
        <v>584</v>
      </c>
      <c r="B9" s="5" t="s">
        <v>594</v>
      </c>
      <c r="C9" s="5" t="s">
        <v>834</v>
      </c>
      <c r="D9" s="5" t="s">
        <v>839</v>
      </c>
      <c r="F9" s="5">
        <v>1</v>
      </c>
      <c r="G9" s="129" t="s">
        <v>849</v>
      </c>
    </row>
    <row r="10" spans="1:7" ht="377">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87">
      <c r="A14" s="5" t="s">
        <v>584</v>
      </c>
      <c r="B14" s="5" t="s">
        <v>594</v>
      </c>
      <c r="C14" s="5" t="s">
        <v>834</v>
      </c>
      <c r="D14" s="5" t="s">
        <v>847</v>
      </c>
      <c r="F14" s="5">
        <v>2</v>
      </c>
      <c r="G14" s="129" t="s">
        <v>1857</v>
      </c>
    </row>
    <row r="15" spans="1:7" ht="87">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1.5">
      <c r="A19" s="5" t="s">
        <v>584</v>
      </c>
      <c r="B19" s="5" t="s">
        <v>594</v>
      </c>
      <c r="C19" s="5" t="s">
        <v>834</v>
      </c>
      <c r="D19" s="5" t="s">
        <v>835</v>
      </c>
      <c r="F19" s="5">
        <v>1</v>
      </c>
      <c r="G19" s="129" t="s">
        <v>1862</v>
      </c>
    </row>
    <row r="20" spans="1:7" ht="101.5">
      <c r="A20" s="5" t="s">
        <v>584</v>
      </c>
      <c r="B20" s="5" t="s">
        <v>594</v>
      </c>
      <c r="C20" s="5" t="s">
        <v>834</v>
      </c>
      <c r="D20" s="5" t="s">
        <v>835</v>
      </c>
      <c r="F20" s="5">
        <v>2</v>
      </c>
      <c r="G20" s="129" t="s">
        <v>1863</v>
      </c>
    </row>
    <row r="21" spans="1:7" ht="87">
      <c r="A21" s="5" t="s">
        <v>584</v>
      </c>
      <c r="B21" s="5" t="s">
        <v>594</v>
      </c>
      <c r="C21" s="5" t="s">
        <v>834</v>
      </c>
      <c r="D21" s="5" t="s">
        <v>835</v>
      </c>
      <c r="F21" s="5">
        <v>3</v>
      </c>
      <c r="G21" s="129" t="s">
        <v>1858</v>
      </c>
    </row>
    <row r="22" spans="1:7" ht="406">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2.5">
      <c r="A26" s="5" t="s">
        <v>584</v>
      </c>
      <c r="B26" s="5" t="s">
        <v>572</v>
      </c>
      <c r="C26" s="5" t="s">
        <v>832</v>
      </c>
      <c r="D26" s="5" t="s">
        <v>852</v>
      </c>
      <c r="F26" s="5">
        <v>1</v>
      </c>
      <c r="G26" s="129" t="s">
        <v>1868</v>
      </c>
    </row>
    <row r="27" spans="1:7" ht="29">
      <c r="A27" s="5" t="s">
        <v>584</v>
      </c>
      <c r="B27" s="5" t="s">
        <v>572</v>
      </c>
      <c r="C27" s="5" t="s">
        <v>832</v>
      </c>
      <c r="D27" s="5" t="s">
        <v>852</v>
      </c>
      <c r="F27" s="5">
        <v>2</v>
      </c>
      <c r="G27" s="129" t="s">
        <v>1869</v>
      </c>
    </row>
    <row r="28" spans="1:7" ht="87">
      <c r="A28" s="5" t="s">
        <v>584</v>
      </c>
      <c r="B28" s="5" t="s">
        <v>572</v>
      </c>
      <c r="C28" s="5" t="s">
        <v>832</v>
      </c>
      <c r="D28" s="5" t="s">
        <v>852</v>
      </c>
      <c r="F28" s="5">
        <v>3</v>
      </c>
      <c r="G28" s="129" t="s">
        <v>1870</v>
      </c>
    </row>
    <row r="29" spans="1:7" ht="87">
      <c r="A29" s="5" t="s">
        <v>584</v>
      </c>
      <c r="B29" s="5" t="s">
        <v>572</v>
      </c>
      <c r="C29" s="5" t="s">
        <v>832</v>
      </c>
      <c r="D29" s="5" t="s">
        <v>852</v>
      </c>
      <c r="F29" s="5">
        <v>4</v>
      </c>
      <c r="G29" s="129" t="s">
        <v>1871</v>
      </c>
    </row>
    <row r="30" spans="1:7" ht="87">
      <c r="A30" s="5" t="s">
        <v>584</v>
      </c>
      <c r="B30" s="5" t="s">
        <v>572</v>
      </c>
      <c r="C30" s="5" t="s">
        <v>832</v>
      </c>
      <c r="D30" s="5" t="s">
        <v>852</v>
      </c>
      <c r="F30" s="5">
        <v>5</v>
      </c>
      <c r="G30" s="129" t="s">
        <v>1872</v>
      </c>
    </row>
    <row r="31" spans="1:7" ht="87">
      <c r="A31" s="5" t="s">
        <v>584</v>
      </c>
      <c r="B31" s="5" t="s">
        <v>572</v>
      </c>
      <c r="C31" s="5" t="s">
        <v>832</v>
      </c>
      <c r="D31" s="5" t="s">
        <v>852</v>
      </c>
      <c r="F31" s="5">
        <v>6</v>
      </c>
      <c r="G31" s="129" t="s">
        <v>1873</v>
      </c>
    </row>
    <row r="32" spans="1:7" ht="72.5">
      <c r="A32" s="5" t="s">
        <v>584</v>
      </c>
      <c r="B32" s="5" t="s">
        <v>572</v>
      </c>
      <c r="C32" s="5" t="s">
        <v>832</v>
      </c>
      <c r="D32" s="5" t="s">
        <v>852</v>
      </c>
      <c r="F32" s="5">
        <v>7</v>
      </c>
      <c r="G32" s="129" t="s">
        <v>1874</v>
      </c>
    </row>
    <row r="33" spans="1:7" ht="72.5">
      <c r="A33" s="5" t="s">
        <v>584</v>
      </c>
      <c r="B33" s="5" t="s">
        <v>572</v>
      </c>
      <c r="C33" s="5" t="s">
        <v>832</v>
      </c>
      <c r="D33" s="5" t="s">
        <v>853</v>
      </c>
      <c r="F33" s="5">
        <v>1</v>
      </c>
      <c r="G33" s="129" t="s">
        <v>1875</v>
      </c>
    </row>
    <row r="34" spans="1:7" ht="29">
      <c r="A34" s="5" t="s">
        <v>584</v>
      </c>
      <c r="B34" s="5" t="s">
        <v>572</v>
      </c>
      <c r="C34" s="5" t="s">
        <v>832</v>
      </c>
      <c r="D34" s="5" t="s">
        <v>853</v>
      </c>
      <c r="F34" s="5">
        <v>2</v>
      </c>
      <c r="G34" s="129" t="s">
        <v>1869</v>
      </c>
    </row>
    <row r="35" spans="1:7" ht="87">
      <c r="A35" s="5" t="s">
        <v>584</v>
      </c>
      <c r="B35" s="5" t="s">
        <v>572</v>
      </c>
      <c r="C35" s="5" t="s">
        <v>832</v>
      </c>
      <c r="D35" s="5" t="s">
        <v>853</v>
      </c>
      <c r="F35" s="5">
        <v>3</v>
      </c>
      <c r="G35" s="129" t="s">
        <v>1876</v>
      </c>
    </row>
    <row r="36" spans="1:7" ht="87">
      <c r="A36" s="5" t="s">
        <v>584</v>
      </c>
      <c r="B36" s="5" t="s">
        <v>572</v>
      </c>
      <c r="C36" s="5" t="s">
        <v>832</v>
      </c>
      <c r="D36" s="5" t="s">
        <v>853</v>
      </c>
      <c r="F36" s="5">
        <v>4</v>
      </c>
      <c r="G36" s="129" t="s">
        <v>1877</v>
      </c>
    </row>
    <row r="37" spans="1:7" ht="87">
      <c r="A37" s="5" t="s">
        <v>584</v>
      </c>
      <c r="B37" s="5" t="s">
        <v>572</v>
      </c>
      <c r="C37" s="5" t="s">
        <v>832</v>
      </c>
      <c r="D37" s="5" t="s">
        <v>853</v>
      </c>
      <c r="F37" s="5">
        <v>5</v>
      </c>
      <c r="G37" s="129" t="s">
        <v>1878</v>
      </c>
    </row>
    <row r="38" spans="1:7" ht="87">
      <c r="A38" s="5" t="s">
        <v>584</v>
      </c>
      <c r="B38" s="5" t="s">
        <v>572</v>
      </c>
      <c r="C38" s="5" t="s">
        <v>832</v>
      </c>
      <c r="D38" s="5" t="s">
        <v>853</v>
      </c>
      <c r="F38" s="5">
        <v>6</v>
      </c>
      <c r="G38" s="129" t="s">
        <v>1879</v>
      </c>
    </row>
    <row r="39" spans="1:7" ht="72.5">
      <c r="A39" s="5" t="s">
        <v>584</v>
      </c>
      <c r="B39" s="5" t="s">
        <v>572</v>
      </c>
      <c r="C39" s="5" t="s">
        <v>832</v>
      </c>
      <c r="D39" s="5" t="s">
        <v>853</v>
      </c>
      <c r="F39" s="5">
        <v>7</v>
      </c>
      <c r="G39" s="129" t="s">
        <v>1880</v>
      </c>
    </row>
    <row r="40" spans="1:7" ht="232">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1.5">
      <c r="A42" s="5" t="s">
        <v>584</v>
      </c>
      <c r="B42" s="5" t="s">
        <v>571</v>
      </c>
      <c r="C42" s="5" t="s">
        <v>831</v>
      </c>
      <c r="D42" s="5" t="s">
        <v>586</v>
      </c>
      <c r="E42" s="5" t="s">
        <v>854</v>
      </c>
      <c r="F42" s="5">
        <v>3</v>
      </c>
      <c r="G42" s="129" t="s">
        <v>1883</v>
      </c>
    </row>
    <row r="43" spans="1:7" ht="174">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1.5">
      <c r="A45" s="5" t="s">
        <v>584</v>
      </c>
      <c r="B45" s="5" t="s">
        <v>571</v>
      </c>
      <c r="C45" s="5" t="s">
        <v>831</v>
      </c>
      <c r="D45" s="5" t="s">
        <v>586</v>
      </c>
      <c r="E45" s="5" t="s">
        <v>854</v>
      </c>
      <c r="F45" s="5">
        <v>6</v>
      </c>
      <c r="G45" s="129" t="s">
        <v>1886</v>
      </c>
    </row>
    <row r="46" spans="1:7" ht="101.5">
      <c r="A46" s="5" t="s">
        <v>584</v>
      </c>
      <c r="B46" s="5" t="s">
        <v>571</v>
      </c>
      <c r="C46" s="5" t="s">
        <v>831</v>
      </c>
      <c r="D46" s="5" t="s">
        <v>586</v>
      </c>
      <c r="E46" s="5" t="s">
        <v>854</v>
      </c>
      <c r="F46" s="5">
        <v>7</v>
      </c>
      <c r="G46" s="129" t="s">
        <v>1887</v>
      </c>
    </row>
    <row r="47" spans="1:7" ht="174">
      <c r="A47" s="5" t="s">
        <v>584</v>
      </c>
      <c r="B47" s="5" t="s">
        <v>571</v>
      </c>
      <c r="C47" s="5" t="s">
        <v>831</v>
      </c>
      <c r="D47" s="5" t="s">
        <v>586</v>
      </c>
      <c r="E47" s="5" t="s">
        <v>854</v>
      </c>
      <c r="F47" s="5">
        <v>8</v>
      </c>
      <c r="G47" s="129" t="s">
        <v>1888</v>
      </c>
    </row>
    <row r="48" spans="1:7" ht="174">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1.5">
      <c r="A50" s="5" t="s">
        <v>584</v>
      </c>
      <c r="B50" s="5" t="s">
        <v>571</v>
      </c>
      <c r="C50" s="5" t="s">
        <v>831</v>
      </c>
      <c r="D50" s="5" t="s">
        <v>586</v>
      </c>
      <c r="E50" s="5" t="s">
        <v>854</v>
      </c>
      <c r="F50" s="5">
        <v>11</v>
      </c>
      <c r="G50" s="129" t="s">
        <v>1891</v>
      </c>
    </row>
    <row r="51" spans="1:7" ht="101.5">
      <c r="A51" s="5" t="s">
        <v>584</v>
      </c>
      <c r="B51" s="5" t="s">
        <v>571</v>
      </c>
      <c r="C51" s="5" t="s">
        <v>831</v>
      </c>
      <c r="D51" s="5" t="s">
        <v>586</v>
      </c>
      <c r="E51" s="5" t="s">
        <v>854</v>
      </c>
      <c r="F51" s="5">
        <v>12</v>
      </c>
      <c r="G51" s="129" t="s">
        <v>1892</v>
      </c>
    </row>
    <row r="52" spans="1:7" ht="174">
      <c r="A52" s="5" t="s">
        <v>584</v>
      </c>
      <c r="B52" s="5" t="s">
        <v>571</v>
      </c>
      <c r="C52" s="5" t="s">
        <v>831</v>
      </c>
      <c r="D52" s="5" t="s">
        <v>586</v>
      </c>
      <c r="E52" s="5" t="s">
        <v>854</v>
      </c>
      <c r="F52" s="5">
        <v>13</v>
      </c>
      <c r="G52" s="129" t="s">
        <v>1888</v>
      </c>
    </row>
    <row r="53" spans="1:7" ht="159.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87">
      <c r="A55" s="5" t="s">
        <v>584</v>
      </c>
      <c r="B55" s="5" t="s">
        <v>571</v>
      </c>
      <c r="C55" s="5" t="s">
        <v>831</v>
      </c>
      <c r="D55" s="5" t="s">
        <v>586</v>
      </c>
      <c r="E55" s="5" t="s">
        <v>854</v>
      </c>
      <c r="F55" s="5">
        <v>16</v>
      </c>
      <c r="G55" s="129" t="s">
        <v>1895</v>
      </c>
    </row>
    <row r="56" spans="1:7" ht="116">
      <c r="A56" s="5" t="s">
        <v>584</v>
      </c>
      <c r="B56" s="5" t="s">
        <v>571</v>
      </c>
      <c r="C56" s="5" t="s">
        <v>831</v>
      </c>
      <c r="D56" s="5" t="s">
        <v>586</v>
      </c>
      <c r="E56" s="5" t="s">
        <v>854</v>
      </c>
      <c r="F56" s="5">
        <v>17</v>
      </c>
      <c r="G56" s="129" t="s">
        <v>1896</v>
      </c>
    </row>
    <row r="57" spans="1:7" ht="159.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87">
      <c r="A59" s="5" t="s">
        <v>584</v>
      </c>
      <c r="B59" s="5" t="s">
        <v>571</v>
      </c>
      <c r="C59" s="5" t="s">
        <v>831</v>
      </c>
      <c r="D59" s="5" t="s">
        <v>586</v>
      </c>
      <c r="E59" s="5" t="s">
        <v>854</v>
      </c>
      <c r="F59" s="5">
        <v>20</v>
      </c>
      <c r="G59" s="129" t="s">
        <v>1899</v>
      </c>
    </row>
    <row r="60" spans="1:7" ht="116">
      <c r="A60" s="5" t="s">
        <v>584</v>
      </c>
      <c r="B60" s="5" t="s">
        <v>571</v>
      </c>
      <c r="C60" s="5" t="s">
        <v>831</v>
      </c>
      <c r="D60" s="5" t="s">
        <v>586</v>
      </c>
      <c r="E60" s="5" t="s">
        <v>854</v>
      </c>
      <c r="F60" s="5">
        <v>21</v>
      </c>
      <c r="G60" s="129" t="s">
        <v>1896</v>
      </c>
    </row>
    <row r="61" spans="1:7" ht="159.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1.5">
      <c r="A63" s="5" t="s">
        <v>584</v>
      </c>
      <c r="B63" s="5" t="s">
        <v>571</v>
      </c>
      <c r="C63" s="5" t="s">
        <v>831</v>
      </c>
      <c r="D63" s="5" t="s">
        <v>586</v>
      </c>
      <c r="E63" s="5" t="s">
        <v>854</v>
      </c>
      <c r="F63" s="5">
        <v>24</v>
      </c>
      <c r="G63" s="129" t="s">
        <v>1902</v>
      </c>
    </row>
    <row r="64" spans="1:7" ht="203">
      <c r="A64" s="5" t="s">
        <v>584</v>
      </c>
      <c r="B64" s="5" t="s">
        <v>571</v>
      </c>
      <c r="C64" s="5" t="s">
        <v>831</v>
      </c>
      <c r="D64" s="5" t="s">
        <v>586</v>
      </c>
      <c r="E64" s="5" t="s">
        <v>854</v>
      </c>
      <c r="F64" s="5">
        <v>25</v>
      </c>
      <c r="G64" s="129" t="s">
        <v>1903</v>
      </c>
    </row>
    <row r="65" spans="1:7" ht="174">
      <c r="A65" s="5" t="s">
        <v>584</v>
      </c>
      <c r="B65" s="5" t="s">
        <v>571</v>
      </c>
      <c r="C65" s="5" t="s">
        <v>831</v>
      </c>
      <c r="D65" s="5" t="s">
        <v>586</v>
      </c>
      <c r="E65" s="5" t="s">
        <v>854</v>
      </c>
      <c r="F65" s="5">
        <v>26</v>
      </c>
      <c r="G65" s="129" t="s">
        <v>1904</v>
      </c>
    </row>
    <row r="66" spans="1:7" ht="29">
      <c r="A66" s="5" t="s">
        <v>584</v>
      </c>
      <c r="B66" s="5" t="s">
        <v>571</v>
      </c>
      <c r="C66" s="5" t="s">
        <v>831</v>
      </c>
      <c r="D66" s="5" t="s">
        <v>586</v>
      </c>
      <c r="E66" s="5" t="s">
        <v>855</v>
      </c>
      <c r="F66" s="5">
        <v>1</v>
      </c>
      <c r="G66" s="129" t="s">
        <v>1905</v>
      </c>
    </row>
    <row r="67" spans="1:7" ht="174">
      <c r="A67" s="5" t="s">
        <v>584</v>
      </c>
      <c r="B67" s="5" t="s">
        <v>571</v>
      </c>
      <c r="C67" s="5" t="s">
        <v>831</v>
      </c>
      <c r="D67" s="5" t="s">
        <v>586</v>
      </c>
      <c r="E67" s="5" t="s">
        <v>855</v>
      </c>
      <c r="F67" s="5">
        <v>2</v>
      </c>
      <c r="G67" s="129" t="s">
        <v>1906</v>
      </c>
    </row>
    <row r="68" spans="1:7" ht="145">
      <c r="A68" s="5" t="s">
        <v>584</v>
      </c>
      <c r="B68" s="5" t="s">
        <v>571</v>
      </c>
      <c r="C68" s="5" t="s">
        <v>831</v>
      </c>
      <c r="D68" s="5" t="s">
        <v>586</v>
      </c>
      <c r="E68" s="5" t="s">
        <v>855</v>
      </c>
      <c r="F68" s="5">
        <v>3</v>
      </c>
      <c r="G68" s="129" t="s">
        <v>1907</v>
      </c>
    </row>
    <row r="69" spans="1:7" ht="319">
      <c r="A69" s="5" t="s">
        <v>584</v>
      </c>
      <c r="B69" s="5" t="s">
        <v>571</v>
      </c>
      <c r="C69" s="5" t="s">
        <v>831</v>
      </c>
      <c r="D69" s="5" t="s">
        <v>586</v>
      </c>
      <c r="E69" s="5" t="s">
        <v>855</v>
      </c>
      <c r="F69" s="5">
        <v>4</v>
      </c>
      <c r="G69" s="129" t="s">
        <v>1908</v>
      </c>
    </row>
    <row r="70" spans="1:7" ht="159.5">
      <c r="A70" s="5" t="s">
        <v>584</v>
      </c>
      <c r="B70" s="5" t="s">
        <v>572</v>
      </c>
      <c r="C70" s="5" t="s">
        <v>832</v>
      </c>
      <c r="D70" s="5" t="s">
        <v>856</v>
      </c>
      <c r="F70" s="5">
        <v>1</v>
      </c>
      <c r="G70" s="129" t="s">
        <v>1909</v>
      </c>
    </row>
    <row r="71" spans="1:7" ht="87">
      <c r="A71" s="5" t="s">
        <v>584</v>
      </c>
      <c r="B71" s="5" t="s">
        <v>572</v>
      </c>
      <c r="C71" s="5" t="s">
        <v>832</v>
      </c>
      <c r="D71" s="5" t="s">
        <v>856</v>
      </c>
      <c r="F71" s="5">
        <v>2</v>
      </c>
      <c r="G71" s="129" t="s">
        <v>1910</v>
      </c>
    </row>
    <row r="72" spans="1:7" ht="261">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2.5">
      <c r="A75" s="5" t="s">
        <v>584</v>
      </c>
      <c r="B75" s="5" t="s">
        <v>573</v>
      </c>
      <c r="C75" s="5" t="s">
        <v>833</v>
      </c>
      <c r="D75" s="5" t="s">
        <v>857</v>
      </c>
      <c r="F75" s="5">
        <v>2</v>
      </c>
      <c r="G75" s="129" t="s">
        <v>1913</v>
      </c>
    </row>
    <row r="76" spans="1:7" ht="87">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2.5">
      <c r="A78" s="5" t="s">
        <v>584</v>
      </c>
      <c r="B78" s="5" t="s">
        <v>573</v>
      </c>
      <c r="C78" s="5" t="s">
        <v>833</v>
      </c>
      <c r="D78" s="5" t="s">
        <v>858</v>
      </c>
      <c r="F78" s="5">
        <v>2</v>
      </c>
      <c r="G78" s="129" t="s">
        <v>1915</v>
      </c>
    </row>
    <row r="79" spans="1:7" ht="72.5">
      <c r="A79" s="5" t="s">
        <v>584</v>
      </c>
      <c r="B79" s="5" t="s">
        <v>573</v>
      </c>
      <c r="C79" s="5" t="s">
        <v>833</v>
      </c>
      <c r="D79" s="5" t="s">
        <v>858</v>
      </c>
      <c r="F79" s="5">
        <v>3</v>
      </c>
      <c r="G79" s="129" t="s">
        <v>1916</v>
      </c>
    </row>
    <row r="80" spans="1:7" ht="145">
      <c r="A80" s="5" t="s">
        <v>584</v>
      </c>
      <c r="B80" s="5" t="s">
        <v>573</v>
      </c>
      <c r="C80" s="5" t="s">
        <v>833</v>
      </c>
      <c r="D80" s="5" t="s">
        <v>858</v>
      </c>
      <c r="F80" s="5">
        <v>4</v>
      </c>
      <c r="G80" s="129" t="s">
        <v>1917</v>
      </c>
    </row>
    <row r="81" spans="1:7" ht="87">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2.5">
      <c r="A83" s="5" t="s">
        <v>584</v>
      </c>
      <c r="B83" s="5" t="s">
        <v>573</v>
      </c>
      <c r="C83" s="5" t="s">
        <v>833</v>
      </c>
      <c r="D83" s="5" t="s">
        <v>859</v>
      </c>
      <c r="F83" s="5">
        <v>2</v>
      </c>
      <c r="G83" s="129" t="s">
        <v>1918</v>
      </c>
    </row>
    <row r="84" spans="1:7" ht="72.5">
      <c r="A84" s="5" t="s">
        <v>584</v>
      </c>
      <c r="B84" s="5" t="s">
        <v>573</v>
      </c>
      <c r="C84" s="5" t="s">
        <v>833</v>
      </c>
      <c r="D84" s="5" t="s">
        <v>859</v>
      </c>
      <c r="F84" s="5">
        <v>3</v>
      </c>
      <c r="G84" s="129" t="s">
        <v>1919</v>
      </c>
    </row>
    <row r="85" spans="1:7" ht="145">
      <c r="A85" s="5" t="s">
        <v>584</v>
      </c>
      <c r="B85" s="5" t="s">
        <v>573</v>
      </c>
      <c r="C85" s="5" t="s">
        <v>833</v>
      </c>
      <c r="D85" s="5" t="s">
        <v>859</v>
      </c>
      <c r="F85" s="5">
        <v>4</v>
      </c>
      <c r="G85" s="129" t="s">
        <v>1917</v>
      </c>
    </row>
    <row r="86" spans="1:7" ht="87">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2.5">
      <c r="A88" s="5" t="s">
        <v>584</v>
      </c>
      <c r="B88" s="5" t="s">
        <v>573</v>
      </c>
      <c r="C88" s="5" t="s">
        <v>833</v>
      </c>
      <c r="D88" s="5" t="s">
        <v>860</v>
      </c>
      <c r="F88" s="5">
        <v>2</v>
      </c>
      <c r="G88" s="129" t="s">
        <v>1920</v>
      </c>
    </row>
    <row r="89" spans="1:7" ht="87">
      <c r="A89" s="5" t="s">
        <v>584</v>
      </c>
      <c r="B89" s="5" t="s">
        <v>573</v>
      </c>
      <c r="C89" s="5" t="s">
        <v>833</v>
      </c>
      <c r="D89" s="5" t="s">
        <v>860</v>
      </c>
      <c r="F89" s="5">
        <v>3</v>
      </c>
      <c r="G89" s="129" t="s">
        <v>1921</v>
      </c>
    </row>
    <row r="90" spans="1:7" ht="87">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2.5">
      <c r="A92" s="5" t="s">
        <v>584</v>
      </c>
      <c r="B92" s="5" t="s">
        <v>573</v>
      </c>
      <c r="C92" s="5" t="s">
        <v>833</v>
      </c>
      <c r="D92" s="5" t="s">
        <v>861</v>
      </c>
      <c r="F92" s="5">
        <v>2</v>
      </c>
      <c r="G92" s="129" t="s">
        <v>1922</v>
      </c>
    </row>
    <row r="93" spans="1:7" ht="87">
      <c r="A93" s="5" t="s">
        <v>584</v>
      </c>
      <c r="B93" s="5" t="s">
        <v>573</v>
      </c>
      <c r="C93" s="5" t="s">
        <v>833</v>
      </c>
      <c r="D93" s="5" t="s">
        <v>861</v>
      </c>
      <c r="F93" s="5">
        <v>3</v>
      </c>
      <c r="G93" s="129" t="s">
        <v>1921</v>
      </c>
    </row>
    <row r="94" spans="1:7" ht="87">
      <c r="A94" s="5" t="s">
        <v>584</v>
      </c>
      <c r="B94" s="5" t="s">
        <v>573</v>
      </c>
      <c r="C94" s="5" t="s">
        <v>833</v>
      </c>
      <c r="D94" s="5" t="s">
        <v>861</v>
      </c>
      <c r="F94" s="5">
        <v>4</v>
      </c>
      <c r="G94" s="129" t="s">
        <v>1914</v>
      </c>
    </row>
    <row r="95" spans="1:7" ht="319">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290">
      <c r="A99" s="5" t="s">
        <v>584</v>
      </c>
      <c r="B99" s="5" t="s">
        <v>571</v>
      </c>
      <c r="C99" s="5" t="s">
        <v>831</v>
      </c>
      <c r="D99" s="5" t="s">
        <v>586</v>
      </c>
      <c r="E99" s="5" t="s">
        <v>918</v>
      </c>
      <c r="F99" s="5">
        <v>5</v>
      </c>
      <c r="G99" s="129" t="s">
        <v>1927</v>
      </c>
    </row>
    <row r="100" spans="1:7" ht="203">
      <c r="A100" s="5" t="s">
        <v>584</v>
      </c>
      <c r="B100" s="5" t="s">
        <v>571</v>
      </c>
      <c r="C100" s="5" t="s">
        <v>831</v>
      </c>
      <c r="D100" s="5" t="s">
        <v>586</v>
      </c>
      <c r="E100" s="5" t="s">
        <v>918</v>
      </c>
      <c r="F100" s="5">
        <v>6</v>
      </c>
      <c r="G100" s="129" t="s">
        <v>1928</v>
      </c>
    </row>
    <row r="101" spans="1:7" ht="333.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88.5">
      <c r="A103" s="5" t="s">
        <v>584</v>
      </c>
      <c r="B103" s="5" t="s">
        <v>571</v>
      </c>
      <c r="C103" s="5" t="s">
        <v>831</v>
      </c>
      <c r="D103" s="5" t="s">
        <v>586</v>
      </c>
      <c r="E103" s="5" t="s">
        <v>918</v>
      </c>
      <c r="F103" s="5">
        <v>9</v>
      </c>
      <c r="G103" s="129" t="s">
        <v>1931</v>
      </c>
    </row>
    <row r="104" spans="1:7" ht="275.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77">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2.5">
      <c r="A112" s="5" t="s">
        <v>584</v>
      </c>
      <c r="B112" s="5" t="s">
        <v>573</v>
      </c>
      <c r="C112" s="5" t="s">
        <v>833</v>
      </c>
      <c r="D112" s="5" t="s">
        <v>919</v>
      </c>
      <c r="F112" s="5">
        <v>2</v>
      </c>
      <c r="G112" s="129" t="s">
        <v>1939</v>
      </c>
    </row>
    <row r="113" spans="1:7" ht="174">
      <c r="A113" s="5" t="s">
        <v>584</v>
      </c>
      <c r="B113" s="5" t="s">
        <v>573</v>
      </c>
      <c r="C113" s="5" t="s">
        <v>833</v>
      </c>
      <c r="D113" s="5" t="s">
        <v>919</v>
      </c>
      <c r="F113" s="5">
        <v>3</v>
      </c>
      <c r="G113" s="129" t="s">
        <v>1940</v>
      </c>
    </row>
    <row r="114" spans="1:7" ht="87">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1.5">
      <c r="A116" s="5" t="s">
        <v>584</v>
      </c>
      <c r="B116" s="5" t="s">
        <v>571</v>
      </c>
      <c r="C116" s="5" t="s">
        <v>831</v>
      </c>
      <c r="D116" s="5" t="s">
        <v>586</v>
      </c>
      <c r="E116" s="5" t="s">
        <v>1941</v>
      </c>
      <c r="F116" s="5">
        <v>2</v>
      </c>
      <c r="G116" s="129" t="s">
        <v>1943</v>
      </c>
    </row>
    <row r="117" spans="1:7" ht="217.5">
      <c r="A117" s="5" t="s">
        <v>584</v>
      </c>
      <c r="B117" s="5" t="s">
        <v>571</v>
      </c>
      <c r="C117" s="5" t="s">
        <v>831</v>
      </c>
      <c r="D117" s="5" t="s">
        <v>586</v>
      </c>
      <c r="E117" s="5" t="s">
        <v>1941</v>
      </c>
      <c r="F117" s="5">
        <v>3</v>
      </c>
      <c r="G117" s="129" t="s">
        <v>1944</v>
      </c>
    </row>
    <row r="118" spans="1:7" ht="87">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87">
      <c r="A120" s="5" t="s">
        <v>584</v>
      </c>
      <c r="B120" s="5" t="s">
        <v>571</v>
      </c>
      <c r="C120" s="5" t="s">
        <v>831</v>
      </c>
      <c r="D120" s="5" t="s">
        <v>586</v>
      </c>
      <c r="E120" s="5" t="s">
        <v>1945</v>
      </c>
      <c r="F120" s="5">
        <v>3</v>
      </c>
      <c r="G120" s="129" t="s">
        <v>1948</v>
      </c>
    </row>
    <row r="121" spans="1:7" ht="174">
      <c r="A121" s="5" t="s">
        <v>584</v>
      </c>
      <c r="B121" s="5" t="s">
        <v>571</v>
      </c>
      <c r="C121" s="5" t="s">
        <v>831</v>
      </c>
      <c r="D121" s="5" t="s">
        <v>586</v>
      </c>
      <c r="E121" s="5" t="s">
        <v>1945</v>
      </c>
      <c r="F121" s="5">
        <v>4</v>
      </c>
      <c r="G121" s="129" t="s">
        <v>1949</v>
      </c>
    </row>
    <row r="122" spans="1:7" ht="43.5">
      <c r="A122" s="5" t="s">
        <v>584</v>
      </c>
      <c r="B122" s="5" t="s">
        <v>571</v>
      </c>
      <c r="C122" s="5" t="s">
        <v>831</v>
      </c>
      <c r="D122" s="5" t="s">
        <v>586</v>
      </c>
      <c r="E122" s="5" t="s">
        <v>864</v>
      </c>
      <c r="F122" s="5">
        <v>1</v>
      </c>
      <c r="G122" s="129" t="s">
        <v>1950</v>
      </c>
    </row>
    <row r="123" spans="1:7" ht="87">
      <c r="A123" s="5" t="s">
        <v>584</v>
      </c>
      <c r="B123" s="5" t="s">
        <v>571</v>
      </c>
      <c r="C123" s="5" t="s">
        <v>831</v>
      </c>
      <c r="D123" s="5" t="s">
        <v>586</v>
      </c>
      <c r="E123" s="5" t="s">
        <v>864</v>
      </c>
      <c r="F123" s="5">
        <v>2</v>
      </c>
      <c r="G123" s="129" t="s">
        <v>1951</v>
      </c>
    </row>
    <row r="124" spans="1:7" ht="87">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62.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29">
      <c r="A130" s="5" t="s">
        <v>584</v>
      </c>
      <c r="B130" s="5" t="s">
        <v>571</v>
      </c>
      <c r="C130" s="5" t="s">
        <v>831</v>
      </c>
      <c r="D130" s="5" t="s">
        <v>586</v>
      </c>
      <c r="E130" s="5" t="s">
        <v>864</v>
      </c>
      <c r="F130" s="5">
        <v>9</v>
      </c>
      <c r="G130" s="129" t="s">
        <v>1958</v>
      </c>
    </row>
    <row r="131" spans="1:7" ht="174">
      <c r="A131" s="5" t="s">
        <v>584</v>
      </c>
      <c r="B131" s="5" t="s">
        <v>571</v>
      </c>
      <c r="C131" s="5" t="s">
        <v>831</v>
      </c>
      <c r="D131" s="5" t="s">
        <v>586</v>
      </c>
      <c r="E131" s="5" t="s">
        <v>864</v>
      </c>
      <c r="F131" s="5">
        <v>10</v>
      </c>
      <c r="G131" s="129" t="s">
        <v>1959</v>
      </c>
    </row>
    <row r="132" spans="1:7" ht="29">
      <c r="A132" s="5" t="s">
        <v>584</v>
      </c>
      <c r="B132" s="5" t="s">
        <v>571</v>
      </c>
      <c r="C132" s="5" t="s">
        <v>831</v>
      </c>
      <c r="D132" s="5" t="s">
        <v>586</v>
      </c>
      <c r="E132" s="5" t="s">
        <v>864</v>
      </c>
      <c r="F132" s="5">
        <v>11</v>
      </c>
      <c r="G132" s="129" t="s">
        <v>1960</v>
      </c>
    </row>
    <row r="133" spans="1:7" ht="174">
      <c r="A133" s="5" t="s">
        <v>584</v>
      </c>
      <c r="B133" s="5" t="s">
        <v>571</v>
      </c>
      <c r="C133" s="5" t="s">
        <v>831</v>
      </c>
      <c r="D133" s="5" t="s">
        <v>586</v>
      </c>
      <c r="E133" s="5" t="s">
        <v>864</v>
      </c>
      <c r="F133" s="5">
        <v>12</v>
      </c>
      <c r="G133" s="129" t="s">
        <v>1961</v>
      </c>
    </row>
    <row r="134" spans="1:7" ht="29">
      <c r="A134" s="5" t="s">
        <v>584</v>
      </c>
      <c r="B134" s="5" t="s">
        <v>571</v>
      </c>
      <c r="C134" s="5" t="s">
        <v>831</v>
      </c>
      <c r="D134" s="5" t="s">
        <v>586</v>
      </c>
      <c r="E134" s="5" t="s">
        <v>864</v>
      </c>
      <c r="F134" s="5">
        <v>13</v>
      </c>
      <c r="G134" s="129" t="s">
        <v>1962</v>
      </c>
    </row>
    <row r="135" spans="1:7" ht="217.5">
      <c r="A135" s="5" t="s">
        <v>584</v>
      </c>
      <c r="B135" s="5" t="s">
        <v>571</v>
      </c>
      <c r="C135" s="5" t="s">
        <v>831</v>
      </c>
      <c r="D135" s="5" t="s">
        <v>586</v>
      </c>
      <c r="E135" s="5" t="s">
        <v>864</v>
      </c>
      <c r="F135" s="5">
        <v>14</v>
      </c>
      <c r="G135" s="129" t="s">
        <v>1963</v>
      </c>
    </row>
    <row r="136" spans="1:7" ht="29">
      <c r="A136" s="5" t="s">
        <v>584</v>
      </c>
      <c r="B136" s="5" t="s">
        <v>571</v>
      </c>
      <c r="C136" s="5" t="s">
        <v>831</v>
      </c>
      <c r="D136" s="5" t="s">
        <v>586</v>
      </c>
      <c r="E136" s="5" t="s">
        <v>864</v>
      </c>
      <c r="F136" s="5">
        <v>15</v>
      </c>
      <c r="G136" s="129" t="s">
        <v>1964</v>
      </c>
    </row>
    <row r="137" spans="1:7" ht="188.5">
      <c r="A137" s="5" t="s">
        <v>584</v>
      </c>
      <c r="B137" s="5" t="s">
        <v>571</v>
      </c>
      <c r="C137" s="5" t="s">
        <v>831</v>
      </c>
      <c r="D137" s="5" t="s">
        <v>586</v>
      </c>
      <c r="E137" s="5" t="s">
        <v>864</v>
      </c>
      <c r="F137" s="5">
        <v>16</v>
      </c>
      <c r="G137" s="129" t="s">
        <v>1965</v>
      </c>
    </row>
    <row r="138" spans="1:7" ht="29">
      <c r="A138" s="5" t="s">
        <v>584</v>
      </c>
      <c r="B138" s="5" t="s">
        <v>571</v>
      </c>
      <c r="C138" s="5" t="s">
        <v>831</v>
      </c>
      <c r="D138" s="5" t="s">
        <v>586</v>
      </c>
      <c r="E138" s="5" t="s">
        <v>864</v>
      </c>
      <c r="F138" s="5">
        <v>17</v>
      </c>
      <c r="G138" s="129" t="s">
        <v>1966</v>
      </c>
    </row>
    <row r="139" spans="1:7" ht="203">
      <c r="A139" s="5" t="s">
        <v>584</v>
      </c>
      <c r="B139" s="5" t="s">
        <v>571</v>
      </c>
      <c r="C139" s="5" t="s">
        <v>831</v>
      </c>
      <c r="D139" s="5" t="s">
        <v>586</v>
      </c>
      <c r="E139" s="5" t="s">
        <v>864</v>
      </c>
      <c r="F139" s="5">
        <v>18</v>
      </c>
      <c r="G139" s="129" t="s">
        <v>1967</v>
      </c>
    </row>
    <row r="140" spans="1:7" ht="29">
      <c r="A140" s="5" t="s">
        <v>584</v>
      </c>
      <c r="B140" s="5" t="s">
        <v>571</v>
      </c>
      <c r="C140" s="5" t="s">
        <v>831</v>
      </c>
      <c r="D140" s="5" t="s">
        <v>586</v>
      </c>
      <c r="E140" s="5" t="s">
        <v>864</v>
      </c>
      <c r="F140" s="5">
        <v>19</v>
      </c>
      <c r="G140" s="129" t="s">
        <v>1968</v>
      </c>
    </row>
    <row r="141" spans="1:7" ht="203">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29">
      <c r="A145" s="5" t="s">
        <v>584</v>
      </c>
      <c r="B145" s="5" t="s">
        <v>571</v>
      </c>
      <c r="C145" s="5" t="s">
        <v>831</v>
      </c>
      <c r="D145" s="5" t="s">
        <v>586</v>
      </c>
      <c r="E145" s="5" t="s">
        <v>864</v>
      </c>
      <c r="F145" s="5">
        <v>24</v>
      </c>
      <c r="G145" s="129" t="s">
        <v>1973</v>
      </c>
    </row>
    <row r="146" spans="1:7" ht="145">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87">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45">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03">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3.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33.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48">
      <c r="A174" s="5" t="s">
        <v>584</v>
      </c>
      <c r="B174" s="5" t="s">
        <v>571</v>
      </c>
      <c r="C174" s="5" t="s">
        <v>831</v>
      </c>
      <c r="D174" s="5" t="s">
        <v>586</v>
      </c>
      <c r="E174" s="5" t="s">
        <v>862</v>
      </c>
      <c r="F174" s="5">
        <v>11</v>
      </c>
      <c r="G174" s="129" t="s">
        <v>2002</v>
      </c>
    </row>
    <row r="175" spans="1:7" ht="174">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88.5">
      <c r="A178" s="5" t="s">
        <v>584</v>
      </c>
      <c r="B178" s="5" t="s">
        <v>571</v>
      </c>
      <c r="C178" s="5" t="s">
        <v>831</v>
      </c>
      <c r="D178" s="5" t="s">
        <v>586</v>
      </c>
      <c r="E178" s="5" t="s">
        <v>862</v>
      </c>
      <c r="F178" s="5">
        <v>15</v>
      </c>
      <c r="G178" s="129" t="s">
        <v>2006</v>
      </c>
    </row>
    <row r="179" spans="1:7" ht="72.5">
      <c r="A179" s="5" t="s">
        <v>584</v>
      </c>
      <c r="B179" s="5" t="s">
        <v>571</v>
      </c>
      <c r="C179" s="5" t="s">
        <v>831</v>
      </c>
      <c r="D179" s="5" t="s">
        <v>586</v>
      </c>
      <c r="E179" s="5" t="s">
        <v>862</v>
      </c>
      <c r="F179" s="5">
        <v>16</v>
      </c>
      <c r="G179" s="129" t="s">
        <v>2007</v>
      </c>
    </row>
    <row r="180" spans="1:7" ht="304.5">
      <c r="A180" s="5" t="s">
        <v>584</v>
      </c>
      <c r="B180" s="5" t="s">
        <v>571</v>
      </c>
      <c r="C180" s="5" t="s">
        <v>831</v>
      </c>
      <c r="D180" s="5" t="s">
        <v>586</v>
      </c>
      <c r="E180" s="5" t="s">
        <v>862</v>
      </c>
      <c r="F180" s="5">
        <v>17</v>
      </c>
      <c r="G180" s="129" t="s">
        <v>2008</v>
      </c>
    </row>
    <row r="181" spans="1:7" ht="232">
      <c r="A181" s="5" t="s">
        <v>584</v>
      </c>
      <c r="B181" s="5" t="s">
        <v>571</v>
      </c>
      <c r="C181" s="5" t="s">
        <v>831</v>
      </c>
      <c r="D181" s="5" t="s">
        <v>586</v>
      </c>
      <c r="E181" s="5" t="s">
        <v>862</v>
      </c>
      <c r="F181" s="5">
        <v>18</v>
      </c>
      <c r="G181" s="129" t="s">
        <v>2009</v>
      </c>
    </row>
    <row r="182" spans="1:7" ht="72.5">
      <c r="A182" s="5" t="s">
        <v>584</v>
      </c>
      <c r="B182" s="5" t="s">
        <v>571</v>
      </c>
      <c r="C182" s="5" t="s">
        <v>831</v>
      </c>
      <c r="D182" s="5" t="s">
        <v>586</v>
      </c>
      <c r="E182" s="5" t="s">
        <v>862</v>
      </c>
      <c r="F182" s="5">
        <v>19</v>
      </c>
      <c r="G182" s="129" t="s">
        <v>2010</v>
      </c>
    </row>
    <row r="183" spans="1:7" ht="246.5">
      <c r="A183" s="5" t="s">
        <v>584</v>
      </c>
      <c r="B183" s="5" t="s">
        <v>571</v>
      </c>
      <c r="C183" s="5" t="s">
        <v>831</v>
      </c>
      <c r="D183" s="5" t="s">
        <v>586</v>
      </c>
      <c r="E183" s="5" t="s">
        <v>862</v>
      </c>
      <c r="F183" s="5">
        <v>20</v>
      </c>
      <c r="G183" s="129" t="s">
        <v>2011</v>
      </c>
    </row>
    <row r="184" spans="1:7" ht="188.5">
      <c r="A184" s="5" t="s">
        <v>584</v>
      </c>
      <c r="B184" s="5" t="s">
        <v>571</v>
      </c>
      <c r="C184" s="5" t="s">
        <v>831</v>
      </c>
      <c r="D184" s="5" t="s">
        <v>586</v>
      </c>
      <c r="E184" s="5" t="s">
        <v>862</v>
      </c>
      <c r="F184" s="5">
        <v>21</v>
      </c>
      <c r="G184" s="129" t="s">
        <v>2012</v>
      </c>
    </row>
    <row r="185" spans="1:7" ht="29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59.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391.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03">
      <c r="A193" s="5" t="s">
        <v>584</v>
      </c>
      <c r="B193" s="5" t="s">
        <v>571</v>
      </c>
      <c r="C193" s="5" t="s">
        <v>831</v>
      </c>
      <c r="D193" s="5" t="s">
        <v>586</v>
      </c>
      <c r="E193" s="5" t="s">
        <v>862</v>
      </c>
      <c r="F193" s="5">
        <v>30</v>
      </c>
      <c r="G193" s="129" t="s">
        <v>2021</v>
      </c>
    </row>
    <row r="194" spans="1:7" ht="188.5">
      <c r="A194" s="5" t="s">
        <v>584</v>
      </c>
      <c r="B194" s="5" t="s">
        <v>571</v>
      </c>
      <c r="C194" s="5" t="s">
        <v>831</v>
      </c>
      <c r="D194" s="5" t="s">
        <v>586</v>
      </c>
      <c r="E194" s="5" t="s">
        <v>862</v>
      </c>
      <c r="F194" s="5">
        <v>31</v>
      </c>
      <c r="G194" s="129" t="s">
        <v>2022</v>
      </c>
    </row>
    <row r="195" spans="1:7" ht="145">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29">
      <c r="A197" s="5" t="s">
        <v>584</v>
      </c>
      <c r="B197" s="5" t="s">
        <v>571</v>
      </c>
      <c r="C197" s="5" t="s">
        <v>831</v>
      </c>
      <c r="D197" s="5" t="s">
        <v>586</v>
      </c>
      <c r="E197" s="5" t="s">
        <v>862</v>
      </c>
      <c r="F197" s="5">
        <v>34</v>
      </c>
      <c r="G197" s="129" t="s">
        <v>2025</v>
      </c>
    </row>
    <row r="198" spans="1:7" ht="174">
      <c r="A198" s="5" t="s">
        <v>584</v>
      </c>
      <c r="B198" s="5" t="s">
        <v>571</v>
      </c>
      <c r="C198" s="5" t="s">
        <v>831</v>
      </c>
      <c r="D198" s="5" t="s">
        <v>586</v>
      </c>
      <c r="E198" s="5" t="s">
        <v>862</v>
      </c>
      <c r="F198" s="5">
        <v>35</v>
      </c>
      <c r="G198" s="129" t="s">
        <v>2026</v>
      </c>
    </row>
    <row r="199" spans="1:7" ht="29">
      <c r="A199" s="5" t="s">
        <v>584</v>
      </c>
      <c r="B199" s="5" t="s">
        <v>571</v>
      </c>
      <c r="C199" s="5" t="s">
        <v>831</v>
      </c>
      <c r="D199" s="5" t="s">
        <v>586</v>
      </c>
      <c r="E199" s="5" t="s">
        <v>862</v>
      </c>
      <c r="F199" s="5">
        <v>36</v>
      </c>
      <c r="G199" s="129" t="s">
        <v>2027</v>
      </c>
    </row>
    <row r="200" spans="1:7" ht="174">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74">
      <c r="A202" s="5" t="s">
        <v>584</v>
      </c>
      <c r="B202" s="5" t="s">
        <v>571</v>
      </c>
      <c r="C202" s="5" t="s">
        <v>831</v>
      </c>
      <c r="D202" s="5" t="s">
        <v>586</v>
      </c>
      <c r="E202" s="5" t="s">
        <v>862</v>
      </c>
      <c r="F202" s="5">
        <v>39</v>
      </c>
      <c r="G202" s="129" t="s">
        <v>2030</v>
      </c>
    </row>
    <row r="203" spans="1:7" ht="188.5">
      <c r="A203" s="5" t="s">
        <v>584</v>
      </c>
      <c r="B203" s="5" t="s">
        <v>571</v>
      </c>
      <c r="C203" s="5" t="s">
        <v>831</v>
      </c>
      <c r="D203" s="5" t="s">
        <v>586</v>
      </c>
      <c r="E203" s="5" t="s">
        <v>862</v>
      </c>
      <c r="F203" s="5">
        <v>40</v>
      </c>
      <c r="G203" s="129" t="s">
        <v>1931</v>
      </c>
    </row>
    <row r="204" spans="1:7" ht="188.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1640625" defaultRowHeight="14.5" outlineLevelCol="1"/>
  <cols>
    <col min="1" max="1" width="9.453125" style="5" customWidth="1" outlineLevel="1"/>
    <col min="2" max="2" width="16.453125" style="5" customWidth="1" outlineLevel="1"/>
    <col min="3" max="3" width="21.1796875" style="5" bestFit="1" customWidth="1"/>
    <col min="4" max="4" width="16.54296875" style="5" customWidth="1"/>
    <col min="5" max="5" width="16.1796875" style="5" customWidth="1"/>
    <col min="6" max="6" width="11.81640625" style="5" customWidth="1"/>
    <col min="7" max="7" width="16.81640625" style="5" customWidth="1"/>
    <col min="8" max="8" width="143.453125" style="5" customWidth="1"/>
    <col min="9" max="16384" width="8.81640625" style="5"/>
  </cols>
  <sheetData>
    <row r="1" spans="1:10">
      <c r="A1" s="81" t="s">
        <v>0</v>
      </c>
      <c r="B1" s="81" t="s">
        <v>230</v>
      </c>
      <c r="C1" s="81" t="s">
        <v>5</v>
      </c>
      <c r="D1" s="64" t="s">
        <v>120</v>
      </c>
      <c r="E1" s="64" t="s">
        <v>461</v>
      </c>
      <c r="F1" s="64" t="s">
        <v>645</v>
      </c>
      <c r="G1" s="64" t="s">
        <v>646</v>
      </c>
      <c r="H1" s="64" t="s">
        <v>84</v>
      </c>
    </row>
    <row r="2" spans="1:10" ht="290">
      <c r="A2" s="82" t="s">
        <v>1810</v>
      </c>
      <c r="B2" s="65" t="s">
        <v>639</v>
      </c>
      <c r="C2" s="87" t="s">
        <v>820</v>
      </c>
      <c r="D2" s="88" t="s">
        <v>792</v>
      </c>
      <c r="E2" s="88"/>
      <c r="F2" s="88">
        <v>1</v>
      </c>
      <c r="G2" s="89" t="s">
        <v>793</v>
      </c>
      <c r="H2" s="90" t="s">
        <v>796</v>
      </c>
    </row>
    <row r="3" spans="1:10" ht="29">
      <c r="A3" s="82" t="s">
        <v>1811</v>
      </c>
      <c r="B3" s="65" t="s">
        <v>639</v>
      </c>
      <c r="C3" s="87" t="s">
        <v>820</v>
      </c>
      <c r="D3" s="88" t="s">
        <v>754</v>
      </c>
      <c r="E3" s="88"/>
      <c r="F3" s="88">
        <v>1</v>
      </c>
      <c r="G3" s="89" t="s">
        <v>648</v>
      </c>
      <c r="H3" s="90" t="s">
        <v>649</v>
      </c>
    </row>
    <row r="4" spans="1:10" ht="261">
      <c r="A4" s="82" t="s">
        <v>1812</v>
      </c>
      <c r="B4" s="65" t="s">
        <v>639</v>
      </c>
      <c r="C4" s="87" t="s">
        <v>820</v>
      </c>
      <c r="D4" s="88" t="s">
        <v>754</v>
      </c>
      <c r="E4" s="91"/>
      <c r="F4" s="91">
        <v>2</v>
      </c>
      <c r="G4" s="89" t="s">
        <v>650</v>
      </c>
      <c r="H4" s="90" t="s">
        <v>651</v>
      </c>
    </row>
    <row r="5" spans="1:10" ht="116">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2.5">
      <c r="A6" s="82" t="s">
        <v>1814</v>
      </c>
      <c r="B6" s="65" t="s">
        <v>639</v>
      </c>
      <c r="C6" s="87" t="s">
        <v>820</v>
      </c>
      <c r="D6" s="88" t="s">
        <v>754</v>
      </c>
      <c r="E6" s="89" t="s">
        <v>756</v>
      </c>
      <c r="F6" s="89">
        <v>4</v>
      </c>
      <c r="G6" s="89" t="s">
        <v>654</v>
      </c>
      <c r="H6" s="90" t="s">
        <v>655</v>
      </c>
    </row>
    <row r="7" spans="1:10" ht="188.5">
      <c r="A7" s="82" t="s">
        <v>1815</v>
      </c>
      <c r="B7" s="65" t="s">
        <v>639</v>
      </c>
      <c r="C7" s="87" t="s">
        <v>820</v>
      </c>
      <c r="D7" s="88" t="s">
        <v>754</v>
      </c>
      <c r="E7" s="89" t="s">
        <v>755</v>
      </c>
      <c r="F7" s="89">
        <v>5</v>
      </c>
      <c r="G7" s="89" t="s">
        <v>656</v>
      </c>
      <c r="H7" s="90" t="s">
        <v>657</v>
      </c>
    </row>
    <row r="8" spans="1:10" ht="246.5">
      <c r="A8" s="82" t="s">
        <v>1816</v>
      </c>
      <c r="B8" s="65" t="s">
        <v>639</v>
      </c>
      <c r="C8" s="87" t="s">
        <v>820</v>
      </c>
      <c r="D8" s="88" t="s">
        <v>754</v>
      </c>
      <c r="E8" s="89" t="s">
        <v>755</v>
      </c>
      <c r="F8" s="89">
        <v>6</v>
      </c>
      <c r="G8" s="89" t="s">
        <v>658</v>
      </c>
      <c r="H8" s="90" t="s">
        <v>659</v>
      </c>
    </row>
    <row r="9" spans="1:10" ht="72.5">
      <c r="A9" s="82" t="s">
        <v>1817</v>
      </c>
      <c r="B9" s="65" t="s">
        <v>639</v>
      </c>
      <c r="C9" s="87" t="s">
        <v>820</v>
      </c>
      <c r="D9" s="88" t="s">
        <v>821</v>
      </c>
      <c r="E9" s="88"/>
      <c r="F9" s="88">
        <v>1</v>
      </c>
      <c r="G9" s="89" t="s">
        <v>648</v>
      </c>
      <c r="H9" s="90" t="s">
        <v>826</v>
      </c>
    </row>
    <row r="10" spans="1:10" ht="101.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17.5">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45">
      <c r="A22" s="82" t="s">
        <v>1830</v>
      </c>
      <c r="B22" s="65" t="s">
        <v>647</v>
      </c>
      <c r="C22" s="87" t="s">
        <v>820</v>
      </c>
      <c r="D22" s="89" t="s">
        <v>748</v>
      </c>
      <c r="E22" s="89"/>
      <c r="F22" s="89"/>
      <c r="G22" s="89" t="s">
        <v>661</v>
      </c>
      <c r="H22" s="90" t="s">
        <v>758</v>
      </c>
    </row>
    <row r="23" spans="1:8" ht="29">
      <c r="A23" s="82" t="s">
        <v>1831</v>
      </c>
      <c r="B23" s="65" t="s">
        <v>647</v>
      </c>
      <c r="C23" s="87" t="s">
        <v>820</v>
      </c>
      <c r="D23" s="89" t="s">
        <v>780</v>
      </c>
      <c r="E23" s="89"/>
      <c r="F23" s="89">
        <v>1</v>
      </c>
      <c r="G23" s="89" t="s">
        <v>648</v>
      </c>
      <c r="H23" s="90" t="s">
        <v>781</v>
      </c>
    </row>
    <row r="24" spans="1:8" ht="72.5">
      <c r="A24" s="82" t="s">
        <v>1832</v>
      </c>
      <c r="C24" s="87" t="s">
        <v>820</v>
      </c>
      <c r="D24" s="89" t="s">
        <v>780</v>
      </c>
      <c r="E24" s="89"/>
      <c r="F24" s="89">
        <v>2</v>
      </c>
      <c r="G24" s="89" t="s">
        <v>650</v>
      </c>
      <c r="H24" s="90" t="s">
        <v>782</v>
      </c>
    </row>
    <row r="25" spans="1:8" ht="29">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53125" defaultRowHeight="13.5" customHeight="1" outlineLevelCol="1"/>
  <cols>
    <col min="1" max="1" width="21.453125" customWidth="1"/>
    <col min="2" max="2" width="16.453125" customWidth="1" outlineLevel="1"/>
    <col min="3" max="3" width="18.453125" customWidth="1"/>
    <col min="4" max="4" width="13.453125" bestFit="1" customWidth="1"/>
    <col min="5" max="5" width="6.81640625" bestFit="1" customWidth="1"/>
    <col min="6" max="6" width="20.453125" customWidth="1"/>
    <col min="7" max="8" width="43.453125" customWidth="1" outlineLevel="1"/>
    <col min="9" max="9" width="14.453125" customWidth="1"/>
    <col min="10" max="10" width="44.1796875" customWidth="1" outlineLevel="1"/>
    <col min="11" max="11" width="28.1796875" bestFit="1" customWidth="1"/>
    <col min="12" max="12" width="24.453125" customWidth="1" outlineLevel="1"/>
    <col min="13" max="13" width="26.1796875" bestFit="1" customWidth="1"/>
    <col min="14" max="14" width="9.453125" customWidth="1"/>
    <col min="15" max="15" width="107.8164062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1640625" defaultRowHeight="14.5" outlineLevelCol="2"/>
  <cols>
    <col min="1" max="1" width="73.453125" customWidth="1"/>
    <col min="2" max="2" width="14.453125" hidden="1" customWidth="1" outlineLevel="1"/>
    <col min="3" max="3" width="17" bestFit="1" customWidth="1" collapsed="1"/>
    <col min="4" max="4" width="9.453125" customWidth="1"/>
    <col min="5" max="5" width="13.1796875" customWidth="1"/>
    <col min="6" max="6" width="25" hidden="1" customWidth="1" outlineLevel="1"/>
    <col min="7" max="7" width="18.453125" hidden="1" customWidth="1" outlineLevel="1"/>
    <col min="8" max="8" width="25.453125" hidden="1" customWidth="1" outlineLevel="1"/>
    <col min="9" max="9" width="26.1796875" bestFit="1" customWidth="1" collapsed="1"/>
    <col min="10" max="10" width="37" hidden="1" customWidth="1" outlineLevel="1"/>
    <col min="11" max="11" width="14.453125" customWidth="1" collapsed="1"/>
    <col min="12" max="12" width="37" style="80" hidden="1" customWidth="1" outlineLevel="1"/>
    <col min="13" max="13" width="19.26953125" customWidth="1" collapsed="1"/>
    <col min="14" max="14" width="7.81640625" bestFit="1" customWidth="1"/>
    <col min="15" max="16" width="7.81640625" customWidth="1"/>
    <col min="17" max="17" width="50.453125" hidden="1" customWidth="1" outlineLevel="1"/>
    <col min="18" max="18" width="43" hidden="1" customWidth="1" outlineLevel="1"/>
    <col min="19" max="19" width="28.453125" customWidth="1" collapsed="1"/>
    <col min="20" max="20" width="8.81640625" customWidth="1"/>
    <col min="21" max="25" width="23.81640625" hidden="1" customWidth="1" outlineLevel="1"/>
    <col min="26" max="26" width="22.453125" hidden="1" customWidth="1" outlineLevel="1" collapsed="1"/>
    <col min="27" max="32" width="22.453125" hidden="1" customWidth="1" outlineLevel="2"/>
    <col min="33" max="35" width="22.453125" hidden="1" customWidth="1" outlineLevel="1"/>
    <col min="36" max="36" width="10.1796875" hidden="1" customWidth="1" outlineLevel="1"/>
    <col min="37" max="37" width="14.81640625" hidden="1" customWidth="1" outlineLevel="1"/>
    <col min="38" max="38" width="9.1796875" hidden="1" customWidth="1" outlineLevel="1"/>
    <col min="39" max="39" width="7.453125" hidden="1" customWidth="1" outlineLevel="1"/>
    <col min="40" max="40" width="7.453125" customWidth="1" collapsed="1"/>
    <col min="41" max="41" width="36.453125" hidden="1" customWidth="1" outlineLevel="1"/>
    <col min="42" max="48" width="33.1796875" hidden="1" customWidth="1" outlineLevel="1"/>
    <col min="49" max="49" width="23.81640625" customWidth="1" collapsed="1"/>
    <col min="50" max="50" width="37.1796875" bestFit="1" customWidth="1"/>
    <col min="51" max="51" width="37.1796875" hidden="1" customWidth="1" outlineLevel="1"/>
    <col min="52" max="52" width="40.453125" bestFit="1" customWidth="1" collapsed="1"/>
    <col min="53" max="53" width="40.453125" bestFit="1" customWidth="1"/>
    <col min="54" max="54" width="20.453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Overwrite]])&lt;&gt;"",meta_Columns[[#This Row],[Excel Column - Label Overwrite]],meta_Columns[[#This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Overwrite]])&lt;&gt;"",meta_Columns[[#This Row],[Excel Column - Label Overwrite]],meta_Columns[[#This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Overwrite]])&lt;&gt;"",meta_Columns[[#This Row],[Excel Column - Label Overwrite]],meta_Columns[[#This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Overwrite]])&lt;&gt;"",meta_Columns[[#This Row],[Excel Column - Label Overwrite]],meta_Columns[[#This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Overwrite]])&lt;&gt;"",meta_Columns[[#This Row],[Excel Column - Label Overwrite]],meta_Columns[[#This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Overwrite]])&lt;&gt;"",meta_Columns[[#This Row],[Excel Column - Label Overwrite]],meta_Columns[[#This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Overwrite]])&lt;&gt;"",meta_Columns[[#This Row],[Excel Column - Label Overwrite]],meta_Columns[[#This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Overwrite]])&lt;&gt;"",meta_Columns[[#This Row],[Excel Column - Label Overwrite]],meta_Columns[[#This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Overwrite]])&lt;&gt;"",meta_Columns[[#This Row],[Excel Column - Label Overwrite]],meta_Columns[[#This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Overwrite]])&lt;&gt;"",meta_Columns[[#This Row],[Excel Column - Label Overwrite]],meta_Columns[[#This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Overwrite]])&lt;&gt;"",meta_Columns[[#This Row],[Excel Column - Label Overwrite]],meta_Columns[[#This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Overwrite]])&lt;&gt;"",meta_Columns[[#This Row],[Excel Column - Label Overwrite]],meta_Columns[[#This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Overwrite]])&lt;&gt;"",meta_Columns[[#This Row],[Excel Column - Label Overwrite]],meta_Columns[[#This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Overwrite]])&lt;&gt;"",meta_Columns[[#This Row],[Excel Column - Label Overwrite]],meta_Columns[[#This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Overwrite]])&lt;&gt;"",meta_Columns[[#This Row],[Excel Column - Label Overwrite]],meta_Columns[[#This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Overwrite]])&lt;&gt;"",meta_Columns[[#This Row],[Excel Column - Label Overwrite]],meta_Columns[[#This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Overwrite]])&lt;&gt;"",meta_Columns[[#This Row],[Excel Column - Label Overwrite]],meta_Columns[[#This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Overwrite]])&lt;&gt;"",meta_Columns[[#This Row],[Excel Column - Label Overwrite]],meta_Columns[[#This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Overwrite]])&lt;&gt;"",meta_Columns[[#This Row],[Excel Column - Label Overwrite]],meta_Columns[[#This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Overwrite]])&lt;&gt;"",meta_Columns[[#This Row],[Excel Column - Label Overwrite]],meta_Columns[[#This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Overwrite]])&lt;&gt;"",meta_Columns[[#This Row],[Excel Column - Label Overwrite]],meta_Columns[[#This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Overwrite]])&lt;&gt;"",meta_Columns[[#This Row],[Excel Column - Label Overwrite]],meta_Columns[[#This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Overwrite]])&lt;&gt;"",meta_Columns[[#This Row],[Excel Column - Label Overwrite]],meta_Columns[[#This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Overwrite]])&lt;&gt;"",meta_Columns[[#This Row],[Excel Column - Label Overwrite]],meta_Columns[[#This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Overwrite]])&lt;&gt;"",meta_Columns[[#This Row],[Excel Column - Label Overwrite]],meta_Columns[[#This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Overwrite]])&lt;&gt;"",meta_Columns[[#This Row],[Excel Column - Label Overwrite]],meta_Columns[[#This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Overwrite]])&lt;&gt;"",meta_Columns[[#This Row],[Excel Column - Label Overwrite]],meta_Columns[[#This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368"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1640625" defaultRowHeight="14.5"/>
  <cols>
    <col min="1" max="1" width="26.7265625" style="5" bestFit="1" customWidth="1"/>
    <col min="2" max="3" width="21.1796875" style="5" bestFit="1" customWidth="1"/>
    <col min="4" max="5" width="13.81640625" style="5" bestFit="1" customWidth="1"/>
    <col min="6" max="6" width="20.7265625" style="5" bestFit="1" customWidth="1"/>
    <col min="7" max="10" width="24.26953125" style="5" customWidth="1"/>
    <col min="11" max="16384" width="10.81640625" style="5"/>
  </cols>
  <sheetData>
    <row r="1" spans="1:10" ht="29">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305" priority="3" operator="equal">
      <formula>TRUE</formula>
    </cfRule>
  </conditionalFormatting>
  <conditionalFormatting sqref="C2:C157">
    <cfRule type="expression" dxfId="304" priority="4">
      <formula>#REF!&lt;&gt;#REF!</formula>
    </cfRule>
    <cfRule type="expression" dxfId="303"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4.5" outlineLevelRow="1" outlineLevelCol="2"/>
  <cols>
    <col min="1" max="1" width="11.453125" style="5" customWidth="1"/>
    <col min="2" max="2" width="23.1796875" style="5" hidden="1" customWidth="1" outlineLevel="1"/>
    <col min="3" max="3" width="11" style="5" collapsed="1"/>
    <col min="4" max="4" width="11" style="5" hidden="1" customWidth="1" outlineLevel="1"/>
    <col min="5" max="5" width="13.453125" style="5" bestFit="1" customWidth="1" collapsed="1"/>
    <col min="6" max="6" width="4" style="5" customWidth="1"/>
    <col min="7" max="9" width="27" style="5" hidden="1" customWidth="1" outlineLevel="2"/>
    <col min="10" max="10" width="23.453125" style="5" hidden="1" customWidth="1" outlineLevel="1"/>
    <col min="11" max="11" width="20.453125" style="5" bestFit="1" customWidth="1" collapsed="1"/>
    <col min="12" max="12" width="8.81640625" style="5" customWidth="1"/>
    <col min="13" max="13" width="18.1796875" style="5" hidden="1" customWidth="1" outlineLevel="1"/>
    <col min="14" max="14" width="24.453125" style="5" customWidth="1" collapsed="1"/>
    <col min="15" max="15" width="123.1796875" customWidth="1"/>
    <col min="16" max="16" width="25.1796875" hidden="1" customWidth="1" outlineLevel="1"/>
    <col min="17" max="17" width="23.1796875" style="5" customWidth="1" collapsed="1"/>
    <col min="18" max="18" width="11" style="5" hidden="1" customWidth="1" outlineLevel="1"/>
    <col min="19" max="19" width="11" style="5" collapsed="1"/>
    <col min="20" max="16384" width="11" style="5"/>
  </cols>
  <sheetData>
    <row r="1" spans="1:19" ht="15" thickBot="1"/>
    <row r="2" spans="1:19" ht="114"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0"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45.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03.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74">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04.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01.5"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01.5"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29"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29"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3.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3.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58"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3.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58"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30.5"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29"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45"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29"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29"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29"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3.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46.5"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377"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0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87"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29"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3.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01.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87"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43.5"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30.5"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29"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87"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2.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59.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377"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48"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29"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29"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29"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3.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29"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zoomScaleNormal="100" workbookViewId="0">
      <pane xSplit="1" ySplit="1" topLeftCell="G56" activePane="bottomRight" state="frozen"/>
      <selection activeCell="AC18" sqref="AC18"/>
      <selection pane="topRight" activeCell="AC18" sqref="AC18"/>
      <selection pane="bottomLeft" activeCell="AC18" sqref="AC18"/>
      <selection pane="bottomRight" activeCell="K67" sqref="K67"/>
    </sheetView>
  </sheetViews>
  <sheetFormatPr defaultColWidth="11.453125" defaultRowHeight="14.5" outlineLevelCol="4"/>
  <cols>
    <col min="1" max="1" width="43.453125" style="5" customWidth="1"/>
    <col min="2" max="2" width="29.7265625" style="5" customWidth="1" outlineLevel="1"/>
    <col min="3" max="3" width="11.453125" style="5" customWidth="1"/>
    <col min="4" max="4" width="7.453125" style="5" customWidth="1" outlineLevel="1"/>
    <col min="5" max="5" width="13.453125" style="5" bestFit="1" customWidth="1"/>
    <col min="6" max="6" width="6.81640625" style="5" bestFit="1" customWidth="1"/>
    <col min="7" max="7" width="20" style="5" customWidth="1" outlineLevel="2"/>
    <col min="8" max="9" width="38" style="5" customWidth="1" outlineLevel="1"/>
    <col min="10" max="10" width="18.7265625" style="5" customWidth="1"/>
    <col min="11" max="15" width="45.453125" style="5" customWidth="1" outlineLevel="4"/>
    <col min="16" max="17" width="26.453125" style="5" customWidth="1" outlineLevel="4"/>
    <col min="18" max="19" width="32.81640625" style="5" customWidth="1" outlineLevel="4"/>
    <col min="20" max="20" width="31.453125" style="5" customWidth="1" outlineLevel="2"/>
    <col min="21" max="21" width="30.1796875" style="5" customWidth="1" outlineLevel="1"/>
    <col min="22" max="22" width="29.453125" style="5" customWidth="1"/>
    <col min="23" max="30" width="25.1796875" style="5" hidden="1" customWidth="1" outlineLevel="2"/>
    <col min="31" max="31" width="25.1796875" style="5" customWidth="1" outlineLevel="1" collapsed="1"/>
    <col min="32" max="32" width="25.1796875" style="5" customWidth="1" outlineLevel="1"/>
    <col min="33" max="33" width="19.453125" style="5" customWidth="1" outlineLevel="1"/>
    <col min="34" max="34" width="17.81640625" style="5" customWidth="1"/>
    <col min="35" max="35" width="7.1796875" style="5" customWidth="1"/>
    <col min="36" max="36" width="4.453125" style="5" customWidth="1"/>
    <col min="37" max="37" width="11.1796875" style="5" customWidth="1" outlineLevel="1"/>
    <col min="38" max="38" width="11.7265625" style="5" customWidth="1"/>
    <col min="39" max="39" width="18.1796875" style="5" customWidth="1" outlineLevel="1"/>
    <col min="40" max="40" width="11.453125" style="5" customWidth="1"/>
    <col min="41" max="41" width="7.1796875" style="5" customWidth="1" outlineLevel="1"/>
    <col min="42" max="42" width="30.453125" style="5" customWidth="1" outlineLevel="2"/>
    <col min="43" max="43" width="23.453125" style="5" customWidth="1" outlineLevel="1"/>
    <col min="44" max="45" width="22.453125" style="5" customWidth="1" outlineLevel="2"/>
    <col min="46" max="46" width="21.1796875" style="5" customWidth="1" outlineLevel="1"/>
    <col min="47" max="47" width="17" style="5" customWidth="1" outlineLevel="2"/>
    <col min="48" max="48" width="17" style="5" customWidth="1" outlineLevel="1"/>
    <col min="49" max="49" width="17" style="5" hidden="1" customWidth="1" outlineLevel="2"/>
    <col min="50" max="50" width="40.26953125" style="5" hidden="1" customWidth="1" outlineLevel="2"/>
    <col min="51" max="51" width="109.453125" style="5" hidden="1" customWidth="1" outlineLevel="2"/>
    <col min="52" max="53" width="166.453125" style="5" hidden="1" customWidth="1" outlineLevel="2"/>
    <col min="54" max="54" width="7.453125" style="5" customWidth="1" outlineLevel="1" collapsed="1"/>
    <col min="55" max="55" width="7.81640625" style="5" hidden="1" customWidth="1" outlineLevel="2"/>
    <col min="56" max="56" width="34" style="5" hidden="1" customWidth="1" outlineLevel="2"/>
    <col min="57" max="57" width="90" style="5" hidden="1" customWidth="1" outlineLevel="2"/>
    <col min="58" max="58" width="7.453125" style="5" hidden="1" customWidth="1" outlineLevel="2"/>
    <col min="59" max="61" width="58.453125" style="5" hidden="1" customWidth="1" outlineLevel="2"/>
    <col min="62" max="62" width="8.453125" style="5" customWidth="1" outlineLevel="1" collapsed="1"/>
    <col min="63" max="63" width="86.7265625" style="7" customWidth="1"/>
    <col min="64" max="16384" width="11.453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2">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62.5">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45">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19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19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08">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19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19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19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2">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19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19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19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43">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19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19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58">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3.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182">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19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19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56">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56">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56">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19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19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2">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19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6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19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56">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7" s="5" t="str">
        <f>IF(meta_TypedModelElements[[#This Row],[Kind:src]]="_Function",meta_TypedModelElements[[#This Row],[Display Qualified]],"")</f>
        <v>transfertable::copyTable()</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str">
        <f>IF(meta_TypedModelElements[[#This Row],[Containing Class:display]]="","",meta_TypedModelElements[[#This Row],[Containing Class:display]]&amp;".")&amp;meta_TypedModelElements[[#This Row],[Display without Class]]</f>
        <v>copyTable()</v>
      </c>
      <c r="S57" s="5" t="str" cm="1">
        <f t="array" ref="S57">_xlfn.IFNA(INDEX(meta_Names[Camel Lower], MATCH(meta_TypedModelElements[[#This Row],[Name or Type]],meta_Names[String],0)),camelCaseLower(meta_TypedModelElements[[#This Row],[Name or Type]]))</f>
        <v>copyTable</v>
      </c>
      <c r="T57" s="5" t="str">
        <f>IF(meta_TypedModelElements[[#This Row],[Name or Type]]="","",meta_TypedModelElements[[#This Row],[Name or Type Camel Case Lower]])&amp;IF(meta_TypedModelElements[[#This Row],[Kind:src]]="_Function","("&amp;meta_TypedModelElements[[#This Row],[Function - Parameters Display]]&amp;")","")</f>
        <v>copyTable()</v>
      </c>
      <c r="U5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str">
        <f>IF(meta_TypedModelElements[[#This Row],[Kind:src]]&lt;&gt;"_Function",meta_TypedModelElements[[#This Row],[Type]],INDEX(meta_TypedModelElements[Type],MATCH(meta_TypedModelElements[[#This Row],[Function - Owning Property:src]],meta_TypedModelElements[ID],0)))</f>
        <v/>
      </c>
      <c r="AE57" s="5">
        <f>IF(meta_TypedModelElements[[#This Row],[Kind:src]]&lt;&gt;"_Function",meta_TypedModelElements[[#This Row],[Type:src]],INDEX(meta_TypedModelElements[Type:src],MATCH(meta_TypedModelElements[[#This Row],[Function - Owning Property:src]],meta_TypedModelElements[ID],0)))</f>
        <v>0</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t="s">
        <v>787</v>
      </c>
      <c r="AQ57" s="22" t="str">
        <f xml:space="preserve"> IF( TRIM( meta_TypedModelElements[[#This Row],[Function - Owning Property:src]] ) = "", "",
        INDEX( meta_TypedModelElements[Display Qualified], MATCH( meta_TypedModelElements[[#This Row],[Function - Owning Property:src]], meta_TypedModelElements[ID], 0 ) ) )</f>
        <v>transfertable::copyTable</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str">
        <f>"[@["&amp;meta_TypedModelElements[[#This Row],[Name or Type]]&amp;":src]]"</f>
        <v>[@[Copy Table:src]]</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transfertable::copyTable().tableName</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S58" s="5" t="s">
        <v>788</v>
      </c>
      <c r="AT58" s="22" t="str">
        <f>IF(meta_TypedModelElements[[#This Row],[Parameter - Owning Function:src]]="","",INDEX(meta_TypedModelElements[Display Qualified],MATCH(meta_TypedModelElements[[#This Row],[Parameter - Owning Function:src]],meta_TypedModelElements[ID],0)))</f>
        <v>transfertable::copyTable()</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v>
      </c>
      <c r="L60" s="5" t="str">
        <f>IF(meta_TypedModelElements[[#This Row],[Kind:src]]="_Function",meta_TypedModelElements[[#This Row],[Display Qualified]],"")</f>
        <v>util::camelCaseUpper(String)</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str">
        <f>IF(meta_TypedModelElements[[#This Row],[Containing Class:display]]="","",meta_TypedModelElements[[#This Row],[Containing Class:display]]&amp;".")&amp;meta_TypedModelElements[[#This Row],[Display without Class]]</f>
        <v>camelCaseUpper(String)</v>
      </c>
      <c r="S60" s="5" t="str" cm="1">
        <f t="array" ref="S60">_xlfn.IFNA(INDEX(meta_Names[Camel Lower], MATCH(meta_TypedModelElements[[#This Row],[Name or Type]],meta_Names[String],0)),camelCaseLower(meta_TypedModelElements[[#This Row],[Name or Type]]))</f>
        <v>camelCaseUpper</v>
      </c>
      <c r="T60" s="5" t="str">
        <f>IF(meta_TypedModelElements[[#This Row],[Name or Type]]="","",meta_TypedModelElements[[#This Row],[Name or Type Camel Case Lower]])&amp;IF(meta_TypedModelElements[[#This Row],[Kind:src]]="_Function","("&amp;meta_TypedModelElements[[#This Row],[Function - Parameters Display]]&amp;")","")</f>
        <v>camelCaseUpper(String)</v>
      </c>
      <c r="U6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str">
        <f>IF(meta_TypedModelElements[[#This Row],[Kind:src]]&lt;&gt;"_Function",meta_TypedModelElements[[#This Row],[Type]],INDEX(meta_TypedModelElements[Type],MATCH(meta_TypedModelElements[[#This Row],[Function - Owning Property:src]],meta_TypedModelElements[ID],0)))</f>
        <v>String</v>
      </c>
      <c r="AE60" s="5" t="str">
        <f>IF(meta_TypedModelElements[[#This Row],[Kind:src]]&lt;&gt;"_Function",meta_TypedModelElements[[#This Row],[Type:src]],INDEX(meta_TypedModelElements[Type:src],MATCH(meta_TypedModelElements[[#This Row],[Function - Owning Property:src]],meta_TypedModelElements[ID],0)))</f>
        <v>_String</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t="s">
        <v>393</v>
      </c>
      <c r="AQ60" s="22" t="str">
        <f xml:space="preserve"> IF( TRIM( meta_TypedModelElements[[#This Row],[Function - Owning Property:src]] ) = "", "",
        INDEX( meta_TypedModelElements[Display Qualified], MATCH( meta_TypedModelElements[[#This Row],[Function - Owning Property:src]], meta_TypedModelElements[ID], 0 ) ) )</f>
        <v>util::camelCaseUpper</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str">
        <f>"[@["&amp;meta_TypedModelElements[[#This Row],[Name or Type]]&amp;":src]]"</f>
        <v>[@[Camel Case Upper:src]]</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util::camelCaseUpper(String).inputString</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S61" s="5" t="s">
        <v>399</v>
      </c>
      <c r="AT61" s="22" t="str">
        <f>IF(meta_TypedModelElements[[#This Row],[Parameter - Owning Function:src]]="","",INDEX(meta_TypedModelElements[Display Qualified],MATCH(meta_TypedModelElements[[#This Row],[Parameter - Owning Function:src]],meta_TypedModelElements[ID],0)))</f>
        <v>util::camelCaseUpper(String)</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util::camelCaseLower(String).inputString</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S64" s="5" t="s">
        <v>400</v>
      </c>
      <c r="AT64" s="22" t="str">
        <f>IF(meta_TypedModelElements[[#This Row],[Parameter - Owning Function:src]]="","",INDEX(meta_TypedModelElements[Display Qualified],MATCH(meta_TypedModelElements[[#This Row],[Parameter - Owning Function:src]],meta_TypedModelElements[ID],0)))</f>
        <v>util::camelCaseLower(String)</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util::camelCaseToBusiness(String).inputString</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S67" s="5" t="s">
        <v>401</v>
      </c>
      <c r="AT67" s="22" t="str">
        <f>IF(meta_TypedModelElements[[#This Row],[Parameter - Owning Function:src]]="","",INDEX(meta_TypedModelElements[Display Qualified],MATCH(meta_TypedModelElements[[#This Row],[Parameter - Owning Function:src]],meta_TypedModelElements[ID],0)))</f>
        <v>util::camelCaseToBusiness(String)</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util::stringToBusiness(String).inputString</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S70" s="5" t="s">
        <v>402</v>
      </c>
      <c r="AT70" s="22" t="str">
        <f>IF(meta_TypedModelElements[[#This Row],[Parameter - Owning Function:src]]="","",INDEX(meta_TypedModelElements[Display Qualified],MATCH(meta_TypedModelElements[[#This Row],[Parameter - Owning Function:src]],meta_TypedModelElements[ID],0)))</f>
        <v>util::stringToBusiness(String)</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util::businessToCamelCaseUpper(String).inputString</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S73" s="5" t="s">
        <v>403</v>
      </c>
      <c r="AT73" s="22" t="str">
        <f>IF(meta_TypedModelElements[[#This Row],[Parameter - Owning Function:src]]="","",INDEX(meta_TypedModelElements[Display Qualified],MATCH(meta_TypedModelElements[[#This Row],[Parameter - Owning Function:src]],meta_TypedModelElements[ID],0)))</f>
        <v>util::businessToCamelCaseUpper(String)</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util::businessToCamelCaseLower(String).inputString</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S76" s="5" t="s">
        <v>404</v>
      </c>
      <c r="AT76" s="22" t="str">
        <f>IF(meta_TypedModelElements[[#This Row],[Parameter - Owning Function:src]]="","",INDEX(meta_TypedModelElements[Display Qualified],MATCH(meta_TypedModelElements[[#This Row],[Parameter - Owning Function:src]],meta_TypedModelElements[ID],0)))</f>
        <v>util::businessToCamelCaseLower(String)</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util::stringToBusinessSegments(String).inputString</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S79" s="5" t="s">
        <v>454</v>
      </c>
      <c r="AT79" s="22" t="str">
        <f>IF(meta_TypedModelElements[[#This Row],[Parameter - Owning Function:src]]="","",INDEX(meta_TypedModelElements[Display Qualified],MATCH(meta_TypedModelElements[[#This Row],[Parameter - Owning Function:src]],meta_TypedModelElements[ID],0)))</f>
        <v>util::stringToBusinessSegments(String)</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182">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182">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53125" defaultRowHeight="14.5" outlineLevelCol="2"/>
  <cols>
    <col min="1" max="1" width="29.453125" customWidth="1"/>
    <col min="2" max="2" width="29.453125" customWidth="1" outlineLevel="1"/>
    <col min="3" max="3" width="17.453125" customWidth="1"/>
    <col min="4" max="4" width="7.81640625" bestFit="1" customWidth="1"/>
    <col min="5" max="5" width="7.81640625" customWidth="1"/>
    <col min="6" max="6" width="33.453125" hidden="1" customWidth="1" outlineLevel="2"/>
    <col min="7" max="7" width="18" hidden="1" customWidth="1" outlineLevel="1"/>
    <col min="8" max="8" width="24.1796875" customWidth="1" collapsed="1"/>
    <col min="9" max="9" width="24.1796875" customWidth="1" outlineLevel="1"/>
  </cols>
  <sheetData>
    <row r="1" spans="1:10" ht="64.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4.5" outlineLevelCol="5"/>
  <cols>
    <col min="1" max="1" width="5.1796875" style="5" customWidth="1" outlineLevel="1"/>
    <col min="2" max="2" width="27.81640625" style="5" customWidth="1" outlineLevel="2"/>
    <col min="3" max="3" width="19" style="5" customWidth="1" outlineLevel="1"/>
    <col min="4" max="5" width="6.81640625" style="5" customWidth="1" outlineLevel="1"/>
    <col min="6" max="6" width="7.453125" style="5" customWidth="1" outlineLevel="4"/>
    <col min="7" max="7" width="7.453125" style="5" customWidth="1" outlineLevel="3"/>
    <col min="8" max="8" width="7.453125" style="5" customWidth="1" outlineLevel="4"/>
    <col min="9" max="9" width="7.453125" style="5" customWidth="1" outlineLevel="3"/>
    <col min="10" max="10" width="13.453125" style="5" customWidth="1" outlineLevel="4"/>
    <col min="11" max="11" width="7.81640625" style="5" customWidth="1" outlineLevel="3"/>
    <col min="12" max="12" width="21.453125" style="5" customWidth="1" outlineLevel="4"/>
    <col min="13" max="13" width="16" style="5" customWidth="1" outlineLevel="3"/>
    <col min="14" max="14" width="21.453125" style="5" customWidth="1" outlineLevel="4"/>
    <col min="15" max="15" width="16" style="5" customWidth="1" outlineLevel="3"/>
    <col min="16" max="16" width="21.453125" style="5" customWidth="1" outlineLevel="4"/>
    <col min="17" max="17" width="16" style="5" customWidth="1" outlineLevel="3"/>
    <col min="18" max="18" width="21.453125" style="5" customWidth="1" outlineLevel="3"/>
    <col min="19" max="19" width="16" style="5" customWidth="1" outlineLevel="2"/>
    <col min="20" max="20" width="9.453125" style="5" customWidth="1" outlineLevel="1"/>
    <col min="21" max="22" width="19.453125" style="5" hidden="1" customWidth="1" outlineLevel="3"/>
    <col min="23" max="23" width="44.453125" style="5" hidden="1" customWidth="1" outlineLevel="2"/>
    <col min="24" max="24" width="32" style="5" customWidth="1" outlineLevel="1" collapsed="1"/>
    <col min="25" max="27" width="32" style="5" customWidth="1" outlineLevel="2"/>
    <col min="28" max="28" width="32" style="5" customWidth="1" outlineLevel="1"/>
    <col min="29" max="29" width="5.453125" style="5" customWidth="1"/>
    <col min="30" max="30" width="25.453125" style="5" customWidth="1" outlineLevel="3"/>
    <col min="31" max="31" width="52.453125" style="5" customWidth="1" outlineLevel="3"/>
    <col min="32" max="32" width="24.453125" style="5" customWidth="1" outlineLevel="3"/>
    <col min="33" max="33" width="46.453125" style="5" customWidth="1"/>
    <col min="34" max="34" width="10.453125" style="5" customWidth="1"/>
    <col min="35" max="35" width="65.453125" customWidth="1"/>
    <col min="36" max="36" width="11" customWidth="1" outlineLevel="1"/>
    <col min="37" max="37" width="27.81640625" style="14" customWidth="1" outlineLevel="1"/>
    <col min="38" max="38" width="18.453125" style="14" customWidth="1" outlineLevel="1"/>
    <col min="39" max="39" width="13.81640625" style="14" customWidth="1" outlineLevel="1"/>
    <col min="40" max="40" width="20.453125" style="14" customWidth="1" outlineLevel="1"/>
    <col min="41" max="41" width="5.453125" style="14" customWidth="1"/>
    <col min="42" max="42" width="10.453125" style="14" customWidth="1" outlineLevel="1"/>
    <col min="43" max="43" width="7.8164062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53125" hidden="1" customWidth="1" outlineLevel="3"/>
    <col min="57" max="57" width="11" hidden="1" customWidth="1" outlineLevel="2"/>
    <col min="58" max="58" width="38" hidden="1" customWidth="1" outlineLevel="2"/>
    <col min="59" max="59" width="11" customWidth="1" outlineLevel="1" collapsed="1"/>
    <col min="60" max="60" width="30.453125" hidden="1" customWidth="1" outlineLevel="2"/>
    <col min="61" max="61" width="15.453125" style="5" customWidth="1" outlineLevel="1" collapsed="1"/>
    <col min="62" max="62" width="10.453125" style="5" hidden="1" customWidth="1" outlineLevel="3"/>
    <col min="63" max="63" width="7.81640625" style="5" hidden="1" customWidth="1" outlineLevel="2"/>
    <col min="64" max="64" width="7.81640625" style="5" hidden="1" customWidth="1" outlineLevel="3"/>
    <col min="65" max="65" width="7.81640625" style="5" hidden="1" customWidth="1" outlineLevel="2"/>
    <col min="66" max="66" width="7.81640625" style="5" hidden="1" customWidth="1" outlineLevel="3"/>
    <col min="67" max="67" width="7.81640625" style="5" hidden="1" customWidth="1" outlineLevel="2"/>
    <col min="68" max="68" width="7.81640625" style="5" hidden="1" customWidth="1" outlineLevel="3"/>
    <col min="69" max="69" width="7.81640625" style="5" hidden="1" customWidth="1" outlineLevel="2"/>
    <col min="70" max="70" width="21.453125" style="5" hidden="1" customWidth="1" outlineLevel="3"/>
    <col min="71" max="71" width="7.81640625" style="5" hidden="1" customWidth="1" outlineLevel="2"/>
    <col min="72" max="72" width="15.453125" style="5" hidden="1" customWidth="1" outlineLevel="3"/>
    <col min="73" max="73" width="7.81640625" style="5" hidden="1" customWidth="1" outlineLevel="2"/>
    <col min="74" max="75" width="7.81640625" style="5" hidden="1" customWidth="1" outlineLevel="3"/>
    <col min="76" max="77" width="34.453125" style="5" hidden="1" customWidth="1" outlineLevel="2"/>
    <col min="78" max="78" width="23.453125" style="5" customWidth="1" outlineLevel="1" collapsed="1"/>
    <col min="79" max="79" width="6.81640625" style="5" hidden="1" customWidth="1" outlineLevel="2"/>
    <col min="80" max="80" width="7.1796875" style="5" customWidth="1" outlineLevel="1" collapsed="1"/>
    <col min="81" max="81" width="4.453125" style="5" hidden="1" customWidth="1" outlineLevel="5"/>
    <col min="82" max="82" width="5.453125" style="5" hidden="1" customWidth="1" outlineLevel="4"/>
    <col min="83" max="83" width="5.453125" style="5" hidden="1" customWidth="1" outlineLevel="5"/>
    <col min="84" max="84" width="5.453125" style="5" hidden="1" customWidth="1" outlineLevel="4"/>
    <col min="85" max="85" width="5.453125" style="5" hidden="1" customWidth="1" outlineLevel="5"/>
    <col min="86" max="86" width="5.453125" style="5" hidden="1" customWidth="1" outlineLevel="4"/>
    <col min="87" max="87" width="5.453125" style="5" hidden="1" customWidth="1" outlineLevel="5"/>
    <col min="88" max="88" width="5.453125" style="5" hidden="1" customWidth="1" outlineLevel="4"/>
    <col min="89" max="89" width="5.453125" style="5" hidden="1" customWidth="1" outlineLevel="5"/>
    <col min="90" max="90" width="5.453125" style="5" hidden="1" customWidth="1" outlineLevel="4"/>
    <col min="91" max="91" width="5.453125" style="5" hidden="1" customWidth="1" outlineLevel="5"/>
    <col min="92" max="92" width="5.453125" style="5" hidden="1" customWidth="1" outlineLevel="4"/>
    <col min="93" max="93" width="5.453125" style="5" hidden="1" customWidth="1" outlineLevel="5"/>
    <col min="94" max="94" width="7.453125" style="5" hidden="1" customWidth="1" outlineLevel="5"/>
    <col min="95" max="95" width="13.81640625" style="5" hidden="1" customWidth="1" outlineLevel="4"/>
    <col min="96" max="96" width="13.81640625" style="5" hidden="1" customWidth="1" outlineLevel="3"/>
    <col min="97" max="97" width="7" style="5" customWidth="1" outlineLevel="1" collapsed="1"/>
    <col min="98" max="98" width="9.453125" style="5" customWidth="1" outlineLevel="1"/>
    <col min="99" max="99" width="5.453125" style="5" customWidth="1"/>
    <col min="100" max="100" width="66.81640625" style="5" customWidth="1" outlineLevel="1"/>
    <col min="101" max="101" width="66.81640625" style="5" customWidth="1"/>
    <col min="102" max="102" width="37.453125" style="5" customWidth="1" outlineLevel="1"/>
    <col min="103" max="103" width="37.453125" style="5" customWidth="1"/>
    <col min="104" max="104" width="28.453125" style="5" customWidth="1"/>
    <col min="105" max="105" width="30.453125" style="5" customWidth="1"/>
    <col min="106" max="108" width="31.453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_String</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camelCaseUpper(String)</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.camelCaseUpper(String)       Derive</v>
      </c>
      <c r="AH3" s="14" t="s">
        <v>151</v>
      </c>
      <c r="AI3" s="14" t="s">
        <v>447</v>
      </c>
      <c r="AJ3" s="14" t="str">
        <f>meta_Rules[[#This Row],[Class:src]]&amp;"_"&amp;meta_Rules[[#This Row],[Feature]]&amp;"_"&amp;meta_Rules[[#This Row],[Kind]]</f>
        <v>_camelCaseUpper(String)_Derive</v>
      </c>
      <c r="AK3" s="14" t="str">
        <f>meta_Rules[[#This Row],[Rule Biz ID Without Line]]&amp;"_"&amp;meta_Rules[[#This Row],[Line]]</f>
        <v>_camelCaseUpper(String)_Derive_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4.5" outlineLevelRow="1" outlineLevelCol="2"/>
  <cols>
    <col min="1" max="1" width="23.1796875" style="5" customWidth="1"/>
    <col min="2" max="2" width="23.1796875" style="5" customWidth="1" outlineLevel="1"/>
    <col min="3" max="4" width="11" style="5"/>
    <col min="5" max="5" width="4" style="5" customWidth="1"/>
    <col min="6" max="6" width="17.453125" style="5" hidden="1" customWidth="1" outlineLevel="2"/>
    <col min="7" max="7" width="11" style="5" hidden="1" customWidth="1" outlineLevel="1"/>
    <col min="8" max="8" width="20.453125" style="5" bestFit="1" customWidth="1" collapsed="1"/>
    <col min="9" max="20" width="20.453125" style="5" customWidth="1"/>
    <col min="21" max="21" width="135.1796875" customWidth="1"/>
    <col min="22" max="22" width="10.453125" style="7" bestFit="1" customWidth="1"/>
    <col min="23" max="16384" width="11" style="5"/>
  </cols>
  <sheetData>
    <row r="2" spans="1:22" ht="111.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4.5" outlineLevelRow="1" outlineLevelCol="1"/>
  <cols>
    <col min="1" max="1" width="23.1796875" style="5" customWidth="1"/>
    <col min="2" max="2" width="23.1796875" style="5" customWidth="1" outlineLevel="1"/>
    <col min="3" max="4" width="11" style="5"/>
    <col min="5" max="5" width="4" style="5" customWidth="1"/>
    <col min="6" max="6" width="17.453125" style="5" hidden="1" customWidth="1" outlineLevel="1"/>
    <col min="7" max="7" width="11" style="5" customWidth="1" collapsed="1"/>
    <col min="8" max="8" width="11" style="5" customWidth="1"/>
    <col min="11" max="11" width="20.453125" style="5" bestFit="1" customWidth="1"/>
    <col min="12" max="14" width="20.453125" style="5" customWidth="1"/>
    <col min="15" max="20" width="18.1796875" style="5" customWidth="1"/>
    <col min="21" max="23" width="20.453125" style="5" customWidth="1"/>
    <col min="24" max="24" width="175.453125" style="5" bestFit="1" customWidth="1"/>
    <col min="25" max="25" width="8.81640625" style="5" customWidth="1"/>
    <col min="28" max="28" width="135.1796875" customWidth="1"/>
    <col min="29" max="29" width="124.453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1"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32">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53125" defaultRowHeight="14.5" outlineLevelCol="2"/>
  <cols>
    <col min="1" max="1" width="20.81640625" style="5" bestFit="1" customWidth="1"/>
    <col min="2" max="3" width="7.81640625" style="5" customWidth="1" outlineLevel="1"/>
    <col min="4" max="4" width="18" style="5" customWidth="1" outlineLevel="1"/>
    <col min="5" max="6" width="9.453125" style="5" customWidth="1" outlineLevel="1"/>
    <col min="7" max="7" width="15.1796875" style="5" customWidth="1" outlineLevel="2"/>
    <col min="8" max="8" width="37.1796875" style="5" customWidth="1" outlineLevel="1"/>
    <col min="9" max="9" width="56.453125" style="5" customWidth="1"/>
    <col min="10" max="10" width="31.453125" style="7" customWidth="1" outlineLevel="1"/>
    <col min="11" max="11" width="31.453125" style="5" customWidth="1" outlineLevel="1"/>
    <col min="12" max="12" width="8.81640625" style="7" customWidth="1" outlineLevel="1"/>
    <col min="13" max="13" width="18" style="7" customWidth="1" outlineLevel="1"/>
    <col min="14" max="14" width="10.81640625" style="7" customWidth="1" outlineLevel="1"/>
    <col min="15" max="15" width="11.453125" style="7" customWidth="1" outlineLevel="1"/>
    <col min="16" max="27" width="11.453125" style="5" customWidth="1" outlineLevel="1"/>
    <col min="28" max="16384" width="11.453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29">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29">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29">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3.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3.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3.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29">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29">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16">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29">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29">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30"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53125" defaultRowHeight="14.5" outlineLevelCol="1"/>
  <cols>
    <col min="2" max="2" width="11.453125" customWidth="1" outlineLevel="1"/>
    <col min="3" max="3" width="17" customWidth="1"/>
    <col min="4" max="4" width="10.453125" bestFit="1" customWidth="1"/>
    <col min="5" max="5" width="10.453125" customWidth="1"/>
    <col min="6" max="6" width="17" customWidth="1"/>
    <col min="7" max="7" width="18.453125" customWidth="1"/>
    <col min="8" max="8" width="16.453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1640625" defaultRowHeight="14.5" outlineLevelCol="1"/>
  <cols>
    <col min="3" max="3" width="14.453125" bestFit="1" customWidth="1"/>
    <col min="4" max="4" width="14.453125" hidden="1" customWidth="1" outlineLevel="1"/>
    <col min="5" max="5" width="12.453125" bestFit="1" customWidth="1" collapsed="1"/>
    <col min="6" max="6" width="13.453125" bestFit="1" customWidth="1"/>
    <col min="7" max="7" width="13" customWidth="1"/>
    <col min="8" max="8" width="10.453125" customWidth="1"/>
    <col min="9" max="9" width="8.81640625" customWidth="1"/>
    <col min="10" max="10" width="16.453125" customWidth="1"/>
    <col min="11" max="11" width="11" customWidth="1"/>
  </cols>
  <sheetData>
    <row r="5" spans="3:11" ht="15" thickBot="1"/>
    <row r="6" spans="3:11" ht="63.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53125" defaultRowHeight="14.5"/>
  <cols>
    <col min="8" max="8" width="29.81640625" customWidth="1"/>
  </cols>
  <sheetData>
    <row r="1" spans="1:8">
      <c r="A1" t="s">
        <v>0</v>
      </c>
      <c r="B1" t="s">
        <v>759</v>
      </c>
      <c r="C1" t="s">
        <v>760</v>
      </c>
      <c r="D1" t="s">
        <v>663</v>
      </c>
      <c r="E1" t="s">
        <v>761</v>
      </c>
      <c r="F1" t="s">
        <v>762</v>
      </c>
      <c r="H1" s="83" t="s">
        <v>763</v>
      </c>
    </row>
    <row r="2" spans="1:8" ht="29">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53125" defaultRowHeight="14.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2025-06-17T20:15:12Z</dcterms:modified>
</cp:coreProperties>
</file>